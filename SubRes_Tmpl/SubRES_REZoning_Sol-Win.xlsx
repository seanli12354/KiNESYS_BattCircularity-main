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 activeTab="1"/>
  </bookViews>
  <sheets>
    <sheet name="REZ_Solar" sheetId="1" r:id="rId1"/>
    <sheet name="REZ_Wind" sheetId="4" r:id="rId2"/>
    <sheet name="LNG Terminals" sheetId="3" r:id="rId3"/>
    <sheet name="ELC_GridExt" sheetId="5" r:id="rId4"/>
  </sheets>
  <definedNames>
    <definedName name="_xlnm._FilterDatabase" localSheetId="0" hidden="1">REZ_Solar!#REF!</definedName>
    <definedName name="_xlnm._FilterDatabase" localSheetId="1" hidden="1">REZ_Wind!$AT$4:$AT$1103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xli9</author>
  </authors>
  <commentList>
    <comment ref="AQ1" authorId="0">
      <text>
        <r>
          <rPr>
            <b/>
            <sz val="9"/>
            <rFont val="Times New Roman"/>
            <charset val="0"/>
          </rPr>
          <t>xli9:</t>
        </r>
        <r>
          <rPr>
            <sz val="9"/>
            <rFont val="Times New Roman"/>
            <charset val="0"/>
          </rPr>
          <t xml:space="preserve">
This is the original AF, but seems too high to no need for storage</t>
        </r>
      </text>
    </comment>
  </commentList>
</comments>
</file>

<file path=xl/sharedStrings.xml><?xml version="1.0" encoding="utf-8"?>
<sst xmlns="http://schemas.openxmlformats.org/spreadsheetml/2006/main" count="58191" uniqueCount="9632">
  <si>
    <t>VT_Process_Solar</t>
  </si>
  <si>
    <t>VT_FI_T_Solar</t>
  </si>
  <si>
    <t>~FI_Process</t>
  </si>
  <si>
    <t>~FI_T: 2021</t>
  </si>
  <si>
    <t>~FI_T</t>
  </si>
  <si>
    <t>Sets</t>
  </si>
  <si>
    <t>TechName</t>
  </si>
  <si>
    <t>TechDesc</t>
  </si>
  <si>
    <t>TAct</t>
  </si>
  <si>
    <t>TCap</t>
  </si>
  <si>
    <t>Tslvl</t>
  </si>
  <si>
    <t>Process</t>
  </si>
  <si>
    <t>Comm-IN</t>
  </si>
  <si>
    <t>Comm-OUT</t>
  </si>
  <si>
    <t>INVCOST~USD21_alt</t>
  </si>
  <si>
    <t>INVCOST~USD21</t>
  </si>
  <si>
    <t>AF~FX</t>
  </si>
  <si>
    <t>ISO</t>
  </si>
  <si>
    <t>CAP_BND</t>
  </si>
  <si>
    <t>FIXOM</t>
  </si>
  <si>
    <t>Corresponding "similar-income" level country which has detailed value in WEO</t>
  </si>
  <si>
    <t>INVCOST~2035</t>
  </si>
  <si>
    <t>INVCOST~2050</t>
  </si>
  <si>
    <t>INVCOST~0</t>
  </si>
  <si>
    <t>EFF</t>
  </si>
  <si>
    <t>Cap2ACT</t>
  </si>
  <si>
    <t>ELE</t>
  </si>
  <si>
    <t>EN_SPV_21_c01_AFG</t>
  </si>
  <si>
    <t>Utility PV - CF Class-21 Cost Class-c01 - Afghanistan</t>
  </si>
  <si>
    <t>PJ</t>
  </si>
  <si>
    <t>GW</t>
  </si>
  <si>
    <t>ANNUAL</t>
  </si>
  <si>
    <t>ELCSPV</t>
  </si>
  <si>
    <t>ELC_Sol-AFG</t>
  </si>
  <si>
    <t>AFG</t>
  </si>
  <si>
    <t>India</t>
  </si>
  <si>
    <t>ElcAgg_Solar</t>
  </si>
  <si>
    <t>DAYNITE</t>
  </si>
  <si>
    <t>ELC,ELCCurt</t>
  </si>
  <si>
    <t>EN_SPV_21_c02_AFG</t>
  </si>
  <si>
    <t>Utility PV - CF Class-21 Cost Class-c02 - Afghanistan</t>
  </si>
  <si>
    <t>ElcAgg_Wind</t>
  </si>
  <si>
    <t>EN_SPV_21_c03_AFG</t>
  </si>
  <si>
    <t>Utility PV - CF Class-21 Cost Class-c03 - Afghanistan</t>
  </si>
  <si>
    <t>EN_SPV_22_c01_AFG</t>
  </si>
  <si>
    <t>Utility PV - CF Class-22 Cost Class-c01 - Afghanistan</t>
  </si>
  <si>
    <t>EN_SPV_22_c02_AFG</t>
  </si>
  <si>
    <t>Utility PV - CF Class-22 Cost Class-c02 - Afghanistan</t>
  </si>
  <si>
    <t>EN_SPV_22_c03_AFG</t>
  </si>
  <si>
    <t>Utility PV - CF Class-22 Cost Class-c03 - Afghanistan</t>
  </si>
  <si>
    <t>EN_SPV_20_c01_AGO</t>
  </si>
  <si>
    <t>Utility PV - CF Class-20 Cost Class-c01 - Angola</t>
  </si>
  <si>
    <t>ELC_Sol-AGO</t>
  </si>
  <si>
    <t>AGO</t>
  </si>
  <si>
    <t>Africa</t>
  </si>
  <si>
    <t>EN_SPV_20_c02_AGO</t>
  </si>
  <si>
    <t>Utility PV - CF Class-20 Cost Class-c02 - Angola</t>
  </si>
  <si>
    <t>EN_SPV_21_c01_AGO</t>
  </si>
  <si>
    <t>Utility PV - CF Class-21 Cost Class-c01 - Angola</t>
  </si>
  <si>
    <t>EN_SPV_21_c02_AGO</t>
  </si>
  <si>
    <t>Utility PV - CF Class-21 Cost Class-c02 - Angola</t>
  </si>
  <si>
    <t>EN_SPV_21_c03_AGO</t>
  </si>
  <si>
    <t>Utility PV - CF Class-21 Cost Class-c03 - Angola</t>
  </si>
  <si>
    <t>EN_SPV_22_c03_AGO</t>
  </si>
  <si>
    <t>Utility PV - CF Class-22 Cost Class-c03 - Angola</t>
  </si>
  <si>
    <t>EN_SPV_15_c02_ALB</t>
  </si>
  <si>
    <t>Utility PV - CF Class-15 Cost Class-c02 - Albania</t>
  </si>
  <si>
    <t>ELC_Sol-ALB</t>
  </si>
  <si>
    <t>ALB</t>
  </si>
  <si>
    <t>EU</t>
  </si>
  <si>
    <t>EN_SPV_16_c01_ALB</t>
  </si>
  <si>
    <t>Utility PV - CF Class-16 Cost Class-c01 - Albania</t>
  </si>
  <si>
    <t>EN_SPV_16_c02_ALB</t>
  </si>
  <si>
    <t>Utility PV - CF Class-16 Cost Class-c02 - Albania</t>
  </si>
  <si>
    <t>EN_SPV_17_c01_ALB</t>
  </si>
  <si>
    <t>Utility PV - CF Class-17 Cost Class-c01 - Albania</t>
  </si>
  <si>
    <t>EN_SPV_20_c01_ARE</t>
  </si>
  <si>
    <t>Utility PV - CF Class-20 Cost Class-c01 - United Arab Emirates</t>
  </si>
  <si>
    <t>ELC_Sol-ARE</t>
  </si>
  <si>
    <t>ARE</t>
  </si>
  <si>
    <t>Middle East</t>
  </si>
  <si>
    <t>EN_SPV_20_c02_ARE</t>
  </si>
  <si>
    <t>Utility PV - CF Class-20 Cost Class-c02 - United Arab Emirates</t>
  </si>
  <si>
    <t>EN_SPV_20_c03_ARE</t>
  </si>
  <si>
    <t>Utility PV - CF Class-20 Cost Class-c03 - United Arab Emirates</t>
  </si>
  <si>
    <t>EN_SPV_19_c01_ARG</t>
  </si>
  <si>
    <t>Utility PV - CF Class-19 Cost Class-c01 - Argentina</t>
  </si>
  <si>
    <t>ELC_Sol-ARG</t>
  </si>
  <si>
    <t>ARG</t>
  </si>
  <si>
    <t>Brazil</t>
  </si>
  <si>
    <t>EN_SPV_19_c02_ARG</t>
  </si>
  <si>
    <t>Utility PV - CF Class-19 Cost Class-c02 - Argentina</t>
  </si>
  <si>
    <t>EN_SPV_20_c01_ARG</t>
  </si>
  <si>
    <t>Utility PV - CF Class-20 Cost Class-c01 - Argentina</t>
  </si>
  <si>
    <t>EN_SPV_20_c02_ARG</t>
  </si>
  <si>
    <t>Utility PV - CF Class-20 Cost Class-c02 - Argentina</t>
  </si>
  <si>
    <t>EN_SPV_20_c03_ARG</t>
  </si>
  <si>
    <t>Utility PV - CF Class-20 Cost Class-c03 - Argentina</t>
  </si>
  <si>
    <t>EN_SPV_21_c01_ARG</t>
  </si>
  <si>
    <t>Utility PV - CF Class-21 Cost Class-c01 - Argentina</t>
  </si>
  <si>
    <t>EN_SPV_21_c02_ARG</t>
  </si>
  <si>
    <t>Utility PV - CF Class-21 Cost Class-c02 - Argentina</t>
  </si>
  <si>
    <t>EN_SPV_22_c01_ARG</t>
  </si>
  <si>
    <t>Utility PV - CF Class-22 Cost Class-c01 - Argentina</t>
  </si>
  <si>
    <t>EN_SPV_23_c01_ARG</t>
  </si>
  <si>
    <t>Utility PV - CF Class-23 Cost Class-c01 - Argentina</t>
  </si>
  <si>
    <t>EN_SPV_24_c01_ARG</t>
  </si>
  <si>
    <t>Utility PV - CF Class-24 Cost Class-c01 - Argentina</t>
  </si>
  <si>
    <t>EN_SPV_16_c01_ARM</t>
  </si>
  <si>
    <t>Utility PV - CF Class-16 Cost Class-c01 - Armenia</t>
  </si>
  <si>
    <t>ELC_Sol-ARM</t>
  </si>
  <si>
    <t>ARM</t>
  </si>
  <si>
    <t>Russia</t>
  </si>
  <si>
    <t>EN_SPV_17_c01_ARM</t>
  </si>
  <si>
    <t>Utility PV - CF Class-17 Cost Class-c01 - Armenia</t>
  </si>
  <si>
    <t>EN_SPV_21_c04_AUS</t>
  </si>
  <si>
    <t>Utility PV - CF Class-21 Cost Class-c04 - Australia</t>
  </si>
  <si>
    <t>ELC_Sol-AUS</t>
  </si>
  <si>
    <t>AUS</t>
  </si>
  <si>
    <t>USA</t>
  </si>
  <si>
    <t>EN_SPV_12_c02_AUT</t>
  </si>
  <si>
    <t>Utility PV - CF Class-12 Cost Class-c02 - Austria</t>
  </si>
  <si>
    <t>ELC_Sol-AUT</t>
  </si>
  <si>
    <t>AUT</t>
  </si>
  <si>
    <t>EN_SPV_12_c03_AUT</t>
  </si>
  <si>
    <t>Utility PV - CF Class-12 Cost Class-c03 - Austria</t>
  </si>
  <si>
    <t>EN_SPV_13_c02_AUT</t>
  </si>
  <si>
    <t>Utility PV - CF Class-13 Cost Class-c02 - Austria</t>
  </si>
  <si>
    <t>EN_SPV_13_c03_AUT</t>
  </si>
  <si>
    <t>Utility PV - CF Class-13 Cost Class-c03 - Austria</t>
  </si>
  <si>
    <t>EN_SPV_14_c02_AUT</t>
  </si>
  <si>
    <t>Utility PV - CF Class-14 Cost Class-c02 - Austria</t>
  </si>
  <si>
    <t>EN_SPV_15_c02_AUT</t>
  </si>
  <si>
    <t>Utility PV - CF Class-15 Cost Class-c02 - Austria</t>
  </si>
  <si>
    <t>EN_SPV_14_c02_AZE</t>
  </si>
  <si>
    <t>Utility PV - CF Class-14 Cost Class-c02 - Azerbaijan</t>
  </si>
  <si>
    <t>ELC_Sol-AZE</t>
  </si>
  <si>
    <t>AZE</t>
  </si>
  <si>
    <t>EN_SPV_15_c02_AZE</t>
  </si>
  <si>
    <t>Utility PV - CF Class-15 Cost Class-c02 - Azerbaijan</t>
  </si>
  <si>
    <t>EN_SPV_16_c01_AZE</t>
  </si>
  <si>
    <t>Utility PV - CF Class-16 Cost Class-c01 - Azerbaijan</t>
  </si>
  <si>
    <t>EN_SPV_16_c02_AZE</t>
  </si>
  <si>
    <t>Utility PV - CF Class-16 Cost Class-c02 - Azerbaijan</t>
  </si>
  <si>
    <t>EN_SPV_17_c01_AZE</t>
  </si>
  <si>
    <t>Utility PV - CF Class-17 Cost Class-c01 - Azerbaijan</t>
  </si>
  <si>
    <t>EN_SPV_18_c01_AZE</t>
  </si>
  <si>
    <t>Utility PV - CF Class-18 Cost Class-c01 - Azerbaijan</t>
  </si>
  <si>
    <t>EN_SPV_16_c02_BDI</t>
  </si>
  <si>
    <t>Utility PV - CF Class-16 Cost Class-c02 - Burundi</t>
  </si>
  <si>
    <t>ELC_Sol-BDI</t>
  </si>
  <si>
    <t>BDI</t>
  </si>
  <si>
    <t>EN_SPV_17_c01_BDI</t>
  </si>
  <si>
    <t>Utility PV - CF Class-17 Cost Class-c01 - Burundi</t>
  </si>
  <si>
    <t>EN_SPV_17_c02_BDI</t>
  </si>
  <si>
    <t>Utility PV - CF Class-17 Cost Class-c02 - Burundi</t>
  </si>
  <si>
    <t>EN_SPV_11_c03_BEL</t>
  </si>
  <si>
    <t>Utility PV - CF Class-11 Cost Class-c03 - Belgium</t>
  </si>
  <si>
    <t>ELC_Sol-BEL</t>
  </si>
  <si>
    <t>BEL</t>
  </si>
  <si>
    <t>EN_SPV_12_c03_BEL</t>
  </si>
  <si>
    <t>Utility PV - CF Class-12 Cost Class-c03 - Belgium</t>
  </si>
  <si>
    <t>EN_SPV_18_c01_BEN</t>
  </si>
  <si>
    <t>Utility PV - CF Class-18 Cost Class-c01 - Benin</t>
  </si>
  <si>
    <t>ELC_Sol-BEN</t>
  </si>
  <si>
    <t>BEN</t>
  </si>
  <si>
    <t>EN_SPV_18_c02_BEN</t>
  </si>
  <si>
    <t>Utility PV - CF Class-18 Cost Class-c02 - Benin</t>
  </si>
  <si>
    <t>EN_SPV_19_c01_BFA</t>
  </si>
  <si>
    <t>Utility PV - CF Class-19 Cost Class-c01 - Burkina Faso</t>
  </si>
  <si>
    <t>ELC_Sol-BFA</t>
  </si>
  <si>
    <t>BFA</t>
  </si>
  <si>
    <t>EN_SPV_19_c03_BFA</t>
  </si>
  <si>
    <t>Utility PV - CF Class-19 Cost Class-c03 - Burkina Faso</t>
  </si>
  <si>
    <t>EN_SPV_19_c04_BFA</t>
  </si>
  <si>
    <t>Utility PV - CF Class-19 Cost Class-c04 - Burkina Faso</t>
  </si>
  <si>
    <t>EN_SPV_14_c02_BGD</t>
  </si>
  <si>
    <t>Utility PV - CF Class-14 Cost Class-c02 - Bangladesh</t>
  </si>
  <si>
    <t>ELC_Sol-BGD</t>
  </si>
  <si>
    <t>BGD</t>
  </si>
  <si>
    <t>EN_SPV_15_c01_BGD</t>
  </si>
  <si>
    <t>Utility PV - CF Class-15 Cost Class-c01 - Bangladesh</t>
  </si>
  <si>
    <t>EN_SPV_15_c02_BGD</t>
  </si>
  <si>
    <t>Utility PV - CF Class-15 Cost Class-c02 - Bangladesh</t>
  </si>
  <si>
    <t>EN_SPV_15_c03_BGD</t>
  </si>
  <si>
    <t>Utility PV - CF Class-15 Cost Class-c03 - Bangladesh</t>
  </si>
  <si>
    <t>EN_SPV_16_c01_BGD</t>
  </si>
  <si>
    <t>Utility PV - CF Class-16 Cost Class-c01 - Bangladesh</t>
  </si>
  <si>
    <t>EN_SPV_16_c02_BGD</t>
  </si>
  <si>
    <t>Utility PV - CF Class-16 Cost Class-c02 - Bangladesh</t>
  </si>
  <si>
    <t>EN_SPV_16_c03_BGD</t>
  </si>
  <si>
    <t>Utility PV - CF Class-16 Cost Class-c03 - Bangladesh</t>
  </si>
  <si>
    <t>EN_SPV_17_c01_BGD</t>
  </si>
  <si>
    <t>Utility PV - CF Class-17 Cost Class-c01 - Bangladesh</t>
  </si>
  <si>
    <t>EN_SPV_17_c02_BGD</t>
  </si>
  <si>
    <t>Utility PV - CF Class-17 Cost Class-c02 - Bangladesh</t>
  </si>
  <si>
    <t>EN_SPV_14_c02_BGR</t>
  </si>
  <si>
    <t>Utility PV - CF Class-14 Cost Class-c02 - Bulgaria</t>
  </si>
  <si>
    <t>ELC_Sol-BGR</t>
  </si>
  <si>
    <t>BGR</t>
  </si>
  <si>
    <t>EN_SPV_15_c02_BGR</t>
  </si>
  <si>
    <t>Utility PV - CF Class-15 Cost Class-c02 - Bulgaria</t>
  </si>
  <si>
    <t>EN_SPV_16_c01_BGR</t>
  </si>
  <si>
    <t>Utility PV - CF Class-16 Cost Class-c01 - Bulgaria</t>
  </si>
  <si>
    <t>EN_SPV_19_c01_BHR</t>
  </si>
  <si>
    <t>Utility PV - CF Class-19 Cost Class-c01 - Bahrain</t>
  </si>
  <si>
    <t>ELC_Sol-BHR</t>
  </si>
  <si>
    <t>BHR</t>
  </si>
  <si>
    <t>EN_SPV_17_c01_BHS</t>
  </si>
  <si>
    <t>Utility PV - CF Class-17 Cost Class-c01 - The Bahamas</t>
  </si>
  <si>
    <t>ELC_Sol-BHS</t>
  </si>
  <si>
    <t>BHS</t>
  </si>
  <si>
    <t>EN_SPV_17_c02_BHS</t>
  </si>
  <si>
    <t>Utility PV - CF Class-17 Cost Class-c02 - The Bahamas</t>
  </si>
  <si>
    <t>EN_SPV_18_c01_BHS</t>
  </si>
  <si>
    <t>Utility PV - CF Class-18 Cost Class-c01 - The Bahamas</t>
  </si>
  <si>
    <t>EN_SPV_18_c02_BHS</t>
  </si>
  <si>
    <t>Utility PV - CF Class-18 Cost Class-c02 - The Bahamas</t>
  </si>
  <si>
    <t>EN_SPV_18_c03_BHS</t>
  </si>
  <si>
    <t>Utility PV - CF Class-18 Cost Class-c03 - The Bahamas</t>
  </si>
  <si>
    <t>EN_SPV_18_c04_BHS</t>
  </si>
  <si>
    <t>Utility PV - CF Class-18 Cost Class-c04 - The Bahamas</t>
  </si>
  <si>
    <t>EN_SPV_19_c04_BHS</t>
  </si>
  <si>
    <t>Utility PV - CF Class-19 Cost Class-c04 - The Bahamas</t>
  </si>
  <si>
    <t>EN_SPV_13_c02_BIH</t>
  </si>
  <si>
    <t>Utility PV - CF Class-13 Cost Class-c02 - Bosnia and Herzegovina</t>
  </si>
  <si>
    <t>ELC_Sol-BIH</t>
  </si>
  <si>
    <t>BIH</t>
  </si>
  <si>
    <t>EN_SPV_13_c03_BIH</t>
  </si>
  <si>
    <t>Utility PV - CF Class-13 Cost Class-c03 - Bosnia and Herzegovina</t>
  </si>
  <si>
    <t>EN_SPV_14_c02_BIH</t>
  </si>
  <si>
    <t>Utility PV - CF Class-14 Cost Class-c02 - Bosnia and Herzegovina</t>
  </si>
  <si>
    <t>EN_SPV_14_c03_BIH</t>
  </si>
  <si>
    <t>Utility PV - CF Class-14 Cost Class-c03 - Bosnia and Herzegovina</t>
  </si>
  <si>
    <t>EN_SPV_15_c02_BIH</t>
  </si>
  <si>
    <t>Utility PV - CF Class-15 Cost Class-c02 - Bosnia and Herzegovina</t>
  </si>
  <si>
    <t>EN_SPV_16_c02_BIH</t>
  </si>
  <si>
    <t>Utility PV - CF Class-16 Cost Class-c02 - Bosnia and Herzegovina</t>
  </si>
  <si>
    <t>EN_SPV_12_c03_BLR</t>
  </si>
  <si>
    <t>Utility PV - CF Class-12 Cost Class-c03 - Belarus</t>
  </si>
  <si>
    <t>ELC_Sol-BLR</t>
  </si>
  <si>
    <t>BLR</t>
  </si>
  <si>
    <t>EN_SPV_16_c01_BLZ</t>
  </si>
  <si>
    <t>Utility PV - CF Class-16 Cost Class-c01 - Belize</t>
  </si>
  <si>
    <t>ELC_Sol-BLZ</t>
  </si>
  <si>
    <t>BLZ</t>
  </si>
  <si>
    <t>EN_SPV_16_c02_BLZ</t>
  </si>
  <si>
    <t>Utility PV - CF Class-16 Cost Class-c02 - Belize</t>
  </si>
  <si>
    <t>EN_SPV_17_c01_BLZ</t>
  </si>
  <si>
    <t>Utility PV - CF Class-17 Cost Class-c01 - Belize</t>
  </si>
  <si>
    <t>EN_SPV_17_c02_BOL</t>
  </si>
  <si>
    <t>Utility PV - CF Class-17 Cost Class-c02 - Bolivia</t>
  </si>
  <si>
    <t>ELC_Sol-BOL</t>
  </si>
  <si>
    <t>BOL</t>
  </si>
  <si>
    <t>EN_SPV_17_c03_BOL</t>
  </si>
  <si>
    <t>Utility PV - CF Class-17 Cost Class-c03 - Bolivia</t>
  </si>
  <si>
    <t>EN_SPV_18_c03_BOL</t>
  </si>
  <si>
    <t>Utility PV - CF Class-18 Cost Class-c03 - Bolivia</t>
  </si>
  <si>
    <t>EN_SPV_19_c01_BOL</t>
  </si>
  <si>
    <t>Utility PV - CF Class-19 Cost Class-c01 - Bolivia</t>
  </si>
  <si>
    <t>EN_SPV_20_c01_BOL</t>
  </si>
  <si>
    <t>Utility PV - CF Class-20 Cost Class-c01 - Bolivia</t>
  </si>
  <si>
    <t>EN_SPV_17_c01_BRA</t>
  </si>
  <si>
    <t>Utility PV - CF Class-17 Cost Class-c01 - Brazil</t>
  </si>
  <si>
    <t>ELC_Sol-BRA</t>
  </si>
  <si>
    <t>BRA</t>
  </si>
  <si>
    <t>EN_SPV_17_c03_BRA</t>
  </si>
  <si>
    <t>Utility PV - CF Class-17 Cost Class-c03 - Brazil</t>
  </si>
  <si>
    <t>EN_SPV_17_c04_BRA</t>
  </si>
  <si>
    <t>Utility PV - CF Class-17 Cost Class-c04 - Brazil</t>
  </si>
  <si>
    <t>EN_SPV_18_c01_BRA</t>
  </si>
  <si>
    <t>Utility PV - CF Class-18 Cost Class-c01 - Brazil</t>
  </si>
  <si>
    <t>EN_SPV_18_c02_BRA</t>
  </si>
  <si>
    <t>Utility PV - CF Class-18 Cost Class-c02 - Brazil</t>
  </si>
  <si>
    <t>EN_SPV_18_c03_BRA</t>
  </si>
  <si>
    <t>Utility PV - CF Class-18 Cost Class-c03 - Brazil</t>
  </si>
  <si>
    <t>EN_SPV_18_c04_BRA</t>
  </si>
  <si>
    <t>Utility PV - CF Class-18 Cost Class-c04 - Brazil</t>
  </si>
  <si>
    <t>EN_SPV_19_c01_BRA</t>
  </si>
  <si>
    <t>Utility PV - CF Class-19 Cost Class-c01 - Brazil</t>
  </si>
  <si>
    <t>EN_SPV_19_c02_BRA</t>
  </si>
  <si>
    <t>Utility PV - CF Class-19 Cost Class-c02 - Brazil</t>
  </si>
  <si>
    <t>EN_SPV_19_c03_BRA</t>
  </si>
  <si>
    <t>Utility PV - CF Class-19 Cost Class-c03 - Brazil</t>
  </si>
  <si>
    <t>EN_SPV_20_c02_BRA</t>
  </si>
  <si>
    <t>Utility PV - CF Class-20 Cost Class-c02 - Brazil</t>
  </si>
  <si>
    <t>EN_SPV_16_c02_BRN</t>
  </si>
  <si>
    <t>Utility PV - CF Class-16 Cost Class-c02 - Brunei</t>
  </si>
  <si>
    <t>ELC_Sol-BRN</t>
  </si>
  <si>
    <t>BRN</t>
  </si>
  <si>
    <t>China</t>
  </si>
  <si>
    <t>EN_SPV_14_c02_BTN</t>
  </si>
  <si>
    <t>Utility PV - CF Class-14 Cost Class-c02 - Bhutan</t>
  </si>
  <si>
    <t>ELC_Sol-BTN</t>
  </si>
  <si>
    <t>BTN</t>
  </si>
  <si>
    <t>EN_SPV_22_c01_BWA</t>
  </si>
  <si>
    <t>Utility PV - CF Class-22 Cost Class-c01 - Botswana</t>
  </si>
  <si>
    <t>ELC_Sol-BWA</t>
  </si>
  <si>
    <t>BWA</t>
  </si>
  <si>
    <t>EN_SPV_22_c02_BWA</t>
  </si>
  <si>
    <t>Utility PV - CF Class-22 Cost Class-c02 - Botswana</t>
  </si>
  <si>
    <t>EN_SPV_22_c03_BWA</t>
  </si>
  <si>
    <t>Utility PV - CF Class-22 Cost Class-c03 - Botswana</t>
  </si>
  <si>
    <t>EN_SPV_19_c04_CAF</t>
  </si>
  <si>
    <t>Utility PV - CF Class-19 Cost Class-c04 - Central African Republic</t>
  </si>
  <si>
    <t>ELC_Sol-CAF</t>
  </si>
  <si>
    <t>CAF</t>
  </si>
  <si>
    <t>EN_SPV_11_c04_CAN</t>
  </si>
  <si>
    <t>Utility PV - CF Class-11 Cost Class-c04 - Canada</t>
  </si>
  <si>
    <t>ELC_Sol-CAN</t>
  </si>
  <si>
    <t>CAN</t>
  </si>
  <si>
    <t>EN_SPV_12_c02_CAN</t>
  </si>
  <si>
    <t>Utility PV - CF Class-12 Cost Class-c02 - Canada</t>
  </si>
  <si>
    <t>EN_SPV_12_c03_CAN</t>
  </si>
  <si>
    <t>Utility PV - CF Class-12 Cost Class-c03 - Canada</t>
  </si>
  <si>
    <t>EN_SPV_12_c04_CAN</t>
  </si>
  <si>
    <t>Utility PV - CF Class-12 Cost Class-c04 - Canada</t>
  </si>
  <si>
    <t>EN_SPV_13_c02_CAN</t>
  </si>
  <si>
    <t>Utility PV - CF Class-13 Cost Class-c02 - Canada</t>
  </si>
  <si>
    <t>EN_SPV_13_c03_CAN</t>
  </si>
  <si>
    <t>Utility PV - CF Class-13 Cost Class-c03 - Canada</t>
  </si>
  <si>
    <t>EN_SPV_13_c04_CAN</t>
  </si>
  <si>
    <t>Utility PV - CF Class-13 Cost Class-c04 - Canada</t>
  </si>
  <si>
    <t>EN_SPV_14_c01_CAN</t>
  </si>
  <si>
    <t>Utility PV - CF Class-14 Cost Class-c01 - Canada</t>
  </si>
  <si>
    <t>EN_SPV_14_c02_CAN</t>
  </si>
  <si>
    <t>Utility PV - CF Class-14 Cost Class-c02 - Canada</t>
  </si>
  <si>
    <t>EN_SPV_14_c03_CAN</t>
  </si>
  <si>
    <t>Utility PV - CF Class-14 Cost Class-c03 - Canada</t>
  </si>
  <si>
    <t>EN_SPV_14_c04_CAN</t>
  </si>
  <si>
    <t>Utility PV - CF Class-14 Cost Class-c04 - Canada</t>
  </si>
  <si>
    <t>EN_SPV_15_c01_CAN</t>
  </si>
  <si>
    <t>Utility PV - CF Class-15 Cost Class-c01 - Canada</t>
  </si>
  <si>
    <t>EN_SPV_15_c02_CAN</t>
  </si>
  <si>
    <t>Utility PV - CF Class-15 Cost Class-c02 - Canada</t>
  </si>
  <si>
    <t>EN_SPV_15_c03_CAN</t>
  </si>
  <si>
    <t>Utility PV - CF Class-15 Cost Class-c03 - Canada</t>
  </si>
  <si>
    <t>EN_SPV_15_c04_CAN</t>
  </si>
  <si>
    <t>Utility PV - CF Class-15 Cost Class-c04 - Canada</t>
  </si>
  <si>
    <t>EN_SPV_16_c01_CAN</t>
  </si>
  <si>
    <t>Utility PV - CF Class-16 Cost Class-c01 - Canada</t>
  </si>
  <si>
    <t>EN_SPV_16_c02_CAN</t>
  </si>
  <si>
    <t>Utility PV - CF Class-16 Cost Class-c02 - Canada</t>
  </si>
  <si>
    <t>EN_SPV_16_c03_CAN</t>
  </si>
  <si>
    <t>Utility PV - CF Class-16 Cost Class-c03 - Canada</t>
  </si>
  <si>
    <t>EN_SPV_16_c04_CAN</t>
  </si>
  <si>
    <t>Utility PV - CF Class-16 Cost Class-c04 - Canada</t>
  </si>
  <si>
    <t>EN_SPV_17_c01_CAN</t>
  </si>
  <si>
    <t>Utility PV - CF Class-17 Cost Class-c01 - Canada</t>
  </si>
  <si>
    <t>EN_SPV_17_c02_CAN</t>
  </si>
  <si>
    <t>Utility PV - CF Class-17 Cost Class-c02 - Canada</t>
  </si>
  <si>
    <t>EN_SPV_17_c03_CAN</t>
  </si>
  <si>
    <t>Utility PV - CF Class-17 Cost Class-c03 - Canada</t>
  </si>
  <si>
    <t>EN_SPV_13_c02_CHE</t>
  </si>
  <si>
    <t>Utility PV - CF Class-13 Cost Class-c02 - Switzerland</t>
  </si>
  <si>
    <t>ELC_Sol-CHE</t>
  </si>
  <si>
    <t>CHE</t>
  </si>
  <si>
    <t>EN_SPV_13_c03_CHE</t>
  </si>
  <si>
    <t>Utility PV - CF Class-13 Cost Class-c03 - Switzerland</t>
  </si>
  <si>
    <t>EN_SPV_14_c02_CHE</t>
  </si>
  <si>
    <t>Utility PV - CF Class-14 Cost Class-c02 - Switzerland</t>
  </si>
  <si>
    <t>EN_SPV_15_c02_CHE</t>
  </si>
  <si>
    <t>Utility PV - CF Class-15 Cost Class-c02 - Switzerland</t>
  </si>
  <si>
    <t>EN_SPV_20_c01_CHL</t>
  </si>
  <si>
    <t>Utility PV - CF Class-20 Cost Class-c01 - Chile</t>
  </si>
  <si>
    <t>ELC_Sol-CHL</t>
  </si>
  <si>
    <t>CHL</t>
  </si>
  <si>
    <t>EN_SPV_21_c01_CHL</t>
  </si>
  <si>
    <t>Utility PV - CF Class-21 Cost Class-c01 - Chile</t>
  </si>
  <si>
    <t>EN_SPV_21_c02_CHL</t>
  </si>
  <si>
    <t>Utility PV - CF Class-21 Cost Class-c02 - Chile</t>
  </si>
  <si>
    <t>EN_SPV_22_c01_CHL</t>
  </si>
  <si>
    <t>Utility PV - CF Class-22 Cost Class-c01 - Chile</t>
  </si>
  <si>
    <t>EN_SPV_23_c01_CHL</t>
  </si>
  <si>
    <t>Utility PV - CF Class-23 Cost Class-c01 - Chile</t>
  </si>
  <si>
    <t>EN_SPV_23_c02_CHL</t>
  </si>
  <si>
    <t>Utility PV - CF Class-23 Cost Class-c02 - Chile</t>
  </si>
  <si>
    <t>EN_SPV_24_c01_CHL</t>
  </si>
  <si>
    <t>Utility PV - CF Class-24 Cost Class-c01 - Chile</t>
  </si>
  <si>
    <t>EN_SPV_24_c02_CHL</t>
  </si>
  <si>
    <t>Utility PV - CF Class-24 Cost Class-c02 - Chile</t>
  </si>
  <si>
    <t>EN_SPV_25_c01_CHL</t>
  </si>
  <si>
    <t>Utility PV - CF Class-25 Cost Class-c01 - Chile</t>
  </si>
  <si>
    <t>EN_SPV_08_c03_CHN</t>
  </si>
  <si>
    <t>Utility PV - CF Class-08 Cost Class-c03 - China</t>
  </si>
  <si>
    <t>ELC_Sol-CHN</t>
  </si>
  <si>
    <t>CHN</t>
  </si>
  <si>
    <t>EN_SPV_08_c04_CHN</t>
  </si>
  <si>
    <t>Utility PV - CF Class-08 Cost Class-c04 - China</t>
  </si>
  <si>
    <t>EN_SPV_09_c03_CHN</t>
  </si>
  <si>
    <t>Utility PV - CF Class-09 Cost Class-c03 - China</t>
  </si>
  <si>
    <t>EN_SPV_09_c04_CHN</t>
  </si>
  <si>
    <t>Utility PV - CF Class-09 Cost Class-c04 - China</t>
  </si>
  <si>
    <t>EN_SPV_10_c03_CHN</t>
  </si>
  <si>
    <t>Utility PV - CF Class-10 Cost Class-c03 - China</t>
  </si>
  <si>
    <t>EN_SPV_11_c03_CHN</t>
  </si>
  <si>
    <t>Utility PV - CF Class-11 Cost Class-c03 - China</t>
  </si>
  <si>
    <t>EN_SPV_12_c02_CHN</t>
  </si>
  <si>
    <t>Utility PV - CF Class-12 Cost Class-c02 - China</t>
  </si>
  <si>
    <t>EN_SPV_12_c03_CHN</t>
  </si>
  <si>
    <t>Utility PV - CF Class-12 Cost Class-c03 - China</t>
  </si>
  <si>
    <t>EN_SPV_13_c02_CHN</t>
  </si>
  <si>
    <t>Utility PV - CF Class-13 Cost Class-c02 - China</t>
  </si>
  <si>
    <t>EN_SPV_13_c03_CHN</t>
  </si>
  <si>
    <t>Utility PV - CF Class-13 Cost Class-c03 - China</t>
  </si>
  <si>
    <t>EN_SPV_13_c04_CHN</t>
  </si>
  <si>
    <t>Utility PV - CF Class-13 Cost Class-c04 - China</t>
  </si>
  <si>
    <t>EN_SPV_14_c02_CHN</t>
  </si>
  <si>
    <t>Utility PV - CF Class-14 Cost Class-c02 - China</t>
  </si>
  <si>
    <t>EN_SPV_14_c03_CHN</t>
  </si>
  <si>
    <t>Utility PV - CF Class-14 Cost Class-c03 - China</t>
  </si>
  <si>
    <t>EN_SPV_15_c01_CHN</t>
  </si>
  <si>
    <t>Utility PV - CF Class-15 Cost Class-c01 - China</t>
  </si>
  <si>
    <t>EN_SPV_15_c02_CHN</t>
  </si>
  <si>
    <t>Utility PV - CF Class-15 Cost Class-c02 - China</t>
  </si>
  <si>
    <t>EN_SPV_15_c03_CHN</t>
  </si>
  <si>
    <t>Utility PV - CF Class-15 Cost Class-c03 - China</t>
  </si>
  <si>
    <t>EN_SPV_15_c04_CHN</t>
  </si>
  <si>
    <t>Utility PV - CF Class-15 Cost Class-c04 - China</t>
  </si>
  <si>
    <t>EN_SPV_16_c01_CHN</t>
  </si>
  <si>
    <t>Utility PV - CF Class-16 Cost Class-c01 - China</t>
  </si>
  <si>
    <t>EN_SPV_16_c02_CHN</t>
  </si>
  <si>
    <t>Utility PV - CF Class-16 Cost Class-c02 - China</t>
  </si>
  <si>
    <t>EN_SPV_16_c03_CHN</t>
  </si>
  <si>
    <t>Utility PV - CF Class-16 Cost Class-c03 - China</t>
  </si>
  <si>
    <t>EN_SPV_16_c04_CHN</t>
  </si>
  <si>
    <t>Utility PV - CF Class-16 Cost Class-c04 - China</t>
  </si>
  <si>
    <t>EN_SPV_17_c01_CHN</t>
  </si>
  <si>
    <t>Utility PV - CF Class-17 Cost Class-c01 - China</t>
  </si>
  <si>
    <t>EN_SPV_17_c02_CHN</t>
  </si>
  <si>
    <t>Utility PV - CF Class-17 Cost Class-c02 - China</t>
  </si>
  <si>
    <t>EN_SPV_17_c03_CHN</t>
  </si>
  <si>
    <t>Utility PV - CF Class-17 Cost Class-c03 - China</t>
  </si>
  <si>
    <t>EN_SPV_17_c04_CHN</t>
  </si>
  <si>
    <t>Utility PV - CF Class-17 Cost Class-c04 - China</t>
  </si>
  <si>
    <t>EN_SPV_18_c01_CHN</t>
  </si>
  <si>
    <t>Utility PV - CF Class-18 Cost Class-c01 - China</t>
  </si>
  <si>
    <t>EN_SPV_18_c02_CHN</t>
  </si>
  <si>
    <t>Utility PV - CF Class-18 Cost Class-c02 - China</t>
  </si>
  <si>
    <t>EN_SPV_18_c03_CHN</t>
  </si>
  <si>
    <t>Utility PV - CF Class-18 Cost Class-c03 - China</t>
  </si>
  <si>
    <t>EN_SPV_18_c04_CHN</t>
  </si>
  <si>
    <t>Utility PV - CF Class-18 Cost Class-c04 - China</t>
  </si>
  <si>
    <t>EN_SPV_19_c01_CHN</t>
  </si>
  <si>
    <t>Utility PV - CF Class-19 Cost Class-c01 - China</t>
  </si>
  <si>
    <t>EN_SPV_19_c02_CHN</t>
  </si>
  <si>
    <t>Utility PV - CF Class-19 Cost Class-c02 - China</t>
  </si>
  <si>
    <t>EN_SPV_19_c03_CHN</t>
  </si>
  <si>
    <t>Utility PV - CF Class-19 Cost Class-c03 - China</t>
  </si>
  <si>
    <t>EN_SPV_19_c04_CHN</t>
  </si>
  <si>
    <t>Utility PV - CF Class-19 Cost Class-c04 - China</t>
  </si>
  <si>
    <t>EN_SPV_20_c01_CHN</t>
  </si>
  <si>
    <t>Utility PV - CF Class-20 Cost Class-c01 - China</t>
  </si>
  <si>
    <t>EN_SPV_20_c02_CHN</t>
  </si>
  <si>
    <t>Utility PV - CF Class-20 Cost Class-c02 - China</t>
  </si>
  <si>
    <t>EN_SPV_20_c03_CHN</t>
  </si>
  <si>
    <t>Utility PV - CF Class-20 Cost Class-c03 - China</t>
  </si>
  <si>
    <t>EN_SPV_20_c04_CHN</t>
  </si>
  <si>
    <t>Utility PV - CF Class-20 Cost Class-c04 - China</t>
  </si>
  <si>
    <t>EN_SPV_16_c01_CIV</t>
  </si>
  <si>
    <t>Utility PV - CF Class-16 Cost Class-c01 - Ivory Coast</t>
  </si>
  <si>
    <t>ELC_Sol-CIV</t>
  </si>
  <si>
    <t>CIV</t>
  </si>
  <si>
    <t>EN_SPV_16_c02_CIV</t>
  </si>
  <si>
    <t>Utility PV - CF Class-16 Cost Class-c02 - Ivory Coast</t>
  </si>
  <si>
    <t>EN_SPV_16_c03_CIV</t>
  </si>
  <si>
    <t>Utility PV - CF Class-16 Cost Class-c03 - Ivory Coast</t>
  </si>
  <si>
    <t>EN_SPV_17_c01_CIV</t>
  </si>
  <si>
    <t>Utility PV - CF Class-17 Cost Class-c01 - Ivory Coast</t>
  </si>
  <si>
    <t>EN_SPV_17_c02_CIV</t>
  </si>
  <si>
    <t>Utility PV - CF Class-17 Cost Class-c02 - Ivory Coast</t>
  </si>
  <si>
    <t>EN_SPV_18_c01_CIV</t>
  </si>
  <si>
    <t>Utility PV - CF Class-18 Cost Class-c01 - Ivory Coast</t>
  </si>
  <si>
    <t>EN_SPV_18_c02_CIV</t>
  </si>
  <si>
    <t>Utility PV - CF Class-18 Cost Class-c02 - Ivory Coast</t>
  </si>
  <si>
    <t>EN_SPV_18_c01_CMR</t>
  </si>
  <si>
    <t>Utility PV - CF Class-18 Cost Class-c01 - Cameroon</t>
  </si>
  <si>
    <t>ELC_Sol-CMR</t>
  </si>
  <si>
    <t>CMR</t>
  </si>
  <si>
    <t>EN_SPV_19_c01_CMR</t>
  </si>
  <si>
    <t>Utility PV - CF Class-19 Cost Class-c01 - Cameroon</t>
  </si>
  <si>
    <t>EN_SPV_19_c02_CMR</t>
  </si>
  <si>
    <t>Utility PV - CF Class-19 Cost Class-c02 - Cameroon</t>
  </si>
  <si>
    <t>EN_SPV_19_c03_CMR</t>
  </si>
  <si>
    <t>Utility PV - CF Class-19 Cost Class-c03 - Cameroon</t>
  </si>
  <si>
    <t>EN_SPV_19_c01_COD</t>
  </si>
  <si>
    <t>Utility PV - CF Class-19 Cost Class-c01 - Democratic Republic of Congo</t>
  </si>
  <si>
    <t>ELC_Sol-COD</t>
  </si>
  <si>
    <t>COD</t>
  </si>
  <si>
    <t>EN_SPV_19_c02_COD</t>
  </si>
  <si>
    <t>Utility PV - CF Class-19 Cost Class-c02 - Democratic Republic of Congo</t>
  </si>
  <si>
    <t>EN_SPV_15_c04_COG</t>
  </si>
  <si>
    <t>Utility PV - CF Class-15 Cost Class-c04 - Republic of Congo</t>
  </si>
  <si>
    <t>ELC_Sol-COG</t>
  </si>
  <si>
    <t>COG</t>
  </si>
  <si>
    <t>EN_SPV_16_c02_COG</t>
  </si>
  <si>
    <t>Utility PV - CF Class-16 Cost Class-c02 - Republic of Congo</t>
  </si>
  <si>
    <t>EN_SPV_16_c03_COG</t>
  </si>
  <si>
    <t>Utility PV - CF Class-16 Cost Class-c03 - Republic of Congo</t>
  </si>
  <si>
    <t>EN_SPV_16_c04_COG</t>
  </si>
  <si>
    <t>Utility PV - CF Class-16 Cost Class-c04 - Republic of Congo</t>
  </si>
  <si>
    <t>EN_SPV_16_c01_COL</t>
  </si>
  <si>
    <t>Utility PV - CF Class-16 Cost Class-c01 - Colombia</t>
  </si>
  <si>
    <t>ELC_Sol-COL</t>
  </si>
  <si>
    <t>COL</t>
  </si>
  <si>
    <t>EN_SPV_16_c02_COL</t>
  </si>
  <si>
    <t>Utility PV - CF Class-16 Cost Class-c02 - Colombia</t>
  </si>
  <si>
    <t>EN_SPV_16_c04_COL</t>
  </si>
  <si>
    <t>Utility PV - CF Class-16 Cost Class-c04 - Colombia</t>
  </si>
  <si>
    <t>EN_SPV_17_c01_COL</t>
  </si>
  <si>
    <t>Utility PV - CF Class-17 Cost Class-c01 - Colombia</t>
  </si>
  <si>
    <t>EN_SPV_17_c02_COL</t>
  </si>
  <si>
    <t>Utility PV - CF Class-17 Cost Class-c02 - Colombia</t>
  </si>
  <si>
    <t>EN_SPV_17_c03_COL</t>
  </si>
  <si>
    <t>Utility PV - CF Class-17 Cost Class-c03 - Colombia</t>
  </si>
  <si>
    <t>EN_SPV_17_c04_COL</t>
  </si>
  <si>
    <t>Utility PV - CF Class-17 Cost Class-c04 - Colombia</t>
  </si>
  <si>
    <t>EN_SPV_18_c01_COL</t>
  </si>
  <si>
    <t>Utility PV - CF Class-18 Cost Class-c01 - Colombia</t>
  </si>
  <si>
    <t>EN_SPV_18_c02_COL</t>
  </si>
  <si>
    <t>Utility PV - CF Class-18 Cost Class-c02 - Colombia</t>
  </si>
  <si>
    <t>EN_SPV_19_c01_COL</t>
  </si>
  <si>
    <t>Utility PV - CF Class-19 Cost Class-c01 - Colombia</t>
  </si>
  <si>
    <t>EN_SPV_19_c02_COL</t>
  </si>
  <si>
    <t>Utility PV - CF Class-19 Cost Class-c02 - Colombia</t>
  </si>
  <si>
    <t>EN_SPV_20_c02_COL</t>
  </si>
  <si>
    <t>Utility PV - CF Class-20 Cost Class-c02 - Colombia</t>
  </si>
  <si>
    <t>EN_SPV_17_c01_CRI</t>
  </si>
  <si>
    <t>Utility PV - CF Class-17 Cost Class-c01 - Costa Rica</t>
  </si>
  <si>
    <t>ELC_Sol-CRI</t>
  </si>
  <si>
    <t>CRI</t>
  </si>
  <si>
    <t>EN_SPV_17_c02_CRI</t>
  </si>
  <si>
    <t>Utility PV - CF Class-17 Cost Class-c02 - Costa Rica</t>
  </si>
  <si>
    <t>EN_SPV_18_c01_CRI</t>
  </si>
  <si>
    <t>Utility PV - CF Class-18 Cost Class-c01 - Costa Rica</t>
  </si>
  <si>
    <t>EN_SPV_18_c01_CUB</t>
  </si>
  <si>
    <t>Utility PV - CF Class-18 Cost Class-c01 - Cuba</t>
  </si>
  <si>
    <t>ELC_Sol-CUB</t>
  </si>
  <si>
    <t>CUB</t>
  </si>
  <si>
    <t>EN_SPV_18_c02_CUB</t>
  </si>
  <si>
    <t>Utility PV - CF Class-18 Cost Class-c02 - Cuba</t>
  </si>
  <si>
    <t>EN_SPV_18_c03_CUB</t>
  </si>
  <si>
    <t>Utility PV - CF Class-18 Cost Class-c03 - Cuba</t>
  </si>
  <si>
    <t>EN_SPV_19_c01_CUB</t>
  </si>
  <si>
    <t>Utility PV - CF Class-19 Cost Class-c01 - Cuba</t>
  </si>
  <si>
    <t>EN_SPV_19_c01_CYP</t>
  </si>
  <si>
    <t>Utility PV - CF Class-19 Cost Class-c01 - Cyprus</t>
  </si>
  <si>
    <t>ELC_Sol-CYP</t>
  </si>
  <si>
    <t>CYP</t>
  </si>
  <si>
    <t>EN_SPV_12_c02_CZE</t>
  </si>
  <si>
    <t>Utility PV - CF Class-12 Cost Class-c02 - Czech Republic</t>
  </si>
  <si>
    <t>ELC_Sol-CZE</t>
  </si>
  <si>
    <t>CZE</t>
  </si>
  <si>
    <t>EN_SPV_12_c03_CZE</t>
  </si>
  <si>
    <t>Utility PV - CF Class-12 Cost Class-c03 - Czech Republic</t>
  </si>
  <si>
    <t>EN_SPV_13_c02_CZE</t>
  </si>
  <si>
    <t>Utility PV - CF Class-13 Cost Class-c02 - Czech Republic</t>
  </si>
  <si>
    <t>EN_SPV_13_c03_CZE</t>
  </si>
  <si>
    <t>Utility PV - CF Class-13 Cost Class-c03 - Czech Republic</t>
  </si>
  <si>
    <t>EN_SPV_11_c03_DEU</t>
  </si>
  <si>
    <t>Utility PV - CF Class-11 Cost Class-c03 - Germany</t>
  </si>
  <si>
    <t>ELC_Sol-DEU</t>
  </si>
  <si>
    <t>DEU</t>
  </si>
  <si>
    <t>EN_SPV_12_c02_DEU</t>
  </si>
  <si>
    <t>Utility PV - CF Class-12 Cost Class-c02 - Germany</t>
  </si>
  <si>
    <t>EN_SPV_12_c03_DEU</t>
  </si>
  <si>
    <t>Utility PV - CF Class-12 Cost Class-c03 - Germany</t>
  </si>
  <si>
    <t>EN_SPV_13_c02_DEU</t>
  </si>
  <si>
    <t>Utility PV - CF Class-13 Cost Class-c02 - Germany</t>
  </si>
  <si>
    <t>EN_SPV_13_c03_DEU</t>
  </si>
  <si>
    <t>Utility PV - CF Class-13 Cost Class-c03 - Germany</t>
  </si>
  <si>
    <t>EN_SPV_19_c01_DJI</t>
  </si>
  <si>
    <t>Utility PV - CF Class-19 Cost Class-c01 - Djibouti</t>
  </si>
  <si>
    <t>ELC_Sol-DJI</t>
  </si>
  <si>
    <t>DJI</t>
  </si>
  <si>
    <t>EN_SPV_20_c01_DJI</t>
  </si>
  <si>
    <t>Utility PV - CF Class-20 Cost Class-c01 - Djibouti</t>
  </si>
  <si>
    <t>EN_SPV_11_c03_DNK</t>
  </si>
  <si>
    <t>Utility PV - CF Class-11 Cost Class-c03 - Denmark</t>
  </si>
  <si>
    <t>ELC_Sol-DNK</t>
  </si>
  <si>
    <t>DNK</t>
  </si>
  <si>
    <t>EN_SPV_12_c02_DNK</t>
  </si>
  <si>
    <t>Utility PV - CF Class-12 Cost Class-c02 - Denmark</t>
  </si>
  <si>
    <t>EN_SPV_12_c03_DNK</t>
  </si>
  <si>
    <t>Utility PV - CF Class-12 Cost Class-c03 - Denmark</t>
  </si>
  <si>
    <t>EN_SPV_17_c01_DOM</t>
  </si>
  <si>
    <t>Utility PV - CF Class-17 Cost Class-c01 - Dominican Republic</t>
  </si>
  <si>
    <t>ELC_Sol-DOM</t>
  </si>
  <si>
    <t>DOM</t>
  </si>
  <si>
    <t>EN_SPV_17_c02_DOM</t>
  </si>
  <si>
    <t>Utility PV - CF Class-17 Cost Class-c02 - Dominican Republic</t>
  </si>
  <si>
    <t>EN_SPV_18_c01_DOM</t>
  </si>
  <si>
    <t>Utility PV - CF Class-18 Cost Class-c01 - Dominican Republic</t>
  </si>
  <si>
    <t>EN_SPV_19_c01_DOM</t>
  </si>
  <si>
    <t>Utility PV - CF Class-19 Cost Class-c01 - Dominican Republic</t>
  </si>
  <si>
    <t>EN_SPV_20_c01_DOM</t>
  </si>
  <si>
    <t>Utility PV - CF Class-20 Cost Class-c01 - Dominican Republic</t>
  </si>
  <si>
    <t>EN_SPV_21_c04_DZA</t>
  </si>
  <si>
    <t>Utility PV - CF Class-21 Cost Class-c04 - Algeria</t>
  </si>
  <si>
    <t>ELC_Sol-DZA</t>
  </si>
  <si>
    <t>DZA</t>
  </si>
  <si>
    <t>EN_SPV_22_c01_DZA</t>
  </si>
  <si>
    <t>Utility PV - CF Class-22 Cost Class-c01 - Algeria</t>
  </si>
  <si>
    <t>EN_SPV_22_c02_DZA</t>
  </si>
  <si>
    <t>Utility PV - CF Class-22 Cost Class-c02 - Algeria</t>
  </si>
  <si>
    <t>EN_SPV_22_c03_DZA</t>
  </si>
  <si>
    <t>Utility PV - CF Class-22 Cost Class-c03 - Algeria</t>
  </si>
  <si>
    <t>EN_SPV_22_c04_DZA</t>
  </si>
  <si>
    <t>Utility PV - CF Class-22 Cost Class-c04 - Algeria</t>
  </si>
  <si>
    <t>EN_SPV_11_c03_ECU</t>
  </si>
  <si>
    <t>Utility PV - CF Class-11 Cost Class-c03 - Ecuador</t>
  </si>
  <si>
    <t>ELC_Sol-ECU</t>
  </si>
  <si>
    <t>ECU</t>
  </si>
  <si>
    <t>EN_SPV_12_c03_ECU</t>
  </si>
  <si>
    <t>Utility PV - CF Class-12 Cost Class-c03 - Ecuador</t>
  </si>
  <si>
    <t>EN_SPV_13_c02_ECU</t>
  </si>
  <si>
    <t>Utility PV - CF Class-13 Cost Class-c02 - Ecuador</t>
  </si>
  <si>
    <t>EN_SPV_13_c03_ECU</t>
  </si>
  <si>
    <t>Utility PV - CF Class-13 Cost Class-c03 - Ecuador</t>
  </si>
  <si>
    <t>EN_SPV_14_c02_ECU</t>
  </si>
  <si>
    <t>Utility PV - CF Class-14 Cost Class-c02 - Ecuador</t>
  </si>
  <si>
    <t>EN_SPV_14_c03_ECU</t>
  </si>
  <si>
    <t>Utility PV - CF Class-14 Cost Class-c03 - Ecuador</t>
  </si>
  <si>
    <t>EN_SPV_15_c02_ECU</t>
  </si>
  <si>
    <t>Utility PV - CF Class-15 Cost Class-c02 - Ecuador</t>
  </si>
  <si>
    <t>EN_SPV_16_c01_ECU</t>
  </si>
  <si>
    <t>Utility PV - CF Class-16 Cost Class-c01 - Ecuador</t>
  </si>
  <si>
    <t>EN_SPV_16_c02_ECU</t>
  </si>
  <si>
    <t>Utility PV - CF Class-16 Cost Class-c02 - Ecuador</t>
  </si>
  <si>
    <t>EN_SPV_18_c01_ECU</t>
  </si>
  <si>
    <t>Utility PV - CF Class-18 Cost Class-c01 - Ecuador</t>
  </si>
  <si>
    <t>EN_SPV_21_c03_EGY</t>
  </si>
  <si>
    <t>Utility PV - CF Class-21 Cost Class-c03 - Egypt</t>
  </si>
  <si>
    <t>ELC_Sol-EGY</t>
  </si>
  <si>
    <t>EGY</t>
  </si>
  <si>
    <t>EN_SPV_21_c04_EGY</t>
  </si>
  <si>
    <t>Utility PV - CF Class-21 Cost Class-c04 - Egypt</t>
  </si>
  <si>
    <t>EN_SPV_22_c01_EGY</t>
  </si>
  <si>
    <t>Utility PV - CF Class-22 Cost Class-c01 - Egypt</t>
  </si>
  <si>
    <t>EN_SPV_22_c02_EGY</t>
  </si>
  <si>
    <t>Utility PV - CF Class-22 Cost Class-c02 - Egypt</t>
  </si>
  <si>
    <t>EN_SPV_22_c03_EGY</t>
  </si>
  <si>
    <t>Utility PV - CF Class-22 Cost Class-c03 - Egypt</t>
  </si>
  <si>
    <t>EN_SPV_22_c04_EGY</t>
  </si>
  <si>
    <t>Utility PV - CF Class-22 Cost Class-c04 - Egypt</t>
  </si>
  <si>
    <t>EN_SPV_23_c01_EGY</t>
  </si>
  <si>
    <t>Utility PV - CF Class-23 Cost Class-c01 - Egypt</t>
  </si>
  <si>
    <t>EN_SPV_23_c04_EGY</t>
  </si>
  <si>
    <t>Utility PV - CF Class-23 Cost Class-c04 - Egypt</t>
  </si>
  <si>
    <t>EN_SPV_20_c02_ERI</t>
  </si>
  <si>
    <t>Utility PV - CF Class-20 Cost Class-c02 - Eritrea</t>
  </si>
  <si>
    <t>ELC_Sol-ERI</t>
  </si>
  <si>
    <t>ERI</t>
  </si>
  <si>
    <t>EN_SPV_13_c02_ESP</t>
  </si>
  <si>
    <t>Utility PV - CF Class-13 Cost Class-c02 - Spain</t>
  </si>
  <si>
    <t>ELC_Sol-ESP</t>
  </si>
  <si>
    <t>ESP</t>
  </si>
  <si>
    <t>EN_SPV_13_c03_ESP</t>
  </si>
  <si>
    <t>Utility PV - CF Class-13 Cost Class-c03 - Spain</t>
  </si>
  <si>
    <t>EN_SPV_14_c02_ESP</t>
  </si>
  <si>
    <t>Utility PV - CF Class-14 Cost Class-c02 - Spain</t>
  </si>
  <si>
    <t>EN_SPV_15_c02_ESP</t>
  </si>
  <si>
    <t>Utility PV - CF Class-15 Cost Class-c02 - Spain</t>
  </si>
  <si>
    <t>EN_SPV_16_c01_ESP</t>
  </si>
  <si>
    <t>Utility PV - CF Class-16 Cost Class-c01 - Spain</t>
  </si>
  <si>
    <t>EN_SPV_16_c02_ESP</t>
  </si>
  <si>
    <t>Utility PV - CF Class-16 Cost Class-c02 - Spain</t>
  </si>
  <si>
    <t>EN_SPV_17_c01_ESP</t>
  </si>
  <si>
    <t>Utility PV - CF Class-17 Cost Class-c01 - Spain</t>
  </si>
  <si>
    <t>EN_SPV_17_c02_ESP</t>
  </si>
  <si>
    <t>Utility PV - CF Class-17 Cost Class-c02 - Spain</t>
  </si>
  <si>
    <t>EN_SPV_18_c01_ESP</t>
  </si>
  <si>
    <t>Utility PV - CF Class-18 Cost Class-c01 - Spain</t>
  </si>
  <si>
    <t>EN_SPV_19_c01_ESP</t>
  </si>
  <si>
    <t>Utility PV - CF Class-19 Cost Class-c01 - Spain</t>
  </si>
  <si>
    <t>EN_SPV_19_c04_ESP</t>
  </si>
  <si>
    <t>Utility PV - CF Class-19 Cost Class-c04 - Spain</t>
  </si>
  <si>
    <t>EN_SPV_11_c03_EST</t>
  </si>
  <si>
    <t>Utility PV - CF Class-11 Cost Class-c03 - Estonia</t>
  </si>
  <si>
    <t>ELC_Sol-EST</t>
  </si>
  <si>
    <t>EST</t>
  </si>
  <si>
    <t>EN_SPV_12_c03_EST</t>
  </si>
  <si>
    <t>Utility PV - CF Class-12 Cost Class-c03 - Estonia</t>
  </si>
  <si>
    <t>EN_SPV_20_c01_ETH</t>
  </si>
  <si>
    <t>Utility PV - CF Class-20 Cost Class-c01 - Ethiopia</t>
  </si>
  <si>
    <t>ELC_Sol-ETH</t>
  </si>
  <si>
    <t>ETH</t>
  </si>
  <si>
    <t>EN_SPV_20_c02_ETH</t>
  </si>
  <si>
    <t>Utility PV - CF Class-20 Cost Class-c02 - Ethiopia</t>
  </si>
  <si>
    <t>EN_SPV_20_c03_ETH</t>
  </si>
  <si>
    <t>Utility PV - CF Class-20 Cost Class-c03 - Ethiopia</t>
  </si>
  <si>
    <t>EN_SPV_21_c01_ETH</t>
  </si>
  <si>
    <t>Utility PV - CF Class-21 Cost Class-c01 - Ethiopia</t>
  </si>
  <si>
    <t>EN_SPV_21_c02_ETH</t>
  </si>
  <si>
    <t>Utility PV - CF Class-21 Cost Class-c02 - Ethiopia</t>
  </si>
  <si>
    <t>EN_SPV_21_c03_ETH</t>
  </si>
  <si>
    <t>Utility PV - CF Class-21 Cost Class-c03 - Ethiopia</t>
  </si>
  <si>
    <t>EN_SPV_12_c02_FRA</t>
  </si>
  <si>
    <t>Utility PV - CF Class-12 Cost Class-c02 - France</t>
  </si>
  <si>
    <t>ELC_Sol-FRA</t>
  </si>
  <si>
    <t>FRA</t>
  </si>
  <si>
    <t>EN_SPV_12_c03_FRA</t>
  </si>
  <si>
    <t>Utility PV - CF Class-12 Cost Class-c03 - France</t>
  </si>
  <si>
    <t>EN_SPV_13_c02_FRA</t>
  </si>
  <si>
    <t>Utility PV - CF Class-13 Cost Class-c02 - France</t>
  </si>
  <si>
    <t>EN_SPV_13_c03_FRA</t>
  </si>
  <si>
    <t>Utility PV - CF Class-13 Cost Class-c03 - France</t>
  </si>
  <si>
    <t>EN_SPV_14_c02_FRA</t>
  </si>
  <si>
    <t>Utility PV - CF Class-14 Cost Class-c02 - France</t>
  </si>
  <si>
    <t>EN_SPV_14_c03_FRA</t>
  </si>
  <si>
    <t>Utility PV - CF Class-14 Cost Class-c03 - France</t>
  </si>
  <si>
    <t>EN_SPV_15_c02_FRA</t>
  </si>
  <si>
    <t>Utility PV - CF Class-15 Cost Class-c02 - France</t>
  </si>
  <si>
    <t>EN_SPV_16_c01_FRA</t>
  </si>
  <si>
    <t>Utility PV - CF Class-16 Cost Class-c01 - France</t>
  </si>
  <si>
    <t>EN_SPV_16_c02_FRA</t>
  </si>
  <si>
    <t>Utility PV - CF Class-16 Cost Class-c02 - France</t>
  </si>
  <si>
    <t>EN_SPV_17_c01_FRA</t>
  </si>
  <si>
    <t>Utility PV - CF Class-17 Cost Class-c01 - France</t>
  </si>
  <si>
    <t>EN_SPV_14_c02_GAB</t>
  </si>
  <si>
    <t>Utility PV - CF Class-14 Cost Class-c02 - Gabon</t>
  </si>
  <si>
    <t>ELC_Sol-GAB</t>
  </si>
  <si>
    <t>GAB</t>
  </si>
  <si>
    <t>EN_SPV_14_c03_GAB</t>
  </si>
  <si>
    <t>Utility PV - CF Class-14 Cost Class-c03 - Gabon</t>
  </si>
  <si>
    <t>EN_SPV_14_c04_GAB</t>
  </si>
  <si>
    <t>Utility PV - CF Class-14 Cost Class-c04 - Gabon</t>
  </si>
  <si>
    <t>EN_SPV_15_c02_GAB</t>
  </si>
  <si>
    <t>Utility PV - CF Class-15 Cost Class-c02 - Gabon</t>
  </si>
  <si>
    <t>EN_SPV_15_c03_GAB</t>
  </si>
  <si>
    <t>Utility PV - CF Class-15 Cost Class-c03 - Gabon</t>
  </si>
  <si>
    <t>EN_SPV_16_c03_GAB</t>
  </si>
  <si>
    <t>Utility PV - CF Class-16 Cost Class-c03 - Gabon</t>
  </si>
  <si>
    <t>EN_SPV_09_c03_GBR</t>
  </si>
  <si>
    <t>Utility PV - CF Class-09 Cost Class-c03 - United Kingdom</t>
  </si>
  <si>
    <t>ELC_Sol-GBR</t>
  </si>
  <si>
    <t>GBR</t>
  </si>
  <si>
    <t>EN_SPV_09_c04_GBR</t>
  </si>
  <si>
    <t>Utility PV - CF Class-09 Cost Class-c04 - United Kingdom</t>
  </si>
  <si>
    <t>EN_SPV_10_c03_GBR</t>
  </si>
  <si>
    <t>Utility PV - CF Class-10 Cost Class-c03 - United Kingdom</t>
  </si>
  <si>
    <t>EN_SPV_10_c04_GBR</t>
  </si>
  <si>
    <t>Utility PV - CF Class-10 Cost Class-c04 - United Kingdom</t>
  </si>
  <si>
    <t>EN_SPV_11_c03_GBR</t>
  </si>
  <si>
    <t>Utility PV - CF Class-11 Cost Class-c03 - United Kingdom</t>
  </si>
  <si>
    <t>EN_SPV_12_c03_GBR</t>
  </si>
  <si>
    <t>Utility PV - CF Class-12 Cost Class-c03 - United Kingdom</t>
  </si>
  <si>
    <t>EN_SPV_13_c02_GEO</t>
  </si>
  <si>
    <t>Utility PV - CF Class-13 Cost Class-c02 - Georgia</t>
  </si>
  <si>
    <t>ELC_Sol-GEO</t>
  </si>
  <si>
    <t>GEO</t>
  </si>
  <si>
    <t>EN_SPV_14_c02_GEO</t>
  </si>
  <si>
    <t>Utility PV - CF Class-14 Cost Class-c02 - Georgia</t>
  </si>
  <si>
    <t>EN_SPV_15_c02_GEO</t>
  </si>
  <si>
    <t>Utility PV - CF Class-15 Cost Class-c02 - Georgia</t>
  </si>
  <si>
    <t>EN_SPV_16_c01_GEO</t>
  </si>
  <si>
    <t>Utility PV - CF Class-16 Cost Class-c01 - Georgia</t>
  </si>
  <si>
    <t>EN_SPV_16_c02_GEO</t>
  </si>
  <si>
    <t>Utility PV - CF Class-16 Cost Class-c02 - Georgia</t>
  </si>
  <si>
    <t>EN_SPV_15_c01_GHA</t>
  </si>
  <si>
    <t>Utility PV - CF Class-15 Cost Class-c01 - Ghana</t>
  </si>
  <si>
    <t>ELC_Sol-GHA</t>
  </si>
  <si>
    <t>GHA</t>
  </si>
  <si>
    <t>EN_SPV_15_c02_GHA</t>
  </si>
  <si>
    <t>Utility PV - CF Class-15 Cost Class-c02 - Ghana</t>
  </si>
  <si>
    <t>EN_SPV_16_c01_GHA</t>
  </si>
  <si>
    <t>Utility PV - CF Class-16 Cost Class-c01 - Ghana</t>
  </si>
  <si>
    <t>EN_SPV_16_c02_GHA</t>
  </si>
  <si>
    <t>Utility PV - CF Class-16 Cost Class-c02 - Ghana</t>
  </si>
  <si>
    <t>EN_SPV_17_c01_GHA</t>
  </si>
  <si>
    <t>Utility PV - CF Class-17 Cost Class-c01 - Ghana</t>
  </si>
  <si>
    <t>EN_SPV_17_c02_GHA</t>
  </si>
  <si>
    <t>Utility PV - CF Class-17 Cost Class-c02 - Ghana</t>
  </si>
  <si>
    <t>EN_SPV_18_c01_GHA</t>
  </si>
  <si>
    <t>Utility PV - CF Class-18 Cost Class-c01 - Ghana</t>
  </si>
  <si>
    <t>EN_SPV_18_c02_GHA</t>
  </si>
  <si>
    <t>Utility PV - CF Class-18 Cost Class-c02 - Ghana</t>
  </si>
  <si>
    <t>EN_SPV_18_c01_GIN</t>
  </si>
  <si>
    <t>Utility PV - CF Class-18 Cost Class-c01 - Guinea</t>
  </si>
  <si>
    <t>ELC_Sol-GIN</t>
  </si>
  <si>
    <t>GIN</t>
  </si>
  <si>
    <t>EN_SPV_18_c02_GIN</t>
  </si>
  <si>
    <t>Utility PV - CF Class-18 Cost Class-c02 - Guinea</t>
  </si>
  <si>
    <t>EN_SPV_18_c03_GIN</t>
  </si>
  <si>
    <t>Utility PV - CF Class-18 Cost Class-c03 - Guinea</t>
  </si>
  <si>
    <t>EN_SPV_18_c01_GMB</t>
  </si>
  <si>
    <t>Utility PV - CF Class-18 Cost Class-c01 - The Gambia</t>
  </si>
  <si>
    <t>ELC_Sol-GMB</t>
  </si>
  <si>
    <t>GMB</t>
  </si>
  <si>
    <t>EN_SPV_17_c03_GNB</t>
  </si>
  <si>
    <t>Utility PV - CF Class-17 Cost Class-c03 - Guinea-Bissau</t>
  </si>
  <si>
    <t>ELC_Sol-GNB</t>
  </si>
  <si>
    <t>GNB</t>
  </si>
  <si>
    <t>EN_SPV_17_c04_GNB</t>
  </si>
  <si>
    <t>Utility PV - CF Class-17 Cost Class-c04 - Guinea-Bissau</t>
  </si>
  <si>
    <t>EN_SPV_18_c01_GNB</t>
  </si>
  <si>
    <t>Utility PV - CF Class-18 Cost Class-c01 - Guinea-Bissau</t>
  </si>
  <si>
    <t>EN_SPV_18_c02_GNB</t>
  </si>
  <si>
    <t>Utility PV - CF Class-18 Cost Class-c02 - Guinea-Bissau</t>
  </si>
  <si>
    <t>EN_SPV_18_c03_GNB</t>
  </si>
  <si>
    <t>Utility PV - CF Class-18 Cost Class-c03 - Guinea-Bissau</t>
  </si>
  <si>
    <t>EN_SPV_18_c04_GNB</t>
  </si>
  <si>
    <t>Utility PV - CF Class-18 Cost Class-c04 - Guinea-Bissau</t>
  </si>
  <si>
    <t>EN_SPV_14_c02_GNQ</t>
  </si>
  <si>
    <t>Utility PV - CF Class-14 Cost Class-c02 - Equatorial Guinea</t>
  </si>
  <si>
    <t>ELC_Sol-GNQ</t>
  </si>
  <si>
    <t>GNQ</t>
  </si>
  <si>
    <t>EN_SPV_15_c02_GNQ</t>
  </si>
  <si>
    <t>Utility PV - CF Class-15 Cost Class-c02 - Equatorial Guinea</t>
  </si>
  <si>
    <t>EN_SPV_15_c02_GRC</t>
  </si>
  <si>
    <t>Utility PV - CF Class-15 Cost Class-c02 - Greece</t>
  </si>
  <si>
    <t>ELC_Sol-GRC</t>
  </si>
  <si>
    <t>GRC</t>
  </si>
  <si>
    <t>EN_SPV_16_c01_GRC</t>
  </si>
  <si>
    <t>Utility PV - CF Class-16 Cost Class-c01 - Greece</t>
  </si>
  <si>
    <t>EN_SPV_16_c02_GRC</t>
  </si>
  <si>
    <t>Utility PV - CF Class-16 Cost Class-c02 - Greece</t>
  </si>
  <si>
    <t>EN_SPV_17_c01_GRC</t>
  </si>
  <si>
    <t>Utility PV - CF Class-17 Cost Class-c01 - Greece</t>
  </si>
  <si>
    <t>EN_SPV_18_c01_GRC</t>
  </si>
  <si>
    <t>Utility PV - CF Class-18 Cost Class-c01 - Greece</t>
  </si>
  <si>
    <t>EN_SPV_18_c02_GRC</t>
  </si>
  <si>
    <t>Utility PV - CF Class-18 Cost Class-c02 - Greece</t>
  </si>
  <si>
    <t>EN_SPV_18_c01_GTM</t>
  </si>
  <si>
    <t>Utility PV - CF Class-18 Cost Class-c01 - Guatemala</t>
  </si>
  <si>
    <t>ELC_Sol-GTM</t>
  </si>
  <si>
    <t>GTM</t>
  </si>
  <si>
    <t>EN_SPV_19_c01_GTM</t>
  </si>
  <si>
    <t>Utility PV - CF Class-19 Cost Class-c01 - Guatemala</t>
  </si>
  <si>
    <t>EN_SPV_17_c02_GUY</t>
  </si>
  <si>
    <t>Utility PV - CF Class-17 Cost Class-c02 - Guyana</t>
  </si>
  <si>
    <t>ELC_Sol-GUY</t>
  </si>
  <si>
    <t>GUY</t>
  </si>
  <si>
    <t>EN_SPV_18_c01_GUY</t>
  </si>
  <si>
    <t>Utility PV - CF Class-18 Cost Class-c01 - Guyana</t>
  </si>
  <si>
    <t>EN_SPV_18_c02_GUY</t>
  </si>
  <si>
    <t>Utility PV - CF Class-18 Cost Class-c02 - Guyana</t>
  </si>
  <si>
    <t>EN_SPV_18_c03_GUY</t>
  </si>
  <si>
    <t>Utility PV - CF Class-18 Cost Class-c03 - Guyana</t>
  </si>
  <si>
    <t>EN_SPV_17_c01_HND</t>
  </si>
  <si>
    <t>Utility PV - CF Class-17 Cost Class-c01 - Honduras</t>
  </si>
  <si>
    <t>ELC_Sol-HND</t>
  </si>
  <si>
    <t>HND</t>
  </si>
  <si>
    <t>EN_SPV_17_c03_HND</t>
  </si>
  <si>
    <t>Utility PV - CF Class-17 Cost Class-c03 - Honduras</t>
  </si>
  <si>
    <t>EN_SPV_18_c01_HND</t>
  </si>
  <si>
    <t>Utility PV - CF Class-18 Cost Class-c01 - Honduras</t>
  </si>
  <si>
    <t>EN_SPV_19_c01_HND</t>
  </si>
  <si>
    <t>Utility PV - CF Class-19 Cost Class-c01 - Honduras</t>
  </si>
  <si>
    <t>EN_SPV_14_c02_HRV</t>
  </si>
  <si>
    <t>Utility PV - CF Class-14 Cost Class-c02 - Croatia</t>
  </si>
  <si>
    <t>ELC_Sol-HRV</t>
  </si>
  <si>
    <t>HRV</t>
  </si>
  <si>
    <t>EN_SPV_15_c02_HRV</t>
  </si>
  <si>
    <t>Utility PV - CF Class-15 Cost Class-c02 - Croatia</t>
  </si>
  <si>
    <t>EN_SPV_16_c01_HRV</t>
  </si>
  <si>
    <t>Utility PV - CF Class-16 Cost Class-c01 - Croatia</t>
  </si>
  <si>
    <t>EN_SPV_16_c02_HRV</t>
  </si>
  <si>
    <t>Utility PV - CF Class-16 Cost Class-c02 - Croatia</t>
  </si>
  <si>
    <t>EN_SPV_19_c01_HTI</t>
  </si>
  <si>
    <t>Utility PV - CF Class-19 Cost Class-c01 - Haiti</t>
  </si>
  <si>
    <t>ELC_Sol-HTI</t>
  </si>
  <si>
    <t>HTI</t>
  </si>
  <si>
    <t>EN_SPV_19_c02_HTI</t>
  </si>
  <si>
    <t>Utility PV - CF Class-19 Cost Class-c02 - Haiti</t>
  </si>
  <si>
    <t>EN_SPV_20_c01_HTI</t>
  </si>
  <si>
    <t>Utility PV - CF Class-20 Cost Class-c01 - Haiti</t>
  </si>
  <si>
    <t>EN_SPV_13_c02_HUN</t>
  </si>
  <si>
    <t>Utility PV - CF Class-13 Cost Class-c02 - Hungary</t>
  </si>
  <si>
    <t>ELC_Sol-HUN</t>
  </si>
  <si>
    <t>HUN</t>
  </si>
  <si>
    <t>EN_SPV_13_c03_HUN</t>
  </si>
  <si>
    <t>Utility PV - CF Class-13 Cost Class-c03 - Hungary</t>
  </si>
  <si>
    <t>EN_SPV_14_c02_HUN</t>
  </si>
  <si>
    <t>Utility PV - CF Class-14 Cost Class-c02 - Hungary</t>
  </si>
  <si>
    <t>EN_SPV_14_c03_HUN</t>
  </si>
  <si>
    <t>Utility PV - CF Class-14 Cost Class-c03 - Hungary</t>
  </si>
  <si>
    <t>EN_SPV_14_c02_IDN</t>
  </si>
  <si>
    <t>Utility PV - CF Class-14 Cost Class-c02 - Indonesia</t>
  </si>
  <si>
    <t>ELC_Sol-IDN</t>
  </si>
  <si>
    <t>IDN</t>
  </si>
  <si>
    <t>EN_SPV_14_c03_IDN</t>
  </si>
  <si>
    <t>Utility PV - CF Class-14 Cost Class-c03 - Indonesia</t>
  </si>
  <si>
    <t>EN_SPV_15_c01_IDN</t>
  </si>
  <si>
    <t>Utility PV - CF Class-15 Cost Class-c01 - Indonesia</t>
  </si>
  <si>
    <t>EN_SPV_15_c02_IDN</t>
  </si>
  <si>
    <t>Utility PV - CF Class-15 Cost Class-c02 - Indonesia</t>
  </si>
  <si>
    <t>EN_SPV_15_c03_IDN</t>
  </si>
  <si>
    <t>Utility PV - CF Class-15 Cost Class-c03 - Indonesia</t>
  </si>
  <si>
    <t>EN_SPV_15_c04_IDN</t>
  </si>
  <si>
    <t>Utility PV - CF Class-15 Cost Class-c04 - Indonesia</t>
  </si>
  <si>
    <t>EN_SPV_16_c01_IDN</t>
  </si>
  <si>
    <t>Utility PV - CF Class-16 Cost Class-c01 - Indonesia</t>
  </si>
  <si>
    <t>EN_SPV_16_c02_IDN</t>
  </si>
  <si>
    <t>Utility PV - CF Class-16 Cost Class-c02 - Indonesia</t>
  </si>
  <si>
    <t>EN_SPV_16_c03_IDN</t>
  </si>
  <si>
    <t>Utility PV - CF Class-16 Cost Class-c03 - Indonesia</t>
  </si>
  <si>
    <t>EN_SPV_16_c04_IDN</t>
  </si>
  <si>
    <t>Utility PV - CF Class-16 Cost Class-c04 - Indonesia</t>
  </si>
  <si>
    <t>EN_SPV_17_c01_IDN</t>
  </si>
  <si>
    <t>Utility PV - CF Class-17 Cost Class-c01 - Indonesia</t>
  </si>
  <si>
    <t>EN_SPV_17_c02_IDN</t>
  </si>
  <si>
    <t>Utility PV - CF Class-17 Cost Class-c02 - Indonesia</t>
  </si>
  <si>
    <t>EN_SPV_17_c03_IDN</t>
  </si>
  <si>
    <t>Utility PV - CF Class-17 Cost Class-c03 - Indonesia</t>
  </si>
  <si>
    <t>EN_SPV_17_c04_IDN</t>
  </si>
  <si>
    <t>Utility PV - CF Class-17 Cost Class-c04 - Indonesia</t>
  </si>
  <si>
    <t>EN_SPV_18_c01_IDN</t>
  </si>
  <si>
    <t>Utility PV - CF Class-18 Cost Class-c01 - Indonesia</t>
  </si>
  <si>
    <t>EN_SPV_18_c02_IDN</t>
  </si>
  <si>
    <t>Utility PV - CF Class-18 Cost Class-c02 - Indonesia</t>
  </si>
  <si>
    <t>EN_SPV_18_c03_IDN</t>
  </si>
  <si>
    <t>Utility PV - CF Class-18 Cost Class-c03 - Indonesia</t>
  </si>
  <si>
    <t>EN_SPV_18_c04_IDN</t>
  </si>
  <si>
    <t>Utility PV - CF Class-18 Cost Class-c04 - Indonesia</t>
  </si>
  <si>
    <t>EN_SPV_19_c01_IDN</t>
  </si>
  <si>
    <t>Utility PV - CF Class-19 Cost Class-c01 - Indonesia</t>
  </si>
  <si>
    <t>EN_SPV_19_c02_IDN</t>
  </si>
  <si>
    <t>Utility PV - CF Class-19 Cost Class-c02 - Indonesia</t>
  </si>
  <si>
    <t>EN_SPV_19_c03_IDN</t>
  </si>
  <si>
    <t>Utility PV - CF Class-19 Cost Class-c03 - Indonesia</t>
  </si>
  <si>
    <t>EN_SPV_19_c04_IDN</t>
  </si>
  <si>
    <t>Utility PV - CF Class-19 Cost Class-c04 - Indonesia</t>
  </si>
  <si>
    <t>EN_SPV_13_c02_IND</t>
  </si>
  <si>
    <t>Utility PV - CF Class-13 Cost Class-c02 - India</t>
  </si>
  <si>
    <t>ELC_Sol-IND</t>
  </si>
  <si>
    <t>IND</t>
  </si>
  <si>
    <t>EN_SPV_13_c03_IND</t>
  </si>
  <si>
    <t>Utility PV - CF Class-13 Cost Class-c03 - India</t>
  </si>
  <si>
    <t>EN_SPV_14_c02_IND</t>
  </si>
  <si>
    <t>Utility PV - CF Class-14 Cost Class-c02 - India</t>
  </si>
  <si>
    <t>EN_SPV_14_c03_IND</t>
  </si>
  <si>
    <t>Utility PV - CF Class-14 Cost Class-c03 - India</t>
  </si>
  <si>
    <t>EN_SPV_15_c01_IND</t>
  </si>
  <si>
    <t>Utility PV - CF Class-15 Cost Class-c01 - India</t>
  </si>
  <si>
    <t>EN_SPV_15_c02_IND</t>
  </si>
  <si>
    <t>Utility PV - CF Class-15 Cost Class-c02 - India</t>
  </si>
  <si>
    <t>EN_SPV_15_c03_IND</t>
  </si>
  <si>
    <t>Utility PV - CF Class-15 Cost Class-c03 - India</t>
  </si>
  <si>
    <t>EN_SPV_15_c04_IND</t>
  </si>
  <si>
    <t>Utility PV - CF Class-15 Cost Class-c04 - India</t>
  </si>
  <si>
    <t>EN_SPV_16_c01_IND</t>
  </si>
  <si>
    <t>Utility PV - CF Class-16 Cost Class-c01 - India</t>
  </si>
  <si>
    <t>EN_SPV_16_c02_IND</t>
  </si>
  <si>
    <t>Utility PV - CF Class-16 Cost Class-c02 - India</t>
  </si>
  <si>
    <t>EN_SPV_16_c03_IND</t>
  </si>
  <si>
    <t>Utility PV - CF Class-16 Cost Class-c03 - India</t>
  </si>
  <si>
    <t>EN_SPV_16_c04_IND</t>
  </si>
  <si>
    <t>Utility PV - CF Class-16 Cost Class-c04 - India</t>
  </si>
  <si>
    <t>EN_SPV_17_c01_IND</t>
  </si>
  <si>
    <t>Utility PV - CF Class-17 Cost Class-c01 - India</t>
  </si>
  <si>
    <t>EN_SPV_17_c02_IND</t>
  </si>
  <si>
    <t>Utility PV - CF Class-17 Cost Class-c02 - India</t>
  </si>
  <si>
    <t>EN_SPV_17_c04_IND</t>
  </si>
  <si>
    <t>Utility PV - CF Class-17 Cost Class-c04 - India</t>
  </si>
  <si>
    <t>EN_SPV_18_c01_IND</t>
  </si>
  <si>
    <t>Utility PV - CF Class-18 Cost Class-c01 - India</t>
  </si>
  <si>
    <t>EN_SPV_18_c02_IND</t>
  </si>
  <si>
    <t>Utility PV - CF Class-18 Cost Class-c02 - India</t>
  </si>
  <si>
    <t>EN_SPV_19_c01_IND</t>
  </si>
  <si>
    <t>Utility PV - CF Class-19 Cost Class-c01 - India</t>
  </si>
  <si>
    <t>EN_SPV_19_c02_IND</t>
  </si>
  <si>
    <t>Utility PV - CF Class-19 Cost Class-c02 - India</t>
  </si>
  <si>
    <t>EN_SPV_10_c03_IRL</t>
  </si>
  <si>
    <t>Utility PV - CF Class-10 Cost Class-c03 - Ireland</t>
  </si>
  <si>
    <t>ELC_Sol-IRL</t>
  </si>
  <si>
    <t>IRL</t>
  </si>
  <si>
    <t>EN_SPV_11_c03_IRL</t>
  </si>
  <si>
    <t>Utility PV - CF Class-11 Cost Class-c03 - Ireland</t>
  </si>
  <si>
    <t>EN_SPV_19_c01_IRN</t>
  </si>
  <si>
    <t>Utility PV - CF Class-19 Cost Class-c01 - Iran</t>
  </si>
  <si>
    <t>ELC_Sol-IRN</t>
  </si>
  <si>
    <t>IRN</t>
  </si>
  <si>
    <t>EN_SPV_20_c01_IRN</t>
  </si>
  <si>
    <t>Utility PV - CF Class-20 Cost Class-c01 - Iran</t>
  </si>
  <si>
    <t>EN_SPV_20_c02_IRN</t>
  </si>
  <si>
    <t>Utility PV - CF Class-20 Cost Class-c02 - Iran</t>
  </si>
  <si>
    <t>EN_SPV_20_c03_IRN</t>
  </si>
  <si>
    <t>Utility PV - CF Class-20 Cost Class-c03 - Iran</t>
  </si>
  <si>
    <t>EN_SPV_21_c01_IRN</t>
  </si>
  <si>
    <t>Utility PV - CF Class-21 Cost Class-c01 - Iran</t>
  </si>
  <si>
    <t>EN_SPV_21_c02_IRN</t>
  </si>
  <si>
    <t>Utility PV - CF Class-21 Cost Class-c02 - Iran</t>
  </si>
  <si>
    <t>EN_SPV_22_c01_IRN</t>
  </si>
  <si>
    <t>Utility PV - CF Class-22 Cost Class-c01 - Iran</t>
  </si>
  <si>
    <t>EN_SPV_20_c01_IRQ</t>
  </si>
  <si>
    <t>Utility PV - CF Class-20 Cost Class-c01 - Iraq</t>
  </si>
  <si>
    <t>ELC_Sol-IRQ</t>
  </si>
  <si>
    <t>IRQ</t>
  </si>
  <si>
    <t>EN_SPV_20_c02_IRQ</t>
  </si>
  <si>
    <t>Utility PV - CF Class-20 Cost Class-c02 - Iraq</t>
  </si>
  <si>
    <t>EN_SPV_20_c03_IRQ</t>
  </si>
  <si>
    <t>Utility PV - CF Class-20 Cost Class-c03 - Iraq</t>
  </si>
  <si>
    <t>EN_SPV_20_c04_IRQ</t>
  </si>
  <si>
    <t>Utility PV - CF Class-20 Cost Class-c04 - Iraq</t>
  </si>
  <si>
    <t>EN_SPV_21_c01_IRQ</t>
  </si>
  <si>
    <t>Utility PV - CF Class-21 Cost Class-c01 - Iraq</t>
  </si>
  <si>
    <t>EN_SPV_21_c03_IRQ</t>
  </si>
  <si>
    <t>Utility PV - CF Class-21 Cost Class-c03 - Iraq</t>
  </si>
  <si>
    <t>EN_SPV_19_c01_ISR</t>
  </si>
  <si>
    <t>Utility PV - CF Class-19 Cost Class-c01 - Israel</t>
  </si>
  <si>
    <t>ELC_Sol-ISR</t>
  </si>
  <si>
    <t>ISR</t>
  </si>
  <si>
    <t>EN_SPV_20_c01_ISR</t>
  </si>
  <si>
    <t>Utility PV - CF Class-20 Cost Class-c01 - Israel</t>
  </si>
  <si>
    <t>EN_SPV_21_c01_ISR</t>
  </si>
  <si>
    <t>Utility PV - CF Class-21 Cost Class-c01 - Israel</t>
  </si>
  <si>
    <t>EN_SPV_13_c02_ITA</t>
  </si>
  <si>
    <t>Utility PV - CF Class-13 Cost Class-c02 - Italy</t>
  </si>
  <si>
    <t>ELC_Sol-ITA</t>
  </si>
  <si>
    <t>ITA</t>
  </si>
  <si>
    <t>EN_SPV_14_c02_ITA</t>
  </si>
  <si>
    <t>Utility PV - CF Class-14 Cost Class-c02 - Italy</t>
  </si>
  <si>
    <t>EN_SPV_15_c01_ITA</t>
  </si>
  <si>
    <t>Utility PV - CF Class-15 Cost Class-c01 - Italy</t>
  </si>
  <si>
    <t>EN_SPV_15_c02_ITA</t>
  </si>
  <si>
    <t>Utility PV - CF Class-15 Cost Class-c02 - Italy</t>
  </si>
  <si>
    <t>EN_SPV_16_c01_ITA</t>
  </si>
  <si>
    <t>Utility PV - CF Class-16 Cost Class-c01 - Italy</t>
  </si>
  <si>
    <t>EN_SPV_16_c02_ITA</t>
  </si>
  <si>
    <t>Utility PV - CF Class-16 Cost Class-c02 - Italy</t>
  </si>
  <si>
    <t>EN_SPV_17_c01_ITA</t>
  </si>
  <si>
    <t>Utility PV - CF Class-17 Cost Class-c01 - Italy</t>
  </si>
  <si>
    <t>EN_SPV_17_c02_ITA</t>
  </si>
  <si>
    <t>Utility PV - CF Class-17 Cost Class-c02 - Italy</t>
  </si>
  <si>
    <t>EN_SPV_18_c01_ITA</t>
  </si>
  <si>
    <t>Utility PV - CF Class-18 Cost Class-c01 - Italy</t>
  </si>
  <si>
    <t>EN_SPV_17_c01_JAM</t>
  </si>
  <si>
    <t>Utility PV - CF Class-17 Cost Class-c01 - Jamaica</t>
  </si>
  <si>
    <t>ELC_Sol-JAM</t>
  </si>
  <si>
    <t>JAM</t>
  </si>
  <si>
    <t>EN_SPV_18_c01_JAM</t>
  </si>
  <si>
    <t>Utility PV - CF Class-18 Cost Class-c01 - Jamaica</t>
  </si>
  <si>
    <t>EN_SPV_22_c01_JOR</t>
  </si>
  <si>
    <t>Utility PV - CF Class-22 Cost Class-c01 - Jordan</t>
  </si>
  <si>
    <t>ELC_Sol-JOR</t>
  </si>
  <si>
    <t>JOR</t>
  </si>
  <si>
    <t>EN_SPV_22_c02_JOR</t>
  </si>
  <si>
    <t>Utility PV - CF Class-22 Cost Class-c02 - Jordan</t>
  </si>
  <si>
    <t>EN_SPV_12_c02_JPN</t>
  </si>
  <si>
    <t>Utility PV - CF Class-12 Cost Class-c02 - Japan</t>
  </si>
  <si>
    <t>ELC_Sol-JPN</t>
  </si>
  <si>
    <t>JPN</t>
  </si>
  <si>
    <t>Japan</t>
  </si>
  <si>
    <t>EN_SPV_12_c03_JPN</t>
  </si>
  <si>
    <t>Utility PV - CF Class-12 Cost Class-c03 - Japan</t>
  </si>
  <si>
    <t>EN_SPV_13_c02_JPN</t>
  </si>
  <si>
    <t>Utility PV - CF Class-13 Cost Class-c02 - Japan</t>
  </si>
  <si>
    <t>EN_SPV_13_c03_JPN</t>
  </si>
  <si>
    <t>Utility PV - CF Class-13 Cost Class-c03 - Japan</t>
  </si>
  <si>
    <t>EN_SPV_13_c04_JPN</t>
  </si>
  <si>
    <t>Utility PV - CF Class-13 Cost Class-c04 - Japan</t>
  </si>
  <si>
    <t>EN_SPV_14_c01_JPN</t>
  </si>
  <si>
    <t>Utility PV - CF Class-14 Cost Class-c01 - Japan</t>
  </si>
  <si>
    <t>EN_SPV_14_c02_JPN</t>
  </si>
  <si>
    <t>Utility PV - CF Class-14 Cost Class-c02 - Japan</t>
  </si>
  <si>
    <t>EN_SPV_14_c03_JPN</t>
  </si>
  <si>
    <t>Utility PV - CF Class-14 Cost Class-c03 - Japan</t>
  </si>
  <si>
    <t>EN_SPV_14_c04_JPN</t>
  </si>
  <si>
    <t>Utility PV - CF Class-14 Cost Class-c04 - Japan</t>
  </si>
  <si>
    <t>EN_SPV_15_c01_JPN</t>
  </si>
  <si>
    <t>Utility PV - CF Class-15 Cost Class-c01 - Japan</t>
  </si>
  <si>
    <t>EN_SPV_15_c02_JPN</t>
  </si>
  <si>
    <t>Utility PV - CF Class-15 Cost Class-c02 - Japan</t>
  </si>
  <si>
    <t>EN_SPV_16_c01_JPN</t>
  </si>
  <si>
    <t>Utility PV - CF Class-16 Cost Class-c01 - Japan</t>
  </si>
  <si>
    <t>EN_SPV_16_c02_JPN</t>
  </si>
  <si>
    <t>Utility PV - CF Class-16 Cost Class-c02 - Japan</t>
  </si>
  <si>
    <t>EN_SPV_17_c03_KAZ</t>
  </si>
  <si>
    <t>Utility PV - CF Class-17 Cost Class-c03 - Kazakhstan</t>
  </si>
  <si>
    <t>ELC_Sol-KAZ</t>
  </si>
  <si>
    <t>KAZ</t>
  </si>
  <si>
    <t>EN_SPV_17_c04_KAZ</t>
  </si>
  <si>
    <t>Utility PV - CF Class-17 Cost Class-c04 - Kazakhstan</t>
  </si>
  <si>
    <t>EN_SPV_19_c02_KEN</t>
  </si>
  <si>
    <t>Utility PV - CF Class-19 Cost Class-c02 - Kenya</t>
  </si>
  <si>
    <t>ELC_Sol-KEN</t>
  </si>
  <si>
    <t>KEN</t>
  </si>
  <si>
    <t>EN_SPV_19_c03_KEN</t>
  </si>
  <si>
    <t>Utility PV - CF Class-19 Cost Class-c03 - Kenya</t>
  </si>
  <si>
    <t>EN_SPV_20_c01_KEN</t>
  </si>
  <si>
    <t>Utility PV - CF Class-20 Cost Class-c01 - Kenya</t>
  </si>
  <si>
    <t>EN_SPV_20_c02_KEN</t>
  </si>
  <si>
    <t>Utility PV - CF Class-20 Cost Class-c02 - Kenya</t>
  </si>
  <si>
    <t>EN_SPV_20_c03_KEN</t>
  </si>
  <si>
    <t>Utility PV - CF Class-20 Cost Class-c03 - Kenya</t>
  </si>
  <si>
    <t>EN_SPV_16_c02_KGZ</t>
  </si>
  <si>
    <t>Utility PV - CF Class-16 Cost Class-c02 - Kyrgyz Republic</t>
  </si>
  <si>
    <t>ELC_Sol-KGZ</t>
  </si>
  <si>
    <t>KGZ</t>
  </si>
  <si>
    <t>EN_SPV_17_c01_KGZ</t>
  </si>
  <si>
    <t>Utility PV - CF Class-17 Cost Class-c01 - Kyrgyz Republic</t>
  </si>
  <si>
    <t>EN_SPV_17_c02_KGZ</t>
  </si>
  <si>
    <t>Utility PV - CF Class-17 Cost Class-c02 - Kyrgyz Republic</t>
  </si>
  <si>
    <t>EN_SPV_18_c01_KGZ</t>
  </si>
  <si>
    <t>Utility PV - CF Class-18 Cost Class-c01 - Kyrgyz Republic</t>
  </si>
  <si>
    <t>EN_SPV_16_c02_KHM</t>
  </si>
  <si>
    <t>Utility PV - CF Class-16 Cost Class-c02 - Cambodia</t>
  </si>
  <si>
    <t>ELC_Sol-KHM</t>
  </si>
  <si>
    <t>KHM</t>
  </si>
  <si>
    <t>EN_SPV_17_c01_KHM</t>
  </si>
  <si>
    <t>Utility PV - CF Class-17 Cost Class-c01 - Cambodia</t>
  </si>
  <si>
    <t>EN_SPV_17_c02_KHM</t>
  </si>
  <si>
    <t>Utility PV - CF Class-17 Cost Class-c02 - Cambodia</t>
  </si>
  <si>
    <t>EN_SPV_14_c02_KOR</t>
  </si>
  <si>
    <t>Utility PV - CF Class-14 Cost Class-c02 - South Korea</t>
  </si>
  <si>
    <t>ELC_Sol-KOR</t>
  </si>
  <si>
    <t>KOR</t>
  </si>
  <si>
    <t>EN_SPV_14_c03_KOR</t>
  </si>
  <si>
    <t>Utility PV - CF Class-14 Cost Class-c03 - South Korea</t>
  </si>
  <si>
    <t>EN_SPV_15_c01_KOR</t>
  </si>
  <si>
    <t>Utility PV - CF Class-15 Cost Class-c01 - South Korea</t>
  </si>
  <si>
    <t>EN_SPV_15_c02_KOR</t>
  </si>
  <si>
    <t>Utility PV - CF Class-15 Cost Class-c02 - South Korea</t>
  </si>
  <si>
    <t>EN_SPV_15_c03_KOR</t>
  </si>
  <si>
    <t>Utility PV - CF Class-15 Cost Class-c03 - South Korea</t>
  </si>
  <si>
    <t>EN_SPV_16_c01_KOR</t>
  </si>
  <si>
    <t>Utility PV - CF Class-16 Cost Class-c01 - South Korea</t>
  </si>
  <si>
    <t>EN_SPV_16_c02_KOR</t>
  </si>
  <si>
    <t>Utility PV - CF Class-16 Cost Class-c02 - South Korea</t>
  </si>
  <si>
    <t>EN_SPV_19_c01_KWT</t>
  </si>
  <si>
    <t>Utility PV - CF Class-19 Cost Class-c01 - Kuwait</t>
  </si>
  <si>
    <t>ELC_Sol-KWT</t>
  </si>
  <si>
    <t>KWT</t>
  </si>
  <si>
    <t>EN_SPV_19_c02_KWT</t>
  </si>
  <si>
    <t>Utility PV - CF Class-19 Cost Class-c02 - Kuwait</t>
  </si>
  <si>
    <t>EN_SPV_16_c01_LAO</t>
  </si>
  <si>
    <t>Utility PV - CF Class-16 Cost Class-c01 - Laos</t>
  </si>
  <si>
    <t>ELC_Sol-LAO</t>
  </si>
  <si>
    <t>LAO</t>
  </si>
  <si>
    <t>EN_SPV_16_c02_LAO</t>
  </si>
  <si>
    <t>Utility PV - CF Class-16 Cost Class-c02 - Laos</t>
  </si>
  <si>
    <t>EN_SPV_18_c01_LBN</t>
  </si>
  <si>
    <t>Utility PV - CF Class-18 Cost Class-c01 - Lebanon</t>
  </si>
  <si>
    <t>ELC_Sol-LBN</t>
  </si>
  <si>
    <t>LBN</t>
  </si>
  <si>
    <t>EN_SPV_19_c01_LBN</t>
  </si>
  <si>
    <t>Utility PV - CF Class-19 Cost Class-c01 - Lebanon</t>
  </si>
  <si>
    <t>EN_SPV_20_c01_LBN</t>
  </si>
  <si>
    <t>Utility PV - CF Class-20 Cost Class-c01 - Lebanon</t>
  </si>
  <si>
    <t>EN_SPV_16_c02_LBR</t>
  </si>
  <si>
    <t>Utility PV - CF Class-16 Cost Class-c02 - Liberia</t>
  </si>
  <si>
    <t>ELC_Sol-LBR</t>
  </si>
  <si>
    <t>LBR</t>
  </si>
  <si>
    <t>EN_SPV_16_c03_LBR</t>
  </si>
  <si>
    <t>Utility PV - CF Class-16 Cost Class-c03 - Liberia</t>
  </si>
  <si>
    <t>EN_SPV_22_c04_LBY</t>
  </si>
  <si>
    <t>Utility PV - CF Class-22 Cost Class-c04 - Libya</t>
  </si>
  <si>
    <t>ELC_Sol-LBY</t>
  </si>
  <si>
    <t>LBY</t>
  </si>
  <si>
    <t>EN_SPV_23_c04_LBY</t>
  </si>
  <si>
    <t>Utility PV - CF Class-23 Cost Class-c04 - Libya</t>
  </si>
  <si>
    <t>EN_SPV_16_c01_LKA</t>
  </si>
  <si>
    <t>Utility PV - CF Class-16 Cost Class-c01 - Sri Lanka</t>
  </si>
  <si>
    <t>ELC_Sol-LKA</t>
  </si>
  <si>
    <t>LKA</t>
  </si>
  <si>
    <t>EN_SPV_16_c02_LKA</t>
  </si>
  <si>
    <t>Utility PV - CF Class-16 Cost Class-c02 - Sri Lanka</t>
  </si>
  <si>
    <t>EN_SPV_17_c01_LKA</t>
  </si>
  <si>
    <t>Utility PV - CF Class-17 Cost Class-c01 - Sri Lanka</t>
  </si>
  <si>
    <t>EN_SPV_17_c02_LKA</t>
  </si>
  <si>
    <t>Utility PV - CF Class-17 Cost Class-c02 - Sri Lanka</t>
  </si>
  <si>
    <t>EN_SPV_18_c01_LKA</t>
  </si>
  <si>
    <t>Utility PV - CF Class-18 Cost Class-c01 - Sri Lanka</t>
  </si>
  <si>
    <t>EN_SPV_20_c01_LSO</t>
  </si>
  <si>
    <t>Utility PV - CF Class-20 Cost Class-c01 - Lesotho</t>
  </si>
  <si>
    <t>ELC_Sol-LSO</t>
  </si>
  <si>
    <t>LSO</t>
  </si>
  <si>
    <t>EN_SPV_11_c03_LTU</t>
  </si>
  <si>
    <t>Utility PV - CF Class-11 Cost Class-c03 - Lithuania</t>
  </si>
  <si>
    <t>ELC_Sol-LTU</t>
  </si>
  <si>
    <t>LTU</t>
  </si>
  <si>
    <t>EN_SPV_12_c03_LTU</t>
  </si>
  <si>
    <t>Utility PV - CF Class-12 Cost Class-c03 - Lithuania</t>
  </si>
  <si>
    <t>EN_SPV_12_c03_LUX</t>
  </si>
  <si>
    <t>Utility PV - CF Class-12 Cost Class-c03 - Luxembourg</t>
  </si>
  <si>
    <t>ELC_Sol-LUX</t>
  </si>
  <si>
    <t>LUX</t>
  </si>
  <si>
    <t>EN_SPV_11_c03_LVA</t>
  </si>
  <si>
    <t>Utility PV - CF Class-11 Cost Class-c03 - Latvia</t>
  </si>
  <si>
    <t>ELC_Sol-LVA</t>
  </si>
  <si>
    <t>LVA</t>
  </si>
  <si>
    <t>EN_SPV_12_c03_LVA</t>
  </si>
  <si>
    <t>Utility PV - CF Class-12 Cost Class-c03 - Latvia</t>
  </si>
  <si>
    <t>EN_SPV_20_c03_MAR</t>
  </si>
  <si>
    <t>Utility PV - CF Class-20 Cost Class-c03 - Morocco</t>
  </si>
  <si>
    <t>ELC_Sol-MAR</t>
  </si>
  <si>
    <t>MAR</t>
  </si>
  <si>
    <t>EN_SPV_21_c01_MAR</t>
  </si>
  <si>
    <t>Utility PV - CF Class-21 Cost Class-c01 - Morocco</t>
  </si>
  <si>
    <t>EN_SPV_21_c02_MAR</t>
  </si>
  <si>
    <t>Utility PV - CF Class-21 Cost Class-c02 - Morocco</t>
  </si>
  <si>
    <t>EN_SPV_21_c03_MAR</t>
  </si>
  <si>
    <t>Utility PV - CF Class-21 Cost Class-c03 - Morocco</t>
  </si>
  <si>
    <t>EN_SPV_22_c01_MAR</t>
  </si>
  <si>
    <t>Utility PV - CF Class-22 Cost Class-c01 - Morocco</t>
  </si>
  <si>
    <t>EN_SPV_14_c02_MDA</t>
  </si>
  <si>
    <t>Utility PV - CF Class-14 Cost Class-c02 - Moldova</t>
  </si>
  <si>
    <t>ELC_Sol-MDA</t>
  </si>
  <si>
    <t>MDA</t>
  </si>
  <si>
    <t>EN_SPV_20_c04_MDG</t>
  </si>
  <si>
    <t>Utility PV - CF Class-20 Cost Class-c04 - Madagascar</t>
  </si>
  <si>
    <t>ELC_Sol-MDG</t>
  </si>
  <si>
    <t>MDG</t>
  </si>
  <si>
    <t>EN_SPV_21_c03_MDG</t>
  </si>
  <si>
    <t>Utility PV - CF Class-21 Cost Class-c03 - Madagascar</t>
  </si>
  <si>
    <t>EN_SPV_21_c04_MDG</t>
  </si>
  <si>
    <t>Utility PV - CF Class-21 Cost Class-c04 - Madagascar</t>
  </si>
  <si>
    <t>EN_SPV_21_c01_MEX</t>
  </si>
  <si>
    <t>Utility PV - CF Class-21 Cost Class-c01 - Mexico</t>
  </si>
  <si>
    <t>ELC_Sol-MEX</t>
  </si>
  <si>
    <t>MEX</t>
  </si>
  <si>
    <t>EN_SPV_21_c02_MEX</t>
  </si>
  <si>
    <t>Utility PV - CF Class-21 Cost Class-c02 - Mexico</t>
  </si>
  <si>
    <t>EN_SPV_21_c03_MEX</t>
  </si>
  <si>
    <t>Utility PV - CF Class-21 Cost Class-c03 - Mexico</t>
  </si>
  <si>
    <t>EN_SPV_22_c01_MEX</t>
  </si>
  <si>
    <t>Utility PV - CF Class-22 Cost Class-c01 - Mexico</t>
  </si>
  <si>
    <t>EN_SPV_22_c02_MEX</t>
  </si>
  <si>
    <t>Utility PV - CF Class-22 Cost Class-c02 - Mexico</t>
  </si>
  <si>
    <t>EN_SPV_22_c03_MEX</t>
  </si>
  <si>
    <t>Utility PV - CF Class-22 Cost Class-c03 - Mexico</t>
  </si>
  <si>
    <t>EN_SPV_16_c02_MKD</t>
  </si>
  <si>
    <t>Utility PV - CF Class-16 Cost Class-c02 - Macedonia</t>
  </si>
  <si>
    <t>ELC_Sol-MKD</t>
  </si>
  <si>
    <t>MKD</t>
  </si>
  <si>
    <t>EN_SPV_20_c02_MLI</t>
  </si>
  <si>
    <t>Utility PV - CF Class-20 Cost Class-c02 - Mali</t>
  </si>
  <si>
    <t>ELC_Sol-MLI</t>
  </si>
  <si>
    <t>MLI</t>
  </si>
  <si>
    <t>EN_SPV_20_c03_MLI</t>
  </si>
  <si>
    <t>Utility PV - CF Class-20 Cost Class-c03 - Mali</t>
  </si>
  <si>
    <t>EN_SPV_17_c01_MMR</t>
  </si>
  <si>
    <t>Utility PV - CF Class-17 Cost Class-c01 - Myanmar</t>
  </si>
  <si>
    <t>ELC_Sol-MMR</t>
  </si>
  <si>
    <t>MMR</t>
  </si>
  <si>
    <t>EN_SPV_15_c02_MNE</t>
  </si>
  <si>
    <t>Utility PV - CF Class-15 Cost Class-c02 - Montenegro</t>
  </si>
  <si>
    <t>ELC_Sol-MNE</t>
  </si>
  <si>
    <t>MNE</t>
  </si>
  <si>
    <t>EN_SPV_16_c01_MNE</t>
  </si>
  <si>
    <t>Utility PV - CF Class-16 Cost Class-c01 - Montenegro</t>
  </si>
  <si>
    <t>EN_SPV_16_c02_MNE</t>
  </si>
  <si>
    <t>Utility PV - CF Class-16 Cost Class-c02 - Montenegro</t>
  </si>
  <si>
    <t>EN_SPV_21_c01_MNG</t>
  </si>
  <si>
    <t>Utility PV - CF Class-21 Cost Class-c01 - Mongolia</t>
  </si>
  <si>
    <t>ELC_Sol-MNG</t>
  </si>
  <si>
    <t>MNG</t>
  </si>
  <si>
    <t>EN_SPV_21_c02_MNG</t>
  </si>
  <si>
    <t>Utility PV - CF Class-21 Cost Class-c02 - Mongolia</t>
  </si>
  <si>
    <t>EN_SPV_17_c02_MOZ</t>
  </si>
  <si>
    <t>Utility PV - CF Class-17 Cost Class-c02 - Mozambique</t>
  </si>
  <si>
    <t>ELC_Sol-MOZ</t>
  </si>
  <si>
    <t>MOZ</t>
  </si>
  <si>
    <t>EN_SPV_17_c03_MOZ</t>
  </si>
  <si>
    <t>Utility PV - CF Class-17 Cost Class-c03 - Mozambique</t>
  </si>
  <si>
    <t>EN_SPV_17_c04_MOZ</t>
  </si>
  <si>
    <t>Utility PV - CF Class-17 Cost Class-c04 - Mozambique</t>
  </si>
  <si>
    <t>EN_SPV_18_c01_MOZ</t>
  </si>
  <si>
    <t>Utility PV - CF Class-18 Cost Class-c01 - Mozambique</t>
  </si>
  <si>
    <t>EN_SPV_18_c02_MOZ</t>
  </si>
  <si>
    <t>Utility PV - CF Class-18 Cost Class-c02 - Mozambique</t>
  </si>
  <si>
    <t>EN_SPV_18_c03_MOZ</t>
  </si>
  <si>
    <t>Utility PV - CF Class-18 Cost Class-c03 - Mozambique</t>
  </si>
  <si>
    <t>EN_SPV_18_c04_MOZ</t>
  </si>
  <si>
    <t>Utility PV - CF Class-18 Cost Class-c04 - Mozambique</t>
  </si>
  <si>
    <t>EN_SPV_19_c01_MOZ</t>
  </si>
  <si>
    <t>Utility PV - CF Class-19 Cost Class-c01 - Mozambique</t>
  </si>
  <si>
    <t>EN_SPV_19_c02_MOZ</t>
  </si>
  <si>
    <t>Utility PV - CF Class-19 Cost Class-c02 - Mozambique</t>
  </si>
  <si>
    <t>EN_SPV_21_c02_MRT</t>
  </si>
  <si>
    <t>Utility PV - CF Class-21 Cost Class-c02 - Mauritania</t>
  </si>
  <si>
    <t>ELC_Sol-MRT</t>
  </si>
  <si>
    <t>MRT</t>
  </si>
  <si>
    <t>EN_SPV_17_c01_MWI</t>
  </si>
  <si>
    <t>Utility PV - CF Class-17 Cost Class-c01 - Malawi</t>
  </si>
  <si>
    <t>ELC_Sol-MWI</t>
  </si>
  <si>
    <t>MWI</t>
  </si>
  <si>
    <t>EN_SPV_17_c02_MWI</t>
  </si>
  <si>
    <t>Utility PV - CF Class-17 Cost Class-c02 - Malawi</t>
  </si>
  <si>
    <t>EN_SPV_18_c01_MWI</t>
  </si>
  <si>
    <t>Utility PV - CF Class-18 Cost Class-c01 - Malawi</t>
  </si>
  <si>
    <t>EN_SPV_18_c02_MWI</t>
  </si>
  <si>
    <t>Utility PV - CF Class-18 Cost Class-c02 - Malawi</t>
  </si>
  <si>
    <t>EN_SPV_19_c01_MWI</t>
  </si>
  <si>
    <t>Utility PV - CF Class-19 Cost Class-c01 - Malawi</t>
  </si>
  <si>
    <t>EN_SPV_19_c02_MWI</t>
  </si>
  <si>
    <t>Utility PV - CF Class-19 Cost Class-c02 - Malawi</t>
  </si>
  <si>
    <t>EN_SPV_14_c02_MYS</t>
  </si>
  <si>
    <t>Utility PV - CF Class-14 Cost Class-c02 - Malaysia</t>
  </si>
  <si>
    <t>ELC_Sol-MYS</t>
  </si>
  <si>
    <t>MYS</t>
  </si>
  <si>
    <t>EN_SPV_14_c03_MYS</t>
  </si>
  <si>
    <t>Utility PV - CF Class-14 Cost Class-c03 - Malaysia</t>
  </si>
  <si>
    <t>EN_SPV_14_c04_MYS</t>
  </si>
  <si>
    <t>Utility PV - CF Class-14 Cost Class-c04 - Malaysia</t>
  </si>
  <si>
    <t>EN_SPV_15_c01_MYS</t>
  </si>
  <si>
    <t>Utility PV - CF Class-15 Cost Class-c01 - Malaysia</t>
  </si>
  <si>
    <t>EN_SPV_15_c02_MYS</t>
  </si>
  <si>
    <t>Utility PV - CF Class-15 Cost Class-c02 - Malaysia</t>
  </si>
  <si>
    <t>EN_SPV_15_c03_MYS</t>
  </si>
  <si>
    <t>Utility PV - CF Class-15 Cost Class-c03 - Malaysia</t>
  </si>
  <si>
    <t>EN_SPV_15_c04_MYS</t>
  </si>
  <si>
    <t>Utility PV - CF Class-15 Cost Class-c04 - Malaysia</t>
  </si>
  <si>
    <t>EN_SPV_16_c01_MYS</t>
  </si>
  <si>
    <t>Utility PV - CF Class-16 Cost Class-c01 - Malaysia</t>
  </si>
  <si>
    <t>EN_SPV_16_c02_MYS</t>
  </si>
  <si>
    <t>Utility PV - CF Class-16 Cost Class-c02 - Malaysia</t>
  </si>
  <si>
    <t>EN_SPV_16_c03_MYS</t>
  </si>
  <si>
    <t>Utility PV - CF Class-16 Cost Class-c03 - Malaysia</t>
  </si>
  <si>
    <t>EN_SPV_23_c01_NAM</t>
  </si>
  <si>
    <t>Utility PV - CF Class-23 Cost Class-c01 - Namibia</t>
  </si>
  <si>
    <t>ELC_Sol-NAM</t>
  </si>
  <si>
    <t>NAM</t>
  </si>
  <si>
    <t>EN_SPV_22_c03_NER</t>
  </si>
  <si>
    <t>Utility PV - CF Class-22 Cost Class-c03 - Niger</t>
  </si>
  <si>
    <t>ELC_Sol-NER</t>
  </si>
  <si>
    <t>NER</t>
  </si>
  <si>
    <t>EN_SPV_22_c04_NER</t>
  </si>
  <si>
    <t>Utility PV - CF Class-22 Cost Class-c04 - Niger</t>
  </si>
  <si>
    <t>EN_SPV_18_c01_NGA</t>
  </si>
  <si>
    <t>Utility PV - CF Class-18 Cost Class-c01 - Nigeria</t>
  </si>
  <si>
    <t>ELC_Sol-NGA</t>
  </si>
  <si>
    <t>NGA</t>
  </si>
  <si>
    <t>EN_SPV_18_c03_NGA</t>
  </si>
  <si>
    <t>Utility PV - CF Class-18 Cost Class-c03 - Nigeria</t>
  </si>
  <si>
    <t>EN_SPV_19_c01_NGA</t>
  </si>
  <si>
    <t>Utility PV - CF Class-19 Cost Class-c01 - Nigeria</t>
  </si>
  <si>
    <t>EN_SPV_19_c02_NGA</t>
  </si>
  <si>
    <t>Utility PV - CF Class-19 Cost Class-c02 - Nigeria</t>
  </si>
  <si>
    <t>EN_SPV_19_c03_NGA</t>
  </si>
  <si>
    <t>Utility PV - CF Class-19 Cost Class-c03 - Nigeria</t>
  </si>
  <si>
    <t>EN_SPV_19_c04_NGA</t>
  </si>
  <si>
    <t>Utility PV - CF Class-19 Cost Class-c04 - Nigeria</t>
  </si>
  <si>
    <t>EN_SPV_16_c01_NIC</t>
  </si>
  <si>
    <t>Utility PV - CF Class-16 Cost Class-c01 - Nicaragua</t>
  </si>
  <si>
    <t>ELC_Sol-NIC</t>
  </si>
  <si>
    <t>NIC</t>
  </si>
  <si>
    <t>EN_SPV_16_c02_NIC</t>
  </si>
  <si>
    <t>Utility PV - CF Class-16 Cost Class-c02 - Nicaragua</t>
  </si>
  <si>
    <t>EN_SPV_16_c04_NIC</t>
  </si>
  <si>
    <t>Utility PV - CF Class-16 Cost Class-c04 - Nicaragua</t>
  </si>
  <si>
    <t>EN_SPV_17_c01_NIC</t>
  </si>
  <si>
    <t>Utility PV - CF Class-17 Cost Class-c01 - Nicaragua</t>
  </si>
  <si>
    <t>EN_SPV_17_c03_NIC</t>
  </si>
  <si>
    <t>Utility PV - CF Class-17 Cost Class-c03 - Nicaragua</t>
  </si>
  <si>
    <t>EN_SPV_17_c04_NIC</t>
  </si>
  <si>
    <t>Utility PV - CF Class-17 Cost Class-c04 - Nicaragua</t>
  </si>
  <si>
    <t>EN_SPV_18_c01_NIC</t>
  </si>
  <si>
    <t>Utility PV - CF Class-18 Cost Class-c01 - Nicaragua</t>
  </si>
  <si>
    <t>EN_SPV_19_c01_NIC</t>
  </si>
  <si>
    <t>Utility PV - CF Class-19 Cost Class-c01 - Nicaragua</t>
  </si>
  <si>
    <t>EN_SPV_11_c03_NLD</t>
  </si>
  <si>
    <t>Utility PV - CF Class-11 Cost Class-c03 - Netherlands</t>
  </si>
  <si>
    <t>ELC_Sol-NLD</t>
  </si>
  <si>
    <t>NLD</t>
  </si>
  <si>
    <t>EN_SPV_12_c03_NLD</t>
  </si>
  <si>
    <t>Utility PV - CF Class-12 Cost Class-c03 - Netherlands</t>
  </si>
  <si>
    <t>EN_SPV_10_c03_NOR</t>
  </si>
  <si>
    <t>Utility PV - CF Class-10 Cost Class-c03 - Norway</t>
  </si>
  <si>
    <t>ELC_Sol-NOR</t>
  </si>
  <si>
    <t>NOR</t>
  </si>
  <si>
    <t>EN_SPV_11_c03_NOR</t>
  </si>
  <si>
    <t>Utility PV - CF Class-11 Cost Class-c03 - Norway</t>
  </si>
  <si>
    <t>EN_SPV_12_c03_NOR</t>
  </si>
  <si>
    <t>Utility PV - CF Class-12 Cost Class-c03 - Norway</t>
  </si>
  <si>
    <t>EN_SPV_14_c02_NPL</t>
  </si>
  <si>
    <t>Utility PV - CF Class-14 Cost Class-c02 - Nepal</t>
  </si>
  <si>
    <t>ELC_Sol-NPL</t>
  </si>
  <si>
    <t>NPL</t>
  </si>
  <si>
    <t>EN_SPV_15_c01_NPL</t>
  </si>
  <si>
    <t>Utility PV - CF Class-15 Cost Class-c01 - Nepal</t>
  </si>
  <si>
    <t>EN_SPV_15_c02_NPL</t>
  </si>
  <si>
    <t>Utility PV - CF Class-15 Cost Class-c02 - Nepal</t>
  </si>
  <si>
    <t>EN_SPV_16_c01_NPL</t>
  </si>
  <si>
    <t>Utility PV - CF Class-16 Cost Class-c01 - Nepal</t>
  </si>
  <si>
    <t>EN_SPV_16_c02_NPL</t>
  </si>
  <si>
    <t>Utility PV - CF Class-16 Cost Class-c02 - Nepal</t>
  </si>
  <si>
    <t>EN_SPV_17_c01_NPL</t>
  </si>
  <si>
    <t>Utility PV - CF Class-17 Cost Class-c01 - Nepal</t>
  </si>
  <si>
    <t>EN_SPV_17_c02_NPL</t>
  </si>
  <si>
    <t>Utility PV - CF Class-17 Cost Class-c02 - Nepal</t>
  </si>
  <si>
    <t>EN_SPV_21_c01_OMN</t>
  </si>
  <si>
    <t>Utility PV - CF Class-21 Cost Class-c01 - Oman</t>
  </si>
  <si>
    <t>ELC_Sol-OMN</t>
  </si>
  <si>
    <t>OMN</t>
  </si>
  <si>
    <t>EN_SPV_22_c01_OMN</t>
  </si>
  <si>
    <t>Utility PV - CF Class-22 Cost Class-c01 - Oman</t>
  </si>
  <si>
    <t>EN_SPV_22_c02_OMN</t>
  </si>
  <si>
    <t>Utility PV - CF Class-22 Cost Class-c02 - Oman</t>
  </si>
  <si>
    <t>EN_SPV_18_c01_PAK</t>
  </si>
  <si>
    <t>Utility PV - CF Class-18 Cost Class-c01 - Pakistan</t>
  </si>
  <si>
    <t>ELC_Sol-PAK</t>
  </si>
  <si>
    <t>PAK</t>
  </si>
  <si>
    <t>EN_SPV_18_c02_PAK</t>
  </si>
  <si>
    <t>Utility PV - CF Class-18 Cost Class-c02 - Pakistan</t>
  </si>
  <si>
    <t>EN_SPV_18_c04_PAK</t>
  </si>
  <si>
    <t>Utility PV - CF Class-18 Cost Class-c04 - Pakistan</t>
  </si>
  <si>
    <t>EN_SPV_19_c01_PAK</t>
  </si>
  <si>
    <t>Utility PV - CF Class-19 Cost Class-c01 - Pakistan</t>
  </si>
  <si>
    <t>EN_SPV_19_c02_PAK</t>
  </si>
  <si>
    <t>Utility PV - CF Class-19 Cost Class-c02 - Pakistan</t>
  </si>
  <si>
    <t>EN_SPV_19_c03_PAK</t>
  </si>
  <si>
    <t>Utility PV - CF Class-19 Cost Class-c03 - Pakistan</t>
  </si>
  <si>
    <t>EN_SPV_20_c01_PAK</t>
  </si>
  <si>
    <t>Utility PV - CF Class-20 Cost Class-c01 - Pakistan</t>
  </si>
  <si>
    <t>EN_SPV_20_c02_PAK</t>
  </si>
  <si>
    <t>Utility PV - CF Class-20 Cost Class-c02 - Pakistan</t>
  </si>
  <si>
    <t>EN_SPV_20_c03_PAK</t>
  </si>
  <si>
    <t>Utility PV - CF Class-20 Cost Class-c03 - Pakistan</t>
  </si>
  <si>
    <t>EN_SPV_21_c01_PAK</t>
  </si>
  <si>
    <t>Utility PV - CF Class-21 Cost Class-c01 - Pakistan</t>
  </si>
  <si>
    <t>EN_SPV_21_c02_PAK</t>
  </si>
  <si>
    <t>Utility PV - CF Class-21 Cost Class-c02 - Pakistan</t>
  </si>
  <si>
    <t>EN_SPV_21_c03_PAK</t>
  </si>
  <si>
    <t>Utility PV - CF Class-21 Cost Class-c03 - Pakistan</t>
  </si>
  <si>
    <t>EN_SPV_22_c01_PAK</t>
  </si>
  <si>
    <t>Utility PV - CF Class-22 Cost Class-c01 - Pakistan</t>
  </si>
  <si>
    <t>EN_SPV_22_c02_PAK</t>
  </si>
  <si>
    <t>Utility PV - CF Class-22 Cost Class-c02 - Pakistan</t>
  </si>
  <si>
    <t>EN_SPV_16_c02_PAN</t>
  </si>
  <si>
    <t>Utility PV - CF Class-16 Cost Class-c02 - Panama</t>
  </si>
  <si>
    <t>ELC_Sol-PAN</t>
  </si>
  <si>
    <t>PAN</t>
  </si>
  <si>
    <t>EN_SPV_16_c04_PAN</t>
  </si>
  <si>
    <t>Utility PV - CF Class-16 Cost Class-c04 - Panama</t>
  </si>
  <si>
    <t>EN_SPV_17_c01_PAN</t>
  </si>
  <si>
    <t>Utility PV - CF Class-17 Cost Class-c01 - Panama</t>
  </si>
  <si>
    <t>EN_SPV_17_c02_PAN</t>
  </si>
  <si>
    <t>Utility PV - CF Class-17 Cost Class-c02 - Panama</t>
  </si>
  <si>
    <t>EN_SPV_16_c01_PER</t>
  </si>
  <si>
    <t>Utility PV - CF Class-16 Cost Class-c01 - Peru</t>
  </si>
  <si>
    <t>ELC_Sol-PER</t>
  </si>
  <si>
    <t>PER</t>
  </si>
  <si>
    <t>EN_SPV_16_c02_PER</t>
  </si>
  <si>
    <t>Utility PV - CF Class-16 Cost Class-c02 - Peru</t>
  </si>
  <si>
    <t>EN_SPV_16_c03_PER</t>
  </si>
  <si>
    <t>Utility PV - CF Class-16 Cost Class-c03 - Peru</t>
  </si>
  <si>
    <t>EN_SPV_17_c01_PER</t>
  </si>
  <si>
    <t>Utility PV - CF Class-17 Cost Class-c01 - Peru</t>
  </si>
  <si>
    <t>EN_SPV_17_c02_PER</t>
  </si>
  <si>
    <t>Utility PV - CF Class-17 Cost Class-c02 - Peru</t>
  </si>
  <si>
    <t>EN_SPV_18_c01_PER</t>
  </si>
  <si>
    <t>Utility PV - CF Class-18 Cost Class-c01 - Peru</t>
  </si>
  <si>
    <t>EN_SPV_18_c02_PER</t>
  </si>
  <si>
    <t>Utility PV - CF Class-18 Cost Class-c02 - Peru</t>
  </si>
  <si>
    <t>EN_SPV_18_c03_PER</t>
  </si>
  <si>
    <t>Utility PV - CF Class-18 Cost Class-c03 - Peru</t>
  </si>
  <si>
    <t>EN_SPV_19_c01_PER</t>
  </si>
  <si>
    <t>Utility PV - CF Class-19 Cost Class-c01 - Peru</t>
  </si>
  <si>
    <t>EN_SPV_19_c02_PER</t>
  </si>
  <si>
    <t>Utility PV - CF Class-19 Cost Class-c02 - Peru</t>
  </si>
  <si>
    <t>EN_SPV_20_c01_PER</t>
  </si>
  <si>
    <t>Utility PV - CF Class-20 Cost Class-c01 - Peru</t>
  </si>
  <si>
    <t>EN_SPV_20_c02_PER</t>
  </si>
  <si>
    <t>Utility PV - CF Class-20 Cost Class-c02 - Peru</t>
  </si>
  <si>
    <t>EN_SPV_21_c01_PER</t>
  </si>
  <si>
    <t>Utility PV - CF Class-21 Cost Class-c01 - Peru</t>
  </si>
  <si>
    <t>EN_SPV_21_c02_PER</t>
  </si>
  <si>
    <t>Utility PV - CF Class-21 Cost Class-c02 - Peru</t>
  </si>
  <si>
    <t>EN_SPV_22_c01_PER</t>
  </si>
  <si>
    <t>Utility PV - CF Class-22 Cost Class-c01 - Peru</t>
  </si>
  <si>
    <t>EN_SPV_23_c01_PER</t>
  </si>
  <si>
    <t>Utility PV - CF Class-23 Cost Class-c01 - Peru</t>
  </si>
  <si>
    <t>EN_SPV_15_c02_PHL</t>
  </si>
  <si>
    <t>Utility PV - CF Class-15 Cost Class-c02 - Philippines</t>
  </si>
  <si>
    <t>ELC_Sol-PHL</t>
  </si>
  <si>
    <t>PHL</t>
  </si>
  <si>
    <t>EN_SPV_15_c03_PHL</t>
  </si>
  <si>
    <t>Utility PV - CF Class-15 Cost Class-c03 - Philippines</t>
  </si>
  <si>
    <t>EN_SPV_16_c01_PHL</t>
  </si>
  <si>
    <t>Utility PV - CF Class-16 Cost Class-c01 - Philippines</t>
  </si>
  <si>
    <t>EN_SPV_16_c02_PHL</t>
  </si>
  <si>
    <t>Utility PV - CF Class-16 Cost Class-c02 - Philippines</t>
  </si>
  <si>
    <t>EN_SPV_16_c03_PHL</t>
  </si>
  <si>
    <t>Utility PV - CF Class-16 Cost Class-c03 - Philippines</t>
  </si>
  <si>
    <t>EN_SPV_16_c04_PHL</t>
  </si>
  <si>
    <t>Utility PV - CF Class-16 Cost Class-c04 - Philippines</t>
  </si>
  <si>
    <t>EN_SPV_17_c01_PHL</t>
  </si>
  <si>
    <t>Utility PV - CF Class-17 Cost Class-c01 - Philippines</t>
  </si>
  <si>
    <t>EN_SPV_17_c02_PHL</t>
  </si>
  <si>
    <t>Utility PV - CF Class-17 Cost Class-c02 - Philippines</t>
  </si>
  <si>
    <t>EN_SPV_17_c04_PHL</t>
  </si>
  <si>
    <t>Utility PV - CF Class-17 Cost Class-c04 - Philippines</t>
  </si>
  <si>
    <t>EN_SPV_18_c01_PHL</t>
  </si>
  <si>
    <t>Utility PV - CF Class-18 Cost Class-c01 - Philippines</t>
  </si>
  <si>
    <t>EN_SPV_13_c04_PNG</t>
  </si>
  <si>
    <t>Utility PV - CF Class-13 Cost Class-c04 - Papua New Guinea</t>
  </si>
  <si>
    <t>ELC_Sol-PNG</t>
  </si>
  <si>
    <t>PNG</t>
  </si>
  <si>
    <t>EN_SPV_14_c03_PNG</t>
  </si>
  <si>
    <t>Utility PV - CF Class-14 Cost Class-c03 - Papua New Guinea</t>
  </si>
  <si>
    <t>EN_SPV_14_c04_PNG</t>
  </si>
  <si>
    <t>Utility PV - CF Class-14 Cost Class-c04 - Papua New Guinea</t>
  </si>
  <si>
    <t>EN_SPV_15_c02_PNG</t>
  </si>
  <si>
    <t>Utility PV - CF Class-15 Cost Class-c02 - Papua New Guinea</t>
  </si>
  <si>
    <t>EN_SPV_15_c03_PNG</t>
  </si>
  <si>
    <t>Utility PV - CF Class-15 Cost Class-c03 - Papua New Guinea</t>
  </si>
  <si>
    <t>EN_SPV_15_c04_PNG</t>
  </si>
  <si>
    <t>Utility PV - CF Class-15 Cost Class-c04 - Papua New Guinea</t>
  </si>
  <si>
    <t>EN_SPV_16_c01_PNG</t>
  </si>
  <si>
    <t>Utility PV - CF Class-16 Cost Class-c01 - Papua New Guinea</t>
  </si>
  <si>
    <t>EN_SPV_16_c02_PNG</t>
  </si>
  <si>
    <t>Utility PV - CF Class-16 Cost Class-c02 - Papua New Guinea</t>
  </si>
  <si>
    <t>EN_SPV_16_c03_PNG</t>
  </si>
  <si>
    <t>Utility PV - CF Class-16 Cost Class-c03 - Papua New Guinea</t>
  </si>
  <si>
    <t>EN_SPV_16_c04_PNG</t>
  </si>
  <si>
    <t>Utility PV - CF Class-16 Cost Class-c04 - Papua New Guinea</t>
  </si>
  <si>
    <t>EN_SPV_17_c01_PNG</t>
  </si>
  <si>
    <t>Utility PV - CF Class-17 Cost Class-c01 - Papua New Guinea</t>
  </si>
  <si>
    <t>EN_SPV_17_c02_PNG</t>
  </si>
  <si>
    <t>Utility PV - CF Class-17 Cost Class-c02 - Papua New Guinea</t>
  </si>
  <si>
    <t>EN_SPV_11_c03_POL</t>
  </si>
  <si>
    <t>Utility PV - CF Class-11 Cost Class-c03 - Poland</t>
  </si>
  <si>
    <t>ELC_Sol-POL</t>
  </si>
  <si>
    <t>POL</t>
  </si>
  <si>
    <t>EN_SPV_12_c02_POL</t>
  </si>
  <si>
    <t>Utility PV - CF Class-12 Cost Class-c02 - Poland</t>
  </si>
  <si>
    <t>EN_SPV_12_c03_POL</t>
  </si>
  <si>
    <t>Utility PV - CF Class-12 Cost Class-c03 - Poland</t>
  </si>
  <si>
    <t>EN_SPV_15_c02_PRK</t>
  </si>
  <si>
    <t>Utility PV - CF Class-15 Cost Class-c02 - Dem. People^s Rep. Korea</t>
  </si>
  <si>
    <t>ELC_Sol-PRK</t>
  </si>
  <si>
    <t>PRK</t>
  </si>
  <si>
    <t>EN_SPV_16_c01_PRK</t>
  </si>
  <si>
    <t>Utility PV - CF Class-16 Cost Class-c01 - Dem. People^s Rep. Korea</t>
  </si>
  <si>
    <t>EN_SPV_16_c02_PRK</t>
  </si>
  <si>
    <t>Utility PV - CF Class-16 Cost Class-c02 - Dem. People^s Rep. Korea</t>
  </si>
  <si>
    <t>EN_SPV_16_c03_PRK</t>
  </si>
  <si>
    <t>Utility PV - CF Class-16 Cost Class-c03 - Dem. People^s Rep. Korea</t>
  </si>
  <si>
    <t>EN_SPV_17_c01_PRK</t>
  </si>
  <si>
    <t>Utility PV - CF Class-17 Cost Class-c01 - Dem. People^s Rep. Korea</t>
  </si>
  <si>
    <t>EN_SPV_17_c02_PRK</t>
  </si>
  <si>
    <t>Utility PV - CF Class-17 Cost Class-c02 - Dem. People^s Rep. Korea</t>
  </si>
  <si>
    <t>EN_SPV_17_c01_PRT</t>
  </si>
  <si>
    <t>Utility PV - CF Class-17 Cost Class-c01 - Portugal</t>
  </si>
  <si>
    <t>ELC_Sol-PRT</t>
  </si>
  <si>
    <t>PRT</t>
  </si>
  <si>
    <t>EN_SPV_18_c01_PRT</t>
  </si>
  <si>
    <t>Utility PV - CF Class-18 Cost Class-c01 - Portugal</t>
  </si>
  <si>
    <t>EN_SPV_19_c01_PRT</t>
  </si>
  <si>
    <t>Utility PV - CF Class-19 Cost Class-c01 - Portugal</t>
  </si>
  <si>
    <t>EN_SPV_17_c02_PRY</t>
  </si>
  <si>
    <t>Utility PV - CF Class-17 Cost Class-c02 - Paraguay</t>
  </si>
  <si>
    <t>ELC_Sol-PRY</t>
  </si>
  <si>
    <t>PRY</t>
  </si>
  <si>
    <t>EN_SPV_19_c01_PSE</t>
  </si>
  <si>
    <t>Utility PV - CF Class-19 Cost Class-c01 - Palestine</t>
  </si>
  <si>
    <t>ELC_Sol-PSE</t>
  </si>
  <si>
    <t>PSE</t>
  </si>
  <si>
    <t>EN_SPV_20_c01_PSE</t>
  </si>
  <si>
    <t>Utility PV - CF Class-20 Cost Class-c01 - Palestine</t>
  </si>
  <si>
    <t>EN_SPV_19_c01_QAT</t>
  </si>
  <si>
    <t>Utility PV - CF Class-19 Cost Class-c01 - Qatar</t>
  </si>
  <si>
    <t>ELC_Sol-QAT</t>
  </si>
  <si>
    <t>QAT</t>
  </si>
  <si>
    <t>EN_SPV_14_c02_ROU</t>
  </si>
  <si>
    <t>Utility PV - CF Class-14 Cost Class-c02 - Romania</t>
  </si>
  <si>
    <t>ELC_Sol-ROU</t>
  </si>
  <si>
    <t>ROU</t>
  </si>
  <si>
    <t>EN_SPV_15_c03_ROU</t>
  </si>
  <si>
    <t>Utility PV - CF Class-15 Cost Class-c03 - Romania</t>
  </si>
  <si>
    <t>EN_SPV_15_c01_RUS</t>
  </si>
  <si>
    <t>Utility PV - CF Class-15 Cost Class-c01 - Russia</t>
  </si>
  <si>
    <t>ELC_Sol-RUS</t>
  </si>
  <si>
    <t>RUS</t>
  </si>
  <si>
    <t>EN_SPV_15_c02_RUS</t>
  </si>
  <si>
    <t>Utility PV - CF Class-15 Cost Class-c02 - Russia</t>
  </si>
  <si>
    <t>EN_SPV_15_c03_RUS</t>
  </si>
  <si>
    <t>Utility PV - CF Class-15 Cost Class-c03 - Russia</t>
  </si>
  <si>
    <t>EN_SPV_15_c04_RUS</t>
  </si>
  <si>
    <t>Utility PV - CF Class-15 Cost Class-c04 - Russia</t>
  </si>
  <si>
    <t>EN_SPV_16_c01_RUS</t>
  </si>
  <si>
    <t>Utility PV - CF Class-16 Cost Class-c01 - Russia</t>
  </si>
  <si>
    <t>EN_SPV_16_c02_RUS</t>
  </si>
  <si>
    <t>Utility PV - CF Class-16 Cost Class-c02 - Russia</t>
  </si>
  <si>
    <t>EN_SPV_16_c03_RUS</t>
  </si>
  <si>
    <t>Utility PV - CF Class-16 Cost Class-c03 - Russia</t>
  </si>
  <si>
    <t>EN_SPV_16_c04_RUS</t>
  </si>
  <si>
    <t>Utility PV - CF Class-16 Cost Class-c04 - Russia</t>
  </si>
  <si>
    <t>EN_SPV_17_c01_RUS</t>
  </si>
  <si>
    <t>Utility PV - CF Class-17 Cost Class-c01 - Russia</t>
  </si>
  <si>
    <t>EN_SPV_17_c02_RUS</t>
  </si>
  <si>
    <t>Utility PV - CF Class-17 Cost Class-c02 - Russia</t>
  </si>
  <si>
    <t>EN_SPV_17_c03_RUS</t>
  </si>
  <si>
    <t>Utility PV - CF Class-17 Cost Class-c03 - Russia</t>
  </si>
  <si>
    <t>EN_SPV_17_c04_RUS</t>
  </si>
  <si>
    <t>Utility PV - CF Class-17 Cost Class-c04 - Russia</t>
  </si>
  <si>
    <t>EN_SPV_18_c01_RUS</t>
  </si>
  <si>
    <t>Utility PV - CF Class-18 Cost Class-c01 - Russia</t>
  </si>
  <si>
    <t>EN_SPV_18_c02_RUS</t>
  </si>
  <si>
    <t>Utility PV - CF Class-18 Cost Class-c02 - Russia</t>
  </si>
  <si>
    <t>EN_SPV_18_c03_RUS</t>
  </si>
  <si>
    <t>Utility PV - CF Class-18 Cost Class-c03 - Russia</t>
  </si>
  <si>
    <t>EN_SPV_15_c02_RWA</t>
  </si>
  <si>
    <t>Utility PV - CF Class-15 Cost Class-c02 - Rwanda</t>
  </si>
  <si>
    <t>ELC_Sol-RWA</t>
  </si>
  <si>
    <t>RWA</t>
  </si>
  <si>
    <t>EN_SPV_16_c02_RWA</t>
  </si>
  <si>
    <t>Utility PV - CF Class-16 Cost Class-c02 - Rwanda</t>
  </si>
  <si>
    <t>EN_SPV_17_c01_RWA</t>
  </si>
  <si>
    <t>Utility PV - CF Class-17 Cost Class-c01 - Rwanda</t>
  </si>
  <si>
    <t>EN_SPV_17_c02_RWA</t>
  </si>
  <si>
    <t>Utility PV - CF Class-17 Cost Class-c02 - Rwanda</t>
  </si>
  <si>
    <t>EN_SPV_21_c01_SAU</t>
  </si>
  <si>
    <t>Utility PV - CF Class-21 Cost Class-c01 - Saudi Arabia</t>
  </si>
  <si>
    <t>ELC_Sol-SAU</t>
  </si>
  <si>
    <t>SAU</t>
  </si>
  <si>
    <t>EN_SPV_22_c01_SAU</t>
  </si>
  <si>
    <t>Utility PV - CF Class-22 Cost Class-c01 - Saudi Arabia</t>
  </si>
  <si>
    <t>EN_SPV_22_c02_SAU</t>
  </si>
  <si>
    <t>Utility PV - CF Class-22 Cost Class-c02 - Saudi Arabia</t>
  </si>
  <si>
    <t>EN_SPV_22_c03_SAU</t>
  </si>
  <si>
    <t>Utility PV - CF Class-22 Cost Class-c03 - Saudi Arabia</t>
  </si>
  <si>
    <t>EN_SPV_23_c01_SAU</t>
  </si>
  <si>
    <t>Utility PV - CF Class-23 Cost Class-c01 - Saudi Arabia</t>
  </si>
  <si>
    <t>EN_SPV_18_c01_SEN</t>
  </si>
  <si>
    <t>Utility PV - CF Class-18 Cost Class-c01 - Senegal</t>
  </si>
  <si>
    <t>ELC_Sol-SEN</t>
  </si>
  <si>
    <t>SEN</t>
  </si>
  <si>
    <t>EN_SPV_19_c01_SEN</t>
  </si>
  <si>
    <t>Utility PV - CF Class-19 Cost Class-c01 - Senegal</t>
  </si>
  <si>
    <t>EN_SPV_16_c01_SLE</t>
  </si>
  <si>
    <t>Utility PV - CF Class-16 Cost Class-c01 - Sierra Leone</t>
  </si>
  <si>
    <t>ELC_Sol-SLE</t>
  </si>
  <si>
    <t>SLE</t>
  </si>
  <si>
    <t>EN_SPV_16_c02_SLE</t>
  </si>
  <si>
    <t>Utility PV - CF Class-16 Cost Class-c02 - Sierra Leone</t>
  </si>
  <si>
    <t>EN_SPV_17_c01_SLE</t>
  </si>
  <si>
    <t>Utility PV - CF Class-17 Cost Class-c01 - Sierra Leone</t>
  </si>
  <si>
    <t>EN_SPV_17_c02_SLE</t>
  </si>
  <si>
    <t>Utility PV - CF Class-17 Cost Class-c02 - Sierra Leone</t>
  </si>
  <si>
    <t>EN_SPV_19_c01_SLV</t>
  </si>
  <si>
    <t>Utility PV - CF Class-19 Cost Class-c01 - El Salvador</t>
  </si>
  <si>
    <t>ELC_Sol-SLV</t>
  </si>
  <si>
    <t>SLV</t>
  </si>
  <si>
    <t>EN_SPV_21_c01_SOM</t>
  </si>
  <si>
    <t>Utility PV - CF Class-21 Cost Class-c01 - Somalia</t>
  </si>
  <si>
    <t>ELC_Sol-SOM</t>
  </si>
  <si>
    <t>SOM</t>
  </si>
  <si>
    <t>EN_SPV_14_c02_SRB</t>
  </si>
  <si>
    <t>Utility PV - CF Class-14 Cost Class-c02 - Serbia</t>
  </si>
  <si>
    <t>ELC_Sol-SRB</t>
  </si>
  <si>
    <t>SRB</t>
  </si>
  <si>
    <t>EN_SPV_15_c02_SRB</t>
  </si>
  <si>
    <t>Utility PV - CF Class-15 Cost Class-c02 - Serbia</t>
  </si>
  <si>
    <t>EN_SPV_17_c01_SSD</t>
  </si>
  <si>
    <t>Utility PV - CF Class-17 Cost Class-c01 - South Sudan</t>
  </si>
  <si>
    <t>ELC_Sol-SSD</t>
  </si>
  <si>
    <t>SSD</t>
  </si>
  <si>
    <t>EN_SPV_17_c03_SSD</t>
  </si>
  <si>
    <t>Utility PV - CF Class-17 Cost Class-c03 - South Sudan</t>
  </si>
  <si>
    <t>EN_SPV_18_c01_SSD</t>
  </si>
  <si>
    <t>Utility PV - CF Class-18 Cost Class-c01 - South Sudan</t>
  </si>
  <si>
    <t>EN_SPV_18_c02_SSD</t>
  </si>
  <si>
    <t>Utility PV - CF Class-18 Cost Class-c02 - South Sudan</t>
  </si>
  <si>
    <t>EN_SPV_18_c03_SSD</t>
  </si>
  <si>
    <t>Utility PV - CF Class-18 Cost Class-c03 - South Sudan</t>
  </si>
  <si>
    <t>EN_SPV_18_c04_SSD</t>
  </si>
  <si>
    <t>Utility PV - CF Class-18 Cost Class-c04 - South Sudan</t>
  </si>
  <si>
    <t>EN_SPV_19_c03_SSD</t>
  </si>
  <si>
    <t>Utility PV - CF Class-19 Cost Class-c03 - South Sudan</t>
  </si>
  <si>
    <t>EN_SPV_19_c04_SSD</t>
  </si>
  <si>
    <t>Utility PV - CF Class-19 Cost Class-c04 - South Sudan</t>
  </si>
  <si>
    <t>EN_SPV_16_c04_SUR</t>
  </si>
  <si>
    <t>Utility PV - CF Class-16 Cost Class-c04 - Suriname</t>
  </si>
  <si>
    <t>ELC_Sol-SUR</t>
  </si>
  <si>
    <t>SUR</t>
  </si>
  <si>
    <t>EN_SPV_17_c01_SUR</t>
  </si>
  <si>
    <t>Utility PV - CF Class-17 Cost Class-c01 - Suriname</t>
  </si>
  <si>
    <t>EN_SPV_17_c02_SUR</t>
  </si>
  <si>
    <t>Utility PV - CF Class-17 Cost Class-c02 - Suriname</t>
  </si>
  <si>
    <t>EN_SPV_17_c03_SUR</t>
  </si>
  <si>
    <t>Utility PV - CF Class-17 Cost Class-c03 - Suriname</t>
  </si>
  <si>
    <t>EN_SPV_13_c02_SVK</t>
  </si>
  <si>
    <t>Utility PV - CF Class-13 Cost Class-c02 - Slovak Republic</t>
  </si>
  <si>
    <t>ELC_Sol-SVK</t>
  </si>
  <si>
    <t>SVK</t>
  </si>
  <si>
    <t>EN_SPV_14_c02_SVN</t>
  </si>
  <si>
    <t>Utility PV - CF Class-14 Cost Class-c02 - Slovenia</t>
  </si>
  <si>
    <t>ELC_Sol-SVN</t>
  </si>
  <si>
    <t>SVN</t>
  </si>
  <si>
    <t>EN_SPV_11_c03_SWE</t>
  </si>
  <si>
    <t>Utility PV - CF Class-11 Cost Class-c03 - Sweden</t>
  </si>
  <si>
    <t>ELC_Sol-SWE</t>
  </si>
  <si>
    <t>SWE</t>
  </si>
  <si>
    <t>EN_SPV_12_c02_SWE</t>
  </si>
  <si>
    <t>Utility PV - CF Class-12 Cost Class-c02 - Sweden</t>
  </si>
  <si>
    <t>EN_SPV_12_c03_SWE</t>
  </si>
  <si>
    <t>Utility PV - CF Class-12 Cost Class-c03 - Sweden</t>
  </si>
  <si>
    <t>EN_SPV_13_c03_SWE</t>
  </si>
  <si>
    <t>Utility PV - CF Class-13 Cost Class-c03 - Sweden</t>
  </si>
  <si>
    <t>EN_SPV_17_c01_SWZ</t>
  </si>
  <si>
    <t>Utility PV - CF Class-17 Cost Class-c01 - Swaziland</t>
  </si>
  <si>
    <t>ELC_Sol-SWZ</t>
  </si>
  <si>
    <t>SWZ</t>
  </si>
  <si>
    <t>EN_SPV_17_c02_SWZ</t>
  </si>
  <si>
    <t>Utility PV - CF Class-17 Cost Class-c02 - Swaziland</t>
  </si>
  <si>
    <t>EN_SPV_18_c01_SWZ</t>
  </si>
  <si>
    <t>Utility PV - CF Class-18 Cost Class-c01 - Swaziland</t>
  </si>
  <si>
    <t>EN_SPV_20_c02_SYR</t>
  </si>
  <si>
    <t>Utility PV - CF Class-20 Cost Class-c02 - Syrian Arab Republic</t>
  </si>
  <si>
    <t>ELC_Sol-SYR</t>
  </si>
  <si>
    <t>SYR</t>
  </si>
  <si>
    <t>EN_SPV_20_c03_SYR</t>
  </si>
  <si>
    <t>Utility PV - CF Class-20 Cost Class-c03 - Syrian Arab Republic</t>
  </si>
  <si>
    <t>EN_SPV_21_c01_SYR</t>
  </si>
  <si>
    <t>Utility PV - CF Class-21 Cost Class-c01 - Syrian Arab Republic</t>
  </si>
  <si>
    <t>EN_SPV_21_c02_SYR</t>
  </si>
  <si>
    <t>Utility PV - CF Class-21 Cost Class-c02 - Syrian Arab Republic</t>
  </si>
  <si>
    <t>EN_SPV_21_c03_SYR</t>
  </si>
  <si>
    <t>Utility PV - CF Class-21 Cost Class-c03 - Syrian Arab Republic</t>
  </si>
  <si>
    <t>EN_SPV_22_c03_TCD</t>
  </si>
  <si>
    <t>Utility PV - CF Class-22 Cost Class-c03 - Chad</t>
  </si>
  <si>
    <t>ELC_Sol-TCD</t>
  </si>
  <si>
    <t>TCD</t>
  </si>
  <si>
    <t>EN_SPV_23_c04_TCD</t>
  </si>
  <si>
    <t>Utility PV - CF Class-23 Cost Class-c04 - Chad</t>
  </si>
  <si>
    <t>EN_SPV_17_c02_TGO</t>
  </si>
  <si>
    <t>Utility PV - CF Class-17 Cost Class-c02 - Togo</t>
  </si>
  <si>
    <t>ELC_Sol-TGO</t>
  </si>
  <si>
    <t>TGO</t>
  </si>
  <si>
    <t>EN_SPV_16_c01_THA</t>
  </si>
  <si>
    <t>Utility PV - CF Class-16 Cost Class-c01 - Thailand</t>
  </si>
  <si>
    <t>ELC_Sol-THA</t>
  </si>
  <si>
    <t>THA</t>
  </si>
  <si>
    <t>EN_SPV_17_c01_THA</t>
  </si>
  <si>
    <t>Utility PV - CF Class-17 Cost Class-c01 - Thailand</t>
  </si>
  <si>
    <t>EN_SPV_17_c02_THA</t>
  </si>
  <si>
    <t>Utility PV - CF Class-17 Cost Class-c02 - Thailand</t>
  </si>
  <si>
    <t>EN_SPV_15_c02_TJK</t>
  </si>
  <si>
    <t>Utility PV - CF Class-15 Cost Class-c02 - Tajikistan</t>
  </si>
  <si>
    <t>ELC_Sol-TJK</t>
  </si>
  <si>
    <t>TJK</t>
  </si>
  <si>
    <t>EN_SPV_16_c01_TJK</t>
  </si>
  <si>
    <t>Utility PV - CF Class-16 Cost Class-c01 - Tajikistan</t>
  </si>
  <si>
    <t>EN_SPV_16_c02_TJK</t>
  </si>
  <si>
    <t>Utility PV - CF Class-16 Cost Class-c02 - Tajikistan</t>
  </si>
  <si>
    <t>EN_SPV_17_c01_TJK</t>
  </si>
  <si>
    <t>Utility PV - CF Class-17 Cost Class-c01 - Tajikistan</t>
  </si>
  <si>
    <t>EN_SPV_17_c02_TJK</t>
  </si>
  <si>
    <t>Utility PV - CF Class-17 Cost Class-c02 - Tajikistan</t>
  </si>
  <si>
    <t>EN_SPV_18_c03_TKM</t>
  </si>
  <si>
    <t>Utility PV - CF Class-18 Cost Class-c03 - Turkmenistan</t>
  </si>
  <si>
    <t>ELC_Sol-TKM</t>
  </si>
  <si>
    <t>TKM</t>
  </si>
  <si>
    <t>EN_SPV_19_c01_TKM</t>
  </si>
  <si>
    <t>Utility PV - CF Class-19 Cost Class-c01 - Turkmenistan</t>
  </si>
  <si>
    <t>EN_SPV_17_c02_TTO</t>
  </si>
  <si>
    <t>Utility PV - CF Class-17 Cost Class-c02 - Trinidad and Tobago</t>
  </si>
  <si>
    <t>ELC_Sol-TTO</t>
  </si>
  <si>
    <t>TTO</t>
  </si>
  <si>
    <t>EN_SPV_20_c02_TUN</t>
  </si>
  <si>
    <t>Utility PV - CF Class-20 Cost Class-c02 - Tunisia</t>
  </si>
  <si>
    <t>ELC_Sol-TUN</t>
  </si>
  <si>
    <t>TUN</t>
  </si>
  <si>
    <t>EN_SPV_20_c03_TUN</t>
  </si>
  <si>
    <t>Utility PV - CF Class-20 Cost Class-c03 - Tunisia</t>
  </si>
  <si>
    <t>EN_SPV_14_c02_TUR</t>
  </si>
  <si>
    <t>Utility PV - CF Class-14 Cost Class-c02 - Turkey</t>
  </si>
  <si>
    <t>ELC_Sol-TUR</t>
  </si>
  <si>
    <t>TUR</t>
  </si>
  <si>
    <t>EN_SPV_15_c01_TUR</t>
  </si>
  <si>
    <t>Utility PV - CF Class-15 Cost Class-c01 - Turkey</t>
  </si>
  <si>
    <t>EN_SPV_15_c02_TUR</t>
  </si>
  <si>
    <t>Utility PV - CF Class-15 Cost Class-c02 - Turkey</t>
  </si>
  <si>
    <t>EN_SPV_16_c01_TUR</t>
  </si>
  <si>
    <t>Utility PV - CF Class-16 Cost Class-c01 - Turkey</t>
  </si>
  <si>
    <t>EN_SPV_16_c02_TUR</t>
  </si>
  <si>
    <t>Utility PV - CF Class-16 Cost Class-c02 - Turkey</t>
  </si>
  <si>
    <t>EN_SPV_17_c01_TUR</t>
  </si>
  <si>
    <t>Utility PV - CF Class-17 Cost Class-c01 - Turkey</t>
  </si>
  <si>
    <t>EN_SPV_17_c02_TUR</t>
  </si>
  <si>
    <t>Utility PV - CF Class-17 Cost Class-c02 - Turkey</t>
  </si>
  <si>
    <t>EN_SPV_18_c01_TUR</t>
  </si>
  <si>
    <t>Utility PV - CF Class-18 Cost Class-c01 - Turkey</t>
  </si>
  <si>
    <t>EN_SPV_18_c02_TUR</t>
  </si>
  <si>
    <t>Utility PV - CF Class-18 Cost Class-c02 - Turkey</t>
  </si>
  <si>
    <t>EN_SPV_19_c01_TUR</t>
  </si>
  <si>
    <t>Utility PV - CF Class-19 Cost Class-c01 - Turkey</t>
  </si>
  <si>
    <t>EN_SPV_19_c03_TZA</t>
  </si>
  <si>
    <t>Utility PV - CF Class-19 Cost Class-c03 - Tanzania</t>
  </si>
  <si>
    <t>ELC_Sol-TZA</t>
  </si>
  <si>
    <t>TZA</t>
  </si>
  <si>
    <t>EN_SPV_20_c01_TZA</t>
  </si>
  <si>
    <t>Utility PV - CF Class-20 Cost Class-c01 - Tanzania</t>
  </si>
  <si>
    <t>EN_SPV_20_c02_TZA</t>
  </si>
  <si>
    <t>Utility PV - CF Class-20 Cost Class-c02 - Tanzania</t>
  </si>
  <si>
    <t>EN_SPV_19_c01_UGA</t>
  </si>
  <si>
    <t>Utility PV - CF Class-19 Cost Class-c01 - Uganda</t>
  </si>
  <si>
    <t>ELC_Sol-UGA</t>
  </si>
  <si>
    <t>UGA</t>
  </si>
  <si>
    <t>EN_SPV_19_c02_UGA</t>
  </si>
  <si>
    <t>Utility PV - CF Class-19 Cost Class-c02 - Uganda</t>
  </si>
  <si>
    <t>EN_SPV_19_c03_UGA</t>
  </si>
  <si>
    <t>Utility PV - CF Class-19 Cost Class-c03 - Uganda</t>
  </si>
  <si>
    <t>EN_SPV_14_c02_UKR</t>
  </si>
  <si>
    <t>Utility PV - CF Class-14 Cost Class-c02 - Ukraine</t>
  </si>
  <si>
    <t>ELC_Sol-UKR</t>
  </si>
  <si>
    <t>UKR</t>
  </si>
  <si>
    <t>EN_SPV_15_c02_UKR</t>
  </si>
  <si>
    <t>Utility PV - CF Class-15 Cost Class-c02 - Ukraine</t>
  </si>
  <si>
    <t>EN_SPV_17_c01_URY</t>
  </si>
  <si>
    <t>Utility PV - CF Class-17 Cost Class-c01 - Uruguay</t>
  </si>
  <si>
    <t>ELC_Sol-URY</t>
  </si>
  <si>
    <t>URY</t>
  </si>
  <si>
    <t>EN_SPV_14_c02_USA</t>
  </si>
  <si>
    <t>Utility PV - CF Class-14 Cost Class-c02 - United States</t>
  </si>
  <si>
    <t>ELC_Sol-USA</t>
  </si>
  <si>
    <t>EN_SPV_14_c03_USA</t>
  </si>
  <si>
    <t>Utility PV - CF Class-14 Cost Class-c03 - United States</t>
  </si>
  <si>
    <t>EN_SPV_15_c01_USA</t>
  </si>
  <si>
    <t>Utility PV - CF Class-15 Cost Class-c01 - United States</t>
  </si>
  <si>
    <t>EN_SPV_15_c02_USA</t>
  </si>
  <si>
    <t>Utility PV - CF Class-15 Cost Class-c02 - United States</t>
  </si>
  <si>
    <t>EN_SPV_15_c03_USA</t>
  </si>
  <si>
    <t>Utility PV - CF Class-15 Cost Class-c03 - United States</t>
  </si>
  <si>
    <t>EN_SPV_15_c04_USA</t>
  </si>
  <si>
    <t>Utility PV - CF Class-15 Cost Class-c04 - United States</t>
  </si>
  <si>
    <t>EN_SPV_16_c01_USA</t>
  </si>
  <si>
    <t>Utility PV - CF Class-16 Cost Class-c01 - United States</t>
  </si>
  <si>
    <t>EN_SPV_16_c02_USA</t>
  </si>
  <si>
    <t>Utility PV - CF Class-16 Cost Class-c02 - United States</t>
  </si>
  <si>
    <t>EN_SPV_16_c03_USA</t>
  </si>
  <si>
    <t>Utility PV - CF Class-16 Cost Class-c03 - United States</t>
  </si>
  <si>
    <t>EN_SPV_16_c04_USA</t>
  </si>
  <si>
    <t>Utility PV - CF Class-16 Cost Class-c04 - United States</t>
  </si>
  <si>
    <t>EN_SPV_17_c01_USA</t>
  </si>
  <si>
    <t>Utility PV - CF Class-17 Cost Class-c01 - United States</t>
  </si>
  <si>
    <t>EN_SPV_17_c02_USA</t>
  </si>
  <si>
    <t>Utility PV - CF Class-17 Cost Class-c02 - United States</t>
  </si>
  <si>
    <t>EN_SPV_17_c03_USA</t>
  </si>
  <si>
    <t>Utility PV - CF Class-17 Cost Class-c03 - United States</t>
  </si>
  <si>
    <t>EN_SPV_17_c04_USA</t>
  </si>
  <si>
    <t>Utility PV - CF Class-17 Cost Class-c04 - United States</t>
  </si>
  <si>
    <t>EN_SPV_18_c01_USA</t>
  </si>
  <si>
    <t>Utility PV - CF Class-18 Cost Class-c01 - United States</t>
  </si>
  <si>
    <t>EN_SPV_18_c02_USA</t>
  </si>
  <si>
    <t>Utility PV - CF Class-18 Cost Class-c02 - United States</t>
  </si>
  <si>
    <t>EN_SPV_18_c03_USA</t>
  </si>
  <si>
    <t>Utility PV - CF Class-18 Cost Class-c03 - United States</t>
  </si>
  <si>
    <t>EN_SPV_18_c04_USA</t>
  </si>
  <si>
    <t>Utility PV - CF Class-18 Cost Class-c04 - United States</t>
  </si>
  <si>
    <t>EN_SPV_19_c01_USA</t>
  </si>
  <si>
    <t>Utility PV - CF Class-19 Cost Class-c01 - United States</t>
  </si>
  <si>
    <t>EN_SPV_19_c02_USA</t>
  </si>
  <si>
    <t>Utility PV - CF Class-19 Cost Class-c02 - United States</t>
  </si>
  <si>
    <t>EN_SPV_19_c03_USA</t>
  </si>
  <si>
    <t>Utility PV - CF Class-19 Cost Class-c03 - United States</t>
  </si>
  <si>
    <t>EN_SPV_20_c01_USA</t>
  </si>
  <si>
    <t>Utility PV - CF Class-20 Cost Class-c01 - United States</t>
  </si>
  <si>
    <t>EN_SPV_20_c02_USA</t>
  </si>
  <si>
    <t>Utility PV - CF Class-20 Cost Class-c02 - United States</t>
  </si>
  <si>
    <t>EN_SPV_20_c03_USA</t>
  </si>
  <si>
    <t>Utility PV - CF Class-20 Cost Class-c03 - United States</t>
  </si>
  <si>
    <t>EN_SPV_21_c01_USA</t>
  </si>
  <si>
    <t>Utility PV - CF Class-21 Cost Class-c01 - United States</t>
  </si>
  <si>
    <t>EN_SPV_21_c02_USA</t>
  </si>
  <si>
    <t>Utility PV - CF Class-21 Cost Class-c02 - United States</t>
  </si>
  <si>
    <t>EN_SPV_21_c03_USA</t>
  </si>
  <si>
    <t>Utility PV - CF Class-21 Cost Class-c03 - United States</t>
  </si>
  <si>
    <t>EN_SPV_22_c01_USA</t>
  </si>
  <si>
    <t>Utility PV - CF Class-22 Cost Class-c01 - United States</t>
  </si>
  <si>
    <t>EN_SPV_22_c02_USA</t>
  </si>
  <si>
    <t>Utility PV - CF Class-22 Cost Class-c02 - United States</t>
  </si>
  <si>
    <t>EN_SPV_18_c01_UZB</t>
  </si>
  <si>
    <t>Utility PV - CF Class-18 Cost Class-c01 - Uzbekistan</t>
  </si>
  <si>
    <t>ELC_Sol-UZB</t>
  </si>
  <si>
    <t>UZB</t>
  </si>
  <si>
    <t>EN_SPV_18_c02_UZB</t>
  </si>
  <si>
    <t>Utility PV - CF Class-18 Cost Class-c02 - Uzbekistan</t>
  </si>
  <si>
    <t>EN_SPV_17_c01_VEN</t>
  </si>
  <si>
    <t>Utility PV - CF Class-17 Cost Class-c01 - Venezuela</t>
  </si>
  <si>
    <t>ELC_Sol-VEN</t>
  </si>
  <si>
    <t>VEN</t>
  </si>
  <si>
    <t>EN_SPV_17_c02_VEN</t>
  </si>
  <si>
    <t>Utility PV - CF Class-17 Cost Class-c02 - Venezuela</t>
  </si>
  <si>
    <t>EN_SPV_17_c03_VEN</t>
  </si>
  <si>
    <t>Utility PV - CF Class-17 Cost Class-c03 - Venezuela</t>
  </si>
  <si>
    <t>EN_SPV_18_c01_VEN</t>
  </si>
  <si>
    <t>Utility PV - CF Class-18 Cost Class-c01 - Venezuela</t>
  </si>
  <si>
    <t>EN_SPV_18_c02_VEN</t>
  </si>
  <si>
    <t>Utility PV - CF Class-18 Cost Class-c02 - Venezuela</t>
  </si>
  <si>
    <t>EN_SPV_18_c03_VEN</t>
  </si>
  <si>
    <t>Utility PV - CF Class-18 Cost Class-c03 - Venezuela</t>
  </si>
  <si>
    <t>EN_SPV_18_c04_VEN</t>
  </si>
  <si>
    <t>Utility PV - CF Class-18 Cost Class-c04 - Venezuela</t>
  </si>
  <si>
    <t>EN_SPV_19_c01_VEN</t>
  </si>
  <si>
    <t>Utility PV - CF Class-19 Cost Class-c01 - Venezuela</t>
  </si>
  <si>
    <t>EN_SPV_19_c02_VEN</t>
  </si>
  <si>
    <t>Utility PV - CF Class-19 Cost Class-c02 - Venezuela</t>
  </si>
  <si>
    <t>EN_SPV_20_c01_VEN</t>
  </si>
  <si>
    <t>Utility PV - CF Class-20 Cost Class-c01 - Venezuela</t>
  </si>
  <si>
    <t>EN_SPV_20_c03_VEN</t>
  </si>
  <si>
    <t>Utility PV - CF Class-20 Cost Class-c03 - Venezuela</t>
  </si>
  <si>
    <t>EN_SPV_20_c04_VEN</t>
  </si>
  <si>
    <t>Utility PV - CF Class-20 Cost Class-c04 - Venezuela</t>
  </si>
  <si>
    <t>EN_SPV_12_c03_VNM</t>
  </si>
  <si>
    <t>Utility PV - CF Class-12 Cost Class-c03 - Vietnam</t>
  </si>
  <si>
    <t>ELC_Sol-VNM</t>
  </si>
  <si>
    <t>VNM</t>
  </si>
  <si>
    <t>EN_SPV_13_c02_VNM</t>
  </si>
  <si>
    <t>Utility PV - CF Class-13 Cost Class-c02 - Vietnam</t>
  </si>
  <si>
    <t>EN_SPV_13_c03_VNM</t>
  </si>
  <si>
    <t>Utility PV - CF Class-13 Cost Class-c03 - Vietnam</t>
  </si>
  <si>
    <t>EN_SPV_14_c02_VNM</t>
  </si>
  <si>
    <t>Utility PV - CF Class-14 Cost Class-c02 - Vietnam</t>
  </si>
  <si>
    <t>EN_SPV_14_c03_VNM</t>
  </si>
  <si>
    <t>Utility PV - CF Class-14 Cost Class-c03 - Vietnam</t>
  </si>
  <si>
    <t>EN_SPV_15_c02_VNM</t>
  </si>
  <si>
    <t>Utility PV - CF Class-15 Cost Class-c02 - Vietnam</t>
  </si>
  <si>
    <t>EN_SPV_15_c03_VNM</t>
  </si>
  <si>
    <t>Utility PV - CF Class-15 Cost Class-c03 - Vietnam</t>
  </si>
  <si>
    <t>EN_SPV_16_c01_VNM</t>
  </si>
  <si>
    <t>Utility PV - CF Class-16 Cost Class-c01 - Vietnam</t>
  </si>
  <si>
    <t>EN_SPV_16_c02_VNM</t>
  </si>
  <si>
    <t>Utility PV - CF Class-16 Cost Class-c02 - Vietnam</t>
  </si>
  <si>
    <t>EN_SPV_17_c01_VNM</t>
  </si>
  <si>
    <t>Utility PV - CF Class-17 Cost Class-c01 - Vietnam</t>
  </si>
  <si>
    <t>EN_SPV_17_c02_VNM</t>
  </si>
  <si>
    <t>Utility PV - CF Class-17 Cost Class-c02 - Vietnam</t>
  </si>
  <si>
    <t>EN_SPV_14_c04_VUT</t>
  </si>
  <si>
    <t>Utility PV - CF Class-14 Cost Class-c04 - Vanuatu</t>
  </si>
  <si>
    <t>ELC_Sol-VUT</t>
  </si>
  <si>
    <t>VUT</t>
  </si>
  <si>
    <t>EN_SPV_22_c03_YEM</t>
  </si>
  <si>
    <t>Utility PV - CF Class-22 Cost Class-c03 - Yemen</t>
  </si>
  <si>
    <t>ELC_Sol-YEM</t>
  </si>
  <si>
    <t>YEM</t>
  </si>
  <si>
    <t>EN_SPV_21_c01_ZAF</t>
  </si>
  <si>
    <t>Utility PV - CF Class-21 Cost Class-c01 - South Africa</t>
  </si>
  <si>
    <t>ELC_Sol-ZAF</t>
  </si>
  <si>
    <t>ZAF</t>
  </si>
  <si>
    <t>EN_SPV_21_c02_ZAF</t>
  </si>
  <si>
    <t>Utility PV - CF Class-21 Cost Class-c02 - South Africa</t>
  </si>
  <si>
    <t>EN_SPV_21_c03_ZAF</t>
  </si>
  <si>
    <t>Utility PV - CF Class-21 Cost Class-c03 - South Africa</t>
  </si>
  <si>
    <t>EN_SPV_22_c01_ZAF</t>
  </si>
  <si>
    <t>Utility PV - CF Class-22 Cost Class-c01 - South Africa</t>
  </si>
  <si>
    <t>EN_SPV_22_c02_ZAF</t>
  </si>
  <si>
    <t>Utility PV - CF Class-22 Cost Class-c02 - South Africa</t>
  </si>
  <si>
    <t>EN_SPV_22_c03_ZAF</t>
  </si>
  <si>
    <t>Utility PV - CF Class-22 Cost Class-c03 - South Africa</t>
  </si>
  <si>
    <t>EN_SPV_19_c04_ZMB</t>
  </si>
  <si>
    <t>Utility PV - CF Class-19 Cost Class-c04 - Zambia</t>
  </si>
  <si>
    <t>ELC_Sol-ZMB</t>
  </si>
  <si>
    <t>ZMB</t>
  </si>
  <si>
    <t>EN_SPV_20_c01_ZMB</t>
  </si>
  <si>
    <t>Utility PV - CF Class-20 Cost Class-c01 - Zambia</t>
  </si>
  <si>
    <t>EN_SPV_20_c02_ZMB</t>
  </si>
  <si>
    <t>Utility PV - CF Class-20 Cost Class-c02 - Zambia</t>
  </si>
  <si>
    <t>EN_SPV_20_c03_ZMB</t>
  </si>
  <si>
    <t>Utility PV - CF Class-20 Cost Class-c03 - Zambia</t>
  </si>
  <si>
    <t>EN_SPV_20_c01_ZWE</t>
  </si>
  <si>
    <t>Utility PV - CF Class-20 Cost Class-c01 - Zimbabwe</t>
  </si>
  <si>
    <t>ELC_Sol-ZWE</t>
  </si>
  <si>
    <t>ZWE</t>
  </si>
  <si>
    <t>EN_SPV_20_c02_ZWE</t>
  </si>
  <si>
    <t>Utility PV - CF Class-20 Cost Class-c02 - Zimbabwe</t>
  </si>
  <si>
    <t>EN_SPV_20_c03_ZWE</t>
  </si>
  <si>
    <t>Utility PV - CF Class-20 Cost Class-c03 - Zimbabwe</t>
  </si>
  <si>
    <t>VT_FI_Process_Wind</t>
  </si>
  <si>
    <t>VT_FI_T_Wind</t>
  </si>
  <si>
    <t>VT_FI_Process_WindOFS</t>
  </si>
  <si>
    <t>VT_FI_T_WindOFS</t>
  </si>
  <si>
    <t>EN_WON_45_c01_AFG</t>
  </si>
  <si>
    <t>Wind Onshore - CF Class-45 Cost Class-c01 - Afghanistan</t>
  </si>
  <si>
    <t>ELCWIN</t>
  </si>
  <si>
    <t>ELC_Win-AFG</t>
  </si>
  <si>
    <t>EN_WOF_35_c02_AGO</t>
  </si>
  <si>
    <t>Wind Offshore - CF Class-35 Cost Class-c02 - Angola</t>
  </si>
  <si>
    <t>ELC_Win-AGO</t>
  </si>
  <si>
    <t>EN_WON_46_c01_AFG</t>
  </si>
  <si>
    <t>Wind Onshore - CF Class-46 Cost Class-c01 - Afghanistan</t>
  </si>
  <si>
    <t>EN_WOF_46_c02_AGO</t>
  </si>
  <si>
    <t>Wind Offshore - CF Class-46 Cost Class-c02 - Angola</t>
  </si>
  <si>
    <t>EN_WON_46_c03_AFG</t>
  </si>
  <si>
    <t>Wind Onshore - CF Class-46 Cost Class-c03 - Afghanistan</t>
  </si>
  <si>
    <t>EN_WOF_52_c02_AGO</t>
  </si>
  <si>
    <t>Wind Offshore - CF Class-52 Cost Class-c02 - Angola</t>
  </si>
  <si>
    <t>EN_WON_48_c01_AFG</t>
  </si>
  <si>
    <t>Wind Onshore - CF Class-48 Cost Class-c01 - Afghanistan</t>
  </si>
  <si>
    <t>EN_WOF_55_c02_AGO</t>
  </si>
  <si>
    <t>Wind Offshore - CF Class-55 Cost Class-c02 - Angola</t>
  </si>
  <si>
    <t>EN_WON_49_c01_AFG</t>
  </si>
  <si>
    <t>Wind Onshore - CF Class-49 Cost Class-c01 - Afghanistan</t>
  </si>
  <si>
    <t>EN_WOF_32_c02_ALB</t>
  </si>
  <si>
    <t>Wind Offshore - CF Class-32 Cost Class-c02 - Albania</t>
  </si>
  <si>
    <t>ELC_Win-ALB</t>
  </si>
  <si>
    <t>EN_WON_50_c01_AFG</t>
  </si>
  <si>
    <t>Wind Onshore - CF Class-50 Cost Class-c01 - Afghanistan</t>
  </si>
  <si>
    <t>EN_WOF_35_c02_ALB</t>
  </si>
  <si>
    <t>Wind Offshore - CF Class-35 Cost Class-c02 - Albania</t>
  </si>
  <si>
    <t>EN_WON_51_c01_AFG</t>
  </si>
  <si>
    <t>Wind Onshore - CF Class-51 Cost Class-c01 - Afghanistan</t>
  </si>
  <si>
    <t>EN_WOF_46_c02_ARG</t>
  </si>
  <si>
    <t>Wind Offshore - CF Class-46 Cost Class-c02 - Argentina</t>
  </si>
  <si>
    <t>ELC_Win-ARG</t>
  </si>
  <si>
    <t>EN_WON_53_c01_AFG</t>
  </si>
  <si>
    <t>Wind Onshore - CF Class-53 Cost Class-c01 - Afghanistan</t>
  </si>
  <si>
    <t>EN_WOF_47_c02_ARG</t>
  </si>
  <si>
    <t>Wind Offshore - CF Class-47 Cost Class-c02 - Argentina</t>
  </si>
  <si>
    <t>EN_WON_15_c03_AGO</t>
  </si>
  <si>
    <t>Wind Onshore - CF Class-15 Cost Class-c03 - Angola</t>
  </si>
  <si>
    <t>EN_WOF_48_c02_ARG</t>
  </si>
  <si>
    <t>Wind Offshore - CF Class-48 Cost Class-c02 - Argentina</t>
  </si>
  <si>
    <t>EN_WON_15_c04_AGO</t>
  </si>
  <si>
    <t>Wind Onshore - CF Class-15 Cost Class-c04 - Angola</t>
  </si>
  <si>
    <t>EN_WOF_49_c02_ARG</t>
  </si>
  <si>
    <t>Wind Offshore - CF Class-49 Cost Class-c02 - Argentina</t>
  </si>
  <si>
    <t>EN_WON_16_c02_AGO</t>
  </si>
  <si>
    <t>Wind Onshore - CF Class-16 Cost Class-c02 - Angola</t>
  </si>
  <si>
    <t>EN_WOF_50_c02_ARG</t>
  </si>
  <si>
    <t>Wind Offshore - CF Class-50 Cost Class-c02 - Argentina</t>
  </si>
  <si>
    <t>EN_WON_16_c03_AGO</t>
  </si>
  <si>
    <t>Wind Onshore - CF Class-16 Cost Class-c03 - Angola</t>
  </si>
  <si>
    <t>EN_WOF_51_c02_ARG</t>
  </si>
  <si>
    <t>Wind Offshore - CF Class-51 Cost Class-c02 - Argentina</t>
  </si>
  <si>
    <t>EN_WON_16_c04_AGO</t>
  </si>
  <si>
    <t>Wind Onshore - CF Class-16 Cost Class-c04 - Angola</t>
  </si>
  <si>
    <t>EN_WOF_52_c02_ARG</t>
  </si>
  <si>
    <t>Wind Offshore - CF Class-52 Cost Class-c02 - Argentina</t>
  </si>
  <si>
    <t>EN_WON_17_c03_AGO</t>
  </si>
  <si>
    <t>Wind Onshore - CF Class-17 Cost Class-c03 - Angola</t>
  </si>
  <si>
    <t>EN_WOF_53_c02_ARG</t>
  </si>
  <si>
    <t>Wind Offshore - CF Class-53 Cost Class-c02 - Argentina</t>
  </si>
  <si>
    <t>EN_WON_17_c04_AGO</t>
  </si>
  <si>
    <t>Wind Onshore - CF Class-17 Cost Class-c04 - Angola</t>
  </si>
  <si>
    <t>EN_WOF_54_c02_ARG</t>
  </si>
  <si>
    <t>Wind Offshore - CF Class-54 Cost Class-c02 - Argentina</t>
  </si>
  <si>
    <t>EN_WON_18_c03_AGO</t>
  </si>
  <si>
    <t>Wind Onshore - CF Class-18 Cost Class-c03 - Angola</t>
  </si>
  <si>
    <t>EN_WOF_55_c02_ARG</t>
  </si>
  <si>
    <t>Wind Offshore - CF Class-55 Cost Class-c02 - Argentina</t>
  </si>
  <si>
    <t>EN_WON_18_c04_AGO</t>
  </si>
  <si>
    <t>Wind Onshore - CF Class-18 Cost Class-c04 - Angola</t>
  </si>
  <si>
    <t>EN_WOF_56_c02_ARG</t>
  </si>
  <si>
    <t>Wind Offshore - CF Class-56 Cost Class-c02 - Argentina</t>
  </si>
  <si>
    <t>EN_WON_19_c03_AGO</t>
  </si>
  <si>
    <t>Wind Onshore - CF Class-19 Cost Class-c03 - Angola</t>
  </si>
  <si>
    <t>EN_WOF_57_c02_ARG</t>
  </si>
  <si>
    <t>Wind Offshore - CF Class-57 Cost Class-c02 - Argentina</t>
  </si>
  <si>
    <t>EN_WON_19_c04_AGO</t>
  </si>
  <si>
    <t>Wind Onshore - CF Class-19 Cost Class-c04 - Angola</t>
  </si>
  <si>
    <t>EN_WOF_58_c02_ARG</t>
  </si>
  <si>
    <t>Wind Offshore - CF Class-58 Cost Class-c02 - Argentina</t>
  </si>
  <si>
    <t>EN_WON_20_c03_AGO</t>
  </si>
  <si>
    <t>Wind Onshore - CF Class-20 Cost Class-c03 - Angola</t>
  </si>
  <si>
    <t>EN_WOF_59_c02_ARG</t>
  </si>
  <si>
    <t>Wind Offshore - CF Class-59 Cost Class-c02 - Argentina</t>
  </si>
  <si>
    <t>EN_WON_20_c04_AGO</t>
  </si>
  <si>
    <t>Wind Onshore - CF Class-20 Cost Class-c04 - Angola</t>
  </si>
  <si>
    <t>EN_WOF_60_c02_ARG</t>
  </si>
  <si>
    <t>Wind Offshore - CF Class-60 Cost Class-c02 - Argentina</t>
  </si>
  <si>
    <t>EN_WON_17_c02_ALB</t>
  </si>
  <si>
    <t>Wind Onshore - CF Class-17 Cost Class-c02 - Albania</t>
  </si>
  <si>
    <t>EN_WOF_61_c02_ARG</t>
  </si>
  <si>
    <t>Wind Offshore - CF Class-61 Cost Class-c02 - Argentina</t>
  </si>
  <si>
    <t>EN_WON_17_c03_ALB</t>
  </si>
  <si>
    <t>Wind Onshore - CF Class-17 Cost Class-c03 - Albania</t>
  </si>
  <si>
    <t>EN_WOF_62_c02_ARG</t>
  </si>
  <si>
    <t>Wind Offshore - CF Class-62 Cost Class-c02 - Argentina</t>
  </si>
  <si>
    <t>EN_WON_18_c02_ALB</t>
  </si>
  <si>
    <t>Wind Onshore - CF Class-18 Cost Class-c02 - Albania</t>
  </si>
  <si>
    <t>EN_WOF_63_c02_ARG</t>
  </si>
  <si>
    <t>Wind Offshore - CF Class-63 Cost Class-c02 - Argentina</t>
  </si>
  <si>
    <t>EN_WON_18_c03_ALB</t>
  </si>
  <si>
    <t>Wind Onshore - CF Class-18 Cost Class-c03 - Albania</t>
  </si>
  <si>
    <t>EN_WOF_64_c02_ARG</t>
  </si>
  <si>
    <t>Wind Offshore - CF Class-64 Cost Class-c02 - Argentina</t>
  </si>
  <si>
    <t>EN_WON_19_c02_ALB</t>
  </si>
  <si>
    <t>Wind Onshore - CF Class-19 Cost Class-c02 - Albania</t>
  </si>
  <si>
    <t>EN_WOF_65_c02_ARG</t>
  </si>
  <si>
    <t>Wind Offshore - CF Class-65 Cost Class-c02 - Argentina</t>
  </si>
  <si>
    <t>EN_WON_19_c03_ALB</t>
  </si>
  <si>
    <t>Wind Onshore - CF Class-19 Cost Class-c03 - Albania</t>
  </si>
  <si>
    <t>EN_WOF_66_c02_ARG</t>
  </si>
  <si>
    <t>Wind Offshore - CF Class-66 Cost Class-c02 - Argentina</t>
  </si>
  <si>
    <t>EN_WON_20_c02_ALB</t>
  </si>
  <si>
    <t>Wind Onshore - CF Class-20 Cost Class-c02 - Albania</t>
  </si>
  <si>
    <t>EN_WOF_67_c02_ARG</t>
  </si>
  <si>
    <t>Wind Offshore - CF Class-67 Cost Class-c02 - Argentina</t>
  </si>
  <si>
    <t>EN_WON_20_c03_ALB</t>
  </si>
  <si>
    <t>Wind Onshore - CF Class-20 Cost Class-c03 - Albania</t>
  </si>
  <si>
    <t>EN_WOF_31_c02_ATG</t>
  </si>
  <si>
    <t>Wind Offshore - CF Class-31 Cost Class-c02 - Antigua and Barbuda</t>
  </si>
  <si>
    <t>ELC_Win-ATG</t>
  </si>
  <si>
    <t>ATG</t>
  </si>
  <si>
    <t>EN_WON_20_c04_ALB</t>
  </si>
  <si>
    <t>Wind Onshore - CF Class-20 Cost Class-c04 - Albania</t>
  </si>
  <si>
    <t>EN_WOF_32_c02_ATG</t>
  </si>
  <si>
    <t>Wind Offshore - CF Class-32 Cost Class-c02 - Antigua and Barbuda</t>
  </si>
  <si>
    <t>EN_WON_21_c02_ALB</t>
  </si>
  <si>
    <t>Wind Onshore - CF Class-21 Cost Class-c02 - Albania</t>
  </si>
  <si>
    <t>EN_WOF_33_c02_ATG</t>
  </si>
  <si>
    <t>Wind Offshore - CF Class-33 Cost Class-c02 - Antigua and Barbuda</t>
  </si>
  <si>
    <t>EN_WON_21_c03_ALB</t>
  </si>
  <si>
    <t>Wind Onshore - CF Class-21 Cost Class-c03 - Albania</t>
  </si>
  <si>
    <t>EN_WOF_34_c02_ATG</t>
  </si>
  <si>
    <t>Wind Offshore - CF Class-34 Cost Class-c02 - Antigua and Barbuda</t>
  </si>
  <si>
    <t>EN_WON_22_c03_ALB</t>
  </si>
  <si>
    <t>Wind Onshore - CF Class-22 Cost Class-c03 - Albania</t>
  </si>
  <si>
    <t>EN_WOF_35_c02_ATG</t>
  </si>
  <si>
    <t>Wind Offshore - CF Class-35 Cost Class-c02 - Antigua and Barbuda</t>
  </si>
  <si>
    <t>EN_WON_23_c03_ALB</t>
  </si>
  <si>
    <t>Wind Onshore - CF Class-23 Cost Class-c03 - Albania</t>
  </si>
  <si>
    <t>EN_WOF_37_c02_ATG</t>
  </si>
  <si>
    <t>Wind Offshore - CF Class-37 Cost Class-c02 - Antigua and Barbuda</t>
  </si>
  <si>
    <t>EN_WON_24_c03_ALB</t>
  </si>
  <si>
    <t>Wind Onshore - CF Class-24 Cost Class-c03 - Albania</t>
  </si>
  <si>
    <t>EN_WOF_39_c02_ATG</t>
  </si>
  <si>
    <t>Wind Offshore - CF Class-39 Cost Class-c02 - Antigua and Barbuda</t>
  </si>
  <si>
    <t>EN_WON_25_c03_ALB</t>
  </si>
  <si>
    <t>Wind Onshore - CF Class-25 Cost Class-c03 - Albania</t>
  </si>
  <si>
    <t>EN_WOF_30_c02_AUS</t>
  </si>
  <si>
    <t>Wind Offshore - CF Class-30 Cost Class-c02 - Australia</t>
  </si>
  <si>
    <t>ELC_Win-AUS</t>
  </si>
  <si>
    <t>EN_WON_26_c02_ALB</t>
  </si>
  <si>
    <t>Wind Onshore - CF Class-26 Cost Class-c02 - Albania</t>
  </si>
  <si>
    <t>EN_WOF_31_c02_AUS</t>
  </si>
  <si>
    <t>Wind Offshore - CF Class-31 Cost Class-c02 - Australia</t>
  </si>
  <si>
    <t>EN_WON_26_c03_ALB</t>
  </si>
  <si>
    <t>Wind Onshore - CF Class-26 Cost Class-c03 - Albania</t>
  </si>
  <si>
    <t>EN_WOF_32_c02_AUS</t>
  </si>
  <si>
    <t>Wind Offshore - CF Class-32 Cost Class-c02 - Australia</t>
  </si>
  <si>
    <t>EN_WON_27_c02_ALB</t>
  </si>
  <si>
    <t>Wind Onshore - CF Class-27 Cost Class-c02 - Albania</t>
  </si>
  <si>
    <t>EN_WOF_33_c02_AUS</t>
  </si>
  <si>
    <t>Wind Offshore - CF Class-33 Cost Class-c02 - Australia</t>
  </si>
  <si>
    <t>EN_WON_27_c03_ALB</t>
  </si>
  <si>
    <t>Wind Onshore - CF Class-27 Cost Class-c03 - Albania</t>
  </si>
  <si>
    <t>EN_WOF_34_c02_AUS</t>
  </si>
  <si>
    <t>Wind Offshore - CF Class-34 Cost Class-c02 - Australia</t>
  </si>
  <si>
    <t>EN_WON_29_c02_ALB</t>
  </si>
  <si>
    <t>Wind Onshore - CF Class-29 Cost Class-c02 - Albania</t>
  </si>
  <si>
    <t>EN_WOF_35_c02_AUS</t>
  </si>
  <si>
    <t>Wind Offshore - CF Class-35 Cost Class-c02 - Australia</t>
  </si>
  <si>
    <t>EN_WON_30_c02_ALB</t>
  </si>
  <si>
    <t>Wind Onshore - CF Class-30 Cost Class-c02 - Albania</t>
  </si>
  <si>
    <t>EN_WOF_36_c02_AUS</t>
  </si>
  <si>
    <t>Wind Offshore - CF Class-36 Cost Class-c02 - Australia</t>
  </si>
  <si>
    <t>EN_WON_19_c03_ARE</t>
  </si>
  <si>
    <t>Wind Onshore - CF Class-19 Cost Class-c03 - United Arab Emirates</t>
  </si>
  <si>
    <t>ELC_Win-ARE</t>
  </si>
  <si>
    <t>EN_WOF_37_c02_AUS</t>
  </si>
  <si>
    <t>Wind Offshore - CF Class-37 Cost Class-c02 - Australia</t>
  </si>
  <si>
    <t>EN_WON_20_c01_ARE</t>
  </si>
  <si>
    <t>Wind Onshore - CF Class-20 Cost Class-c01 - United Arab Emirates</t>
  </si>
  <si>
    <t>EN_WOF_38_c02_AUS</t>
  </si>
  <si>
    <t>Wind Offshore - CF Class-38 Cost Class-c02 - Australia</t>
  </si>
  <si>
    <t>EN_WON_20_c03_ARE</t>
  </si>
  <si>
    <t>Wind Onshore - CF Class-20 Cost Class-c03 - United Arab Emirates</t>
  </si>
  <si>
    <t>EN_WOF_39_c02_AUS</t>
  </si>
  <si>
    <t>Wind Offshore - CF Class-39 Cost Class-c02 - Australia</t>
  </si>
  <si>
    <t>EN_WON_21_c02_ARE</t>
  </si>
  <si>
    <t>Wind Onshore - CF Class-21 Cost Class-c02 - United Arab Emirates</t>
  </si>
  <si>
    <t>EN_WOF_40_c02_AUS</t>
  </si>
  <si>
    <t>Wind Offshore - CF Class-40 Cost Class-c02 - Australia</t>
  </si>
  <si>
    <t>EN_WON_21_c03_ARE</t>
  </si>
  <si>
    <t>Wind Onshore - CF Class-21 Cost Class-c03 - United Arab Emirates</t>
  </si>
  <si>
    <t>EN_WOF_41_c02_AUS</t>
  </si>
  <si>
    <t>Wind Offshore - CF Class-41 Cost Class-c02 - Australia</t>
  </si>
  <si>
    <t>EN_WON_22_c01_ARE</t>
  </si>
  <si>
    <t>Wind Onshore - CF Class-22 Cost Class-c01 - United Arab Emirates</t>
  </si>
  <si>
    <t>EN_WOF_42_c02_AUS</t>
  </si>
  <si>
    <t>Wind Offshore - CF Class-42 Cost Class-c02 - Australia</t>
  </si>
  <si>
    <t>EN_WON_22_c02_ARE</t>
  </si>
  <si>
    <t>Wind Onshore - CF Class-22 Cost Class-c02 - United Arab Emirates</t>
  </si>
  <si>
    <t>EN_WOF_43_c02_AUS</t>
  </si>
  <si>
    <t>Wind Offshore - CF Class-43 Cost Class-c02 - Australia</t>
  </si>
  <si>
    <t>EN_WON_23_c02_ARE</t>
  </si>
  <si>
    <t>Wind Onshore - CF Class-23 Cost Class-c02 - United Arab Emirates</t>
  </si>
  <si>
    <t>EN_WOF_44_c02_AUS</t>
  </si>
  <si>
    <t>Wind Offshore - CF Class-44 Cost Class-c02 - Australia</t>
  </si>
  <si>
    <t>EN_WON_24_c01_ARE</t>
  </si>
  <si>
    <t>Wind Onshore - CF Class-24 Cost Class-c01 - United Arab Emirates</t>
  </si>
  <si>
    <t>EN_WOF_45_c02_AUS</t>
  </si>
  <si>
    <t>Wind Offshore - CF Class-45 Cost Class-c02 - Australia</t>
  </si>
  <si>
    <t>EN_WON_24_c02_ARE</t>
  </si>
  <si>
    <t>Wind Onshore - CF Class-24 Cost Class-c02 - United Arab Emirates</t>
  </si>
  <si>
    <t>EN_WOF_46_c02_AUS</t>
  </si>
  <si>
    <t>Wind Offshore - CF Class-46 Cost Class-c02 - Australia</t>
  </si>
  <si>
    <t>EN_WON_25_c01_ARE</t>
  </si>
  <si>
    <t>Wind Onshore - CF Class-25 Cost Class-c01 - United Arab Emirates</t>
  </si>
  <si>
    <t>EN_WOF_47_c02_AUS</t>
  </si>
  <si>
    <t>Wind Offshore - CF Class-47 Cost Class-c02 - Australia</t>
  </si>
  <si>
    <t>EN_WON_25_c02_ARE</t>
  </si>
  <si>
    <t>Wind Onshore - CF Class-25 Cost Class-c02 - United Arab Emirates</t>
  </si>
  <si>
    <t>EN_WOF_48_c02_AUS</t>
  </si>
  <si>
    <t>Wind Offshore - CF Class-48 Cost Class-c02 - Australia</t>
  </si>
  <si>
    <t>EN_WON_26_c01_ARE</t>
  </si>
  <si>
    <t>Wind Onshore - CF Class-26 Cost Class-c01 - United Arab Emirates</t>
  </si>
  <si>
    <t>EN_WOF_49_c02_AUS</t>
  </si>
  <si>
    <t>Wind Offshore - CF Class-49 Cost Class-c02 - Australia</t>
  </si>
  <si>
    <t>EN_WON_27_c01_ARE</t>
  </si>
  <si>
    <t>Wind Onshore - CF Class-27 Cost Class-c01 - United Arab Emirates</t>
  </si>
  <si>
    <t>EN_WOF_50_c02_AUS</t>
  </si>
  <si>
    <t>Wind Offshore - CF Class-50 Cost Class-c02 - Australia</t>
  </si>
  <si>
    <t>EN_WON_28_c01_ARE</t>
  </si>
  <si>
    <t>Wind Onshore - CF Class-28 Cost Class-c01 - United Arab Emirates</t>
  </si>
  <si>
    <t>EN_WOF_51_c02_AUS</t>
  </si>
  <si>
    <t>Wind Offshore - CF Class-51 Cost Class-c02 - Australia</t>
  </si>
  <si>
    <t>EN_WON_28_c02_ARE</t>
  </si>
  <si>
    <t>Wind Onshore - CF Class-28 Cost Class-c02 - United Arab Emirates</t>
  </si>
  <si>
    <t>EN_WOF_52_c02_AUS</t>
  </si>
  <si>
    <t>Wind Offshore - CF Class-52 Cost Class-c02 - Australia</t>
  </si>
  <si>
    <t>EN_WON_29_c02_ARE</t>
  </si>
  <si>
    <t>Wind Onshore - CF Class-29 Cost Class-c02 - United Arab Emirates</t>
  </si>
  <si>
    <t>EN_WOF_53_c02_AUS</t>
  </si>
  <si>
    <t>Wind Offshore - CF Class-53 Cost Class-c02 - Australia</t>
  </si>
  <si>
    <t>EN_WON_49_c01_ARG</t>
  </si>
  <si>
    <t>Wind Onshore - CF Class-49 Cost Class-c01 - Argentina</t>
  </si>
  <si>
    <t>EN_WOF_54_c02_AUS</t>
  </si>
  <si>
    <t>Wind Offshore - CF Class-54 Cost Class-c02 - Australia</t>
  </si>
  <si>
    <t>EN_WON_50_c01_ARG</t>
  </si>
  <si>
    <t>Wind Onshore - CF Class-50 Cost Class-c01 - Argentina</t>
  </si>
  <si>
    <t>EN_WOF_56_c02_AUS</t>
  </si>
  <si>
    <t>Wind Offshore - CF Class-56 Cost Class-c02 - Australia</t>
  </si>
  <si>
    <t>EN_WON_51_c01_ARG</t>
  </si>
  <si>
    <t>Wind Onshore - CF Class-51 Cost Class-c01 - Argentina</t>
  </si>
  <si>
    <t>EN_WOF_31_c02_AZE</t>
  </si>
  <si>
    <t>Wind Offshore - CF Class-31 Cost Class-c02 - Azerbaijan</t>
  </si>
  <si>
    <t>ELC_Win-AZE</t>
  </si>
  <si>
    <t>EN_WON_52_c01_ARG</t>
  </si>
  <si>
    <t>Wind Onshore - CF Class-52 Cost Class-c01 - Argentina</t>
  </si>
  <si>
    <t>EN_WOF_32_c02_AZE</t>
  </si>
  <si>
    <t>Wind Offshore - CF Class-32 Cost Class-c02 - Azerbaijan</t>
  </si>
  <si>
    <t>EN_WON_52_c02_ARG</t>
  </si>
  <si>
    <t>Wind Onshore - CF Class-52 Cost Class-c02 - Argentina</t>
  </si>
  <si>
    <t>EN_WOF_33_c02_AZE</t>
  </si>
  <si>
    <t>Wind Offshore - CF Class-33 Cost Class-c02 - Azerbaijan</t>
  </si>
  <si>
    <t>EN_WON_53_c01_ARG</t>
  </si>
  <si>
    <t>Wind Onshore - CF Class-53 Cost Class-c01 - Argentina</t>
  </si>
  <si>
    <t>EN_WOF_35_c02_AZE</t>
  </si>
  <si>
    <t>Wind Offshore - CF Class-35 Cost Class-c02 - Azerbaijan</t>
  </si>
  <si>
    <t>EN_WON_54_c01_ARG</t>
  </si>
  <si>
    <t>Wind Onshore - CF Class-54 Cost Class-c01 - Argentina</t>
  </si>
  <si>
    <t>EN_WOF_36_c02_AZE</t>
  </si>
  <si>
    <t>Wind Offshore - CF Class-36 Cost Class-c02 - Azerbaijan</t>
  </si>
  <si>
    <t>EN_WON_54_c02_ARG</t>
  </si>
  <si>
    <t>Wind Onshore - CF Class-54 Cost Class-c02 - Argentina</t>
  </si>
  <si>
    <t>EN_WOF_37_c02_AZE</t>
  </si>
  <si>
    <t>Wind Offshore - CF Class-37 Cost Class-c02 - Azerbaijan</t>
  </si>
  <si>
    <t>EN_WON_55_c01_ARG</t>
  </si>
  <si>
    <t>Wind Onshore - CF Class-55 Cost Class-c01 - Argentina</t>
  </si>
  <si>
    <t>EN_WOF_38_c02_AZE</t>
  </si>
  <si>
    <t>Wind Offshore - CF Class-38 Cost Class-c02 - Azerbaijan</t>
  </si>
  <si>
    <t>EN_WON_55_c03_ARG</t>
  </si>
  <si>
    <t>Wind Onshore - CF Class-55 Cost Class-c03 - Argentina</t>
  </si>
  <si>
    <t>EN_WOF_39_c02_AZE</t>
  </si>
  <si>
    <t>Wind Offshore - CF Class-39 Cost Class-c02 - Azerbaijan</t>
  </si>
  <si>
    <t>EN_WON_56_c01_ARG</t>
  </si>
  <si>
    <t>Wind Onshore - CF Class-56 Cost Class-c01 - Argentina</t>
  </si>
  <si>
    <t>EN_WOF_41_c02_AZE</t>
  </si>
  <si>
    <t>Wind Offshore - CF Class-41 Cost Class-c02 - Azerbaijan</t>
  </si>
  <si>
    <t>EN_WON_56_c02_ARG</t>
  </si>
  <si>
    <t>Wind Onshore - CF Class-56 Cost Class-c02 - Argentina</t>
  </si>
  <si>
    <t>EN_WOF_30_c02_BGR</t>
  </si>
  <si>
    <t>Wind Offshore - CF Class-30 Cost Class-c02 - Bulgaria</t>
  </si>
  <si>
    <t>ELC_Win-BGR</t>
  </si>
  <si>
    <t>EN_WON_57_c01_ARG</t>
  </si>
  <si>
    <t>Wind Onshore - CF Class-57 Cost Class-c01 - Argentina</t>
  </si>
  <si>
    <t>EN_WOF_31_c02_BGR</t>
  </si>
  <si>
    <t>Wind Offshore - CF Class-31 Cost Class-c02 - Bulgaria</t>
  </si>
  <si>
    <t>EN_WON_58_c01_ARG</t>
  </si>
  <si>
    <t>Wind Onshore - CF Class-58 Cost Class-c01 - Argentina</t>
  </si>
  <si>
    <t>EN_WOF_32_c02_BGR</t>
  </si>
  <si>
    <t>Wind Offshore - CF Class-32 Cost Class-c02 - Bulgaria</t>
  </si>
  <si>
    <t>EN_WON_58_c04_ARG</t>
  </si>
  <si>
    <t>Wind Onshore - CF Class-58 Cost Class-c04 - Argentina</t>
  </si>
  <si>
    <t>EN_WOF_33_c02_BGR</t>
  </si>
  <si>
    <t>Wind Offshore - CF Class-33 Cost Class-c02 - Bulgaria</t>
  </si>
  <si>
    <t>EN_WON_59_c02_ARG</t>
  </si>
  <si>
    <t>Wind Onshore - CF Class-59 Cost Class-c02 - Argentina</t>
  </si>
  <si>
    <t>EN_WOF_34_c02_BGR</t>
  </si>
  <si>
    <t>Wind Offshore - CF Class-34 Cost Class-c02 - Bulgaria</t>
  </si>
  <si>
    <t>EN_WON_64_c04_ARG</t>
  </si>
  <si>
    <t>Wind Onshore - CF Class-64 Cost Class-c04 - Argentina</t>
  </si>
  <si>
    <t>EN_WOF_30_c02_BHS</t>
  </si>
  <si>
    <t>Wind Offshore - CF Class-30 Cost Class-c02 - The Bahamas</t>
  </si>
  <si>
    <t>ELC_Win-BHS</t>
  </si>
  <si>
    <t>EN_WON_20_c04_ARM</t>
  </si>
  <si>
    <t>Wind Onshore - CF Class-20 Cost Class-c04 - Armenia</t>
  </si>
  <si>
    <t>ELC_Win-ARM</t>
  </si>
  <si>
    <t>EN_WOF_31_c02_BHS</t>
  </si>
  <si>
    <t>Wind Offshore - CF Class-31 Cost Class-c02 - The Bahamas</t>
  </si>
  <si>
    <t>EN_WON_21_c04_ARM</t>
  </si>
  <si>
    <t>Wind Onshore - CF Class-21 Cost Class-c04 - Armenia</t>
  </si>
  <si>
    <t>EN_WOF_32_c02_BHS</t>
  </si>
  <si>
    <t>Wind Offshore - CF Class-32 Cost Class-c02 - The Bahamas</t>
  </si>
  <si>
    <t>EN_WON_23_c03_ARM</t>
  </si>
  <si>
    <t>Wind Onshore - CF Class-23 Cost Class-c03 - Armenia</t>
  </si>
  <si>
    <t>EN_WOF_33_c02_BHS</t>
  </si>
  <si>
    <t>Wind Offshore - CF Class-33 Cost Class-c02 - The Bahamas</t>
  </si>
  <si>
    <t>EN_WON_24_c03_ARM</t>
  </si>
  <si>
    <t>Wind Onshore - CF Class-24 Cost Class-c03 - Armenia</t>
  </si>
  <si>
    <t>EN_WOF_34_c02_BHS</t>
  </si>
  <si>
    <t>Wind Offshore - CF Class-34 Cost Class-c02 - The Bahamas</t>
  </si>
  <si>
    <t>EN_WON_24_c04_ARM</t>
  </si>
  <si>
    <t>Wind Onshore - CF Class-24 Cost Class-c04 - Armenia</t>
  </si>
  <si>
    <t>EN_WOF_35_c02_BHS</t>
  </si>
  <si>
    <t>Wind Offshore - CF Class-35 Cost Class-c02 - The Bahamas</t>
  </si>
  <si>
    <t>EN_WON_28_c03_ARM</t>
  </si>
  <si>
    <t>Wind Onshore - CF Class-28 Cost Class-c03 - Armenia</t>
  </si>
  <si>
    <t>EN_WOF_36_c02_BHS</t>
  </si>
  <si>
    <t>Wind Offshore - CF Class-36 Cost Class-c02 - The Bahamas</t>
  </si>
  <si>
    <t>EN_WON_32_c01_ATG</t>
  </si>
  <si>
    <t>Wind Onshore - CF Class-32 Cost Class-c01 - Antigua and Barbuda</t>
  </si>
  <si>
    <t>EN_WOF_37_c02_BHS</t>
  </si>
  <si>
    <t>Wind Offshore - CF Class-37 Cost Class-c02 - The Bahamas</t>
  </si>
  <si>
    <t>EN_WON_38_c02_AUS</t>
  </si>
  <si>
    <t>Wind Onshore - CF Class-38 Cost Class-c02 - Australia</t>
  </si>
  <si>
    <t>EN_WOF_38_c02_BHS</t>
  </si>
  <si>
    <t>Wind Offshore - CF Class-38 Cost Class-c02 - The Bahamas</t>
  </si>
  <si>
    <t>EN_WON_38_c03_AUS</t>
  </si>
  <si>
    <t>Wind Onshore - CF Class-38 Cost Class-c03 - Australia</t>
  </si>
  <si>
    <t>EN_WOF_39_c02_BHS</t>
  </si>
  <si>
    <t>Wind Offshore - CF Class-39 Cost Class-c02 - The Bahamas</t>
  </si>
  <si>
    <t>EN_WON_39_c01_AUS</t>
  </si>
  <si>
    <t>Wind Onshore - CF Class-39 Cost Class-c01 - Australia</t>
  </si>
  <si>
    <t>EN_WOF_30_c02_BRA</t>
  </si>
  <si>
    <t>Wind Offshore - CF Class-30 Cost Class-c02 - Brazil</t>
  </si>
  <si>
    <t>ELC_Win-BRA</t>
  </si>
  <si>
    <t>EN_WON_39_c02_AUS</t>
  </si>
  <si>
    <t>Wind Onshore - CF Class-39 Cost Class-c02 - Australia</t>
  </si>
  <si>
    <t>EN_WOF_31_c02_BRA</t>
  </si>
  <si>
    <t>Wind Offshore - CF Class-31 Cost Class-c02 - Brazil</t>
  </si>
  <si>
    <t>EN_WON_39_c03_AUS</t>
  </si>
  <si>
    <t>Wind Onshore - CF Class-39 Cost Class-c03 - Australia</t>
  </si>
  <si>
    <t>EN_WOF_32_c02_BRA</t>
  </si>
  <si>
    <t>Wind Offshore - CF Class-32 Cost Class-c02 - Brazil</t>
  </si>
  <si>
    <t>EN_WON_39_c04_AUS</t>
  </si>
  <si>
    <t>Wind Onshore - CF Class-39 Cost Class-c04 - Australia</t>
  </si>
  <si>
    <t>EN_WOF_33_c02_BRA</t>
  </si>
  <si>
    <t>Wind Offshore - CF Class-33 Cost Class-c02 - Brazil</t>
  </si>
  <si>
    <t>EN_WON_40_c01_AUS</t>
  </si>
  <si>
    <t>Wind Onshore - CF Class-40 Cost Class-c01 - Australia</t>
  </si>
  <si>
    <t>EN_WOF_34_c02_BRA</t>
  </si>
  <si>
    <t>Wind Offshore - CF Class-34 Cost Class-c02 - Brazil</t>
  </si>
  <si>
    <t>EN_WON_40_c03_AUS</t>
  </si>
  <si>
    <t>Wind Onshore - CF Class-40 Cost Class-c03 - Australia</t>
  </si>
  <si>
    <t>EN_WOF_35_c02_BRA</t>
  </si>
  <si>
    <t>Wind Offshore - CF Class-35 Cost Class-c02 - Brazil</t>
  </si>
  <si>
    <t>EN_WON_41_c01_AUS</t>
  </si>
  <si>
    <t>Wind Onshore - CF Class-41 Cost Class-c01 - Australia</t>
  </si>
  <si>
    <t>EN_WOF_36_c02_BRA</t>
  </si>
  <si>
    <t>Wind Offshore - CF Class-36 Cost Class-c02 - Brazil</t>
  </si>
  <si>
    <t>EN_WON_41_c02_AUS</t>
  </si>
  <si>
    <t>Wind Onshore - CF Class-41 Cost Class-c02 - Australia</t>
  </si>
  <si>
    <t>EN_WOF_37_c02_BRA</t>
  </si>
  <si>
    <t>Wind Offshore - CF Class-37 Cost Class-c02 - Brazil</t>
  </si>
  <si>
    <t>EN_WON_42_c01_AUS</t>
  </si>
  <si>
    <t>Wind Onshore - CF Class-42 Cost Class-c01 - Australia</t>
  </si>
  <si>
    <t>EN_WOF_38_c02_BRA</t>
  </si>
  <si>
    <t>Wind Offshore - CF Class-38 Cost Class-c02 - Brazil</t>
  </si>
  <si>
    <t>EN_WON_42_c03_AUS</t>
  </si>
  <si>
    <t>Wind Onshore - CF Class-42 Cost Class-c03 - Australia</t>
  </si>
  <si>
    <t>EN_WOF_39_c02_BRA</t>
  </si>
  <si>
    <t>Wind Offshore - CF Class-39 Cost Class-c02 - Brazil</t>
  </si>
  <si>
    <t>EN_WON_45_c01_AUS</t>
  </si>
  <si>
    <t>Wind Onshore - CF Class-45 Cost Class-c01 - Australia</t>
  </si>
  <si>
    <t>EN_WOF_40_c02_BRA</t>
  </si>
  <si>
    <t>Wind Offshore - CF Class-40 Cost Class-c02 - Brazil</t>
  </si>
  <si>
    <t>EN_WON_46_c01_AUS</t>
  </si>
  <si>
    <t>Wind Onshore - CF Class-46 Cost Class-c01 - Australia</t>
  </si>
  <si>
    <t>EN_WOF_41_c02_BRA</t>
  </si>
  <si>
    <t>Wind Offshore - CF Class-41 Cost Class-c02 - Brazil</t>
  </si>
  <si>
    <t>EN_WON_47_c01_AUS</t>
  </si>
  <si>
    <t>Wind Onshore - CF Class-47 Cost Class-c01 - Australia</t>
  </si>
  <si>
    <t>EN_WOF_42_c02_BRA</t>
  </si>
  <si>
    <t>Wind Offshore - CF Class-42 Cost Class-c02 - Brazil</t>
  </si>
  <si>
    <t>EN_WON_49_c01_AUS</t>
  </si>
  <si>
    <t>Wind Onshore - CF Class-49 Cost Class-c01 - Australia</t>
  </si>
  <si>
    <t>EN_WOF_43_c02_BRA</t>
  </si>
  <si>
    <t>Wind Offshore - CF Class-43 Cost Class-c02 - Brazil</t>
  </si>
  <si>
    <t>EN_WON_50_c02_AUS</t>
  </si>
  <si>
    <t>Wind Onshore - CF Class-50 Cost Class-c02 - Australia</t>
  </si>
  <si>
    <t>EN_WOF_44_c02_BRA</t>
  </si>
  <si>
    <t>Wind Offshore - CF Class-44 Cost Class-c02 - Brazil</t>
  </si>
  <si>
    <t>EN_WON_23_c03_AUT</t>
  </si>
  <si>
    <t>Wind Onshore - CF Class-23 Cost Class-c03 - Austria</t>
  </si>
  <si>
    <t>ELC_Win-AUT</t>
  </si>
  <si>
    <t>EN_WOF_45_c02_BRA</t>
  </si>
  <si>
    <t>Wind Offshore - CF Class-45 Cost Class-c02 - Brazil</t>
  </si>
  <si>
    <t>EN_WON_24_c02_AUT</t>
  </si>
  <si>
    <t>Wind Onshore - CF Class-24 Cost Class-c02 - Austria</t>
  </si>
  <si>
    <t>EN_WOF_46_c02_BRA</t>
  </si>
  <si>
    <t>Wind Offshore - CF Class-46 Cost Class-c02 - Brazil</t>
  </si>
  <si>
    <t>EN_WON_25_c03_AUT</t>
  </si>
  <si>
    <t>Wind Onshore - CF Class-25 Cost Class-c03 - Austria</t>
  </si>
  <si>
    <t>EN_WOF_47_c02_BRA</t>
  </si>
  <si>
    <t>Wind Offshore - CF Class-47 Cost Class-c02 - Brazil</t>
  </si>
  <si>
    <t>EN_WON_26_c03_AUT</t>
  </si>
  <si>
    <t>Wind Onshore - CF Class-26 Cost Class-c03 - Austria</t>
  </si>
  <si>
    <t>EN_WOF_48_c02_BRA</t>
  </si>
  <si>
    <t>Wind Offshore - CF Class-48 Cost Class-c02 - Brazil</t>
  </si>
  <si>
    <t>EN_WON_27_c02_AUT</t>
  </si>
  <si>
    <t>Wind Onshore - CF Class-27 Cost Class-c02 - Austria</t>
  </si>
  <si>
    <t>EN_WOF_50_c02_BRA</t>
  </si>
  <si>
    <t>Wind Offshore - CF Class-50 Cost Class-c02 - Brazil</t>
  </si>
  <si>
    <t>EN_WON_29_c01_AUT</t>
  </si>
  <si>
    <t>Wind Onshore - CF Class-29 Cost Class-c01 - Austria</t>
  </si>
  <si>
    <t>EN_WOF_52_c02_BRA</t>
  </si>
  <si>
    <t>Wind Offshore - CF Class-52 Cost Class-c02 - Brazil</t>
  </si>
  <si>
    <t>EN_WON_16_c03_AZE</t>
  </si>
  <si>
    <t>Wind Onshore - CF Class-16 Cost Class-c03 - Azerbaijan</t>
  </si>
  <si>
    <t>EN_WOF_35_c02_BRB</t>
  </si>
  <si>
    <t>Wind Offshore - CF Class-35 Cost Class-c02 - Barbados</t>
  </si>
  <si>
    <t>ELC_Win-BRB</t>
  </si>
  <si>
    <t>BRB</t>
  </si>
  <si>
    <t>EN_WON_17_c02_AZE</t>
  </si>
  <si>
    <t>Wind Onshore - CF Class-17 Cost Class-c02 - Azerbaijan</t>
  </si>
  <si>
    <t>EN_WOF_36_c02_BRB</t>
  </si>
  <si>
    <t>Wind Offshore - CF Class-36 Cost Class-c02 - Barbados</t>
  </si>
  <si>
    <t>EN_WON_18_c02_AZE</t>
  </si>
  <si>
    <t>Wind Onshore - CF Class-18 Cost Class-c02 - Azerbaijan</t>
  </si>
  <si>
    <t>EN_WOF_37_c02_BRB</t>
  </si>
  <si>
    <t>Wind Offshore - CF Class-37 Cost Class-c02 - Barbados</t>
  </si>
  <si>
    <t>EN_WON_18_c03_AZE</t>
  </si>
  <si>
    <t>Wind Onshore - CF Class-18 Cost Class-c03 - Azerbaijan</t>
  </si>
  <si>
    <t>EN_WOF_30_c01_CAN</t>
  </si>
  <si>
    <t>Wind Offshore - CF Class-30 Cost Class-c01 - Canada</t>
  </si>
  <si>
    <t>ELC_Win-CAN</t>
  </si>
  <si>
    <t>EN_WON_19_c02_AZE</t>
  </si>
  <si>
    <t>Wind Onshore - CF Class-19 Cost Class-c02 - Azerbaijan</t>
  </si>
  <si>
    <t>EN_WOF_30_c02_CAN</t>
  </si>
  <si>
    <t>Wind Offshore - CF Class-30 Cost Class-c02 - Canada</t>
  </si>
  <si>
    <t>EN_WON_19_c03_AZE</t>
  </si>
  <si>
    <t>Wind Onshore - CF Class-19 Cost Class-c03 - Azerbaijan</t>
  </si>
  <si>
    <t>EN_WOF_31_c01_CAN</t>
  </si>
  <si>
    <t>Wind Offshore - CF Class-31 Cost Class-c01 - Canada</t>
  </si>
  <si>
    <t>EN_WON_20_c02_AZE</t>
  </si>
  <si>
    <t>Wind Onshore - CF Class-20 Cost Class-c02 - Azerbaijan</t>
  </si>
  <si>
    <t>EN_WOF_31_c02_CAN</t>
  </si>
  <si>
    <t>Wind Offshore - CF Class-31 Cost Class-c02 - Canada</t>
  </si>
  <si>
    <t>EN_WON_20_c03_AZE</t>
  </si>
  <si>
    <t>Wind Onshore - CF Class-20 Cost Class-c03 - Azerbaijan</t>
  </si>
  <si>
    <t>EN_WOF_32_c01_CAN</t>
  </si>
  <si>
    <t>Wind Offshore - CF Class-32 Cost Class-c01 - Canada</t>
  </si>
  <si>
    <t>EN_WON_20_c04_AZE</t>
  </si>
  <si>
    <t>Wind Onshore - CF Class-20 Cost Class-c04 - Azerbaijan</t>
  </si>
  <si>
    <t>EN_WOF_32_c02_CAN</t>
  </si>
  <si>
    <t>Wind Offshore - CF Class-32 Cost Class-c02 - Canada</t>
  </si>
  <si>
    <t>EN_WON_21_c02_AZE</t>
  </si>
  <si>
    <t>Wind Onshore - CF Class-21 Cost Class-c02 - Azerbaijan</t>
  </si>
  <si>
    <t>EN_WOF_33_c01_CAN</t>
  </si>
  <si>
    <t>Wind Offshore - CF Class-33 Cost Class-c01 - Canada</t>
  </si>
  <si>
    <t>EN_WON_21_c03_AZE</t>
  </si>
  <si>
    <t>Wind Onshore - CF Class-21 Cost Class-c03 - Azerbaijan</t>
  </si>
  <si>
    <t>EN_WOF_33_c02_CAN</t>
  </si>
  <si>
    <t>Wind Offshore - CF Class-33 Cost Class-c02 - Canada</t>
  </si>
  <si>
    <t>EN_WON_22_c04_AZE</t>
  </si>
  <si>
    <t>Wind Onshore - CF Class-22 Cost Class-c04 - Azerbaijan</t>
  </si>
  <si>
    <t>EN_WOF_34_c01_CAN</t>
  </si>
  <si>
    <t>Wind Offshore - CF Class-34 Cost Class-c01 - Canada</t>
  </si>
  <si>
    <t>EN_WON_23_c02_AZE</t>
  </si>
  <si>
    <t>Wind Onshore - CF Class-23 Cost Class-c02 - Azerbaijan</t>
  </si>
  <si>
    <t>EN_WOF_34_c02_CAN</t>
  </si>
  <si>
    <t>Wind Offshore - CF Class-34 Cost Class-c02 - Canada</t>
  </si>
  <si>
    <t>EN_WON_23_c03_AZE</t>
  </si>
  <si>
    <t>Wind Onshore - CF Class-23 Cost Class-c03 - Azerbaijan</t>
  </si>
  <si>
    <t>EN_WOF_35_c01_CAN</t>
  </si>
  <si>
    <t>Wind Offshore - CF Class-35 Cost Class-c01 - Canada</t>
  </si>
  <si>
    <t>EN_WON_24_c02_AZE</t>
  </si>
  <si>
    <t>Wind Onshore - CF Class-24 Cost Class-c02 - Azerbaijan</t>
  </si>
  <si>
    <t>EN_WOF_35_c02_CAN</t>
  </si>
  <si>
    <t>Wind Offshore - CF Class-35 Cost Class-c02 - Canada</t>
  </si>
  <si>
    <t>EN_WON_24_c03_AZE</t>
  </si>
  <si>
    <t>Wind Onshore - CF Class-24 Cost Class-c03 - Azerbaijan</t>
  </si>
  <si>
    <t>EN_WOF_36_c01_CAN</t>
  </si>
  <si>
    <t>Wind Offshore - CF Class-36 Cost Class-c01 - Canada</t>
  </si>
  <si>
    <t>EN_WON_25_c03_AZE</t>
  </si>
  <si>
    <t>Wind Onshore - CF Class-25 Cost Class-c03 - Azerbaijan</t>
  </si>
  <si>
    <t>EN_WOF_36_c02_CAN</t>
  </si>
  <si>
    <t>Wind Offshore - CF Class-36 Cost Class-c02 - Canada</t>
  </si>
  <si>
    <t>EN_WON_26_c03_AZE</t>
  </si>
  <si>
    <t>Wind Onshore - CF Class-26 Cost Class-c03 - Azerbaijan</t>
  </si>
  <si>
    <t>EN_WOF_37_c01_CAN</t>
  </si>
  <si>
    <t>Wind Offshore - CF Class-37 Cost Class-c01 - Canada</t>
  </si>
  <si>
    <t>EN_WON_27_c03_AZE</t>
  </si>
  <si>
    <t>Wind Onshore - CF Class-27 Cost Class-c03 - Azerbaijan</t>
  </si>
  <si>
    <t>EN_WOF_37_c02_CAN</t>
  </si>
  <si>
    <t>Wind Offshore - CF Class-37 Cost Class-c02 - Canada</t>
  </si>
  <si>
    <t>EN_WON_28_c04_AZE</t>
  </si>
  <si>
    <t>Wind Onshore - CF Class-28 Cost Class-c04 - Azerbaijan</t>
  </si>
  <si>
    <t>EN_WOF_38_c01_CAN</t>
  </si>
  <si>
    <t>Wind Offshore - CF Class-38 Cost Class-c01 - Canada</t>
  </si>
  <si>
    <t>EN_WON_31_c04_AZE</t>
  </si>
  <si>
    <t>Wind Onshore - CF Class-31 Cost Class-c04 - Azerbaijan</t>
  </si>
  <si>
    <t>EN_WOF_38_c02_CAN</t>
  </si>
  <si>
    <t>Wind Offshore - CF Class-38 Cost Class-c02 - Canada</t>
  </si>
  <si>
    <t>EN_WON_32_c01_AZE</t>
  </si>
  <si>
    <t>Wind Onshore - CF Class-32 Cost Class-c01 - Azerbaijan</t>
  </si>
  <si>
    <t>EN_WOF_39_c01_CAN</t>
  </si>
  <si>
    <t>Wind Offshore - CF Class-39 Cost Class-c01 - Canada</t>
  </si>
  <si>
    <t>EN_WON_32_c02_AZE</t>
  </si>
  <si>
    <t>Wind Onshore - CF Class-32 Cost Class-c02 - Azerbaijan</t>
  </si>
  <si>
    <t>EN_WOF_39_c02_CAN</t>
  </si>
  <si>
    <t>Wind Offshore - CF Class-39 Cost Class-c02 - Canada</t>
  </si>
  <si>
    <t>EN_WON_40_c01_AZE</t>
  </si>
  <si>
    <t>Wind Onshore - CF Class-40 Cost Class-c01 - Azerbaijan</t>
  </si>
  <si>
    <t>EN_WOF_40_c01_CAN</t>
  </si>
  <si>
    <t>Wind Offshore - CF Class-40 Cost Class-c01 - Canada</t>
  </si>
  <si>
    <t>EN_WON_15_c04_BDI</t>
  </si>
  <si>
    <t>Wind Onshore - CF Class-15 Cost Class-c04 - Burundi</t>
  </si>
  <si>
    <t>ELC_Win-BDI</t>
  </si>
  <si>
    <t>EN_WOF_40_c02_CAN</t>
  </si>
  <si>
    <t>Wind Offshore - CF Class-40 Cost Class-c02 - Canada</t>
  </si>
  <si>
    <t>EN_WON_16_c04_BDI</t>
  </si>
  <si>
    <t>Wind Onshore - CF Class-16 Cost Class-c04 - Burundi</t>
  </si>
  <si>
    <t>EN_WOF_41_c01_CAN</t>
  </si>
  <si>
    <t>Wind Offshore - CF Class-41 Cost Class-c01 - Canada</t>
  </si>
  <si>
    <t>EN_WON_17_c04_BDI</t>
  </si>
  <si>
    <t>Wind Onshore - CF Class-17 Cost Class-c04 - Burundi</t>
  </si>
  <si>
    <t>EN_WOF_41_c02_CAN</t>
  </si>
  <si>
    <t>Wind Offshore - CF Class-41 Cost Class-c02 - Canada</t>
  </si>
  <si>
    <t>EN_WON_33_c01_BEL</t>
  </si>
  <si>
    <t>Wind Onshore - CF Class-33 Cost Class-c01 - Belgium</t>
  </si>
  <si>
    <t>ELC_Win-BEL</t>
  </si>
  <si>
    <t>EN_WOF_42_c01_CAN</t>
  </si>
  <si>
    <t>Wind Offshore - CF Class-42 Cost Class-c01 - Canada</t>
  </si>
  <si>
    <t>EN_WON_34_c01_BEL</t>
  </si>
  <si>
    <t>Wind Onshore - CF Class-34 Cost Class-c01 - Belgium</t>
  </si>
  <si>
    <t>EN_WOF_42_c02_CAN</t>
  </si>
  <si>
    <t>Wind Offshore - CF Class-42 Cost Class-c02 - Canada</t>
  </si>
  <si>
    <t>EN_WON_35_c01_BEL</t>
  </si>
  <si>
    <t>Wind Onshore - CF Class-35 Cost Class-c01 - Belgium</t>
  </si>
  <si>
    <t>EN_WOF_43_c01_CAN</t>
  </si>
  <si>
    <t>Wind Offshore - CF Class-43 Cost Class-c01 - Canada</t>
  </si>
  <si>
    <t>EN_WON_36_c01_BEL</t>
  </si>
  <si>
    <t>Wind Onshore - CF Class-36 Cost Class-c01 - Belgium</t>
  </si>
  <si>
    <t>EN_WOF_43_c02_CAN</t>
  </si>
  <si>
    <t>Wind Offshore - CF Class-43 Cost Class-c02 - Canada</t>
  </si>
  <si>
    <t>EN_WON_16_c03_BEN</t>
  </si>
  <si>
    <t>Wind Onshore - CF Class-16 Cost Class-c03 - Benin</t>
  </si>
  <si>
    <t>ELC_Win-BEN</t>
  </si>
  <si>
    <t>EN_WOF_44_c01_CAN</t>
  </si>
  <si>
    <t>Wind Offshore - CF Class-44 Cost Class-c01 - Canada</t>
  </si>
  <si>
    <t>EN_WON_16_c04_BEN</t>
  </si>
  <si>
    <t>Wind Onshore - CF Class-16 Cost Class-c04 - Benin</t>
  </si>
  <si>
    <t>EN_WOF_44_c02_CAN</t>
  </si>
  <si>
    <t>Wind Offshore - CF Class-44 Cost Class-c02 - Canada</t>
  </si>
  <si>
    <t>EN_WON_17_c02_BEN</t>
  </si>
  <si>
    <t>Wind Onshore - CF Class-17 Cost Class-c02 - Benin</t>
  </si>
  <si>
    <t>EN_WOF_45_c01_CAN</t>
  </si>
  <si>
    <t>Wind Offshore - CF Class-45 Cost Class-c01 - Canada</t>
  </si>
  <si>
    <t>EN_WON_17_c03_BEN</t>
  </si>
  <si>
    <t>Wind Onshore - CF Class-17 Cost Class-c03 - Benin</t>
  </si>
  <si>
    <t>EN_WOF_45_c02_CAN</t>
  </si>
  <si>
    <t>Wind Offshore - CF Class-45 Cost Class-c02 - Canada</t>
  </si>
  <si>
    <t>EN_WON_18_c03_BEN</t>
  </si>
  <si>
    <t>Wind Onshore - CF Class-18 Cost Class-c03 - Benin</t>
  </si>
  <si>
    <t>EN_WOF_46_c01_CAN</t>
  </si>
  <si>
    <t>Wind Offshore - CF Class-46 Cost Class-c01 - Canada</t>
  </si>
  <si>
    <t>EN_WON_18_c04_BEN</t>
  </si>
  <si>
    <t>Wind Onshore - CF Class-18 Cost Class-c04 - Benin</t>
  </si>
  <si>
    <t>EN_WOF_46_c02_CAN</t>
  </si>
  <si>
    <t>Wind Offshore - CF Class-46 Cost Class-c02 - Canada</t>
  </si>
  <si>
    <t>EN_WON_19_c03_BEN</t>
  </si>
  <si>
    <t>Wind Onshore - CF Class-19 Cost Class-c03 - Benin</t>
  </si>
  <si>
    <t>EN_WOF_47_c01_CAN</t>
  </si>
  <si>
    <t>Wind Offshore - CF Class-47 Cost Class-c01 - Canada</t>
  </si>
  <si>
    <t>EN_WON_24_c01_BFA</t>
  </si>
  <si>
    <t>Wind Onshore - CF Class-24 Cost Class-c01 - Burkina Faso</t>
  </si>
  <si>
    <t>ELC_Win-BFA</t>
  </si>
  <si>
    <t>EN_WOF_47_c02_CAN</t>
  </si>
  <si>
    <t>Wind Offshore - CF Class-47 Cost Class-c02 - Canada</t>
  </si>
  <si>
    <t>EN_WON_24_c02_BFA</t>
  </si>
  <si>
    <t>Wind Onshore - CF Class-24 Cost Class-c02 - Burkina Faso</t>
  </si>
  <si>
    <t>EN_WOF_48_c01_CAN</t>
  </si>
  <si>
    <t>Wind Offshore - CF Class-48 Cost Class-c01 - Canada</t>
  </si>
  <si>
    <t>EN_WON_24_c03_BFA</t>
  </si>
  <si>
    <t>Wind Onshore - CF Class-24 Cost Class-c03 - Burkina Faso</t>
  </si>
  <si>
    <t>EN_WOF_48_c02_CAN</t>
  </si>
  <si>
    <t>Wind Offshore - CF Class-48 Cost Class-c02 - Canada</t>
  </si>
  <si>
    <t>EN_WON_25_c02_BFA</t>
  </si>
  <si>
    <t>Wind Onshore - CF Class-25 Cost Class-c02 - Burkina Faso</t>
  </si>
  <si>
    <t>EN_WOF_49_c01_CAN</t>
  </si>
  <si>
    <t>Wind Offshore - CF Class-49 Cost Class-c01 - Canada</t>
  </si>
  <si>
    <t>EN_WON_25_c03_BFA</t>
  </si>
  <si>
    <t>Wind Onshore - CF Class-25 Cost Class-c03 - Burkina Faso</t>
  </si>
  <si>
    <t>EN_WOF_49_c02_CAN</t>
  </si>
  <si>
    <t>Wind Offshore - CF Class-49 Cost Class-c02 - Canada</t>
  </si>
  <si>
    <t>EN_WON_16_c02_BGD</t>
  </si>
  <si>
    <t>Wind Onshore - CF Class-16 Cost Class-c02 - Bangladesh</t>
  </si>
  <si>
    <t>ELC_Win-BGD</t>
  </si>
  <si>
    <t>EN_WOF_50_c01_CAN</t>
  </si>
  <si>
    <t>Wind Offshore - CF Class-50 Cost Class-c01 - Canada</t>
  </si>
  <si>
    <t>EN_WON_16_c03_BGD</t>
  </si>
  <si>
    <t>Wind Onshore - CF Class-16 Cost Class-c03 - Bangladesh</t>
  </si>
  <si>
    <t>EN_WOF_50_c02_CAN</t>
  </si>
  <si>
    <t>Wind Offshore - CF Class-50 Cost Class-c02 - Canada</t>
  </si>
  <si>
    <t>EN_WON_16_c04_BGD</t>
  </si>
  <si>
    <t>Wind Onshore - CF Class-16 Cost Class-c04 - Bangladesh</t>
  </si>
  <si>
    <t>EN_WOF_51_c01_CAN</t>
  </si>
  <si>
    <t>Wind Offshore - CF Class-51 Cost Class-c01 - Canada</t>
  </si>
  <si>
    <t>EN_WON_17_c02_BGD</t>
  </si>
  <si>
    <t>Wind Onshore - CF Class-17 Cost Class-c02 - Bangladesh</t>
  </si>
  <si>
    <t>EN_WOF_51_c02_CAN</t>
  </si>
  <si>
    <t>Wind Offshore - CF Class-51 Cost Class-c02 - Canada</t>
  </si>
  <si>
    <t>EN_WON_17_c03_BGD</t>
  </si>
  <si>
    <t>Wind Onshore - CF Class-17 Cost Class-c03 - Bangladesh</t>
  </si>
  <si>
    <t>EN_WOF_52_c01_CAN</t>
  </si>
  <si>
    <t>Wind Offshore - CF Class-52 Cost Class-c01 - Canada</t>
  </si>
  <si>
    <t>EN_WON_19_c02_BGD</t>
  </si>
  <si>
    <t>Wind Onshore - CF Class-19 Cost Class-c02 - Bangladesh</t>
  </si>
  <si>
    <t>EN_WOF_52_c02_CAN</t>
  </si>
  <si>
    <t>Wind Offshore - CF Class-52 Cost Class-c02 - Canada</t>
  </si>
  <si>
    <t>EN_WON_19_c02_BGR</t>
  </si>
  <si>
    <t>Wind Onshore - CF Class-19 Cost Class-c02 - Bulgaria</t>
  </si>
  <si>
    <t>EN_WOF_53_c01_CAN</t>
  </si>
  <si>
    <t>Wind Offshore - CF Class-53 Cost Class-c01 - Canada</t>
  </si>
  <si>
    <t>EN_WON_19_c03_BGR</t>
  </si>
  <si>
    <t>Wind Onshore - CF Class-19 Cost Class-c03 - Bulgaria</t>
  </si>
  <si>
    <t>EN_WOF_53_c02_CAN</t>
  </si>
  <si>
    <t>Wind Offshore - CF Class-53 Cost Class-c02 - Canada</t>
  </si>
  <si>
    <t>EN_WON_20_c02_BGR</t>
  </si>
  <si>
    <t>Wind Onshore - CF Class-20 Cost Class-c02 - Bulgaria</t>
  </si>
  <si>
    <t>EN_WOF_54_c01_CAN</t>
  </si>
  <si>
    <t>Wind Offshore - CF Class-54 Cost Class-c01 - Canada</t>
  </si>
  <si>
    <t>EN_WON_20_c03_BGR</t>
  </si>
  <si>
    <t>Wind Onshore - CF Class-20 Cost Class-c03 - Bulgaria</t>
  </si>
  <si>
    <t>EN_WOF_54_c02_CAN</t>
  </si>
  <si>
    <t>Wind Offshore - CF Class-54 Cost Class-c02 - Canada</t>
  </si>
  <si>
    <t>EN_WON_21_c02_BGR</t>
  </si>
  <si>
    <t>Wind Onshore - CF Class-21 Cost Class-c02 - Bulgaria</t>
  </si>
  <si>
    <t>EN_WOF_55_c01_CAN</t>
  </si>
  <si>
    <t>Wind Offshore - CF Class-55 Cost Class-c01 - Canada</t>
  </si>
  <si>
    <t>EN_WON_23_c02_BGR</t>
  </si>
  <si>
    <t>Wind Onshore - CF Class-23 Cost Class-c02 - Bulgaria</t>
  </si>
  <si>
    <t>EN_WOF_55_c02_CAN</t>
  </si>
  <si>
    <t>Wind Offshore - CF Class-55 Cost Class-c02 - Canada</t>
  </si>
  <si>
    <t>EN_WON_23_c03_BGR</t>
  </si>
  <si>
    <t>Wind Onshore - CF Class-23 Cost Class-c03 - Bulgaria</t>
  </si>
  <si>
    <t>EN_WOF_56_c01_CAN</t>
  </si>
  <si>
    <t>Wind Offshore - CF Class-56 Cost Class-c01 - Canada</t>
  </si>
  <si>
    <t>EN_WON_24_c02_BGR</t>
  </si>
  <si>
    <t>Wind Onshore - CF Class-24 Cost Class-c02 - Bulgaria</t>
  </si>
  <si>
    <t>EN_WOF_56_c02_CAN</t>
  </si>
  <si>
    <t>Wind Offshore - CF Class-56 Cost Class-c02 - Canada</t>
  </si>
  <si>
    <t>EN_WON_24_c03_BGR</t>
  </si>
  <si>
    <t>Wind Onshore - CF Class-24 Cost Class-c03 - Bulgaria</t>
  </si>
  <si>
    <t>EN_WOF_57_c01_CAN</t>
  </si>
  <si>
    <t>Wind Offshore - CF Class-57 Cost Class-c01 - Canada</t>
  </si>
  <si>
    <t>EN_WON_25_c02_BGR</t>
  </si>
  <si>
    <t>Wind Onshore - CF Class-25 Cost Class-c02 - Bulgaria</t>
  </si>
  <si>
    <t>EN_WOF_57_c02_CAN</t>
  </si>
  <si>
    <t>Wind Offshore - CF Class-57 Cost Class-c02 - Canada</t>
  </si>
  <si>
    <t>EN_WON_25_c03_BGR</t>
  </si>
  <si>
    <t>Wind Onshore - CF Class-25 Cost Class-c03 - Bulgaria</t>
  </si>
  <si>
    <t>EN_WOF_58_c01_CAN</t>
  </si>
  <si>
    <t>Wind Offshore - CF Class-58 Cost Class-c01 - Canada</t>
  </si>
  <si>
    <t>EN_WON_26_c01_BGR</t>
  </si>
  <si>
    <t>Wind Onshore - CF Class-26 Cost Class-c01 - Bulgaria</t>
  </si>
  <si>
    <t>EN_WOF_58_c02_CAN</t>
  </si>
  <si>
    <t>Wind Offshore - CF Class-58 Cost Class-c02 - Canada</t>
  </si>
  <si>
    <t>EN_WON_26_c03_BGR</t>
  </si>
  <si>
    <t>Wind Onshore - CF Class-26 Cost Class-c03 - Bulgaria</t>
  </si>
  <si>
    <t>EN_WOF_59_c01_CAN</t>
  </si>
  <si>
    <t>Wind Offshore - CF Class-59 Cost Class-c01 - Canada</t>
  </si>
  <si>
    <t>EN_WON_27_c03_BGR</t>
  </si>
  <si>
    <t>Wind Onshore - CF Class-27 Cost Class-c03 - Bulgaria</t>
  </si>
  <si>
    <t>EN_WOF_59_c02_CAN</t>
  </si>
  <si>
    <t>Wind Offshore - CF Class-59 Cost Class-c02 - Canada</t>
  </si>
  <si>
    <t>EN_WON_29_c01_BGR</t>
  </si>
  <si>
    <t>Wind Onshore - CF Class-29 Cost Class-c01 - Bulgaria</t>
  </si>
  <si>
    <t>EN_WOF_60_c01_CAN</t>
  </si>
  <si>
    <t>Wind Offshore - CF Class-60 Cost Class-c01 - Canada</t>
  </si>
  <si>
    <t>EN_WON_25_c02_BHR</t>
  </si>
  <si>
    <t>Wind Onshore - CF Class-25 Cost Class-c02 - Bahrain</t>
  </si>
  <si>
    <t>ELC_Win-BHR</t>
  </si>
  <si>
    <t>EN_WOF_60_c02_CAN</t>
  </si>
  <si>
    <t>Wind Offshore - CF Class-60 Cost Class-c02 - Canada</t>
  </si>
  <si>
    <t>EN_WON_16_c04_BHS</t>
  </si>
  <si>
    <t>Wind Onshore - CF Class-16 Cost Class-c04 - The Bahamas</t>
  </si>
  <si>
    <t>EN_WOF_61_c01_CAN</t>
  </si>
  <si>
    <t>Wind Offshore - CF Class-61 Cost Class-c01 - Canada</t>
  </si>
  <si>
    <t>EN_WON_17_c02_BHS</t>
  </si>
  <si>
    <t>Wind Onshore - CF Class-17 Cost Class-c02 - The Bahamas</t>
  </si>
  <si>
    <t>EN_WOF_61_c02_CAN</t>
  </si>
  <si>
    <t>Wind Offshore - CF Class-61 Cost Class-c02 - Canada</t>
  </si>
  <si>
    <t>EN_WON_17_c03_BHS</t>
  </si>
  <si>
    <t>Wind Onshore - CF Class-17 Cost Class-c03 - The Bahamas</t>
  </si>
  <si>
    <t>EN_WOF_62_c02_CAN</t>
  </si>
  <si>
    <t>Wind Offshore - CF Class-62 Cost Class-c02 - Canada</t>
  </si>
  <si>
    <t>EN_WON_17_c04_BHS</t>
  </si>
  <si>
    <t>Wind Onshore - CF Class-17 Cost Class-c04 - The Bahamas</t>
  </si>
  <si>
    <t>EN_WOF_30_c01_CHL</t>
  </si>
  <si>
    <t>Wind Offshore - CF Class-30 Cost Class-c01 - Chile</t>
  </si>
  <si>
    <t>ELC_Win-CHL</t>
  </si>
  <si>
    <t>EN_WON_18_c02_BHS</t>
  </si>
  <si>
    <t>Wind Onshore - CF Class-18 Cost Class-c02 - The Bahamas</t>
  </si>
  <si>
    <t>EN_WOF_31_c02_CHL</t>
  </si>
  <si>
    <t>Wind Offshore - CF Class-31 Cost Class-c02 - Chile</t>
  </si>
  <si>
    <t>EN_WON_18_c04_BHS</t>
  </si>
  <si>
    <t>Wind Onshore - CF Class-18 Cost Class-c04 - The Bahamas</t>
  </si>
  <si>
    <t>EN_WOF_32_c01_CHL</t>
  </si>
  <si>
    <t>Wind Offshore - CF Class-32 Cost Class-c01 - Chile</t>
  </si>
  <si>
    <t>EN_WON_19_c03_BHS</t>
  </si>
  <si>
    <t>Wind Onshore - CF Class-19 Cost Class-c03 - The Bahamas</t>
  </si>
  <si>
    <t>EN_WOF_34_c01_CHL</t>
  </si>
  <si>
    <t>Wind Offshore - CF Class-34 Cost Class-c01 - Chile</t>
  </si>
  <si>
    <t>EN_WON_21_c03_BHS</t>
  </si>
  <si>
    <t>Wind Onshore - CF Class-21 Cost Class-c03 - The Bahamas</t>
  </si>
  <si>
    <t>EN_WOF_35_c01_CHL</t>
  </si>
  <si>
    <t>Wind Offshore - CF Class-35 Cost Class-c01 - Chile</t>
  </si>
  <si>
    <t>EN_WON_21_c04_BHS</t>
  </si>
  <si>
    <t>Wind Onshore - CF Class-21 Cost Class-c04 - The Bahamas</t>
  </si>
  <si>
    <t>EN_WOF_36_c01_CHL</t>
  </si>
  <si>
    <t>Wind Offshore - CF Class-36 Cost Class-c01 - Chile</t>
  </si>
  <si>
    <t>EN_WON_24_c04_BHS</t>
  </si>
  <si>
    <t>Wind Onshore - CF Class-24 Cost Class-c04 - The Bahamas</t>
  </si>
  <si>
    <t>EN_WOF_37_c01_CHL</t>
  </si>
  <si>
    <t>Wind Offshore - CF Class-37 Cost Class-c01 - Chile</t>
  </si>
  <si>
    <t>EN_WON_25_c04_BHS</t>
  </si>
  <si>
    <t>Wind Onshore - CF Class-25 Cost Class-c04 - The Bahamas</t>
  </si>
  <si>
    <t>EN_WOF_38_c01_CHL</t>
  </si>
  <si>
    <t>Wind Offshore - CF Class-38 Cost Class-c01 - Chile</t>
  </si>
  <si>
    <t>EN_WON_27_c03_BHS</t>
  </si>
  <si>
    <t>Wind Onshore - CF Class-27 Cost Class-c03 - The Bahamas</t>
  </si>
  <si>
    <t>EN_WOF_40_c01_CHL</t>
  </si>
  <si>
    <t>Wind Offshore - CF Class-40 Cost Class-c01 - Chile</t>
  </si>
  <si>
    <t>EN_WON_32_c03_BHS</t>
  </si>
  <si>
    <t>Wind Onshore - CF Class-32 Cost Class-c03 - The Bahamas</t>
  </si>
  <si>
    <t>EN_WOF_40_c02_CHL</t>
  </si>
  <si>
    <t>Wind Offshore - CF Class-40 Cost Class-c02 - Chile</t>
  </si>
  <si>
    <t>EN_WON_34_c03_BHS</t>
  </si>
  <si>
    <t>Wind Onshore - CF Class-34 Cost Class-c03 - The Bahamas</t>
  </si>
  <si>
    <t>EN_WOF_42_c01_CHL</t>
  </si>
  <si>
    <t>Wind Offshore - CF Class-42 Cost Class-c01 - Chile</t>
  </si>
  <si>
    <t>EN_WON_35_c03_BHS</t>
  </si>
  <si>
    <t>Wind Onshore - CF Class-35 Cost Class-c03 - The Bahamas</t>
  </si>
  <si>
    <t>EN_WOF_42_c02_CHL</t>
  </si>
  <si>
    <t>Wind Offshore - CF Class-42 Cost Class-c02 - Chile</t>
  </si>
  <si>
    <t>EN_WON_15_c02_BIH</t>
  </si>
  <si>
    <t>Wind Onshore - CF Class-15 Cost Class-c02 - Bosnia and Herzegovina</t>
  </si>
  <si>
    <t>ELC_Win-BIH</t>
  </si>
  <si>
    <t>EN_WOF_43_c01_CHL</t>
  </si>
  <si>
    <t>Wind Offshore - CF Class-43 Cost Class-c01 - Chile</t>
  </si>
  <si>
    <t>EN_WON_16_c02_BIH</t>
  </si>
  <si>
    <t>Wind Onshore - CF Class-16 Cost Class-c02 - Bosnia and Herzegovina</t>
  </si>
  <si>
    <t>EN_WOF_43_c02_CHL</t>
  </si>
  <si>
    <t>Wind Offshore - CF Class-43 Cost Class-c02 - Chile</t>
  </si>
  <si>
    <t>EN_WON_17_c02_BIH</t>
  </si>
  <si>
    <t>Wind Onshore - CF Class-17 Cost Class-c02 - Bosnia and Herzegovina</t>
  </si>
  <si>
    <t>EN_WOF_44_c01_CHL</t>
  </si>
  <si>
    <t>Wind Offshore - CF Class-44 Cost Class-c01 - Chile</t>
  </si>
  <si>
    <t>EN_WON_17_c03_BIH</t>
  </si>
  <si>
    <t>Wind Onshore - CF Class-17 Cost Class-c03 - Bosnia and Herzegovina</t>
  </si>
  <si>
    <t>EN_WOF_46_c01_CHL</t>
  </si>
  <si>
    <t>Wind Offshore - CF Class-46 Cost Class-c01 - Chile</t>
  </si>
  <si>
    <t>EN_WON_18_c02_BIH</t>
  </si>
  <si>
    <t>Wind Onshore - CF Class-18 Cost Class-c02 - Bosnia and Herzegovina</t>
  </si>
  <si>
    <t>EN_WOF_46_c02_CHL</t>
  </si>
  <si>
    <t>Wind Offshore - CF Class-46 Cost Class-c02 - Chile</t>
  </si>
  <si>
    <t>EN_WON_19_c02_BIH</t>
  </si>
  <si>
    <t>Wind Onshore - CF Class-19 Cost Class-c02 - Bosnia and Herzegovina</t>
  </si>
  <si>
    <t>EN_WOF_47_c01_CHL</t>
  </si>
  <si>
    <t>Wind Offshore - CF Class-47 Cost Class-c01 - Chile</t>
  </si>
  <si>
    <t>EN_WON_19_c03_BIH</t>
  </si>
  <si>
    <t>Wind Onshore - CF Class-19 Cost Class-c03 - Bosnia and Herzegovina</t>
  </si>
  <si>
    <t>EN_WOF_48_c01_CHL</t>
  </si>
  <si>
    <t>Wind Offshore - CF Class-48 Cost Class-c01 - Chile</t>
  </si>
  <si>
    <t>EN_WON_20_c03_BIH</t>
  </si>
  <si>
    <t>Wind Onshore - CF Class-20 Cost Class-c03 - Bosnia and Herzegovina</t>
  </si>
  <si>
    <t>EN_WOF_48_c02_CHL</t>
  </si>
  <si>
    <t>Wind Offshore - CF Class-48 Cost Class-c02 - Chile</t>
  </si>
  <si>
    <t>EN_WON_21_c02_BIH</t>
  </si>
  <si>
    <t>Wind Onshore - CF Class-21 Cost Class-c02 - Bosnia and Herzegovina</t>
  </si>
  <si>
    <t>EN_WOF_49_c01_CHL</t>
  </si>
  <si>
    <t>Wind Offshore - CF Class-49 Cost Class-c01 - Chile</t>
  </si>
  <si>
    <t>EN_WON_21_c03_BIH</t>
  </si>
  <si>
    <t>Wind Onshore - CF Class-21 Cost Class-c03 - Bosnia and Herzegovina</t>
  </si>
  <si>
    <t>EN_WOF_49_c02_CHL</t>
  </si>
  <si>
    <t>Wind Offshore - CF Class-49 Cost Class-c02 - Chile</t>
  </si>
  <si>
    <t>EN_WON_22_c02_BIH</t>
  </si>
  <si>
    <t>Wind Onshore - CF Class-22 Cost Class-c02 - Bosnia and Herzegovina</t>
  </si>
  <si>
    <t>EN_WOF_50_c01_CHL</t>
  </si>
  <si>
    <t>Wind Offshore - CF Class-50 Cost Class-c01 - Chile</t>
  </si>
  <si>
    <t>EN_WON_22_c03_BIH</t>
  </si>
  <si>
    <t>Wind Onshore - CF Class-22 Cost Class-c03 - Bosnia and Herzegovina</t>
  </si>
  <si>
    <t>EN_WOF_50_c02_CHL</t>
  </si>
  <si>
    <t>Wind Offshore - CF Class-50 Cost Class-c02 - Chile</t>
  </si>
  <si>
    <t>EN_WON_23_c02_BIH</t>
  </si>
  <si>
    <t>Wind Onshore - CF Class-23 Cost Class-c02 - Bosnia and Herzegovina</t>
  </si>
  <si>
    <t>EN_WOF_51_c01_CHL</t>
  </si>
  <si>
    <t>Wind Offshore - CF Class-51 Cost Class-c01 - Chile</t>
  </si>
  <si>
    <t>EN_WON_24_c03_BIH</t>
  </si>
  <si>
    <t>Wind Onshore - CF Class-24 Cost Class-c03 - Bosnia and Herzegovina</t>
  </si>
  <si>
    <t>EN_WOF_51_c02_CHL</t>
  </si>
  <si>
    <t>Wind Offshore - CF Class-51 Cost Class-c02 - Chile</t>
  </si>
  <si>
    <t>EN_WON_24_c04_BIH</t>
  </si>
  <si>
    <t>Wind Onshore - CF Class-24 Cost Class-c04 - Bosnia and Herzegovina</t>
  </si>
  <si>
    <t>EN_WOF_52_c01_CHL</t>
  </si>
  <si>
    <t>Wind Offshore - CF Class-52 Cost Class-c01 - Chile</t>
  </si>
  <si>
    <t>EN_WON_25_c01_BIH</t>
  </si>
  <si>
    <t>Wind Onshore - CF Class-25 Cost Class-c01 - Bosnia and Herzegovina</t>
  </si>
  <si>
    <t>EN_WOF_52_c02_CHL</t>
  </si>
  <si>
    <t>Wind Offshore - CF Class-52 Cost Class-c02 - Chile</t>
  </si>
  <si>
    <t>EN_WON_25_c02_BIH</t>
  </si>
  <si>
    <t>Wind Onshore - CF Class-25 Cost Class-c02 - Bosnia and Herzegovina</t>
  </si>
  <si>
    <t>EN_WOF_53_c02_CHL</t>
  </si>
  <si>
    <t>Wind Offshore - CF Class-53 Cost Class-c02 - Chile</t>
  </si>
  <si>
    <t>EN_WON_25_c03_BIH</t>
  </si>
  <si>
    <t>Wind Onshore - CF Class-25 Cost Class-c03 - Bosnia and Herzegovina</t>
  </si>
  <si>
    <t>EN_WOF_54_c01_CHL</t>
  </si>
  <si>
    <t>Wind Offshore - CF Class-54 Cost Class-c01 - Chile</t>
  </si>
  <si>
    <t>EN_WON_26_c04_BIH</t>
  </si>
  <si>
    <t>Wind Onshore - CF Class-26 Cost Class-c04 - Bosnia and Herzegovina</t>
  </si>
  <si>
    <t>EN_WOF_54_c02_CHL</t>
  </si>
  <si>
    <t>Wind Offshore - CF Class-54 Cost Class-c02 - Chile</t>
  </si>
  <si>
    <t>EN_WON_27_c02_BIH</t>
  </si>
  <si>
    <t>Wind Onshore - CF Class-27 Cost Class-c02 - Bosnia and Herzegovina</t>
  </si>
  <si>
    <t>EN_WOF_56_c01_CHL</t>
  </si>
  <si>
    <t>Wind Offshore - CF Class-56 Cost Class-c01 - Chile</t>
  </si>
  <si>
    <t>EN_WON_27_c03_BIH</t>
  </si>
  <si>
    <t>Wind Onshore - CF Class-27 Cost Class-c03 - Bosnia and Herzegovina</t>
  </si>
  <si>
    <t>EN_WOF_56_c02_CHL</t>
  </si>
  <si>
    <t>Wind Offshore - CF Class-56 Cost Class-c02 - Chile</t>
  </si>
  <si>
    <t>EN_WON_28_c02_BIH</t>
  </si>
  <si>
    <t>Wind Onshore - CF Class-28 Cost Class-c02 - Bosnia and Herzegovina</t>
  </si>
  <si>
    <t>EN_WOF_58_c02_CHL</t>
  </si>
  <si>
    <t>Wind Offshore - CF Class-58 Cost Class-c02 - Chile</t>
  </si>
  <si>
    <t>EN_WON_28_c03_BIH</t>
  </si>
  <si>
    <t>Wind Onshore - CF Class-28 Cost Class-c03 - Bosnia and Herzegovina</t>
  </si>
  <si>
    <t>EN_WOF_59_c01_CHL</t>
  </si>
  <si>
    <t>Wind Offshore - CF Class-59 Cost Class-c01 - Chile</t>
  </si>
  <si>
    <t>EN_WON_29_c02_BIH</t>
  </si>
  <si>
    <t>Wind Onshore - CF Class-29 Cost Class-c02 - Bosnia and Herzegovina</t>
  </si>
  <si>
    <t>EN_WOF_60_c01_CHL</t>
  </si>
  <si>
    <t>Wind Offshore - CF Class-60 Cost Class-c01 - Chile</t>
  </si>
  <si>
    <t>EN_WON_30_c02_BIH</t>
  </si>
  <si>
    <t>Wind Onshore - CF Class-30 Cost Class-c02 - Bosnia and Herzegovina</t>
  </si>
  <si>
    <t>EN_WOF_61_c01_CHL</t>
  </si>
  <si>
    <t>Wind Offshore - CF Class-61 Cost Class-c01 - Chile</t>
  </si>
  <si>
    <t>EN_WON_31_c02_BIH</t>
  </si>
  <si>
    <t>Wind Onshore - CF Class-31 Cost Class-c02 - Bosnia and Herzegovina</t>
  </si>
  <si>
    <t>EN_WOF_61_c02_CHL</t>
  </si>
  <si>
    <t>Wind Offshore - CF Class-61 Cost Class-c02 - Chile</t>
  </si>
  <si>
    <t>EN_WON_31_c03_BIH</t>
  </si>
  <si>
    <t>Wind Onshore - CF Class-31 Cost Class-c03 - Bosnia and Herzegovina</t>
  </si>
  <si>
    <t>EN_WOF_62_c01_CHL</t>
  </si>
  <si>
    <t>Wind Offshore - CF Class-62 Cost Class-c01 - Chile</t>
  </si>
  <si>
    <t>EN_WON_32_c02_BIH</t>
  </si>
  <si>
    <t>Wind Onshore - CF Class-32 Cost Class-c02 - Bosnia and Herzegovina</t>
  </si>
  <si>
    <t>EN_WOF_62_c02_CHL</t>
  </si>
  <si>
    <t>Wind Offshore - CF Class-62 Cost Class-c02 - Chile</t>
  </si>
  <si>
    <t>EN_WON_33_c02_BIH</t>
  </si>
  <si>
    <t>Wind Onshore - CF Class-33 Cost Class-c02 - Bosnia and Herzegovina</t>
  </si>
  <si>
    <t>EN_WOF_63_c01_CHL</t>
  </si>
  <si>
    <t>Wind Offshore - CF Class-63 Cost Class-c01 - Chile</t>
  </si>
  <si>
    <t>EN_WON_34_c02_BIH</t>
  </si>
  <si>
    <t>Wind Onshore - CF Class-34 Cost Class-c02 - Bosnia and Herzegovina</t>
  </si>
  <si>
    <t>EN_WOF_64_c01_CHL</t>
  </si>
  <si>
    <t>Wind Offshore - CF Class-64 Cost Class-c01 - Chile</t>
  </si>
  <si>
    <t>EN_WON_32_c01_BLR</t>
  </si>
  <si>
    <t>Wind Onshore - CF Class-32 Cost Class-c01 - Belarus</t>
  </si>
  <si>
    <t>ELC_Win-BLR</t>
  </si>
  <si>
    <t>EN_WOF_64_c02_CHL</t>
  </si>
  <si>
    <t>Wind Offshore - CF Class-64 Cost Class-c02 - Chile</t>
  </si>
  <si>
    <t>EN_WON_33_c01_BLR</t>
  </si>
  <si>
    <t>Wind Onshore - CF Class-33 Cost Class-c01 - Belarus</t>
  </si>
  <si>
    <t>EN_WOF_65_c01_CHL</t>
  </si>
  <si>
    <t>Wind Offshore - CF Class-65 Cost Class-c01 - Chile</t>
  </si>
  <si>
    <t>EN_WON_34_c01_BLR</t>
  </si>
  <si>
    <t>Wind Onshore - CF Class-34 Cost Class-c01 - Belarus</t>
  </si>
  <si>
    <t>EN_WOF_65_c02_CHL</t>
  </si>
  <si>
    <t>Wind Offshore - CF Class-65 Cost Class-c02 - Chile</t>
  </si>
  <si>
    <t>EN_WON_35_c01_BLR</t>
  </si>
  <si>
    <t>Wind Onshore - CF Class-35 Cost Class-c01 - Belarus</t>
  </si>
  <si>
    <t>EN_WOF_66_c01_CHL</t>
  </si>
  <si>
    <t>Wind Offshore - CF Class-66 Cost Class-c01 - Chile</t>
  </si>
  <si>
    <t>EN_WON_27_c02_BOL</t>
  </si>
  <si>
    <t>Wind Onshore - CF Class-27 Cost Class-c02 - Bolivia</t>
  </si>
  <si>
    <t>ELC_Win-BOL</t>
  </si>
  <si>
    <t>EN_WOF_66_c02_CHL</t>
  </si>
  <si>
    <t>Wind Offshore - CF Class-66 Cost Class-c02 - Chile</t>
  </si>
  <si>
    <t>EN_WON_27_c03_BOL</t>
  </si>
  <si>
    <t>Wind Onshore - CF Class-27 Cost Class-c03 - Bolivia</t>
  </si>
  <si>
    <t>EN_WOF_67_c01_CHL</t>
  </si>
  <si>
    <t>Wind Offshore - CF Class-67 Cost Class-c01 - Chile</t>
  </si>
  <si>
    <t>EN_WON_28_c02_BOL</t>
  </si>
  <si>
    <t>Wind Onshore - CF Class-28 Cost Class-c02 - Bolivia</t>
  </si>
  <si>
    <t>EN_WOF_67_c02_CHL</t>
  </si>
  <si>
    <t>Wind Offshore - CF Class-67 Cost Class-c02 - Chile</t>
  </si>
  <si>
    <t>EN_WON_28_c03_BOL</t>
  </si>
  <si>
    <t>Wind Onshore - CF Class-28 Cost Class-c03 - Bolivia</t>
  </si>
  <si>
    <t>EN_WOF_68_c01_CHL</t>
  </si>
  <si>
    <t>Wind Offshore - CF Class-68 Cost Class-c01 - Chile</t>
  </si>
  <si>
    <t>EN_WON_30_c01_BOL</t>
  </si>
  <si>
    <t>Wind Onshore - CF Class-30 Cost Class-c01 - Bolivia</t>
  </si>
  <si>
    <t>EN_WOF_68_c02_CHL</t>
  </si>
  <si>
    <t>Wind Offshore - CF Class-68 Cost Class-c02 - Chile</t>
  </si>
  <si>
    <t>EN_WON_30_c02_BOL</t>
  </si>
  <si>
    <t>Wind Onshore - CF Class-30 Cost Class-c02 - Bolivia</t>
  </si>
  <si>
    <t>EN_WOF_30_c02_CHN</t>
  </si>
  <si>
    <t>Wind Offshore - CF Class-30 Cost Class-c02 - China</t>
  </si>
  <si>
    <t>ELC_Win-CHN</t>
  </si>
  <si>
    <t>EN_WON_30_c03_BOL</t>
  </si>
  <si>
    <t>Wind Onshore - CF Class-30 Cost Class-c03 - Bolivia</t>
  </si>
  <si>
    <t>EN_WOF_31_c02_CHN</t>
  </si>
  <si>
    <t>Wind Offshore - CF Class-31 Cost Class-c02 - China</t>
  </si>
  <si>
    <t>EN_WON_31_c01_BOL</t>
  </si>
  <si>
    <t>Wind Onshore - CF Class-31 Cost Class-c01 - Bolivia</t>
  </si>
  <si>
    <t>EN_WOF_32_c02_CHN</t>
  </si>
  <si>
    <t>Wind Offshore - CF Class-32 Cost Class-c02 - China</t>
  </si>
  <si>
    <t>EN_WON_31_c02_BOL</t>
  </si>
  <si>
    <t>Wind Onshore - CF Class-31 Cost Class-c02 - Bolivia</t>
  </si>
  <si>
    <t>EN_WOF_33_c02_CHN</t>
  </si>
  <si>
    <t>Wind Offshore - CF Class-33 Cost Class-c02 - China</t>
  </si>
  <si>
    <t>EN_WON_31_c03_BOL</t>
  </si>
  <si>
    <t>Wind Onshore - CF Class-31 Cost Class-c03 - Bolivia</t>
  </si>
  <si>
    <t>EN_WOF_34_c02_CHN</t>
  </si>
  <si>
    <t>Wind Offshore - CF Class-34 Cost Class-c02 - China</t>
  </si>
  <si>
    <t>EN_WON_32_c02_BOL</t>
  </si>
  <si>
    <t>Wind Onshore - CF Class-32 Cost Class-c02 - Bolivia</t>
  </si>
  <si>
    <t>EN_WOF_35_c02_CHN</t>
  </si>
  <si>
    <t>Wind Offshore - CF Class-35 Cost Class-c02 - China</t>
  </si>
  <si>
    <t>EN_WON_33_c02_BOL</t>
  </si>
  <si>
    <t>Wind Onshore - CF Class-33 Cost Class-c02 - Bolivia</t>
  </si>
  <si>
    <t>EN_WOF_36_c02_CHN</t>
  </si>
  <si>
    <t>Wind Offshore - CF Class-36 Cost Class-c02 - China</t>
  </si>
  <si>
    <t>EN_WON_34_c01_BOL</t>
  </si>
  <si>
    <t>Wind Onshore - CF Class-34 Cost Class-c01 - Bolivia</t>
  </si>
  <si>
    <t>EN_WOF_37_c02_CHN</t>
  </si>
  <si>
    <t>Wind Offshore - CF Class-37 Cost Class-c02 - China</t>
  </si>
  <si>
    <t>EN_WON_35_c01_BOL</t>
  </si>
  <si>
    <t>Wind Onshore - CF Class-35 Cost Class-c01 - Bolivia</t>
  </si>
  <si>
    <t>EN_WOF_38_c02_CHN</t>
  </si>
  <si>
    <t>Wind Offshore - CF Class-38 Cost Class-c02 - China</t>
  </si>
  <si>
    <t>EN_WON_36_c01_BOL</t>
  </si>
  <si>
    <t>Wind Onshore - CF Class-36 Cost Class-c01 - Bolivia</t>
  </si>
  <si>
    <t>EN_WOF_39_c02_CHN</t>
  </si>
  <si>
    <t>Wind Offshore - CF Class-39 Cost Class-c02 - China</t>
  </si>
  <si>
    <t>EN_WON_37_c01_BOL</t>
  </si>
  <si>
    <t>Wind Onshore - CF Class-37 Cost Class-c01 - Bolivia</t>
  </si>
  <si>
    <t>EN_WOF_40_c02_CHN</t>
  </si>
  <si>
    <t>Wind Offshore - CF Class-40 Cost Class-c02 - China</t>
  </si>
  <si>
    <t>EN_WON_41_c01_BOL</t>
  </si>
  <si>
    <t>Wind Onshore - CF Class-41 Cost Class-c01 - Bolivia</t>
  </si>
  <si>
    <t>EN_WOF_41_c02_CHN</t>
  </si>
  <si>
    <t>Wind Offshore - CF Class-41 Cost Class-c02 - China</t>
  </si>
  <si>
    <t>EN_WON_15_c02_BRA</t>
  </si>
  <si>
    <t>Wind Onshore - CF Class-15 Cost Class-c02 - Brazil</t>
  </si>
  <si>
    <t>EN_WOF_42_c02_CHN</t>
  </si>
  <si>
    <t>Wind Offshore - CF Class-42 Cost Class-c02 - China</t>
  </si>
  <si>
    <t>EN_WON_15_c03_BRA</t>
  </si>
  <si>
    <t>Wind Onshore - CF Class-15 Cost Class-c03 - Brazil</t>
  </si>
  <si>
    <t>EN_WOF_43_c02_CHN</t>
  </si>
  <si>
    <t>Wind Offshore - CF Class-43 Cost Class-c02 - China</t>
  </si>
  <si>
    <t>EN_WON_16_c02_BRA</t>
  </si>
  <si>
    <t>Wind Onshore - CF Class-16 Cost Class-c02 - Brazil</t>
  </si>
  <si>
    <t>EN_WOF_44_c02_CHN</t>
  </si>
  <si>
    <t>Wind Offshore - CF Class-44 Cost Class-c02 - China</t>
  </si>
  <si>
    <t>EN_WON_16_c03_BRA</t>
  </si>
  <si>
    <t>Wind Onshore - CF Class-16 Cost Class-c03 - Brazil</t>
  </si>
  <si>
    <t>EN_WOF_45_c02_CHN</t>
  </si>
  <si>
    <t>Wind Offshore - CF Class-45 Cost Class-c02 - China</t>
  </si>
  <si>
    <t>EN_WON_16_c04_BRA</t>
  </si>
  <si>
    <t>Wind Onshore - CF Class-16 Cost Class-c04 - Brazil</t>
  </si>
  <si>
    <t>EN_WOF_46_c02_CHN</t>
  </si>
  <si>
    <t>Wind Offshore - CF Class-46 Cost Class-c02 - China</t>
  </si>
  <si>
    <t>EN_WON_17_c02_BRA</t>
  </si>
  <si>
    <t>Wind Onshore - CF Class-17 Cost Class-c02 - Brazil</t>
  </si>
  <si>
    <t>EN_WOF_47_c02_CHN</t>
  </si>
  <si>
    <t>Wind Offshore - CF Class-47 Cost Class-c02 - China</t>
  </si>
  <si>
    <t>EN_WON_17_c03_BRA</t>
  </si>
  <si>
    <t>Wind Onshore - CF Class-17 Cost Class-c03 - Brazil</t>
  </si>
  <si>
    <t>EN_WOF_48_c02_CHN</t>
  </si>
  <si>
    <t>Wind Offshore - CF Class-48 Cost Class-c02 - China</t>
  </si>
  <si>
    <t>EN_WON_17_c04_BRA</t>
  </si>
  <si>
    <t>Wind Onshore - CF Class-17 Cost Class-c04 - Brazil</t>
  </si>
  <si>
    <t>EN_WOF_49_c02_CHN</t>
  </si>
  <si>
    <t>Wind Offshore - CF Class-49 Cost Class-c02 - China</t>
  </si>
  <si>
    <t>EN_WON_18_c02_BRA</t>
  </si>
  <si>
    <t>Wind Onshore - CF Class-18 Cost Class-c02 - Brazil</t>
  </si>
  <si>
    <t>EN_WOF_50_c02_CHN</t>
  </si>
  <si>
    <t>Wind Offshore - CF Class-50 Cost Class-c02 - China</t>
  </si>
  <si>
    <t>EN_WON_18_c03_BRA</t>
  </si>
  <si>
    <t>Wind Onshore - CF Class-18 Cost Class-c03 - Brazil</t>
  </si>
  <si>
    <t>EN_WOF_51_c02_CHN</t>
  </si>
  <si>
    <t>Wind Offshore - CF Class-51 Cost Class-c02 - China</t>
  </si>
  <si>
    <t>EN_WON_18_c04_BRA</t>
  </si>
  <si>
    <t>Wind Onshore - CF Class-18 Cost Class-c04 - Brazil</t>
  </si>
  <si>
    <t>EN_WOF_53_c02_CHN</t>
  </si>
  <si>
    <t>Wind Offshore - CF Class-53 Cost Class-c02 - China</t>
  </si>
  <si>
    <t>EN_WON_19_c02_BRA</t>
  </si>
  <si>
    <t>Wind Onshore - CF Class-19 Cost Class-c02 - Brazil</t>
  </si>
  <si>
    <t>EN_WOF_54_c02_CHN</t>
  </si>
  <si>
    <t>Wind Offshore - CF Class-54 Cost Class-c02 - China</t>
  </si>
  <si>
    <t>EN_WON_19_c03_BRA</t>
  </si>
  <si>
    <t>Wind Onshore - CF Class-19 Cost Class-c03 - Brazil</t>
  </si>
  <si>
    <t>EN_WOF_55_c02_CHN</t>
  </si>
  <si>
    <t>Wind Offshore - CF Class-55 Cost Class-c02 - China</t>
  </si>
  <si>
    <t>EN_WON_19_c04_BRA</t>
  </si>
  <si>
    <t>Wind Onshore - CF Class-19 Cost Class-c04 - Brazil</t>
  </si>
  <si>
    <t>EN_WOF_56_c02_CHN</t>
  </si>
  <si>
    <t>Wind Offshore - CF Class-56 Cost Class-c02 - China</t>
  </si>
  <si>
    <t>EN_WON_20_c02_BRA</t>
  </si>
  <si>
    <t>Wind Onshore - CF Class-20 Cost Class-c02 - Brazil</t>
  </si>
  <si>
    <t>EN_WOF_57_c02_CHN</t>
  </si>
  <si>
    <t>Wind Offshore - CF Class-57 Cost Class-c02 - China</t>
  </si>
  <si>
    <t>EN_WON_20_c03_BRA</t>
  </si>
  <si>
    <t>Wind Onshore - CF Class-20 Cost Class-c03 - Brazil</t>
  </si>
  <si>
    <t>EN_WOF_58_c02_CHN</t>
  </si>
  <si>
    <t>Wind Offshore - CF Class-58 Cost Class-c02 - China</t>
  </si>
  <si>
    <t>EN_WON_20_c04_BRA</t>
  </si>
  <si>
    <t>Wind Onshore - CF Class-20 Cost Class-c04 - Brazil</t>
  </si>
  <si>
    <t>EN_WOF_32_c02_COL</t>
  </si>
  <si>
    <t>Wind Offshore - CF Class-32 Cost Class-c02 - Colombia</t>
  </si>
  <si>
    <t>ELC_Win-COL</t>
  </si>
  <si>
    <t>EN_WON_21_c02_BRA</t>
  </si>
  <si>
    <t>Wind Onshore - CF Class-21 Cost Class-c02 - Brazil</t>
  </si>
  <si>
    <t>EN_WOF_36_c02_COL</t>
  </si>
  <si>
    <t>Wind Offshore - CF Class-36 Cost Class-c02 - Colombia</t>
  </si>
  <si>
    <t>EN_WON_21_c03_BRA</t>
  </si>
  <si>
    <t>Wind Onshore - CF Class-21 Cost Class-c03 - Brazil</t>
  </si>
  <si>
    <t>EN_WOF_37_c02_COL</t>
  </si>
  <si>
    <t>Wind Offshore - CF Class-37 Cost Class-c02 - Colombia</t>
  </si>
  <si>
    <t>EN_WON_21_c04_BRA</t>
  </si>
  <si>
    <t>Wind Onshore - CF Class-21 Cost Class-c04 - Brazil</t>
  </si>
  <si>
    <t>EN_WOF_38_c02_COL</t>
  </si>
  <si>
    <t>Wind Offshore - CF Class-38 Cost Class-c02 - Colombia</t>
  </si>
  <si>
    <t>EN_WON_22_c02_BRA</t>
  </si>
  <si>
    <t>Wind Onshore - CF Class-22 Cost Class-c02 - Brazil</t>
  </si>
  <si>
    <t>EN_WOF_43_c02_COL</t>
  </si>
  <si>
    <t>Wind Offshore - CF Class-43 Cost Class-c02 - Colombia</t>
  </si>
  <si>
    <t>EN_WON_22_c03_BRA</t>
  </si>
  <si>
    <t>Wind Onshore - CF Class-22 Cost Class-c03 - Brazil</t>
  </si>
  <si>
    <t>EN_WOF_44_c02_COL</t>
  </si>
  <si>
    <t>Wind Offshore - CF Class-44 Cost Class-c02 - Colombia</t>
  </si>
  <si>
    <t>EN_WON_22_c04_BRA</t>
  </si>
  <si>
    <t>Wind Onshore - CF Class-22 Cost Class-c04 - Brazil</t>
  </si>
  <si>
    <t>EN_WOF_45_c02_COL</t>
  </si>
  <si>
    <t>Wind Offshore - CF Class-45 Cost Class-c02 - Colombia</t>
  </si>
  <si>
    <t>EN_WON_23_c02_BRA</t>
  </si>
  <si>
    <t>Wind Onshore - CF Class-23 Cost Class-c02 - Brazil</t>
  </si>
  <si>
    <t>EN_WOF_49_c02_COL</t>
  </si>
  <si>
    <t>Wind Offshore - CF Class-49 Cost Class-c02 - Colombia</t>
  </si>
  <si>
    <t>EN_WON_23_c03_BRA</t>
  </si>
  <si>
    <t>Wind Onshore - CF Class-23 Cost Class-c03 - Brazil</t>
  </si>
  <si>
    <t>EN_WOF_50_c02_COL</t>
  </si>
  <si>
    <t>Wind Offshore - CF Class-50 Cost Class-c02 - Colombia</t>
  </si>
  <si>
    <t>EN_WON_23_c04_BRA</t>
  </si>
  <si>
    <t>Wind Onshore - CF Class-23 Cost Class-c04 - Brazil</t>
  </si>
  <si>
    <t>EN_WOF_51_c02_COL</t>
  </si>
  <si>
    <t>Wind Offshore - CF Class-51 Cost Class-c02 - Colombia</t>
  </si>
  <si>
    <t>EN_WON_24_c01_BRA</t>
  </si>
  <si>
    <t>Wind Onshore - CF Class-24 Cost Class-c01 - Brazil</t>
  </si>
  <si>
    <t>EN_WOF_52_c02_COL</t>
  </si>
  <si>
    <t>Wind Offshore - CF Class-52 Cost Class-c02 - Colombia</t>
  </si>
  <si>
    <t>EN_WON_24_c02_BRA</t>
  </si>
  <si>
    <t>Wind Onshore - CF Class-24 Cost Class-c02 - Brazil</t>
  </si>
  <si>
    <t>EN_WOF_53_c02_COL</t>
  </si>
  <si>
    <t>Wind Offshore - CF Class-53 Cost Class-c02 - Colombia</t>
  </si>
  <si>
    <t>EN_WON_24_c03_BRA</t>
  </si>
  <si>
    <t>Wind Onshore - CF Class-24 Cost Class-c03 - Brazil</t>
  </si>
  <si>
    <t>EN_WOF_57_c02_COL</t>
  </si>
  <si>
    <t>Wind Offshore - CF Class-57 Cost Class-c02 - Colombia</t>
  </si>
  <si>
    <t>EN_WON_24_c04_BRA</t>
  </si>
  <si>
    <t>Wind Onshore - CF Class-24 Cost Class-c04 - Brazil</t>
  </si>
  <si>
    <t>EN_WOF_58_c02_COL</t>
  </si>
  <si>
    <t>Wind Offshore - CF Class-58 Cost Class-c02 - Colombia</t>
  </si>
  <si>
    <t>EN_WON_25_c01_BRA</t>
  </si>
  <si>
    <t>Wind Onshore - CF Class-25 Cost Class-c01 - Brazil</t>
  </si>
  <si>
    <t>EN_WOF_59_c02_COL</t>
  </si>
  <si>
    <t>Wind Offshore - CF Class-59 Cost Class-c02 - Colombia</t>
  </si>
  <si>
    <t>EN_WON_25_c02_BRA</t>
  </si>
  <si>
    <t>Wind Onshore - CF Class-25 Cost Class-c02 - Brazil</t>
  </si>
  <si>
    <t>EN_WOF_62_c02_COL</t>
  </si>
  <si>
    <t>Wind Offshore - CF Class-62 Cost Class-c02 - Colombia</t>
  </si>
  <si>
    <t>EN_WON_25_c03_BRA</t>
  </si>
  <si>
    <t>Wind Onshore - CF Class-25 Cost Class-c03 - Brazil</t>
  </si>
  <si>
    <t>EN_WOF_63_c02_COL</t>
  </si>
  <si>
    <t>Wind Offshore - CF Class-63 Cost Class-c02 - Colombia</t>
  </si>
  <si>
    <t>EN_WON_25_c04_BRA</t>
  </si>
  <si>
    <t>Wind Onshore - CF Class-25 Cost Class-c04 - Brazil</t>
  </si>
  <si>
    <t>EN_WOF_64_c02_COL</t>
  </si>
  <si>
    <t>Wind Offshore - CF Class-64 Cost Class-c02 - Colombia</t>
  </si>
  <si>
    <t>EN_WON_26_c01_BRA</t>
  </si>
  <si>
    <t>Wind Onshore - CF Class-26 Cost Class-c01 - Brazil</t>
  </si>
  <si>
    <t>EN_WOF_65_c02_COL</t>
  </si>
  <si>
    <t>Wind Offshore - CF Class-65 Cost Class-c02 - Colombia</t>
  </si>
  <si>
    <t>EN_WON_26_c02_BRA</t>
  </si>
  <si>
    <t>Wind Onshore - CF Class-26 Cost Class-c02 - Brazil</t>
  </si>
  <si>
    <t>EN_WOF_66_c02_COL</t>
  </si>
  <si>
    <t>Wind Offshore - CF Class-66 Cost Class-c02 - Colombia</t>
  </si>
  <si>
    <t>EN_WON_26_c03_BRA</t>
  </si>
  <si>
    <t>Wind Onshore - CF Class-26 Cost Class-c03 - Brazil</t>
  </si>
  <si>
    <t>EN_WOF_32_c02_CRI</t>
  </si>
  <si>
    <t>Wind Offshore - CF Class-32 Cost Class-c02 - Costa Rica</t>
  </si>
  <si>
    <t>ELC_Win-CRI</t>
  </si>
  <si>
    <t>EN_WON_26_c04_BRA</t>
  </si>
  <si>
    <t>Wind Onshore - CF Class-26 Cost Class-c04 - Brazil</t>
  </si>
  <si>
    <t>EN_WOF_45_c02_CRI</t>
  </si>
  <si>
    <t>Wind Offshore - CF Class-45 Cost Class-c02 - Costa Rica</t>
  </si>
  <si>
    <t>EN_WON_27_c01_BRA</t>
  </si>
  <si>
    <t>Wind Onshore - CF Class-27 Cost Class-c01 - Brazil</t>
  </si>
  <si>
    <t>EN_WOF_49_c02_CRI</t>
  </si>
  <si>
    <t>Wind Offshore - CF Class-49 Cost Class-c02 - Costa Rica</t>
  </si>
  <si>
    <t>EN_WON_27_c02_BRA</t>
  </si>
  <si>
    <t>Wind Onshore - CF Class-27 Cost Class-c02 - Brazil</t>
  </si>
  <si>
    <t>EN_WOF_52_c02_CRI</t>
  </si>
  <si>
    <t>Wind Offshore - CF Class-52 Cost Class-c02 - Costa Rica</t>
  </si>
  <si>
    <t>EN_WON_27_c03_BRA</t>
  </si>
  <si>
    <t>Wind Onshore - CF Class-27 Cost Class-c03 - Brazil</t>
  </si>
  <si>
    <t>EN_WOF_30_c02_CUB</t>
  </si>
  <si>
    <t>Wind Offshore - CF Class-30 Cost Class-c02 - Cuba</t>
  </si>
  <si>
    <t>ELC_Win-CUB</t>
  </si>
  <si>
    <t>EN_WON_27_c04_BRA</t>
  </si>
  <si>
    <t>Wind Onshore - CF Class-27 Cost Class-c04 - Brazil</t>
  </si>
  <si>
    <t>EN_WOF_31_c02_CUB</t>
  </si>
  <si>
    <t>Wind Offshore - CF Class-31 Cost Class-c02 - Cuba</t>
  </si>
  <si>
    <t>EN_WON_28_c01_BRA</t>
  </si>
  <si>
    <t>Wind Onshore - CF Class-28 Cost Class-c01 - Brazil</t>
  </si>
  <si>
    <t>EN_WOF_32_c02_CUB</t>
  </si>
  <si>
    <t>Wind Offshore - CF Class-32 Cost Class-c02 - Cuba</t>
  </si>
  <si>
    <t>EN_WON_28_c02_BRA</t>
  </si>
  <si>
    <t>Wind Onshore - CF Class-28 Cost Class-c02 - Brazil</t>
  </si>
  <si>
    <t>EN_WOF_33_c02_CUB</t>
  </si>
  <si>
    <t>Wind Offshore - CF Class-33 Cost Class-c02 - Cuba</t>
  </si>
  <si>
    <t>EN_WON_28_c03_BRA</t>
  </si>
  <si>
    <t>Wind Onshore - CF Class-28 Cost Class-c03 - Brazil</t>
  </si>
  <si>
    <t>EN_WOF_34_c02_CUB</t>
  </si>
  <si>
    <t>Wind Offshore - CF Class-34 Cost Class-c02 - Cuba</t>
  </si>
  <si>
    <t>EN_WON_28_c04_BRA</t>
  </si>
  <si>
    <t>Wind Onshore - CF Class-28 Cost Class-c04 - Brazil</t>
  </si>
  <si>
    <t>EN_WOF_35_c02_CUB</t>
  </si>
  <si>
    <t>Wind Offshore - CF Class-35 Cost Class-c02 - Cuba</t>
  </si>
  <si>
    <t>EN_WON_29_c01_BRA</t>
  </si>
  <si>
    <t>Wind Onshore - CF Class-29 Cost Class-c01 - Brazil</t>
  </si>
  <si>
    <t>EN_WOF_36_c02_CUB</t>
  </si>
  <si>
    <t>Wind Offshore - CF Class-36 Cost Class-c02 - Cuba</t>
  </si>
  <si>
    <t>EN_WON_29_c02_BRA</t>
  </si>
  <si>
    <t>Wind Onshore - CF Class-29 Cost Class-c02 - Brazil</t>
  </si>
  <si>
    <t>EN_WOF_37_c02_CUB</t>
  </si>
  <si>
    <t>Wind Offshore - CF Class-37 Cost Class-c02 - Cuba</t>
  </si>
  <si>
    <t>EN_WON_29_c03_BRA</t>
  </si>
  <si>
    <t>Wind Onshore - CF Class-29 Cost Class-c03 - Brazil</t>
  </si>
  <si>
    <t>EN_WOF_38_c02_CUB</t>
  </si>
  <si>
    <t>Wind Offshore - CF Class-38 Cost Class-c02 - Cuba</t>
  </si>
  <si>
    <t>EN_WON_29_c04_BRA</t>
  </si>
  <si>
    <t>Wind Onshore - CF Class-29 Cost Class-c04 - Brazil</t>
  </si>
  <si>
    <t>EN_WOF_49_c02_DEU</t>
  </si>
  <si>
    <t>Wind Offshore - CF Class-49 Cost Class-c02 - Germany</t>
  </si>
  <si>
    <t>ELC_Win-DEU</t>
  </si>
  <si>
    <t>EN_WON_30_c01_BRA</t>
  </si>
  <si>
    <t>Wind Onshore - CF Class-30 Cost Class-c01 - Brazil</t>
  </si>
  <si>
    <t>EN_WOF_52_c02_DEU</t>
  </si>
  <si>
    <t>Wind Offshore - CF Class-52 Cost Class-c02 - Germany</t>
  </si>
  <si>
    <t>EN_WON_30_c02_BRA</t>
  </si>
  <si>
    <t>Wind Onshore - CF Class-30 Cost Class-c02 - Brazil</t>
  </si>
  <si>
    <t>EN_WOF_30_c02_DJI</t>
  </si>
  <si>
    <t>Wind Offshore - CF Class-30 Cost Class-c02 - Djibouti</t>
  </si>
  <si>
    <t>ELC_Win-DJI</t>
  </si>
  <si>
    <t>EN_WON_30_c03_BRA</t>
  </si>
  <si>
    <t>Wind Onshore - CF Class-30 Cost Class-c03 - Brazil</t>
  </si>
  <si>
    <t>EN_WOF_37_c02_DMA</t>
  </si>
  <si>
    <t>Wind Offshore - CF Class-37 Cost Class-c02 - Dominica</t>
  </si>
  <si>
    <t>ELC_Win-DMA</t>
  </si>
  <si>
    <t>DMA</t>
  </si>
  <si>
    <t>EN_WON_30_c04_BRA</t>
  </si>
  <si>
    <t>Wind Onshore - CF Class-30 Cost Class-c04 - Brazil</t>
  </si>
  <si>
    <t>EN_WOF_48_c02_DNK</t>
  </si>
  <si>
    <t>Wind Offshore - CF Class-48 Cost Class-c02 - Denmark</t>
  </si>
  <si>
    <t>ELC_Win-DNK</t>
  </si>
  <si>
    <t>EN_WON_31_c01_BRA</t>
  </si>
  <si>
    <t>Wind Onshore - CF Class-31 Cost Class-c01 - Brazil</t>
  </si>
  <si>
    <t>EN_WOF_49_c02_DNK</t>
  </si>
  <si>
    <t>Wind Offshore - CF Class-49 Cost Class-c02 - Denmark</t>
  </si>
  <si>
    <t>EN_WON_31_c02_BRA</t>
  </si>
  <si>
    <t>Wind Onshore - CF Class-31 Cost Class-c02 - Brazil</t>
  </si>
  <si>
    <t>EN_WOF_50_c02_DNK</t>
  </si>
  <si>
    <t>Wind Offshore - CF Class-50 Cost Class-c02 - Denmark</t>
  </si>
  <si>
    <t>EN_WON_31_c04_BRA</t>
  </si>
  <si>
    <t>Wind Onshore - CF Class-31 Cost Class-c04 - Brazil</t>
  </si>
  <si>
    <t>EN_WOF_51_c02_DNK</t>
  </si>
  <si>
    <t>Wind Offshore - CF Class-51 Cost Class-c02 - Denmark</t>
  </si>
  <si>
    <t>EN_WON_32_c01_BRA</t>
  </si>
  <si>
    <t>Wind Onshore - CF Class-32 Cost Class-c01 - Brazil</t>
  </si>
  <si>
    <t>EN_WOF_52_c02_DNK</t>
  </si>
  <si>
    <t>Wind Offshore - CF Class-52 Cost Class-c02 - Denmark</t>
  </si>
  <si>
    <t>EN_WON_32_c02_BRA</t>
  </si>
  <si>
    <t>Wind Onshore - CF Class-32 Cost Class-c02 - Brazil</t>
  </si>
  <si>
    <t>EN_WOF_53_c02_DNK</t>
  </si>
  <si>
    <t>Wind Offshore - CF Class-53 Cost Class-c02 - Denmark</t>
  </si>
  <si>
    <t>EN_WON_32_c03_BRA</t>
  </si>
  <si>
    <t>Wind Onshore - CF Class-32 Cost Class-c03 - Brazil</t>
  </si>
  <si>
    <t>EN_WOF_54_c02_DNK</t>
  </si>
  <si>
    <t>Wind Offshore - CF Class-54 Cost Class-c02 - Denmark</t>
  </si>
  <si>
    <t>EN_WON_32_c04_BRA</t>
  </si>
  <si>
    <t>Wind Onshore - CF Class-32 Cost Class-c04 - Brazil</t>
  </si>
  <si>
    <t>EN_WOF_30_c02_DOM</t>
  </si>
  <si>
    <t>Wind Offshore - CF Class-30 Cost Class-c02 - Dominican Republic</t>
  </si>
  <si>
    <t>ELC_Win-DOM</t>
  </si>
  <si>
    <t>EN_WON_33_c01_BRA</t>
  </si>
  <si>
    <t>Wind Onshore - CF Class-33 Cost Class-c01 - Brazil</t>
  </si>
  <si>
    <t>EN_WOF_32_c02_DOM</t>
  </si>
  <si>
    <t>Wind Offshore - CF Class-32 Cost Class-c02 - Dominican Republic</t>
  </si>
  <si>
    <t>EN_WON_33_c02_BRA</t>
  </si>
  <si>
    <t>Wind Onshore - CF Class-33 Cost Class-c02 - Brazil</t>
  </si>
  <si>
    <t>EN_WOF_33_c02_DOM</t>
  </si>
  <si>
    <t>Wind Offshore - CF Class-33 Cost Class-c02 - Dominican Republic</t>
  </si>
  <si>
    <t>EN_WON_33_c03_BRA</t>
  </si>
  <si>
    <t>Wind Onshore - CF Class-33 Cost Class-c03 - Brazil</t>
  </si>
  <si>
    <t>EN_WOF_34_c02_DOM</t>
  </si>
  <si>
    <t>Wind Offshore - CF Class-34 Cost Class-c02 - Dominican Republic</t>
  </si>
  <si>
    <t>EN_WON_33_c04_BRA</t>
  </si>
  <si>
    <t>Wind Onshore - CF Class-33 Cost Class-c04 - Brazil</t>
  </si>
  <si>
    <t>EN_WOF_35_c02_DOM</t>
  </si>
  <si>
    <t>Wind Offshore - CF Class-35 Cost Class-c02 - Dominican Republic</t>
  </si>
  <si>
    <t>EN_WON_34_c01_BRA</t>
  </si>
  <si>
    <t>Wind Onshore - CF Class-34 Cost Class-c01 - Brazil</t>
  </si>
  <si>
    <t>EN_WOF_36_c02_DOM</t>
  </si>
  <si>
    <t>Wind Offshore - CF Class-36 Cost Class-c02 - Dominican Republic</t>
  </si>
  <si>
    <t>EN_WON_34_c02_BRA</t>
  </si>
  <si>
    <t>Wind Onshore - CF Class-34 Cost Class-c02 - Brazil</t>
  </si>
  <si>
    <t>EN_WOF_38_c02_DOM</t>
  </si>
  <si>
    <t>Wind Offshore - CF Class-38 Cost Class-c02 - Dominican Republic</t>
  </si>
  <si>
    <t>EN_WON_34_c03_BRA</t>
  </si>
  <si>
    <t>Wind Onshore - CF Class-34 Cost Class-c03 - Brazil</t>
  </si>
  <si>
    <t>EN_WOF_39_c02_DOM</t>
  </si>
  <si>
    <t>Wind Offshore - CF Class-39 Cost Class-c02 - Dominican Republic</t>
  </si>
  <si>
    <t>EN_WON_35_c01_BRA</t>
  </si>
  <si>
    <t>Wind Onshore - CF Class-35 Cost Class-c01 - Brazil</t>
  </si>
  <si>
    <t>EN_WOF_40_c02_DOM</t>
  </si>
  <si>
    <t>Wind Offshore - CF Class-40 Cost Class-c02 - Dominican Republic</t>
  </si>
  <si>
    <t>EN_WON_35_c02_BRA</t>
  </si>
  <si>
    <t>Wind Onshore - CF Class-35 Cost Class-c02 - Brazil</t>
  </si>
  <si>
    <t>EN_WOF_41_c02_DOM</t>
  </si>
  <si>
    <t>Wind Offshore - CF Class-41 Cost Class-c02 - Dominican Republic</t>
  </si>
  <si>
    <t>EN_WON_35_c03_BRA</t>
  </si>
  <si>
    <t>Wind Onshore - CF Class-35 Cost Class-c03 - Brazil</t>
  </si>
  <si>
    <t>EN_WOF_42_c02_DOM</t>
  </si>
  <si>
    <t>Wind Offshore - CF Class-42 Cost Class-c02 - Dominican Republic</t>
  </si>
  <si>
    <t>EN_WON_35_c04_BRA</t>
  </si>
  <si>
    <t>Wind Onshore - CF Class-35 Cost Class-c04 - Brazil</t>
  </si>
  <si>
    <t>EN_WOF_44_c02_DOM</t>
  </si>
  <si>
    <t>Wind Offshore - CF Class-44 Cost Class-c02 - Dominican Republic</t>
  </si>
  <si>
    <t>EN_WON_36_c01_BRA</t>
  </si>
  <si>
    <t>Wind Onshore - CF Class-36 Cost Class-c01 - Brazil</t>
  </si>
  <si>
    <t>EN_WOF_45_c02_DOM</t>
  </si>
  <si>
    <t>Wind Offshore - CF Class-45 Cost Class-c02 - Dominican Republic</t>
  </si>
  <si>
    <t>EN_WON_36_c02_BRA</t>
  </si>
  <si>
    <t>Wind Onshore - CF Class-36 Cost Class-c02 - Brazil</t>
  </si>
  <si>
    <t>EN_WOF_56_c02_DOM</t>
  </si>
  <si>
    <t>Wind Offshore - CF Class-56 Cost Class-c02 - Dominican Republic</t>
  </si>
  <si>
    <t>EN_WON_36_c03_BRA</t>
  </si>
  <si>
    <t>Wind Onshore - CF Class-36 Cost Class-c03 - Brazil</t>
  </si>
  <si>
    <t>EN_WOF_30_c02_DZA</t>
  </si>
  <si>
    <t>Wind Offshore - CF Class-30 Cost Class-c02 - Algeria</t>
  </si>
  <si>
    <t>ELC_Win-DZA</t>
  </si>
  <si>
    <t>EN_WON_36_c04_BRA</t>
  </si>
  <si>
    <t>Wind Onshore - CF Class-36 Cost Class-c04 - Brazil</t>
  </si>
  <si>
    <t>EN_WOF_31_c02_DZA</t>
  </si>
  <si>
    <t>Wind Offshore - CF Class-31 Cost Class-c02 - Algeria</t>
  </si>
  <si>
    <t>EN_WON_37_c01_BRA</t>
  </si>
  <si>
    <t>Wind Onshore - CF Class-37 Cost Class-c01 - Brazil</t>
  </si>
  <si>
    <t>EN_WOF_32_c02_DZA</t>
  </si>
  <si>
    <t>Wind Offshore - CF Class-32 Cost Class-c02 - Algeria</t>
  </si>
  <si>
    <t>EN_WON_37_c02_BRA</t>
  </si>
  <si>
    <t>Wind Onshore - CF Class-37 Cost Class-c02 - Brazil</t>
  </si>
  <si>
    <t>EN_WOF_34_c02_DZA</t>
  </si>
  <si>
    <t>Wind Offshore - CF Class-34 Cost Class-c02 - Algeria</t>
  </si>
  <si>
    <t>EN_WON_37_c03_BRA</t>
  </si>
  <si>
    <t>Wind Onshore - CF Class-37 Cost Class-c03 - Brazil</t>
  </si>
  <si>
    <t>EN_WOF_35_c02_DZA</t>
  </si>
  <si>
    <t>Wind Offshore - CF Class-35 Cost Class-c02 - Algeria</t>
  </si>
  <si>
    <t>EN_WON_37_c04_BRA</t>
  </si>
  <si>
    <t>Wind Onshore - CF Class-37 Cost Class-c04 - Brazil</t>
  </si>
  <si>
    <t>EN_WOF_36_c02_DZA</t>
  </si>
  <si>
    <t>Wind Offshore - CF Class-36 Cost Class-c02 - Algeria</t>
  </si>
  <si>
    <t>EN_WON_38_c01_BRA</t>
  </si>
  <si>
    <t>Wind Onshore - CF Class-38 Cost Class-c01 - Brazil</t>
  </si>
  <si>
    <t>EN_WOF_37_c02_DZA</t>
  </si>
  <si>
    <t>Wind Offshore - CF Class-37 Cost Class-c02 - Algeria</t>
  </si>
  <si>
    <t>EN_WON_38_c02_BRA</t>
  </si>
  <si>
    <t>Wind Onshore - CF Class-38 Cost Class-c02 - Brazil</t>
  </si>
  <si>
    <t>EN_WOF_32_c02_EGY</t>
  </si>
  <si>
    <t>Wind Offshore - CF Class-32 Cost Class-c02 - Egypt</t>
  </si>
  <si>
    <t>ELC_Win-EGY</t>
  </si>
  <si>
    <t>EN_WON_39_c01_BRA</t>
  </si>
  <si>
    <t>Wind Onshore - CF Class-39 Cost Class-c01 - Brazil</t>
  </si>
  <si>
    <t>EN_WOF_33_c02_EGY</t>
  </si>
  <si>
    <t>Wind Offshore - CF Class-33 Cost Class-c02 - Egypt</t>
  </si>
  <si>
    <t>EN_WON_40_c01_BRA</t>
  </si>
  <si>
    <t>Wind Onshore - CF Class-40 Cost Class-c01 - Brazil</t>
  </si>
  <si>
    <t>EN_WOF_34_c02_EGY</t>
  </si>
  <si>
    <t>Wind Offshore - CF Class-34 Cost Class-c02 - Egypt</t>
  </si>
  <si>
    <t>EN_WON_40_c03_BRA</t>
  </si>
  <si>
    <t>Wind Onshore - CF Class-40 Cost Class-c03 - Brazil</t>
  </si>
  <si>
    <t>EN_WOF_35_c02_EGY</t>
  </si>
  <si>
    <t>Wind Offshore - CF Class-35 Cost Class-c02 - Egypt</t>
  </si>
  <si>
    <t>EN_WON_41_c01_BRA</t>
  </si>
  <si>
    <t>Wind Onshore - CF Class-41 Cost Class-c01 - Brazil</t>
  </si>
  <si>
    <t>EN_WOF_36_c02_EGY</t>
  </si>
  <si>
    <t>Wind Offshore - CF Class-36 Cost Class-c02 - Egypt</t>
  </si>
  <si>
    <t>EN_WON_44_c02_BRA</t>
  </si>
  <si>
    <t>Wind Onshore - CF Class-44 Cost Class-c02 - Brazil</t>
  </si>
  <si>
    <t>EN_WOF_37_c02_EGY</t>
  </si>
  <si>
    <t>Wind Offshore - CF Class-37 Cost Class-c02 - Egypt</t>
  </si>
  <si>
    <t>EN_WON_30_c01_BWA</t>
  </si>
  <si>
    <t>Wind Onshore - CF Class-30 Cost Class-c01 - Botswana</t>
  </si>
  <si>
    <t>ELC_Win-BWA</t>
  </si>
  <si>
    <t>EN_WOF_38_c02_EGY</t>
  </si>
  <si>
    <t>Wind Offshore - CF Class-38 Cost Class-c02 - Egypt</t>
  </si>
  <si>
    <t>EN_WON_30_c02_BWA</t>
  </si>
  <si>
    <t>Wind Onshore - CF Class-30 Cost Class-c02 - Botswana</t>
  </si>
  <si>
    <t>EN_WOF_39_c02_EGY</t>
  </si>
  <si>
    <t>Wind Offshore - CF Class-39 Cost Class-c02 - Egypt</t>
  </si>
  <si>
    <t>EN_WON_32_c02_BWA</t>
  </si>
  <si>
    <t>Wind Onshore - CF Class-32 Cost Class-c02 - Botswana</t>
  </si>
  <si>
    <t>EN_WOF_40_c02_EGY</t>
  </si>
  <si>
    <t>Wind Offshore - CF Class-40 Cost Class-c02 - Egypt</t>
  </si>
  <si>
    <t>EN_WON_18_c04_CAF</t>
  </si>
  <si>
    <t>Wind Onshore - CF Class-18 Cost Class-c04 - Central African Republic</t>
  </si>
  <si>
    <t>ELC_Win-CAF</t>
  </si>
  <si>
    <t>EN_WOF_41_c02_EGY</t>
  </si>
  <si>
    <t>Wind Offshore - CF Class-41 Cost Class-c02 - Egypt</t>
  </si>
  <si>
    <t>EN_WON_19_c04_CAF</t>
  </si>
  <si>
    <t>Wind Onshore - CF Class-19 Cost Class-c04 - Central African Republic</t>
  </si>
  <si>
    <t>EN_WOF_43_c02_EGY</t>
  </si>
  <si>
    <t>Wind Offshore - CF Class-43 Cost Class-c02 - Egypt</t>
  </si>
  <si>
    <t>EN_WON_35_c01_CAN</t>
  </si>
  <si>
    <t>Wind Onshore - CF Class-35 Cost Class-c01 - Canada</t>
  </si>
  <si>
    <t>EN_WOF_44_c02_EGY</t>
  </si>
  <si>
    <t>Wind Offshore - CF Class-44 Cost Class-c02 - Egypt</t>
  </si>
  <si>
    <t>EN_WON_35_c03_CAN</t>
  </si>
  <si>
    <t>Wind Onshore - CF Class-35 Cost Class-c03 - Canada</t>
  </si>
  <si>
    <t>EN_WOF_46_c02_EGY</t>
  </si>
  <si>
    <t>Wind Offshore - CF Class-46 Cost Class-c02 - Egypt</t>
  </si>
  <si>
    <t>EN_WON_36_c01_CAN</t>
  </si>
  <si>
    <t>Wind Onshore - CF Class-36 Cost Class-c01 - Canada</t>
  </si>
  <si>
    <t>EN_WOF_50_c02_EGY</t>
  </si>
  <si>
    <t>Wind Offshore - CF Class-50 Cost Class-c02 - Egypt</t>
  </si>
  <si>
    <t>EN_WON_36_c02_CAN</t>
  </si>
  <si>
    <t>Wind Onshore - CF Class-36 Cost Class-c02 - Canada</t>
  </si>
  <si>
    <t>EN_WOF_52_c02_EGY</t>
  </si>
  <si>
    <t>Wind Offshore - CF Class-52 Cost Class-c02 - Egypt</t>
  </si>
  <si>
    <t>EN_WON_36_c03_CAN</t>
  </si>
  <si>
    <t>Wind Onshore - CF Class-36 Cost Class-c03 - Canada</t>
  </si>
  <si>
    <t>EN_WOF_53_c02_EGY</t>
  </si>
  <si>
    <t>Wind Offshore - CF Class-53 Cost Class-c02 - Egypt</t>
  </si>
  <si>
    <t>EN_WON_36_c04_CAN</t>
  </si>
  <si>
    <t>Wind Onshore - CF Class-36 Cost Class-c04 - Canada</t>
  </si>
  <si>
    <t>EN_WOF_54_c02_EGY</t>
  </si>
  <si>
    <t>Wind Offshore - CF Class-54 Cost Class-c02 - Egypt</t>
  </si>
  <si>
    <t>EN_WON_37_c01_CAN</t>
  </si>
  <si>
    <t>Wind Onshore - CF Class-37 Cost Class-c01 - Canada</t>
  </si>
  <si>
    <t>EN_WOF_57_c02_EGY</t>
  </si>
  <si>
    <t>Wind Offshore - CF Class-57 Cost Class-c02 - Egypt</t>
  </si>
  <si>
    <t>EN_WON_37_c02_CAN</t>
  </si>
  <si>
    <t>Wind Onshore - CF Class-37 Cost Class-c02 - Canada</t>
  </si>
  <si>
    <t>EN_WOF_58_c02_EGY</t>
  </si>
  <si>
    <t>Wind Offshore - CF Class-58 Cost Class-c02 - Egypt</t>
  </si>
  <si>
    <t>EN_WON_37_c03_CAN</t>
  </si>
  <si>
    <t>Wind Onshore - CF Class-37 Cost Class-c03 - Canada</t>
  </si>
  <si>
    <t>EN_WOF_59_c02_EGY</t>
  </si>
  <si>
    <t>Wind Offshore - CF Class-59 Cost Class-c02 - Egypt</t>
  </si>
  <si>
    <t>EN_WON_37_c04_CAN</t>
  </si>
  <si>
    <t>Wind Onshore - CF Class-37 Cost Class-c04 - Canada</t>
  </si>
  <si>
    <t>EN_WOF_60_c02_EGY</t>
  </si>
  <si>
    <t>Wind Offshore - CF Class-60 Cost Class-c02 - Egypt</t>
  </si>
  <si>
    <t>EN_WON_38_c01_CAN</t>
  </si>
  <si>
    <t>Wind Onshore - CF Class-38 Cost Class-c01 - Canada</t>
  </si>
  <si>
    <t>EN_WOF_61_c02_EGY</t>
  </si>
  <si>
    <t>Wind Offshore - CF Class-61 Cost Class-c02 - Egypt</t>
  </si>
  <si>
    <t>EN_WON_38_c02_CAN</t>
  </si>
  <si>
    <t>Wind Onshore - CF Class-38 Cost Class-c02 - Canada</t>
  </si>
  <si>
    <t>EN_WOF_64_c02_EGY</t>
  </si>
  <si>
    <t>Wind Offshore - CF Class-64 Cost Class-c02 - Egypt</t>
  </si>
  <si>
    <t>EN_WON_38_c03_CAN</t>
  </si>
  <si>
    <t>Wind Onshore - CF Class-38 Cost Class-c03 - Canada</t>
  </si>
  <si>
    <t>EN_WOF_31_c02_ERI</t>
  </si>
  <si>
    <t>Wind Offshore - CF Class-31 Cost Class-c02 - Eritrea</t>
  </si>
  <si>
    <t>ELC_Win-ERI</t>
  </si>
  <si>
    <t>EN_WON_38_c04_CAN</t>
  </si>
  <si>
    <t>Wind Onshore - CF Class-38 Cost Class-c04 - Canada</t>
  </si>
  <si>
    <t>EN_WOF_33_c02_ERI</t>
  </si>
  <si>
    <t>Wind Offshore - CF Class-33 Cost Class-c02 - Eritrea</t>
  </si>
  <si>
    <t>EN_WON_39_c01_CAN</t>
  </si>
  <si>
    <t>Wind Onshore - CF Class-39 Cost Class-c01 - Canada</t>
  </si>
  <si>
    <t>EN_WOF_35_c02_ERI</t>
  </si>
  <si>
    <t>Wind Offshore - CF Class-35 Cost Class-c02 - Eritrea</t>
  </si>
  <si>
    <t>EN_WON_39_c02_CAN</t>
  </si>
  <si>
    <t>Wind Onshore - CF Class-39 Cost Class-c02 - Canada</t>
  </si>
  <si>
    <t>EN_WOF_37_c02_ERI</t>
  </si>
  <si>
    <t>Wind Offshore - CF Class-37 Cost Class-c02 - Eritrea</t>
  </si>
  <si>
    <t>EN_WON_39_c03_CAN</t>
  </si>
  <si>
    <t>Wind Onshore - CF Class-39 Cost Class-c03 - Canada</t>
  </si>
  <si>
    <t>EN_WOF_42_c02_ERI</t>
  </si>
  <si>
    <t>Wind Offshore - CF Class-42 Cost Class-c02 - Eritrea</t>
  </si>
  <si>
    <t>EN_WON_39_c04_CAN</t>
  </si>
  <si>
    <t>Wind Onshore - CF Class-39 Cost Class-c04 - Canada</t>
  </si>
  <si>
    <t>EN_WOF_46_c02_ERI</t>
  </si>
  <si>
    <t>Wind Offshore - CF Class-46 Cost Class-c02 - Eritrea</t>
  </si>
  <si>
    <t>EN_WON_40_c01_CAN</t>
  </si>
  <si>
    <t>Wind Onshore - CF Class-40 Cost Class-c01 - Canada</t>
  </si>
  <si>
    <t>EN_WOF_48_c02_ERI</t>
  </si>
  <si>
    <t>Wind Offshore - CF Class-48 Cost Class-c02 - Eritrea</t>
  </si>
  <si>
    <t>EN_WON_40_c02_CAN</t>
  </si>
  <si>
    <t>Wind Onshore - CF Class-40 Cost Class-c02 - Canada</t>
  </si>
  <si>
    <t>EN_WOF_51_c02_ERI</t>
  </si>
  <si>
    <t>Wind Offshore - CF Class-51 Cost Class-c02 - Eritrea</t>
  </si>
  <si>
    <t>EN_WON_40_c03_CAN</t>
  </si>
  <si>
    <t>Wind Onshore - CF Class-40 Cost Class-c03 - Canada</t>
  </si>
  <si>
    <t>EN_WOF_30_c02_ESP</t>
  </si>
  <si>
    <t>Wind Offshore - CF Class-30 Cost Class-c02 - Spain</t>
  </si>
  <si>
    <t>ELC_Win-ESP</t>
  </si>
  <si>
    <t>EN_WON_40_c04_CAN</t>
  </si>
  <si>
    <t>Wind Onshore - CF Class-40 Cost Class-c04 - Canada</t>
  </si>
  <si>
    <t>EN_WOF_31_c02_ESP</t>
  </si>
  <si>
    <t>Wind Offshore - CF Class-31 Cost Class-c02 - Spain</t>
  </si>
  <si>
    <t>EN_WON_41_c01_CAN</t>
  </si>
  <si>
    <t>Wind Onshore - CF Class-41 Cost Class-c01 - Canada</t>
  </si>
  <si>
    <t>EN_WOF_32_c02_ESP</t>
  </si>
  <si>
    <t>Wind Offshore - CF Class-32 Cost Class-c02 - Spain</t>
  </si>
  <si>
    <t>EN_WON_41_c02_CAN</t>
  </si>
  <si>
    <t>Wind Onshore - CF Class-41 Cost Class-c02 - Canada</t>
  </si>
  <si>
    <t>EN_WOF_33_c02_ESP</t>
  </si>
  <si>
    <t>Wind Offshore - CF Class-33 Cost Class-c02 - Spain</t>
  </si>
  <si>
    <t>EN_WON_41_c03_CAN</t>
  </si>
  <si>
    <t>Wind Onshore - CF Class-41 Cost Class-c03 - Canada</t>
  </si>
  <si>
    <t>EN_WOF_34_c02_ESP</t>
  </si>
  <si>
    <t>Wind Offshore - CF Class-34 Cost Class-c02 - Spain</t>
  </si>
  <si>
    <t>EN_WON_41_c04_CAN</t>
  </si>
  <si>
    <t>Wind Onshore - CF Class-41 Cost Class-c04 - Canada</t>
  </si>
  <si>
    <t>EN_WOF_35_c02_ESP</t>
  </si>
  <si>
    <t>Wind Offshore - CF Class-35 Cost Class-c02 - Spain</t>
  </si>
  <si>
    <t>EN_WON_42_c01_CAN</t>
  </si>
  <si>
    <t>Wind Onshore - CF Class-42 Cost Class-c01 - Canada</t>
  </si>
  <si>
    <t>EN_WOF_36_c02_ESP</t>
  </si>
  <si>
    <t>Wind Offshore - CF Class-36 Cost Class-c02 - Spain</t>
  </si>
  <si>
    <t>EN_WON_42_c02_CAN</t>
  </si>
  <si>
    <t>Wind Onshore - CF Class-42 Cost Class-c02 - Canada</t>
  </si>
  <si>
    <t>EN_WOF_37_c02_ESP</t>
  </si>
  <si>
    <t>Wind Offshore - CF Class-37 Cost Class-c02 - Spain</t>
  </si>
  <si>
    <t>EN_WON_42_c03_CAN</t>
  </si>
  <si>
    <t>Wind Onshore - CF Class-42 Cost Class-c03 - Canada</t>
  </si>
  <si>
    <t>EN_WOF_38_c02_ESP</t>
  </si>
  <si>
    <t>Wind Offshore - CF Class-38 Cost Class-c02 - Spain</t>
  </si>
  <si>
    <t>EN_WON_42_c04_CAN</t>
  </si>
  <si>
    <t>Wind Onshore - CF Class-42 Cost Class-c04 - Canada</t>
  </si>
  <si>
    <t>EN_WOF_39_c02_ESP</t>
  </si>
  <si>
    <t>Wind Offshore - CF Class-39 Cost Class-c02 - Spain</t>
  </si>
  <si>
    <t>EN_WON_43_c01_CAN</t>
  </si>
  <si>
    <t>Wind Onshore - CF Class-43 Cost Class-c01 - Canada</t>
  </si>
  <si>
    <t>EN_WOF_40_c02_ESP</t>
  </si>
  <si>
    <t>Wind Offshore - CF Class-40 Cost Class-c02 - Spain</t>
  </si>
  <si>
    <t>EN_WON_43_c02_CAN</t>
  </si>
  <si>
    <t>Wind Onshore - CF Class-43 Cost Class-c02 - Canada</t>
  </si>
  <si>
    <t>EN_WOF_41_c02_ESP</t>
  </si>
  <si>
    <t>Wind Offshore - CF Class-41 Cost Class-c02 - Spain</t>
  </si>
  <si>
    <t>EN_WON_43_c03_CAN</t>
  </si>
  <si>
    <t>Wind Onshore - CF Class-43 Cost Class-c03 - Canada</t>
  </si>
  <si>
    <t>EN_WOF_42_c02_ESP</t>
  </si>
  <si>
    <t>Wind Offshore - CF Class-42 Cost Class-c02 - Spain</t>
  </si>
  <si>
    <t>EN_WON_43_c04_CAN</t>
  </si>
  <si>
    <t>Wind Onshore - CF Class-43 Cost Class-c04 - Canada</t>
  </si>
  <si>
    <t>EN_WOF_44_c02_ESP</t>
  </si>
  <si>
    <t>Wind Offshore - CF Class-44 Cost Class-c02 - Spain</t>
  </si>
  <si>
    <t>EN_WON_44_c01_CAN</t>
  </si>
  <si>
    <t>Wind Onshore - CF Class-44 Cost Class-c01 - Canada</t>
  </si>
  <si>
    <t>EN_WOF_45_c02_ESP</t>
  </si>
  <si>
    <t>Wind Offshore - CF Class-45 Cost Class-c02 - Spain</t>
  </si>
  <si>
    <t>EN_WON_44_c02_CAN</t>
  </si>
  <si>
    <t>Wind Onshore - CF Class-44 Cost Class-c02 - Canada</t>
  </si>
  <si>
    <t>EN_WOF_46_c02_ESP</t>
  </si>
  <si>
    <t>Wind Offshore - CF Class-46 Cost Class-c02 - Spain</t>
  </si>
  <si>
    <t>EN_WON_44_c03_CAN</t>
  </si>
  <si>
    <t>Wind Onshore - CF Class-44 Cost Class-c03 - Canada</t>
  </si>
  <si>
    <t>EN_WOF_47_c02_ESP</t>
  </si>
  <si>
    <t>Wind Offshore - CF Class-47 Cost Class-c02 - Spain</t>
  </si>
  <si>
    <t>EN_WON_44_c04_CAN</t>
  </si>
  <si>
    <t>Wind Onshore - CF Class-44 Cost Class-c04 - Canada</t>
  </si>
  <si>
    <t>EN_WOF_48_c02_ESP</t>
  </si>
  <si>
    <t>Wind Offshore - CF Class-48 Cost Class-c02 - Spain</t>
  </si>
  <si>
    <t>EN_WON_45_c01_CAN</t>
  </si>
  <si>
    <t>Wind Onshore - CF Class-45 Cost Class-c01 - Canada</t>
  </si>
  <si>
    <t>EN_WOF_49_c02_ESP</t>
  </si>
  <si>
    <t>Wind Offshore - CF Class-49 Cost Class-c02 - Spain</t>
  </si>
  <si>
    <t>EN_WON_45_c02_CAN</t>
  </si>
  <si>
    <t>Wind Onshore - CF Class-45 Cost Class-c02 - Canada</t>
  </si>
  <si>
    <t>EN_WOF_46_c02_EST</t>
  </si>
  <si>
    <t>Wind Offshore - CF Class-46 Cost Class-c02 - Estonia</t>
  </si>
  <si>
    <t>ELC_Win-EST</t>
  </si>
  <si>
    <t>EN_WON_45_c03_CAN</t>
  </si>
  <si>
    <t>Wind Onshore - CF Class-45 Cost Class-c03 - Canada</t>
  </si>
  <si>
    <t>EN_WOF_47_c02_EST</t>
  </si>
  <si>
    <t>Wind Offshore - CF Class-47 Cost Class-c02 - Estonia</t>
  </si>
  <si>
    <t>EN_WON_45_c04_CAN</t>
  </si>
  <si>
    <t>Wind Onshore - CF Class-45 Cost Class-c04 - Canada</t>
  </si>
  <si>
    <t>EN_WOF_48_c02_EST</t>
  </si>
  <si>
    <t>Wind Offshore - CF Class-48 Cost Class-c02 - Estonia</t>
  </si>
  <si>
    <t>EN_WON_46_c01_CAN</t>
  </si>
  <si>
    <t>Wind Onshore - CF Class-46 Cost Class-c01 - Canada</t>
  </si>
  <si>
    <t>EN_WOF_49_c02_EST</t>
  </si>
  <si>
    <t>Wind Offshore - CF Class-49 Cost Class-c02 - Estonia</t>
  </si>
  <si>
    <t>EN_WON_46_c02_CAN</t>
  </si>
  <si>
    <t>Wind Onshore - CF Class-46 Cost Class-c02 - Canada</t>
  </si>
  <si>
    <t>EN_WOF_42_c02_FIN</t>
  </si>
  <si>
    <t>Wind Offshore - CF Class-42 Cost Class-c02 - Finland</t>
  </si>
  <si>
    <t>ELC_Win-FIN</t>
  </si>
  <si>
    <t>FIN</t>
  </si>
  <si>
    <t>EN_WON_46_c03_CAN</t>
  </si>
  <si>
    <t>Wind Onshore - CF Class-46 Cost Class-c03 - Canada</t>
  </si>
  <si>
    <t>EN_WOF_43_c02_FIN</t>
  </si>
  <si>
    <t>Wind Offshore - CF Class-43 Cost Class-c02 - Finland</t>
  </si>
  <si>
    <t>EN_WON_46_c04_CAN</t>
  </si>
  <si>
    <t>Wind Onshore - CF Class-46 Cost Class-c04 - Canada</t>
  </si>
  <si>
    <t>EN_WOF_44_c02_FIN</t>
  </si>
  <si>
    <t>Wind Offshore - CF Class-44 Cost Class-c02 - Finland</t>
  </si>
  <si>
    <t>EN_WON_47_c01_CAN</t>
  </si>
  <si>
    <t>Wind Onshore - CF Class-47 Cost Class-c01 - Canada</t>
  </si>
  <si>
    <t>EN_WOF_45_c02_FIN</t>
  </si>
  <si>
    <t>Wind Offshore - CF Class-45 Cost Class-c02 - Finland</t>
  </si>
  <si>
    <t>EN_WON_47_c02_CAN</t>
  </si>
  <si>
    <t>Wind Onshore - CF Class-47 Cost Class-c02 - Canada</t>
  </si>
  <si>
    <t>EN_WOF_46_c02_FIN</t>
  </si>
  <si>
    <t>Wind Offshore - CF Class-46 Cost Class-c02 - Finland</t>
  </si>
  <si>
    <t>EN_WON_47_c03_CAN</t>
  </si>
  <si>
    <t>Wind Onshore - CF Class-47 Cost Class-c03 - Canada</t>
  </si>
  <si>
    <t>EN_WOF_47_c02_FIN</t>
  </si>
  <si>
    <t>Wind Offshore - CF Class-47 Cost Class-c02 - Finland</t>
  </si>
  <si>
    <t>EN_WON_47_c04_CAN</t>
  </si>
  <si>
    <t>Wind Onshore - CF Class-47 Cost Class-c04 - Canada</t>
  </si>
  <si>
    <t>EN_WOF_48_c02_FIN</t>
  </si>
  <si>
    <t>Wind Offshore - CF Class-48 Cost Class-c02 - Finland</t>
  </si>
  <si>
    <t>EN_WON_48_c01_CAN</t>
  </si>
  <si>
    <t>Wind Onshore - CF Class-48 Cost Class-c01 - Canada</t>
  </si>
  <si>
    <t>EN_WOF_30_c02_FRA</t>
  </si>
  <si>
    <t>Wind Offshore - CF Class-30 Cost Class-c02 - France</t>
  </si>
  <si>
    <t>ELC_Win-FRA</t>
  </si>
  <si>
    <t>EN_WON_48_c02_CAN</t>
  </si>
  <si>
    <t>Wind Onshore - CF Class-48 Cost Class-c02 - Canada</t>
  </si>
  <si>
    <t>EN_WOF_31_c01_FRA</t>
  </si>
  <si>
    <t>Wind Offshore - CF Class-31 Cost Class-c01 - France</t>
  </si>
  <si>
    <t>EN_WON_48_c03_CAN</t>
  </si>
  <si>
    <t>Wind Onshore - CF Class-48 Cost Class-c03 - Canada</t>
  </si>
  <si>
    <t>EN_WOF_31_c02_FRA</t>
  </si>
  <si>
    <t>Wind Offshore - CF Class-31 Cost Class-c02 - France</t>
  </si>
  <si>
    <t>EN_WON_48_c04_CAN</t>
  </si>
  <si>
    <t>Wind Onshore - CF Class-48 Cost Class-c04 - Canada</t>
  </si>
  <si>
    <t>EN_WOF_32_c01_FRA</t>
  </si>
  <si>
    <t>Wind Offshore - CF Class-32 Cost Class-c01 - France</t>
  </si>
  <si>
    <t>EN_WON_49_c02_CAN</t>
  </si>
  <si>
    <t>Wind Onshore - CF Class-49 Cost Class-c02 - Canada</t>
  </si>
  <si>
    <t>EN_WOF_32_c02_FRA</t>
  </si>
  <si>
    <t>Wind Offshore - CF Class-32 Cost Class-c02 - France</t>
  </si>
  <si>
    <t>EN_WON_49_c03_CAN</t>
  </si>
  <si>
    <t>Wind Onshore - CF Class-49 Cost Class-c03 - Canada</t>
  </si>
  <si>
    <t>EN_WOF_33_c02_FRA</t>
  </si>
  <si>
    <t>Wind Offshore - CF Class-33 Cost Class-c02 - France</t>
  </si>
  <si>
    <t>EN_WON_49_c04_CAN</t>
  </si>
  <si>
    <t>Wind Onshore - CF Class-49 Cost Class-c04 - Canada</t>
  </si>
  <si>
    <t>EN_WOF_34_c01_FRA</t>
  </si>
  <si>
    <t>Wind Offshore - CF Class-34 Cost Class-c01 - France</t>
  </si>
  <si>
    <t>EN_WON_50_c03_CAN</t>
  </si>
  <si>
    <t>Wind Onshore - CF Class-50 Cost Class-c03 - Canada</t>
  </si>
  <si>
    <t>EN_WOF_34_c02_FRA</t>
  </si>
  <si>
    <t>Wind Offshore - CF Class-34 Cost Class-c02 - France</t>
  </si>
  <si>
    <t>EN_WON_51_c01_CAN</t>
  </si>
  <si>
    <t>Wind Onshore - CF Class-51 Cost Class-c01 - Canada</t>
  </si>
  <si>
    <t>EN_WOF_36_c01_FRA</t>
  </si>
  <si>
    <t>Wind Offshore - CF Class-36 Cost Class-c01 - France</t>
  </si>
  <si>
    <t>EN_WON_51_c03_CAN</t>
  </si>
  <si>
    <t>Wind Onshore - CF Class-51 Cost Class-c03 - Canada</t>
  </si>
  <si>
    <t>EN_WOF_36_c02_FRA</t>
  </si>
  <si>
    <t>Wind Offshore - CF Class-36 Cost Class-c02 - France</t>
  </si>
  <si>
    <t>EN_WON_52_c02_CAN</t>
  </si>
  <si>
    <t>Wind Onshore - CF Class-52 Cost Class-c02 - Canada</t>
  </si>
  <si>
    <t>EN_WOF_37_c02_FRA</t>
  </si>
  <si>
    <t>Wind Offshore - CF Class-37 Cost Class-c02 - France</t>
  </si>
  <si>
    <t>EN_WON_53_c02_CAN</t>
  </si>
  <si>
    <t>Wind Onshore - CF Class-53 Cost Class-c02 - Canada</t>
  </si>
  <si>
    <t>EN_WOF_38_c01_FRA</t>
  </si>
  <si>
    <t>Wind Offshore - CF Class-38 Cost Class-c01 - France</t>
  </si>
  <si>
    <t>EN_WON_57_c03_CAN</t>
  </si>
  <si>
    <t>Wind Onshore - CF Class-57 Cost Class-c03 - Canada</t>
  </si>
  <si>
    <t>EN_WOF_38_c02_FRA</t>
  </si>
  <si>
    <t>Wind Offshore - CF Class-38 Cost Class-c02 - France</t>
  </si>
  <si>
    <t>EN_WON_59_c01_CAN</t>
  </si>
  <si>
    <t>Wind Onshore - CF Class-59 Cost Class-c01 - Canada</t>
  </si>
  <si>
    <t>EN_WOF_39_c01_FRA</t>
  </si>
  <si>
    <t>Wind Offshore - CF Class-39 Cost Class-c01 - France</t>
  </si>
  <si>
    <t>EN_WON_18_c04_CHE</t>
  </si>
  <si>
    <t>Wind Onshore - CF Class-18 Cost Class-c04 - Switzerland</t>
  </si>
  <si>
    <t>ELC_Win-CHE</t>
  </si>
  <si>
    <t>EN_WOF_39_c02_FRA</t>
  </si>
  <si>
    <t>Wind Offshore - CF Class-39 Cost Class-c02 - France</t>
  </si>
  <si>
    <t>EN_WON_20_c03_CHE</t>
  </si>
  <si>
    <t>Wind Onshore - CF Class-20 Cost Class-c03 - Switzerland</t>
  </si>
  <si>
    <t>EN_WOF_40_c01_FRA</t>
  </si>
  <si>
    <t>Wind Offshore - CF Class-40 Cost Class-c01 - France</t>
  </si>
  <si>
    <t>EN_WON_20_c04_CHE</t>
  </si>
  <si>
    <t>Wind Onshore - CF Class-20 Cost Class-c04 - Switzerland</t>
  </si>
  <si>
    <t>EN_WOF_40_c02_FRA</t>
  </si>
  <si>
    <t>Wind Offshore - CF Class-40 Cost Class-c02 - France</t>
  </si>
  <si>
    <t>EN_WON_22_c02_CHE</t>
  </si>
  <si>
    <t>Wind Onshore - CF Class-22 Cost Class-c02 - Switzerland</t>
  </si>
  <si>
    <t>EN_WOF_41_c01_FRA</t>
  </si>
  <si>
    <t>Wind Offshore - CF Class-41 Cost Class-c01 - France</t>
  </si>
  <si>
    <t>EN_WON_22_c03_CHE</t>
  </si>
  <si>
    <t>Wind Onshore - CF Class-22 Cost Class-c03 - Switzerland</t>
  </si>
  <si>
    <t>EN_WOF_41_c02_FRA</t>
  </si>
  <si>
    <t>Wind Offshore - CF Class-41 Cost Class-c02 - France</t>
  </si>
  <si>
    <t>EN_WON_22_c04_CHE</t>
  </si>
  <si>
    <t>Wind Onshore - CF Class-22 Cost Class-c04 - Switzerland</t>
  </si>
  <si>
    <t>EN_WOF_42_c01_FRA</t>
  </si>
  <si>
    <t>Wind Offshore - CF Class-42 Cost Class-c01 - France</t>
  </si>
  <si>
    <t>EN_WON_23_c04_CHE</t>
  </si>
  <si>
    <t>Wind Onshore - CF Class-23 Cost Class-c04 - Switzerland</t>
  </si>
  <si>
    <t>EN_WOF_42_c02_FRA</t>
  </si>
  <si>
    <t>Wind Offshore - CF Class-42 Cost Class-c02 - France</t>
  </si>
  <si>
    <t>EN_WON_24_c02_CHE</t>
  </si>
  <si>
    <t>Wind Onshore - CF Class-24 Cost Class-c02 - Switzerland</t>
  </si>
  <si>
    <t>EN_WOF_43_c01_FRA</t>
  </si>
  <si>
    <t>Wind Offshore - CF Class-43 Cost Class-c01 - France</t>
  </si>
  <si>
    <t>EN_WON_25_c04_CHE</t>
  </si>
  <si>
    <t>Wind Onshore - CF Class-25 Cost Class-c04 - Switzerland</t>
  </si>
  <si>
    <t>EN_WOF_43_c02_FRA</t>
  </si>
  <si>
    <t>Wind Offshore - CF Class-43 Cost Class-c02 - France</t>
  </si>
  <si>
    <t>EN_WON_51_c01_CHL</t>
  </si>
  <si>
    <t>Wind Onshore - CF Class-51 Cost Class-c01 - Chile</t>
  </si>
  <si>
    <t>EN_WOF_44_c01_FRA</t>
  </si>
  <si>
    <t>Wind Offshore - CF Class-44 Cost Class-c01 - France</t>
  </si>
  <si>
    <t>EN_WON_51_c02_CHL</t>
  </si>
  <si>
    <t>Wind Onshore - CF Class-51 Cost Class-c02 - Chile</t>
  </si>
  <si>
    <t>EN_WOF_44_c02_FRA</t>
  </si>
  <si>
    <t>Wind Offshore - CF Class-44 Cost Class-c02 - France</t>
  </si>
  <si>
    <t>EN_WON_52_c01_CHL</t>
  </si>
  <si>
    <t>Wind Onshore - CF Class-52 Cost Class-c01 - Chile</t>
  </si>
  <si>
    <t>EN_WOF_45_c01_FRA</t>
  </si>
  <si>
    <t>Wind Offshore - CF Class-45 Cost Class-c01 - France</t>
  </si>
  <si>
    <t>EN_WON_52_c02_CHL</t>
  </si>
  <si>
    <t>Wind Onshore - CF Class-52 Cost Class-c02 - Chile</t>
  </si>
  <si>
    <t>EN_WOF_45_c02_FRA</t>
  </si>
  <si>
    <t>Wind Offshore - CF Class-45 Cost Class-c02 - France</t>
  </si>
  <si>
    <t>EN_WON_53_c01_CHL</t>
  </si>
  <si>
    <t>Wind Onshore - CF Class-53 Cost Class-c01 - Chile</t>
  </si>
  <si>
    <t>EN_WOF_46_c01_FRA</t>
  </si>
  <si>
    <t>Wind Offshore - CF Class-46 Cost Class-c01 - France</t>
  </si>
  <si>
    <t>EN_WON_53_c03_CHL</t>
  </si>
  <si>
    <t>Wind Onshore - CF Class-53 Cost Class-c03 - Chile</t>
  </si>
  <si>
    <t>EN_WOF_46_c02_FRA</t>
  </si>
  <si>
    <t>Wind Offshore - CF Class-46 Cost Class-c02 - France</t>
  </si>
  <si>
    <t>EN_WON_53_c04_CHL</t>
  </si>
  <si>
    <t>Wind Onshore - CF Class-53 Cost Class-c04 - Chile</t>
  </si>
  <si>
    <t>EN_WOF_47_c01_FRA</t>
  </si>
  <si>
    <t>Wind Offshore - CF Class-47 Cost Class-c01 - France</t>
  </si>
  <si>
    <t>EN_WON_54_c01_CHL</t>
  </si>
  <si>
    <t>Wind Onshore - CF Class-54 Cost Class-c01 - Chile</t>
  </si>
  <si>
    <t>EN_WOF_47_c02_FRA</t>
  </si>
  <si>
    <t>Wind Offshore - CF Class-47 Cost Class-c02 - France</t>
  </si>
  <si>
    <t>EN_WON_54_c02_CHL</t>
  </si>
  <si>
    <t>Wind Onshore - CF Class-54 Cost Class-c02 - Chile</t>
  </si>
  <si>
    <t>EN_WOF_48_c01_FRA</t>
  </si>
  <si>
    <t>Wind Offshore - CF Class-48 Cost Class-c01 - France</t>
  </si>
  <si>
    <t>EN_WON_54_c03_CHL</t>
  </si>
  <si>
    <t>Wind Onshore - CF Class-54 Cost Class-c03 - Chile</t>
  </si>
  <si>
    <t>EN_WOF_48_c02_FRA</t>
  </si>
  <si>
    <t>Wind Offshore - CF Class-48 Cost Class-c02 - France</t>
  </si>
  <si>
    <t>EN_WON_54_c04_CHL</t>
  </si>
  <si>
    <t>Wind Onshore - CF Class-54 Cost Class-c04 - Chile</t>
  </si>
  <si>
    <t>EN_WOF_49_c01_FRA</t>
  </si>
  <si>
    <t>Wind Offshore - CF Class-49 Cost Class-c01 - France</t>
  </si>
  <si>
    <t>EN_WON_55_c01_CHL</t>
  </si>
  <si>
    <t>Wind Onshore - CF Class-55 Cost Class-c01 - Chile</t>
  </si>
  <si>
    <t>EN_WOF_49_c02_FRA</t>
  </si>
  <si>
    <t>Wind Offshore - CF Class-49 Cost Class-c02 - France</t>
  </si>
  <si>
    <t>EN_WON_55_c02_CHL</t>
  </si>
  <si>
    <t>Wind Onshore - CF Class-55 Cost Class-c02 - Chile</t>
  </si>
  <si>
    <t>EN_WOF_41_c02_GBR</t>
  </si>
  <si>
    <t>Wind Offshore - CF Class-41 Cost Class-c02 - United Kingdom</t>
  </si>
  <si>
    <t>ELC_Win-GBR</t>
  </si>
  <si>
    <t>EN_WON_56_c01_CHL</t>
  </si>
  <si>
    <t>Wind Onshore - CF Class-56 Cost Class-c01 - Chile</t>
  </si>
  <si>
    <t>EN_WOF_42_c02_GBR</t>
  </si>
  <si>
    <t>Wind Offshore - CF Class-42 Cost Class-c02 - United Kingdom</t>
  </si>
  <si>
    <t>EN_WON_56_c02_CHL</t>
  </si>
  <si>
    <t>Wind Onshore - CF Class-56 Cost Class-c02 - Chile</t>
  </si>
  <si>
    <t>EN_WOF_45_c02_GBR</t>
  </si>
  <si>
    <t>Wind Offshore - CF Class-45 Cost Class-c02 - United Kingdom</t>
  </si>
  <si>
    <t>EN_WON_57_c02_CHL</t>
  </si>
  <si>
    <t>Wind Onshore - CF Class-57 Cost Class-c02 - Chile</t>
  </si>
  <si>
    <t>EN_WOF_46_c02_GBR</t>
  </si>
  <si>
    <t>Wind Offshore - CF Class-46 Cost Class-c02 - United Kingdom</t>
  </si>
  <si>
    <t>EN_WON_57_c03_CHL</t>
  </si>
  <si>
    <t>Wind Onshore - CF Class-57 Cost Class-c03 - Chile</t>
  </si>
  <si>
    <t>EN_WOF_47_c02_GBR</t>
  </si>
  <si>
    <t>Wind Offshore - CF Class-47 Cost Class-c02 - United Kingdom</t>
  </si>
  <si>
    <t>EN_WON_58_c02_CHL</t>
  </si>
  <si>
    <t>Wind Onshore - CF Class-58 Cost Class-c02 - Chile</t>
  </si>
  <si>
    <t>EN_WOF_48_c02_GBR</t>
  </si>
  <si>
    <t>Wind Offshore - CF Class-48 Cost Class-c02 - United Kingdom</t>
  </si>
  <si>
    <t>EN_WON_59_c01_CHL</t>
  </si>
  <si>
    <t>Wind Onshore - CF Class-59 Cost Class-c01 - Chile</t>
  </si>
  <si>
    <t>EN_WOF_49_c02_GBR</t>
  </si>
  <si>
    <t>Wind Offshore - CF Class-49 Cost Class-c02 - United Kingdom</t>
  </si>
  <si>
    <t>EN_WON_59_c02_CHL</t>
  </si>
  <si>
    <t>Wind Onshore - CF Class-59 Cost Class-c02 - Chile</t>
  </si>
  <si>
    <t>EN_WOF_50_c02_GBR</t>
  </si>
  <si>
    <t>Wind Offshore - CF Class-50 Cost Class-c02 - United Kingdom</t>
  </si>
  <si>
    <t>EN_WON_60_c02_CHL</t>
  </si>
  <si>
    <t>Wind Onshore - CF Class-60 Cost Class-c02 - Chile</t>
  </si>
  <si>
    <t>EN_WOF_51_c02_GBR</t>
  </si>
  <si>
    <t>Wind Offshore - CF Class-51 Cost Class-c02 - United Kingdom</t>
  </si>
  <si>
    <t>EN_WON_60_c03_CHL</t>
  </si>
  <si>
    <t>Wind Onshore - CF Class-60 Cost Class-c03 - Chile</t>
  </si>
  <si>
    <t>EN_WOF_52_c02_GBR</t>
  </si>
  <si>
    <t>Wind Offshore - CF Class-52 Cost Class-c02 - United Kingdom</t>
  </si>
  <si>
    <t>EN_WON_61_c02_CHL</t>
  </si>
  <si>
    <t>Wind Onshore - CF Class-61 Cost Class-c02 - Chile</t>
  </si>
  <si>
    <t>EN_WOF_53_c02_GBR</t>
  </si>
  <si>
    <t>Wind Offshore - CF Class-53 Cost Class-c02 - United Kingdom</t>
  </si>
  <si>
    <t>EN_WON_61_c03_CHL</t>
  </si>
  <si>
    <t>Wind Onshore - CF Class-61 Cost Class-c03 - Chile</t>
  </si>
  <si>
    <t>EN_WOF_54_c02_GBR</t>
  </si>
  <si>
    <t>Wind Offshore - CF Class-54 Cost Class-c02 - United Kingdom</t>
  </si>
  <si>
    <t>EN_WON_62_c02_CHL</t>
  </si>
  <si>
    <t>Wind Onshore - CF Class-62 Cost Class-c02 - Chile</t>
  </si>
  <si>
    <t>EN_WOF_55_c02_GBR</t>
  </si>
  <si>
    <t>Wind Offshore - CF Class-55 Cost Class-c02 - United Kingdom</t>
  </si>
  <si>
    <t>EN_WON_62_c03_CHL</t>
  </si>
  <si>
    <t>Wind Onshore - CF Class-62 Cost Class-c03 - Chile</t>
  </si>
  <si>
    <t>EN_WOF_56_c02_GBR</t>
  </si>
  <si>
    <t>Wind Offshore - CF Class-56 Cost Class-c02 - United Kingdom</t>
  </si>
  <si>
    <t>EN_WON_63_c02_CHL</t>
  </si>
  <si>
    <t>Wind Onshore - CF Class-63 Cost Class-c02 - Chile</t>
  </si>
  <si>
    <t>EN_WOF_57_c02_GBR</t>
  </si>
  <si>
    <t>Wind Offshore - CF Class-57 Cost Class-c02 - United Kingdom</t>
  </si>
  <si>
    <t>EN_WON_63_c03_CHL</t>
  </si>
  <si>
    <t>Wind Onshore - CF Class-63 Cost Class-c03 - Chile</t>
  </si>
  <si>
    <t>EN_WOF_58_c02_GBR</t>
  </si>
  <si>
    <t>Wind Offshore - CF Class-58 Cost Class-c02 - United Kingdom</t>
  </si>
  <si>
    <t>EN_WON_64_c02_CHL</t>
  </si>
  <si>
    <t>Wind Onshore - CF Class-64 Cost Class-c02 - Chile</t>
  </si>
  <si>
    <t>EN_WOF_30_c02_GRC</t>
  </si>
  <si>
    <t>Wind Offshore - CF Class-30 Cost Class-c02 - Greece</t>
  </si>
  <si>
    <t>ELC_Win-GRC</t>
  </si>
  <si>
    <t>EN_WON_64_c03_CHL</t>
  </si>
  <si>
    <t>Wind Onshore - CF Class-64 Cost Class-c03 - Chile</t>
  </si>
  <si>
    <t>EN_WOF_31_c02_GRC</t>
  </si>
  <si>
    <t>Wind Offshore - CF Class-31 Cost Class-c02 - Greece</t>
  </si>
  <si>
    <t>EN_WON_65_c02_CHL</t>
  </si>
  <si>
    <t>Wind Onshore - CF Class-65 Cost Class-c02 - Chile</t>
  </si>
  <si>
    <t>EN_WOF_32_c02_GRC</t>
  </si>
  <si>
    <t>Wind Offshore - CF Class-32 Cost Class-c02 - Greece</t>
  </si>
  <si>
    <t>EN_WON_65_c03_CHL</t>
  </si>
  <si>
    <t>Wind Onshore - CF Class-65 Cost Class-c03 - Chile</t>
  </si>
  <si>
    <t>EN_WOF_33_c02_GRC</t>
  </si>
  <si>
    <t>Wind Offshore - CF Class-33 Cost Class-c02 - Greece</t>
  </si>
  <si>
    <t>EN_WON_15_c02_CHN</t>
  </si>
  <si>
    <t>Wind Onshore - CF Class-15 Cost Class-c02 - China</t>
  </si>
  <si>
    <t>EN_WOF_34_c02_GRC</t>
  </si>
  <si>
    <t>Wind Offshore - CF Class-34 Cost Class-c02 - Greece</t>
  </si>
  <si>
    <t>EN_WON_15_c03_CHN</t>
  </si>
  <si>
    <t>Wind Onshore - CF Class-15 Cost Class-c03 - China</t>
  </si>
  <si>
    <t>EN_WOF_35_c02_GRC</t>
  </si>
  <si>
    <t>Wind Offshore - CF Class-35 Cost Class-c02 - Greece</t>
  </si>
  <si>
    <t>EN_WON_15_c04_CHN</t>
  </si>
  <si>
    <t>Wind Onshore - CF Class-15 Cost Class-c04 - China</t>
  </si>
  <si>
    <t>EN_WOF_36_c02_GRC</t>
  </si>
  <si>
    <t>Wind Offshore - CF Class-36 Cost Class-c02 - Greece</t>
  </si>
  <si>
    <t>EN_WON_16_c02_CHN</t>
  </si>
  <si>
    <t>Wind Onshore - CF Class-16 Cost Class-c02 - China</t>
  </si>
  <si>
    <t>EN_WOF_37_c02_GRC</t>
  </si>
  <si>
    <t>Wind Offshore - CF Class-37 Cost Class-c02 - Greece</t>
  </si>
  <si>
    <t>EN_WON_16_c03_CHN</t>
  </si>
  <si>
    <t>Wind Onshore - CF Class-16 Cost Class-c03 - China</t>
  </si>
  <si>
    <t>EN_WOF_38_c02_GRC</t>
  </si>
  <si>
    <t>Wind Offshore - CF Class-38 Cost Class-c02 - Greece</t>
  </si>
  <si>
    <t>EN_WON_16_c04_CHN</t>
  </si>
  <si>
    <t>Wind Onshore - CF Class-16 Cost Class-c04 - China</t>
  </si>
  <si>
    <t>EN_WOF_39_c02_GRC</t>
  </si>
  <si>
    <t>Wind Offshore - CF Class-39 Cost Class-c02 - Greece</t>
  </si>
  <si>
    <t>EN_WON_17_c02_CHN</t>
  </si>
  <si>
    <t>Wind Onshore - CF Class-17 Cost Class-c02 - China</t>
  </si>
  <si>
    <t>EN_WOF_40_c02_GRC</t>
  </si>
  <si>
    <t>Wind Offshore - CF Class-40 Cost Class-c02 - Greece</t>
  </si>
  <si>
    <t>EN_WON_17_c03_CHN</t>
  </si>
  <si>
    <t>Wind Onshore - CF Class-17 Cost Class-c03 - China</t>
  </si>
  <si>
    <t>EN_WOF_41_c02_GRC</t>
  </si>
  <si>
    <t>Wind Offshore - CF Class-41 Cost Class-c02 - Greece</t>
  </si>
  <si>
    <t>EN_WON_17_c04_CHN</t>
  </si>
  <si>
    <t>Wind Onshore - CF Class-17 Cost Class-c04 - China</t>
  </si>
  <si>
    <t>EN_WOF_42_c02_GRC</t>
  </si>
  <si>
    <t>Wind Offshore - CF Class-42 Cost Class-c02 - Greece</t>
  </si>
  <si>
    <t>EN_WON_18_c02_CHN</t>
  </si>
  <si>
    <t>Wind Onshore - CF Class-18 Cost Class-c02 - China</t>
  </si>
  <si>
    <t>EN_WOF_43_c02_GRC</t>
  </si>
  <si>
    <t>Wind Offshore - CF Class-43 Cost Class-c02 - Greece</t>
  </si>
  <si>
    <t>EN_WON_18_c03_CHN</t>
  </si>
  <si>
    <t>Wind Onshore - CF Class-18 Cost Class-c03 - China</t>
  </si>
  <si>
    <t>EN_WOF_44_c02_GRC</t>
  </si>
  <si>
    <t>Wind Offshore - CF Class-44 Cost Class-c02 - Greece</t>
  </si>
  <si>
    <t>EN_WON_18_c04_CHN</t>
  </si>
  <si>
    <t>Wind Onshore - CF Class-18 Cost Class-c04 - China</t>
  </si>
  <si>
    <t>EN_WOF_45_c02_GRC</t>
  </si>
  <si>
    <t>Wind Offshore - CF Class-45 Cost Class-c02 - Greece</t>
  </si>
  <si>
    <t>EN_WON_19_c01_CHN</t>
  </si>
  <si>
    <t>Wind Onshore - CF Class-19 Cost Class-c01 - China</t>
  </si>
  <si>
    <t>EN_WOF_46_c02_GRC</t>
  </si>
  <si>
    <t>Wind Offshore - CF Class-46 Cost Class-c02 - Greece</t>
  </si>
  <si>
    <t>EN_WON_19_c02_CHN</t>
  </si>
  <si>
    <t>Wind Onshore - CF Class-19 Cost Class-c02 - China</t>
  </si>
  <si>
    <t>EN_WOF_47_c02_GRC</t>
  </si>
  <si>
    <t>Wind Offshore - CF Class-47 Cost Class-c02 - Greece</t>
  </si>
  <si>
    <t>EN_WON_19_c03_CHN</t>
  </si>
  <si>
    <t>Wind Onshore - CF Class-19 Cost Class-c03 - China</t>
  </si>
  <si>
    <t>EN_WOF_49_c02_GRC</t>
  </si>
  <si>
    <t>Wind Offshore - CF Class-49 Cost Class-c02 - Greece</t>
  </si>
  <si>
    <t>EN_WON_19_c04_CHN</t>
  </si>
  <si>
    <t>Wind Onshore - CF Class-19 Cost Class-c04 - China</t>
  </si>
  <si>
    <t>EN_WOF_50_c02_GRC</t>
  </si>
  <si>
    <t>Wind Offshore - CF Class-50 Cost Class-c02 - Greece</t>
  </si>
  <si>
    <t>EN_WON_20_c01_CHN</t>
  </si>
  <si>
    <t>Wind Onshore - CF Class-20 Cost Class-c01 - China</t>
  </si>
  <si>
    <t>EN_WOF_52_c02_GRC</t>
  </si>
  <si>
    <t>Wind Offshore - CF Class-52 Cost Class-c02 - Greece</t>
  </si>
  <si>
    <t>EN_WON_20_c02_CHN</t>
  </si>
  <si>
    <t>Wind Onshore - CF Class-20 Cost Class-c02 - China</t>
  </si>
  <si>
    <t>EN_WOF_30_c02_GRD</t>
  </si>
  <si>
    <t>Wind Offshore - CF Class-30 Cost Class-c02 - Grenada</t>
  </si>
  <si>
    <t>ELC_Win-GRD</t>
  </si>
  <si>
    <t>GRD</t>
  </si>
  <si>
    <t>EN_WON_20_c03_CHN</t>
  </si>
  <si>
    <t>Wind Onshore - CF Class-20 Cost Class-c03 - China</t>
  </si>
  <si>
    <t>EN_WOF_32_c02_GRD</t>
  </si>
  <si>
    <t>Wind Offshore - CF Class-32 Cost Class-c02 - Grenada</t>
  </si>
  <si>
    <t>EN_WON_20_c04_CHN</t>
  </si>
  <si>
    <t>Wind Onshore - CF Class-20 Cost Class-c04 - China</t>
  </si>
  <si>
    <t>EN_WOF_33_c02_GRD</t>
  </si>
  <si>
    <t>Wind Offshore - CF Class-33 Cost Class-c02 - Grenada</t>
  </si>
  <si>
    <t>EN_WON_21_c01_CHN</t>
  </si>
  <si>
    <t>Wind Onshore - CF Class-21 Cost Class-c01 - China</t>
  </si>
  <si>
    <t>EN_WOF_35_c02_GRD</t>
  </si>
  <si>
    <t>Wind Offshore - CF Class-35 Cost Class-c02 - Grenada</t>
  </si>
  <si>
    <t>EN_WON_21_c02_CHN</t>
  </si>
  <si>
    <t>Wind Onshore - CF Class-21 Cost Class-c02 - China</t>
  </si>
  <si>
    <t>EN_WOF_37_c02_GRD</t>
  </si>
  <si>
    <t>Wind Offshore - CF Class-37 Cost Class-c02 - Grenada</t>
  </si>
  <si>
    <t>EN_WON_21_c03_CHN</t>
  </si>
  <si>
    <t>Wind Onshore - CF Class-21 Cost Class-c03 - China</t>
  </si>
  <si>
    <t>EN_WOF_31_c02_HND</t>
  </si>
  <si>
    <t>Wind Offshore - CF Class-31 Cost Class-c02 - Honduras</t>
  </si>
  <si>
    <t>ELC_Win-HND</t>
  </si>
  <si>
    <t>EN_WON_21_c04_CHN</t>
  </si>
  <si>
    <t>Wind Onshore - CF Class-21 Cost Class-c04 - China</t>
  </si>
  <si>
    <t>EN_WOF_32_c02_HND</t>
  </si>
  <si>
    <t>Wind Offshore - CF Class-32 Cost Class-c02 - Honduras</t>
  </si>
  <si>
    <t>EN_WON_22_c01_CHN</t>
  </si>
  <si>
    <t>Wind Onshore - CF Class-22 Cost Class-c01 - China</t>
  </si>
  <si>
    <t>EN_WOF_34_c02_HND</t>
  </si>
  <si>
    <t>Wind Offshore - CF Class-34 Cost Class-c02 - Honduras</t>
  </si>
  <si>
    <t>EN_WON_22_c02_CHN</t>
  </si>
  <si>
    <t>Wind Onshore - CF Class-22 Cost Class-c02 - China</t>
  </si>
  <si>
    <t>EN_WOF_35_c02_HND</t>
  </si>
  <si>
    <t>Wind Offshore - CF Class-35 Cost Class-c02 - Honduras</t>
  </si>
  <si>
    <t>EN_WON_22_c03_CHN</t>
  </si>
  <si>
    <t>Wind Onshore - CF Class-22 Cost Class-c03 - China</t>
  </si>
  <si>
    <t>EN_WOF_30_c02_HRV</t>
  </si>
  <si>
    <t>Wind Offshore - CF Class-30 Cost Class-c02 - Croatia</t>
  </si>
  <si>
    <t>ELC_Win-HRV</t>
  </si>
  <si>
    <t>EN_WON_22_c04_CHN</t>
  </si>
  <si>
    <t>Wind Onshore - CF Class-22 Cost Class-c04 - China</t>
  </si>
  <si>
    <t>EN_WOF_32_c02_HRV</t>
  </si>
  <si>
    <t>Wind Offshore - CF Class-32 Cost Class-c02 - Croatia</t>
  </si>
  <si>
    <t>EN_WON_23_c01_CHN</t>
  </si>
  <si>
    <t>Wind Onshore - CF Class-23 Cost Class-c01 - China</t>
  </si>
  <si>
    <t>EN_WOF_33_c02_HRV</t>
  </si>
  <si>
    <t>Wind Offshore - CF Class-33 Cost Class-c02 - Croatia</t>
  </si>
  <si>
    <t>EN_WON_23_c02_CHN</t>
  </si>
  <si>
    <t>Wind Onshore - CF Class-23 Cost Class-c02 - China</t>
  </si>
  <si>
    <t>EN_WOF_34_c02_HRV</t>
  </si>
  <si>
    <t>Wind Offshore - CF Class-34 Cost Class-c02 - Croatia</t>
  </si>
  <si>
    <t>EN_WON_23_c03_CHN</t>
  </si>
  <si>
    <t>Wind Onshore - CF Class-23 Cost Class-c03 - China</t>
  </si>
  <si>
    <t>EN_WOF_33_c02_HTI</t>
  </si>
  <si>
    <t>Wind Offshore - CF Class-33 Cost Class-c02 - Haiti</t>
  </si>
  <si>
    <t>ELC_Win-HTI</t>
  </si>
  <si>
    <t>EN_WON_23_c04_CHN</t>
  </si>
  <si>
    <t>Wind Onshore - CF Class-23 Cost Class-c04 - China</t>
  </si>
  <si>
    <t>EN_WOF_35_c02_HTI</t>
  </si>
  <si>
    <t>Wind Offshore - CF Class-35 Cost Class-c02 - Haiti</t>
  </si>
  <si>
    <t>EN_WON_24_c01_CHN</t>
  </si>
  <si>
    <t>Wind Onshore - CF Class-24 Cost Class-c01 - China</t>
  </si>
  <si>
    <t>EN_WOF_37_c02_HTI</t>
  </si>
  <si>
    <t>Wind Offshore - CF Class-37 Cost Class-c02 - Haiti</t>
  </si>
  <si>
    <t>EN_WON_24_c02_CHN</t>
  </si>
  <si>
    <t>Wind Onshore - CF Class-24 Cost Class-c02 - China</t>
  </si>
  <si>
    <t>EN_WOF_40_c02_HTI</t>
  </si>
  <si>
    <t>Wind Offshore - CF Class-40 Cost Class-c02 - Haiti</t>
  </si>
  <si>
    <t>EN_WON_24_c03_CHN</t>
  </si>
  <si>
    <t>Wind Onshore - CF Class-24 Cost Class-c03 - China</t>
  </si>
  <si>
    <t>EN_WOF_30_c02_IDN</t>
  </si>
  <si>
    <t>Wind Offshore - CF Class-30 Cost Class-c02 - Indonesia</t>
  </si>
  <si>
    <t>ELC_Win-IDN</t>
  </si>
  <si>
    <t>EN_WON_24_c04_CHN</t>
  </si>
  <si>
    <t>Wind Onshore - CF Class-24 Cost Class-c04 - China</t>
  </si>
  <si>
    <t>EN_WOF_31_c02_IDN</t>
  </si>
  <si>
    <t>Wind Offshore - CF Class-31 Cost Class-c02 - Indonesia</t>
  </si>
  <si>
    <t>EN_WON_25_c01_CHN</t>
  </si>
  <si>
    <t>Wind Onshore - CF Class-25 Cost Class-c01 - China</t>
  </si>
  <si>
    <t>EN_WOF_32_c02_IDN</t>
  </si>
  <si>
    <t>Wind Offshore - CF Class-32 Cost Class-c02 - Indonesia</t>
  </si>
  <si>
    <t>EN_WON_25_c02_CHN</t>
  </si>
  <si>
    <t>Wind Onshore - CF Class-25 Cost Class-c02 - China</t>
  </si>
  <si>
    <t>EN_WOF_33_c02_IDN</t>
  </si>
  <si>
    <t>Wind Offshore - CF Class-33 Cost Class-c02 - Indonesia</t>
  </si>
  <si>
    <t>EN_WON_25_c03_CHN</t>
  </si>
  <si>
    <t>Wind Onshore - CF Class-25 Cost Class-c03 - China</t>
  </si>
  <si>
    <t>EN_WOF_34_c02_IDN</t>
  </si>
  <si>
    <t>Wind Offshore - CF Class-34 Cost Class-c02 - Indonesia</t>
  </si>
  <si>
    <t>EN_WON_25_c04_CHN</t>
  </si>
  <si>
    <t>Wind Onshore - CF Class-25 Cost Class-c04 - China</t>
  </si>
  <si>
    <t>EN_WOF_30_c02_IND</t>
  </si>
  <si>
    <t>Wind Offshore - CF Class-30 Cost Class-c02 - India</t>
  </si>
  <si>
    <t>ELC_Win-IND</t>
  </si>
  <si>
    <t>EN_WON_26_c01_CHN</t>
  </si>
  <si>
    <t>Wind Onshore - CF Class-26 Cost Class-c01 - China</t>
  </si>
  <si>
    <t>EN_WOF_31_c02_IND</t>
  </si>
  <si>
    <t>Wind Offshore - CF Class-31 Cost Class-c02 - India</t>
  </si>
  <si>
    <t>EN_WON_26_c02_CHN</t>
  </si>
  <si>
    <t>Wind Onshore - CF Class-26 Cost Class-c02 - China</t>
  </si>
  <si>
    <t>EN_WOF_32_c02_IND</t>
  </si>
  <si>
    <t>Wind Offshore - CF Class-32 Cost Class-c02 - India</t>
  </si>
  <si>
    <t>EN_WON_26_c03_CHN</t>
  </si>
  <si>
    <t>Wind Onshore - CF Class-26 Cost Class-c03 - China</t>
  </si>
  <si>
    <t>EN_WOF_33_c02_IND</t>
  </si>
  <si>
    <t>Wind Offshore - CF Class-33 Cost Class-c02 - India</t>
  </si>
  <si>
    <t>EN_WON_26_c04_CHN</t>
  </si>
  <si>
    <t>Wind Onshore - CF Class-26 Cost Class-c04 - China</t>
  </si>
  <si>
    <t>EN_WOF_34_c02_IND</t>
  </si>
  <si>
    <t>Wind Offshore - CF Class-34 Cost Class-c02 - India</t>
  </si>
  <si>
    <t>EN_WON_27_c01_CHN</t>
  </si>
  <si>
    <t>Wind Onshore - CF Class-27 Cost Class-c01 - China</t>
  </si>
  <si>
    <t>EN_WOF_35_c02_IND</t>
  </si>
  <si>
    <t>Wind Offshore - CF Class-35 Cost Class-c02 - India</t>
  </si>
  <si>
    <t>EN_WON_27_c02_CHN</t>
  </si>
  <si>
    <t>Wind Onshore - CF Class-27 Cost Class-c02 - China</t>
  </si>
  <si>
    <t>EN_WOF_36_c02_IND</t>
  </si>
  <si>
    <t>Wind Offshore - CF Class-36 Cost Class-c02 - India</t>
  </si>
  <si>
    <t>EN_WON_27_c03_CHN</t>
  </si>
  <si>
    <t>Wind Onshore - CF Class-27 Cost Class-c03 - China</t>
  </si>
  <si>
    <t>EN_WOF_37_c02_IND</t>
  </si>
  <si>
    <t>Wind Offshore - CF Class-37 Cost Class-c02 - India</t>
  </si>
  <si>
    <t>EN_WON_27_c04_CHN</t>
  </si>
  <si>
    <t>Wind Onshore - CF Class-27 Cost Class-c04 - China</t>
  </si>
  <si>
    <t>EN_WOF_40_c02_IND</t>
  </si>
  <si>
    <t>Wind Offshore - CF Class-40 Cost Class-c02 - India</t>
  </si>
  <si>
    <t>EN_WON_28_c01_CHN</t>
  </si>
  <si>
    <t>Wind Onshore - CF Class-28 Cost Class-c01 - China</t>
  </si>
  <si>
    <t>EN_WOF_42_c02_IND</t>
  </si>
  <si>
    <t>Wind Offshore - CF Class-42 Cost Class-c02 - India</t>
  </si>
  <si>
    <t>EN_WON_28_c02_CHN</t>
  </si>
  <si>
    <t>Wind Onshore - CF Class-28 Cost Class-c02 - China</t>
  </si>
  <si>
    <t>EN_WOF_43_c02_IND</t>
  </si>
  <si>
    <t>Wind Offshore - CF Class-43 Cost Class-c02 - India</t>
  </si>
  <si>
    <t>EN_WON_28_c03_CHN</t>
  </si>
  <si>
    <t>Wind Onshore - CF Class-28 Cost Class-c03 - China</t>
  </si>
  <si>
    <t>EN_WOF_47_c02_IND</t>
  </si>
  <si>
    <t>Wind Offshore - CF Class-47 Cost Class-c02 - India</t>
  </si>
  <si>
    <t>EN_WON_28_c04_CHN</t>
  </si>
  <si>
    <t>Wind Onshore - CF Class-28 Cost Class-c04 - China</t>
  </si>
  <si>
    <t>EN_WOF_48_c02_IND</t>
  </si>
  <si>
    <t>Wind Offshore - CF Class-48 Cost Class-c02 - India</t>
  </si>
  <si>
    <t>EN_WON_29_c01_CHN</t>
  </si>
  <si>
    <t>Wind Onshore - CF Class-29 Cost Class-c01 - China</t>
  </si>
  <si>
    <t>EN_WOF_49_c02_IRL</t>
  </si>
  <si>
    <t>Wind Offshore - CF Class-49 Cost Class-c02 - Ireland</t>
  </si>
  <si>
    <t>ELC_Win-IRL</t>
  </si>
  <si>
    <t>EN_WON_29_c02_CHN</t>
  </si>
  <si>
    <t>Wind Onshore - CF Class-29 Cost Class-c02 - China</t>
  </si>
  <si>
    <t>EN_WOF_50_c01_IRL</t>
  </si>
  <si>
    <t>Wind Offshore - CF Class-50 Cost Class-c01 - Ireland</t>
  </si>
  <si>
    <t>EN_WON_29_c03_CHN</t>
  </si>
  <si>
    <t>Wind Onshore - CF Class-29 Cost Class-c03 - China</t>
  </si>
  <si>
    <t>EN_WOF_50_c02_IRL</t>
  </si>
  <si>
    <t>Wind Offshore - CF Class-50 Cost Class-c02 - Ireland</t>
  </si>
  <si>
    <t>EN_WON_29_c04_CHN</t>
  </si>
  <si>
    <t>Wind Onshore - CF Class-29 Cost Class-c04 - China</t>
  </si>
  <si>
    <t>EN_WOF_51_c01_IRL</t>
  </si>
  <si>
    <t>Wind Offshore - CF Class-51 Cost Class-c01 - Ireland</t>
  </si>
  <si>
    <t>EN_WON_30_c01_CHN</t>
  </si>
  <si>
    <t>Wind Onshore - CF Class-30 Cost Class-c01 - China</t>
  </si>
  <si>
    <t>EN_WOF_51_c02_IRL</t>
  </si>
  <si>
    <t>Wind Offshore - CF Class-51 Cost Class-c02 - Ireland</t>
  </si>
  <si>
    <t>EN_WON_30_c02_CHN</t>
  </si>
  <si>
    <t>Wind Onshore - CF Class-30 Cost Class-c02 - China</t>
  </si>
  <si>
    <t>EN_WOF_52_c01_IRL</t>
  </si>
  <si>
    <t>Wind Offshore - CF Class-52 Cost Class-c01 - Ireland</t>
  </si>
  <si>
    <t>EN_WON_30_c03_CHN</t>
  </si>
  <si>
    <t>Wind Onshore - CF Class-30 Cost Class-c03 - China</t>
  </si>
  <si>
    <t>EN_WOF_52_c02_IRL</t>
  </si>
  <si>
    <t>Wind Offshore - CF Class-52 Cost Class-c02 - Ireland</t>
  </si>
  <si>
    <t>EN_WON_30_c04_CHN</t>
  </si>
  <si>
    <t>Wind Onshore - CF Class-30 Cost Class-c04 - China</t>
  </si>
  <si>
    <t>EN_WOF_53_c01_IRL</t>
  </si>
  <si>
    <t>Wind Offshore - CF Class-53 Cost Class-c01 - Ireland</t>
  </si>
  <si>
    <t>EN_WON_31_c01_CHN</t>
  </si>
  <si>
    <t>Wind Onshore - CF Class-31 Cost Class-c01 - China</t>
  </si>
  <si>
    <t>EN_WOF_53_c02_IRL</t>
  </si>
  <si>
    <t>Wind Offshore - CF Class-53 Cost Class-c02 - Ireland</t>
  </si>
  <si>
    <t>EN_WON_31_c02_CHN</t>
  </si>
  <si>
    <t>Wind Onshore - CF Class-31 Cost Class-c02 - China</t>
  </si>
  <si>
    <t>EN_WOF_54_c01_IRL</t>
  </si>
  <si>
    <t>Wind Offshore - CF Class-54 Cost Class-c01 - Ireland</t>
  </si>
  <si>
    <t>EN_WON_31_c03_CHN</t>
  </si>
  <si>
    <t>Wind Onshore - CF Class-31 Cost Class-c03 - China</t>
  </si>
  <si>
    <t>EN_WOF_54_c02_IRL</t>
  </si>
  <si>
    <t>Wind Offshore - CF Class-54 Cost Class-c02 - Ireland</t>
  </si>
  <si>
    <t>EN_WON_31_c04_CHN</t>
  </si>
  <si>
    <t>Wind Onshore - CF Class-31 Cost Class-c04 - China</t>
  </si>
  <si>
    <t>EN_WOF_55_c02_IRL</t>
  </si>
  <si>
    <t>Wind Offshore - CF Class-55 Cost Class-c02 - Ireland</t>
  </si>
  <si>
    <t>EN_WON_32_c01_CHN</t>
  </si>
  <si>
    <t>Wind Onshore - CF Class-32 Cost Class-c01 - China</t>
  </si>
  <si>
    <t>EN_WOF_56_c02_IRL</t>
  </si>
  <si>
    <t>Wind Offshore - CF Class-56 Cost Class-c02 - Ireland</t>
  </si>
  <si>
    <t>EN_WON_32_c02_CHN</t>
  </si>
  <si>
    <t>Wind Onshore - CF Class-32 Cost Class-c02 - China</t>
  </si>
  <si>
    <t>EN_WOF_57_c02_IRL</t>
  </si>
  <si>
    <t>Wind Offshore - CF Class-57 Cost Class-c02 - Ireland</t>
  </si>
  <si>
    <t>EN_WON_32_c03_CHN</t>
  </si>
  <si>
    <t>Wind Onshore - CF Class-32 Cost Class-c03 - China</t>
  </si>
  <si>
    <t>EN_WOF_34_c02_ISL</t>
  </si>
  <si>
    <t>Wind Offshore - CF Class-34 Cost Class-c02 - Iceland</t>
  </si>
  <si>
    <t>ELC_Win-ISL</t>
  </si>
  <si>
    <t>ISL</t>
  </si>
  <si>
    <t>EN_WON_33_c01_CHN</t>
  </si>
  <si>
    <t>Wind Onshore - CF Class-33 Cost Class-c01 - China</t>
  </si>
  <si>
    <t>EN_WOF_35_c02_ISL</t>
  </si>
  <si>
    <t>Wind Offshore - CF Class-35 Cost Class-c02 - Iceland</t>
  </si>
  <si>
    <t>EN_WON_33_c02_CHN</t>
  </si>
  <si>
    <t>Wind Onshore - CF Class-33 Cost Class-c02 - China</t>
  </si>
  <si>
    <t>EN_WOF_36_c02_ISL</t>
  </si>
  <si>
    <t>Wind Offshore - CF Class-36 Cost Class-c02 - Iceland</t>
  </si>
  <si>
    <t>EN_WON_33_c03_CHN</t>
  </si>
  <si>
    <t>Wind Onshore - CF Class-33 Cost Class-c03 - China</t>
  </si>
  <si>
    <t>EN_WOF_37_c02_ISL</t>
  </si>
  <si>
    <t>Wind Offshore - CF Class-37 Cost Class-c02 - Iceland</t>
  </si>
  <si>
    <t>EN_WON_34_c01_CHN</t>
  </si>
  <si>
    <t>Wind Onshore - CF Class-34 Cost Class-c01 - China</t>
  </si>
  <si>
    <t>EN_WOF_38_c02_ISL</t>
  </si>
  <si>
    <t>Wind Offshore - CF Class-38 Cost Class-c02 - Iceland</t>
  </si>
  <si>
    <t>EN_WON_34_c02_CHN</t>
  </si>
  <si>
    <t>Wind Onshore - CF Class-34 Cost Class-c02 - China</t>
  </si>
  <si>
    <t>EN_WOF_39_c02_ISL</t>
  </si>
  <si>
    <t>Wind Offshore - CF Class-39 Cost Class-c02 - Iceland</t>
  </si>
  <si>
    <t>EN_WON_34_c03_CHN</t>
  </si>
  <si>
    <t>Wind Onshore - CF Class-34 Cost Class-c03 - China</t>
  </si>
  <si>
    <t>EN_WOF_40_c02_ISL</t>
  </si>
  <si>
    <t>Wind Offshore - CF Class-40 Cost Class-c02 - Iceland</t>
  </si>
  <si>
    <t>EN_WON_35_c01_CHN</t>
  </si>
  <si>
    <t>Wind Onshore - CF Class-35 Cost Class-c01 - China</t>
  </si>
  <si>
    <t>EN_WOF_41_c02_ISL</t>
  </si>
  <si>
    <t>Wind Offshore - CF Class-41 Cost Class-c02 - Iceland</t>
  </si>
  <si>
    <t>EN_WON_35_c02_CHN</t>
  </si>
  <si>
    <t>Wind Onshore - CF Class-35 Cost Class-c02 - China</t>
  </si>
  <si>
    <t>EN_WOF_42_c02_ISL</t>
  </si>
  <si>
    <t>Wind Offshore - CF Class-42 Cost Class-c02 - Iceland</t>
  </si>
  <si>
    <t>EN_WON_35_c03_CHN</t>
  </si>
  <si>
    <t>Wind Onshore - CF Class-35 Cost Class-c03 - China</t>
  </si>
  <si>
    <t>EN_WOF_43_c02_ISL</t>
  </si>
  <si>
    <t>Wind Offshore - CF Class-43 Cost Class-c02 - Iceland</t>
  </si>
  <si>
    <t>EN_WON_35_c04_CHN</t>
  </si>
  <si>
    <t>Wind Onshore - CF Class-35 Cost Class-c04 - China</t>
  </si>
  <si>
    <t>EN_WOF_44_c02_ISL</t>
  </si>
  <si>
    <t>Wind Offshore - CF Class-44 Cost Class-c02 - Iceland</t>
  </si>
  <si>
    <t>EN_WON_36_c01_CHN</t>
  </si>
  <si>
    <t>Wind Onshore - CF Class-36 Cost Class-c01 - China</t>
  </si>
  <si>
    <t>EN_WOF_45_c02_ISL</t>
  </si>
  <si>
    <t>Wind Offshore - CF Class-45 Cost Class-c02 - Iceland</t>
  </si>
  <si>
    <t>EN_WON_36_c02_CHN</t>
  </si>
  <si>
    <t>Wind Onshore - CF Class-36 Cost Class-c02 - China</t>
  </si>
  <si>
    <t>EN_WOF_46_c02_ISL</t>
  </si>
  <si>
    <t>Wind Offshore - CF Class-46 Cost Class-c02 - Iceland</t>
  </si>
  <si>
    <t>EN_WON_36_c03_CHN</t>
  </si>
  <si>
    <t>Wind Onshore - CF Class-36 Cost Class-c03 - China</t>
  </si>
  <si>
    <t>EN_WOF_47_c02_ISL</t>
  </si>
  <si>
    <t>Wind Offshore - CF Class-47 Cost Class-c02 - Iceland</t>
  </si>
  <si>
    <t>EN_WON_36_c04_CHN</t>
  </si>
  <si>
    <t>Wind Onshore - CF Class-36 Cost Class-c04 - China</t>
  </si>
  <si>
    <t>EN_WOF_48_c02_ISL</t>
  </si>
  <si>
    <t>Wind Offshore - CF Class-48 Cost Class-c02 - Iceland</t>
  </si>
  <si>
    <t>EN_WON_37_c01_CHN</t>
  </si>
  <si>
    <t>Wind Onshore - CF Class-37 Cost Class-c01 - China</t>
  </si>
  <si>
    <t>EN_WOF_49_c02_ISL</t>
  </si>
  <si>
    <t>Wind Offshore - CF Class-49 Cost Class-c02 - Iceland</t>
  </si>
  <si>
    <t>EN_WON_37_c02_CHN</t>
  </si>
  <si>
    <t>Wind Onshore - CF Class-37 Cost Class-c02 - China</t>
  </si>
  <si>
    <t>EN_WOF_50_c02_ISL</t>
  </si>
  <si>
    <t>Wind Offshore - CF Class-50 Cost Class-c02 - Iceland</t>
  </si>
  <si>
    <t>EN_WON_37_c03_CHN</t>
  </si>
  <si>
    <t>Wind Onshore - CF Class-37 Cost Class-c03 - China</t>
  </si>
  <si>
    <t>EN_WOF_51_c02_ISL</t>
  </si>
  <si>
    <t>Wind Offshore - CF Class-51 Cost Class-c02 - Iceland</t>
  </si>
  <si>
    <t>EN_WON_38_c01_CHN</t>
  </si>
  <si>
    <t>Wind Onshore - CF Class-38 Cost Class-c01 - China</t>
  </si>
  <si>
    <t>EN_WOF_52_c02_ISL</t>
  </si>
  <si>
    <t>Wind Offshore - CF Class-52 Cost Class-c02 - Iceland</t>
  </si>
  <si>
    <t>EN_WON_38_c02_CHN</t>
  </si>
  <si>
    <t>Wind Onshore - CF Class-38 Cost Class-c02 - China</t>
  </si>
  <si>
    <t>EN_WOF_53_c02_ISL</t>
  </si>
  <si>
    <t>Wind Offshore - CF Class-53 Cost Class-c02 - Iceland</t>
  </si>
  <si>
    <t>EN_WON_38_c03_CHN</t>
  </si>
  <si>
    <t>Wind Onshore - CF Class-38 Cost Class-c03 - China</t>
  </si>
  <si>
    <t>EN_WOF_54_c02_ISL</t>
  </si>
  <si>
    <t>Wind Offshore - CF Class-54 Cost Class-c02 - Iceland</t>
  </si>
  <si>
    <t>EN_WON_39_c01_CHN</t>
  </si>
  <si>
    <t>Wind Onshore - CF Class-39 Cost Class-c01 - China</t>
  </si>
  <si>
    <t>EN_WOF_55_c02_ISL</t>
  </si>
  <si>
    <t>Wind Offshore - CF Class-55 Cost Class-c02 - Iceland</t>
  </si>
  <si>
    <t>EN_WON_39_c02_CHN</t>
  </si>
  <si>
    <t>Wind Onshore - CF Class-39 Cost Class-c02 - China</t>
  </si>
  <si>
    <t>EN_WOF_56_c02_ISL</t>
  </si>
  <si>
    <t>Wind Offshore - CF Class-56 Cost Class-c02 - Iceland</t>
  </si>
  <si>
    <t>EN_WON_40_c01_CHN</t>
  </si>
  <si>
    <t>Wind Onshore - CF Class-40 Cost Class-c01 - China</t>
  </si>
  <si>
    <t>EN_WOF_57_c02_ISL</t>
  </si>
  <si>
    <t>Wind Offshore - CF Class-57 Cost Class-c02 - Iceland</t>
  </si>
  <si>
    <t>EN_WON_40_c02_CHN</t>
  </si>
  <si>
    <t>Wind Onshore - CF Class-40 Cost Class-c02 - China</t>
  </si>
  <si>
    <t>EN_WOF_58_c02_ISL</t>
  </si>
  <si>
    <t>Wind Offshore - CF Class-58 Cost Class-c02 - Iceland</t>
  </si>
  <si>
    <t>EN_WON_41_c01_CHN</t>
  </si>
  <si>
    <t>Wind Onshore - CF Class-41 Cost Class-c01 - China</t>
  </si>
  <si>
    <t>EN_WOF_30_c02_ITA</t>
  </si>
  <si>
    <t>Wind Offshore - CF Class-30 Cost Class-c02 - Italy</t>
  </si>
  <si>
    <t>ELC_Win-ITA</t>
  </si>
  <si>
    <t>EN_WON_42_c01_CHN</t>
  </si>
  <si>
    <t>Wind Onshore - CF Class-42 Cost Class-c01 - China</t>
  </si>
  <si>
    <t>EN_WOF_31_c02_ITA</t>
  </si>
  <si>
    <t>Wind Offshore - CF Class-31 Cost Class-c02 - Italy</t>
  </si>
  <si>
    <t>EN_WON_43_c01_CHN</t>
  </si>
  <si>
    <t>Wind Onshore - CF Class-43 Cost Class-c01 - China</t>
  </si>
  <si>
    <t>EN_WOF_32_c02_ITA</t>
  </si>
  <si>
    <t>Wind Offshore - CF Class-32 Cost Class-c02 - Italy</t>
  </si>
  <si>
    <t>EN_WON_44_c01_CHN</t>
  </si>
  <si>
    <t>Wind Onshore - CF Class-44 Cost Class-c01 - China</t>
  </si>
  <si>
    <t>EN_WOF_33_c02_ITA</t>
  </si>
  <si>
    <t>Wind Offshore - CF Class-33 Cost Class-c02 - Italy</t>
  </si>
  <si>
    <t>EN_WON_45_c01_CHN</t>
  </si>
  <si>
    <t>Wind Onshore - CF Class-45 Cost Class-c01 - China</t>
  </si>
  <si>
    <t>EN_WOF_34_c02_ITA</t>
  </si>
  <si>
    <t>Wind Offshore - CF Class-34 Cost Class-c02 - Italy</t>
  </si>
  <si>
    <t>EN_WON_46_c01_CHN</t>
  </si>
  <si>
    <t>Wind Onshore - CF Class-46 Cost Class-c01 - China</t>
  </si>
  <si>
    <t>EN_WOF_35_c02_ITA</t>
  </si>
  <si>
    <t>Wind Offshore - CF Class-35 Cost Class-c02 - Italy</t>
  </si>
  <si>
    <t>EN_WON_48_c01_CHN</t>
  </si>
  <si>
    <t>Wind Onshore - CF Class-48 Cost Class-c01 - China</t>
  </si>
  <si>
    <t>EN_WOF_36_c02_ITA</t>
  </si>
  <si>
    <t>Wind Offshore - CF Class-36 Cost Class-c02 - Italy</t>
  </si>
  <si>
    <t>EN_WON_49_c01_CHN</t>
  </si>
  <si>
    <t>Wind Onshore - CF Class-49 Cost Class-c01 - China</t>
  </si>
  <si>
    <t>EN_WOF_37_c02_ITA</t>
  </si>
  <si>
    <t>Wind Offshore - CF Class-37 Cost Class-c02 - Italy</t>
  </si>
  <si>
    <t>EN_WON_51_c01_CHN</t>
  </si>
  <si>
    <t>Wind Onshore - CF Class-51 Cost Class-c01 - China</t>
  </si>
  <si>
    <t>EN_WOF_39_c02_ITA</t>
  </si>
  <si>
    <t>Wind Offshore - CF Class-39 Cost Class-c02 - Italy</t>
  </si>
  <si>
    <t>EN_WON_57_c01_CHN</t>
  </si>
  <si>
    <t>Wind Onshore - CF Class-57 Cost Class-c01 - China</t>
  </si>
  <si>
    <t>EN_WOF_30_c02_JAM</t>
  </si>
  <si>
    <t>Wind Offshore - CF Class-30 Cost Class-c02 - Jamaica</t>
  </si>
  <si>
    <t>ELC_Win-JAM</t>
  </si>
  <si>
    <t>EN_WON_15_c03_CIV</t>
  </si>
  <si>
    <t>Wind Onshore - CF Class-15 Cost Class-c03 - Ivory Coast</t>
  </si>
  <si>
    <t>ELC_Win-CIV</t>
  </si>
  <si>
    <t>EN_WOF_31_c02_JAM</t>
  </si>
  <si>
    <t>Wind Offshore - CF Class-31 Cost Class-c02 - Jamaica</t>
  </si>
  <si>
    <t>EN_WON_16_c03_CIV</t>
  </si>
  <si>
    <t>Wind Onshore - CF Class-16 Cost Class-c03 - Ivory Coast</t>
  </si>
  <si>
    <t>EN_WOF_32_c02_JAM</t>
  </si>
  <si>
    <t>Wind Offshore - CF Class-32 Cost Class-c02 - Jamaica</t>
  </si>
  <si>
    <t>EN_WON_17_c03_CIV</t>
  </si>
  <si>
    <t>Wind Onshore - CF Class-17 Cost Class-c03 - Ivory Coast</t>
  </si>
  <si>
    <t>EN_WOF_33_c02_JAM</t>
  </si>
  <si>
    <t>Wind Offshore - CF Class-33 Cost Class-c02 - Jamaica</t>
  </si>
  <si>
    <t>EN_WON_20_c02_CMR</t>
  </si>
  <si>
    <t>Wind Onshore - CF Class-20 Cost Class-c02 - Cameroon</t>
  </si>
  <si>
    <t>ELC_Win-CMR</t>
  </si>
  <si>
    <t>EN_WOF_34_c02_JAM</t>
  </si>
  <si>
    <t>Wind Offshore - CF Class-34 Cost Class-c02 - Jamaica</t>
  </si>
  <si>
    <t>EN_WON_20_c04_CMR</t>
  </si>
  <si>
    <t>Wind Onshore - CF Class-20 Cost Class-c04 - Cameroon</t>
  </si>
  <si>
    <t>EN_WOF_35_c02_JAM</t>
  </si>
  <si>
    <t>Wind Offshore - CF Class-35 Cost Class-c02 - Jamaica</t>
  </si>
  <si>
    <t>EN_WON_21_c03_CMR</t>
  </si>
  <si>
    <t>Wind Onshore - CF Class-21 Cost Class-c03 - Cameroon</t>
  </si>
  <si>
    <t>EN_WOF_36_c02_JAM</t>
  </si>
  <si>
    <t>Wind Offshore - CF Class-36 Cost Class-c02 - Jamaica</t>
  </si>
  <si>
    <t>EN_WON_22_c02_CMR</t>
  </si>
  <si>
    <t>Wind Onshore - CF Class-22 Cost Class-c02 - Cameroon</t>
  </si>
  <si>
    <t>EN_WOF_37_c02_JAM</t>
  </si>
  <si>
    <t>Wind Offshore - CF Class-37 Cost Class-c02 - Jamaica</t>
  </si>
  <si>
    <t>EN_WON_23_c02_CMR</t>
  </si>
  <si>
    <t>Wind Onshore - CF Class-23 Cost Class-c02 - Cameroon</t>
  </si>
  <si>
    <t>EN_WOF_38_c02_JAM</t>
  </si>
  <si>
    <t>Wind Offshore - CF Class-38 Cost Class-c02 - Jamaica</t>
  </si>
  <si>
    <t>EN_WON_24_c01_CMR</t>
  </si>
  <si>
    <t>Wind Onshore - CF Class-24 Cost Class-c01 - Cameroon</t>
  </si>
  <si>
    <t>EN_WOF_39_c02_JAM</t>
  </si>
  <si>
    <t>Wind Offshore - CF Class-39 Cost Class-c02 - Jamaica</t>
  </si>
  <si>
    <t>EN_WON_24_c02_CMR</t>
  </si>
  <si>
    <t>Wind Onshore - CF Class-24 Cost Class-c02 - Cameroon</t>
  </si>
  <si>
    <t>EN_WOF_40_c02_JAM</t>
  </si>
  <si>
    <t>Wind Offshore - CF Class-40 Cost Class-c02 - Jamaica</t>
  </si>
  <si>
    <t>EN_WON_25_c03_CMR</t>
  </si>
  <si>
    <t>Wind Onshore - CF Class-25 Cost Class-c03 - Cameroon</t>
  </si>
  <si>
    <t>EN_WOF_42_c02_JAM</t>
  </si>
  <si>
    <t>Wind Offshore - CF Class-42 Cost Class-c02 - Jamaica</t>
  </si>
  <si>
    <t>EN_WON_26_c02_CMR</t>
  </si>
  <si>
    <t>Wind Onshore - CF Class-26 Cost Class-c02 - Cameroon</t>
  </si>
  <si>
    <t>EN_WOF_43_c02_JAM</t>
  </si>
  <si>
    <t>Wind Offshore - CF Class-43 Cost Class-c02 - Jamaica</t>
  </si>
  <si>
    <t>EN_WON_27_c02_CMR</t>
  </si>
  <si>
    <t>Wind Onshore - CF Class-27 Cost Class-c02 - Cameroon</t>
  </si>
  <si>
    <t>EN_WOF_37_c02_JPN</t>
  </si>
  <si>
    <t>Wind Offshore - CF Class-37 Cost Class-c02 - Japan</t>
  </si>
  <si>
    <t>ELC_Win-JPN</t>
  </si>
  <si>
    <t>EN_WON_15_c04_COD</t>
  </si>
  <si>
    <t>Wind Onshore - CF Class-15 Cost Class-c04 - Democratic Republic of Congo</t>
  </si>
  <si>
    <t>ELC_Win-COD</t>
  </si>
  <si>
    <t>EN_WOF_38_c01_JPN</t>
  </si>
  <si>
    <t>Wind Offshore - CF Class-38 Cost Class-c01 - Japan</t>
  </si>
  <si>
    <t>EN_WON_16_c04_COD</t>
  </si>
  <si>
    <t>Wind Onshore - CF Class-16 Cost Class-c04 - Democratic Republic of Congo</t>
  </si>
  <si>
    <t>EN_WOF_38_c02_JPN</t>
  </si>
  <si>
    <t>Wind Offshore - CF Class-38 Cost Class-c02 - Japan</t>
  </si>
  <si>
    <t>EN_WON_17_c04_COD</t>
  </si>
  <si>
    <t>Wind Onshore - CF Class-17 Cost Class-c04 - Democratic Republic of Congo</t>
  </si>
  <si>
    <t>EN_WOF_39_c01_JPN</t>
  </si>
  <si>
    <t>Wind Offshore - CF Class-39 Cost Class-c01 - Japan</t>
  </si>
  <si>
    <t>EN_WON_18_c04_COD</t>
  </si>
  <si>
    <t>Wind Onshore - CF Class-18 Cost Class-c04 - Democratic Republic of Congo</t>
  </si>
  <si>
    <t>EN_WOF_30_c02_KEN</t>
  </si>
  <si>
    <t>Wind Offshore - CF Class-30 Cost Class-c02 - Kenya</t>
  </si>
  <si>
    <t>ELC_Win-KEN</t>
  </si>
  <si>
    <t>EN_WON_19_c04_COD</t>
  </si>
  <si>
    <t>Wind Onshore - CF Class-19 Cost Class-c04 - Democratic Republic of Congo</t>
  </si>
  <si>
    <t>EN_WOF_31_c02_KEN</t>
  </si>
  <si>
    <t>Wind Offshore - CF Class-31 Cost Class-c02 - Kenya</t>
  </si>
  <si>
    <t>EN_WON_20_c04_COD</t>
  </si>
  <si>
    <t>Wind Onshore - CF Class-20 Cost Class-c04 - Democratic Republic of Congo</t>
  </si>
  <si>
    <t>EN_WOF_32_c02_KEN</t>
  </si>
  <si>
    <t>Wind Offshore - CF Class-32 Cost Class-c02 - Kenya</t>
  </si>
  <si>
    <t>EN_WON_16_c02_COG</t>
  </si>
  <si>
    <t>Wind Onshore - CF Class-16 Cost Class-c02 - Republic of Congo</t>
  </si>
  <si>
    <t>ELC_Win-COG</t>
  </si>
  <si>
    <t>EN_WOF_31_c02_KNA</t>
  </si>
  <si>
    <t>Wind Offshore - CF Class-31 Cost Class-c02 - St. Kitts and Nevis</t>
  </si>
  <si>
    <t>ELC_Win-KNA</t>
  </si>
  <si>
    <t>KNA</t>
  </si>
  <si>
    <t>EN_WON_17_c03_COG</t>
  </si>
  <si>
    <t>Wind Onshore - CF Class-17 Cost Class-c03 - Republic of Congo</t>
  </si>
  <si>
    <t>EN_WOF_35_c02_KNA</t>
  </si>
  <si>
    <t>Wind Offshore - CF Class-35 Cost Class-c02 - St. Kitts and Nevis</t>
  </si>
  <si>
    <t>EN_WON_18_c03_COG</t>
  </si>
  <si>
    <t>Wind Onshore - CF Class-18 Cost Class-c03 - Republic of Congo</t>
  </si>
  <si>
    <t>EN_WOF_40_c02_KNA</t>
  </si>
  <si>
    <t>Wind Offshore - CF Class-40 Cost Class-c02 - St. Kitts and Nevis</t>
  </si>
  <si>
    <t>EN_WON_19_c02_COG</t>
  </si>
  <si>
    <t>Wind Onshore - CF Class-19 Cost Class-c02 - Republic of Congo</t>
  </si>
  <si>
    <t>EN_WOF_31_c01_KOR</t>
  </si>
  <si>
    <t>Wind Offshore - CF Class-31 Cost Class-c01 - South Korea</t>
  </si>
  <si>
    <t>ELC_Win-KOR</t>
  </si>
  <si>
    <t>EN_WON_19_c03_COG</t>
  </si>
  <si>
    <t>Wind Onshore - CF Class-19 Cost Class-c03 - Republic of Congo</t>
  </si>
  <si>
    <t>EN_WOF_32_c01_KOR</t>
  </si>
  <si>
    <t>Wind Offshore - CF Class-32 Cost Class-c01 - South Korea</t>
  </si>
  <si>
    <t>EN_WON_15_c02_COL</t>
  </si>
  <si>
    <t>Wind Onshore - CF Class-15 Cost Class-c02 - Colombia</t>
  </si>
  <si>
    <t>EN_WOF_32_c02_KOR</t>
  </si>
  <si>
    <t>Wind Offshore - CF Class-32 Cost Class-c02 - South Korea</t>
  </si>
  <si>
    <t>EN_WON_15_c04_COL</t>
  </si>
  <si>
    <t>Wind Onshore - CF Class-15 Cost Class-c04 - Colombia</t>
  </si>
  <si>
    <t>EN_WOF_33_c01_KOR</t>
  </si>
  <si>
    <t>Wind Offshore - CF Class-33 Cost Class-c01 - South Korea</t>
  </si>
  <si>
    <t>EN_WON_16_c02_COL</t>
  </si>
  <si>
    <t>Wind Onshore - CF Class-16 Cost Class-c02 - Colombia</t>
  </si>
  <si>
    <t>EN_WOF_33_c02_KOR</t>
  </si>
  <si>
    <t>Wind Offshore - CF Class-33 Cost Class-c02 - South Korea</t>
  </si>
  <si>
    <t>EN_WON_16_c03_COL</t>
  </si>
  <si>
    <t>Wind Onshore - CF Class-16 Cost Class-c03 - Colombia</t>
  </si>
  <si>
    <t>EN_WOF_34_c01_KOR</t>
  </si>
  <si>
    <t>Wind Offshore - CF Class-34 Cost Class-c01 - South Korea</t>
  </si>
  <si>
    <t>EN_WON_16_c04_COL</t>
  </si>
  <si>
    <t>Wind Onshore - CF Class-16 Cost Class-c04 - Colombia</t>
  </si>
  <si>
    <t>EN_WOF_34_c02_KOR</t>
  </si>
  <si>
    <t>Wind Offshore - CF Class-34 Cost Class-c02 - South Korea</t>
  </si>
  <si>
    <t>EN_WON_17_c02_COL</t>
  </si>
  <si>
    <t>Wind Onshore - CF Class-17 Cost Class-c02 - Colombia</t>
  </si>
  <si>
    <t>EN_WOF_35_c01_KOR</t>
  </si>
  <si>
    <t>Wind Offshore - CF Class-35 Cost Class-c01 - South Korea</t>
  </si>
  <si>
    <t>EN_WON_17_c03_COL</t>
  </si>
  <si>
    <t>Wind Onshore - CF Class-17 Cost Class-c03 - Colombia</t>
  </si>
  <si>
    <t>EN_WOF_35_c02_KOR</t>
  </si>
  <si>
    <t>Wind Offshore - CF Class-35 Cost Class-c02 - South Korea</t>
  </si>
  <si>
    <t>EN_WON_18_c02_COL</t>
  </si>
  <si>
    <t>Wind Onshore - CF Class-18 Cost Class-c02 - Colombia</t>
  </si>
  <si>
    <t>EN_WOF_36_c01_KOR</t>
  </si>
  <si>
    <t>Wind Offshore - CF Class-36 Cost Class-c01 - South Korea</t>
  </si>
  <si>
    <t>EN_WON_18_c03_COL</t>
  </si>
  <si>
    <t>Wind Onshore - CF Class-18 Cost Class-c03 - Colombia</t>
  </si>
  <si>
    <t>EN_WOF_36_c02_KOR</t>
  </si>
  <si>
    <t>Wind Offshore - CF Class-36 Cost Class-c02 - South Korea</t>
  </si>
  <si>
    <t>EN_WON_18_c04_COL</t>
  </si>
  <si>
    <t>Wind Onshore - CF Class-18 Cost Class-c04 - Colombia</t>
  </si>
  <si>
    <t>EN_WOF_37_c01_KOR</t>
  </si>
  <si>
    <t>Wind Offshore - CF Class-37 Cost Class-c01 - South Korea</t>
  </si>
  <si>
    <t>EN_WON_19_c02_COL</t>
  </si>
  <si>
    <t>Wind Onshore - CF Class-19 Cost Class-c02 - Colombia</t>
  </si>
  <si>
    <t>EN_WOF_37_c02_KOR</t>
  </si>
  <si>
    <t>Wind Offshore - CF Class-37 Cost Class-c02 - South Korea</t>
  </si>
  <si>
    <t>EN_WON_19_c03_COL</t>
  </si>
  <si>
    <t>Wind Onshore - CF Class-19 Cost Class-c03 - Colombia</t>
  </si>
  <si>
    <t>EN_WOF_38_c01_KOR</t>
  </si>
  <si>
    <t>Wind Offshore - CF Class-38 Cost Class-c01 - South Korea</t>
  </si>
  <si>
    <t>EN_WON_19_c04_COL</t>
  </si>
  <si>
    <t>Wind Onshore - CF Class-19 Cost Class-c04 - Colombia</t>
  </si>
  <si>
    <t>EN_WOF_38_c02_KOR</t>
  </si>
  <si>
    <t>Wind Offshore - CF Class-38 Cost Class-c02 - South Korea</t>
  </si>
  <si>
    <t>EN_WON_20_c02_COL</t>
  </si>
  <si>
    <t>Wind Onshore - CF Class-20 Cost Class-c02 - Colombia</t>
  </si>
  <si>
    <t>EN_WOF_39_c01_KOR</t>
  </si>
  <si>
    <t>Wind Offshore - CF Class-39 Cost Class-c01 - South Korea</t>
  </si>
  <si>
    <t>EN_WON_20_c03_COL</t>
  </si>
  <si>
    <t>Wind Onshore - CF Class-20 Cost Class-c03 - Colombia</t>
  </si>
  <si>
    <t>EN_WOF_39_c02_KOR</t>
  </si>
  <si>
    <t>Wind Offshore - CF Class-39 Cost Class-c02 - South Korea</t>
  </si>
  <si>
    <t>EN_WON_20_c04_COL</t>
  </si>
  <si>
    <t>Wind Onshore - CF Class-20 Cost Class-c04 - Colombia</t>
  </si>
  <si>
    <t>EN_WOF_40_c01_KOR</t>
  </si>
  <si>
    <t>Wind Offshore - CF Class-40 Cost Class-c01 - South Korea</t>
  </si>
  <si>
    <t>EN_WON_21_c02_COL</t>
  </si>
  <si>
    <t>Wind Onshore - CF Class-21 Cost Class-c02 - Colombia</t>
  </si>
  <si>
    <t>EN_WOF_30_c02_LBY</t>
  </si>
  <si>
    <t>Wind Offshore - CF Class-30 Cost Class-c02 - Libya</t>
  </si>
  <si>
    <t>ELC_Win-LBY</t>
  </si>
  <si>
    <t>EN_WON_21_c03_COL</t>
  </si>
  <si>
    <t>Wind Onshore - CF Class-21 Cost Class-c03 - Colombia</t>
  </si>
  <si>
    <t>EN_WOF_31_c02_LBY</t>
  </si>
  <si>
    <t>Wind Offshore - CF Class-31 Cost Class-c02 - Libya</t>
  </si>
  <si>
    <t>EN_WON_22_c02_COL</t>
  </si>
  <si>
    <t>Wind Onshore - CF Class-22 Cost Class-c02 - Colombia</t>
  </si>
  <si>
    <t>EN_WOF_32_c02_LBY</t>
  </si>
  <si>
    <t>Wind Offshore - CF Class-32 Cost Class-c02 - Libya</t>
  </si>
  <si>
    <t>EN_WON_22_c03_COL</t>
  </si>
  <si>
    <t>Wind Onshore - CF Class-22 Cost Class-c03 - Colombia</t>
  </si>
  <si>
    <t>EN_WOF_33_c02_LBY</t>
  </si>
  <si>
    <t>Wind Offshore - CF Class-33 Cost Class-c02 - Libya</t>
  </si>
  <si>
    <t>EN_WON_22_c04_COL</t>
  </si>
  <si>
    <t>Wind Onshore - CF Class-22 Cost Class-c04 - Colombia</t>
  </si>
  <si>
    <t>EN_WOF_34_c02_LBY</t>
  </si>
  <si>
    <t>Wind Offshore - CF Class-34 Cost Class-c02 - Libya</t>
  </si>
  <si>
    <t>EN_WON_23_c02_COL</t>
  </si>
  <si>
    <t>Wind Onshore - CF Class-23 Cost Class-c02 - Colombia</t>
  </si>
  <si>
    <t>EN_WOF_35_c02_LBY</t>
  </si>
  <si>
    <t>Wind Offshore - CF Class-35 Cost Class-c02 - Libya</t>
  </si>
  <si>
    <t>EN_WON_23_c03_COL</t>
  </si>
  <si>
    <t>Wind Onshore - CF Class-23 Cost Class-c03 - Colombia</t>
  </si>
  <si>
    <t>EN_WOF_37_c02_LBY</t>
  </si>
  <si>
    <t>Wind Offshore - CF Class-37 Cost Class-c02 - Libya</t>
  </si>
  <si>
    <t>EN_WON_23_c04_COL</t>
  </si>
  <si>
    <t>Wind Onshore - CF Class-23 Cost Class-c04 - Colombia</t>
  </si>
  <si>
    <t>EN_WOF_38_c02_LBY</t>
  </si>
  <si>
    <t>Wind Offshore - CF Class-38 Cost Class-c02 - Libya</t>
  </si>
  <si>
    <t>EN_WON_24_c04_COL</t>
  </si>
  <si>
    <t>Wind Onshore - CF Class-24 Cost Class-c04 - Colombia</t>
  </si>
  <si>
    <t>EN_WOF_41_c02_LBY</t>
  </si>
  <si>
    <t>Wind Offshore - CF Class-41 Cost Class-c02 - Libya</t>
  </si>
  <si>
    <t>EN_WON_25_c03_COL</t>
  </si>
  <si>
    <t>Wind Onshore - CF Class-25 Cost Class-c03 - Colombia</t>
  </si>
  <si>
    <t>EN_WOF_31_c02_LCA</t>
  </si>
  <si>
    <t>Wind Offshore - CF Class-31 Cost Class-c02 - St. Lucia</t>
  </si>
  <si>
    <t>ELC_Win-LCA</t>
  </si>
  <si>
    <t>LCA</t>
  </si>
  <si>
    <t>EN_WON_26_c04_COL</t>
  </si>
  <si>
    <t>Wind Onshore - CF Class-26 Cost Class-c04 - Colombia</t>
  </si>
  <si>
    <t>EN_WOF_32_c02_LCA</t>
  </si>
  <si>
    <t>Wind Offshore - CF Class-32 Cost Class-c02 - St. Lucia</t>
  </si>
  <si>
    <t>EN_WON_27_c02_COL</t>
  </si>
  <si>
    <t>Wind Onshore - CF Class-27 Cost Class-c02 - Colombia</t>
  </si>
  <si>
    <t>EN_WOF_33_c02_LCA</t>
  </si>
  <si>
    <t>Wind Offshore - CF Class-33 Cost Class-c02 - St. Lucia</t>
  </si>
  <si>
    <t>EN_WON_27_c03_COL</t>
  </si>
  <si>
    <t>Wind Onshore - CF Class-27 Cost Class-c03 - Colombia</t>
  </si>
  <si>
    <t>EN_WOF_31_c02_LKA</t>
  </si>
  <si>
    <t>Wind Offshore - CF Class-31 Cost Class-c02 - Sri Lanka</t>
  </si>
  <si>
    <t>ELC_Win-LKA</t>
  </si>
  <si>
    <t>EN_WON_33_c03_COL</t>
  </si>
  <si>
    <t>Wind Onshore - CF Class-33 Cost Class-c03 - Colombia</t>
  </si>
  <si>
    <t>EN_WOF_32_c02_LKA</t>
  </si>
  <si>
    <t>Wind Offshore - CF Class-32 Cost Class-c02 - Sri Lanka</t>
  </si>
  <si>
    <t>EN_WON_34_c03_COL</t>
  </si>
  <si>
    <t>Wind Onshore - CF Class-34 Cost Class-c03 - Colombia</t>
  </si>
  <si>
    <t>EN_WOF_33_c02_LKA</t>
  </si>
  <si>
    <t>Wind Offshore - CF Class-33 Cost Class-c02 - Sri Lanka</t>
  </si>
  <si>
    <t>EN_WON_35_c01_COL</t>
  </si>
  <si>
    <t>Wind Onshore - CF Class-35 Cost Class-c01 - Colombia</t>
  </si>
  <si>
    <t>EN_WOF_34_c02_LKA</t>
  </si>
  <si>
    <t>Wind Offshore - CF Class-34 Cost Class-c02 - Sri Lanka</t>
  </si>
  <si>
    <t>EN_WON_37_c02_COL</t>
  </si>
  <si>
    <t>Wind Onshore - CF Class-37 Cost Class-c02 - Colombia</t>
  </si>
  <si>
    <t>EN_WOF_36_c02_LKA</t>
  </si>
  <si>
    <t>Wind Offshore - CF Class-36 Cost Class-c02 - Sri Lanka</t>
  </si>
  <si>
    <t>EN_WON_40_c02_COL</t>
  </si>
  <si>
    <t>Wind Onshore - CF Class-40 Cost Class-c02 - Colombia</t>
  </si>
  <si>
    <t>EN_WOF_37_c02_LKA</t>
  </si>
  <si>
    <t>Wind Offshore - CF Class-37 Cost Class-c02 - Sri Lanka</t>
  </si>
  <si>
    <t>EN_WON_44_c01_COL</t>
  </si>
  <si>
    <t>Wind Onshore - CF Class-44 Cost Class-c01 - Colombia</t>
  </si>
  <si>
    <t>EN_WOF_39_c02_LKA</t>
  </si>
  <si>
    <t>Wind Offshore - CF Class-39 Cost Class-c02 - Sri Lanka</t>
  </si>
  <si>
    <t>EN_WON_55_c01_COL</t>
  </si>
  <si>
    <t>Wind Onshore - CF Class-55 Cost Class-c01 - Colombia</t>
  </si>
  <si>
    <t>EN_WOF_42_c02_LKA</t>
  </si>
  <si>
    <t>Wind Offshore - CF Class-42 Cost Class-c02 - Sri Lanka</t>
  </si>
  <si>
    <t>EN_WON_56_c01_COL</t>
  </si>
  <si>
    <t>Wind Onshore - CF Class-56 Cost Class-c01 - Colombia</t>
  </si>
  <si>
    <t>EN_WOF_43_c02_LKA</t>
  </si>
  <si>
    <t>Wind Offshore - CF Class-43 Cost Class-c02 - Sri Lanka</t>
  </si>
  <si>
    <t>EN_WON_57_c01_COL</t>
  </si>
  <si>
    <t>Wind Onshore - CF Class-57 Cost Class-c01 - Colombia</t>
  </si>
  <si>
    <t>EN_WOF_44_c02_LKA</t>
  </si>
  <si>
    <t>Wind Offshore - CF Class-44 Cost Class-c02 - Sri Lanka</t>
  </si>
  <si>
    <t>EN_WON_58_c01_COL</t>
  </si>
  <si>
    <t>Wind Onshore - CF Class-58 Cost Class-c01 - Colombia</t>
  </si>
  <si>
    <t>EN_WOF_46_c02_LKA</t>
  </si>
  <si>
    <t>Wind Offshore - CF Class-46 Cost Class-c02 - Sri Lanka</t>
  </si>
  <si>
    <t>EN_WON_17_c03_COM</t>
  </si>
  <si>
    <t>Wind Onshore - CF Class-17 Cost Class-c03 - Comoros</t>
  </si>
  <si>
    <t>ELC_Win-COM</t>
  </si>
  <si>
    <t>COM</t>
  </si>
  <si>
    <t>EN_WOF_48_c02_LTU</t>
  </si>
  <si>
    <t>Wind Offshore - CF Class-48 Cost Class-c02 - Lithuania</t>
  </si>
  <si>
    <t>ELC_Win-LTU</t>
  </si>
  <si>
    <t>EN_WON_32_c04_CRI</t>
  </si>
  <si>
    <t>Wind Onshore - CF Class-32 Cost Class-c04 - Costa Rica</t>
  </si>
  <si>
    <t>EN_WOF_49_c02_LTU</t>
  </si>
  <si>
    <t>Wind Offshore - CF Class-49 Cost Class-c02 - Lithuania</t>
  </si>
  <si>
    <t>EN_WON_19_c02_CUB</t>
  </si>
  <si>
    <t>Wind Onshore - CF Class-19 Cost Class-c02 - Cuba</t>
  </si>
  <si>
    <t>EN_WOF_47_c02_LVA</t>
  </si>
  <si>
    <t>Wind Offshore - CF Class-47 Cost Class-c02 - Latvia</t>
  </si>
  <si>
    <t>ELC_Win-LVA</t>
  </si>
  <si>
    <t>EN_WON_19_c03_CUB</t>
  </si>
  <si>
    <t>Wind Onshore - CF Class-19 Cost Class-c03 - Cuba</t>
  </si>
  <si>
    <t>EN_WOF_48_c02_LVA</t>
  </si>
  <si>
    <t>Wind Offshore - CF Class-48 Cost Class-c02 - Latvia</t>
  </si>
  <si>
    <t>EN_WON_19_c04_CUB</t>
  </si>
  <si>
    <t>Wind Onshore - CF Class-19 Cost Class-c04 - Cuba</t>
  </si>
  <si>
    <t>EN_WOF_49_c02_LVA</t>
  </si>
  <si>
    <t>Wind Offshore - CF Class-49 Cost Class-c02 - Latvia</t>
  </si>
  <si>
    <t>EN_WON_20_c02_CUB</t>
  </si>
  <si>
    <t>Wind Onshore - CF Class-20 Cost Class-c02 - Cuba</t>
  </si>
  <si>
    <t>EN_WOF_30_c02_MAR</t>
  </si>
  <si>
    <t>Wind Offshore - CF Class-30 Cost Class-c02 - Morocco</t>
  </si>
  <si>
    <t>ELC_Win-MAR</t>
  </si>
  <si>
    <t>EN_WON_20_c03_CUB</t>
  </si>
  <si>
    <t>Wind Onshore - CF Class-20 Cost Class-c03 - Cuba</t>
  </si>
  <si>
    <t>EN_WOF_31_c02_MAR</t>
  </si>
  <si>
    <t>Wind Offshore - CF Class-31 Cost Class-c02 - Morocco</t>
  </si>
  <si>
    <t>EN_WON_20_c04_CUB</t>
  </si>
  <si>
    <t>Wind Onshore - CF Class-20 Cost Class-c04 - Cuba</t>
  </si>
  <si>
    <t>EN_WOF_33_c02_MAR</t>
  </si>
  <si>
    <t>Wind Offshore - CF Class-33 Cost Class-c02 - Morocco</t>
  </si>
  <si>
    <t>EN_WON_21_c01_CUB</t>
  </si>
  <si>
    <t>Wind Onshore - CF Class-21 Cost Class-c01 - Cuba</t>
  </si>
  <si>
    <t>EN_WOF_34_c02_MAR</t>
  </si>
  <si>
    <t>Wind Offshore - CF Class-34 Cost Class-c02 - Morocco</t>
  </si>
  <si>
    <t>EN_WON_21_c02_CUB</t>
  </si>
  <si>
    <t>Wind Onshore - CF Class-21 Cost Class-c02 - Cuba</t>
  </si>
  <si>
    <t>EN_WOF_35_c02_MAR</t>
  </si>
  <si>
    <t>Wind Offshore - CF Class-35 Cost Class-c02 - Morocco</t>
  </si>
  <si>
    <t>EN_WON_21_c03_CUB</t>
  </si>
  <si>
    <t>Wind Onshore - CF Class-21 Cost Class-c03 - Cuba</t>
  </si>
  <si>
    <t>EN_WOF_36_c02_MAR</t>
  </si>
  <si>
    <t>Wind Offshore - CF Class-36 Cost Class-c02 - Morocco</t>
  </si>
  <si>
    <t>EN_WON_22_c02_CUB</t>
  </si>
  <si>
    <t>Wind Onshore - CF Class-22 Cost Class-c02 - Cuba</t>
  </si>
  <si>
    <t>EN_WOF_37_c02_MAR</t>
  </si>
  <si>
    <t>Wind Offshore - CF Class-37 Cost Class-c02 - Morocco</t>
  </si>
  <si>
    <t>EN_WON_22_c03_CUB</t>
  </si>
  <si>
    <t>Wind Onshore - CF Class-22 Cost Class-c03 - Cuba</t>
  </si>
  <si>
    <t>EN_WOF_38_c02_MAR</t>
  </si>
  <si>
    <t>Wind Offshore - CF Class-38 Cost Class-c02 - Morocco</t>
  </si>
  <si>
    <t>EN_WON_23_c02_CUB</t>
  </si>
  <si>
    <t>Wind Onshore - CF Class-23 Cost Class-c02 - Cuba</t>
  </si>
  <si>
    <t>EN_WOF_39_c02_MAR</t>
  </si>
  <si>
    <t>Wind Offshore - CF Class-39 Cost Class-c02 - Morocco</t>
  </si>
  <si>
    <t>EN_WON_24_c03_CUB</t>
  </si>
  <si>
    <t>Wind Onshore - CF Class-24 Cost Class-c03 - Cuba</t>
  </si>
  <si>
    <t>EN_WOF_41_c02_MAR</t>
  </si>
  <si>
    <t>Wind Offshore - CF Class-41 Cost Class-c02 - Morocco</t>
  </si>
  <si>
    <t>EN_WON_25_c03_CUB</t>
  </si>
  <si>
    <t>Wind Onshore - CF Class-25 Cost Class-c03 - Cuba</t>
  </si>
  <si>
    <t>EN_WOF_42_c02_MAR</t>
  </si>
  <si>
    <t>Wind Offshore - CF Class-42 Cost Class-c02 - Morocco</t>
  </si>
  <si>
    <t>EN_WON_26_c03_CUB</t>
  </si>
  <si>
    <t>Wind Onshore - CF Class-26 Cost Class-c03 - Cuba</t>
  </si>
  <si>
    <t>EN_WOF_44_c02_MAR</t>
  </si>
  <si>
    <t>Wind Offshore - CF Class-44 Cost Class-c02 - Morocco</t>
  </si>
  <si>
    <t>EN_WON_30_c02_CUB</t>
  </si>
  <si>
    <t>Wind Onshore - CF Class-30 Cost Class-c02 - Cuba</t>
  </si>
  <si>
    <t>EN_WOF_45_c02_MAR</t>
  </si>
  <si>
    <t>Wind Offshore - CF Class-45 Cost Class-c02 - Morocco</t>
  </si>
  <si>
    <t>EN_WON_16_c03_CYP</t>
  </si>
  <si>
    <t>Wind Onshore - CF Class-16 Cost Class-c03 - Cyprus</t>
  </si>
  <si>
    <t>ELC_Win-CYP</t>
  </si>
  <si>
    <t>EN_WOF_49_c02_MAR</t>
  </si>
  <si>
    <t>Wind Offshore - CF Class-49 Cost Class-c02 - Morocco</t>
  </si>
  <si>
    <t>EN_WON_26_c02_CZE</t>
  </si>
  <si>
    <t>Wind Onshore - CF Class-26 Cost Class-c02 - Czech Republic</t>
  </si>
  <si>
    <t>ELC_Win-CZE</t>
  </si>
  <si>
    <t>EN_WOF_50_c02_MAR</t>
  </si>
  <si>
    <t>Wind Offshore - CF Class-50 Cost Class-c02 - Morocco</t>
  </si>
  <si>
    <t>EN_WON_27_c01_CZE</t>
  </si>
  <si>
    <t>Wind Onshore - CF Class-27 Cost Class-c01 - Czech Republic</t>
  </si>
  <si>
    <t>EN_WOF_51_c02_MAR</t>
  </si>
  <si>
    <t>Wind Offshore - CF Class-51 Cost Class-c02 - Morocco</t>
  </si>
  <si>
    <t>EN_WON_27_c02_CZE</t>
  </si>
  <si>
    <t>Wind Onshore - CF Class-27 Cost Class-c02 - Czech Republic</t>
  </si>
  <si>
    <t>EN_WOF_32_c02_MDG</t>
  </si>
  <si>
    <t>Wind Offshore - CF Class-32 Cost Class-c02 - Madagascar</t>
  </si>
  <si>
    <t>ELC_Win-MDG</t>
  </si>
  <si>
    <t>EN_WON_27_c03_CZE</t>
  </si>
  <si>
    <t>Wind Onshore - CF Class-27 Cost Class-c03 - Czech Republic</t>
  </si>
  <si>
    <t>EN_WOF_35_c02_MDG</t>
  </si>
  <si>
    <t>Wind Offshore - CF Class-35 Cost Class-c02 - Madagascar</t>
  </si>
  <si>
    <t>EN_WON_28_c02_CZE</t>
  </si>
  <si>
    <t>Wind Onshore - CF Class-28 Cost Class-c02 - Czech Republic</t>
  </si>
  <si>
    <t>EN_WOF_36_c02_MDG</t>
  </si>
  <si>
    <t>Wind Offshore - CF Class-36 Cost Class-c02 - Madagascar</t>
  </si>
  <si>
    <t>EN_WON_28_c03_CZE</t>
  </si>
  <si>
    <t>Wind Onshore - CF Class-28 Cost Class-c03 - Czech Republic</t>
  </si>
  <si>
    <t>EN_WOF_39_c02_MDG</t>
  </si>
  <si>
    <t>Wind Offshore - CF Class-39 Cost Class-c02 - Madagascar</t>
  </si>
  <si>
    <t>EN_WON_29_c04_CZE</t>
  </si>
  <si>
    <t>Wind Onshore - CF Class-29 Cost Class-c04 - Czech Republic</t>
  </si>
  <si>
    <t>EN_WOF_41_c02_MDG</t>
  </si>
  <si>
    <t>Wind Offshore - CF Class-41 Cost Class-c02 - Madagascar</t>
  </si>
  <si>
    <t>EN_WON_34_c01_DEU</t>
  </si>
  <si>
    <t>Wind Onshore - CF Class-34 Cost Class-c01 - Germany</t>
  </si>
  <si>
    <t>EN_WOF_42_c02_MDG</t>
  </si>
  <si>
    <t>Wind Offshore - CF Class-42 Cost Class-c02 - Madagascar</t>
  </si>
  <si>
    <t>EN_WON_35_c01_DEU</t>
  </si>
  <si>
    <t>Wind Onshore - CF Class-35 Cost Class-c01 - Germany</t>
  </si>
  <si>
    <t>EN_WOF_44_c02_MDG</t>
  </si>
  <si>
    <t>Wind Offshore - CF Class-44 Cost Class-c02 - Madagascar</t>
  </si>
  <si>
    <t>EN_WON_36_c01_DEU</t>
  </si>
  <si>
    <t>Wind Onshore - CF Class-36 Cost Class-c01 - Germany</t>
  </si>
  <si>
    <t>EN_WOF_46_c02_MDG</t>
  </si>
  <si>
    <t>Wind Offshore - CF Class-46 Cost Class-c02 - Madagascar</t>
  </si>
  <si>
    <t>EN_WON_37_c01_DEU</t>
  </si>
  <si>
    <t>Wind Onshore - CF Class-37 Cost Class-c01 - Germany</t>
  </si>
  <si>
    <t>EN_WOF_47_c02_MDG</t>
  </si>
  <si>
    <t>Wind Offshore - CF Class-47 Cost Class-c02 - Madagascar</t>
  </si>
  <si>
    <t>EN_WON_38_c01_DEU</t>
  </si>
  <si>
    <t>Wind Onshore - CF Class-38 Cost Class-c01 - Germany</t>
  </si>
  <si>
    <t>EN_WOF_48_c02_MDG</t>
  </si>
  <si>
    <t>Wind Offshore - CF Class-48 Cost Class-c02 - Madagascar</t>
  </si>
  <si>
    <t>EN_WON_39_c01_DEU</t>
  </si>
  <si>
    <t>Wind Onshore - CF Class-39 Cost Class-c01 - Germany</t>
  </si>
  <si>
    <t>EN_WOF_49_c02_MDG</t>
  </si>
  <si>
    <t>Wind Offshore - CF Class-49 Cost Class-c02 - Madagascar</t>
  </si>
  <si>
    <t>EN_WON_40_c01_DEU</t>
  </si>
  <si>
    <t>Wind Onshore - CF Class-40 Cost Class-c01 - Germany</t>
  </si>
  <si>
    <t>EN_WOF_50_c02_MDG</t>
  </si>
  <si>
    <t>Wind Offshore - CF Class-50 Cost Class-c02 - Madagascar</t>
  </si>
  <si>
    <t>EN_WON_41_c01_DEU</t>
  </si>
  <si>
    <t>Wind Onshore - CF Class-41 Cost Class-c01 - Germany</t>
  </si>
  <si>
    <t>EN_WOF_51_c02_MDG</t>
  </si>
  <si>
    <t>Wind Offshore - CF Class-51 Cost Class-c02 - Madagascar</t>
  </si>
  <si>
    <t>EN_WON_42_c01_DEU</t>
  </si>
  <si>
    <t>Wind Onshore - CF Class-42 Cost Class-c01 - Germany</t>
  </si>
  <si>
    <t>EN_WOF_52_c02_MDG</t>
  </si>
  <si>
    <t>Wind Offshore - CF Class-52 Cost Class-c02 - Madagascar</t>
  </si>
  <si>
    <t>EN_WON_43_c01_DEU</t>
  </si>
  <si>
    <t>Wind Onshore - CF Class-43 Cost Class-c01 - Germany</t>
  </si>
  <si>
    <t>EN_WOF_53_c02_MDG</t>
  </si>
  <si>
    <t>Wind Offshore - CF Class-53 Cost Class-c02 - Madagascar</t>
  </si>
  <si>
    <t>EN_WON_44_c01_DEU</t>
  </si>
  <si>
    <t>Wind Onshore - CF Class-44 Cost Class-c01 - Germany</t>
  </si>
  <si>
    <t>EN_WOF_55_c02_MDG</t>
  </si>
  <si>
    <t>Wind Offshore - CF Class-55 Cost Class-c02 - Madagascar</t>
  </si>
  <si>
    <t>EN_WON_45_c01_DEU</t>
  </si>
  <si>
    <t>Wind Onshore - CF Class-45 Cost Class-c01 - Germany</t>
  </si>
  <si>
    <t>EN_WOF_56_c02_MDG</t>
  </si>
  <si>
    <t>Wind Offshore - CF Class-56 Cost Class-c02 - Madagascar</t>
  </si>
  <si>
    <t>EN_WON_46_c01_DEU</t>
  </si>
  <si>
    <t>Wind Onshore - CF Class-46 Cost Class-c01 - Germany</t>
  </si>
  <si>
    <t>EN_WOF_57_c02_MDG</t>
  </si>
  <si>
    <t>Wind Offshore - CF Class-57 Cost Class-c02 - Madagascar</t>
  </si>
  <si>
    <t>EN_WON_49_c01_DEU</t>
  </si>
  <si>
    <t>Wind Onshore - CF Class-49 Cost Class-c01 - Germany</t>
  </si>
  <si>
    <t>EN_WOF_58_c02_MDG</t>
  </si>
  <si>
    <t>Wind Offshore - CF Class-58 Cost Class-c02 - Madagascar</t>
  </si>
  <si>
    <t>EN_WON_50_c01_DEU</t>
  </si>
  <si>
    <t>Wind Onshore - CF Class-50 Cost Class-c01 - Germany</t>
  </si>
  <si>
    <t>EN_WOF_59_c02_MDG</t>
  </si>
  <si>
    <t>Wind Offshore - CF Class-59 Cost Class-c02 - Madagascar</t>
  </si>
  <si>
    <t>EN_WON_52_c01_DEU</t>
  </si>
  <si>
    <t>Wind Onshore - CF Class-52 Cost Class-c01 - Germany</t>
  </si>
  <si>
    <t>EN_WOF_30_c02_MEX</t>
  </si>
  <si>
    <t>Wind Offshore - CF Class-30 Cost Class-c02 - Mexico</t>
  </si>
  <si>
    <t>ELC_Win-MEX</t>
  </si>
  <si>
    <t>EN_WON_40_c03_DJI</t>
  </si>
  <si>
    <t>Wind Onshore - CF Class-40 Cost Class-c03 - Djibouti</t>
  </si>
  <si>
    <t>EN_WOF_31_c02_MEX</t>
  </si>
  <si>
    <t>Wind Offshore - CF Class-31 Cost Class-c02 - Mexico</t>
  </si>
  <si>
    <t>EN_WON_44_c01_DNK</t>
  </si>
  <si>
    <t>Wind Onshore - CF Class-44 Cost Class-c01 - Denmark</t>
  </si>
  <si>
    <t>EN_WOF_32_c02_MEX</t>
  </si>
  <si>
    <t>Wind Offshore - CF Class-32 Cost Class-c02 - Mexico</t>
  </si>
  <si>
    <t>EN_WON_45_c01_DNK</t>
  </si>
  <si>
    <t>Wind Onshore - CF Class-45 Cost Class-c01 - Denmark</t>
  </si>
  <si>
    <t>EN_WOF_33_c02_MEX</t>
  </si>
  <si>
    <t>Wind Offshore - CF Class-33 Cost Class-c02 - Mexico</t>
  </si>
  <si>
    <t>EN_WON_46_c01_DNK</t>
  </si>
  <si>
    <t>Wind Onshore - CF Class-46 Cost Class-c01 - Denmark</t>
  </si>
  <si>
    <t>EN_WOF_34_c02_MEX</t>
  </si>
  <si>
    <t>Wind Offshore - CF Class-34 Cost Class-c02 - Mexico</t>
  </si>
  <si>
    <t>EN_WON_47_c01_DNK</t>
  </si>
  <si>
    <t>Wind Onshore - CF Class-47 Cost Class-c01 - Denmark</t>
  </si>
  <si>
    <t>EN_WOF_35_c02_MEX</t>
  </si>
  <si>
    <t>Wind Offshore - CF Class-35 Cost Class-c02 - Mexico</t>
  </si>
  <si>
    <t>EN_WON_49_c01_DNK</t>
  </si>
  <si>
    <t>Wind Onshore - CF Class-49 Cost Class-c01 - Denmark</t>
  </si>
  <si>
    <t>EN_WOF_36_c02_MEX</t>
  </si>
  <si>
    <t>Wind Offshore - CF Class-36 Cost Class-c02 - Mexico</t>
  </si>
  <si>
    <t>EN_WON_15_c03_DOM</t>
  </si>
  <si>
    <t>Wind Onshore - CF Class-15 Cost Class-c03 - Dominican Republic</t>
  </si>
  <si>
    <t>EN_WOF_37_c02_MEX</t>
  </si>
  <si>
    <t>Wind Offshore - CF Class-37 Cost Class-c02 - Mexico</t>
  </si>
  <si>
    <t>EN_WON_15_c04_DOM</t>
  </si>
  <si>
    <t>Wind Onshore - CF Class-15 Cost Class-c04 - Dominican Republic</t>
  </si>
  <si>
    <t>EN_WOF_38_c02_MEX</t>
  </si>
  <si>
    <t>Wind Offshore - CF Class-38 Cost Class-c02 - Mexico</t>
  </si>
  <si>
    <t>EN_WON_16_c03_DOM</t>
  </si>
  <si>
    <t>Wind Onshore - CF Class-16 Cost Class-c03 - Dominican Republic</t>
  </si>
  <si>
    <t>EN_WOF_39_c02_MEX</t>
  </si>
  <si>
    <t>Wind Offshore - CF Class-39 Cost Class-c02 - Mexico</t>
  </si>
  <si>
    <t>EN_WON_16_c04_DOM</t>
  </si>
  <si>
    <t>Wind Onshore - CF Class-16 Cost Class-c04 - Dominican Republic</t>
  </si>
  <si>
    <t>EN_WOF_41_c02_MEX</t>
  </si>
  <si>
    <t>Wind Offshore - CF Class-41 Cost Class-c02 - Mexico</t>
  </si>
  <si>
    <t>EN_WON_17_c03_DOM</t>
  </si>
  <si>
    <t>Wind Onshore - CF Class-17 Cost Class-c03 - Dominican Republic</t>
  </si>
  <si>
    <t>EN_WOF_42_c02_MEX</t>
  </si>
  <si>
    <t>Wind Offshore - CF Class-42 Cost Class-c02 - Mexico</t>
  </si>
  <si>
    <t>EN_WON_17_c04_DOM</t>
  </si>
  <si>
    <t>Wind Onshore - CF Class-17 Cost Class-c04 - Dominican Republic</t>
  </si>
  <si>
    <t>EN_WOF_44_c02_MEX</t>
  </si>
  <si>
    <t>Wind Offshore - CF Class-44 Cost Class-c02 - Mexico</t>
  </si>
  <si>
    <t>EN_WON_19_c03_DOM</t>
  </si>
  <si>
    <t>Wind Onshore - CF Class-19 Cost Class-c03 - Dominican Republic</t>
  </si>
  <si>
    <t>EN_WOF_49_c02_MEX</t>
  </si>
  <si>
    <t>Wind Offshore - CF Class-49 Cost Class-c02 - Mexico</t>
  </si>
  <si>
    <t>EN_WON_21_c02_DOM</t>
  </si>
  <si>
    <t>Wind Onshore - CF Class-21 Cost Class-c02 - Dominican Republic</t>
  </si>
  <si>
    <t>EN_WOF_30_c02_MLT</t>
  </si>
  <si>
    <t>Wind Offshore - CF Class-30 Cost Class-c02 - Malta</t>
  </si>
  <si>
    <t>ELC_Win-MLT</t>
  </si>
  <si>
    <t>MLT</t>
  </si>
  <si>
    <t>EN_WON_21_c03_DOM</t>
  </si>
  <si>
    <t>Wind Onshore - CF Class-21 Cost Class-c03 - Dominican Republic</t>
  </si>
  <si>
    <t>EN_WOF_31_c02_MLT</t>
  </si>
  <si>
    <t>Wind Offshore - CF Class-31 Cost Class-c02 - Malta</t>
  </si>
  <si>
    <t>EN_WON_21_c04_DOM</t>
  </si>
  <si>
    <t>Wind Onshore - CF Class-21 Cost Class-c04 - Dominican Republic</t>
  </si>
  <si>
    <t>EN_WOF_30_c02_MOZ</t>
  </si>
  <si>
    <t>Wind Offshore - CF Class-30 Cost Class-c02 - Mozambique</t>
  </si>
  <si>
    <t>ELC_Win-MOZ</t>
  </si>
  <si>
    <t>EN_WON_23_c03_DOM</t>
  </si>
  <si>
    <t>Wind Onshore - CF Class-23 Cost Class-c03 - Dominican Republic</t>
  </si>
  <si>
    <t>EN_WOF_31_c02_MOZ</t>
  </si>
  <si>
    <t>Wind Offshore - CF Class-31 Cost Class-c02 - Mozambique</t>
  </si>
  <si>
    <t>EN_WON_23_c04_DOM</t>
  </si>
  <si>
    <t>Wind Onshore - CF Class-23 Cost Class-c04 - Dominican Republic</t>
  </si>
  <si>
    <t>EN_WOF_32_c02_MOZ</t>
  </si>
  <si>
    <t>Wind Offshore - CF Class-32 Cost Class-c02 - Mozambique</t>
  </si>
  <si>
    <t>EN_WON_27_c03_DOM</t>
  </si>
  <si>
    <t>Wind Onshore - CF Class-27 Cost Class-c03 - Dominican Republic</t>
  </si>
  <si>
    <t>EN_WOF_33_c02_MOZ</t>
  </si>
  <si>
    <t>Wind Offshore - CF Class-33 Cost Class-c02 - Mozambique</t>
  </si>
  <si>
    <t>EN_WON_28_c03_DOM</t>
  </si>
  <si>
    <t>Wind Onshore - CF Class-28 Cost Class-c03 - Dominican Republic</t>
  </si>
  <si>
    <t>EN_WOF_34_c02_MOZ</t>
  </si>
  <si>
    <t>Wind Offshore - CF Class-34 Cost Class-c02 - Mozambique</t>
  </si>
  <si>
    <t>EN_WON_29_c02_DOM</t>
  </si>
  <si>
    <t>Wind Onshore - CF Class-29 Cost Class-c02 - Dominican Republic</t>
  </si>
  <si>
    <t>EN_WOF_35_c02_MOZ</t>
  </si>
  <si>
    <t>Wind Offshore - CF Class-35 Cost Class-c02 - Mozambique</t>
  </si>
  <si>
    <t>EN_WON_29_c03_DOM</t>
  </si>
  <si>
    <t>Wind Onshore - CF Class-29 Cost Class-c03 - Dominican Republic</t>
  </si>
  <si>
    <t>EN_WOF_37_c02_MOZ</t>
  </si>
  <si>
    <t>Wind Offshore - CF Class-37 Cost Class-c02 - Mozambique</t>
  </si>
  <si>
    <t>EN_WON_31_c04_DOM</t>
  </si>
  <si>
    <t>Wind Onshore - CF Class-31 Cost Class-c04 - Dominican Republic</t>
  </si>
  <si>
    <t>EN_WOF_39_c02_MOZ</t>
  </si>
  <si>
    <t>Wind Offshore - CF Class-39 Cost Class-c02 - Mozambique</t>
  </si>
  <si>
    <t>EN_WON_32_c03_DOM</t>
  </si>
  <si>
    <t>Wind Onshore - CF Class-32 Cost Class-c03 - Dominican Republic</t>
  </si>
  <si>
    <t>EN_WOF_38_c02_MRT</t>
  </si>
  <si>
    <t>Wind Offshore - CF Class-38 Cost Class-c02 - Mauritania</t>
  </si>
  <si>
    <t>ELC_Win-MRT</t>
  </si>
  <si>
    <t>EN_WON_44_c01_DZA</t>
  </si>
  <si>
    <t>Wind Onshore - CF Class-44 Cost Class-c01 - Algeria</t>
  </si>
  <si>
    <t>EN_WOF_39_c02_MRT</t>
  </si>
  <si>
    <t>Wind Offshore - CF Class-39 Cost Class-c02 - Mauritania</t>
  </si>
  <si>
    <t>EN_WON_44_c02_DZA</t>
  </si>
  <si>
    <t>Wind Onshore - CF Class-44 Cost Class-c02 - Algeria</t>
  </si>
  <si>
    <t>EN_WOF_41_c02_MRT</t>
  </si>
  <si>
    <t>Wind Offshore - CF Class-41 Cost Class-c02 - Mauritania</t>
  </si>
  <si>
    <t>EN_WON_44_c03_DZA</t>
  </si>
  <si>
    <t>Wind Onshore - CF Class-44 Cost Class-c03 - Algeria</t>
  </si>
  <si>
    <t>EN_WOF_45_c02_MRT</t>
  </si>
  <si>
    <t>Wind Offshore - CF Class-45 Cost Class-c02 - Mauritania</t>
  </si>
  <si>
    <t>EN_WON_45_c01_DZA</t>
  </si>
  <si>
    <t>Wind Onshore - CF Class-45 Cost Class-c01 - Algeria</t>
  </si>
  <si>
    <t>EN_WOF_46_c02_MRT</t>
  </si>
  <si>
    <t>Wind Offshore - CF Class-46 Cost Class-c02 - Mauritania</t>
  </si>
  <si>
    <t>EN_WON_46_c01_DZA</t>
  </si>
  <si>
    <t>Wind Onshore - CF Class-46 Cost Class-c01 - Algeria</t>
  </si>
  <si>
    <t>EN_WOF_47_c02_MRT</t>
  </si>
  <si>
    <t>Wind Offshore - CF Class-47 Cost Class-c02 - Mauritania</t>
  </si>
  <si>
    <t>EN_WON_46_c02_DZA</t>
  </si>
  <si>
    <t>Wind Onshore - CF Class-46 Cost Class-c02 - Algeria</t>
  </si>
  <si>
    <t>EN_WOF_48_c02_MRT</t>
  </si>
  <si>
    <t>Wind Offshore - CF Class-48 Cost Class-c02 - Mauritania</t>
  </si>
  <si>
    <t>EN_WON_47_c01_DZA</t>
  </si>
  <si>
    <t>Wind Onshore - CF Class-47 Cost Class-c01 - Algeria</t>
  </si>
  <si>
    <t>EN_WOF_49_c02_MRT</t>
  </si>
  <si>
    <t>Wind Offshore - CF Class-49 Cost Class-c02 - Mauritania</t>
  </si>
  <si>
    <t>EN_WON_47_c02_DZA</t>
  </si>
  <si>
    <t>Wind Onshore - CF Class-47 Cost Class-c02 - Algeria</t>
  </si>
  <si>
    <t>EN_WOF_50_c02_MRT</t>
  </si>
  <si>
    <t>Wind Offshore - CF Class-50 Cost Class-c02 - Mauritania</t>
  </si>
  <si>
    <t>EN_WON_48_c01_DZA</t>
  </si>
  <si>
    <t>Wind Onshore - CF Class-48 Cost Class-c01 - Algeria</t>
  </si>
  <si>
    <t>EN_WOF_52_c02_MRT</t>
  </si>
  <si>
    <t>Wind Offshore - CF Class-52 Cost Class-c02 - Mauritania</t>
  </si>
  <si>
    <t>EN_WON_49_c01_DZA</t>
  </si>
  <si>
    <t>Wind Onshore - CF Class-49 Cost Class-c01 - Algeria</t>
  </si>
  <si>
    <t>EN_WOF_53_c02_MRT</t>
  </si>
  <si>
    <t>Wind Offshore - CF Class-53 Cost Class-c02 - Mauritania</t>
  </si>
  <si>
    <t>EN_WON_49_c02_DZA</t>
  </si>
  <si>
    <t>Wind Onshore - CF Class-49 Cost Class-c02 - Algeria</t>
  </si>
  <si>
    <t>EN_WOF_54_c02_MRT</t>
  </si>
  <si>
    <t>Wind Offshore - CF Class-54 Cost Class-c02 - Mauritania</t>
  </si>
  <si>
    <t>EN_WON_15_c04_ECU</t>
  </si>
  <si>
    <t>Wind Onshore - CF Class-15 Cost Class-c04 - Ecuador</t>
  </si>
  <si>
    <t>ELC_Win-ECU</t>
  </si>
  <si>
    <t>EN_WOF_55_c02_MRT</t>
  </si>
  <si>
    <t>Wind Offshore - CF Class-55 Cost Class-c02 - Mauritania</t>
  </si>
  <si>
    <t>EN_WON_16_c04_ECU</t>
  </si>
  <si>
    <t>Wind Onshore - CF Class-16 Cost Class-c04 - Ecuador</t>
  </si>
  <si>
    <t>EN_WOF_58_c02_MRT</t>
  </si>
  <si>
    <t>Wind Offshore - CF Class-58 Cost Class-c02 - Mauritania</t>
  </si>
  <si>
    <t>EN_WON_17_c04_ECU</t>
  </si>
  <si>
    <t>Wind Onshore - CF Class-17 Cost Class-c04 - Ecuador</t>
  </si>
  <si>
    <t>EN_WOF_60_c02_MRT</t>
  </si>
  <si>
    <t>Wind Offshore - CF Class-60 Cost Class-c02 - Mauritania</t>
  </si>
  <si>
    <t>EN_WON_18_c04_ECU</t>
  </si>
  <si>
    <t>Wind Onshore - CF Class-18 Cost Class-c04 - Ecuador</t>
  </si>
  <si>
    <t>EN_WOF_62_c02_MRT</t>
  </si>
  <si>
    <t>Wind Offshore - CF Class-62 Cost Class-c02 - Mauritania</t>
  </si>
  <si>
    <t>EN_WON_19_c04_ECU</t>
  </si>
  <si>
    <t>Wind Onshore - CF Class-19 Cost Class-c04 - Ecuador</t>
  </si>
  <si>
    <t>EN_WOF_64_c02_MRT</t>
  </si>
  <si>
    <t>Wind Offshore - CF Class-64 Cost Class-c02 - Mauritania</t>
  </si>
  <si>
    <t>EN_WON_20_c04_ECU</t>
  </si>
  <si>
    <t>Wind Onshore - CF Class-20 Cost Class-c04 - Ecuador</t>
  </si>
  <si>
    <t>EN_WOF_33_c02_NAM</t>
  </si>
  <si>
    <t>Wind Offshore - CF Class-33 Cost Class-c02 - Namibia</t>
  </si>
  <si>
    <t>ELC_Win-NAM</t>
  </si>
  <si>
    <t>EN_WON_21_c04_ECU</t>
  </si>
  <si>
    <t>Wind Onshore - CF Class-21 Cost Class-c04 - Ecuador</t>
  </si>
  <si>
    <t>EN_WOF_34_c02_NAM</t>
  </si>
  <si>
    <t>Wind Offshore - CF Class-34 Cost Class-c02 - Namibia</t>
  </si>
  <si>
    <t>EN_WON_22_c04_ECU</t>
  </si>
  <si>
    <t>Wind Onshore - CF Class-22 Cost Class-c04 - Ecuador</t>
  </si>
  <si>
    <t>EN_WOF_36_c02_NAM</t>
  </si>
  <si>
    <t>Wind Offshore - CF Class-36 Cost Class-c02 - Namibia</t>
  </si>
  <si>
    <t>EN_WON_23_c03_ECU</t>
  </si>
  <si>
    <t>Wind Onshore - CF Class-23 Cost Class-c03 - Ecuador</t>
  </si>
  <si>
    <t>EN_WOF_37_c02_NAM</t>
  </si>
  <si>
    <t>Wind Offshore - CF Class-37 Cost Class-c02 - Namibia</t>
  </si>
  <si>
    <t>EN_WON_23_c04_ECU</t>
  </si>
  <si>
    <t>Wind Onshore - CF Class-23 Cost Class-c04 - Ecuador</t>
  </si>
  <si>
    <t>EN_WOF_38_c02_NAM</t>
  </si>
  <si>
    <t>Wind Offshore - CF Class-38 Cost Class-c02 - Namibia</t>
  </si>
  <si>
    <t>EN_WON_24_c04_ECU</t>
  </si>
  <si>
    <t>Wind Onshore - CF Class-24 Cost Class-c04 - Ecuador</t>
  </si>
  <si>
    <t>EN_WOF_39_c02_NAM</t>
  </si>
  <si>
    <t>Wind Offshore - CF Class-39 Cost Class-c02 - Namibia</t>
  </si>
  <si>
    <t>EN_WON_25_c03_ECU</t>
  </si>
  <si>
    <t>Wind Onshore - CF Class-25 Cost Class-c03 - Ecuador</t>
  </si>
  <si>
    <t>EN_WOF_40_c02_NAM</t>
  </si>
  <si>
    <t>Wind Offshore - CF Class-40 Cost Class-c02 - Namibia</t>
  </si>
  <si>
    <t>EN_WON_25_c04_ECU</t>
  </si>
  <si>
    <t>Wind Onshore - CF Class-25 Cost Class-c04 - Ecuador</t>
  </si>
  <si>
    <t>EN_WOF_41_c02_NAM</t>
  </si>
  <si>
    <t>Wind Offshore - CF Class-41 Cost Class-c02 - Namibia</t>
  </si>
  <si>
    <t>EN_WON_29_c04_ECU</t>
  </si>
  <si>
    <t>Wind Onshore - CF Class-29 Cost Class-c04 - Ecuador</t>
  </si>
  <si>
    <t>EN_WOF_42_c02_NAM</t>
  </si>
  <si>
    <t>Wind Offshore - CF Class-42 Cost Class-c02 - Namibia</t>
  </si>
  <si>
    <t>EN_WON_34_c03_ECU</t>
  </si>
  <si>
    <t>Wind Onshore - CF Class-34 Cost Class-c03 - Ecuador</t>
  </si>
  <si>
    <t>EN_WOF_43_c02_NAM</t>
  </si>
  <si>
    <t>Wind Offshore - CF Class-43 Cost Class-c02 - Namibia</t>
  </si>
  <si>
    <t>EN_WON_38_c01_EGY</t>
  </si>
  <si>
    <t>Wind Onshore - CF Class-38 Cost Class-c01 - Egypt</t>
  </si>
  <si>
    <t>EN_WOF_44_c02_NAM</t>
  </si>
  <si>
    <t>Wind Offshore - CF Class-44 Cost Class-c02 - Namibia</t>
  </si>
  <si>
    <t>EN_WON_38_c03_EGY</t>
  </si>
  <si>
    <t>Wind Onshore - CF Class-38 Cost Class-c03 - Egypt</t>
  </si>
  <si>
    <t>EN_WOF_45_c02_NAM</t>
  </si>
  <si>
    <t>Wind Offshore - CF Class-45 Cost Class-c02 - Namibia</t>
  </si>
  <si>
    <t>EN_WON_39_c01_EGY</t>
  </si>
  <si>
    <t>Wind Onshore - CF Class-39 Cost Class-c01 - Egypt</t>
  </si>
  <si>
    <t>EN_WOF_46_c02_NAM</t>
  </si>
  <si>
    <t>Wind Offshore - CF Class-46 Cost Class-c02 - Namibia</t>
  </si>
  <si>
    <t>EN_WON_39_c02_EGY</t>
  </si>
  <si>
    <t>Wind Onshore - CF Class-39 Cost Class-c02 - Egypt</t>
  </si>
  <si>
    <t>EN_WOF_47_c02_NAM</t>
  </si>
  <si>
    <t>Wind Offshore - CF Class-47 Cost Class-c02 - Namibia</t>
  </si>
  <si>
    <t>EN_WON_39_c03_EGY</t>
  </si>
  <si>
    <t>Wind Onshore - CF Class-39 Cost Class-c03 - Egypt</t>
  </si>
  <si>
    <t>EN_WOF_48_c02_NAM</t>
  </si>
  <si>
    <t>Wind Offshore - CF Class-48 Cost Class-c02 - Namibia</t>
  </si>
  <si>
    <t>EN_WON_40_c01_EGY</t>
  </si>
  <si>
    <t>Wind Onshore - CF Class-40 Cost Class-c01 - Egypt</t>
  </si>
  <si>
    <t>EN_WOF_49_c02_NAM</t>
  </si>
  <si>
    <t>Wind Offshore - CF Class-49 Cost Class-c02 - Namibia</t>
  </si>
  <si>
    <t>EN_WON_40_c02_EGY</t>
  </si>
  <si>
    <t>Wind Onshore - CF Class-40 Cost Class-c02 - Egypt</t>
  </si>
  <si>
    <t>EN_WOF_50_c02_NAM</t>
  </si>
  <si>
    <t>Wind Offshore - CF Class-50 Cost Class-c02 - Namibia</t>
  </si>
  <si>
    <t>EN_WON_41_c01_EGY</t>
  </si>
  <si>
    <t>Wind Onshore - CF Class-41 Cost Class-c01 - Egypt</t>
  </si>
  <si>
    <t>EN_WOF_51_c02_NAM</t>
  </si>
  <si>
    <t>Wind Offshore - CF Class-51 Cost Class-c02 - Namibia</t>
  </si>
  <si>
    <t>EN_WON_41_c02_EGY</t>
  </si>
  <si>
    <t>Wind Onshore - CF Class-41 Cost Class-c02 - Egypt</t>
  </si>
  <si>
    <t>EN_WOF_52_c02_NAM</t>
  </si>
  <si>
    <t>Wind Offshore - CF Class-52 Cost Class-c02 - Namibia</t>
  </si>
  <si>
    <t>EN_WON_42_c01_EGY</t>
  </si>
  <si>
    <t>Wind Onshore - CF Class-42 Cost Class-c01 - Egypt</t>
  </si>
  <si>
    <t>EN_WOF_53_c02_NAM</t>
  </si>
  <si>
    <t>Wind Offshore - CF Class-53 Cost Class-c02 - Namibia</t>
  </si>
  <si>
    <t>EN_WON_42_c02_EGY</t>
  </si>
  <si>
    <t>Wind Onshore - CF Class-42 Cost Class-c02 - Egypt</t>
  </si>
  <si>
    <t>EN_WOF_54_c02_NAM</t>
  </si>
  <si>
    <t>Wind Offshore - CF Class-54 Cost Class-c02 - Namibia</t>
  </si>
  <si>
    <t>EN_WON_43_c01_EGY</t>
  </si>
  <si>
    <t>Wind Onshore - CF Class-43 Cost Class-c01 - Egypt</t>
  </si>
  <si>
    <t>EN_WOF_55_c02_NAM</t>
  </si>
  <si>
    <t>Wind Offshore - CF Class-55 Cost Class-c02 - Namibia</t>
  </si>
  <si>
    <t>EN_WON_43_c02_EGY</t>
  </si>
  <si>
    <t>Wind Onshore - CF Class-43 Cost Class-c02 - Egypt</t>
  </si>
  <si>
    <t>EN_WOF_56_c02_NAM</t>
  </si>
  <si>
    <t>Wind Offshore - CF Class-56 Cost Class-c02 - Namibia</t>
  </si>
  <si>
    <t>EN_WON_44_c01_EGY</t>
  </si>
  <si>
    <t>Wind Onshore - CF Class-44 Cost Class-c01 - Egypt</t>
  </si>
  <si>
    <t>EN_WOF_57_c02_NAM</t>
  </si>
  <si>
    <t>Wind Offshore - CF Class-57 Cost Class-c02 - Namibia</t>
  </si>
  <si>
    <t>EN_WON_44_c02_EGY</t>
  </si>
  <si>
    <t>Wind Onshore - CF Class-44 Cost Class-c02 - Egypt</t>
  </si>
  <si>
    <t>EN_WOF_59_c02_NAM</t>
  </si>
  <si>
    <t>Wind Offshore - CF Class-59 Cost Class-c02 - Namibia</t>
  </si>
  <si>
    <t>EN_WON_45_c01_EGY</t>
  </si>
  <si>
    <t>Wind Onshore - CF Class-45 Cost Class-c01 - Egypt</t>
  </si>
  <si>
    <t>EN_WOF_60_c02_NAM</t>
  </si>
  <si>
    <t>Wind Offshore - CF Class-60 Cost Class-c02 - Namibia</t>
  </si>
  <si>
    <t>EN_WON_45_c02_EGY</t>
  </si>
  <si>
    <t>Wind Onshore - CF Class-45 Cost Class-c02 - Egypt</t>
  </si>
  <si>
    <t>EN_WOF_30_c02_NIC</t>
  </si>
  <si>
    <t>Wind Offshore - CF Class-30 Cost Class-c02 - Nicaragua</t>
  </si>
  <si>
    <t>ELC_Win-NIC</t>
  </si>
  <si>
    <t>EN_WON_46_c01_EGY</t>
  </si>
  <si>
    <t>Wind Onshore - CF Class-46 Cost Class-c01 - Egypt</t>
  </si>
  <si>
    <t>EN_WOF_31_c02_NIC</t>
  </si>
  <si>
    <t>Wind Offshore - CF Class-31 Cost Class-c02 - Nicaragua</t>
  </si>
  <si>
    <t>EN_WON_47_c01_EGY</t>
  </si>
  <si>
    <t>Wind Onshore - CF Class-47 Cost Class-c01 - Egypt</t>
  </si>
  <si>
    <t>EN_WOF_33_c02_NIC</t>
  </si>
  <si>
    <t>Wind Offshore - CF Class-33 Cost Class-c02 - Nicaragua</t>
  </si>
  <si>
    <t>EN_WON_47_c02_EGY</t>
  </si>
  <si>
    <t>Wind Onshore - CF Class-47 Cost Class-c02 - Egypt</t>
  </si>
  <si>
    <t>EN_WOF_35_c02_NIC</t>
  </si>
  <si>
    <t>Wind Offshore - CF Class-35 Cost Class-c02 - Nicaragua</t>
  </si>
  <si>
    <t>EN_WON_48_c01_EGY</t>
  </si>
  <si>
    <t>Wind Onshore - CF Class-48 Cost Class-c01 - Egypt</t>
  </si>
  <si>
    <t>EN_WOF_36_c02_NIC</t>
  </si>
  <si>
    <t>Wind Offshore - CF Class-36 Cost Class-c02 - Nicaragua</t>
  </si>
  <si>
    <t>EN_WON_48_c02_EGY</t>
  </si>
  <si>
    <t>Wind Onshore - CF Class-48 Cost Class-c02 - Egypt</t>
  </si>
  <si>
    <t>EN_WOF_38_c02_NIC</t>
  </si>
  <si>
    <t>Wind Offshore - CF Class-38 Cost Class-c02 - Nicaragua</t>
  </si>
  <si>
    <t>EN_WON_49_c01_EGY</t>
  </si>
  <si>
    <t>Wind Onshore - CF Class-49 Cost Class-c01 - Egypt</t>
  </si>
  <si>
    <t>EN_WOF_41_c02_NIC</t>
  </si>
  <si>
    <t>Wind Offshore - CF Class-41 Cost Class-c02 - Nicaragua</t>
  </si>
  <si>
    <t>EN_WON_50_c01_EGY</t>
  </si>
  <si>
    <t>Wind Onshore - CF Class-50 Cost Class-c01 - Egypt</t>
  </si>
  <si>
    <t>EN_WOF_48_c02_NIC</t>
  </si>
  <si>
    <t>Wind Offshore - CF Class-48 Cost Class-c02 - Nicaragua</t>
  </si>
  <si>
    <t>EN_WON_52_c01_EGY</t>
  </si>
  <si>
    <t>Wind Onshore - CF Class-52 Cost Class-c01 - Egypt</t>
  </si>
  <si>
    <t>EN_WOF_51_c02_NIC</t>
  </si>
  <si>
    <t>Wind Offshore - CF Class-51 Cost Class-c02 - Nicaragua</t>
  </si>
  <si>
    <t>EN_WON_59_c01_EGY</t>
  </si>
  <si>
    <t>Wind Onshore - CF Class-59 Cost Class-c01 - Egypt</t>
  </si>
  <si>
    <t>EN_WOF_52_c02_NIC</t>
  </si>
  <si>
    <t>Wind Offshore - CF Class-52 Cost Class-c02 - Nicaragua</t>
  </si>
  <si>
    <t>EN_WON_48_c02_ERI</t>
  </si>
  <si>
    <t>Wind Onshore - CF Class-48 Cost Class-c02 - Eritrea</t>
  </si>
  <si>
    <t>EN_WOF_50_c02_NLD</t>
  </si>
  <si>
    <t>Wind Offshore - CF Class-50 Cost Class-c02 - Netherlands</t>
  </si>
  <si>
    <t>ELC_Win-NLD</t>
  </si>
  <si>
    <t>EN_WON_48_c03_ERI</t>
  </si>
  <si>
    <t>Wind Onshore - CF Class-48 Cost Class-c03 - Eritrea</t>
  </si>
  <si>
    <t>EN_WOF_30_c02_NOR</t>
  </si>
  <si>
    <t>Wind Offshore - CF Class-30 Cost Class-c02 - Norway</t>
  </si>
  <si>
    <t>ELC_Win-NOR</t>
  </si>
  <si>
    <t>EN_WON_49_c01_ERI</t>
  </si>
  <si>
    <t>Wind Onshore - CF Class-49 Cost Class-c01 - Eritrea</t>
  </si>
  <si>
    <t>EN_WOF_31_c02_NOR</t>
  </si>
  <si>
    <t>Wind Offshore - CF Class-31 Cost Class-c02 - Norway</t>
  </si>
  <si>
    <t>EN_WON_50_c02_ERI</t>
  </si>
  <si>
    <t>Wind Onshore - CF Class-50 Cost Class-c02 - Eritrea</t>
  </si>
  <si>
    <t>EN_WOF_32_c02_NOR</t>
  </si>
  <si>
    <t>Wind Offshore - CF Class-32 Cost Class-c02 - Norway</t>
  </si>
  <si>
    <t>EN_WON_16_c02_ESP</t>
  </si>
  <si>
    <t>Wind Onshore - CF Class-16 Cost Class-c02 - Spain</t>
  </si>
  <si>
    <t>EN_WOF_33_c02_NOR</t>
  </si>
  <si>
    <t>Wind Offshore - CF Class-33 Cost Class-c02 - Norway</t>
  </si>
  <si>
    <t>EN_WON_17_c02_ESP</t>
  </si>
  <si>
    <t>Wind Onshore - CF Class-17 Cost Class-c02 - Spain</t>
  </si>
  <si>
    <t>EN_WOF_34_c02_NOR</t>
  </si>
  <si>
    <t>Wind Offshore - CF Class-34 Cost Class-c02 - Norway</t>
  </si>
  <si>
    <t>EN_WON_17_c03_ESP</t>
  </si>
  <si>
    <t>Wind Onshore - CF Class-17 Cost Class-c03 - Spain</t>
  </si>
  <si>
    <t>EN_WOF_35_c02_NOR</t>
  </si>
  <si>
    <t>Wind Offshore - CF Class-35 Cost Class-c02 - Norway</t>
  </si>
  <si>
    <t>EN_WON_18_c02_ESP</t>
  </si>
  <si>
    <t>Wind Onshore - CF Class-18 Cost Class-c02 - Spain</t>
  </si>
  <si>
    <t>EN_WOF_36_c02_NOR</t>
  </si>
  <si>
    <t>Wind Offshore - CF Class-36 Cost Class-c02 - Norway</t>
  </si>
  <si>
    <t>EN_WON_18_c03_ESP</t>
  </si>
  <si>
    <t>Wind Onshore - CF Class-18 Cost Class-c03 - Spain</t>
  </si>
  <si>
    <t>EN_WOF_37_c02_NOR</t>
  </si>
  <si>
    <t>Wind Offshore - CF Class-37 Cost Class-c02 - Norway</t>
  </si>
  <si>
    <t>EN_WON_19_c02_ESP</t>
  </si>
  <si>
    <t>Wind Onshore - CF Class-19 Cost Class-c02 - Spain</t>
  </si>
  <si>
    <t>EN_WOF_38_c02_NOR</t>
  </si>
  <si>
    <t>Wind Offshore - CF Class-38 Cost Class-c02 - Norway</t>
  </si>
  <si>
    <t>EN_WON_19_c03_ESP</t>
  </si>
  <si>
    <t>Wind Onshore - CF Class-19 Cost Class-c03 - Spain</t>
  </si>
  <si>
    <t>EN_WOF_39_c02_NOR</t>
  </si>
  <si>
    <t>Wind Offshore - CF Class-39 Cost Class-c02 - Norway</t>
  </si>
  <si>
    <t>EN_WON_20_c02_ESP</t>
  </si>
  <si>
    <t>Wind Onshore - CF Class-20 Cost Class-c02 - Spain</t>
  </si>
  <si>
    <t>EN_WOF_40_c02_NOR</t>
  </si>
  <si>
    <t>Wind Offshore - CF Class-40 Cost Class-c02 - Norway</t>
  </si>
  <si>
    <t>EN_WON_20_c03_ESP</t>
  </si>
  <si>
    <t>Wind Onshore - CF Class-20 Cost Class-c03 - Spain</t>
  </si>
  <si>
    <t>EN_WOF_41_c02_NOR</t>
  </si>
  <si>
    <t>Wind Offshore - CF Class-41 Cost Class-c02 - Norway</t>
  </si>
  <si>
    <t>EN_WON_21_c02_ESP</t>
  </si>
  <si>
    <t>Wind Onshore - CF Class-21 Cost Class-c02 - Spain</t>
  </si>
  <si>
    <t>EN_WOF_42_c02_NOR</t>
  </si>
  <si>
    <t>Wind Offshore - CF Class-42 Cost Class-c02 - Norway</t>
  </si>
  <si>
    <t>EN_WON_21_c03_ESP</t>
  </si>
  <si>
    <t>Wind Onshore - CF Class-21 Cost Class-c03 - Spain</t>
  </si>
  <si>
    <t>EN_WOF_43_c02_NOR</t>
  </si>
  <si>
    <t>Wind Offshore - CF Class-43 Cost Class-c02 - Norway</t>
  </si>
  <si>
    <t>EN_WON_21_c04_ESP</t>
  </si>
  <si>
    <t>Wind Onshore - CF Class-21 Cost Class-c04 - Spain</t>
  </si>
  <si>
    <t>EN_WOF_44_c02_NOR</t>
  </si>
  <si>
    <t>Wind Offshore - CF Class-44 Cost Class-c02 - Norway</t>
  </si>
  <si>
    <t>EN_WON_22_c01_ESP</t>
  </si>
  <si>
    <t>Wind Onshore - CF Class-22 Cost Class-c01 - Spain</t>
  </si>
  <si>
    <t>EN_WOF_45_c02_NOR</t>
  </si>
  <si>
    <t>Wind Offshore - CF Class-45 Cost Class-c02 - Norway</t>
  </si>
  <si>
    <t>EN_WON_22_c02_ESP</t>
  </si>
  <si>
    <t>Wind Onshore - CF Class-22 Cost Class-c02 - Spain</t>
  </si>
  <si>
    <t>EN_WOF_46_c02_NOR</t>
  </si>
  <si>
    <t>Wind Offshore - CF Class-46 Cost Class-c02 - Norway</t>
  </si>
  <si>
    <t>EN_WON_22_c03_ESP</t>
  </si>
  <si>
    <t>Wind Onshore - CF Class-22 Cost Class-c03 - Spain</t>
  </si>
  <si>
    <t>EN_WOF_47_c02_NOR</t>
  </si>
  <si>
    <t>Wind Offshore - CF Class-47 Cost Class-c02 - Norway</t>
  </si>
  <si>
    <t>EN_WON_22_c04_ESP</t>
  </si>
  <si>
    <t>Wind Onshore - CF Class-22 Cost Class-c04 - Spain</t>
  </si>
  <si>
    <t>EN_WOF_48_c02_NOR</t>
  </si>
  <si>
    <t>Wind Offshore - CF Class-48 Cost Class-c02 - Norway</t>
  </si>
  <si>
    <t>EN_WON_23_c01_ESP</t>
  </si>
  <si>
    <t>Wind Onshore - CF Class-23 Cost Class-c01 - Spain</t>
  </si>
  <si>
    <t>EN_WOF_49_c02_NOR</t>
  </si>
  <si>
    <t>Wind Offshore - CF Class-49 Cost Class-c02 - Norway</t>
  </si>
  <si>
    <t>EN_WON_23_c02_ESP</t>
  </si>
  <si>
    <t>Wind Onshore - CF Class-23 Cost Class-c02 - Spain</t>
  </si>
  <si>
    <t>EN_WOF_50_c02_NOR</t>
  </si>
  <si>
    <t>Wind Offshore - CF Class-50 Cost Class-c02 - Norway</t>
  </si>
  <si>
    <t>EN_WON_23_c03_ESP</t>
  </si>
  <si>
    <t>Wind Onshore - CF Class-23 Cost Class-c03 - Spain</t>
  </si>
  <si>
    <t>EN_WOF_51_c02_NOR</t>
  </si>
  <si>
    <t>Wind Offshore - CF Class-51 Cost Class-c02 - Norway</t>
  </si>
  <si>
    <t>EN_WON_24_c01_ESP</t>
  </si>
  <si>
    <t>Wind Onshore - CF Class-24 Cost Class-c01 - Spain</t>
  </si>
  <si>
    <t>EN_WOF_52_c02_NOR</t>
  </si>
  <si>
    <t>Wind Offshore - CF Class-52 Cost Class-c02 - Norway</t>
  </si>
  <si>
    <t>EN_WON_24_c02_ESP</t>
  </si>
  <si>
    <t>Wind Onshore - CF Class-24 Cost Class-c02 - Spain</t>
  </si>
  <si>
    <t>EN_WOF_53_c02_NOR</t>
  </si>
  <si>
    <t>Wind Offshore - CF Class-53 Cost Class-c02 - Norway</t>
  </si>
  <si>
    <t>EN_WON_24_c03_ESP</t>
  </si>
  <si>
    <t>Wind Onshore - CF Class-24 Cost Class-c03 - Spain</t>
  </si>
  <si>
    <t>EN_WOF_54_c02_NOR</t>
  </si>
  <si>
    <t>Wind Offshore - CF Class-54 Cost Class-c02 - Norway</t>
  </si>
  <si>
    <t>EN_WON_24_c04_ESP</t>
  </si>
  <si>
    <t>Wind Onshore - CF Class-24 Cost Class-c04 - Spain</t>
  </si>
  <si>
    <t>EN_WOF_32_c02_OMN</t>
  </si>
  <si>
    <t>Wind Offshore - CF Class-32 Cost Class-c02 - Oman</t>
  </si>
  <si>
    <t>ELC_Win-OMN</t>
  </si>
  <si>
    <t>EN_WON_25_c01_ESP</t>
  </si>
  <si>
    <t>Wind Onshore - CF Class-25 Cost Class-c01 - Spain</t>
  </si>
  <si>
    <t>EN_WOF_33_c02_OMN</t>
  </si>
  <si>
    <t>Wind Offshore - CF Class-33 Cost Class-c02 - Oman</t>
  </si>
  <si>
    <t>EN_WON_25_c02_ESP</t>
  </si>
  <si>
    <t>Wind Onshore - CF Class-25 Cost Class-c02 - Spain</t>
  </si>
  <si>
    <t>EN_WOF_34_c02_OMN</t>
  </si>
  <si>
    <t>Wind Offshore - CF Class-34 Cost Class-c02 - Oman</t>
  </si>
  <si>
    <t>EN_WON_25_c03_ESP</t>
  </si>
  <si>
    <t>Wind Onshore - CF Class-25 Cost Class-c03 - Spain</t>
  </si>
  <si>
    <t>EN_WOF_35_c02_OMN</t>
  </si>
  <si>
    <t>Wind Offshore - CF Class-35 Cost Class-c02 - Oman</t>
  </si>
  <si>
    <t>EN_WON_25_c04_ESP</t>
  </si>
  <si>
    <t>Wind Onshore - CF Class-25 Cost Class-c04 - Spain</t>
  </si>
  <si>
    <t>EN_WOF_36_c02_OMN</t>
  </si>
  <si>
    <t>Wind Offshore - CF Class-36 Cost Class-c02 - Oman</t>
  </si>
  <si>
    <t>EN_WON_26_c01_ESP</t>
  </si>
  <si>
    <t>Wind Onshore - CF Class-26 Cost Class-c01 - Spain</t>
  </si>
  <si>
    <t>EN_WOF_37_c02_OMN</t>
  </si>
  <si>
    <t>Wind Offshore - CF Class-37 Cost Class-c02 - Oman</t>
  </si>
  <si>
    <t>EN_WON_26_c02_ESP</t>
  </si>
  <si>
    <t>Wind Onshore - CF Class-26 Cost Class-c02 - Spain</t>
  </si>
  <si>
    <t>EN_WOF_38_c02_OMN</t>
  </si>
  <si>
    <t>Wind Offshore - CF Class-38 Cost Class-c02 - Oman</t>
  </si>
  <si>
    <t>EN_WON_26_c03_ESP</t>
  </si>
  <si>
    <t>Wind Onshore - CF Class-26 Cost Class-c03 - Spain</t>
  </si>
  <si>
    <t>EN_WOF_39_c02_OMN</t>
  </si>
  <si>
    <t>Wind Offshore - CF Class-39 Cost Class-c02 - Oman</t>
  </si>
  <si>
    <t>EN_WON_27_c02_ESP</t>
  </si>
  <si>
    <t>Wind Onshore - CF Class-27 Cost Class-c02 - Spain</t>
  </si>
  <si>
    <t>EN_WOF_40_c02_OMN</t>
  </si>
  <si>
    <t>Wind Offshore - CF Class-40 Cost Class-c02 - Oman</t>
  </si>
  <si>
    <t>EN_WON_27_c03_ESP</t>
  </si>
  <si>
    <t>Wind Onshore - CF Class-27 Cost Class-c03 - Spain</t>
  </si>
  <si>
    <t>EN_WOF_41_c02_OMN</t>
  </si>
  <si>
    <t>Wind Offshore - CF Class-41 Cost Class-c02 - Oman</t>
  </si>
  <si>
    <t>EN_WON_28_c01_ESP</t>
  </si>
  <si>
    <t>Wind Onshore - CF Class-28 Cost Class-c01 - Spain</t>
  </si>
  <si>
    <t>EN_WOF_42_c02_OMN</t>
  </si>
  <si>
    <t>Wind Offshore - CF Class-42 Cost Class-c02 - Oman</t>
  </si>
  <si>
    <t>EN_WON_28_c02_ESP</t>
  </si>
  <si>
    <t>Wind Onshore - CF Class-28 Cost Class-c02 - Spain</t>
  </si>
  <si>
    <t>EN_WOF_43_c02_OMN</t>
  </si>
  <si>
    <t>Wind Offshore - CF Class-43 Cost Class-c02 - Oman</t>
  </si>
  <si>
    <t>EN_WON_28_c03_ESP</t>
  </si>
  <si>
    <t>Wind Onshore - CF Class-28 Cost Class-c03 - Spain</t>
  </si>
  <si>
    <t>EN_WOF_44_c02_OMN</t>
  </si>
  <si>
    <t>Wind Offshore - CF Class-44 Cost Class-c02 - Oman</t>
  </si>
  <si>
    <t>EN_WON_28_c04_ESP</t>
  </si>
  <si>
    <t>Wind Onshore - CF Class-28 Cost Class-c04 - Spain</t>
  </si>
  <si>
    <t>EN_WOF_49_c02_OMN</t>
  </si>
  <si>
    <t>Wind Offshore - CF Class-49 Cost Class-c02 - Oman</t>
  </si>
  <si>
    <t>EN_WON_29_c01_ESP</t>
  </si>
  <si>
    <t>Wind Onshore - CF Class-29 Cost Class-c01 - Spain</t>
  </si>
  <si>
    <t>EN_WOF_31_c02_PAN</t>
  </si>
  <si>
    <t>Wind Offshore - CF Class-31 Cost Class-c02 - Panama</t>
  </si>
  <si>
    <t>ELC_Win-PAN</t>
  </si>
  <si>
    <t>EN_WON_29_c02_ESP</t>
  </si>
  <si>
    <t>Wind Onshore - CF Class-29 Cost Class-c02 - Spain</t>
  </si>
  <si>
    <t>EN_WOF_30_c02_PER</t>
  </si>
  <si>
    <t>Wind Offshore - CF Class-30 Cost Class-c02 - Peru</t>
  </si>
  <si>
    <t>ELC_Win-PER</t>
  </si>
  <si>
    <t>EN_WON_29_c03_ESP</t>
  </si>
  <si>
    <t>Wind Onshore - CF Class-29 Cost Class-c03 - Spain</t>
  </si>
  <si>
    <t>EN_WOF_31_c02_PER</t>
  </si>
  <si>
    <t>Wind Offshore - CF Class-31 Cost Class-c02 - Peru</t>
  </si>
  <si>
    <t>EN_WON_30_c01_ESP</t>
  </si>
  <si>
    <t>Wind Onshore - CF Class-30 Cost Class-c01 - Spain</t>
  </si>
  <si>
    <t>EN_WOF_32_c02_PER</t>
  </si>
  <si>
    <t>Wind Offshore - CF Class-32 Cost Class-c02 - Peru</t>
  </si>
  <si>
    <t>EN_WON_30_c02_ESP</t>
  </si>
  <si>
    <t>Wind Onshore - CF Class-30 Cost Class-c02 - Spain</t>
  </si>
  <si>
    <t>EN_WOF_33_c02_PER</t>
  </si>
  <si>
    <t>Wind Offshore - CF Class-33 Cost Class-c02 - Peru</t>
  </si>
  <si>
    <t>EN_WON_31_c02_ESP</t>
  </si>
  <si>
    <t>Wind Onshore - CF Class-31 Cost Class-c02 - Spain</t>
  </si>
  <si>
    <t>EN_WOF_34_c02_PER</t>
  </si>
  <si>
    <t>Wind Offshore - CF Class-34 Cost Class-c02 - Peru</t>
  </si>
  <si>
    <t>EN_WON_31_c04_ESP</t>
  </si>
  <si>
    <t>Wind Onshore - CF Class-31 Cost Class-c04 - Spain</t>
  </si>
  <si>
    <t>EN_WOF_35_c02_PER</t>
  </si>
  <si>
    <t>Wind Offshore - CF Class-35 Cost Class-c02 - Peru</t>
  </si>
  <si>
    <t>EN_WON_32_c01_ESP</t>
  </si>
  <si>
    <t>Wind Onshore - CF Class-32 Cost Class-c01 - Spain</t>
  </si>
  <si>
    <t>EN_WOF_36_c02_PER</t>
  </si>
  <si>
    <t>Wind Offshore - CF Class-36 Cost Class-c02 - Peru</t>
  </si>
  <si>
    <t>EN_WON_32_c04_ESP</t>
  </si>
  <si>
    <t>Wind Onshore - CF Class-32 Cost Class-c04 - Spain</t>
  </si>
  <si>
    <t>EN_WOF_37_c02_PER</t>
  </si>
  <si>
    <t>Wind Offshore - CF Class-37 Cost Class-c02 - Peru</t>
  </si>
  <si>
    <t>EN_WON_33_c01_ESP</t>
  </si>
  <si>
    <t>Wind Onshore - CF Class-33 Cost Class-c01 - Spain</t>
  </si>
  <si>
    <t>EN_WOF_38_c02_PER</t>
  </si>
  <si>
    <t>Wind Offshore - CF Class-38 Cost Class-c02 - Peru</t>
  </si>
  <si>
    <t>EN_WON_33_c02_ESP</t>
  </si>
  <si>
    <t>Wind Onshore - CF Class-33 Cost Class-c02 - Spain</t>
  </si>
  <si>
    <t>EN_WOF_40_c02_PER</t>
  </si>
  <si>
    <t>Wind Offshore - CF Class-40 Cost Class-c02 - Peru</t>
  </si>
  <si>
    <t>EN_WON_33_c03_ESP</t>
  </si>
  <si>
    <t>Wind Onshore - CF Class-33 Cost Class-c03 - Spain</t>
  </si>
  <si>
    <t>EN_WOF_41_c02_PER</t>
  </si>
  <si>
    <t>Wind Offshore - CF Class-41 Cost Class-c02 - Peru</t>
  </si>
  <si>
    <t>EN_WON_33_c04_ESP</t>
  </si>
  <si>
    <t>Wind Onshore - CF Class-33 Cost Class-c04 - Spain</t>
  </si>
  <si>
    <t>EN_WOF_42_c02_PER</t>
  </si>
  <si>
    <t>Wind Offshore - CF Class-42 Cost Class-c02 - Peru</t>
  </si>
  <si>
    <t>EN_WON_34_c01_ESP</t>
  </si>
  <si>
    <t>Wind Onshore - CF Class-34 Cost Class-c01 - Spain</t>
  </si>
  <si>
    <t>EN_WOF_43_c02_PER</t>
  </si>
  <si>
    <t>Wind Offshore - CF Class-43 Cost Class-c02 - Peru</t>
  </si>
  <si>
    <t>EN_WON_34_c02_ESP</t>
  </si>
  <si>
    <t>Wind Onshore - CF Class-34 Cost Class-c02 - Spain</t>
  </si>
  <si>
    <t>EN_WOF_44_c02_PER</t>
  </si>
  <si>
    <t>Wind Offshore - CF Class-44 Cost Class-c02 - Peru</t>
  </si>
  <si>
    <t>EN_WON_35_c01_ESP</t>
  </si>
  <si>
    <t>Wind Onshore - CF Class-35 Cost Class-c01 - Spain</t>
  </si>
  <si>
    <t>EN_WOF_45_c02_PER</t>
  </si>
  <si>
    <t>Wind Offshore - CF Class-45 Cost Class-c02 - Peru</t>
  </si>
  <si>
    <t>EN_WON_35_c04_ESP</t>
  </si>
  <si>
    <t>Wind Onshore - CF Class-35 Cost Class-c04 - Spain</t>
  </si>
  <si>
    <t>EN_WOF_47_c02_PER</t>
  </si>
  <si>
    <t>Wind Offshore - CF Class-47 Cost Class-c02 - Peru</t>
  </si>
  <si>
    <t>EN_WON_36_c01_ESP</t>
  </si>
  <si>
    <t>Wind Onshore - CF Class-36 Cost Class-c01 - Spain</t>
  </si>
  <si>
    <t>EN_WOF_48_c02_PER</t>
  </si>
  <si>
    <t>Wind Offshore - CF Class-48 Cost Class-c02 - Peru</t>
  </si>
  <si>
    <t>EN_WON_36_c03_ESP</t>
  </si>
  <si>
    <t>Wind Onshore - CF Class-36 Cost Class-c03 - Spain</t>
  </si>
  <si>
    <t>EN_WOF_51_c02_PER</t>
  </si>
  <si>
    <t>Wind Offshore - CF Class-51 Cost Class-c02 - Peru</t>
  </si>
  <si>
    <t>EN_WON_37_c01_ESP</t>
  </si>
  <si>
    <t>Wind Onshore - CF Class-37 Cost Class-c01 - Spain</t>
  </si>
  <si>
    <t>EN_WOF_53_c02_PER</t>
  </si>
  <si>
    <t>Wind Offshore - CF Class-53 Cost Class-c02 - Peru</t>
  </si>
  <si>
    <t>EN_WON_38_c01_ESP</t>
  </si>
  <si>
    <t>Wind Onshore - CF Class-38 Cost Class-c01 - Spain</t>
  </si>
  <si>
    <t>EN_WOF_56_c02_PER</t>
  </si>
  <si>
    <t>Wind Offshore - CF Class-56 Cost Class-c02 - Peru</t>
  </si>
  <si>
    <t>EN_WON_38_c02_ESP</t>
  </si>
  <si>
    <t>Wind Onshore - CF Class-38 Cost Class-c02 - Spain</t>
  </si>
  <si>
    <t>EN_WOF_58_c02_PER</t>
  </si>
  <si>
    <t>Wind Offshore - CF Class-58 Cost Class-c02 - Peru</t>
  </si>
  <si>
    <t>EN_WON_42_c02_ESP</t>
  </si>
  <si>
    <t>Wind Onshore - CF Class-42 Cost Class-c02 - Spain</t>
  </si>
  <si>
    <t>EN_WOF_59_c02_PER</t>
  </si>
  <si>
    <t>Wind Offshore - CF Class-59 Cost Class-c02 - Peru</t>
  </si>
  <si>
    <t>EN_WON_44_c01_ESP</t>
  </si>
  <si>
    <t>Wind Onshore - CF Class-44 Cost Class-c01 - Spain</t>
  </si>
  <si>
    <t>EN_WOF_62_c02_PER</t>
  </si>
  <si>
    <t>Wind Offshore - CF Class-62 Cost Class-c02 - Peru</t>
  </si>
  <si>
    <t>EN_WON_44_c02_ESP</t>
  </si>
  <si>
    <t>Wind Onshore - CF Class-44 Cost Class-c02 - Spain</t>
  </si>
  <si>
    <t>EN_WOF_65_c02_PER</t>
  </si>
  <si>
    <t>Wind Offshore - CF Class-65 Cost Class-c02 - Peru</t>
  </si>
  <si>
    <t>EN_WON_46_c02_ESP</t>
  </si>
  <si>
    <t>Wind Onshore - CF Class-46 Cost Class-c02 - Spain</t>
  </si>
  <si>
    <t>EN_WOF_66_c02_PER</t>
  </si>
  <si>
    <t>Wind Offshore - CF Class-66 Cost Class-c02 - Peru</t>
  </si>
  <si>
    <t>EN_WON_48_c02_ESP</t>
  </si>
  <si>
    <t>Wind Onshore - CF Class-48 Cost Class-c02 - Spain</t>
  </si>
  <si>
    <t>EN_WOF_68_c02_PER</t>
  </si>
  <si>
    <t>Wind Offshore - CF Class-68 Cost Class-c02 - Peru</t>
  </si>
  <si>
    <t>EN_WON_50_c01_ESP</t>
  </si>
  <si>
    <t>Wind Onshore - CF Class-50 Cost Class-c01 - Spain</t>
  </si>
  <si>
    <t>EN_WOF_30_c01_PHL</t>
  </si>
  <si>
    <t>Wind Offshore - CF Class-30 Cost Class-c01 - Philippines</t>
  </si>
  <si>
    <t>ELC_Win-PHL</t>
  </si>
  <si>
    <t>EN_WON_31_c01_EST</t>
  </si>
  <si>
    <t>Wind Onshore - CF Class-31 Cost Class-c01 - Estonia</t>
  </si>
  <si>
    <t>EN_WOF_30_c02_PHL</t>
  </si>
  <si>
    <t>Wind Offshore - CF Class-30 Cost Class-c02 - Philippines</t>
  </si>
  <si>
    <t>EN_WON_32_c01_EST</t>
  </si>
  <si>
    <t>Wind Onshore - CF Class-32 Cost Class-c01 - Estonia</t>
  </si>
  <si>
    <t>EN_WOF_31_c01_PHL</t>
  </si>
  <si>
    <t>Wind Offshore - CF Class-31 Cost Class-c01 - Philippines</t>
  </si>
  <si>
    <t>EN_WON_33_c01_EST</t>
  </si>
  <si>
    <t>Wind Onshore - CF Class-33 Cost Class-c01 - Estonia</t>
  </si>
  <si>
    <t>EN_WOF_31_c02_PHL</t>
  </si>
  <si>
    <t>Wind Offshore - CF Class-31 Cost Class-c02 - Philippines</t>
  </si>
  <si>
    <t>EN_WON_34_c01_EST</t>
  </si>
  <si>
    <t>Wind Onshore - CF Class-34 Cost Class-c01 - Estonia</t>
  </si>
  <si>
    <t>EN_WOF_32_c01_PHL</t>
  </si>
  <si>
    <t>Wind Offshore - CF Class-32 Cost Class-c01 - Philippines</t>
  </si>
  <si>
    <t>EN_WON_35_c01_EST</t>
  </si>
  <si>
    <t>Wind Onshore - CF Class-35 Cost Class-c01 - Estonia</t>
  </si>
  <si>
    <t>EN_WOF_33_c01_PHL</t>
  </si>
  <si>
    <t>Wind Offshore - CF Class-33 Cost Class-c01 - Philippines</t>
  </si>
  <si>
    <t>EN_WON_36_c01_EST</t>
  </si>
  <si>
    <t>Wind Onshore - CF Class-36 Cost Class-c01 - Estonia</t>
  </si>
  <si>
    <t>EN_WOF_33_c02_PHL</t>
  </si>
  <si>
    <t>Wind Offshore - CF Class-33 Cost Class-c02 - Philippines</t>
  </si>
  <si>
    <t>EN_WON_33_c04_ETH</t>
  </si>
  <si>
    <t>Wind Onshore - CF Class-33 Cost Class-c04 - Ethiopia</t>
  </si>
  <si>
    <t>ELC_Win-ETH</t>
  </si>
  <si>
    <t>EN_WOF_34_c01_PHL</t>
  </si>
  <si>
    <t>Wind Offshore - CF Class-34 Cost Class-c01 - Philippines</t>
  </si>
  <si>
    <t>EN_WON_34_c03_ETH</t>
  </si>
  <si>
    <t>Wind Onshore - CF Class-34 Cost Class-c03 - Ethiopia</t>
  </si>
  <si>
    <t>EN_WOF_34_c02_PHL</t>
  </si>
  <si>
    <t>Wind Offshore - CF Class-34 Cost Class-c02 - Philippines</t>
  </si>
  <si>
    <t>EN_WON_35_c02_ETH</t>
  </si>
  <si>
    <t>Wind Onshore - CF Class-35 Cost Class-c02 - Ethiopia</t>
  </si>
  <si>
    <t>EN_WOF_35_c01_PHL</t>
  </si>
  <si>
    <t>Wind Offshore - CF Class-35 Cost Class-c01 - Philippines</t>
  </si>
  <si>
    <t>EN_WON_35_c04_ETH</t>
  </si>
  <si>
    <t>Wind Onshore - CF Class-35 Cost Class-c04 - Ethiopia</t>
  </si>
  <si>
    <t>EN_WOF_36_c02_PHL</t>
  </si>
  <si>
    <t>Wind Offshore - CF Class-36 Cost Class-c02 - Philippines</t>
  </si>
  <si>
    <t>EN_WON_36_c02_ETH</t>
  </si>
  <si>
    <t>Wind Onshore - CF Class-36 Cost Class-c02 - Ethiopia</t>
  </si>
  <si>
    <t>EN_WOF_37_c01_PHL</t>
  </si>
  <si>
    <t>Wind Offshore - CF Class-37 Cost Class-c01 - Philippines</t>
  </si>
  <si>
    <t>EN_WON_36_c03_ETH</t>
  </si>
  <si>
    <t>Wind Onshore - CF Class-36 Cost Class-c03 - Ethiopia</t>
  </si>
  <si>
    <t>EN_WOF_39_c01_PHL</t>
  </si>
  <si>
    <t>Wind Offshore - CF Class-39 Cost Class-c01 - Philippines</t>
  </si>
  <si>
    <t>EN_WON_36_c04_ETH</t>
  </si>
  <si>
    <t>Wind Onshore - CF Class-36 Cost Class-c04 - Ethiopia</t>
  </si>
  <si>
    <t>EN_WOF_40_c01_PHL</t>
  </si>
  <si>
    <t>Wind Offshore - CF Class-40 Cost Class-c01 - Philippines</t>
  </si>
  <si>
    <t>EN_WON_37_c02_ETH</t>
  </si>
  <si>
    <t>Wind Onshore - CF Class-37 Cost Class-c02 - Ethiopia</t>
  </si>
  <si>
    <t>EN_WOF_41_c01_PHL</t>
  </si>
  <si>
    <t>Wind Offshore - CF Class-41 Cost Class-c01 - Philippines</t>
  </si>
  <si>
    <t>EN_WON_37_c03_ETH</t>
  </si>
  <si>
    <t>Wind Onshore - CF Class-37 Cost Class-c03 - Ethiopia</t>
  </si>
  <si>
    <t>EN_WOF_41_c02_PHL</t>
  </si>
  <si>
    <t>Wind Offshore - CF Class-41 Cost Class-c02 - Philippines</t>
  </si>
  <si>
    <t>EN_WON_38_c03_ETH</t>
  </si>
  <si>
    <t>Wind Onshore - CF Class-38 Cost Class-c03 - Ethiopia</t>
  </si>
  <si>
    <t>EN_WOF_42_c01_PHL</t>
  </si>
  <si>
    <t>Wind Offshore - CF Class-42 Cost Class-c01 - Philippines</t>
  </si>
  <si>
    <t>EN_WON_38_c04_ETH</t>
  </si>
  <si>
    <t>Wind Onshore - CF Class-38 Cost Class-c04 - Ethiopia</t>
  </si>
  <si>
    <t>EN_WOF_43_c01_PHL</t>
  </si>
  <si>
    <t>Wind Offshore - CF Class-43 Cost Class-c01 - Philippines</t>
  </si>
  <si>
    <t>EN_WON_39_c03_ETH</t>
  </si>
  <si>
    <t>Wind Onshore - CF Class-39 Cost Class-c03 - Ethiopia</t>
  </si>
  <si>
    <t>EN_WOF_43_c02_PHL</t>
  </si>
  <si>
    <t>Wind Offshore - CF Class-43 Cost Class-c02 - Philippines</t>
  </si>
  <si>
    <t>EN_WON_41_c04_ETH</t>
  </si>
  <si>
    <t>Wind Onshore - CF Class-41 Cost Class-c04 - Ethiopia</t>
  </si>
  <si>
    <t>EN_WOF_44_c01_PHL</t>
  </si>
  <si>
    <t>Wind Offshore - CF Class-44 Cost Class-c01 - Philippines</t>
  </si>
  <si>
    <t>EN_WON_48_c03_ETH</t>
  </si>
  <si>
    <t>Wind Onshore - CF Class-48 Cost Class-c03 - Ethiopia</t>
  </si>
  <si>
    <t>EN_WOF_46_c01_PHL</t>
  </si>
  <si>
    <t>Wind Offshore - CF Class-46 Cost Class-c01 - Philippines</t>
  </si>
  <si>
    <t>EN_WON_28_c01_FIN</t>
  </si>
  <si>
    <t>Wind Onshore - CF Class-28 Cost Class-c01 - Finland</t>
  </si>
  <si>
    <t>EN_WOF_50_c02_PHL</t>
  </si>
  <si>
    <t>Wind Offshore - CF Class-50 Cost Class-c02 - Philippines</t>
  </si>
  <si>
    <t>EN_WON_28_c02_FIN</t>
  </si>
  <si>
    <t>Wind Onshore - CF Class-28 Cost Class-c02 - Finland</t>
  </si>
  <si>
    <t>EN_WOF_51_c01_PHL</t>
  </si>
  <si>
    <t>Wind Offshore - CF Class-51 Cost Class-c01 - Philippines</t>
  </si>
  <si>
    <t>EN_WON_29_c01_FIN</t>
  </si>
  <si>
    <t>Wind Onshore - CF Class-29 Cost Class-c01 - Finland</t>
  </si>
  <si>
    <t>EN_WOF_53_c01_PHL</t>
  </si>
  <si>
    <t>Wind Offshore - CF Class-53 Cost Class-c01 - Philippines</t>
  </si>
  <si>
    <t>EN_WON_29_c02_FIN</t>
  </si>
  <si>
    <t>Wind Onshore - CF Class-29 Cost Class-c02 - Finland</t>
  </si>
  <si>
    <t>EN_WOF_30_c02_PNG</t>
  </si>
  <si>
    <t>Wind Offshore - CF Class-30 Cost Class-c02 - Papua New Guinea</t>
  </si>
  <si>
    <t>ELC_Win-PNG</t>
  </si>
  <si>
    <t>EN_WON_29_c03_FIN</t>
  </si>
  <si>
    <t>Wind Onshore - CF Class-29 Cost Class-c03 - Finland</t>
  </si>
  <si>
    <t>EN_WOF_31_c02_PNG</t>
  </si>
  <si>
    <t>Wind Offshore - CF Class-31 Cost Class-c02 - Papua New Guinea</t>
  </si>
  <si>
    <t>EN_WON_30_c01_FIN</t>
  </si>
  <si>
    <t>Wind Onshore - CF Class-30 Cost Class-c01 - Finland</t>
  </si>
  <si>
    <t>EN_WOF_32_c02_PNG</t>
  </si>
  <si>
    <t>Wind Offshore - CF Class-32 Cost Class-c02 - Papua New Guinea</t>
  </si>
  <si>
    <t>EN_WON_30_c03_FIN</t>
  </si>
  <si>
    <t>Wind Onshore - CF Class-30 Cost Class-c03 - Finland</t>
  </si>
  <si>
    <t>EN_WOF_34_c02_PNG</t>
  </si>
  <si>
    <t>Wind Offshore - CF Class-34 Cost Class-c02 - Papua New Guinea</t>
  </si>
  <si>
    <t>EN_WON_31_c01_FIN</t>
  </si>
  <si>
    <t>Wind Onshore - CF Class-31 Cost Class-c01 - Finland</t>
  </si>
  <si>
    <t>EN_WOF_35_c02_PNG</t>
  </si>
  <si>
    <t>Wind Offshore - CF Class-35 Cost Class-c02 - Papua New Guinea</t>
  </si>
  <si>
    <t>EN_WON_31_c02_FIN</t>
  </si>
  <si>
    <t>Wind Onshore - CF Class-31 Cost Class-c02 - Finland</t>
  </si>
  <si>
    <t>EN_WOF_38_c02_PNG</t>
  </si>
  <si>
    <t>Wind Offshore - CF Class-38 Cost Class-c02 - Papua New Guinea</t>
  </si>
  <si>
    <t>EN_WON_32_c01_FIN</t>
  </si>
  <si>
    <t>Wind Onshore - CF Class-32 Cost Class-c01 - Finland</t>
  </si>
  <si>
    <t>EN_WOF_39_c02_PNG</t>
  </si>
  <si>
    <t>Wind Offshore - CF Class-39 Cost Class-c02 - Papua New Guinea</t>
  </si>
  <si>
    <t>EN_WON_33_c01_FIN</t>
  </si>
  <si>
    <t>Wind Onshore - CF Class-33 Cost Class-c01 - Finland</t>
  </si>
  <si>
    <t>EN_WOF_40_c02_PNG</t>
  </si>
  <si>
    <t>Wind Offshore - CF Class-40 Cost Class-c02 - Papua New Guinea</t>
  </si>
  <si>
    <t>EN_WON_33_c02_FIN</t>
  </si>
  <si>
    <t>Wind Onshore - CF Class-33 Cost Class-c02 - Finland</t>
  </si>
  <si>
    <t>EN_WOF_41_c02_PNG</t>
  </si>
  <si>
    <t>Wind Offshore - CF Class-41 Cost Class-c02 - Papua New Guinea</t>
  </si>
  <si>
    <t>EN_WON_33_c03_FIN</t>
  </si>
  <si>
    <t>Wind Onshore - CF Class-33 Cost Class-c03 - Finland</t>
  </si>
  <si>
    <t>EN_WOF_42_c02_PNG</t>
  </si>
  <si>
    <t>Wind Offshore - CF Class-42 Cost Class-c02 - Papua New Guinea</t>
  </si>
  <si>
    <t>EN_WON_34_c03_FIN</t>
  </si>
  <si>
    <t>Wind Onshore - CF Class-34 Cost Class-c03 - Finland</t>
  </si>
  <si>
    <t>EN_WOF_46_c02_PNG</t>
  </si>
  <si>
    <t>Wind Offshore - CF Class-46 Cost Class-c02 - Papua New Guinea</t>
  </si>
  <si>
    <t>EN_WON_35_c01_FIN</t>
  </si>
  <si>
    <t>Wind Onshore - CF Class-35 Cost Class-c01 - Finland</t>
  </si>
  <si>
    <t>EN_WOF_45_c02_POL</t>
  </si>
  <si>
    <t>Wind Offshore - CF Class-45 Cost Class-c02 - Poland</t>
  </si>
  <si>
    <t>ELC_Win-POL</t>
  </si>
  <si>
    <t>EN_WON_35_c02_FIN</t>
  </si>
  <si>
    <t>Wind Onshore - CF Class-35 Cost Class-c02 - Finland</t>
  </si>
  <si>
    <t>EN_WOF_46_c02_POL</t>
  </si>
  <si>
    <t>Wind Offshore - CF Class-46 Cost Class-c02 - Poland</t>
  </si>
  <si>
    <t>EN_WON_35_c04_FIN</t>
  </si>
  <si>
    <t>Wind Onshore - CF Class-35 Cost Class-c04 - Finland</t>
  </si>
  <si>
    <t>EN_WOF_48_c02_POL</t>
  </si>
  <si>
    <t>Wind Offshore - CF Class-48 Cost Class-c02 - Poland</t>
  </si>
  <si>
    <t>EN_WON_36_c01_FIN</t>
  </si>
  <si>
    <t>Wind Onshore - CF Class-36 Cost Class-c01 - Finland</t>
  </si>
  <si>
    <t>EN_WOF_49_c02_POL</t>
  </si>
  <si>
    <t>Wind Offshore - CF Class-49 Cost Class-c02 - Poland</t>
  </si>
  <si>
    <t>EN_WON_36_c02_FIN</t>
  </si>
  <si>
    <t>Wind Onshore - CF Class-36 Cost Class-c02 - Finland</t>
  </si>
  <si>
    <t>EN_WOF_50_c02_POL</t>
  </si>
  <si>
    <t>Wind Offshore - CF Class-50 Cost Class-c02 - Poland</t>
  </si>
  <si>
    <t>EN_WON_37_c01_FIN</t>
  </si>
  <si>
    <t>Wind Onshore - CF Class-37 Cost Class-c01 - Finland</t>
  </si>
  <si>
    <t>EN_WOF_32_c01_PRK</t>
  </si>
  <si>
    <t>Wind Offshore - CF Class-32 Cost Class-c01 - Dem. People^s Rep. Korea</t>
  </si>
  <si>
    <t>ELC_Win-PRK</t>
  </si>
  <si>
    <t>EN_WON_39_c01_FIN</t>
  </si>
  <si>
    <t>Wind Onshore - CF Class-39 Cost Class-c01 - Finland</t>
  </si>
  <si>
    <t>EN_WOF_33_c01_PRK</t>
  </si>
  <si>
    <t>Wind Offshore - CF Class-33 Cost Class-c01 - Dem. People^s Rep. Korea</t>
  </si>
  <si>
    <t>EN_WON_39_c02_FIN</t>
  </si>
  <si>
    <t>Wind Onshore - CF Class-39 Cost Class-c02 - Finland</t>
  </si>
  <si>
    <t>EN_WOF_33_c02_PRK</t>
  </si>
  <si>
    <t>Wind Offshore - CF Class-33 Cost Class-c02 - Dem. People^s Rep. Korea</t>
  </si>
  <si>
    <t>EN_WON_35_c01_FRA</t>
  </si>
  <si>
    <t>Wind Onshore - CF Class-35 Cost Class-c01 - France</t>
  </si>
  <si>
    <t>EN_WOF_34_c01_PRK</t>
  </si>
  <si>
    <t>Wind Offshore - CF Class-34 Cost Class-c01 - Dem. People^s Rep. Korea</t>
  </si>
  <si>
    <t>EN_WON_36_c01_FRA</t>
  </si>
  <si>
    <t>Wind Onshore - CF Class-36 Cost Class-c01 - France</t>
  </si>
  <si>
    <t>EN_WOF_34_c02_PRK</t>
  </si>
  <si>
    <t>Wind Offshore - CF Class-34 Cost Class-c02 - Dem. People^s Rep. Korea</t>
  </si>
  <si>
    <t>EN_WON_37_c01_FRA</t>
  </si>
  <si>
    <t>Wind Onshore - CF Class-37 Cost Class-c01 - France</t>
  </si>
  <si>
    <t>EN_WOF_35_c01_PRK</t>
  </si>
  <si>
    <t>Wind Offshore - CF Class-35 Cost Class-c01 - Dem. People^s Rep. Korea</t>
  </si>
  <si>
    <t>EN_WON_38_c01_FRA</t>
  </si>
  <si>
    <t>Wind Onshore - CF Class-38 Cost Class-c01 - France</t>
  </si>
  <si>
    <t>EN_WOF_35_c02_PRK</t>
  </si>
  <si>
    <t>Wind Offshore - CF Class-35 Cost Class-c02 - Dem. People^s Rep. Korea</t>
  </si>
  <si>
    <t>EN_WON_38_c02_FRA</t>
  </si>
  <si>
    <t>Wind Onshore - CF Class-38 Cost Class-c02 - France</t>
  </si>
  <si>
    <t>EN_WOF_36_c01_PRK</t>
  </si>
  <si>
    <t>Wind Offshore - CF Class-36 Cost Class-c01 - Dem. People^s Rep. Korea</t>
  </si>
  <si>
    <t>EN_WON_39_c01_FRA</t>
  </si>
  <si>
    <t>Wind Onshore - CF Class-39 Cost Class-c01 - France</t>
  </si>
  <si>
    <t>EN_WOF_36_c02_PRK</t>
  </si>
  <si>
    <t>Wind Offshore - CF Class-36 Cost Class-c02 - Dem. People^s Rep. Korea</t>
  </si>
  <si>
    <t>EN_WON_40_c01_FRA</t>
  </si>
  <si>
    <t>Wind Onshore - CF Class-40 Cost Class-c01 - France</t>
  </si>
  <si>
    <t>EN_WOF_37_c01_PRK</t>
  </si>
  <si>
    <t>Wind Offshore - CF Class-37 Cost Class-c01 - Dem. People^s Rep. Korea</t>
  </si>
  <si>
    <t>EN_WON_42_c01_FRA</t>
  </si>
  <si>
    <t>Wind Onshore - CF Class-42 Cost Class-c01 - France</t>
  </si>
  <si>
    <t>EN_WOF_32_c02_PRT</t>
  </si>
  <si>
    <t>Wind Offshore - CF Class-32 Cost Class-c02 - Portugal</t>
  </si>
  <si>
    <t>ELC_Win-PRT</t>
  </si>
  <si>
    <t>EN_WON_43_c01_FRA</t>
  </si>
  <si>
    <t>Wind Onshore - CF Class-43 Cost Class-c01 - France</t>
  </si>
  <si>
    <t>EN_WOF_33_c02_PRT</t>
  </si>
  <si>
    <t>Wind Offshore - CF Class-33 Cost Class-c02 - Portugal</t>
  </si>
  <si>
    <t>EN_WON_41_c01_GBR</t>
  </si>
  <si>
    <t>Wind Onshore - CF Class-41 Cost Class-c01 - United Kingdom</t>
  </si>
  <si>
    <t>EN_WOF_34_c02_PRT</t>
  </si>
  <si>
    <t>Wind Offshore - CF Class-34 Cost Class-c02 - Portugal</t>
  </si>
  <si>
    <t>EN_WON_42_c01_GBR</t>
  </si>
  <si>
    <t>Wind Onshore - CF Class-42 Cost Class-c01 - United Kingdom</t>
  </si>
  <si>
    <t>EN_WOF_35_c02_PRT</t>
  </si>
  <si>
    <t>Wind Offshore - CF Class-35 Cost Class-c02 - Portugal</t>
  </si>
  <si>
    <t>EN_WON_43_c01_GBR</t>
  </si>
  <si>
    <t>Wind Onshore - CF Class-43 Cost Class-c01 - United Kingdom</t>
  </si>
  <si>
    <t>EN_WOF_36_c02_PRT</t>
  </si>
  <si>
    <t>Wind Offshore - CF Class-36 Cost Class-c02 - Portugal</t>
  </si>
  <si>
    <t>EN_WON_44_c01_GBR</t>
  </si>
  <si>
    <t>Wind Onshore - CF Class-44 Cost Class-c01 - United Kingdom</t>
  </si>
  <si>
    <t>EN_WOF_37_c02_PRT</t>
  </si>
  <si>
    <t>Wind Offshore - CF Class-37 Cost Class-c02 - Portugal</t>
  </si>
  <si>
    <t>EN_WON_45_c01_GBR</t>
  </si>
  <si>
    <t>Wind Onshore - CF Class-45 Cost Class-c01 - United Kingdom</t>
  </si>
  <si>
    <t>EN_WOF_38_c02_PRT</t>
  </si>
  <si>
    <t>Wind Offshore - CF Class-38 Cost Class-c02 - Portugal</t>
  </si>
  <si>
    <t>EN_WON_46_c01_GBR</t>
  </si>
  <si>
    <t>Wind Onshore - CF Class-46 Cost Class-c01 - United Kingdom</t>
  </si>
  <si>
    <t>EN_WOF_39_c02_PRT</t>
  </si>
  <si>
    <t>Wind Offshore - CF Class-39 Cost Class-c02 - Portugal</t>
  </si>
  <si>
    <t>EN_WON_47_c01_GBR</t>
  </si>
  <si>
    <t>Wind Onshore - CF Class-47 Cost Class-c01 - United Kingdom</t>
  </si>
  <si>
    <t>EN_WOF_40_c02_PRT</t>
  </si>
  <si>
    <t>Wind Offshore - CF Class-40 Cost Class-c02 - Portugal</t>
  </si>
  <si>
    <t>EN_WON_48_c01_GBR</t>
  </si>
  <si>
    <t>Wind Onshore - CF Class-48 Cost Class-c01 - United Kingdom</t>
  </si>
  <si>
    <t>EN_WOF_41_c02_PRT</t>
  </si>
  <si>
    <t>Wind Offshore - CF Class-41 Cost Class-c02 - Portugal</t>
  </si>
  <si>
    <t>EN_WON_49_c01_GBR</t>
  </si>
  <si>
    <t>Wind Onshore - CF Class-49 Cost Class-c01 - United Kingdom</t>
  </si>
  <si>
    <t>EN_WOF_42_c02_PRT</t>
  </si>
  <si>
    <t>Wind Offshore - CF Class-42 Cost Class-c02 - Portugal</t>
  </si>
  <si>
    <t>EN_WON_50_c01_GBR</t>
  </si>
  <si>
    <t>Wind Onshore - CF Class-50 Cost Class-c01 - United Kingdom</t>
  </si>
  <si>
    <t>EN_WOF_30_c02_RUS</t>
  </si>
  <si>
    <t>Wind Offshore - CF Class-30 Cost Class-c02 - Russia</t>
  </si>
  <si>
    <t>ELC_Win-RUS</t>
  </si>
  <si>
    <t>EN_WON_51_c01_GBR</t>
  </si>
  <si>
    <t>Wind Onshore - CF Class-51 Cost Class-c01 - United Kingdom</t>
  </si>
  <si>
    <t>EN_WOF_31_c02_RUS</t>
  </si>
  <si>
    <t>Wind Offshore - CF Class-31 Cost Class-c02 - Russia</t>
  </si>
  <si>
    <t>EN_WON_52_c01_GBR</t>
  </si>
  <si>
    <t>Wind Onshore - CF Class-52 Cost Class-c01 - United Kingdom</t>
  </si>
  <si>
    <t>EN_WOF_32_c02_RUS</t>
  </si>
  <si>
    <t>Wind Offshore - CF Class-32 Cost Class-c02 - Russia</t>
  </si>
  <si>
    <t>EN_WON_22_c02_GEO</t>
  </si>
  <si>
    <t>Wind Onshore - CF Class-22 Cost Class-c02 - Georgia</t>
  </si>
  <si>
    <t>ELC_Win-GEO</t>
  </si>
  <si>
    <t>EN_WOF_33_c02_RUS</t>
  </si>
  <si>
    <t>Wind Offshore - CF Class-33 Cost Class-c02 - Russia</t>
  </si>
  <si>
    <t>EN_WON_22_c04_GEO</t>
  </si>
  <si>
    <t>Wind Onshore - CF Class-22 Cost Class-c04 - Georgia</t>
  </si>
  <si>
    <t>EN_WOF_34_c02_RUS</t>
  </si>
  <si>
    <t>Wind Offshore - CF Class-34 Cost Class-c02 - Russia</t>
  </si>
  <si>
    <t>EN_WON_23_c03_GEO</t>
  </si>
  <si>
    <t>Wind Onshore - CF Class-23 Cost Class-c03 - Georgia</t>
  </si>
  <si>
    <t>EN_WOF_35_c02_RUS</t>
  </si>
  <si>
    <t>Wind Offshore - CF Class-35 Cost Class-c02 - Russia</t>
  </si>
  <si>
    <t>EN_WON_23_c04_GEO</t>
  </si>
  <si>
    <t>Wind Onshore - CF Class-23 Cost Class-c04 - Georgia</t>
  </si>
  <si>
    <t>EN_WOF_36_c02_RUS</t>
  </si>
  <si>
    <t>Wind Offshore - CF Class-36 Cost Class-c02 - Russia</t>
  </si>
  <si>
    <t>EN_WON_24_c03_GEO</t>
  </si>
  <si>
    <t>Wind Onshore - CF Class-24 Cost Class-c03 - Georgia</t>
  </si>
  <si>
    <t>EN_WOF_37_c02_RUS</t>
  </si>
  <si>
    <t>Wind Offshore - CF Class-37 Cost Class-c02 - Russia</t>
  </si>
  <si>
    <t>EN_WON_24_c04_GEO</t>
  </si>
  <si>
    <t>Wind Onshore - CF Class-24 Cost Class-c04 - Georgia</t>
  </si>
  <si>
    <t>EN_WOF_38_c02_RUS</t>
  </si>
  <si>
    <t>Wind Offshore - CF Class-38 Cost Class-c02 - Russia</t>
  </si>
  <si>
    <t>EN_WON_25_c04_GEO</t>
  </si>
  <si>
    <t>Wind Onshore - CF Class-25 Cost Class-c04 - Georgia</t>
  </si>
  <si>
    <t>EN_WOF_39_c02_RUS</t>
  </si>
  <si>
    <t>Wind Offshore - CF Class-39 Cost Class-c02 - Russia</t>
  </si>
  <si>
    <t>EN_WON_28_c02_GEO</t>
  </si>
  <si>
    <t>Wind Onshore - CF Class-28 Cost Class-c02 - Georgia</t>
  </si>
  <si>
    <t>EN_WOF_40_c02_RUS</t>
  </si>
  <si>
    <t>Wind Offshore - CF Class-40 Cost Class-c02 - Russia</t>
  </si>
  <si>
    <t>EN_WON_28_c03_GEO</t>
  </si>
  <si>
    <t>Wind Onshore - CF Class-28 Cost Class-c03 - Georgia</t>
  </si>
  <si>
    <t>EN_WOF_41_c02_RUS</t>
  </si>
  <si>
    <t>Wind Offshore - CF Class-41 Cost Class-c02 - Russia</t>
  </si>
  <si>
    <t>EN_WON_28_c04_GEO</t>
  </si>
  <si>
    <t>Wind Onshore - CF Class-28 Cost Class-c04 - Georgia</t>
  </si>
  <si>
    <t>EN_WOF_42_c02_RUS</t>
  </si>
  <si>
    <t>Wind Offshore - CF Class-42 Cost Class-c02 - Russia</t>
  </si>
  <si>
    <t>EN_WON_29_c03_GEO</t>
  </si>
  <si>
    <t>Wind Onshore - CF Class-29 Cost Class-c03 - Georgia</t>
  </si>
  <si>
    <t>EN_WOF_43_c02_RUS</t>
  </si>
  <si>
    <t>Wind Offshore - CF Class-43 Cost Class-c02 - Russia</t>
  </si>
  <si>
    <t>EN_WON_34_c02_GEO</t>
  </si>
  <si>
    <t>Wind Onshore - CF Class-34 Cost Class-c02 - Georgia</t>
  </si>
  <si>
    <t>EN_WOF_44_c02_RUS</t>
  </si>
  <si>
    <t>Wind Offshore - CF Class-44 Cost Class-c02 - Russia</t>
  </si>
  <si>
    <t>EN_WON_15_c02_GHA</t>
  </si>
  <si>
    <t>Wind Onshore - CF Class-15 Cost Class-c02 - Ghana</t>
  </si>
  <si>
    <t>ELC_Win-GHA</t>
  </si>
  <si>
    <t>EN_WOF_45_c02_RUS</t>
  </si>
  <si>
    <t>Wind Offshore - CF Class-45 Cost Class-c02 - Russia</t>
  </si>
  <si>
    <t>EN_WON_15_c03_GHA</t>
  </si>
  <si>
    <t>Wind Onshore - CF Class-15 Cost Class-c03 - Ghana</t>
  </si>
  <si>
    <t>EN_WOF_46_c02_RUS</t>
  </si>
  <si>
    <t>Wind Offshore - CF Class-46 Cost Class-c02 - Russia</t>
  </si>
  <si>
    <t>EN_WON_16_c03_GHA</t>
  </si>
  <si>
    <t>Wind Onshore - CF Class-16 Cost Class-c03 - Ghana</t>
  </si>
  <si>
    <t>EN_WOF_47_c02_RUS</t>
  </si>
  <si>
    <t>Wind Offshore - CF Class-47 Cost Class-c02 - Russia</t>
  </si>
  <si>
    <t>EN_WON_16_c04_GHA</t>
  </si>
  <si>
    <t>Wind Onshore - CF Class-16 Cost Class-c04 - Ghana</t>
  </si>
  <si>
    <t>EN_WOF_48_c02_RUS</t>
  </si>
  <si>
    <t>Wind Offshore - CF Class-48 Cost Class-c02 - Russia</t>
  </si>
  <si>
    <t>EN_WON_17_c03_GHA</t>
  </si>
  <si>
    <t>Wind Onshore - CF Class-17 Cost Class-c03 - Ghana</t>
  </si>
  <si>
    <t>EN_WOF_49_c02_RUS</t>
  </si>
  <si>
    <t>Wind Offshore - CF Class-49 Cost Class-c02 - Russia</t>
  </si>
  <si>
    <t>EN_WON_18_c04_GHA</t>
  </si>
  <si>
    <t>Wind Onshore - CF Class-18 Cost Class-c04 - Ghana</t>
  </si>
  <si>
    <t>EN_WOF_50_c02_RUS</t>
  </si>
  <si>
    <t>Wind Offshore - CF Class-50 Cost Class-c02 - Russia</t>
  </si>
  <si>
    <t>EN_WON_19_c04_GHA</t>
  </si>
  <si>
    <t>Wind Onshore - CF Class-19 Cost Class-c04 - Ghana</t>
  </si>
  <si>
    <t>EN_WOF_51_c02_RUS</t>
  </si>
  <si>
    <t>Wind Offshore - CF Class-51 Cost Class-c02 - Russia</t>
  </si>
  <si>
    <t>EN_WON_20_c04_GHA</t>
  </si>
  <si>
    <t>Wind Onshore - CF Class-20 Cost Class-c04 - Ghana</t>
  </si>
  <si>
    <t>EN_WOF_52_c02_RUS</t>
  </si>
  <si>
    <t>Wind Offshore - CF Class-52 Cost Class-c02 - Russia</t>
  </si>
  <si>
    <t>EN_WON_21_c03_GHA</t>
  </si>
  <si>
    <t>Wind Onshore - CF Class-21 Cost Class-c03 - Ghana</t>
  </si>
  <si>
    <t>EN_WOF_53_c02_RUS</t>
  </si>
  <si>
    <t>Wind Offshore - CF Class-53 Cost Class-c02 - Russia</t>
  </si>
  <si>
    <t>EN_WON_21_c04_GHA</t>
  </si>
  <si>
    <t>Wind Onshore - CF Class-21 Cost Class-c04 - Ghana</t>
  </si>
  <si>
    <t>EN_WOF_54_c02_RUS</t>
  </si>
  <si>
    <t>Wind Offshore - CF Class-54 Cost Class-c02 - Russia</t>
  </si>
  <si>
    <t>EN_WON_22_c01_GHA</t>
  </si>
  <si>
    <t>Wind Onshore - CF Class-22 Cost Class-c01 - Ghana</t>
  </si>
  <si>
    <t>EN_WOF_55_c02_RUS</t>
  </si>
  <si>
    <t>Wind Offshore - CF Class-55 Cost Class-c02 - Russia</t>
  </si>
  <si>
    <t>EN_WON_23_c04_GHA</t>
  </si>
  <si>
    <t>Wind Onshore - CF Class-23 Cost Class-c04 - Ghana</t>
  </si>
  <si>
    <t>EN_WOF_31_c02_SAU</t>
  </si>
  <si>
    <t>Wind Offshore - CF Class-31 Cost Class-c02 - Saudi Arabia</t>
  </si>
  <si>
    <t>ELC_Win-SAU</t>
  </si>
  <si>
    <t>EN_WON_27_c03_GHA</t>
  </si>
  <si>
    <t>Wind Onshore - CF Class-27 Cost Class-c03 - Ghana</t>
  </si>
  <si>
    <t>EN_WOF_33_c02_SAU</t>
  </si>
  <si>
    <t>Wind Offshore - CF Class-33 Cost Class-c02 - Saudi Arabia</t>
  </si>
  <si>
    <t>EN_WON_28_c03_GHA</t>
  </si>
  <si>
    <t>Wind Onshore - CF Class-28 Cost Class-c03 - Ghana</t>
  </si>
  <si>
    <t>EN_WOF_34_c02_SAU</t>
  </si>
  <si>
    <t>Wind Offshore - CF Class-34 Cost Class-c02 - Saudi Arabia</t>
  </si>
  <si>
    <t>EN_WON_15_c03_GIN</t>
  </si>
  <si>
    <t>Wind Onshore - CF Class-15 Cost Class-c03 - Guinea</t>
  </si>
  <si>
    <t>ELC_Win-GIN</t>
  </si>
  <si>
    <t>EN_WOF_35_c02_SAU</t>
  </si>
  <si>
    <t>Wind Offshore - CF Class-35 Cost Class-c02 - Saudi Arabia</t>
  </si>
  <si>
    <t>EN_WON_16_c02_GIN</t>
  </si>
  <si>
    <t>Wind Onshore - CF Class-16 Cost Class-c02 - Guinea</t>
  </si>
  <si>
    <t>EN_WOF_36_c02_SAU</t>
  </si>
  <si>
    <t>Wind Offshore - CF Class-36 Cost Class-c02 - Saudi Arabia</t>
  </si>
  <si>
    <t>EN_WON_16_c03_GIN</t>
  </si>
  <si>
    <t>Wind Onshore - CF Class-16 Cost Class-c03 - Guinea</t>
  </si>
  <si>
    <t>EN_WOF_37_c02_SAU</t>
  </si>
  <si>
    <t>Wind Offshore - CF Class-37 Cost Class-c02 - Saudi Arabia</t>
  </si>
  <si>
    <t>EN_WON_16_c04_GIN</t>
  </si>
  <si>
    <t>Wind Onshore - CF Class-16 Cost Class-c04 - Guinea</t>
  </si>
  <si>
    <t>EN_WOF_40_c02_SAU</t>
  </si>
  <si>
    <t>Wind Offshore - CF Class-40 Cost Class-c02 - Saudi Arabia</t>
  </si>
  <si>
    <t>EN_WON_17_c03_GIN</t>
  </si>
  <si>
    <t>Wind Onshore - CF Class-17 Cost Class-c03 - Guinea</t>
  </si>
  <si>
    <t>EN_WOF_45_c02_SAU</t>
  </si>
  <si>
    <t>Wind Offshore - CF Class-45 Cost Class-c02 - Saudi Arabia</t>
  </si>
  <si>
    <t>EN_WON_17_c04_GIN</t>
  </si>
  <si>
    <t>Wind Onshore - CF Class-17 Cost Class-c04 - Guinea</t>
  </si>
  <si>
    <t>EN_WOF_47_c02_SAU</t>
  </si>
  <si>
    <t>Wind Offshore - CF Class-47 Cost Class-c02 - Saudi Arabia</t>
  </si>
  <si>
    <t>EN_WON_18_c03_GIN</t>
  </si>
  <si>
    <t>Wind Onshore - CF Class-18 Cost Class-c03 - Guinea</t>
  </si>
  <si>
    <t>EN_WOF_57_c02_SAU</t>
  </si>
  <si>
    <t>Wind Offshore - CF Class-57 Cost Class-c02 - Saudi Arabia</t>
  </si>
  <si>
    <t>EN_WON_19_c02_GIN</t>
  </si>
  <si>
    <t>Wind Onshore - CF Class-19 Cost Class-c02 - Guinea</t>
  </si>
  <si>
    <t>EN_WOF_59_c02_SAU</t>
  </si>
  <si>
    <t>Wind Offshore - CF Class-59 Cost Class-c02 - Saudi Arabia</t>
  </si>
  <si>
    <t>EN_WON_19_c03_GIN</t>
  </si>
  <si>
    <t>Wind Onshore - CF Class-19 Cost Class-c03 - Guinea</t>
  </si>
  <si>
    <t>EN_WOF_30_c02_SDN</t>
  </si>
  <si>
    <t>Wind Offshore - CF Class-30 Cost Class-c02 - Sudan</t>
  </si>
  <si>
    <t>ELC_Win-SDN</t>
  </si>
  <si>
    <t>SDN</t>
  </si>
  <si>
    <t>EN_WON_17_c03_GMB</t>
  </si>
  <si>
    <t>Wind Onshore - CF Class-17 Cost Class-c03 - The Gambia</t>
  </si>
  <si>
    <t>ELC_Win-GMB</t>
  </si>
  <si>
    <t>EN_WOF_31_c02_SDN</t>
  </si>
  <si>
    <t>Wind Offshore - CF Class-31 Cost Class-c02 - Sudan</t>
  </si>
  <si>
    <t>EN_WON_17_c02_GRC</t>
  </si>
  <si>
    <t>Wind Onshore - CF Class-17 Cost Class-c02 - Greece</t>
  </si>
  <si>
    <t>EN_WOF_32_c02_SDN</t>
  </si>
  <si>
    <t>Wind Offshore - CF Class-32 Cost Class-c02 - Sudan</t>
  </si>
  <si>
    <t>EN_WON_17_c03_GRC</t>
  </si>
  <si>
    <t>Wind Onshore - CF Class-17 Cost Class-c03 - Greece</t>
  </si>
  <si>
    <t>EN_WOF_34_c02_SDN</t>
  </si>
  <si>
    <t>Wind Offshore - CF Class-34 Cost Class-c02 - Sudan</t>
  </si>
  <si>
    <t>EN_WON_18_c02_GRC</t>
  </si>
  <si>
    <t>Wind Onshore - CF Class-18 Cost Class-c02 - Greece</t>
  </si>
  <si>
    <t>EN_WOF_35_c02_SDN</t>
  </si>
  <si>
    <t>Wind Offshore - CF Class-35 Cost Class-c02 - Sudan</t>
  </si>
  <si>
    <t>EN_WON_18_c03_GRC</t>
  </si>
  <si>
    <t>Wind Onshore - CF Class-18 Cost Class-c03 - Greece</t>
  </si>
  <si>
    <t>EN_WOF_32_c02_SEN</t>
  </si>
  <si>
    <t>Wind Offshore - CF Class-32 Cost Class-c02 - Senegal</t>
  </si>
  <si>
    <t>ELC_Win-SEN</t>
  </si>
  <si>
    <t>EN_WON_19_c02_GRC</t>
  </si>
  <si>
    <t>Wind Onshore - CF Class-19 Cost Class-c02 - Greece</t>
  </si>
  <si>
    <t>EN_WOF_33_c02_SEN</t>
  </si>
  <si>
    <t>Wind Offshore - CF Class-33 Cost Class-c02 - Senegal</t>
  </si>
  <si>
    <t>EN_WON_19_c03_GRC</t>
  </si>
  <si>
    <t>Wind Onshore - CF Class-19 Cost Class-c03 - Greece</t>
  </si>
  <si>
    <t>EN_WOF_35_c02_SEN</t>
  </si>
  <si>
    <t>Wind Offshore - CF Class-35 Cost Class-c02 - Senegal</t>
  </si>
  <si>
    <t>EN_WON_20_c02_GRC</t>
  </si>
  <si>
    <t>Wind Onshore - CF Class-20 Cost Class-c02 - Greece</t>
  </si>
  <si>
    <t>EN_WOF_36_c02_SEN</t>
  </si>
  <si>
    <t>Wind Offshore - CF Class-36 Cost Class-c02 - Senegal</t>
  </si>
  <si>
    <t>EN_WON_20_c03_GRC</t>
  </si>
  <si>
    <t>Wind Onshore - CF Class-20 Cost Class-c03 - Greece</t>
  </si>
  <si>
    <t>EN_WOF_38_c02_SEN</t>
  </si>
  <si>
    <t>Wind Offshore - CF Class-38 Cost Class-c02 - Senegal</t>
  </si>
  <si>
    <t>EN_WON_21_c02_GRC</t>
  </si>
  <si>
    <t>Wind Onshore - CF Class-21 Cost Class-c02 - Greece</t>
  </si>
  <si>
    <t>EN_WOF_32_c02_SOM</t>
  </si>
  <si>
    <t>Wind Offshore - CF Class-32 Cost Class-c02 - Somalia</t>
  </si>
  <si>
    <t>ELC_Win-SOM</t>
  </si>
  <si>
    <t>EN_WON_21_c03_GRC</t>
  </si>
  <si>
    <t>Wind Onshore - CF Class-21 Cost Class-c03 - Greece</t>
  </si>
  <si>
    <t>EN_WOF_33_c02_SOM</t>
  </si>
  <si>
    <t>Wind Offshore - CF Class-33 Cost Class-c02 - Somalia</t>
  </si>
  <si>
    <t>EN_WON_21_c04_GRC</t>
  </si>
  <si>
    <t>Wind Onshore - CF Class-21 Cost Class-c04 - Greece</t>
  </si>
  <si>
    <t>EN_WOF_34_c02_SOM</t>
  </si>
  <si>
    <t>Wind Offshore - CF Class-34 Cost Class-c02 - Somalia</t>
  </si>
  <si>
    <t>EN_WON_22_c03_GRC</t>
  </si>
  <si>
    <t>Wind Onshore - CF Class-22 Cost Class-c03 - Greece</t>
  </si>
  <si>
    <t>EN_WOF_35_c02_SOM</t>
  </si>
  <si>
    <t>Wind Offshore - CF Class-35 Cost Class-c02 - Somalia</t>
  </si>
  <si>
    <t>EN_WON_22_c04_GRC</t>
  </si>
  <si>
    <t>Wind Onshore - CF Class-22 Cost Class-c04 - Greece</t>
  </si>
  <si>
    <t>EN_WOF_37_c02_SOM</t>
  </si>
  <si>
    <t>Wind Offshore - CF Class-37 Cost Class-c02 - Somalia</t>
  </si>
  <si>
    <t>EN_WON_23_c02_GRC</t>
  </si>
  <si>
    <t>Wind Onshore - CF Class-23 Cost Class-c02 - Greece</t>
  </si>
  <si>
    <t>EN_WOF_38_c02_SOM</t>
  </si>
  <si>
    <t>Wind Offshore - CF Class-38 Cost Class-c02 - Somalia</t>
  </si>
  <si>
    <t>EN_WON_23_c03_GRC</t>
  </si>
  <si>
    <t>Wind Onshore - CF Class-23 Cost Class-c03 - Greece</t>
  </si>
  <si>
    <t>EN_WOF_39_c02_SOM</t>
  </si>
  <si>
    <t>Wind Offshore - CF Class-39 Cost Class-c02 - Somalia</t>
  </si>
  <si>
    <t>EN_WON_23_c04_GRC</t>
  </si>
  <si>
    <t>Wind Onshore - CF Class-23 Cost Class-c04 - Greece</t>
  </si>
  <si>
    <t>EN_WOF_41_c02_SOM</t>
  </si>
  <si>
    <t>Wind Offshore - CF Class-41 Cost Class-c02 - Somalia</t>
  </si>
  <si>
    <t>EN_WON_24_c02_GRC</t>
  </si>
  <si>
    <t>Wind Onshore - CF Class-24 Cost Class-c02 - Greece</t>
  </si>
  <si>
    <t>EN_WOF_42_c02_SOM</t>
  </si>
  <si>
    <t>Wind Offshore - CF Class-42 Cost Class-c02 - Somalia</t>
  </si>
  <si>
    <t>EN_WON_24_c03_GRC</t>
  </si>
  <si>
    <t>Wind Onshore - CF Class-24 Cost Class-c03 - Greece</t>
  </si>
  <si>
    <t>EN_WOF_43_c02_SOM</t>
  </si>
  <si>
    <t>Wind Offshore - CF Class-43 Cost Class-c02 - Somalia</t>
  </si>
  <si>
    <t>EN_WON_24_c04_GRC</t>
  </si>
  <si>
    <t>Wind Onshore - CF Class-24 Cost Class-c04 - Greece</t>
  </si>
  <si>
    <t>EN_WOF_44_c02_SOM</t>
  </si>
  <si>
    <t>Wind Offshore - CF Class-44 Cost Class-c02 - Somalia</t>
  </si>
  <si>
    <t>EN_WON_25_c01_GRC</t>
  </si>
  <si>
    <t>Wind Onshore - CF Class-25 Cost Class-c01 - Greece</t>
  </si>
  <si>
    <t>EN_WOF_45_c02_SOM</t>
  </si>
  <si>
    <t>Wind Offshore - CF Class-45 Cost Class-c02 - Somalia</t>
  </si>
  <si>
    <t>EN_WON_25_c03_GRC</t>
  </si>
  <si>
    <t>Wind Onshore - CF Class-25 Cost Class-c03 - Greece</t>
  </si>
  <si>
    <t>EN_WOF_46_c02_SOM</t>
  </si>
  <si>
    <t>Wind Offshore - CF Class-46 Cost Class-c02 - Somalia</t>
  </si>
  <si>
    <t>EN_WON_25_c04_GRC</t>
  </si>
  <si>
    <t>Wind Onshore - CF Class-25 Cost Class-c04 - Greece</t>
  </si>
  <si>
    <t>EN_WOF_47_c02_SOM</t>
  </si>
  <si>
    <t>Wind Offshore - CF Class-47 Cost Class-c02 - Somalia</t>
  </si>
  <si>
    <t>EN_WON_26_c04_GRC</t>
  </si>
  <si>
    <t>Wind Onshore - CF Class-26 Cost Class-c04 - Greece</t>
  </si>
  <si>
    <t>EN_WOF_48_c02_SOM</t>
  </si>
  <si>
    <t>Wind Offshore - CF Class-48 Cost Class-c02 - Somalia</t>
  </si>
  <si>
    <t>EN_WON_27_c02_GRC</t>
  </si>
  <si>
    <t>Wind Onshore - CF Class-27 Cost Class-c02 - Greece</t>
  </si>
  <si>
    <t>EN_WOF_49_c02_SOM</t>
  </si>
  <si>
    <t>Wind Offshore - CF Class-49 Cost Class-c02 - Somalia</t>
  </si>
  <si>
    <t>EN_WON_27_c03_GRC</t>
  </si>
  <si>
    <t>Wind Onshore - CF Class-27 Cost Class-c03 - Greece</t>
  </si>
  <si>
    <t>EN_WOF_50_c02_SOM</t>
  </si>
  <si>
    <t>Wind Offshore - CF Class-50 Cost Class-c02 - Somalia</t>
  </si>
  <si>
    <t>EN_WON_28_c02_GRC</t>
  </si>
  <si>
    <t>Wind Onshore - CF Class-28 Cost Class-c02 - Greece</t>
  </si>
  <si>
    <t>EN_WOF_51_c02_SOM</t>
  </si>
  <si>
    <t>Wind Offshore - CF Class-51 Cost Class-c02 - Somalia</t>
  </si>
  <si>
    <t>EN_WON_28_c03_GRC</t>
  </si>
  <si>
    <t>Wind Onshore - CF Class-28 Cost Class-c03 - Greece</t>
  </si>
  <si>
    <t>EN_WOF_52_c02_SOM</t>
  </si>
  <si>
    <t>Wind Offshore - CF Class-52 Cost Class-c02 - Somalia</t>
  </si>
  <si>
    <t>EN_WON_29_c01_GRC</t>
  </si>
  <si>
    <t>Wind Onshore - CF Class-29 Cost Class-c01 - Greece</t>
  </si>
  <si>
    <t>EN_WOF_53_c02_SOM</t>
  </si>
  <si>
    <t>Wind Offshore - CF Class-53 Cost Class-c02 - Somalia</t>
  </si>
  <si>
    <t>EN_WON_29_c02_GRC</t>
  </si>
  <si>
    <t>Wind Onshore - CF Class-29 Cost Class-c02 - Greece</t>
  </si>
  <si>
    <t>EN_WOF_54_c02_SOM</t>
  </si>
  <si>
    <t>Wind Offshore - CF Class-54 Cost Class-c02 - Somalia</t>
  </si>
  <si>
    <t>EN_WON_29_c03_GRC</t>
  </si>
  <si>
    <t>Wind Onshore - CF Class-29 Cost Class-c03 - Greece</t>
  </si>
  <si>
    <t>EN_WOF_55_c02_SOM</t>
  </si>
  <si>
    <t>Wind Offshore - CF Class-55 Cost Class-c02 - Somalia</t>
  </si>
  <si>
    <t>EN_WON_29_c04_GRC</t>
  </si>
  <si>
    <t>Wind Onshore - CF Class-29 Cost Class-c04 - Greece</t>
  </si>
  <si>
    <t>EN_WOF_56_c02_SOM</t>
  </si>
  <si>
    <t>Wind Offshore - CF Class-56 Cost Class-c02 - Somalia</t>
  </si>
  <si>
    <t>EN_WON_31_c02_GRC</t>
  </si>
  <si>
    <t>Wind Onshore - CF Class-31 Cost Class-c02 - Greece</t>
  </si>
  <si>
    <t>EN_WOF_40_c02_SWE</t>
  </si>
  <si>
    <t>Wind Offshore - CF Class-40 Cost Class-c02 - Sweden</t>
  </si>
  <si>
    <t>ELC_Win-SWE</t>
  </si>
  <si>
    <t>EN_WON_32_c02_GRC</t>
  </si>
  <si>
    <t>Wind Onshore - CF Class-32 Cost Class-c02 - Greece</t>
  </si>
  <si>
    <t>EN_WOF_41_c02_SWE</t>
  </si>
  <si>
    <t>Wind Offshore - CF Class-41 Cost Class-c02 - Sweden</t>
  </si>
  <si>
    <t>EN_WON_33_c03_GRC</t>
  </si>
  <si>
    <t>Wind Onshore - CF Class-33 Cost Class-c03 - Greece</t>
  </si>
  <si>
    <t>EN_WOF_42_c02_SWE</t>
  </si>
  <si>
    <t>Wind Offshore - CF Class-42 Cost Class-c02 - Sweden</t>
  </si>
  <si>
    <t>EN_WON_34_c02_GRC</t>
  </si>
  <si>
    <t>Wind Onshore - CF Class-34 Cost Class-c02 - Greece</t>
  </si>
  <si>
    <t>EN_WOF_43_c02_SWE</t>
  </si>
  <si>
    <t>Wind Offshore - CF Class-43 Cost Class-c02 - Sweden</t>
  </si>
  <si>
    <t>EN_WON_34_c03_GRC</t>
  </si>
  <si>
    <t>Wind Onshore - CF Class-34 Cost Class-c03 - Greece</t>
  </si>
  <si>
    <t>EN_WOF_44_c02_SWE</t>
  </si>
  <si>
    <t>Wind Offshore - CF Class-44 Cost Class-c02 - Sweden</t>
  </si>
  <si>
    <t>EN_WON_35_c01_GRC</t>
  </si>
  <si>
    <t>Wind Onshore - CF Class-35 Cost Class-c01 - Greece</t>
  </si>
  <si>
    <t>EN_WOF_45_c02_SWE</t>
  </si>
  <si>
    <t>Wind Offshore - CF Class-45 Cost Class-c02 - Sweden</t>
  </si>
  <si>
    <t>EN_WON_36_c01_GRC</t>
  </si>
  <si>
    <t>Wind Onshore - CF Class-36 Cost Class-c01 - Greece</t>
  </si>
  <si>
    <t>EN_WOF_46_c02_SWE</t>
  </si>
  <si>
    <t>Wind Offshore - CF Class-46 Cost Class-c02 - Sweden</t>
  </si>
  <si>
    <t>EN_WON_36_c02_GRC</t>
  </si>
  <si>
    <t>Wind Onshore - CF Class-36 Cost Class-c02 - Greece</t>
  </si>
  <si>
    <t>EN_WOF_47_c02_SWE</t>
  </si>
  <si>
    <t>Wind Offshore - CF Class-47 Cost Class-c02 - Sweden</t>
  </si>
  <si>
    <t>EN_WON_37_c01_GRC</t>
  </si>
  <si>
    <t>Wind Onshore - CF Class-37 Cost Class-c01 - Greece</t>
  </si>
  <si>
    <t>EN_WOF_48_c02_SWE</t>
  </si>
  <si>
    <t>Wind Offshore - CF Class-48 Cost Class-c02 - Sweden</t>
  </si>
  <si>
    <t>EN_WON_37_c02_GRC</t>
  </si>
  <si>
    <t>Wind Onshore - CF Class-37 Cost Class-c02 - Greece</t>
  </si>
  <si>
    <t>EN_WOF_49_c02_SWE</t>
  </si>
  <si>
    <t>Wind Offshore - CF Class-49 Cost Class-c02 - Sweden</t>
  </si>
  <si>
    <t>EN_WON_38_c01_GRC</t>
  </si>
  <si>
    <t>Wind Onshore - CF Class-38 Cost Class-c01 - Greece</t>
  </si>
  <si>
    <t>EN_WOF_50_c02_SWE</t>
  </si>
  <si>
    <t>Wind Offshore - CF Class-50 Cost Class-c02 - Sweden</t>
  </si>
  <si>
    <t>EN_WON_39_c01_GRC</t>
  </si>
  <si>
    <t>Wind Onshore - CF Class-39 Cost Class-c01 - Greece</t>
  </si>
  <si>
    <t>EN_WOF_51_c02_SWE</t>
  </si>
  <si>
    <t>Wind Offshore - CF Class-51 Cost Class-c02 - Sweden</t>
  </si>
  <si>
    <t>EN_WON_40_c01_GRC</t>
  </si>
  <si>
    <t>Wind Onshore - CF Class-40 Cost Class-c01 - Greece</t>
  </si>
  <si>
    <t>EN_WOF_34_c02_SYC</t>
  </si>
  <si>
    <t>Wind Offshore - CF Class-34 Cost Class-c02 - Seychelles</t>
  </si>
  <si>
    <t>ELC_Win-SYC</t>
  </si>
  <si>
    <t>SYC</t>
  </si>
  <si>
    <t>EN_WON_40_c02_GRC</t>
  </si>
  <si>
    <t>Wind Onshore - CF Class-40 Cost Class-c02 - Greece</t>
  </si>
  <si>
    <t>EN_WOF_35_c02_SYC</t>
  </si>
  <si>
    <t>Wind Offshore - CF Class-35 Cost Class-c02 - Seychelles</t>
  </si>
  <si>
    <t>EN_WON_40_c03_GRC</t>
  </si>
  <si>
    <t>Wind Onshore - CF Class-40 Cost Class-c03 - Greece</t>
  </si>
  <si>
    <t>EN_WOF_37_c02_SYC</t>
  </si>
  <si>
    <t>Wind Offshore - CF Class-37 Cost Class-c02 - Seychelles</t>
  </si>
  <si>
    <t>EN_WON_41_c01_GRC</t>
  </si>
  <si>
    <t>Wind Onshore - CF Class-41 Cost Class-c01 - Greece</t>
  </si>
  <si>
    <t>EN_WOF_40_c02_SYC</t>
  </si>
  <si>
    <t>Wind Offshore - CF Class-40 Cost Class-c02 - Seychelles</t>
  </si>
  <si>
    <t>EN_WON_42_c01_GRC</t>
  </si>
  <si>
    <t>Wind Onshore - CF Class-42 Cost Class-c01 - Greece</t>
  </si>
  <si>
    <t>EN_WOF_41_c02_SYC</t>
  </si>
  <si>
    <t>Wind Offshore - CF Class-41 Cost Class-c02 - Seychelles</t>
  </si>
  <si>
    <t>EN_WON_43_c01_GRC</t>
  </si>
  <si>
    <t>Wind Onshore - CF Class-43 Cost Class-c01 - Greece</t>
  </si>
  <si>
    <t>EN_WOF_42_c02_SYC</t>
  </si>
  <si>
    <t>Wind Offshore - CF Class-42 Cost Class-c02 - Seychelles</t>
  </si>
  <si>
    <t>EN_WON_44_c01_GRC</t>
  </si>
  <si>
    <t>Wind Onshore - CF Class-44 Cost Class-c01 - Greece</t>
  </si>
  <si>
    <t>EN_WOF_44_c02_SYC</t>
  </si>
  <si>
    <t>Wind Offshore - CF Class-44 Cost Class-c02 - Seychelles</t>
  </si>
  <si>
    <t>EN_WON_46_c01_GRC</t>
  </si>
  <si>
    <t>Wind Onshore - CF Class-46 Cost Class-c01 - Greece</t>
  </si>
  <si>
    <t>EN_WOF_45_c02_SYC</t>
  </si>
  <si>
    <t>Wind Offshore - CF Class-45 Cost Class-c02 - Seychelles</t>
  </si>
  <si>
    <t>EN_WON_48_c01_GRC</t>
  </si>
  <si>
    <t>Wind Onshore - CF Class-48 Cost Class-c01 - Greece</t>
  </si>
  <si>
    <t>EN_WOF_30_c02_SYR</t>
  </si>
  <si>
    <t>Wind Offshore - CF Class-30 Cost Class-c02 - Syrian Arab Republic</t>
  </si>
  <si>
    <t>ELC_Win-SYR</t>
  </si>
  <si>
    <t>EN_WON_49_c01_GRC</t>
  </si>
  <si>
    <t>Wind Onshore - CF Class-49 Cost Class-c01 - Greece</t>
  </si>
  <si>
    <t>EN_WOF_31_c02_TON</t>
  </si>
  <si>
    <t>Wind Offshore - CF Class-31 Cost Class-c02 - Tonga</t>
  </si>
  <si>
    <t>ELC_Win-TON</t>
  </si>
  <si>
    <t>TON</t>
  </si>
  <si>
    <t>EN_WON_51_c01_GRC</t>
  </si>
  <si>
    <t>Wind Onshore - CF Class-51 Cost Class-c01 - Greece</t>
  </si>
  <si>
    <t>EN_WOF_32_c02_TON</t>
  </si>
  <si>
    <t>Wind Offshore - CF Class-32 Cost Class-c02 - Tonga</t>
  </si>
  <si>
    <t>EN_WON_16_c04_GTM</t>
  </si>
  <si>
    <t>Wind Onshore - CF Class-16 Cost Class-c04 - Guatemala</t>
  </si>
  <si>
    <t>ELC_Win-GTM</t>
  </si>
  <si>
    <t>EN_WOF_33_c02_TON</t>
  </si>
  <si>
    <t>Wind Offshore - CF Class-33 Cost Class-c02 - Tonga</t>
  </si>
  <si>
    <t>EN_WON_17_c04_GTM</t>
  </si>
  <si>
    <t>Wind Onshore - CF Class-17 Cost Class-c04 - Guatemala</t>
  </si>
  <si>
    <t>EN_WOF_34_c02_TON</t>
  </si>
  <si>
    <t>Wind Offshore - CF Class-34 Cost Class-c02 - Tonga</t>
  </si>
  <si>
    <t>EN_WON_18_c04_GTM</t>
  </si>
  <si>
    <t>Wind Onshore - CF Class-18 Cost Class-c04 - Guatemala</t>
  </si>
  <si>
    <t>EN_WOF_35_c02_TON</t>
  </si>
  <si>
    <t>Wind Offshore - CF Class-35 Cost Class-c02 - Tonga</t>
  </si>
  <si>
    <t>EN_WON_19_c04_GTM</t>
  </si>
  <si>
    <t>Wind Onshore - CF Class-19 Cost Class-c04 - Guatemala</t>
  </si>
  <si>
    <t>EN_WOF_34_c02_TTO</t>
  </si>
  <si>
    <t>Wind Offshore - CF Class-34 Cost Class-c02 - Trinidad and Tobago</t>
  </si>
  <si>
    <t>ELC_Win-TTO</t>
  </si>
  <si>
    <t>EN_WON_21_c04_GTM</t>
  </si>
  <si>
    <t>Wind Onshore - CF Class-21 Cost Class-c04 - Guatemala</t>
  </si>
  <si>
    <t>EN_WOF_30_c02_TUN</t>
  </si>
  <si>
    <t>Wind Offshore - CF Class-30 Cost Class-c02 - Tunisia</t>
  </si>
  <si>
    <t>ELC_Win-TUN</t>
  </si>
  <si>
    <t>EN_WON_23_c04_GTM</t>
  </si>
  <si>
    <t>Wind Onshore - CF Class-23 Cost Class-c04 - Guatemala</t>
  </si>
  <si>
    <t>EN_WOF_31_c02_TUN</t>
  </si>
  <si>
    <t>Wind Offshore - CF Class-31 Cost Class-c02 - Tunisia</t>
  </si>
  <si>
    <t>EN_WON_26_c04_GTM</t>
  </si>
  <si>
    <t>Wind Onshore - CF Class-26 Cost Class-c04 - Guatemala</t>
  </si>
  <si>
    <t>EN_WOF_32_c02_TUN</t>
  </si>
  <si>
    <t>Wind Offshore - CF Class-32 Cost Class-c02 - Tunisia</t>
  </si>
  <si>
    <t>EN_WON_22_c04_GUY</t>
  </si>
  <si>
    <t>Wind Onshore - CF Class-22 Cost Class-c04 - Guyana</t>
  </si>
  <si>
    <t>ELC_Win-GUY</t>
  </si>
  <si>
    <t>EN_WOF_33_c02_TUN</t>
  </si>
  <si>
    <t>Wind Offshore - CF Class-33 Cost Class-c02 - Tunisia</t>
  </si>
  <si>
    <t>EN_WON_23_c04_GUY</t>
  </si>
  <si>
    <t>Wind Onshore - CF Class-23 Cost Class-c04 - Guyana</t>
  </si>
  <si>
    <t>EN_WOF_34_c02_TUN</t>
  </si>
  <si>
    <t>Wind Offshore - CF Class-34 Cost Class-c02 - Tunisia</t>
  </si>
  <si>
    <t>EN_WON_24_c04_GUY</t>
  </si>
  <si>
    <t>Wind Onshore - CF Class-24 Cost Class-c04 - Guyana</t>
  </si>
  <si>
    <t>EN_WOF_35_c02_TUN</t>
  </si>
  <si>
    <t>Wind Offshore - CF Class-35 Cost Class-c02 - Tunisia</t>
  </si>
  <si>
    <t>EN_WON_25_c03_GUY</t>
  </si>
  <si>
    <t>Wind Onshore - CF Class-25 Cost Class-c03 - Guyana</t>
  </si>
  <si>
    <t>EN_WOF_36_c02_TUN</t>
  </si>
  <si>
    <t>Wind Offshore - CF Class-36 Cost Class-c02 - Tunisia</t>
  </si>
  <si>
    <t>EN_WON_26_c02_GUY</t>
  </si>
  <si>
    <t>Wind Onshore - CF Class-26 Cost Class-c02 - Guyana</t>
  </si>
  <si>
    <t>EN_WOF_37_c02_TUN</t>
  </si>
  <si>
    <t>Wind Offshore - CF Class-37 Cost Class-c02 - Tunisia</t>
  </si>
  <si>
    <t>EN_WON_28_c02_HND</t>
  </si>
  <si>
    <t>Wind Onshore - CF Class-28 Cost Class-c02 - Honduras</t>
  </si>
  <si>
    <t>EN_WOF_38_c02_TUN</t>
  </si>
  <si>
    <t>Wind Offshore - CF Class-38 Cost Class-c02 - Tunisia</t>
  </si>
  <si>
    <t>EN_WON_29_c02_HND</t>
  </si>
  <si>
    <t>Wind Onshore - CF Class-29 Cost Class-c02 - Honduras</t>
  </si>
  <si>
    <t>EN_WOF_30_c02_TUR</t>
  </si>
  <si>
    <t>Wind Offshore - CF Class-30 Cost Class-c02 - Turkey</t>
  </si>
  <si>
    <t>ELC_Win-TUR</t>
  </si>
  <si>
    <t>EN_WON_31_c02_HND</t>
  </si>
  <si>
    <t>Wind Onshore - CF Class-31 Cost Class-c02 - Honduras</t>
  </si>
  <si>
    <t>EN_WOF_31_c02_TUR</t>
  </si>
  <si>
    <t>Wind Offshore - CF Class-31 Cost Class-c02 - Turkey</t>
  </si>
  <si>
    <t>EN_WON_32_c01_HND</t>
  </si>
  <si>
    <t>Wind Onshore - CF Class-32 Cost Class-c01 - Honduras</t>
  </si>
  <si>
    <t>EN_WOF_32_c02_TUR</t>
  </si>
  <si>
    <t>Wind Offshore - CF Class-32 Cost Class-c02 - Turkey</t>
  </si>
  <si>
    <t>EN_WON_18_c02_HRV</t>
  </si>
  <si>
    <t>Wind Onshore - CF Class-18 Cost Class-c02 - Croatia</t>
  </si>
  <si>
    <t>EN_WOF_33_c02_TUR</t>
  </si>
  <si>
    <t>Wind Offshore - CF Class-33 Cost Class-c02 - Turkey</t>
  </si>
  <si>
    <t>EN_WON_18_c03_HRV</t>
  </si>
  <si>
    <t>Wind Onshore - CF Class-18 Cost Class-c03 - Croatia</t>
  </si>
  <si>
    <t>EN_WOF_34_c02_TUR</t>
  </si>
  <si>
    <t>Wind Offshore - CF Class-34 Cost Class-c02 - Turkey</t>
  </si>
  <si>
    <t>EN_WON_19_c02_HRV</t>
  </si>
  <si>
    <t>Wind Onshore - CF Class-19 Cost Class-c02 - Croatia</t>
  </si>
  <si>
    <t>EN_WOF_35_c02_TUR</t>
  </si>
  <si>
    <t>Wind Offshore - CF Class-35 Cost Class-c02 - Turkey</t>
  </si>
  <si>
    <t>EN_WON_20_c02_HRV</t>
  </si>
  <si>
    <t>Wind Onshore - CF Class-20 Cost Class-c02 - Croatia</t>
  </si>
  <si>
    <t>EN_WOF_36_c02_TUR</t>
  </si>
  <si>
    <t>Wind Offshore - CF Class-36 Cost Class-c02 - Turkey</t>
  </si>
  <si>
    <t>EN_WON_21_c01_HRV</t>
  </si>
  <si>
    <t>Wind Onshore - CF Class-21 Cost Class-c01 - Croatia</t>
  </si>
  <si>
    <t>EN_WOF_37_c02_TUR</t>
  </si>
  <si>
    <t>Wind Offshore - CF Class-37 Cost Class-c02 - Turkey</t>
  </si>
  <si>
    <t>EN_WON_21_c02_HRV</t>
  </si>
  <si>
    <t>Wind Onshore - CF Class-21 Cost Class-c02 - Croatia</t>
  </si>
  <si>
    <t>EN_WOF_38_c02_TUR</t>
  </si>
  <si>
    <t>Wind Offshore - CF Class-38 Cost Class-c02 - Turkey</t>
  </si>
  <si>
    <t>EN_WON_21_c03_HRV</t>
  </si>
  <si>
    <t>Wind Onshore - CF Class-21 Cost Class-c03 - Croatia</t>
  </si>
  <si>
    <t>EN_WOF_39_c02_TUR</t>
  </si>
  <si>
    <t>Wind Offshore - CF Class-39 Cost Class-c02 - Turkey</t>
  </si>
  <si>
    <t>EN_WON_22_c03_HRV</t>
  </si>
  <si>
    <t>Wind Onshore - CF Class-22 Cost Class-c03 - Croatia</t>
  </si>
  <si>
    <t>EN_WOF_40_c02_TUR</t>
  </si>
  <si>
    <t>Wind Offshore - CF Class-40 Cost Class-c02 - Turkey</t>
  </si>
  <si>
    <t>EN_WON_23_c02_HRV</t>
  </si>
  <si>
    <t>Wind Onshore - CF Class-23 Cost Class-c02 - Croatia</t>
  </si>
  <si>
    <t>EN_WOF_41_c02_TUR</t>
  </si>
  <si>
    <t>Wind Offshore - CF Class-41 Cost Class-c02 - Turkey</t>
  </si>
  <si>
    <t>EN_WON_23_c03_HRV</t>
  </si>
  <si>
    <t>Wind Onshore - CF Class-23 Cost Class-c03 - Croatia</t>
  </si>
  <si>
    <t>EN_WOF_42_c02_TUR</t>
  </si>
  <si>
    <t>Wind Offshore - CF Class-42 Cost Class-c02 - Turkey</t>
  </si>
  <si>
    <t>EN_WON_24_c02_HRV</t>
  </si>
  <si>
    <t>Wind Onshore - CF Class-24 Cost Class-c02 - Croatia</t>
  </si>
  <si>
    <t>EN_WOF_46_c02_TUR</t>
  </si>
  <si>
    <t>Wind Offshore - CF Class-46 Cost Class-c02 - Turkey</t>
  </si>
  <si>
    <t>EN_WON_24_c03_HRV</t>
  </si>
  <si>
    <t>Wind Onshore - CF Class-24 Cost Class-c03 - Croatia</t>
  </si>
  <si>
    <t>EN_WOF_47_c02_TUR</t>
  </si>
  <si>
    <t>Wind Offshore - CF Class-47 Cost Class-c02 - Turkey</t>
  </si>
  <si>
    <t>EN_WON_25_c02_HRV</t>
  </si>
  <si>
    <t>Wind Onshore - CF Class-25 Cost Class-c02 - Croatia</t>
  </si>
  <si>
    <t>EN_WOF_32_c02_UKR</t>
  </si>
  <si>
    <t>Wind Offshore - CF Class-32 Cost Class-c02 - Ukraine</t>
  </si>
  <si>
    <t>ELC_Win-UKR</t>
  </si>
  <si>
    <t>EN_WON_25_c03_HRV</t>
  </si>
  <si>
    <t>Wind Onshore - CF Class-25 Cost Class-c03 - Croatia</t>
  </si>
  <si>
    <t>EN_WOF_33_c02_UKR</t>
  </si>
  <si>
    <t>Wind Offshore - CF Class-33 Cost Class-c02 - Ukraine</t>
  </si>
  <si>
    <t>EN_WON_26_c02_HRV</t>
  </si>
  <si>
    <t>Wind Onshore - CF Class-26 Cost Class-c02 - Croatia</t>
  </si>
  <si>
    <t>EN_WOF_34_c02_UKR</t>
  </si>
  <si>
    <t>Wind Offshore - CF Class-34 Cost Class-c02 - Ukraine</t>
  </si>
  <si>
    <t>EN_WON_26_c03_HRV</t>
  </si>
  <si>
    <t>Wind Onshore - CF Class-26 Cost Class-c03 - Croatia</t>
  </si>
  <si>
    <t>EN_WOF_35_c02_UKR</t>
  </si>
  <si>
    <t>Wind Offshore - CF Class-35 Cost Class-c02 - Ukraine</t>
  </si>
  <si>
    <t>EN_WON_27_c02_HRV</t>
  </si>
  <si>
    <t>Wind Onshore - CF Class-27 Cost Class-c02 - Croatia</t>
  </si>
  <si>
    <t>EN_WOF_36_c02_UKR</t>
  </si>
  <si>
    <t>Wind Offshore - CF Class-36 Cost Class-c02 - Ukraine</t>
  </si>
  <si>
    <t>EN_WON_27_c03_HRV</t>
  </si>
  <si>
    <t>Wind Onshore - CF Class-27 Cost Class-c03 - Croatia</t>
  </si>
  <si>
    <t>EN_WOF_39_c02_URY</t>
  </si>
  <si>
    <t>Wind Offshore - CF Class-39 Cost Class-c02 - Uruguay</t>
  </si>
  <si>
    <t>ELC_Win-URY</t>
  </si>
  <si>
    <t>EN_WON_28_c02_HRV</t>
  </si>
  <si>
    <t>Wind Onshore - CF Class-28 Cost Class-c02 - Croatia</t>
  </si>
  <si>
    <t>EN_WOF_43_c02_URY</t>
  </si>
  <si>
    <t>Wind Offshore - CF Class-43 Cost Class-c02 - Uruguay</t>
  </si>
  <si>
    <t>EN_WON_28_c04_HRV</t>
  </si>
  <si>
    <t>Wind Onshore - CF Class-28 Cost Class-c04 - Croatia</t>
  </si>
  <si>
    <t>EN_WOF_44_c02_URY</t>
  </si>
  <si>
    <t>Wind Offshore - CF Class-44 Cost Class-c02 - Uruguay</t>
  </si>
  <si>
    <t>EN_WON_29_c02_HRV</t>
  </si>
  <si>
    <t>Wind Onshore - CF Class-29 Cost Class-c02 - Croatia</t>
  </si>
  <si>
    <t>EN_WOF_45_c02_URY</t>
  </si>
  <si>
    <t>Wind Offshore - CF Class-45 Cost Class-c02 - Uruguay</t>
  </si>
  <si>
    <t>EN_WON_29_c03_HRV</t>
  </si>
  <si>
    <t>Wind Onshore - CF Class-29 Cost Class-c03 - Croatia</t>
  </si>
  <si>
    <t>EN_WOF_46_c02_URY</t>
  </si>
  <si>
    <t>Wind Offshore - CF Class-46 Cost Class-c02 - Uruguay</t>
  </si>
  <si>
    <t>EN_WON_31_c01_HRV</t>
  </si>
  <si>
    <t>Wind Onshore - CF Class-31 Cost Class-c01 - Croatia</t>
  </si>
  <si>
    <t>EN_WOF_47_c02_URY</t>
  </si>
  <si>
    <t>Wind Offshore - CF Class-47 Cost Class-c02 - Uruguay</t>
  </si>
  <si>
    <t>EN_WON_35_c01_HRV</t>
  </si>
  <si>
    <t>Wind Onshore - CF Class-35 Cost Class-c01 - Croatia</t>
  </si>
  <si>
    <t>EN_WOF_48_c02_URY</t>
  </si>
  <si>
    <t>Wind Offshore - CF Class-48 Cost Class-c02 - Uruguay</t>
  </si>
  <si>
    <t>EN_WON_27_c04_HTI</t>
  </si>
  <si>
    <t>Wind Onshore - CF Class-27 Cost Class-c04 - Haiti</t>
  </si>
  <si>
    <t>EN_WOF_49_c02_URY</t>
  </si>
  <si>
    <t>Wind Offshore - CF Class-49 Cost Class-c02 - Uruguay</t>
  </si>
  <si>
    <t>EN_WON_29_c04_HTI</t>
  </si>
  <si>
    <t>Wind Onshore - CF Class-29 Cost Class-c04 - Haiti</t>
  </si>
  <si>
    <t>EN_WOF_50_c02_URY</t>
  </si>
  <si>
    <t>Wind Offshore - CF Class-50 Cost Class-c02 - Uruguay</t>
  </si>
  <si>
    <t>EN_WON_20_c02_HUN</t>
  </si>
  <si>
    <t>Wind Onshore - CF Class-20 Cost Class-c02 - Hungary</t>
  </si>
  <si>
    <t>ELC_Win-HUN</t>
  </si>
  <si>
    <t>EN_WOF_51_c02_URY</t>
  </si>
  <si>
    <t>Wind Offshore - CF Class-51 Cost Class-c02 - Uruguay</t>
  </si>
  <si>
    <t>EN_WON_21_c01_HUN</t>
  </si>
  <si>
    <t>Wind Onshore - CF Class-21 Cost Class-c01 - Hungary</t>
  </si>
  <si>
    <t>EN_WOF_30_c02_USA</t>
  </si>
  <si>
    <t>Wind Offshore - CF Class-30 Cost Class-c02 - United States</t>
  </si>
  <si>
    <t>ELC_Win-USA</t>
  </si>
  <si>
    <t>EN_WON_21_c02_HUN</t>
  </si>
  <si>
    <t>Wind Onshore - CF Class-21 Cost Class-c02 - Hungary</t>
  </si>
  <si>
    <t>EN_WOF_31_c02_USA</t>
  </si>
  <si>
    <t>Wind Offshore - CF Class-31 Cost Class-c02 - United States</t>
  </si>
  <si>
    <t>EN_WON_22_c01_HUN</t>
  </si>
  <si>
    <t>Wind Onshore - CF Class-22 Cost Class-c01 - Hungary</t>
  </si>
  <si>
    <t>EN_WOF_36_c02_USA</t>
  </si>
  <si>
    <t>Wind Offshore - CF Class-36 Cost Class-c02 - United States</t>
  </si>
  <si>
    <t>EN_WON_22_c02_HUN</t>
  </si>
  <si>
    <t>Wind Onshore - CF Class-22 Cost Class-c02 - Hungary</t>
  </si>
  <si>
    <t>EN_WOF_40_c02_USA</t>
  </si>
  <si>
    <t>Wind Offshore - CF Class-40 Cost Class-c02 - United States</t>
  </si>
  <si>
    <t>EN_WON_23_c01_HUN</t>
  </si>
  <si>
    <t>Wind Onshore - CF Class-23 Cost Class-c01 - Hungary</t>
  </si>
  <si>
    <t>EN_WOF_41_c02_USA</t>
  </si>
  <si>
    <t>Wind Offshore - CF Class-41 Cost Class-c02 - United States</t>
  </si>
  <si>
    <t>EN_WON_23_c02_HUN</t>
  </si>
  <si>
    <t>Wind Onshore - CF Class-23 Cost Class-c02 - Hungary</t>
  </si>
  <si>
    <t>EN_WOF_42_c02_USA</t>
  </si>
  <si>
    <t>Wind Offshore - CF Class-42 Cost Class-c02 - United States</t>
  </si>
  <si>
    <t>EN_WON_23_c03_HUN</t>
  </si>
  <si>
    <t>Wind Onshore - CF Class-23 Cost Class-c03 - Hungary</t>
  </si>
  <si>
    <t>EN_WOF_43_c02_USA</t>
  </si>
  <si>
    <t>Wind Offshore - CF Class-43 Cost Class-c02 - United States</t>
  </si>
  <si>
    <t>EN_WON_24_c01_HUN</t>
  </si>
  <si>
    <t>Wind Onshore - CF Class-24 Cost Class-c01 - Hungary</t>
  </si>
  <si>
    <t>EN_WOF_44_c02_USA</t>
  </si>
  <si>
    <t>Wind Offshore - CF Class-44 Cost Class-c02 - United States</t>
  </si>
  <si>
    <t>EN_WON_24_c02_HUN</t>
  </si>
  <si>
    <t>Wind Onshore - CF Class-24 Cost Class-c02 - Hungary</t>
  </si>
  <si>
    <t>EN_WOF_45_c02_USA</t>
  </si>
  <si>
    <t>Wind Offshore - CF Class-45 Cost Class-c02 - United States</t>
  </si>
  <si>
    <t>EN_WON_25_c01_HUN</t>
  </si>
  <si>
    <t>Wind Onshore - CF Class-25 Cost Class-c01 - Hungary</t>
  </si>
  <si>
    <t>EN_WOF_46_c02_USA</t>
  </si>
  <si>
    <t>Wind Offshore - CF Class-46 Cost Class-c02 - United States</t>
  </si>
  <si>
    <t>EN_WON_26_c01_HUN</t>
  </si>
  <si>
    <t>Wind Onshore - CF Class-26 Cost Class-c01 - Hungary</t>
  </si>
  <si>
    <t>EN_WOF_47_c02_USA</t>
  </si>
  <si>
    <t>Wind Offshore - CF Class-47 Cost Class-c02 - United States</t>
  </si>
  <si>
    <t>EN_WON_27_c02_HUN</t>
  </si>
  <si>
    <t>Wind Onshore - CF Class-27 Cost Class-c02 - Hungary</t>
  </si>
  <si>
    <t>EN_WOF_48_c02_USA</t>
  </si>
  <si>
    <t>Wind Offshore - CF Class-48 Cost Class-c02 - United States</t>
  </si>
  <si>
    <t>EN_WON_29_c01_HUN</t>
  </si>
  <si>
    <t>Wind Onshore - CF Class-29 Cost Class-c01 - Hungary</t>
  </si>
  <si>
    <t>EN_WOF_49_c02_USA</t>
  </si>
  <si>
    <t>Wind Offshore - CF Class-49 Cost Class-c02 - United States</t>
  </si>
  <si>
    <t>EN_WON_30_c01_HUN</t>
  </si>
  <si>
    <t>Wind Onshore - CF Class-30 Cost Class-c01 - Hungary</t>
  </si>
  <si>
    <t>EN_WOF_33_c02_VCT</t>
  </si>
  <si>
    <t>Wind Offshore - CF Class-33 Cost Class-c02 - St. Vincent and the Grenadines</t>
  </si>
  <si>
    <t>ELC_Win-VCT</t>
  </si>
  <si>
    <t>VCT</t>
  </si>
  <si>
    <t>EN_WON_15_c04_IDN</t>
  </si>
  <si>
    <t>Wind Onshore - CF Class-15 Cost Class-c04 - Indonesia</t>
  </si>
  <si>
    <t>EN_WOF_35_c02_VCT</t>
  </si>
  <si>
    <t>Wind Offshore - CF Class-35 Cost Class-c02 - St. Vincent and the Grenadines</t>
  </si>
  <si>
    <t>EN_WON_16_c03_IDN</t>
  </si>
  <si>
    <t>Wind Onshore - CF Class-16 Cost Class-c03 - Indonesia</t>
  </si>
  <si>
    <t>EN_WOF_37_c02_VCT</t>
  </si>
  <si>
    <t>Wind Offshore - CF Class-37 Cost Class-c02 - St. Vincent and the Grenadines</t>
  </si>
  <si>
    <t>EN_WON_16_c04_IDN</t>
  </si>
  <si>
    <t>Wind Onshore - CF Class-16 Cost Class-c04 - Indonesia</t>
  </si>
  <si>
    <t>EN_WOF_30_c02_VEN</t>
  </si>
  <si>
    <t>Wind Offshore - CF Class-30 Cost Class-c02 - Venezuela</t>
  </si>
  <si>
    <t>ELC_Win-VEN</t>
  </si>
  <si>
    <t>EN_WON_17_c02_IDN</t>
  </si>
  <si>
    <t>Wind Onshore - CF Class-17 Cost Class-c02 - Indonesia</t>
  </si>
  <si>
    <t>EN_WOF_31_c02_VEN</t>
  </si>
  <si>
    <t>Wind Offshore - CF Class-31 Cost Class-c02 - Venezuela</t>
  </si>
  <si>
    <t>EN_WON_17_c04_IDN</t>
  </si>
  <si>
    <t>Wind Onshore - CF Class-17 Cost Class-c04 - Indonesia</t>
  </si>
  <si>
    <t>EN_WOF_32_c02_VEN</t>
  </si>
  <si>
    <t>Wind Offshore - CF Class-32 Cost Class-c02 - Venezuela</t>
  </si>
  <si>
    <t>EN_WON_18_c04_IDN</t>
  </si>
  <si>
    <t>Wind Onshore - CF Class-18 Cost Class-c04 - Indonesia</t>
  </si>
  <si>
    <t>EN_WOF_33_c02_VEN</t>
  </si>
  <si>
    <t>Wind Offshore - CF Class-33 Cost Class-c02 - Venezuela</t>
  </si>
  <si>
    <t>EN_WON_19_c03_IDN</t>
  </si>
  <si>
    <t>Wind Onshore - CF Class-19 Cost Class-c03 - Indonesia</t>
  </si>
  <si>
    <t>EN_WOF_34_c02_VEN</t>
  </si>
  <si>
    <t>Wind Offshore - CF Class-34 Cost Class-c02 - Venezuela</t>
  </si>
  <si>
    <t>EN_WON_19_c04_IDN</t>
  </si>
  <si>
    <t>Wind Onshore - CF Class-19 Cost Class-c04 - Indonesia</t>
  </si>
  <si>
    <t>EN_WOF_35_c02_VEN</t>
  </si>
  <si>
    <t>Wind Offshore - CF Class-35 Cost Class-c02 - Venezuela</t>
  </si>
  <si>
    <t>EN_WON_20_c02_IDN</t>
  </si>
  <si>
    <t>Wind Onshore - CF Class-20 Cost Class-c02 - Indonesia</t>
  </si>
  <si>
    <t>EN_WOF_37_c02_VEN</t>
  </si>
  <si>
    <t>Wind Offshore - CF Class-37 Cost Class-c02 - Venezuela</t>
  </si>
  <si>
    <t>EN_WON_20_c03_IDN</t>
  </si>
  <si>
    <t>Wind Onshore - CF Class-20 Cost Class-c03 - Indonesia</t>
  </si>
  <si>
    <t>EN_WOF_38_c02_VEN</t>
  </si>
  <si>
    <t>Wind Offshore - CF Class-38 Cost Class-c02 - Venezuela</t>
  </si>
  <si>
    <t>EN_WON_20_c04_IDN</t>
  </si>
  <si>
    <t>Wind Onshore - CF Class-20 Cost Class-c04 - Indonesia</t>
  </si>
  <si>
    <t>EN_WOF_39_c02_VEN</t>
  </si>
  <si>
    <t>Wind Offshore - CF Class-39 Cost Class-c02 - Venezuela</t>
  </si>
  <si>
    <t>EN_WON_21_c04_IDN</t>
  </si>
  <si>
    <t>Wind Onshore - CF Class-21 Cost Class-c04 - Indonesia</t>
  </si>
  <si>
    <t>EN_WOF_40_c02_VEN</t>
  </si>
  <si>
    <t>Wind Offshore - CF Class-40 Cost Class-c02 - Venezuela</t>
  </si>
  <si>
    <t>EN_WON_22_c03_IDN</t>
  </si>
  <si>
    <t>Wind Onshore - CF Class-22 Cost Class-c03 - Indonesia</t>
  </si>
  <si>
    <t>EN_WOF_41_c02_VEN</t>
  </si>
  <si>
    <t>Wind Offshore - CF Class-41 Cost Class-c02 - Venezuela</t>
  </si>
  <si>
    <t>EN_WON_22_c04_IDN</t>
  </si>
  <si>
    <t>Wind Onshore - CF Class-22 Cost Class-c04 - Indonesia</t>
  </si>
  <si>
    <t>EN_WOF_42_c02_VEN</t>
  </si>
  <si>
    <t>Wind Offshore - CF Class-42 Cost Class-c02 - Venezuela</t>
  </si>
  <si>
    <t>EN_WON_23_c04_IDN</t>
  </si>
  <si>
    <t>Wind Onshore - CF Class-23 Cost Class-c04 - Indonesia</t>
  </si>
  <si>
    <t>EN_WOF_43_c02_VEN</t>
  </si>
  <si>
    <t>Wind Offshore - CF Class-43 Cost Class-c02 - Venezuela</t>
  </si>
  <si>
    <t>EN_WON_24_c02_IDN</t>
  </si>
  <si>
    <t>Wind Onshore - CF Class-24 Cost Class-c02 - Indonesia</t>
  </si>
  <si>
    <t>EN_WOF_44_c02_VEN</t>
  </si>
  <si>
    <t>Wind Offshore - CF Class-44 Cost Class-c02 - Venezuela</t>
  </si>
  <si>
    <t>EN_WON_24_c04_IDN</t>
  </si>
  <si>
    <t>Wind Onshore - CF Class-24 Cost Class-c04 - Indonesia</t>
  </si>
  <si>
    <t>EN_WOF_45_c02_VEN</t>
  </si>
  <si>
    <t>Wind Offshore - CF Class-45 Cost Class-c02 - Venezuela</t>
  </si>
  <si>
    <t>EN_WON_25_c04_IDN</t>
  </si>
  <si>
    <t>Wind Onshore - CF Class-25 Cost Class-c04 - Indonesia</t>
  </si>
  <si>
    <t>EN_WOF_46_c02_VEN</t>
  </si>
  <si>
    <t>Wind Offshore - CF Class-46 Cost Class-c02 - Venezuela</t>
  </si>
  <si>
    <t>EN_WON_26_c04_IDN</t>
  </si>
  <si>
    <t>Wind Onshore - CF Class-26 Cost Class-c04 - Indonesia</t>
  </si>
  <si>
    <t>EN_WOF_47_c02_VEN</t>
  </si>
  <si>
    <t>Wind Offshore - CF Class-47 Cost Class-c02 - Venezuela</t>
  </si>
  <si>
    <t>EN_WON_28_c02_IDN</t>
  </si>
  <si>
    <t>Wind Onshore - CF Class-28 Cost Class-c02 - Indonesia</t>
  </si>
  <si>
    <t>EN_WOF_48_c02_VEN</t>
  </si>
  <si>
    <t>Wind Offshore - CF Class-48 Cost Class-c02 - Venezuela</t>
  </si>
  <si>
    <t>EN_WON_15_c02_IND</t>
  </si>
  <si>
    <t>Wind Onshore - CF Class-15 Cost Class-c02 - India</t>
  </si>
  <si>
    <t>EN_WOF_50_c02_VEN</t>
  </si>
  <si>
    <t>Wind Offshore - CF Class-50 Cost Class-c02 - Venezuela</t>
  </si>
  <si>
    <t>EN_WON_15_c03_IND</t>
  </si>
  <si>
    <t>Wind Onshore - CF Class-15 Cost Class-c03 - India</t>
  </si>
  <si>
    <t>EN_WOF_51_c02_VEN</t>
  </si>
  <si>
    <t>Wind Offshore - CF Class-51 Cost Class-c02 - Venezuela</t>
  </si>
  <si>
    <t>EN_WON_15_c04_IND</t>
  </si>
  <si>
    <t>Wind Onshore - CF Class-15 Cost Class-c04 - India</t>
  </si>
  <si>
    <t>EN_WOF_54_c02_VEN</t>
  </si>
  <si>
    <t>Wind Offshore - CF Class-54 Cost Class-c02 - Venezuela</t>
  </si>
  <si>
    <t>EN_WON_16_c02_IND</t>
  </si>
  <si>
    <t>Wind Onshore - CF Class-16 Cost Class-c02 - India</t>
  </si>
  <si>
    <t>EN_WOF_55_c02_VEN</t>
  </si>
  <si>
    <t>Wind Offshore - CF Class-55 Cost Class-c02 - Venezuela</t>
  </si>
  <si>
    <t>EN_WON_16_c03_IND</t>
  </si>
  <si>
    <t>Wind Onshore - CF Class-16 Cost Class-c03 - India</t>
  </si>
  <si>
    <t>EN_WOF_58_c02_VEN</t>
  </si>
  <si>
    <t>Wind Offshore - CF Class-58 Cost Class-c02 - Venezuela</t>
  </si>
  <si>
    <t>EN_WON_16_c04_IND</t>
  </si>
  <si>
    <t>Wind Onshore - CF Class-16 Cost Class-c04 - India</t>
  </si>
  <si>
    <t>EN_WOF_61_c02_VEN</t>
  </si>
  <si>
    <t>Wind Offshore - CF Class-61 Cost Class-c02 - Venezuela</t>
  </si>
  <si>
    <t>EN_WON_17_c02_IND</t>
  </si>
  <si>
    <t>Wind Onshore - CF Class-17 Cost Class-c02 - India</t>
  </si>
  <si>
    <t>EN_WOF_62_c02_VEN</t>
  </si>
  <si>
    <t>Wind Offshore - CF Class-62 Cost Class-c02 - Venezuela</t>
  </si>
  <si>
    <t>EN_WON_17_c03_IND</t>
  </si>
  <si>
    <t>Wind Onshore - CF Class-17 Cost Class-c03 - India</t>
  </si>
  <si>
    <t>EN_WOF_63_c02_VEN</t>
  </si>
  <si>
    <t>Wind Offshore - CF Class-63 Cost Class-c02 - Venezuela</t>
  </si>
  <si>
    <t>EN_WON_17_c04_IND</t>
  </si>
  <si>
    <t>Wind Onshore - CF Class-17 Cost Class-c04 - India</t>
  </si>
  <si>
    <t>EN_WOF_64_c02_VEN</t>
  </si>
  <si>
    <t>Wind Offshore - CF Class-64 Cost Class-c02 - Venezuela</t>
  </si>
  <si>
    <t>EN_WON_18_c02_IND</t>
  </si>
  <si>
    <t>Wind Onshore - CF Class-18 Cost Class-c02 - India</t>
  </si>
  <si>
    <t>EN_WOF_30_c02_VNM</t>
  </si>
  <si>
    <t>Wind Offshore - CF Class-30 Cost Class-c02 - Vietnam</t>
  </si>
  <si>
    <t>ELC_Win-VNM</t>
  </si>
  <si>
    <t>EN_WON_18_c03_IND</t>
  </si>
  <si>
    <t>Wind Onshore - CF Class-18 Cost Class-c03 - India</t>
  </si>
  <si>
    <t>EN_WOF_31_c01_VNM</t>
  </si>
  <si>
    <t>Wind Offshore - CF Class-31 Cost Class-c01 - Vietnam</t>
  </si>
  <si>
    <t>EN_WON_18_c04_IND</t>
  </si>
  <si>
    <t>Wind Onshore - CF Class-18 Cost Class-c04 - India</t>
  </si>
  <si>
    <t>EN_WOF_31_c02_VNM</t>
  </si>
  <si>
    <t>Wind Offshore - CF Class-31 Cost Class-c02 - Vietnam</t>
  </si>
  <si>
    <t>EN_WON_19_c02_IND</t>
  </si>
  <si>
    <t>Wind Onshore - CF Class-19 Cost Class-c02 - India</t>
  </si>
  <si>
    <t>EN_WOF_32_c01_VNM</t>
  </si>
  <si>
    <t>Wind Offshore - CF Class-32 Cost Class-c01 - Vietnam</t>
  </si>
  <si>
    <t>EN_WON_19_c03_IND</t>
  </si>
  <si>
    <t>Wind Onshore - CF Class-19 Cost Class-c03 - India</t>
  </si>
  <si>
    <t>EN_WOF_32_c02_VNM</t>
  </si>
  <si>
    <t>Wind Offshore - CF Class-32 Cost Class-c02 - Vietnam</t>
  </si>
  <si>
    <t>EN_WON_19_c04_IND</t>
  </si>
  <si>
    <t>Wind Onshore - CF Class-19 Cost Class-c04 - India</t>
  </si>
  <si>
    <t>EN_WOF_33_c01_VNM</t>
  </si>
  <si>
    <t>Wind Offshore - CF Class-33 Cost Class-c01 - Vietnam</t>
  </si>
  <si>
    <t>EN_WON_20_c01_IND</t>
  </si>
  <si>
    <t>Wind Onshore - CF Class-20 Cost Class-c01 - India</t>
  </si>
  <si>
    <t>EN_WOF_33_c02_VNM</t>
  </si>
  <si>
    <t>Wind Offshore - CF Class-33 Cost Class-c02 - Vietnam</t>
  </si>
  <si>
    <t>EN_WON_20_c02_IND</t>
  </si>
  <si>
    <t>Wind Onshore - CF Class-20 Cost Class-c02 - India</t>
  </si>
  <si>
    <t>EN_WOF_34_c01_VNM</t>
  </si>
  <si>
    <t>Wind Offshore - CF Class-34 Cost Class-c01 - Vietnam</t>
  </si>
  <si>
    <t>EN_WON_20_c03_IND</t>
  </si>
  <si>
    <t>Wind Onshore - CF Class-20 Cost Class-c03 - India</t>
  </si>
  <si>
    <t>EN_WOF_34_c02_VNM</t>
  </si>
  <si>
    <t>Wind Offshore - CF Class-34 Cost Class-c02 - Vietnam</t>
  </si>
  <si>
    <t>EN_WON_20_c04_IND</t>
  </si>
  <si>
    <t>Wind Onshore - CF Class-20 Cost Class-c04 - India</t>
  </si>
  <si>
    <t>EN_WOF_35_c01_VNM</t>
  </si>
  <si>
    <t>Wind Offshore - CF Class-35 Cost Class-c01 - Vietnam</t>
  </si>
  <si>
    <t>EN_WON_21_c01_IND</t>
  </si>
  <si>
    <t>Wind Onshore - CF Class-21 Cost Class-c01 - India</t>
  </si>
  <si>
    <t>EN_WOF_35_c02_VNM</t>
  </si>
  <si>
    <t>Wind Offshore - CF Class-35 Cost Class-c02 - Vietnam</t>
  </si>
  <si>
    <t>EN_WON_21_c02_IND</t>
  </si>
  <si>
    <t>Wind Onshore - CF Class-21 Cost Class-c02 - India</t>
  </si>
  <si>
    <t>EN_WOF_36_c01_VNM</t>
  </si>
  <si>
    <t>Wind Offshore - CF Class-36 Cost Class-c01 - Vietnam</t>
  </si>
  <si>
    <t>EN_WON_21_c03_IND</t>
  </si>
  <si>
    <t>Wind Onshore - CF Class-21 Cost Class-c03 - India</t>
  </si>
  <si>
    <t>EN_WOF_36_c02_VNM</t>
  </si>
  <si>
    <t>Wind Offshore - CF Class-36 Cost Class-c02 - Vietnam</t>
  </si>
  <si>
    <t>EN_WON_21_c04_IND</t>
  </si>
  <si>
    <t>Wind Onshore - CF Class-21 Cost Class-c04 - India</t>
  </si>
  <si>
    <t>EN_WOF_37_c01_VNM</t>
  </si>
  <si>
    <t>Wind Offshore - CF Class-37 Cost Class-c01 - Vietnam</t>
  </si>
  <si>
    <t>EN_WON_22_c01_IND</t>
  </si>
  <si>
    <t>Wind Onshore - CF Class-22 Cost Class-c01 - India</t>
  </si>
  <si>
    <t>EN_WOF_37_c02_VNM</t>
  </si>
  <si>
    <t>Wind Offshore - CF Class-37 Cost Class-c02 - Vietnam</t>
  </si>
  <si>
    <t>EN_WON_22_c02_IND</t>
  </si>
  <si>
    <t>Wind Onshore - CF Class-22 Cost Class-c02 - India</t>
  </si>
  <si>
    <t>EN_WOF_38_c01_VNM</t>
  </si>
  <si>
    <t>Wind Offshore - CF Class-38 Cost Class-c01 - Vietnam</t>
  </si>
  <si>
    <t>EN_WON_22_c03_IND</t>
  </si>
  <si>
    <t>Wind Onshore - CF Class-22 Cost Class-c03 - India</t>
  </si>
  <si>
    <t>EN_WOF_38_c02_VNM</t>
  </si>
  <si>
    <t>Wind Offshore - CF Class-38 Cost Class-c02 - Vietnam</t>
  </si>
  <si>
    <t>EN_WON_22_c04_IND</t>
  </si>
  <si>
    <t>Wind Onshore - CF Class-22 Cost Class-c04 - India</t>
  </si>
  <si>
    <t>EN_WOF_39_c01_VNM</t>
  </si>
  <si>
    <t>Wind Offshore - CF Class-39 Cost Class-c01 - Vietnam</t>
  </si>
  <si>
    <t>EN_WON_23_c01_IND</t>
  </si>
  <si>
    <t>Wind Onshore - CF Class-23 Cost Class-c01 - India</t>
  </si>
  <si>
    <t>EN_WOF_39_c02_VNM</t>
  </si>
  <si>
    <t>Wind Offshore - CF Class-39 Cost Class-c02 - Vietnam</t>
  </si>
  <si>
    <t>EN_WON_23_c02_IND</t>
  </si>
  <si>
    <t>Wind Onshore - CF Class-23 Cost Class-c02 - India</t>
  </si>
  <si>
    <t>EN_WOF_40_c02_VNM</t>
  </si>
  <si>
    <t>Wind Offshore - CF Class-40 Cost Class-c02 - Vietnam</t>
  </si>
  <si>
    <t>EN_WON_23_c03_IND</t>
  </si>
  <si>
    <t>Wind Onshore - CF Class-23 Cost Class-c03 - India</t>
  </si>
  <si>
    <t>EN_WOF_41_c02_VNM</t>
  </si>
  <si>
    <t>Wind Offshore - CF Class-41 Cost Class-c02 - Vietnam</t>
  </si>
  <si>
    <t>EN_WON_23_c04_IND</t>
  </si>
  <si>
    <t>Wind Onshore - CF Class-23 Cost Class-c04 - India</t>
  </si>
  <si>
    <t>EN_WOF_42_c02_VNM</t>
  </si>
  <si>
    <t>Wind Offshore - CF Class-42 Cost Class-c02 - Vietnam</t>
  </si>
  <si>
    <t>EN_WON_24_c01_IND</t>
  </si>
  <si>
    <t>Wind Onshore - CF Class-24 Cost Class-c01 - India</t>
  </si>
  <si>
    <t>EN_WOF_43_c02_VNM</t>
  </si>
  <si>
    <t>Wind Offshore - CF Class-43 Cost Class-c02 - Vietnam</t>
  </si>
  <si>
    <t>EN_WON_24_c02_IND</t>
  </si>
  <si>
    <t>Wind Onshore - CF Class-24 Cost Class-c02 - India</t>
  </si>
  <si>
    <t>EN_WOF_45_c02_VNM</t>
  </si>
  <si>
    <t>Wind Offshore - CF Class-45 Cost Class-c02 - Vietnam</t>
  </si>
  <si>
    <t>EN_WON_24_c03_IND</t>
  </si>
  <si>
    <t>Wind Onshore - CF Class-24 Cost Class-c03 - India</t>
  </si>
  <si>
    <t>EN_WOF_46_c02_VNM</t>
  </si>
  <si>
    <t>Wind Offshore - CF Class-46 Cost Class-c02 - Vietnam</t>
  </si>
  <si>
    <t>EN_WON_25_c01_IND</t>
  </si>
  <si>
    <t>Wind Onshore - CF Class-25 Cost Class-c01 - India</t>
  </si>
  <si>
    <t>EN_WOF_47_c01_VNM</t>
  </si>
  <si>
    <t>Wind Offshore - CF Class-47 Cost Class-c01 - Vietnam</t>
  </si>
  <si>
    <t>EN_WON_25_c02_IND</t>
  </si>
  <si>
    <t>Wind Onshore - CF Class-25 Cost Class-c02 - India</t>
  </si>
  <si>
    <t>EN_WOF_47_c02_VNM</t>
  </si>
  <si>
    <t>Wind Offshore - CF Class-47 Cost Class-c02 - Vietnam</t>
  </si>
  <si>
    <t>EN_WON_25_c04_IND</t>
  </si>
  <si>
    <t>Wind Onshore - CF Class-25 Cost Class-c04 - India</t>
  </si>
  <si>
    <t>EN_WOF_49_c01_VNM</t>
  </si>
  <si>
    <t>Wind Offshore - CF Class-49 Cost Class-c01 - Vietnam</t>
  </si>
  <si>
    <t>EN_WON_26_c01_IND</t>
  </si>
  <si>
    <t>Wind Onshore - CF Class-26 Cost Class-c01 - India</t>
  </si>
  <si>
    <t>EN_WOF_49_c02_VNM</t>
  </si>
  <si>
    <t>Wind Offshore - CF Class-49 Cost Class-c02 - Vietnam</t>
  </si>
  <si>
    <t>EN_WON_26_c02_IND</t>
  </si>
  <si>
    <t>Wind Onshore - CF Class-26 Cost Class-c02 - India</t>
  </si>
  <si>
    <t>EN_WOF_53_c01_VNM</t>
  </si>
  <si>
    <t>Wind Offshore - CF Class-53 Cost Class-c01 - Vietnam</t>
  </si>
  <si>
    <t>EN_WON_27_c01_IND</t>
  </si>
  <si>
    <t>Wind Onshore - CF Class-27 Cost Class-c01 - India</t>
  </si>
  <si>
    <t>EN_WOF_55_c01_VNM</t>
  </si>
  <si>
    <t>Wind Offshore - CF Class-55 Cost Class-c01 - Vietnam</t>
  </si>
  <si>
    <t>EN_WON_27_c02_IND</t>
  </si>
  <si>
    <t>Wind Onshore - CF Class-27 Cost Class-c02 - India</t>
  </si>
  <si>
    <t>EN_WOF_30_c02_VUT</t>
  </si>
  <si>
    <t>Wind Offshore - CF Class-30 Cost Class-c02 - Vanuatu</t>
  </si>
  <si>
    <t>ELC_Win-VUT</t>
  </si>
  <si>
    <t>EN_WON_27_c03_IND</t>
  </si>
  <si>
    <t>Wind Onshore - CF Class-27 Cost Class-c03 - India</t>
  </si>
  <si>
    <t>EN_WOF_31_c02_VUT</t>
  </si>
  <si>
    <t>Wind Offshore - CF Class-31 Cost Class-c02 - Vanuatu</t>
  </si>
  <si>
    <t>EN_WON_27_c04_IND</t>
  </si>
  <si>
    <t>Wind Onshore - CF Class-27 Cost Class-c04 - India</t>
  </si>
  <si>
    <t>EN_WOF_32_c02_VUT</t>
  </si>
  <si>
    <t>Wind Offshore - CF Class-32 Cost Class-c02 - Vanuatu</t>
  </si>
  <si>
    <t>EN_WON_30_c01_IND</t>
  </si>
  <si>
    <t>Wind Onshore - CF Class-30 Cost Class-c01 - India</t>
  </si>
  <si>
    <t>EN_WOF_33_c02_VUT</t>
  </si>
  <si>
    <t>Wind Offshore - CF Class-33 Cost Class-c02 - Vanuatu</t>
  </si>
  <si>
    <t>EN_WON_31_c03_IND</t>
  </si>
  <si>
    <t>Wind Onshore - CF Class-31 Cost Class-c03 - India</t>
  </si>
  <si>
    <t>EN_WOF_34_c02_VUT</t>
  </si>
  <si>
    <t>Wind Offshore - CF Class-34 Cost Class-c02 - Vanuatu</t>
  </si>
  <si>
    <t>EN_WON_32_c01_IND</t>
  </si>
  <si>
    <t>Wind Onshore - CF Class-32 Cost Class-c01 - India</t>
  </si>
  <si>
    <t>EN_WOF_35_c02_VUT</t>
  </si>
  <si>
    <t>Wind Offshore - CF Class-35 Cost Class-c02 - Vanuatu</t>
  </si>
  <si>
    <t>EN_WON_34_c01_IND</t>
  </si>
  <si>
    <t>Wind Onshore - CF Class-34 Cost Class-c01 - India</t>
  </si>
  <si>
    <t>EN_WOF_36_c02_VUT</t>
  </si>
  <si>
    <t>Wind Offshore - CF Class-36 Cost Class-c02 - Vanuatu</t>
  </si>
  <si>
    <t>EN_WON_38_c01_IND</t>
  </si>
  <si>
    <t>Wind Onshore - CF Class-38 Cost Class-c01 - India</t>
  </si>
  <si>
    <t>EN_WOF_38_c02_VUT</t>
  </si>
  <si>
    <t>Wind Offshore - CF Class-38 Cost Class-c02 - Vanuatu</t>
  </si>
  <si>
    <t>EN_WON_40_c01_IND</t>
  </si>
  <si>
    <t>Wind Onshore - CF Class-40 Cost Class-c01 - India</t>
  </si>
  <si>
    <t>EN_WOF_30_c02_YEM</t>
  </si>
  <si>
    <t>Wind Offshore - CF Class-30 Cost Class-c02 - Yemen</t>
  </si>
  <si>
    <t>ELC_Win-YEM</t>
  </si>
  <si>
    <t>EN_WON_43_c01_IND</t>
  </si>
  <si>
    <t>Wind Onshore - CF Class-43 Cost Class-c01 - India</t>
  </si>
  <si>
    <t>EN_WOF_31_c02_YEM</t>
  </si>
  <si>
    <t>Wind Offshore - CF Class-31 Cost Class-c02 - Yemen</t>
  </si>
  <si>
    <t>EN_WON_48_c01_IRL</t>
  </si>
  <si>
    <t>Wind Onshore - CF Class-48 Cost Class-c01 - Ireland</t>
  </si>
  <si>
    <t>EN_WOF_32_c02_YEM</t>
  </si>
  <si>
    <t>Wind Offshore - CF Class-32 Cost Class-c02 - Yemen</t>
  </si>
  <si>
    <t>EN_WON_49_c01_IRL</t>
  </si>
  <si>
    <t>Wind Onshore - CF Class-49 Cost Class-c01 - Ireland</t>
  </si>
  <si>
    <t>EN_WOF_33_c02_YEM</t>
  </si>
  <si>
    <t>Wind Offshore - CF Class-33 Cost Class-c02 - Yemen</t>
  </si>
  <si>
    <t>EN_WON_50_c01_IRL</t>
  </si>
  <si>
    <t>Wind Onshore - CF Class-50 Cost Class-c01 - Ireland</t>
  </si>
  <si>
    <t>EN_WOF_34_c02_YEM</t>
  </si>
  <si>
    <t>Wind Offshore - CF Class-34 Cost Class-c02 - Yemen</t>
  </si>
  <si>
    <t>EN_WON_28_c01_IRN</t>
  </si>
  <si>
    <t>Wind Onshore - CF Class-28 Cost Class-c01 - Iran</t>
  </si>
  <si>
    <t>ELC_Win-IRN</t>
  </si>
  <si>
    <t>EN_WOF_35_c02_YEM</t>
  </si>
  <si>
    <t>Wind Offshore - CF Class-35 Cost Class-c02 - Yemen</t>
  </si>
  <si>
    <t>EN_WON_28_c02_IRN</t>
  </si>
  <si>
    <t>Wind Onshore - CF Class-28 Cost Class-c02 - Iran</t>
  </si>
  <si>
    <t>EN_WOF_36_c02_YEM</t>
  </si>
  <si>
    <t>Wind Offshore - CF Class-36 Cost Class-c02 - Yemen</t>
  </si>
  <si>
    <t>EN_WON_28_c03_IRN</t>
  </si>
  <si>
    <t>Wind Onshore - CF Class-28 Cost Class-c03 - Iran</t>
  </si>
  <si>
    <t>EN_WOF_37_c02_YEM</t>
  </si>
  <si>
    <t>Wind Offshore - CF Class-37 Cost Class-c02 - Yemen</t>
  </si>
  <si>
    <t>EN_WON_29_c01_IRN</t>
  </si>
  <si>
    <t>Wind Onshore - CF Class-29 Cost Class-c01 - Iran</t>
  </si>
  <si>
    <t>EN_WOF_38_c02_YEM</t>
  </si>
  <si>
    <t>Wind Offshore - CF Class-38 Cost Class-c02 - Yemen</t>
  </si>
  <si>
    <t>EN_WON_29_c02_IRN</t>
  </si>
  <si>
    <t>Wind Onshore - CF Class-29 Cost Class-c02 - Iran</t>
  </si>
  <si>
    <t>EN_WOF_39_c02_YEM</t>
  </si>
  <si>
    <t>Wind Offshore - CF Class-39 Cost Class-c02 - Yemen</t>
  </si>
  <si>
    <t>EN_WON_29_c03_IRN</t>
  </si>
  <si>
    <t>Wind Onshore - CF Class-29 Cost Class-c03 - Iran</t>
  </si>
  <si>
    <t>EN_WOF_40_c02_YEM</t>
  </si>
  <si>
    <t>Wind Offshore - CF Class-40 Cost Class-c02 - Yemen</t>
  </si>
  <si>
    <t>EN_WON_30_c01_IRN</t>
  </si>
  <si>
    <t>Wind Onshore - CF Class-30 Cost Class-c01 - Iran</t>
  </si>
  <si>
    <t>EN_WOF_41_c02_YEM</t>
  </si>
  <si>
    <t>Wind Offshore - CF Class-41 Cost Class-c02 - Yemen</t>
  </si>
  <si>
    <t>EN_WON_30_c02_IRN</t>
  </si>
  <si>
    <t>Wind Onshore - CF Class-30 Cost Class-c02 - Iran</t>
  </si>
  <si>
    <t>EN_WOF_42_c02_YEM</t>
  </si>
  <si>
    <t>Wind Offshore - CF Class-42 Cost Class-c02 - Yemen</t>
  </si>
  <si>
    <t>EN_WON_30_c03_IRN</t>
  </si>
  <si>
    <t>Wind Onshore - CF Class-30 Cost Class-c03 - Iran</t>
  </si>
  <si>
    <t>EN_WOF_43_c02_YEM</t>
  </si>
  <si>
    <t>Wind Offshore - CF Class-43 Cost Class-c02 - Yemen</t>
  </si>
  <si>
    <t>EN_WON_30_c04_IRN</t>
  </si>
  <si>
    <t>Wind Onshore - CF Class-30 Cost Class-c04 - Iran</t>
  </si>
  <si>
    <t>EN_WOF_46_c02_YEM</t>
  </si>
  <si>
    <t>Wind Offshore - CF Class-46 Cost Class-c02 - Yemen</t>
  </si>
  <si>
    <t>EN_WON_31_c01_IRN</t>
  </si>
  <si>
    <t>Wind Onshore - CF Class-31 Cost Class-c01 - Iran</t>
  </si>
  <si>
    <t>EN_WOF_50_c02_YEM</t>
  </si>
  <si>
    <t>Wind Offshore - CF Class-50 Cost Class-c02 - Yemen</t>
  </si>
  <si>
    <t>EN_WON_31_c02_IRN</t>
  </si>
  <si>
    <t>Wind Onshore - CF Class-31 Cost Class-c02 - Iran</t>
  </si>
  <si>
    <t>EN_WOF_52_c02_YEM</t>
  </si>
  <si>
    <t>Wind Offshore - CF Class-52 Cost Class-c02 - Yemen</t>
  </si>
  <si>
    <t>EN_WON_31_c03_IRN</t>
  </si>
  <si>
    <t>Wind Onshore - CF Class-31 Cost Class-c03 - Iran</t>
  </si>
  <si>
    <t>EN_WOF_30_c02_ZAF</t>
  </si>
  <si>
    <t>Wind Offshore - CF Class-30 Cost Class-c02 - South Africa</t>
  </si>
  <si>
    <t>ELC_Win-ZAF</t>
  </si>
  <si>
    <t>EN_WON_32_c01_IRN</t>
  </si>
  <si>
    <t>Wind Onshore - CF Class-32 Cost Class-c01 - Iran</t>
  </si>
  <si>
    <t>EN_WOF_32_c02_ZAF</t>
  </si>
  <si>
    <t>Wind Offshore - CF Class-32 Cost Class-c02 - South Africa</t>
  </si>
  <si>
    <t>EN_WON_32_c02_IRN</t>
  </si>
  <si>
    <t>Wind Onshore - CF Class-32 Cost Class-c02 - Iran</t>
  </si>
  <si>
    <t>EN_WOF_34_c02_ZAF</t>
  </si>
  <si>
    <t>Wind Offshore - CF Class-34 Cost Class-c02 - South Africa</t>
  </si>
  <si>
    <t>EN_WON_32_c03_IRN</t>
  </si>
  <si>
    <t>Wind Onshore - CF Class-32 Cost Class-c03 - Iran</t>
  </si>
  <si>
    <t>EN_WOF_35_c02_ZAF</t>
  </si>
  <si>
    <t>Wind Offshore - CF Class-35 Cost Class-c02 - South Africa</t>
  </si>
  <si>
    <t>EN_WON_32_c04_IRN</t>
  </si>
  <si>
    <t>Wind Onshore - CF Class-32 Cost Class-c04 - Iran</t>
  </si>
  <si>
    <t>EN_WOF_36_c02_ZAF</t>
  </si>
  <si>
    <t>Wind Offshore - CF Class-36 Cost Class-c02 - South Africa</t>
  </si>
  <si>
    <t>EN_WON_33_c01_IRN</t>
  </si>
  <si>
    <t>Wind Onshore - CF Class-33 Cost Class-c01 - Iran</t>
  </si>
  <si>
    <t>EN_WOF_37_c02_ZAF</t>
  </si>
  <si>
    <t>Wind Offshore - CF Class-37 Cost Class-c02 - South Africa</t>
  </si>
  <si>
    <t>EN_WON_33_c02_IRN</t>
  </si>
  <si>
    <t>Wind Onshore - CF Class-33 Cost Class-c02 - Iran</t>
  </si>
  <si>
    <t>EN_WOF_38_c02_ZAF</t>
  </si>
  <si>
    <t>Wind Offshore - CF Class-38 Cost Class-c02 - South Africa</t>
  </si>
  <si>
    <t>EN_WON_33_c03_IRN</t>
  </si>
  <si>
    <t>Wind Onshore - CF Class-33 Cost Class-c03 - Iran</t>
  </si>
  <si>
    <t>EN_WOF_39_c02_ZAF</t>
  </si>
  <si>
    <t>Wind Offshore - CF Class-39 Cost Class-c02 - South Africa</t>
  </si>
  <si>
    <t>EN_WON_34_c01_IRN</t>
  </si>
  <si>
    <t>Wind Onshore - CF Class-34 Cost Class-c01 - Iran</t>
  </si>
  <si>
    <t>EN_WOF_40_c02_ZAF</t>
  </si>
  <si>
    <t>Wind Offshore - CF Class-40 Cost Class-c02 - South Africa</t>
  </si>
  <si>
    <t>EN_WON_34_c02_IRN</t>
  </si>
  <si>
    <t>Wind Onshore - CF Class-34 Cost Class-c02 - Iran</t>
  </si>
  <si>
    <t>EN_WOF_41_c02_ZAF</t>
  </si>
  <si>
    <t>Wind Offshore - CF Class-41 Cost Class-c02 - South Africa</t>
  </si>
  <si>
    <t>EN_WON_34_c03_IRN</t>
  </si>
  <si>
    <t>Wind Onshore - CF Class-34 Cost Class-c03 - Iran</t>
  </si>
  <si>
    <t>EN_WOF_42_c02_ZAF</t>
  </si>
  <si>
    <t>Wind Offshore - CF Class-42 Cost Class-c02 - South Africa</t>
  </si>
  <si>
    <t>EN_WON_35_c01_IRN</t>
  </si>
  <si>
    <t>Wind Onshore - CF Class-35 Cost Class-c01 - Iran</t>
  </si>
  <si>
    <t>EN_WOF_43_c02_ZAF</t>
  </si>
  <si>
    <t>Wind Offshore - CF Class-43 Cost Class-c02 - South Africa</t>
  </si>
  <si>
    <t>EN_WON_35_c02_IRN</t>
  </si>
  <si>
    <t>Wind Onshore - CF Class-35 Cost Class-c02 - Iran</t>
  </si>
  <si>
    <t>EN_WOF_44_c02_ZAF</t>
  </si>
  <si>
    <t>Wind Offshore - CF Class-44 Cost Class-c02 - South Africa</t>
  </si>
  <si>
    <t>EN_WON_36_c01_IRN</t>
  </si>
  <si>
    <t>Wind Onshore - CF Class-36 Cost Class-c01 - Iran</t>
  </si>
  <si>
    <t>EN_WOF_45_c02_ZAF</t>
  </si>
  <si>
    <t>Wind Offshore - CF Class-45 Cost Class-c02 - South Africa</t>
  </si>
  <si>
    <t>EN_WON_36_c02_IRN</t>
  </si>
  <si>
    <t>Wind Onshore - CF Class-36 Cost Class-c02 - Iran</t>
  </si>
  <si>
    <t>EN_WOF_46_c02_ZAF</t>
  </si>
  <si>
    <t>Wind Offshore - CF Class-46 Cost Class-c02 - South Africa</t>
  </si>
  <si>
    <t>EN_WON_37_c01_IRN</t>
  </si>
  <si>
    <t>Wind Onshore - CF Class-37 Cost Class-c01 - Iran</t>
  </si>
  <si>
    <t>EN_WOF_47_c02_ZAF</t>
  </si>
  <si>
    <t>Wind Offshore - CF Class-47 Cost Class-c02 - South Africa</t>
  </si>
  <si>
    <t>EN_WON_37_c02_IRN</t>
  </si>
  <si>
    <t>Wind Onshore - CF Class-37 Cost Class-c02 - Iran</t>
  </si>
  <si>
    <t>EN_WOF_48_c02_ZAF</t>
  </si>
  <si>
    <t>Wind Offshore - CF Class-48 Cost Class-c02 - South Africa</t>
  </si>
  <si>
    <t>EN_WON_37_c03_IRN</t>
  </si>
  <si>
    <t>Wind Onshore - CF Class-37 Cost Class-c03 - Iran</t>
  </si>
  <si>
    <t>EN_WOF_49_c02_ZAF</t>
  </si>
  <si>
    <t>Wind Offshore - CF Class-49 Cost Class-c02 - South Africa</t>
  </si>
  <si>
    <t>EN_WON_38_c01_IRN</t>
  </si>
  <si>
    <t>Wind Onshore - CF Class-38 Cost Class-c01 - Iran</t>
  </si>
  <si>
    <t>EN_WOF_50_c02_ZAF</t>
  </si>
  <si>
    <t>Wind Offshore - CF Class-50 Cost Class-c02 - South Africa</t>
  </si>
  <si>
    <t>EN_WON_38_c02_IRN</t>
  </si>
  <si>
    <t>Wind Onshore - CF Class-38 Cost Class-c02 - Iran</t>
  </si>
  <si>
    <t>EN_WOF_51_c02_ZAF</t>
  </si>
  <si>
    <t>Wind Offshore - CF Class-51 Cost Class-c02 - South Africa</t>
  </si>
  <si>
    <t>EN_WON_39_c01_IRN</t>
  </si>
  <si>
    <t>Wind Onshore - CF Class-39 Cost Class-c01 - Iran</t>
  </si>
  <si>
    <t>EN_WON_40_c01_IRN</t>
  </si>
  <si>
    <t>Wind Onshore - CF Class-40 Cost Class-c01 - Iran</t>
  </si>
  <si>
    <t>EN_WON_41_c01_IRN</t>
  </si>
  <si>
    <t>Wind Onshore - CF Class-41 Cost Class-c01 - Iran</t>
  </si>
  <si>
    <t>EN_WON_42_c02_IRN</t>
  </si>
  <si>
    <t>Wind Onshore - CF Class-42 Cost Class-c02 - Iran</t>
  </si>
  <si>
    <t>EN_WON_42_c03_IRN</t>
  </si>
  <si>
    <t>Wind Onshore - CF Class-42 Cost Class-c03 - Iran</t>
  </si>
  <si>
    <t>EN_WON_43_c01_IRN</t>
  </si>
  <si>
    <t>Wind Onshore - CF Class-43 Cost Class-c01 - Iran</t>
  </si>
  <si>
    <t>EN_WON_44_c01_IRN</t>
  </si>
  <si>
    <t>Wind Onshore - CF Class-44 Cost Class-c01 - Iran</t>
  </si>
  <si>
    <t>EN_WON_46_c02_IRN</t>
  </si>
  <si>
    <t>Wind Onshore - CF Class-46 Cost Class-c02 - Iran</t>
  </si>
  <si>
    <t>EN_WON_49_c01_IRN</t>
  </si>
  <si>
    <t>Wind Onshore - CF Class-49 Cost Class-c01 - Iran</t>
  </si>
  <si>
    <t>EN_WON_50_c01_IRN</t>
  </si>
  <si>
    <t>Wind Onshore - CF Class-50 Cost Class-c01 - Iran</t>
  </si>
  <si>
    <t>EN_WON_51_c01_IRN</t>
  </si>
  <si>
    <t>Wind Onshore - CF Class-51 Cost Class-c01 - Iran</t>
  </si>
  <si>
    <t>EN_WON_52_c01_IRN</t>
  </si>
  <si>
    <t>Wind Onshore - CF Class-52 Cost Class-c01 - Iran</t>
  </si>
  <si>
    <t>EN_WON_35_c01_IRQ</t>
  </si>
  <si>
    <t>Wind Onshore - CF Class-35 Cost Class-c01 - Iraq</t>
  </si>
  <si>
    <t>ELC_Win-IRQ</t>
  </si>
  <si>
    <t>EN_WON_36_c01_IRQ</t>
  </si>
  <si>
    <t>Wind Onshore - CF Class-36 Cost Class-c01 - Iraq</t>
  </si>
  <si>
    <t>EN_WON_37_c01_IRQ</t>
  </si>
  <si>
    <t>Wind Onshore - CF Class-37 Cost Class-c01 - Iraq</t>
  </si>
  <si>
    <t>EN_WON_38_c01_IRQ</t>
  </si>
  <si>
    <t>Wind Onshore - CF Class-38 Cost Class-c01 - Iraq</t>
  </si>
  <si>
    <t>EN_WON_39_c01_IRQ</t>
  </si>
  <si>
    <t>Wind Onshore - CF Class-39 Cost Class-c01 - Iraq</t>
  </si>
  <si>
    <t>EN_WON_40_c01_IRQ</t>
  </si>
  <si>
    <t>Wind Onshore - CF Class-40 Cost Class-c01 - Iraq</t>
  </si>
  <si>
    <t>EN_WON_15_c04_ISR</t>
  </si>
  <si>
    <t>Wind Onshore - CF Class-15 Cost Class-c04 - Israel</t>
  </si>
  <si>
    <t>ELC_Win-ISR</t>
  </si>
  <si>
    <t>EN_WON_16_c04_ISR</t>
  </si>
  <si>
    <t>Wind Onshore - CF Class-16 Cost Class-c04 - Israel</t>
  </si>
  <si>
    <t>EN_WON_17_c04_ISR</t>
  </si>
  <si>
    <t>Wind Onshore - CF Class-17 Cost Class-c04 - Israel</t>
  </si>
  <si>
    <t>EN_WON_18_c03_ISR</t>
  </si>
  <si>
    <t>Wind Onshore - CF Class-18 Cost Class-c03 - Israel</t>
  </si>
  <si>
    <t>EN_WON_18_c04_ISR</t>
  </si>
  <si>
    <t>Wind Onshore - CF Class-18 Cost Class-c04 - Israel</t>
  </si>
  <si>
    <t>EN_WON_19_c03_ISR</t>
  </si>
  <si>
    <t>Wind Onshore - CF Class-19 Cost Class-c03 - Israel</t>
  </si>
  <si>
    <t>EN_WON_19_c04_ISR</t>
  </si>
  <si>
    <t>Wind Onshore - CF Class-19 Cost Class-c04 - Israel</t>
  </si>
  <si>
    <t>EN_WON_20_c03_ISR</t>
  </si>
  <si>
    <t>Wind Onshore - CF Class-20 Cost Class-c03 - Israel</t>
  </si>
  <si>
    <t>EN_WON_21_c03_ISR</t>
  </si>
  <si>
    <t>Wind Onshore - CF Class-21 Cost Class-c03 - Israel</t>
  </si>
  <si>
    <t>EN_WON_22_c03_ISR</t>
  </si>
  <si>
    <t>Wind Onshore - CF Class-22 Cost Class-c03 - Israel</t>
  </si>
  <si>
    <t>EN_WON_23_c03_ISR</t>
  </si>
  <si>
    <t>Wind Onshore - CF Class-23 Cost Class-c03 - Israel</t>
  </si>
  <si>
    <t>EN_WON_24_c04_ISR</t>
  </si>
  <si>
    <t>Wind Onshore - CF Class-24 Cost Class-c04 - Israel</t>
  </si>
  <si>
    <t>EN_WON_28_c03_ISR</t>
  </si>
  <si>
    <t>Wind Onshore - CF Class-28 Cost Class-c03 - Israel</t>
  </si>
  <si>
    <t>EN_WON_18_c03_ITA</t>
  </si>
  <si>
    <t>Wind Onshore - CF Class-18 Cost Class-c03 - Italy</t>
  </si>
  <si>
    <t>EN_WON_18_c04_ITA</t>
  </si>
  <si>
    <t>Wind Onshore - CF Class-18 Cost Class-c04 - Italy</t>
  </si>
  <si>
    <t>EN_WON_19_c02_ITA</t>
  </si>
  <si>
    <t>Wind Onshore - CF Class-19 Cost Class-c02 - Italy</t>
  </si>
  <si>
    <t>EN_WON_19_c03_ITA</t>
  </si>
  <si>
    <t>Wind Onshore - CF Class-19 Cost Class-c03 - Italy</t>
  </si>
  <si>
    <t>EN_WON_19_c04_ITA</t>
  </si>
  <si>
    <t>Wind Onshore - CF Class-19 Cost Class-c04 - Italy</t>
  </si>
  <si>
    <t>EN_WON_20_c02_ITA</t>
  </si>
  <si>
    <t>Wind Onshore - CF Class-20 Cost Class-c02 - Italy</t>
  </si>
  <si>
    <t>EN_WON_20_c03_ITA</t>
  </si>
  <si>
    <t>Wind Onshore - CF Class-20 Cost Class-c03 - Italy</t>
  </si>
  <si>
    <t>EN_WON_20_c04_ITA</t>
  </si>
  <si>
    <t>Wind Onshore - CF Class-20 Cost Class-c04 - Italy</t>
  </si>
  <si>
    <t>EN_WON_21_c02_ITA</t>
  </si>
  <si>
    <t>Wind Onshore - CF Class-21 Cost Class-c02 - Italy</t>
  </si>
  <si>
    <t>EN_WON_21_c03_ITA</t>
  </si>
  <si>
    <t>Wind Onshore - CF Class-21 Cost Class-c03 - Italy</t>
  </si>
  <si>
    <t>EN_WON_21_c04_ITA</t>
  </si>
  <si>
    <t>Wind Onshore - CF Class-21 Cost Class-c04 - Italy</t>
  </si>
  <si>
    <t>EN_WON_22_c01_ITA</t>
  </si>
  <si>
    <t>Wind Onshore - CF Class-22 Cost Class-c01 - Italy</t>
  </si>
  <si>
    <t>EN_WON_22_c02_ITA</t>
  </si>
  <si>
    <t>Wind Onshore - CF Class-22 Cost Class-c02 - Italy</t>
  </si>
  <si>
    <t>EN_WON_22_c03_ITA</t>
  </si>
  <si>
    <t>Wind Onshore - CF Class-22 Cost Class-c03 - Italy</t>
  </si>
  <si>
    <t>EN_WON_22_c04_ITA</t>
  </si>
  <si>
    <t>Wind Onshore - CF Class-22 Cost Class-c04 - Italy</t>
  </si>
  <si>
    <t>EN_WON_23_c01_ITA</t>
  </si>
  <si>
    <t>Wind Onshore - CF Class-23 Cost Class-c01 - Italy</t>
  </si>
  <si>
    <t>EN_WON_23_c02_ITA</t>
  </si>
  <si>
    <t>Wind Onshore - CF Class-23 Cost Class-c02 - Italy</t>
  </si>
  <si>
    <t>EN_WON_23_c03_ITA</t>
  </si>
  <si>
    <t>Wind Onshore - CF Class-23 Cost Class-c03 - Italy</t>
  </si>
  <si>
    <t>EN_WON_23_c04_ITA</t>
  </si>
  <si>
    <t>Wind Onshore - CF Class-23 Cost Class-c04 - Italy</t>
  </si>
  <si>
    <t>EN_WON_24_c01_ITA</t>
  </si>
  <si>
    <t>Wind Onshore - CF Class-24 Cost Class-c01 - Italy</t>
  </si>
  <si>
    <t>EN_WON_24_c02_ITA</t>
  </si>
  <si>
    <t>Wind Onshore - CF Class-24 Cost Class-c02 - Italy</t>
  </si>
  <si>
    <t>EN_WON_24_c03_ITA</t>
  </si>
  <si>
    <t>Wind Onshore - CF Class-24 Cost Class-c03 - Italy</t>
  </si>
  <si>
    <t>EN_WON_24_c04_ITA</t>
  </si>
  <si>
    <t>Wind Onshore - CF Class-24 Cost Class-c04 - Italy</t>
  </si>
  <si>
    <t>EN_WON_25_c01_ITA</t>
  </si>
  <si>
    <t>Wind Onshore - CF Class-25 Cost Class-c01 - Italy</t>
  </si>
  <si>
    <t>EN_WON_26_c01_ITA</t>
  </si>
  <si>
    <t>Wind Onshore - CF Class-26 Cost Class-c01 - Italy</t>
  </si>
  <si>
    <t>EN_WON_26_c02_ITA</t>
  </si>
  <si>
    <t>Wind Onshore - CF Class-26 Cost Class-c02 - Italy</t>
  </si>
  <si>
    <t>EN_WON_26_c03_ITA</t>
  </si>
  <si>
    <t>Wind Onshore - CF Class-26 Cost Class-c03 - Italy</t>
  </si>
  <si>
    <t>EN_WON_27_c02_ITA</t>
  </si>
  <si>
    <t>Wind Onshore - CF Class-27 Cost Class-c02 - Italy</t>
  </si>
  <si>
    <t>EN_WON_27_c03_ITA</t>
  </si>
  <si>
    <t>Wind Onshore - CF Class-27 Cost Class-c03 - Italy</t>
  </si>
  <si>
    <t>EN_WON_28_c01_ITA</t>
  </si>
  <si>
    <t>Wind Onshore - CF Class-28 Cost Class-c01 - Italy</t>
  </si>
  <si>
    <t>EN_WON_28_c02_ITA</t>
  </si>
  <si>
    <t>Wind Onshore - CF Class-28 Cost Class-c02 - Italy</t>
  </si>
  <si>
    <t>EN_WON_29_c01_ITA</t>
  </si>
  <si>
    <t>Wind Onshore - CF Class-29 Cost Class-c01 - Italy</t>
  </si>
  <si>
    <t>EN_WON_29_c02_ITA</t>
  </si>
  <si>
    <t>Wind Onshore - CF Class-29 Cost Class-c02 - Italy</t>
  </si>
  <si>
    <t>EN_WON_30_c01_ITA</t>
  </si>
  <si>
    <t>Wind Onshore - CF Class-30 Cost Class-c01 - Italy</t>
  </si>
  <si>
    <t>EN_WON_32_c01_ITA</t>
  </si>
  <si>
    <t>Wind Onshore - CF Class-32 Cost Class-c01 - Italy</t>
  </si>
  <si>
    <t>EN_WON_33_c01_ITA</t>
  </si>
  <si>
    <t>Wind Onshore - CF Class-33 Cost Class-c01 - Italy</t>
  </si>
  <si>
    <t>EN_WON_34_c03_ITA</t>
  </si>
  <si>
    <t>Wind Onshore - CF Class-34 Cost Class-c03 - Italy</t>
  </si>
  <si>
    <t>EN_WON_35_c01_ITA</t>
  </si>
  <si>
    <t>Wind Onshore - CF Class-35 Cost Class-c01 - Italy</t>
  </si>
  <si>
    <t>EN_WON_19_c03_JAM</t>
  </si>
  <si>
    <t>Wind Onshore - CF Class-19 Cost Class-c03 - Jamaica</t>
  </si>
  <si>
    <t>EN_WON_30_c04_JAM</t>
  </si>
  <si>
    <t>Wind Onshore - CF Class-30 Cost Class-c04 - Jamaica</t>
  </si>
  <si>
    <t>EN_WON_32_c04_JAM</t>
  </si>
  <si>
    <t>Wind Onshore - CF Class-32 Cost Class-c04 - Jamaica</t>
  </si>
  <si>
    <t>EN_WON_30_c01_JOR</t>
  </si>
  <si>
    <t>Wind Onshore - CF Class-30 Cost Class-c01 - Jordan</t>
  </si>
  <si>
    <t>ELC_Win-JOR</t>
  </si>
  <si>
    <t>EN_WON_30_c02_JOR</t>
  </si>
  <si>
    <t>Wind Onshore - CF Class-30 Cost Class-c02 - Jordan</t>
  </si>
  <si>
    <t>EN_WON_34_c01_JOR</t>
  </si>
  <si>
    <t>Wind Onshore - CF Class-34 Cost Class-c01 - Jordan</t>
  </si>
  <si>
    <t>EN_WON_15_c03_JPN</t>
  </si>
  <si>
    <t>Wind Onshore - CF Class-15 Cost Class-c03 - Japan</t>
  </si>
  <si>
    <t>EN_WON_15_c04_JPN</t>
  </si>
  <si>
    <t>Wind Onshore - CF Class-15 Cost Class-c04 - Japan</t>
  </si>
  <si>
    <t>EN_WON_16_c04_JPN</t>
  </si>
  <si>
    <t>Wind Onshore - CF Class-16 Cost Class-c04 - Japan</t>
  </si>
  <si>
    <t>EN_WON_17_c04_JPN</t>
  </si>
  <si>
    <t>Wind Onshore - CF Class-17 Cost Class-c04 - Japan</t>
  </si>
  <si>
    <t>EN_WON_18_c03_JPN</t>
  </si>
  <si>
    <t>Wind Onshore - CF Class-18 Cost Class-c03 - Japan</t>
  </si>
  <si>
    <t>EN_WON_18_c04_JPN</t>
  </si>
  <si>
    <t>Wind Onshore - CF Class-18 Cost Class-c04 - Japan</t>
  </si>
  <si>
    <t>EN_WON_19_c03_JPN</t>
  </si>
  <si>
    <t>Wind Onshore - CF Class-19 Cost Class-c03 - Japan</t>
  </si>
  <si>
    <t>EN_WON_19_c04_JPN</t>
  </si>
  <si>
    <t>Wind Onshore - CF Class-19 Cost Class-c04 - Japan</t>
  </si>
  <si>
    <t>EN_WON_20_c03_JPN</t>
  </si>
  <si>
    <t>Wind Onshore - CF Class-20 Cost Class-c03 - Japan</t>
  </si>
  <si>
    <t>EN_WON_20_c04_JPN</t>
  </si>
  <si>
    <t>Wind Onshore - CF Class-20 Cost Class-c04 - Japan</t>
  </si>
  <si>
    <t>EN_WON_21_c03_JPN</t>
  </si>
  <si>
    <t>Wind Onshore - CF Class-21 Cost Class-c03 - Japan</t>
  </si>
  <si>
    <t>EN_WON_21_c04_JPN</t>
  </si>
  <si>
    <t>Wind Onshore - CF Class-21 Cost Class-c04 - Japan</t>
  </si>
  <si>
    <t>EN_WON_22_c02_JPN</t>
  </si>
  <si>
    <t>Wind Onshore - CF Class-22 Cost Class-c02 - Japan</t>
  </si>
  <si>
    <t>EN_WON_22_c03_JPN</t>
  </si>
  <si>
    <t>Wind Onshore - CF Class-22 Cost Class-c03 - Japan</t>
  </si>
  <si>
    <t>EN_WON_22_c04_JPN</t>
  </si>
  <si>
    <t>Wind Onshore - CF Class-22 Cost Class-c04 - Japan</t>
  </si>
  <si>
    <t>EN_WON_23_c02_JPN</t>
  </si>
  <si>
    <t>Wind Onshore - CF Class-23 Cost Class-c02 - Japan</t>
  </si>
  <si>
    <t>EN_WON_23_c03_JPN</t>
  </si>
  <si>
    <t>Wind Onshore - CF Class-23 Cost Class-c03 - Japan</t>
  </si>
  <si>
    <t>EN_WON_23_c04_JPN</t>
  </si>
  <si>
    <t>Wind Onshore - CF Class-23 Cost Class-c04 - Japan</t>
  </si>
  <si>
    <t>EN_WON_24_c02_JPN</t>
  </si>
  <si>
    <t>Wind Onshore - CF Class-24 Cost Class-c02 - Japan</t>
  </si>
  <si>
    <t>EN_WON_24_c03_JPN</t>
  </si>
  <si>
    <t>Wind Onshore - CF Class-24 Cost Class-c03 - Japan</t>
  </si>
  <si>
    <t>EN_WON_24_c04_JPN</t>
  </si>
  <si>
    <t>Wind Onshore - CF Class-24 Cost Class-c04 - Japan</t>
  </si>
  <si>
    <t>EN_WON_25_c02_JPN</t>
  </si>
  <si>
    <t>Wind Onshore - CF Class-25 Cost Class-c02 - Japan</t>
  </si>
  <si>
    <t>EN_WON_25_c03_JPN</t>
  </si>
  <si>
    <t>Wind Onshore - CF Class-25 Cost Class-c03 - Japan</t>
  </si>
  <si>
    <t>EN_WON_25_c04_JPN</t>
  </si>
  <si>
    <t>Wind Onshore - CF Class-25 Cost Class-c04 - Japan</t>
  </si>
  <si>
    <t>EN_WON_26_c02_JPN</t>
  </si>
  <si>
    <t>Wind Onshore - CF Class-26 Cost Class-c02 - Japan</t>
  </si>
  <si>
    <t>EN_WON_26_c03_JPN</t>
  </si>
  <si>
    <t>Wind Onshore - CF Class-26 Cost Class-c03 - Japan</t>
  </si>
  <si>
    <t>EN_WON_26_c04_JPN</t>
  </si>
  <si>
    <t>Wind Onshore - CF Class-26 Cost Class-c04 - Japan</t>
  </si>
  <si>
    <t>EN_WON_27_c02_JPN</t>
  </si>
  <si>
    <t>Wind Onshore - CF Class-27 Cost Class-c02 - Japan</t>
  </si>
  <si>
    <t>EN_WON_27_c03_JPN</t>
  </si>
  <si>
    <t>Wind Onshore - CF Class-27 Cost Class-c03 - Japan</t>
  </si>
  <si>
    <t>EN_WON_27_c04_JPN</t>
  </si>
  <si>
    <t>Wind Onshore - CF Class-27 Cost Class-c04 - Japan</t>
  </si>
  <si>
    <t>EN_WON_28_c02_JPN</t>
  </si>
  <si>
    <t>Wind Onshore - CF Class-28 Cost Class-c02 - Japan</t>
  </si>
  <si>
    <t>EN_WON_28_c03_JPN</t>
  </si>
  <si>
    <t>Wind Onshore - CF Class-28 Cost Class-c03 - Japan</t>
  </si>
  <si>
    <t>EN_WON_28_c04_JPN</t>
  </si>
  <si>
    <t>Wind Onshore - CF Class-28 Cost Class-c04 - Japan</t>
  </si>
  <si>
    <t>EN_WON_29_c01_JPN</t>
  </si>
  <si>
    <t>Wind Onshore - CF Class-29 Cost Class-c01 - Japan</t>
  </si>
  <si>
    <t>EN_WON_29_c03_JPN</t>
  </si>
  <si>
    <t>Wind Onshore - CF Class-29 Cost Class-c03 - Japan</t>
  </si>
  <si>
    <t>EN_WON_29_c04_JPN</t>
  </si>
  <si>
    <t>Wind Onshore - CF Class-29 Cost Class-c04 - Japan</t>
  </si>
  <si>
    <t>EN_WON_30_c01_JPN</t>
  </si>
  <si>
    <t>Wind Onshore - CF Class-30 Cost Class-c01 - Japan</t>
  </si>
  <si>
    <t>EN_WON_30_c02_JPN</t>
  </si>
  <si>
    <t>Wind Onshore - CF Class-30 Cost Class-c02 - Japan</t>
  </si>
  <si>
    <t>EN_WON_30_c03_JPN</t>
  </si>
  <si>
    <t>Wind Onshore - CF Class-30 Cost Class-c03 - Japan</t>
  </si>
  <si>
    <t>EN_WON_30_c04_JPN</t>
  </si>
  <si>
    <t>Wind Onshore - CF Class-30 Cost Class-c04 - Japan</t>
  </si>
  <si>
    <t>EN_WON_31_c01_JPN</t>
  </si>
  <si>
    <t>Wind Onshore - CF Class-31 Cost Class-c01 - Japan</t>
  </si>
  <si>
    <t>EN_WON_31_c02_JPN</t>
  </si>
  <si>
    <t>Wind Onshore - CF Class-31 Cost Class-c02 - Japan</t>
  </si>
  <si>
    <t>EN_WON_31_c03_JPN</t>
  </si>
  <si>
    <t>Wind Onshore - CF Class-31 Cost Class-c03 - Japan</t>
  </si>
  <si>
    <t>EN_WON_32_c01_JPN</t>
  </si>
  <si>
    <t>Wind Onshore - CF Class-32 Cost Class-c01 - Japan</t>
  </si>
  <si>
    <t>EN_WON_32_c02_JPN</t>
  </si>
  <si>
    <t>Wind Onshore - CF Class-32 Cost Class-c02 - Japan</t>
  </si>
  <si>
    <t>EN_WON_32_c04_JPN</t>
  </si>
  <si>
    <t>Wind Onshore - CF Class-32 Cost Class-c04 - Japan</t>
  </si>
  <si>
    <t>EN_WON_33_c01_JPN</t>
  </si>
  <si>
    <t>Wind Onshore - CF Class-33 Cost Class-c01 - Japan</t>
  </si>
  <si>
    <t>EN_WON_33_c02_JPN</t>
  </si>
  <si>
    <t>Wind Onshore - CF Class-33 Cost Class-c02 - Japan</t>
  </si>
  <si>
    <t>EN_WON_33_c03_JPN</t>
  </si>
  <si>
    <t>Wind Onshore - CF Class-33 Cost Class-c03 - Japan</t>
  </si>
  <si>
    <t>EN_WON_34_c01_JPN</t>
  </si>
  <si>
    <t>Wind Onshore - CF Class-34 Cost Class-c01 - Japan</t>
  </si>
  <si>
    <t>EN_WON_35_c01_JPN</t>
  </si>
  <si>
    <t>Wind Onshore - CF Class-35 Cost Class-c01 - Japan</t>
  </si>
  <si>
    <t>EN_WON_36_c01_JPN</t>
  </si>
  <si>
    <t>Wind Onshore - CF Class-36 Cost Class-c01 - Japan</t>
  </si>
  <si>
    <t>EN_WON_36_c02_JPN</t>
  </si>
  <si>
    <t>Wind Onshore - CF Class-36 Cost Class-c02 - Japan</t>
  </si>
  <si>
    <t>EN_WON_37_c01_JPN</t>
  </si>
  <si>
    <t>Wind Onshore - CF Class-37 Cost Class-c01 - Japan</t>
  </si>
  <si>
    <t>EN_WON_38_c02_JPN</t>
  </si>
  <si>
    <t>Wind Onshore - CF Class-38 Cost Class-c02 - Japan</t>
  </si>
  <si>
    <t>EN_WON_38_c03_JPN</t>
  </si>
  <si>
    <t>Wind Onshore - CF Class-38 Cost Class-c03 - Japan</t>
  </si>
  <si>
    <t>EN_WON_39_c01_JPN</t>
  </si>
  <si>
    <t>Wind Onshore - CF Class-39 Cost Class-c01 - Japan</t>
  </si>
  <si>
    <t>EN_WON_39_c02_JPN</t>
  </si>
  <si>
    <t>Wind Onshore - CF Class-39 Cost Class-c02 - Japan</t>
  </si>
  <si>
    <t>EN_WON_39_c03_JPN</t>
  </si>
  <si>
    <t>Wind Onshore - CF Class-39 Cost Class-c03 - Japan</t>
  </si>
  <si>
    <t>EN_WON_39_c04_JPN</t>
  </si>
  <si>
    <t>Wind Onshore - CF Class-39 Cost Class-c04 - Japan</t>
  </si>
  <si>
    <t>EN_WON_40_c01_JPN</t>
  </si>
  <si>
    <t>Wind Onshore - CF Class-40 Cost Class-c01 - Japan</t>
  </si>
  <si>
    <t>EN_WON_40_c02_JPN</t>
  </si>
  <si>
    <t>Wind Onshore - CF Class-40 Cost Class-c02 - Japan</t>
  </si>
  <si>
    <t>EN_WON_40_c03_JPN</t>
  </si>
  <si>
    <t>Wind Onshore - CF Class-40 Cost Class-c03 - Japan</t>
  </si>
  <si>
    <t>EN_WON_41_c01_JPN</t>
  </si>
  <si>
    <t>Wind Onshore - CF Class-41 Cost Class-c01 - Japan</t>
  </si>
  <si>
    <t>EN_WON_41_c02_JPN</t>
  </si>
  <si>
    <t>Wind Onshore - CF Class-41 Cost Class-c02 - Japan</t>
  </si>
  <si>
    <t>EN_WON_42_c03_JPN</t>
  </si>
  <si>
    <t>Wind Onshore - CF Class-42 Cost Class-c03 - Japan</t>
  </si>
  <si>
    <t>EN_WON_43_c01_JPN</t>
  </si>
  <si>
    <t>Wind Onshore - CF Class-43 Cost Class-c01 - Japan</t>
  </si>
  <si>
    <t>EN_WON_43_c02_JPN</t>
  </si>
  <si>
    <t>Wind Onshore - CF Class-43 Cost Class-c02 - Japan</t>
  </si>
  <si>
    <t>EN_WON_43_c03_JPN</t>
  </si>
  <si>
    <t>Wind Onshore - CF Class-43 Cost Class-c03 - Japan</t>
  </si>
  <si>
    <t>EN_WON_43_c01_KAZ</t>
  </si>
  <si>
    <t>Wind Onshore - CF Class-43 Cost Class-c01 - Kazakhstan</t>
  </si>
  <si>
    <t>ELC_Win-KAZ</t>
  </si>
  <si>
    <t>EN_WON_44_c01_KAZ</t>
  </si>
  <si>
    <t>Wind Onshore - CF Class-44 Cost Class-c01 - Kazakhstan</t>
  </si>
  <si>
    <t>EN_WON_44_c02_KAZ</t>
  </si>
  <si>
    <t>Wind Onshore - CF Class-44 Cost Class-c02 - Kazakhstan</t>
  </si>
  <si>
    <t>EN_WON_45_c01_KAZ</t>
  </si>
  <si>
    <t>Wind Onshore - CF Class-45 Cost Class-c01 - Kazakhstan</t>
  </si>
  <si>
    <t>EN_WON_46_c01_KAZ</t>
  </si>
  <si>
    <t>Wind Onshore - CF Class-46 Cost Class-c01 - Kazakhstan</t>
  </si>
  <si>
    <t>EN_WON_47_c01_KAZ</t>
  </si>
  <si>
    <t>Wind Onshore - CF Class-47 Cost Class-c01 - Kazakhstan</t>
  </si>
  <si>
    <t>EN_WON_48_c01_KAZ</t>
  </si>
  <si>
    <t>Wind Onshore - CF Class-48 Cost Class-c01 - Kazakhstan</t>
  </si>
  <si>
    <t>EN_WON_49_c01_KAZ</t>
  </si>
  <si>
    <t>Wind Onshore - CF Class-49 Cost Class-c01 - Kazakhstan</t>
  </si>
  <si>
    <t>EN_WON_50_c01_KAZ</t>
  </si>
  <si>
    <t>Wind Onshore - CF Class-50 Cost Class-c01 - Kazakhstan</t>
  </si>
  <si>
    <t>EN_WON_34_c03_KEN</t>
  </si>
  <si>
    <t>Wind Onshore - CF Class-34 Cost Class-c03 - Kenya</t>
  </si>
  <si>
    <t>EN_WON_35_c04_KEN</t>
  </si>
  <si>
    <t>Wind Onshore - CF Class-35 Cost Class-c04 - Kenya</t>
  </si>
  <si>
    <t>EN_WON_37_c04_KEN</t>
  </si>
  <si>
    <t>Wind Onshore - CF Class-37 Cost Class-c04 - Kenya</t>
  </si>
  <si>
    <t>EN_WON_38_c03_KEN</t>
  </si>
  <si>
    <t>Wind Onshore - CF Class-38 Cost Class-c03 - Kenya</t>
  </si>
  <si>
    <t>EN_WON_38_c04_KEN</t>
  </si>
  <si>
    <t>Wind Onshore - CF Class-38 Cost Class-c04 - Kenya</t>
  </si>
  <si>
    <t>EN_WON_39_c02_KEN</t>
  </si>
  <si>
    <t>Wind Onshore - CF Class-39 Cost Class-c02 - Kenya</t>
  </si>
  <si>
    <t>EN_WON_39_c04_KEN</t>
  </si>
  <si>
    <t>Wind Onshore - CF Class-39 Cost Class-c04 - Kenya</t>
  </si>
  <si>
    <t>EN_WON_42_c04_KEN</t>
  </si>
  <si>
    <t>Wind Onshore - CF Class-42 Cost Class-c04 - Kenya</t>
  </si>
  <si>
    <t>EN_WON_44_c04_KEN</t>
  </si>
  <si>
    <t>Wind Onshore - CF Class-44 Cost Class-c04 - Kenya</t>
  </si>
  <si>
    <t>EN_WON_46_c04_KEN</t>
  </si>
  <si>
    <t>Wind Onshore - CF Class-46 Cost Class-c04 - Kenya</t>
  </si>
  <si>
    <t>EN_WON_47_c03_KEN</t>
  </si>
  <si>
    <t>Wind Onshore - CF Class-47 Cost Class-c03 - Kenya</t>
  </si>
  <si>
    <t>EN_WON_48_c01_KEN</t>
  </si>
  <si>
    <t>Wind Onshore - CF Class-48 Cost Class-c01 - Kenya</t>
  </si>
  <si>
    <t>EN_WON_48_c04_KEN</t>
  </si>
  <si>
    <t>Wind Onshore - CF Class-48 Cost Class-c04 - Kenya</t>
  </si>
  <si>
    <t>EN_WON_49_c02_KEN</t>
  </si>
  <si>
    <t>Wind Onshore - CF Class-49 Cost Class-c02 - Kenya</t>
  </si>
  <si>
    <t>EN_WON_51_c04_KEN</t>
  </si>
  <si>
    <t>Wind Onshore - CF Class-51 Cost Class-c04 - Kenya</t>
  </si>
  <si>
    <t>EN_WON_54_c01_KEN</t>
  </si>
  <si>
    <t>Wind Onshore - CF Class-54 Cost Class-c01 - Kenya</t>
  </si>
  <si>
    <t>EN_WON_57_c02_KEN</t>
  </si>
  <si>
    <t>Wind Onshore - CF Class-57 Cost Class-c02 - Kenya</t>
  </si>
  <si>
    <t>EN_WON_59_c01_KEN</t>
  </si>
  <si>
    <t>Wind Onshore - CF Class-59 Cost Class-c01 - Kenya</t>
  </si>
  <si>
    <t>EN_WON_15_c02_KGZ</t>
  </si>
  <si>
    <t>Wind Onshore - CF Class-15 Cost Class-c02 - Kyrgyz Republic</t>
  </si>
  <si>
    <t>ELC_Win-KGZ</t>
  </si>
  <si>
    <t>EN_WON_15_c03_KGZ</t>
  </si>
  <si>
    <t>Wind Onshore - CF Class-15 Cost Class-c03 - Kyrgyz Republic</t>
  </si>
  <si>
    <t>EN_WON_15_c04_KGZ</t>
  </si>
  <si>
    <t>Wind Onshore - CF Class-15 Cost Class-c04 - Kyrgyz Republic</t>
  </si>
  <si>
    <t>EN_WON_16_c03_KGZ</t>
  </si>
  <si>
    <t>Wind Onshore - CF Class-16 Cost Class-c03 - Kyrgyz Republic</t>
  </si>
  <si>
    <t>EN_WON_16_c04_KGZ</t>
  </si>
  <si>
    <t>Wind Onshore - CF Class-16 Cost Class-c04 - Kyrgyz Republic</t>
  </si>
  <si>
    <t>EN_WON_17_c02_KGZ</t>
  </si>
  <si>
    <t>Wind Onshore - CF Class-17 Cost Class-c02 - Kyrgyz Republic</t>
  </si>
  <si>
    <t>EN_WON_17_c03_KGZ</t>
  </si>
  <si>
    <t>Wind Onshore - CF Class-17 Cost Class-c03 - Kyrgyz Republic</t>
  </si>
  <si>
    <t>EN_WON_17_c04_KGZ</t>
  </si>
  <si>
    <t>Wind Onshore - CF Class-17 Cost Class-c04 - Kyrgyz Republic</t>
  </si>
  <si>
    <t>EN_WON_18_c02_KGZ</t>
  </si>
  <si>
    <t>Wind Onshore - CF Class-18 Cost Class-c02 - Kyrgyz Republic</t>
  </si>
  <si>
    <t>EN_WON_18_c03_KGZ</t>
  </si>
  <si>
    <t>Wind Onshore - CF Class-18 Cost Class-c03 - Kyrgyz Republic</t>
  </si>
  <si>
    <t>EN_WON_18_c04_KGZ</t>
  </si>
  <si>
    <t>Wind Onshore - CF Class-18 Cost Class-c04 - Kyrgyz Republic</t>
  </si>
  <si>
    <t>EN_WON_19_c02_KGZ</t>
  </si>
  <si>
    <t>Wind Onshore - CF Class-19 Cost Class-c02 - Kyrgyz Republic</t>
  </si>
  <si>
    <t>EN_WON_19_c03_KGZ</t>
  </si>
  <si>
    <t>Wind Onshore - CF Class-19 Cost Class-c03 - Kyrgyz Republic</t>
  </si>
  <si>
    <t>EN_WON_19_c04_KGZ</t>
  </si>
  <si>
    <t>Wind Onshore - CF Class-19 Cost Class-c04 - Kyrgyz Republic</t>
  </si>
  <si>
    <t>EN_WON_20_c02_KGZ</t>
  </si>
  <si>
    <t>Wind Onshore - CF Class-20 Cost Class-c02 - Kyrgyz Republic</t>
  </si>
  <si>
    <t>EN_WON_20_c03_KGZ</t>
  </si>
  <si>
    <t>Wind Onshore - CF Class-20 Cost Class-c03 - Kyrgyz Republic</t>
  </si>
  <si>
    <t>EN_WON_20_c04_KGZ</t>
  </si>
  <si>
    <t>Wind Onshore - CF Class-20 Cost Class-c04 - Kyrgyz Republic</t>
  </si>
  <si>
    <t>EN_WON_21_c03_KGZ</t>
  </si>
  <si>
    <t>Wind Onshore - CF Class-21 Cost Class-c03 - Kyrgyz Republic</t>
  </si>
  <si>
    <t>EN_WON_21_c04_KGZ</t>
  </si>
  <si>
    <t>Wind Onshore - CF Class-21 Cost Class-c04 - Kyrgyz Republic</t>
  </si>
  <si>
    <t>EN_WON_22_c03_KGZ</t>
  </si>
  <si>
    <t>Wind Onshore - CF Class-22 Cost Class-c03 - Kyrgyz Republic</t>
  </si>
  <si>
    <t>EN_WON_22_c04_KGZ</t>
  </si>
  <si>
    <t>Wind Onshore - CF Class-22 Cost Class-c04 - Kyrgyz Republic</t>
  </si>
  <si>
    <t>EN_WON_23_c03_KGZ</t>
  </si>
  <si>
    <t>Wind Onshore - CF Class-23 Cost Class-c03 - Kyrgyz Republic</t>
  </si>
  <si>
    <t>EN_WON_25_c03_KGZ</t>
  </si>
  <si>
    <t>Wind Onshore - CF Class-25 Cost Class-c03 - Kyrgyz Republic</t>
  </si>
  <si>
    <t>EN_WON_25_c04_KGZ</t>
  </si>
  <si>
    <t>Wind Onshore - CF Class-25 Cost Class-c04 - Kyrgyz Republic</t>
  </si>
  <si>
    <t>EN_WON_27_c04_KGZ</t>
  </si>
  <si>
    <t>Wind Onshore - CF Class-27 Cost Class-c04 - Kyrgyz Republic</t>
  </si>
  <si>
    <t>EN_WON_34_c03_KGZ</t>
  </si>
  <si>
    <t>Wind Onshore - CF Class-34 Cost Class-c03 - Kyrgyz Republic</t>
  </si>
  <si>
    <t>EN_WON_15_c02_KHM</t>
  </si>
  <si>
    <t>Wind Onshore - CF Class-15 Cost Class-c02 - Cambodia</t>
  </si>
  <si>
    <t>ELC_Win-KHM</t>
  </si>
  <si>
    <t>EN_WON_15_c03_KHM</t>
  </si>
  <si>
    <t>Wind Onshore - CF Class-15 Cost Class-c03 - Cambodia</t>
  </si>
  <si>
    <t>EN_WON_16_c02_KHM</t>
  </si>
  <si>
    <t>Wind Onshore - CF Class-16 Cost Class-c02 - Cambodia</t>
  </si>
  <si>
    <t>EN_WON_16_c03_KHM</t>
  </si>
  <si>
    <t>Wind Onshore - CF Class-16 Cost Class-c03 - Cambodia</t>
  </si>
  <si>
    <t>EN_WON_17_c03_KHM</t>
  </si>
  <si>
    <t>Wind Onshore - CF Class-17 Cost Class-c03 - Cambodia</t>
  </si>
  <si>
    <t>EN_WON_18_c03_KHM</t>
  </si>
  <si>
    <t>Wind Onshore - CF Class-18 Cost Class-c03 - Cambodia</t>
  </si>
  <si>
    <t>EN_WON_18_c04_KHM</t>
  </si>
  <si>
    <t>Wind Onshore - CF Class-18 Cost Class-c04 - Cambodia</t>
  </si>
  <si>
    <t>EN_WON_19_c02_KHM</t>
  </si>
  <si>
    <t>Wind Onshore - CF Class-19 Cost Class-c02 - Cambodia</t>
  </si>
  <si>
    <t>EN_WON_20_c03_KHM</t>
  </si>
  <si>
    <t>Wind Onshore - CF Class-20 Cost Class-c03 - Cambodia</t>
  </si>
  <si>
    <t>EN_WON_21_c03_KHM</t>
  </si>
  <si>
    <t>Wind Onshore - CF Class-21 Cost Class-c03 - Cambodia</t>
  </si>
  <si>
    <t>EN_WON_24_c04_KHM</t>
  </si>
  <si>
    <t>Wind Onshore - CF Class-24 Cost Class-c04 - Cambodia</t>
  </si>
  <si>
    <t>EN_WON_15_c04_KOR</t>
  </si>
  <si>
    <t>Wind Onshore - CF Class-15 Cost Class-c04 - South Korea</t>
  </si>
  <si>
    <t>EN_WON_16_c04_KOR</t>
  </si>
  <si>
    <t>Wind Onshore - CF Class-16 Cost Class-c04 - South Korea</t>
  </si>
  <si>
    <t>EN_WON_17_c04_KOR</t>
  </si>
  <si>
    <t>Wind Onshore - CF Class-17 Cost Class-c04 - South Korea</t>
  </si>
  <si>
    <t>EN_WON_18_c03_KOR</t>
  </si>
  <si>
    <t>Wind Onshore - CF Class-18 Cost Class-c03 - South Korea</t>
  </si>
  <si>
    <t>EN_WON_18_c04_KOR</t>
  </si>
  <si>
    <t>Wind Onshore - CF Class-18 Cost Class-c04 - South Korea</t>
  </si>
  <si>
    <t>EN_WON_19_c03_KOR</t>
  </si>
  <si>
    <t>Wind Onshore - CF Class-19 Cost Class-c03 - South Korea</t>
  </si>
  <si>
    <t>EN_WON_19_c04_KOR</t>
  </si>
  <si>
    <t>Wind Onshore - CF Class-19 Cost Class-c04 - South Korea</t>
  </si>
  <si>
    <t>EN_WON_20_c02_KOR</t>
  </si>
  <si>
    <t>Wind Onshore - CF Class-20 Cost Class-c02 - South Korea</t>
  </si>
  <si>
    <t>EN_WON_20_c04_KOR</t>
  </si>
  <si>
    <t>Wind Onshore - CF Class-20 Cost Class-c04 - South Korea</t>
  </si>
  <si>
    <t>EN_WON_22_c03_KOR</t>
  </si>
  <si>
    <t>Wind Onshore - CF Class-22 Cost Class-c03 - South Korea</t>
  </si>
  <si>
    <t>EN_WON_22_c04_KOR</t>
  </si>
  <si>
    <t>Wind Onshore - CF Class-22 Cost Class-c04 - South Korea</t>
  </si>
  <si>
    <t>EN_WON_23_c03_KOR</t>
  </si>
  <si>
    <t>Wind Onshore - CF Class-23 Cost Class-c03 - South Korea</t>
  </si>
  <si>
    <t>EN_WON_23_c04_KOR</t>
  </si>
  <si>
    <t>Wind Onshore - CF Class-23 Cost Class-c04 - South Korea</t>
  </si>
  <si>
    <t>EN_WON_24_c02_KOR</t>
  </si>
  <si>
    <t>Wind Onshore - CF Class-24 Cost Class-c02 - South Korea</t>
  </si>
  <si>
    <t>EN_WON_24_c03_KOR</t>
  </si>
  <si>
    <t>Wind Onshore - CF Class-24 Cost Class-c03 - South Korea</t>
  </si>
  <si>
    <t>EN_WON_24_c04_KOR</t>
  </si>
  <si>
    <t>Wind Onshore - CF Class-24 Cost Class-c04 - South Korea</t>
  </si>
  <si>
    <t>EN_WON_25_c02_KOR</t>
  </si>
  <si>
    <t>Wind Onshore - CF Class-25 Cost Class-c02 - South Korea</t>
  </si>
  <si>
    <t>EN_WON_25_c03_KOR</t>
  </si>
  <si>
    <t>Wind Onshore - CF Class-25 Cost Class-c03 - South Korea</t>
  </si>
  <si>
    <t>EN_WON_26_c03_KOR</t>
  </si>
  <si>
    <t>Wind Onshore - CF Class-26 Cost Class-c03 - South Korea</t>
  </si>
  <si>
    <t>EN_WON_27_c03_KOR</t>
  </si>
  <si>
    <t>Wind Onshore - CF Class-27 Cost Class-c03 - South Korea</t>
  </si>
  <si>
    <t>EN_WON_28_c02_KOR</t>
  </si>
  <si>
    <t>Wind Onshore - CF Class-28 Cost Class-c02 - South Korea</t>
  </si>
  <si>
    <t>EN_WON_29_c01_KOR</t>
  </si>
  <si>
    <t>Wind Onshore - CF Class-29 Cost Class-c01 - South Korea</t>
  </si>
  <si>
    <t>EN_WON_30_c02_KOR</t>
  </si>
  <si>
    <t>Wind Onshore - CF Class-30 Cost Class-c02 - South Korea</t>
  </si>
  <si>
    <t>EN_WON_31_c01_KOR</t>
  </si>
  <si>
    <t>Wind Onshore - CF Class-31 Cost Class-c01 - South Korea</t>
  </si>
  <si>
    <t>EN_WON_31_c02_KOR</t>
  </si>
  <si>
    <t>Wind Onshore - CF Class-31 Cost Class-c02 - South Korea</t>
  </si>
  <si>
    <t>EN_WON_32_c02_KOR</t>
  </si>
  <si>
    <t>Wind Onshore - CF Class-32 Cost Class-c02 - South Korea</t>
  </si>
  <si>
    <t>EN_WON_35_c01_KOR</t>
  </si>
  <si>
    <t>Wind Onshore - CF Class-35 Cost Class-c01 - South Korea</t>
  </si>
  <si>
    <t>EN_WON_37_c02_KOR</t>
  </si>
  <si>
    <t>Wind Onshore - CF Class-37 Cost Class-c02 - South Korea</t>
  </si>
  <si>
    <t>EN_WON_39_c01_KOR</t>
  </si>
  <si>
    <t>Wind Onshore - CF Class-39 Cost Class-c01 - South Korea</t>
  </si>
  <si>
    <t>EN_WON_39_c02_KOR</t>
  </si>
  <si>
    <t>Wind Onshore - CF Class-39 Cost Class-c02 - South Korea</t>
  </si>
  <si>
    <t>EN_WON_41_c01_KOR</t>
  </si>
  <si>
    <t>Wind Onshore - CF Class-41 Cost Class-c01 - South Korea</t>
  </si>
  <si>
    <t>EN_WON_29_c02_KWT</t>
  </si>
  <si>
    <t>Wind Onshore - CF Class-29 Cost Class-c02 - Kuwait</t>
  </si>
  <si>
    <t>ELC_Win-KWT</t>
  </si>
  <si>
    <t>EN_WON_33_c01_KWT</t>
  </si>
  <si>
    <t>Wind Onshore - CF Class-33 Cost Class-c01 - Kuwait</t>
  </si>
  <si>
    <t>EN_WON_34_c01_KWT</t>
  </si>
  <si>
    <t>Wind Onshore - CF Class-34 Cost Class-c01 - Kuwait</t>
  </si>
  <si>
    <t>EN_WON_35_c01_KWT</t>
  </si>
  <si>
    <t>Wind Onshore - CF Class-35 Cost Class-c01 - Kuwait</t>
  </si>
  <si>
    <t>EN_WON_36_c01_KWT</t>
  </si>
  <si>
    <t>Wind Onshore - CF Class-36 Cost Class-c01 - Kuwait</t>
  </si>
  <si>
    <t>EN_WON_38_c01_KWT</t>
  </si>
  <si>
    <t>Wind Onshore - CF Class-38 Cost Class-c01 - Kuwait</t>
  </si>
  <si>
    <t>EN_WON_39_c01_KWT</t>
  </si>
  <si>
    <t>Wind Onshore - CF Class-39 Cost Class-c01 - Kuwait</t>
  </si>
  <si>
    <t>EN_WON_40_c01_KWT</t>
  </si>
  <si>
    <t>Wind Onshore - CF Class-40 Cost Class-c01 - Kuwait</t>
  </si>
  <si>
    <t>EN_WON_15_c02_LAO</t>
  </si>
  <si>
    <t>Wind Onshore - CF Class-15 Cost Class-c02 - Laos</t>
  </si>
  <si>
    <t>ELC_Win-LAO</t>
  </si>
  <si>
    <t>EN_WON_15_c03_LAO</t>
  </si>
  <si>
    <t>Wind Onshore - CF Class-15 Cost Class-c03 - Laos</t>
  </si>
  <si>
    <t>EN_WON_16_c02_LAO</t>
  </si>
  <si>
    <t>Wind Onshore - CF Class-16 Cost Class-c02 - Laos</t>
  </si>
  <si>
    <t>EN_WON_16_c03_LAO</t>
  </si>
  <si>
    <t>Wind Onshore - CF Class-16 Cost Class-c03 - Laos</t>
  </si>
  <si>
    <t>EN_WON_17_c02_LAO</t>
  </si>
  <si>
    <t>Wind Onshore - CF Class-17 Cost Class-c02 - Laos</t>
  </si>
  <si>
    <t>EN_WON_17_c03_LAO</t>
  </si>
  <si>
    <t>Wind Onshore - CF Class-17 Cost Class-c03 - Laos</t>
  </si>
  <si>
    <t>EN_WON_17_c04_LAO</t>
  </si>
  <si>
    <t>Wind Onshore - CF Class-17 Cost Class-c04 - Laos</t>
  </si>
  <si>
    <t>EN_WON_18_c02_LAO</t>
  </si>
  <si>
    <t>Wind Onshore - CF Class-18 Cost Class-c02 - Laos</t>
  </si>
  <si>
    <t>EN_WON_18_c03_LAO</t>
  </si>
  <si>
    <t>Wind Onshore - CF Class-18 Cost Class-c03 - Laos</t>
  </si>
  <si>
    <t>EN_WON_18_c04_LAO</t>
  </si>
  <si>
    <t>Wind Onshore - CF Class-18 Cost Class-c04 - Laos</t>
  </si>
  <si>
    <t>EN_WON_19_c02_LAO</t>
  </si>
  <si>
    <t>Wind Onshore - CF Class-19 Cost Class-c02 - Laos</t>
  </si>
  <si>
    <t>EN_WON_19_c03_LAO</t>
  </si>
  <si>
    <t>Wind Onshore - CF Class-19 Cost Class-c03 - Laos</t>
  </si>
  <si>
    <t>EN_WON_19_c04_LAO</t>
  </si>
  <si>
    <t>Wind Onshore - CF Class-19 Cost Class-c04 - Laos</t>
  </si>
  <si>
    <t>EN_WON_20_c03_LAO</t>
  </si>
  <si>
    <t>Wind Onshore - CF Class-20 Cost Class-c03 - Laos</t>
  </si>
  <si>
    <t>EN_WON_20_c04_LAO</t>
  </si>
  <si>
    <t>Wind Onshore - CF Class-20 Cost Class-c04 - Laos</t>
  </si>
  <si>
    <t>EN_WON_21_c03_LAO</t>
  </si>
  <si>
    <t>Wind Onshore - CF Class-21 Cost Class-c03 - Laos</t>
  </si>
  <si>
    <t>EN_WON_21_c04_LAO</t>
  </si>
  <si>
    <t>Wind Onshore - CF Class-21 Cost Class-c04 - Laos</t>
  </si>
  <si>
    <t>EN_WON_22_c02_LAO</t>
  </si>
  <si>
    <t>Wind Onshore - CF Class-22 Cost Class-c02 - Laos</t>
  </si>
  <si>
    <t>EN_WON_22_c03_LAO</t>
  </si>
  <si>
    <t>Wind Onshore - CF Class-22 Cost Class-c03 - Laos</t>
  </si>
  <si>
    <t>EN_WON_22_c04_LAO</t>
  </si>
  <si>
    <t>Wind Onshore - CF Class-22 Cost Class-c04 - Laos</t>
  </si>
  <si>
    <t>EN_WON_23_c02_LAO</t>
  </si>
  <si>
    <t>Wind Onshore - CF Class-23 Cost Class-c02 - Laos</t>
  </si>
  <si>
    <t>EN_WON_23_c04_LAO</t>
  </si>
  <si>
    <t>Wind Onshore - CF Class-23 Cost Class-c04 - Laos</t>
  </si>
  <si>
    <t>EN_WON_24_c02_LAO</t>
  </si>
  <si>
    <t>Wind Onshore - CF Class-24 Cost Class-c02 - Laos</t>
  </si>
  <si>
    <t>EN_WON_25_c01_LAO</t>
  </si>
  <si>
    <t>Wind Onshore - CF Class-25 Cost Class-c01 - Laos</t>
  </si>
  <si>
    <t>EN_WON_25_c02_LAO</t>
  </si>
  <si>
    <t>Wind Onshore - CF Class-25 Cost Class-c02 - Laos</t>
  </si>
  <si>
    <t>EN_WON_25_c04_LAO</t>
  </si>
  <si>
    <t>Wind Onshore - CF Class-25 Cost Class-c04 - Laos</t>
  </si>
  <si>
    <t>EN_WON_26_c01_LAO</t>
  </si>
  <si>
    <t>Wind Onshore - CF Class-26 Cost Class-c01 - Laos</t>
  </si>
  <si>
    <t>EN_WON_26_c03_LAO</t>
  </si>
  <si>
    <t>Wind Onshore - CF Class-26 Cost Class-c03 - Laos</t>
  </si>
  <si>
    <t>EN_WON_27_c02_LAO</t>
  </si>
  <si>
    <t>Wind Onshore - CF Class-27 Cost Class-c02 - Laos</t>
  </si>
  <si>
    <t>EN_WON_28_c02_LAO</t>
  </si>
  <si>
    <t>Wind Onshore - CF Class-28 Cost Class-c02 - Laos</t>
  </si>
  <si>
    <t>EN_WON_29_c03_LAO</t>
  </si>
  <si>
    <t>Wind Onshore - CF Class-29 Cost Class-c03 - Laos</t>
  </si>
  <si>
    <t>EN_WON_30_c03_LAO</t>
  </si>
  <si>
    <t>Wind Onshore - CF Class-30 Cost Class-c03 - Laos</t>
  </si>
  <si>
    <t>EN_WON_17_c04_LBN</t>
  </si>
  <si>
    <t>Wind Onshore - CF Class-17 Cost Class-c04 - Lebanon</t>
  </si>
  <si>
    <t>ELC_Win-LBN</t>
  </si>
  <si>
    <t>EN_WON_18_c04_LBN</t>
  </si>
  <si>
    <t>Wind Onshore - CF Class-18 Cost Class-c04 - Lebanon</t>
  </si>
  <si>
    <t>EN_WON_19_c04_LBN</t>
  </si>
  <si>
    <t>Wind Onshore - CF Class-19 Cost Class-c04 - Lebanon</t>
  </si>
  <si>
    <t>EN_WON_41_c04_LBY</t>
  </si>
  <si>
    <t>Wind Onshore - CF Class-41 Cost Class-c04 - Libya</t>
  </si>
  <si>
    <t>EN_WON_42_c03_LBY</t>
  </si>
  <si>
    <t>Wind Onshore - CF Class-42 Cost Class-c03 - Libya</t>
  </si>
  <si>
    <t>EN_WON_42_c04_LBY</t>
  </si>
  <si>
    <t>Wind Onshore - CF Class-42 Cost Class-c04 - Libya</t>
  </si>
  <si>
    <t>EN_WON_43_c04_LBY</t>
  </si>
  <si>
    <t>Wind Onshore - CF Class-43 Cost Class-c04 - Libya</t>
  </si>
  <si>
    <t>EN_WON_48_c03_LBY</t>
  </si>
  <si>
    <t>Wind Onshore - CF Class-48 Cost Class-c03 - Libya</t>
  </si>
  <si>
    <t>EN_WON_27_c02_LKA</t>
  </si>
  <si>
    <t>Wind Onshore - CF Class-27 Cost Class-c02 - Sri Lanka</t>
  </si>
  <si>
    <t>EN_WON_28_c01_LKA</t>
  </si>
  <si>
    <t>Wind Onshore - CF Class-28 Cost Class-c01 - Sri Lanka</t>
  </si>
  <si>
    <t>EN_WON_28_c02_LKA</t>
  </si>
  <si>
    <t>Wind Onshore - CF Class-28 Cost Class-c02 - Sri Lanka</t>
  </si>
  <si>
    <t>EN_WON_29_c02_LKA</t>
  </si>
  <si>
    <t>Wind Onshore - CF Class-29 Cost Class-c02 - Sri Lanka</t>
  </si>
  <si>
    <t>EN_WON_29_c03_LKA</t>
  </si>
  <si>
    <t>Wind Onshore - CF Class-29 Cost Class-c03 - Sri Lanka</t>
  </si>
  <si>
    <t>EN_WON_30_c03_LKA</t>
  </si>
  <si>
    <t>Wind Onshore - CF Class-30 Cost Class-c03 - Sri Lanka</t>
  </si>
  <si>
    <t>EN_WON_31_c01_LKA</t>
  </si>
  <si>
    <t>Wind Onshore - CF Class-31 Cost Class-c01 - Sri Lanka</t>
  </si>
  <si>
    <t>EN_WON_32_c02_LKA</t>
  </si>
  <si>
    <t>Wind Onshore - CF Class-32 Cost Class-c02 - Sri Lanka</t>
  </si>
  <si>
    <t>EN_WON_33_c03_LKA</t>
  </si>
  <si>
    <t>Wind Onshore - CF Class-33 Cost Class-c03 - Sri Lanka</t>
  </si>
  <si>
    <t>EN_WON_34_c01_LKA</t>
  </si>
  <si>
    <t>Wind Onshore - CF Class-34 Cost Class-c01 - Sri Lanka</t>
  </si>
  <si>
    <t>EN_WON_34_c03_LKA</t>
  </si>
  <si>
    <t>Wind Onshore - CF Class-34 Cost Class-c03 - Sri Lanka</t>
  </si>
  <si>
    <t>EN_WON_37_c01_LKA</t>
  </si>
  <si>
    <t>Wind Onshore - CF Class-37 Cost Class-c01 - Sri Lanka</t>
  </si>
  <si>
    <t>EN_WON_38_c01_LKA</t>
  </si>
  <si>
    <t>Wind Onshore - CF Class-38 Cost Class-c01 - Sri Lanka</t>
  </si>
  <si>
    <t>EN_WON_29_c03_LSO</t>
  </si>
  <si>
    <t>Wind Onshore - CF Class-29 Cost Class-c03 - Lesotho</t>
  </si>
  <si>
    <t>ELC_Win-LSO</t>
  </si>
  <si>
    <t>EN_WON_29_c04_LSO</t>
  </si>
  <si>
    <t>Wind Onshore - CF Class-29 Cost Class-c04 - Lesotho</t>
  </si>
  <si>
    <t>EN_WON_36_c01_LTU</t>
  </si>
  <si>
    <t>Wind Onshore - CF Class-36 Cost Class-c01 - Lithuania</t>
  </si>
  <si>
    <t>EN_WON_38_c01_LTU</t>
  </si>
  <si>
    <t>Wind Onshore - CF Class-38 Cost Class-c01 - Lithuania</t>
  </si>
  <si>
    <t>EN_WON_26_c02_LUX</t>
  </si>
  <si>
    <t>Wind Onshore - CF Class-26 Cost Class-c02 - Luxembourg</t>
  </si>
  <si>
    <t>ELC_Win-LUX</t>
  </si>
  <si>
    <t>EN_WON_32_c01_LVA</t>
  </si>
  <si>
    <t>Wind Onshore - CF Class-32 Cost Class-c01 - Latvia</t>
  </si>
  <si>
    <t>EN_WON_33_c01_LVA</t>
  </si>
  <si>
    <t>Wind Onshore - CF Class-33 Cost Class-c01 - Latvia</t>
  </si>
  <si>
    <t>EN_WON_34_c01_LVA</t>
  </si>
  <si>
    <t>Wind Onshore - CF Class-34 Cost Class-c01 - Latvia</t>
  </si>
  <si>
    <t>EN_WON_35_c01_LVA</t>
  </si>
  <si>
    <t>Wind Onshore - CF Class-35 Cost Class-c01 - Latvia</t>
  </si>
  <si>
    <t>EN_WON_36_c01_LVA</t>
  </si>
  <si>
    <t>Wind Onshore - CF Class-36 Cost Class-c01 - Latvia</t>
  </si>
  <si>
    <t>EN_WON_31_c02_MAR</t>
  </si>
  <si>
    <t>Wind Onshore - CF Class-31 Cost Class-c02 - Morocco</t>
  </si>
  <si>
    <t>EN_WON_32_c01_MAR</t>
  </si>
  <si>
    <t>Wind Onshore - CF Class-32 Cost Class-c01 - Morocco</t>
  </si>
  <si>
    <t>EN_WON_33_c01_MAR</t>
  </si>
  <si>
    <t>Wind Onshore - CF Class-33 Cost Class-c01 - Morocco</t>
  </si>
  <si>
    <t>EN_WON_33_c02_MAR</t>
  </si>
  <si>
    <t>Wind Onshore - CF Class-33 Cost Class-c02 - Morocco</t>
  </si>
  <si>
    <t>EN_WON_34_c01_MAR</t>
  </si>
  <si>
    <t>Wind Onshore - CF Class-34 Cost Class-c01 - Morocco</t>
  </si>
  <si>
    <t>EN_WON_34_c02_MAR</t>
  </si>
  <si>
    <t>Wind Onshore - CF Class-34 Cost Class-c02 - Morocco</t>
  </si>
  <si>
    <t>EN_WON_34_c03_MAR</t>
  </si>
  <si>
    <t>Wind Onshore - CF Class-34 Cost Class-c03 - Morocco</t>
  </si>
  <si>
    <t>EN_WON_35_c01_MAR</t>
  </si>
  <si>
    <t>Wind Onshore - CF Class-35 Cost Class-c01 - Morocco</t>
  </si>
  <si>
    <t>EN_WON_35_c02_MAR</t>
  </si>
  <si>
    <t>Wind Onshore - CF Class-35 Cost Class-c02 - Morocco</t>
  </si>
  <si>
    <t>EN_WON_38_c01_MAR</t>
  </si>
  <si>
    <t>Wind Onshore - CF Class-38 Cost Class-c01 - Morocco</t>
  </si>
  <si>
    <t>EN_WON_39_c02_MAR</t>
  </si>
  <si>
    <t>Wind Onshore - CF Class-39 Cost Class-c02 - Morocco</t>
  </si>
  <si>
    <t>EN_WON_40_c01_MAR</t>
  </si>
  <si>
    <t>Wind Onshore - CF Class-40 Cost Class-c01 - Morocco</t>
  </si>
  <si>
    <t>EN_WON_40_c02_MAR</t>
  </si>
  <si>
    <t>Wind Onshore - CF Class-40 Cost Class-c02 - Morocco</t>
  </si>
  <si>
    <t>EN_WON_41_c01_MAR</t>
  </si>
  <si>
    <t>Wind Onshore - CF Class-41 Cost Class-c01 - Morocco</t>
  </si>
  <si>
    <t>EN_WON_42_c01_MAR</t>
  </si>
  <si>
    <t>Wind Onshore - CF Class-42 Cost Class-c01 - Morocco</t>
  </si>
  <si>
    <t>EN_WON_44_c01_MAR</t>
  </si>
  <si>
    <t>Wind Onshore - CF Class-44 Cost Class-c01 - Morocco</t>
  </si>
  <si>
    <t>EN_WON_44_c02_MAR</t>
  </si>
  <si>
    <t>Wind Onshore - CF Class-44 Cost Class-c02 - Morocco</t>
  </si>
  <si>
    <t>EN_WON_45_c01_MAR</t>
  </si>
  <si>
    <t>Wind Onshore - CF Class-45 Cost Class-c01 - Morocco</t>
  </si>
  <si>
    <t>EN_WON_46_c01_MAR</t>
  </si>
  <si>
    <t>Wind Onshore - CF Class-46 Cost Class-c01 - Morocco</t>
  </si>
  <si>
    <t>EN_WON_30_c01_MDA</t>
  </si>
  <si>
    <t>Wind Onshore - CF Class-30 Cost Class-c01 - Moldova</t>
  </si>
  <si>
    <t>ELC_Win-MDA</t>
  </si>
  <si>
    <t>EN_WON_33_c04_MDG</t>
  </si>
  <si>
    <t>Wind Onshore - CF Class-33 Cost Class-c04 - Madagascar</t>
  </si>
  <si>
    <t>EN_WON_34_c04_MDG</t>
  </si>
  <si>
    <t>Wind Onshore - CF Class-34 Cost Class-c04 - Madagascar</t>
  </si>
  <si>
    <t>EN_WON_35_c02_MDG</t>
  </si>
  <si>
    <t>Wind Onshore - CF Class-35 Cost Class-c02 - Madagascar</t>
  </si>
  <si>
    <t>EN_WON_35_c03_MDG</t>
  </si>
  <si>
    <t>Wind Onshore - CF Class-35 Cost Class-c03 - Madagascar</t>
  </si>
  <si>
    <t>EN_WON_35_c04_MDG</t>
  </si>
  <si>
    <t>Wind Onshore - CF Class-35 Cost Class-c04 - Madagascar</t>
  </si>
  <si>
    <t>EN_WON_36_c03_MDG</t>
  </si>
  <si>
    <t>Wind Onshore - CF Class-36 Cost Class-c03 - Madagascar</t>
  </si>
  <si>
    <t>EN_WON_39_c04_MDG</t>
  </si>
  <si>
    <t>Wind Onshore - CF Class-39 Cost Class-c04 - Madagascar</t>
  </si>
  <si>
    <t>EN_WON_42_c02_MDG</t>
  </si>
  <si>
    <t>Wind Onshore - CF Class-42 Cost Class-c02 - Madagascar</t>
  </si>
  <si>
    <t>EN_WON_44_c04_MDG</t>
  </si>
  <si>
    <t>Wind Onshore - CF Class-44 Cost Class-c04 - Madagascar</t>
  </si>
  <si>
    <t>EN_WON_47_c04_MDG</t>
  </si>
  <si>
    <t>Wind Onshore - CF Class-47 Cost Class-c04 - Madagascar</t>
  </si>
  <si>
    <t>EN_WON_19_c02_MEX</t>
  </si>
  <si>
    <t>Wind Onshore - CF Class-19 Cost Class-c02 - Mexico</t>
  </si>
  <si>
    <t>EN_WON_19_c03_MEX</t>
  </si>
  <si>
    <t>Wind Onshore - CF Class-19 Cost Class-c03 - Mexico</t>
  </si>
  <si>
    <t>EN_WON_20_c02_MEX</t>
  </si>
  <si>
    <t>Wind Onshore - CF Class-20 Cost Class-c02 - Mexico</t>
  </si>
  <si>
    <t>EN_WON_20_c03_MEX</t>
  </si>
  <si>
    <t>Wind Onshore - CF Class-20 Cost Class-c03 - Mexico</t>
  </si>
  <si>
    <t>EN_WON_20_c04_MEX</t>
  </si>
  <si>
    <t>Wind Onshore - CF Class-20 Cost Class-c04 - Mexico</t>
  </si>
  <si>
    <t>EN_WON_21_c01_MEX</t>
  </si>
  <si>
    <t>Wind Onshore - CF Class-21 Cost Class-c01 - Mexico</t>
  </si>
  <si>
    <t>EN_WON_21_c02_MEX</t>
  </si>
  <si>
    <t>Wind Onshore - CF Class-21 Cost Class-c02 - Mexico</t>
  </si>
  <si>
    <t>EN_WON_21_c03_MEX</t>
  </si>
  <si>
    <t>Wind Onshore - CF Class-21 Cost Class-c03 - Mexico</t>
  </si>
  <si>
    <t>EN_WON_21_c04_MEX</t>
  </si>
  <si>
    <t>Wind Onshore - CF Class-21 Cost Class-c04 - Mexico</t>
  </si>
  <si>
    <t>EN_WON_22_c02_MEX</t>
  </si>
  <si>
    <t>Wind Onshore - CF Class-22 Cost Class-c02 - Mexico</t>
  </si>
  <si>
    <t>EN_WON_22_c03_MEX</t>
  </si>
  <si>
    <t>Wind Onshore - CF Class-22 Cost Class-c03 - Mexico</t>
  </si>
  <si>
    <t>EN_WON_22_c04_MEX</t>
  </si>
  <si>
    <t>Wind Onshore - CF Class-22 Cost Class-c04 - Mexico</t>
  </si>
  <si>
    <t>EN_WON_23_c02_MEX</t>
  </si>
  <si>
    <t>Wind Onshore - CF Class-23 Cost Class-c02 - Mexico</t>
  </si>
  <si>
    <t>EN_WON_23_c03_MEX</t>
  </si>
  <si>
    <t>Wind Onshore - CF Class-23 Cost Class-c03 - Mexico</t>
  </si>
  <si>
    <t>EN_WON_23_c04_MEX</t>
  </si>
  <si>
    <t>Wind Onshore - CF Class-23 Cost Class-c04 - Mexico</t>
  </si>
  <si>
    <t>EN_WON_24_c01_MEX</t>
  </si>
  <si>
    <t>Wind Onshore - CF Class-24 Cost Class-c01 - Mexico</t>
  </si>
  <si>
    <t>EN_WON_24_c02_MEX</t>
  </si>
  <si>
    <t>Wind Onshore - CF Class-24 Cost Class-c02 - Mexico</t>
  </si>
  <si>
    <t>EN_WON_24_c03_MEX</t>
  </si>
  <si>
    <t>Wind Onshore - CF Class-24 Cost Class-c03 - Mexico</t>
  </si>
  <si>
    <t>EN_WON_24_c04_MEX</t>
  </si>
  <si>
    <t>Wind Onshore - CF Class-24 Cost Class-c04 - Mexico</t>
  </si>
  <si>
    <t>EN_WON_25_c02_MEX</t>
  </si>
  <si>
    <t>Wind Onshore - CF Class-25 Cost Class-c02 - Mexico</t>
  </si>
  <si>
    <t>EN_WON_25_c03_MEX</t>
  </si>
  <si>
    <t>Wind Onshore - CF Class-25 Cost Class-c03 - Mexico</t>
  </si>
  <si>
    <t>EN_WON_25_c04_MEX</t>
  </si>
  <si>
    <t>Wind Onshore - CF Class-25 Cost Class-c04 - Mexico</t>
  </si>
  <si>
    <t>EN_WON_26_c01_MEX</t>
  </si>
  <si>
    <t>Wind Onshore - CF Class-26 Cost Class-c01 - Mexico</t>
  </si>
  <si>
    <t>EN_WON_26_c03_MEX</t>
  </si>
  <si>
    <t>Wind Onshore - CF Class-26 Cost Class-c03 - Mexico</t>
  </si>
  <si>
    <t>EN_WON_26_c04_MEX</t>
  </si>
  <si>
    <t>Wind Onshore - CF Class-26 Cost Class-c04 - Mexico</t>
  </si>
  <si>
    <t>EN_WON_27_c01_MEX</t>
  </si>
  <si>
    <t>Wind Onshore - CF Class-27 Cost Class-c01 - Mexico</t>
  </si>
  <si>
    <t>EN_WON_27_c02_MEX</t>
  </si>
  <si>
    <t>Wind Onshore - CF Class-27 Cost Class-c02 - Mexico</t>
  </si>
  <si>
    <t>EN_WON_27_c03_MEX</t>
  </si>
  <si>
    <t>Wind Onshore - CF Class-27 Cost Class-c03 - Mexico</t>
  </si>
  <si>
    <t>EN_WON_27_c04_MEX</t>
  </si>
  <si>
    <t>Wind Onshore - CF Class-27 Cost Class-c04 - Mexico</t>
  </si>
  <si>
    <t>EN_WON_28_c01_MEX</t>
  </si>
  <si>
    <t>Wind Onshore - CF Class-28 Cost Class-c01 - Mexico</t>
  </si>
  <si>
    <t>EN_WON_28_c02_MEX</t>
  </si>
  <si>
    <t>Wind Onshore - CF Class-28 Cost Class-c02 - Mexico</t>
  </si>
  <si>
    <t>EN_WON_28_c03_MEX</t>
  </si>
  <si>
    <t>Wind Onshore - CF Class-28 Cost Class-c03 - Mexico</t>
  </si>
  <si>
    <t>EN_WON_28_c04_MEX</t>
  </si>
  <si>
    <t>Wind Onshore - CF Class-28 Cost Class-c04 - Mexico</t>
  </si>
  <si>
    <t>EN_WON_29_c01_MEX</t>
  </si>
  <si>
    <t>Wind Onshore - CF Class-29 Cost Class-c01 - Mexico</t>
  </si>
  <si>
    <t>EN_WON_29_c02_MEX</t>
  </si>
  <si>
    <t>Wind Onshore - CF Class-29 Cost Class-c02 - Mexico</t>
  </si>
  <si>
    <t>EN_WON_29_c03_MEX</t>
  </si>
  <si>
    <t>Wind Onshore - CF Class-29 Cost Class-c03 - Mexico</t>
  </si>
  <si>
    <t>EN_WON_30_c01_MEX</t>
  </si>
  <si>
    <t>Wind Onshore - CF Class-30 Cost Class-c01 - Mexico</t>
  </si>
  <si>
    <t>EN_WON_30_c02_MEX</t>
  </si>
  <si>
    <t>Wind Onshore - CF Class-30 Cost Class-c02 - Mexico</t>
  </si>
  <si>
    <t>EN_WON_30_c03_MEX</t>
  </si>
  <si>
    <t>Wind Onshore - CF Class-30 Cost Class-c03 - Mexico</t>
  </si>
  <si>
    <t>EN_WON_31_c01_MEX</t>
  </si>
  <si>
    <t>Wind Onshore - CF Class-31 Cost Class-c01 - Mexico</t>
  </si>
  <si>
    <t>EN_WON_31_c03_MEX</t>
  </si>
  <si>
    <t>Wind Onshore - CF Class-31 Cost Class-c03 - Mexico</t>
  </si>
  <si>
    <t>EN_WON_32_c01_MEX</t>
  </si>
  <si>
    <t>Wind Onshore - CF Class-32 Cost Class-c01 - Mexico</t>
  </si>
  <si>
    <t>EN_WON_32_c02_MEX</t>
  </si>
  <si>
    <t>Wind Onshore - CF Class-32 Cost Class-c02 - Mexico</t>
  </si>
  <si>
    <t>EN_WON_32_c04_MEX</t>
  </si>
  <si>
    <t>Wind Onshore - CF Class-32 Cost Class-c04 - Mexico</t>
  </si>
  <si>
    <t>EN_WON_33_c01_MEX</t>
  </si>
  <si>
    <t>Wind Onshore - CF Class-33 Cost Class-c01 - Mexico</t>
  </si>
  <si>
    <t>EN_WON_33_c02_MEX</t>
  </si>
  <si>
    <t>Wind Onshore - CF Class-33 Cost Class-c02 - Mexico</t>
  </si>
  <si>
    <t>EN_WON_34_c01_MEX</t>
  </si>
  <si>
    <t>Wind Onshore - CF Class-34 Cost Class-c01 - Mexico</t>
  </si>
  <si>
    <t>EN_WON_35_c01_MEX</t>
  </si>
  <si>
    <t>Wind Onshore - CF Class-35 Cost Class-c01 - Mexico</t>
  </si>
  <si>
    <t>EN_WON_36_c01_MEX</t>
  </si>
  <si>
    <t>Wind Onshore - CF Class-36 Cost Class-c01 - Mexico</t>
  </si>
  <si>
    <t>EN_WON_36_c02_MEX</t>
  </si>
  <si>
    <t>Wind Onshore - CF Class-36 Cost Class-c02 - Mexico</t>
  </si>
  <si>
    <t>EN_WON_37_c01_MEX</t>
  </si>
  <si>
    <t>Wind Onshore - CF Class-37 Cost Class-c01 - Mexico</t>
  </si>
  <si>
    <t>EN_WON_37_c03_MEX</t>
  </si>
  <si>
    <t>Wind Onshore - CF Class-37 Cost Class-c03 - Mexico</t>
  </si>
  <si>
    <t>EN_WON_38_c01_MEX</t>
  </si>
  <si>
    <t>Wind Onshore - CF Class-38 Cost Class-c01 - Mexico</t>
  </si>
  <si>
    <t>EN_WON_38_c02_MEX</t>
  </si>
  <si>
    <t>Wind Onshore - CF Class-38 Cost Class-c02 - Mexico</t>
  </si>
  <si>
    <t>EN_WON_48_c01_MEX</t>
  </si>
  <si>
    <t>Wind Onshore - CF Class-48 Cost Class-c01 - Mexico</t>
  </si>
  <si>
    <t>EN_WON_21_c01_MKD</t>
  </si>
  <si>
    <t>Wind Onshore - CF Class-21 Cost Class-c01 - Macedonia</t>
  </si>
  <si>
    <t>ELC_Win-MKD</t>
  </si>
  <si>
    <t>EN_WON_22_c01_MKD</t>
  </si>
  <si>
    <t>Wind Onshore - CF Class-22 Cost Class-c01 - Macedonia</t>
  </si>
  <si>
    <t>EN_WON_23_c01_MKD</t>
  </si>
  <si>
    <t>Wind Onshore - CF Class-23 Cost Class-c01 - Macedonia</t>
  </si>
  <si>
    <t>EN_WON_25_c01_MKD</t>
  </si>
  <si>
    <t>Wind Onshore - CF Class-25 Cost Class-c01 - Macedonia</t>
  </si>
  <si>
    <t>EN_WON_26_c01_MKD</t>
  </si>
  <si>
    <t>Wind Onshore - CF Class-26 Cost Class-c01 - Macedonia</t>
  </si>
  <si>
    <t>EN_WON_27_c01_MKD</t>
  </si>
  <si>
    <t>Wind Onshore - CF Class-27 Cost Class-c01 - Macedonia</t>
  </si>
  <si>
    <t>EN_WON_28_c01_MKD</t>
  </si>
  <si>
    <t>Wind Onshore - CF Class-28 Cost Class-c01 - Macedonia</t>
  </si>
  <si>
    <t>EN_WON_29_c01_MKD</t>
  </si>
  <si>
    <t>Wind Onshore - CF Class-29 Cost Class-c01 - Macedonia</t>
  </si>
  <si>
    <t>EN_WON_40_c04_MLI</t>
  </si>
  <si>
    <t>Wind Onshore - CF Class-40 Cost Class-c04 - Mali</t>
  </si>
  <si>
    <t>ELC_Win-MLI</t>
  </si>
  <si>
    <t>EN_WON_15_c04_MMR</t>
  </si>
  <si>
    <t>Wind Onshore - CF Class-15 Cost Class-c04 - Myanmar</t>
  </si>
  <si>
    <t>ELC_Win-MMR</t>
  </si>
  <si>
    <t>EN_WON_16_c04_MMR</t>
  </si>
  <si>
    <t>Wind Onshore - CF Class-16 Cost Class-c04 - Myanmar</t>
  </si>
  <si>
    <t>EN_WON_17_c04_MMR</t>
  </si>
  <si>
    <t>Wind Onshore - CF Class-17 Cost Class-c04 - Myanmar</t>
  </si>
  <si>
    <t>EN_WON_18_c02_MMR</t>
  </si>
  <si>
    <t>Wind Onshore - CF Class-18 Cost Class-c02 - Myanmar</t>
  </si>
  <si>
    <t>EN_WON_18_c03_MMR</t>
  </si>
  <si>
    <t>Wind Onshore - CF Class-18 Cost Class-c03 - Myanmar</t>
  </si>
  <si>
    <t>EN_WON_18_c04_MMR</t>
  </si>
  <si>
    <t>Wind Onshore - CF Class-18 Cost Class-c04 - Myanmar</t>
  </si>
  <si>
    <t>EN_WON_19_c03_MMR</t>
  </si>
  <si>
    <t>Wind Onshore - CF Class-19 Cost Class-c03 - Myanmar</t>
  </si>
  <si>
    <t>EN_WON_19_c04_MMR</t>
  </si>
  <si>
    <t>Wind Onshore - CF Class-19 Cost Class-c04 - Myanmar</t>
  </si>
  <si>
    <t>EN_WON_20_c04_MMR</t>
  </si>
  <si>
    <t>Wind Onshore - CF Class-20 Cost Class-c04 - Myanmar</t>
  </si>
  <si>
    <t>EN_WON_28_c02_MNE</t>
  </si>
  <si>
    <t>Wind Onshore - CF Class-28 Cost Class-c02 - Montenegro</t>
  </si>
  <si>
    <t>ELC_Win-MNE</t>
  </si>
  <si>
    <t>EN_WON_29_c02_MNE</t>
  </si>
  <si>
    <t>Wind Onshore - CF Class-29 Cost Class-c02 - Montenegro</t>
  </si>
  <si>
    <t>EN_WON_32_c02_MNE</t>
  </si>
  <si>
    <t>Wind Onshore - CF Class-32 Cost Class-c02 - Montenegro</t>
  </si>
  <si>
    <t>EN_WON_43_c01_MNG</t>
  </si>
  <si>
    <t>Wind Onshore - CF Class-43 Cost Class-c01 - Mongolia</t>
  </si>
  <si>
    <t>ELC_Win-MNG</t>
  </si>
  <si>
    <t>EN_WON_44_c01_MNG</t>
  </si>
  <si>
    <t>Wind Onshore - CF Class-44 Cost Class-c01 - Mongolia</t>
  </si>
  <si>
    <t>EN_WON_15_c02_MOZ</t>
  </si>
  <si>
    <t>Wind Onshore - CF Class-15 Cost Class-c02 - Mozambique</t>
  </si>
  <si>
    <t>EN_WON_15_c03_MOZ</t>
  </si>
  <si>
    <t>Wind Onshore - CF Class-15 Cost Class-c03 - Mozambique</t>
  </si>
  <si>
    <t>EN_WON_15_c04_MOZ</t>
  </si>
  <si>
    <t>Wind Onshore - CF Class-15 Cost Class-c04 - Mozambique</t>
  </si>
  <si>
    <t>EN_WON_16_c02_MOZ</t>
  </si>
  <si>
    <t>Wind Onshore - CF Class-16 Cost Class-c02 - Mozambique</t>
  </si>
  <si>
    <t>EN_WON_16_c03_MOZ</t>
  </si>
  <si>
    <t>Wind Onshore - CF Class-16 Cost Class-c03 - Mozambique</t>
  </si>
  <si>
    <t>EN_WON_16_c04_MOZ</t>
  </si>
  <si>
    <t>Wind Onshore - CF Class-16 Cost Class-c04 - Mozambique</t>
  </si>
  <si>
    <t>EN_WON_17_c02_MOZ</t>
  </si>
  <si>
    <t>Wind Onshore - CF Class-17 Cost Class-c02 - Mozambique</t>
  </si>
  <si>
    <t>EN_WON_17_c03_MOZ</t>
  </si>
  <si>
    <t>Wind Onshore - CF Class-17 Cost Class-c03 - Mozambique</t>
  </si>
  <si>
    <t>EN_WON_17_c04_MOZ</t>
  </si>
  <si>
    <t>Wind Onshore - CF Class-17 Cost Class-c04 - Mozambique</t>
  </si>
  <si>
    <t>EN_WON_18_c02_MOZ</t>
  </si>
  <si>
    <t>Wind Onshore - CF Class-18 Cost Class-c02 - Mozambique</t>
  </si>
  <si>
    <t>EN_WON_18_c03_MOZ</t>
  </si>
  <si>
    <t>Wind Onshore - CF Class-18 Cost Class-c03 - Mozambique</t>
  </si>
  <si>
    <t>EN_WON_18_c04_MOZ</t>
  </si>
  <si>
    <t>Wind Onshore - CF Class-18 Cost Class-c04 - Mozambique</t>
  </si>
  <si>
    <t>EN_WON_19_c02_MOZ</t>
  </si>
  <si>
    <t>Wind Onshore - CF Class-19 Cost Class-c02 - Mozambique</t>
  </si>
  <si>
    <t>EN_WON_19_c03_MOZ</t>
  </si>
  <si>
    <t>Wind Onshore - CF Class-19 Cost Class-c03 - Mozambique</t>
  </si>
  <si>
    <t>EN_WON_19_c04_MOZ</t>
  </si>
  <si>
    <t>Wind Onshore - CF Class-19 Cost Class-c04 - Mozambique</t>
  </si>
  <si>
    <t>EN_WON_20_c02_MOZ</t>
  </si>
  <si>
    <t>Wind Onshore - CF Class-20 Cost Class-c02 - Mozambique</t>
  </si>
  <si>
    <t>EN_WON_20_c03_MOZ</t>
  </si>
  <si>
    <t>Wind Onshore - CF Class-20 Cost Class-c03 - Mozambique</t>
  </si>
  <si>
    <t>EN_WON_20_c04_MOZ</t>
  </si>
  <si>
    <t>Wind Onshore - CF Class-20 Cost Class-c04 - Mozambique</t>
  </si>
  <si>
    <t>EN_WON_21_c02_MOZ</t>
  </si>
  <si>
    <t>Wind Onshore - CF Class-21 Cost Class-c02 - Mozambique</t>
  </si>
  <si>
    <t>EN_WON_21_c03_MOZ</t>
  </si>
  <si>
    <t>Wind Onshore - CF Class-21 Cost Class-c03 - Mozambique</t>
  </si>
  <si>
    <t>EN_WON_21_c04_MOZ</t>
  </si>
  <si>
    <t>Wind Onshore - CF Class-21 Cost Class-c04 - Mozambique</t>
  </si>
  <si>
    <t>EN_WON_22_c02_MOZ</t>
  </si>
  <si>
    <t>Wind Onshore - CF Class-22 Cost Class-c02 - Mozambique</t>
  </si>
  <si>
    <t>EN_WON_22_c03_MOZ</t>
  </si>
  <si>
    <t>Wind Onshore - CF Class-22 Cost Class-c03 - Mozambique</t>
  </si>
  <si>
    <t>EN_WON_22_c04_MOZ</t>
  </si>
  <si>
    <t>Wind Onshore - CF Class-22 Cost Class-c04 - Mozambique</t>
  </si>
  <si>
    <t>EN_WON_23_c02_MOZ</t>
  </si>
  <si>
    <t>Wind Onshore - CF Class-23 Cost Class-c02 - Mozambique</t>
  </si>
  <si>
    <t>EN_WON_23_c03_MOZ</t>
  </si>
  <si>
    <t>Wind Onshore - CF Class-23 Cost Class-c03 - Mozambique</t>
  </si>
  <si>
    <t>EN_WON_23_c04_MOZ</t>
  </si>
  <si>
    <t>Wind Onshore - CF Class-23 Cost Class-c04 - Mozambique</t>
  </si>
  <si>
    <t>EN_WON_24_c02_MOZ</t>
  </si>
  <si>
    <t>Wind Onshore - CF Class-24 Cost Class-c02 - Mozambique</t>
  </si>
  <si>
    <t>EN_WON_25_c02_MOZ</t>
  </si>
  <si>
    <t>Wind Onshore - CF Class-25 Cost Class-c02 - Mozambique</t>
  </si>
  <si>
    <t>EN_WON_25_c03_MOZ</t>
  </si>
  <si>
    <t>Wind Onshore - CF Class-25 Cost Class-c03 - Mozambique</t>
  </si>
  <si>
    <t>EN_WON_25_c04_MOZ</t>
  </si>
  <si>
    <t>Wind Onshore - CF Class-25 Cost Class-c04 - Mozambique</t>
  </si>
  <si>
    <t>EN_WON_26_c02_MOZ</t>
  </si>
  <si>
    <t>Wind Onshore - CF Class-26 Cost Class-c02 - Mozambique</t>
  </si>
  <si>
    <t>EN_WON_26_c03_MOZ</t>
  </si>
  <si>
    <t>Wind Onshore - CF Class-26 Cost Class-c03 - Mozambique</t>
  </si>
  <si>
    <t>EN_WON_27_c02_MOZ</t>
  </si>
  <si>
    <t>Wind Onshore - CF Class-27 Cost Class-c02 - Mozambique</t>
  </si>
  <si>
    <t>EN_WON_28_c01_MOZ</t>
  </si>
  <si>
    <t>Wind Onshore - CF Class-28 Cost Class-c01 - Mozambique</t>
  </si>
  <si>
    <t>EN_WON_28_c03_MOZ</t>
  </si>
  <si>
    <t>Wind Onshore - CF Class-28 Cost Class-c03 - Mozambique</t>
  </si>
  <si>
    <t>EN_WON_62_c02_MRT</t>
  </si>
  <si>
    <t>Wind Onshore - CF Class-62 Cost Class-c02 - Mauritania</t>
  </si>
  <si>
    <t>EN_WON_15_c03_MWI</t>
  </si>
  <si>
    <t>Wind Onshore - CF Class-15 Cost Class-c03 - Malawi</t>
  </si>
  <si>
    <t>ELC_Win-MWI</t>
  </si>
  <si>
    <t>EN_WON_15_c04_MWI</t>
  </si>
  <si>
    <t>Wind Onshore - CF Class-15 Cost Class-c04 - Malawi</t>
  </si>
  <si>
    <t>EN_WON_16_c02_MWI</t>
  </si>
  <si>
    <t>Wind Onshore - CF Class-16 Cost Class-c02 - Malawi</t>
  </si>
  <si>
    <t>EN_WON_16_c03_MWI</t>
  </si>
  <si>
    <t>Wind Onshore - CF Class-16 Cost Class-c03 - Malawi</t>
  </si>
  <si>
    <t>EN_WON_16_c04_MWI</t>
  </si>
  <si>
    <t>Wind Onshore - CF Class-16 Cost Class-c04 - Malawi</t>
  </si>
  <si>
    <t>EN_WON_17_c02_MWI</t>
  </si>
  <si>
    <t>Wind Onshore - CF Class-17 Cost Class-c02 - Malawi</t>
  </si>
  <si>
    <t>EN_WON_17_c03_MWI</t>
  </si>
  <si>
    <t>Wind Onshore - CF Class-17 Cost Class-c03 - Malawi</t>
  </si>
  <si>
    <t>EN_WON_17_c04_MWI</t>
  </si>
  <si>
    <t>Wind Onshore - CF Class-17 Cost Class-c04 - Malawi</t>
  </si>
  <si>
    <t>EN_WON_18_c03_MWI</t>
  </si>
  <si>
    <t>Wind Onshore - CF Class-18 Cost Class-c03 - Malawi</t>
  </si>
  <si>
    <t>EN_WON_18_c04_MWI</t>
  </si>
  <si>
    <t>Wind Onshore - CF Class-18 Cost Class-c04 - Malawi</t>
  </si>
  <si>
    <t>EN_WON_19_c03_MWI</t>
  </si>
  <si>
    <t>Wind Onshore - CF Class-19 Cost Class-c03 - Malawi</t>
  </si>
  <si>
    <t>EN_WON_19_c04_MWI</t>
  </si>
  <si>
    <t>Wind Onshore - CF Class-19 Cost Class-c04 - Malawi</t>
  </si>
  <si>
    <t>EN_WON_20_c02_MWI</t>
  </si>
  <si>
    <t>Wind Onshore - CF Class-20 Cost Class-c02 - Malawi</t>
  </si>
  <si>
    <t>EN_WON_20_c03_MWI</t>
  </si>
  <si>
    <t>Wind Onshore - CF Class-20 Cost Class-c03 - Malawi</t>
  </si>
  <si>
    <t>EN_WON_20_c04_MWI</t>
  </si>
  <si>
    <t>Wind Onshore - CF Class-20 Cost Class-c04 - Malawi</t>
  </si>
  <si>
    <t>EN_WON_21_c03_MWI</t>
  </si>
  <si>
    <t>Wind Onshore - CF Class-21 Cost Class-c03 - Malawi</t>
  </si>
  <si>
    <t>EN_WON_21_c04_MWI</t>
  </si>
  <si>
    <t>Wind Onshore - CF Class-21 Cost Class-c04 - Malawi</t>
  </si>
  <si>
    <t>EN_WON_22_c03_MWI</t>
  </si>
  <si>
    <t>Wind Onshore - CF Class-22 Cost Class-c03 - Malawi</t>
  </si>
  <si>
    <t>EN_WON_22_c04_MWI</t>
  </si>
  <si>
    <t>Wind Onshore - CF Class-22 Cost Class-c04 - Malawi</t>
  </si>
  <si>
    <t>EN_WON_24_c03_MWI</t>
  </si>
  <si>
    <t>Wind Onshore - CF Class-24 Cost Class-c03 - Malawi</t>
  </si>
  <si>
    <t>EN_WON_24_c04_MWI</t>
  </si>
  <si>
    <t>Wind Onshore - CF Class-24 Cost Class-c04 - Malawi</t>
  </si>
  <si>
    <t>EN_WON_25_c03_MWI</t>
  </si>
  <si>
    <t>Wind Onshore - CF Class-25 Cost Class-c03 - Malawi</t>
  </si>
  <si>
    <t>EN_WON_25_c04_MWI</t>
  </si>
  <si>
    <t>Wind Onshore - CF Class-25 Cost Class-c04 - Malawi</t>
  </si>
  <si>
    <t>EN_WON_26_c03_MWI</t>
  </si>
  <si>
    <t>Wind Onshore - CF Class-26 Cost Class-c03 - Malawi</t>
  </si>
  <si>
    <t>EN_WON_26_c04_MWI</t>
  </si>
  <si>
    <t>Wind Onshore - CF Class-26 Cost Class-c04 - Malawi</t>
  </si>
  <si>
    <t>EN_WON_27_c03_MWI</t>
  </si>
  <si>
    <t>Wind Onshore - CF Class-27 Cost Class-c03 - Malawi</t>
  </si>
  <si>
    <t>EN_WON_28_c03_MWI</t>
  </si>
  <si>
    <t>Wind Onshore - CF Class-28 Cost Class-c03 - Malawi</t>
  </si>
  <si>
    <t>EN_WON_29_c02_MWI</t>
  </si>
  <si>
    <t>Wind Onshore - CF Class-29 Cost Class-c02 - Malawi</t>
  </si>
  <si>
    <t>EN_WON_30_c02_MWI</t>
  </si>
  <si>
    <t>Wind Onshore - CF Class-30 Cost Class-c02 - Malawi</t>
  </si>
  <si>
    <t>EN_WON_37_c02_MWI</t>
  </si>
  <si>
    <t>Wind Onshore - CF Class-37 Cost Class-c02 - Malawi</t>
  </si>
  <si>
    <t>EN_WON_44_c02_NAM</t>
  </si>
  <si>
    <t>Wind Onshore - CF Class-44 Cost Class-c02 - Namibia</t>
  </si>
  <si>
    <t>EN_WON_48_c01_NAM</t>
  </si>
  <si>
    <t>Wind Onshore - CF Class-48 Cost Class-c01 - Namibia</t>
  </si>
  <si>
    <t>EN_WON_53_c01_NAM</t>
  </si>
  <si>
    <t>Wind Onshore - CF Class-53 Cost Class-c01 - Namibia</t>
  </si>
  <si>
    <t>EN_WON_52_c03_NER</t>
  </si>
  <si>
    <t>Wind Onshore - CF Class-52 Cost Class-c03 - Niger</t>
  </si>
  <si>
    <t>ELC_Win-NER</t>
  </si>
  <si>
    <t>EN_WON_53_c02_NER</t>
  </si>
  <si>
    <t>Wind Onshore - CF Class-53 Cost Class-c02 - Niger</t>
  </si>
  <si>
    <t>EN_WON_54_c02_NER</t>
  </si>
  <si>
    <t>Wind Onshore - CF Class-54 Cost Class-c02 - Niger</t>
  </si>
  <si>
    <t>EN_WON_20_c02_NGA</t>
  </si>
  <si>
    <t>Wind Onshore - CF Class-20 Cost Class-c02 - Nigeria</t>
  </si>
  <si>
    <t>ELC_Win-NGA</t>
  </si>
  <si>
    <t>EN_WON_20_c04_NGA</t>
  </si>
  <si>
    <t>Wind Onshore - CF Class-20 Cost Class-c04 - Nigeria</t>
  </si>
  <si>
    <t>EN_WON_21_c02_NGA</t>
  </si>
  <si>
    <t>Wind Onshore - CF Class-21 Cost Class-c02 - Nigeria</t>
  </si>
  <si>
    <t>EN_WON_21_c03_NGA</t>
  </si>
  <si>
    <t>Wind Onshore - CF Class-21 Cost Class-c03 - Nigeria</t>
  </si>
  <si>
    <t>EN_WON_21_c04_NGA</t>
  </si>
  <si>
    <t>Wind Onshore - CF Class-21 Cost Class-c04 - Nigeria</t>
  </si>
  <si>
    <t>EN_WON_22_c02_NGA</t>
  </si>
  <si>
    <t>Wind Onshore - CF Class-22 Cost Class-c02 - Nigeria</t>
  </si>
  <si>
    <t>EN_WON_22_c03_NGA</t>
  </si>
  <si>
    <t>Wind Onshore - CF Class-22 Cost Class-c03 - Nigeria</t>
  </si>
  <si>
    <t>EN_WON_23_c01_NGA</t>
  </si>
  <si>
    <t>Wind Onshore - CF Class-23 Cost Class-c01 - Nigeria</t>
  </si>
  <si>
    <t>EN_WON_23_c02_NGA</t>
  </si>
  <si>
    <t>Wind Onshore - CF Class-23 Cost Class-c02 - Nigeria</t>
  </si>
  <si>
    <t>EN_WON_23_c03_NGA</t>
  </si>
  <si>
    <t>Wind Onshore - CF Class-23 Cost Class-c03 - Nigeria</t>
  </si>
  <si>
    <t>EN_WON_23_c04_NGA</t>
  </si>
  <si>
    <t>Wind Onshore - CF Class-23 Cost Class-c04 - Nigeria</t>
  </si>
  <si>
    <t>EN_WON_24_c02_NGA</t>
  </si>
  <si>
    <t>Wind Onshore - CF Class-24 Cost Class-c02 - Nigeria</t>
  </si>
  <si>
    <t>EN_WON_24_c03_NGA</t>
  </si>
  <si>
    <t>Wind Onshore - CF Class-24 Cost Class-c03 - Nigeria</t>
  </si>
  <si>
    <t>EN_WON_25_c01_NGA</t>
  </si>
  <si>
    <t>Wind Onshore - CF Class-25 Cost Class-c01 - Nigeria</t>
  </si>
  <si>
    <t>EN_WON_25_c02_NGA</t>
  </si>
  <si>
    <t>Wind Onshore - CF Class-25 Cost Class-c02 - Nigeria</t>
  </si>
  <si>
    <t>EN_WON_25_c03_NGA</t>
  </si>
  <si>
    <t>Wind Onshore - CF Class-25 Cost Class-c03 - Nigeria</t>
  </si>
  <si>
    <t>EN_WON_26_c02_NGA</t>
  </si>
  <si>
    <t>Wind Onshore - CF Class-26 Cost Class-c02 - Nigeria</t>
  </si>
  <si>
    <t>EN_WON_26_c03_NGA</t>
  </si>
  <si>
    <t>Wind Onshore - CF Class-26 Cost Class-c03 - Nigeria</t>
  </si>
  <si>
    <t>EN_WON_27_c01_NGA</t>
  </si>
  <si>
    <t>Wind Onshore - CF Class-27 Cost Class-c01 - Nigeria</t>
  </si>
  <si>
    <t>EN_WON_27_c03_NGA</t>
  </si>
  <si>
    <t>Wind Onshore - CF Class-27 Cost Class-c03 - Nigeria</t>
  </si>
  <si>
    <t>EN_WON_28_c01_NGA</t>
  </si>
  <si>
    <t>Wind Onshore - CF Class-28 Cost Class-c01 - Nigeria</t>
  </si>
  <si>
    <t>EN_WON_28_c02_NGA</t>
  </si>
  <si>
    <t>Wind Onshore - CF Class-28 Cost Class-c02 - Nigeria</t>
  </si>
  <si>
    <t>EN_WON_29_c01_NGA</t>
  </si>
  <si>
    <t>Wind Onshore - CF Class-29 Cost Class-c01 - Nigeria</t>
  </si>
  <si>
    <t>EN_WON_29_c03_NGA</t>
  </si>
  <si>
    <t>Wind Onshore - CF Class-29 Cost Class-c03 - Nigeria</t>
  </si>
  <si>
    <t>EN_WON_30_c01_NGA</t>
  </si>
  <si>
    <t>Wind Onshore - CF Class-30 Cost Class-c01 - Nigeria</t>
  </si>
  <si>
    <t>EN_WON_32_c03_NIC</t>
  </si>
  <si>
    <t>Wind Onshore - CF Class-32 Cost Class-c03 - Nicaragua</t>
  </si>
  <si>
    <t>EN_WON_33_c03_NIC</t>
  </si>
  <si>
    <t>Wind Onshore - CF Class-33 Cost Class-c03 - Nicaragua</t>
  </si>
  <si>
    <t>EN_WON_35_c01_NIC</t>
  </si>
  <si>
    <t>Wind Onshore - CF Class-35 Cost Class-c01 - Nicaragua</t>
  </si>
  <si>
    <t>EN_WON_35_c03_NIC</t>
  </si>
  <si>
    <t>Wind Onshore - CF Class-35 Cost Class-c03 - Nicaragua</t>
  </si>
  <si>
    <t>EN_WON_37_c04_NIC</t>
  </si>
  <si>
    <t>Wind Onshore - CF Class-37 Cost Class-c04 - Nicaragua</t>
  </si>
  <si>
    <t>EN_WON_38_c04_NIC</t>
  </si>
  <si>
    <t>Wind Onshore - CF Class-38 Cost Class-c04 - Nicaragua</t>
  </si>
  <si>
    <t>EN_WON_40_c03_NIC</t>
  </si>
  <si>
    <t>Wind Onshore - CF Class-40 Cost Class-c03 - Nicaragua</t>
  </si>
  <si>
    <t>EN_WON_38_c01_NLD</t>
  </si>
  <si>
    <t>Wind Onshore - CF Class-38 Cost Class-c01 - Netherlands</t>
  </si>
  <si>
    <t>EN_WON_40_c01_NLD</t>
  </si>
  <si>
    <t>Wind Onshore - CF Class-40 Cost Class-c01 - Netherlands</t>
  </si>
  <si>
    <t>EN_WON_41_c01_NLD</t>
  </si>
  <si>
    <t>Wind Onshore - CF Class-41 Cost Class-c01 - Netherlands</t>
  </si>
  <si>
    <t>EN_WON_42_c01_NLD</t>
  </si>
  <si>
    <t>Wind Onshore - CF Class-42 Cost Class-c01 - Netherlands</t>
  </si>
  <si>
    <t>EN_WON_44_c01_NLD</t>
  </si>
  <si>
    <t>Wind Onshore - CF Class-44 Cost Class-c01 - Netherlands</t>
  </si>
  <si>
    <t>EN_WON_45_c01_NLD</t>
  </si>
  <si>
    <t>Wind Onshore - CF Class-45 Cost Class-c01 - Netherlands</t>
  </si>
  <si>
    <t>EN_WON_47_c01_NLD</t>
  </si>
  <si>
    <t>Wind Onshore - CF Class-47 Cost Class-c01 - Netherlands</t>
  </si>
  <si>
    <t>EN_WON_48_c01_NLD</t>
  </si>
  <si>
    <t>Wind Onshore - CF Class-48 Cost Class-c01 - Netherlands</t>
  </si>
  <si>
    <t>EN_WON_33_c01_NOR</t>
  </si>
  <si>
    <t>Wind Onshore - CF Class-33 Cost Class-c01 - Norway</t>
  </si>
  <si>
    <t>EN_WON_33_c03_NOR</t>
  </si>
  <si>
    <t>Wind Onshore - CF Class-33 Cost Class-c03 - Norway</t>
  </si>
  <si>
    <t>EN_WON_34_c03_NOR</t>
  </si>
  <si>
    <t>Wind Onshore - CF Class-34 Cost Class-c03 - Norway</t>
  </si>
  <si>
    <t>EN_WON_35_c02_NOR</t>
  </si>
  <si>
    <t>Wind Onshore - CF Class-35 Cost Class-c02 - Norway</t>
  </si>
  <si>
    <t>EN_WON_35_c03_NOR</t>
  </si>
  <si>
    <t>Wind Onshore - CF Class-35 Cost Class-c03 - Norway</t>
  </si>
  <si>
    <t>EN_WON_36_c02_NOR</t>
  </si>
  <si>
    <t>Wind Onshore - CF Class-36 Cost Class-c02 - Norway</t>
  </si>
  <si>
    <t>EN_WON_36_c03_NOR</t>
  </si>
  <si>
    <t>Wind Onshore - CF Class-36 Cost Class-c03 - Norway</t>
  </si>
  <si>
    <t>EN_WON_37_c01_NOR</t>
  </si>
  <si>
    <t>Wind Onshore - CF Class-37 Cost Class-c01 - Norway</t>
  </si>
  <si>
    <t>EN_WON_39_c01_NOR</t>
  </si>
  <si>
    <t>Wind Onshore - CF Class-39 Cost Class-c01 - Norway</t>
  </si>
  <si>
    <t>EN_WON_41_c01_NOR</t>
  </si>
  <si>
    <t>Wind Onshore - CF Class-41 Cost Class-c01 - Norway</t>
  </si>
  <si>
    <t>EN_WON_46_c01_NOR</t>
  </si>
  <si>
    <t>Wind Onshore - CF Class-46 Cost Class-c01 - Norway</t>
  </si>
  <si>
    <t>EN_WON_22_c04_NPL</t>
  </si>
  <si>
    <t>Wind Onshore - CF Class-22 Cost Class-c04 - Nepal</t>
  </si>
  <si>
    <t>ELC_Win-NPL</t>
  </si>
  <si>
    <t>EN_WON_35_c01_OMN</t>
  </si>
  <si>
    <t>Wind Onshore - CF Class-35 Cost Class-c01 - Oman</t>
  </si>
  <si>
    <t>EN_WON_35_c02_OMN</t>
  </si>
  <si>
    <t>Wind Onshore - CF Class-35 Cost Class-c02 - Oman</t>
  </si>
  <si>
    <t>EN_WON_35_c03_OMN</t>
  </si>
  <si>
    <t>Wind Onshore - CF Class-35 Cost Class-c03 - Oman</t>
  </si>
  <si>
    <t>EN_WON_36_c01_OMN</t>
  </si>
  <si>
    <t>Wind Onshore - CF Class-36 Cost Class-c01 - Oman</t>
  </si>
  <si>
    <t>EN_WON_37_c01_OMN</t>
  </si>
  <si>
    <t>Wind Onshore - CF Class-37 Cost Class-c01 - Oman</t>
  </si>
  <si>
    <t>EN_WON_38_c01_OMN</t>
  </si>
  <si>
    <t>Wind Onshore - CF Class-38 Cost Class-c01 - Oman</t>
  </si>
  <si>
    <t>EN_WON_38_c02_OMN</t>
  </si>
  <si>
    <t>Wind Onshore - CF Class-38 Cost Class-c02 - Oman</t>
  </si>
  <si>
    <t>EN_WON_39_c01_OMN</t>
  </si>
  <si>
    <t>Wind Onshore - CF Class-39 Cost Class-c01 - Oman</t>
  </si>
  <si>
    <t>EN_WON_42_c01_OMN</t>
  </si>
  <si>
    <t>Wind Onshore - CF Class-42 Cost Class-c01 - Oman</t>
  </si>
  <si>
    <t>EN_WON_43_c01_OMN</t>
  </si>
  <si>
    <t>Wind Onshore - CF Class-43 Cost Class-c01 - Oman</t>
  </si>
  <si>
    <t>EN_WON_44_c01_OMN</t>
  </si>
  <si>
    <t>Wind Onshore - CF Class-44 Cost Class-c01 - Oman</t>
  </si>
  <si>
    <t>EN_WON_44_c02_OMN</t>
  </si>
  <si>
    <t>Wind Onshore - CF Class-44 Cost Class-c02 - Oman</t>
  </si>
  <si>
    <t>EN_WON_45_c01_OMN</t>
  </si>
  <si>
    <t>Wind Onshore - CF Class-45 Cost Class-c01 - Oman</t>
  </si>
  <si>
    <t>EN_WON_46_c01_OMN</t>
  </si>
  <si>
    <t>Wind Onshore - CF Class-46 Cost Class-c01 - Oman</t>
  </si>
  <si>
    <t>EN_WON_17_c04_PAK</t>
  </si>
  <si>
    <t>Wind Onshore - CF Class-17 Cost Class-c04 - Pakistan</t>
  </si>
  <si>
    <t>ELC_Win-PAK</t>
  </si>
  <si>
    <t>EN_WON_18_c02_PAK</t>
  </si>
  <si>
    <t>Wind Onshore - CF Class-18 Cost Class-c02 - Pakistan</t>
  </si>
  <si>
    <t>EN_WON_18_c03_PAK</t>
  </si>
  <si>
    <t>Wind Onshore - CF Class-18 Cost Class-c03 - Pakistan</t>
  </si>
  <si>
    <t>EN_WON_18_c04_PAK</t>
  </si>
  <si>
    <t>Wind Onshore - CF Class-18 Cost Class-c04 - Pakistan</t>
  </si>
  <si>
    <t>EN_WON_19_c02_PAK</t>
  </si>
  <si>
    <t>Wind Onshore - CF Class-19 Cost Class-c02 - Pakistan</t>
  </si>
  <si>
    <t>EN_WON_19_c03_PAK</t>
  </si>
  <si>
    <t>Wind Onshore - CF Class-19 Cost Class-c03 - Pakistan</t>
  </si>
  <si>
    <t>EN_WON_19_c04_PAK</t>
  </si>
  <si>
    <t>Wind Onshore - CF Class-19 Cost Class-c04 - Pakistan</t>
  </si>
  <si>
    <t>EN_WON_20_c02_PAK</t>
  </si>
  <si>
    <t>Wind Onshore - CF Class-20 Cost Class-c02 - Pakistan</t>
  </si>
  <si>
    <t>EN_WON_20_c03_PAK</t>
  </si>
  <si>
    <t>Wind Onshore - CF Class-20 Cost Class-c03 - Pakistan</t>
  </si>
  <si>
    <t>EN_WON_20_c04_PAK</t>
  </si>
  <si>
    <t>Wind Onshore - CF Class-20 Cost Class-c04 - Pakistan</t>
  </si>
  <si>
    <t>EN_WON_21_c01_PAK</t>
  </si>
  <si>
    <t>Wind Onshore - CF Class-21 Cost Class-c01 - Pakistan</t>
  </si>
  <si>
    <t>EN_WON_21_c02_PAK</t>
  </si>
  <si>
    <t>Wind Onshore - CF Class-21 Cost Class-c02 - Pakistan</t>
  </si>
  <si>
    <t>EN_WON_21_c03_PAK</t>
  </si>
  <si>
    <t>Wind Onshore - CF Class-21 Cost Class-c03 - Pakistan</t>
  </si>
  <si>
    <t>EN_WON_21_c04_PAK</t>
  </si>
  <si>
    <t>Wind Onshore - CF Class-21 Cost Class-c04 - Pakistan</t>
  </si>
  <si>
    <t>EN_WON_22_c02_PAK</t>
  </si>
  <si>
    <t>Wind Onshore - CF Class-22 Cost Class-c02 - Pakistan</t>
  </si>
  <si>
    <t>EN_WON_22_c03_PAK</t>
  </si>
  <si>
    <t>Wind Onshore - CF Class-22 Cost Class-c03 - Pakistan</t>
  </si>
  <si>
    <t>EN_WON_22_c04_PAK</t>
  </si>
  <si>
    <t>Wind Onshore - CF Class-22 Cost Class-c04 - Pakistan</t>
  </si>
  <si>
    <t>EN_WON_23_c02_PAK</t>
  </si>
  <si>
    <t>Wind Onshore - CF Class-23 Cost Class-c02 - Pakistan</t>
  </si>
  <si>
    <t>EN_WON_23_c03_PAK</t>
  </si>
  <si>
    <t>Wind Onshore - CF Class-23 Cost Class-c03 - Pakistan</t>
  </si>
  <si>
    <t>EN_WON_23_c04_PAK</t>
  </si>
  <si>
    <t>Wind Onshore - CF Class-23 Cost Class-c04 - Pakistan</t>
  </si>
  <si>
    <t>EN_WON_24_c01_PAK</t>
  </si>
  <si>
    <t>Wind Onshore - CF Class-24 Cost Class-c01 - Pakistan</t>
  </si>
  <si>
    <t>EN_WON_24_c02_PAK</t>
  </si>
  <si>
    <t>Wind Onshore - CF Class-24 Cost Class-c02 - Pakistan</t>
  </si>
  <si>
    <t>EN_WON_24_c03_PAK</t>
  </si>
  <si>
    <t>Wind Onshore - CF Class-24 Cost Class-c03 - Pakistan</t>
  </si>
  <si>
    <t>EN_WON_24_c04_PAK</t>
  </si>
  <si>
    <t>Wind Onshore - CF Class-24 Cost Class-c04 - Pakistan</t>
  </si>
  <si>
    <t>EN_WON_25_c01_PAK</t>
  </si>
  <si>
    <t>Wind Onshore - CF Class-25 Cost Class-c01 - Pakistan</t>
  </si>
  <si>
    <t>EN_WON_25_c02_PAK</t>
  </si>
  <si>
    <t>Wind Onshore - CF Class-25 Cost Class-c02 - Pakistan</t>
  </si>
  <si>
    <t>EN_WON_25_c03_PAK</t>
  </si>
  <si>
    <t>Wind Onshore - CF Class-25 Cost Class-c03 - Pakistan</t>
  </si>
  <si>
    <t>EN_WON_25_c04_PAK</t>
  </si>
  <si>
    <t>Wind Onshore - CF Class-25 Cost Class-c04 - Pakistan</t>
  </si>
  <si>
    <t>EN_WON_26_c01_PAK</t>
  </si>
  <si>
    <t>Wind Onshore - CF Class-26 Cost Class-c01 - Pakistan</t>
  </si>
  <si>
    <t>EN_WON_26_c02_PAK</t>
  </si>
  <si>
    <t>Wind Onshore - CF Class-26 Cost Class-c02 - Pakistan</t>
  </si>
  <si>
    <t>EN_WON_26_c03_PAK</t>
  </si>
  <si>
    <t>Wind Onshore - CF Class-26 Cost Class-c03 - Pakistan</t>
  </si>
  <si>
    <t>EN_WON_27_c01_PAK</t>
  </si>
  <si>
    <t>Wind Onshore - CF Class-27 Cost Class-c01 - Pakistan</t>
  </si>
  <si>
    <t>EN_WON_27_c02_PAK</t>
  </si>
  <si>
    <t>Wind Onshore - CF Class-27 Cost Class-c02 - Pakistan</t>
  </si>
  <si>
    <t>EN_WON_28_c01_PAK</t>
  </si>
  <si>
    <t>Wind Onshore - CF Class-28 Cost Class-c01 - Pakistan</t>
  </si>
  <si>
    <t>EN_WON_28_c02_PAK</t>
  </si>
  <si>
    <t>Wind Onshore - CF Class-28 Cost Class-c02 - Pakistan</t>
  </si>
  <si>
    <t>EN_WON_28_c03_PAK</t>
  </si>
  <si>
    <t>Wind Onshore - CF Class-28 Cost Class-c03 - Pakistan</t>
  </si>
  <si>
    <t>EN_WON_29_c01_PAK</t>
  </si>
  <si>
    <t>Wind Onshore - CF Class-29 Cost Class-c01 - Pakistan</t>
  </si>
  <si>
    <t>EN_WON_29_c02_PAK</t>
  </si>
  <si>
    <t>Wind Onshore - CF Class-29 Cost Class-c02 - Pakistan</t>
  </si>
  <si>
    <t>EN_WON_29_c03_PAK</t>
  </si>
  <si>
    <t>Wind Onshore - CF Class-29 Cost Class-c03 - Pakistan</t>
  </si>
  <si>
    <t>EN_WON_30_c01_PAK</t>
  </si>
  <si>
    <t>Wind Onshore - CF Class-30 Cost Class-c01 - Pakistan</t>
  </si>
  <si>
    <t>EN_WON_30_c02_PAK</t>
  </si>
  <si>
    <t>Wind Onshore - CF Class-30 Cost Class-c02 - Pakistan</t>
  </si>
  <si>
    <t>EN_WON_30_c03_PAK</t>
  </si>
  <si>
    <t>Wind Onshore - CF Class-30 Cost Class-c03 - Pakistan</t>
  </si>
  <si>
    <t>EN_WON_31_c01_PAK</t>
  </si>
  <si>
    <t>Wind Onshore - CF Class-31 Cost Class-c01 - Pakistan</t>
  </si>
  <si>
    <t>EN_WON_31_c02_PAK</t>
  </si>
  <si>
    <t>Wind Onshore - CF Class-31 Cost Class-c02 - Pakistan</t>
  </si>
  <si>
    <t>EN_WON_31_c03_PAK</t>
  </si>
  <si>
    <t>Wind Onshore - CF Class-31 Cost Class-c03 - Pakistan</t>
  </si>
  <si>
    <t>EN_WON_32_c02_PAK</t>
  </si>
  <si>
    <t>Wind Onshore - CF Class-32 Cost Class-c02 - Pakistan</t>
  </si>
  <si>
    <t>EN_WON_33_c02_PAK</t>
  </si>
  <si>
    <t>Wind Onshore - CF Class-33 Cost Class-c02 - Pakistan</t>
  </si>
  <si>
    <t>EN_WON_34_c01_PAK</t>
  </si>
  <si>
    <t>Wind Onshore - CF Class-34 Cost Class-c01 - Pakistan</t>
  </si>
  <si>
    <t>EN_WON_34_c02_PAK</t>
  </si>
  <si>
    <t>Wind Onshore - CF Class-34 Cost Class-c02 - Pakistan</t>
  </si>
  <si>
    <t>EN_WON_35_c01_PAK</t>
  </si>
  <si>
    <t>Wind Onshore - CF Class-35 Cost Class-c01 - Pakistan</t>
  </si>
  <si>
    <t>EN_WON_36_c01_PAK</t>
  </si>
  <si>
    <t>Wind Onshore - CF Class-36 Cost Class-c01 - Pakistan</t>
  </si>
  <si>
    <t>EN_WON_36_c02_PAK</t>
  </si>
  <si>
    <t>Wind Onshore - CF Class-36 Cost Class-c02 - Pakistan</t>
  </si>
  <si>
    <t>EN_WON_39_c01_PAK</t>
  </si>
  <si>
    <t>Wind Onshore - CF Class-39 Cost Class-c01 - Pakistan</t>
  </si>
  <si>
    <t>EN_WON_40_c01_PAK</t>
  </si>
  <si>
    <t>Wind Onshore - CF Class-40 Cost Class-c01 - Pakistan</t>
  </si>
  <si>
    <t>EN_WON_19_c04_PAN</t>
  </si>
  <si>
    <t>Wind Onshore - CF Class-19 Cost Class-c04 - Panama</t>
  </si>
  <si>
    <t>EN_WON_20_c04_PAN</t>
  </si>
  <si>
    <t>Wind Onshore - CF Class-20 Cost Class-c04 - Panama</t>
  </si>
  <si>
    <t>EN_WON_21_c04_PAN</t>
  </si>
  <si>
    <t>Wind Onshore - CF Class-21 Cost Class-c04 - Panama</t>
  </si>
  <si>
    <t>EN_WON_22_c04_PAN</t>
  </si>
  <si>
    <t>Wind Onshore - CF Class-22 Cost Class-c04 - Panama</t>
  </si>
  <si>
    <t>EN_WON_25_c01_PAN</t>
  </si>
  <si>
    <t>Wind Onshore - CF Class-25 Cost Class-c01 - Panama</t>
  </si>
  <si>
    <t>EN_WON_28_c03_PAN</t>
  </si>
  <si>
    <t>Wind Onshore - CF Class-28 Cost Class-c03 - Panama</t>
  </si>
  <si>
    <t>EN_WON_28_c04_PAN</t>
  </si>
  <si>
    <t>Wind Onshore - CF Class-28 Cost Class-c04 - Panama</t>
  </si>
  <si>
    <t>EN_WON_39_c01_PAN</t>
  </si>
  <si>
    <t>Wind Onshore - CF Class-39 Cost Class-c01 - Panama</t>
  </si>
  <si>
    <t>EN_WON_15_c04_PER</t>
  </si>
  <si>
    <t>Wind Onshore - CF Class-15 Cost Class-c04 - Peru</t>
  </si>
  <si>
    <t>EN_WON_16_c04_PER</t>
  </si>
  <si>
    <t>Wind Onshore - CF Class-16 Cost Class-c04 - Peru</t>
  </si>
  <si>
    <t>EN_WON_17_c04_PER</t>
  </si>
  <si>
    <t>Wind Onshore - CF Class-17 Cost Class-c04 - Peru</t>
  </si>
  <si>
    <t>EN_WON_18_c04_PER</t>
  </si>
  <si>
    <t>Wind Onshore - CF Class-18 Cost Class-c04 - Peru</t>
  </si>
  <si>
    <t>EN_WON_19_c03_PER</t>
  </si>
  <si>
    <t>Wind Onshore - CF Class-19 Cost Class-c03 - Peru</t>
  </si>
  <si>
    <t>EN_WON_19_c04_PER</t>
  </si>
  <si>
    <t>Wind Onshore - CF Class-19 Cost Class-c04 - Peru</t>
  </si>
  <si>
    <t>EN_WON_20_c02_PER</t>
  </si>
  <si>
    <t>Wind Onshore - CF Class-20 Cost Class-c02 - Peru</t>
  </si>
  <si>
    <t>EN_WON_20_c04_PER</t>
  </si>
  <si>
    <t>Wind Onshore - CF Class-20 Cost Class-c04 - Peru</t>
  </si>
  <si>
    <t>EN_WON_21_c04_PER</t>
  </si>
  <si>
    <t>Wind Onshore - CF Class-21 Cost Class-c04 - Peru</t>
  </si>
  <si>
    <t>EN_WON_22_c04_PER</t>
  </si>
  <si>
    <t>Wind Onshore - CF Class-22 Cost Class-c04 - Peru</t>
  </si>
  <si>
    <t>EN_WON_23_c04_PER</t>
  </si>
  <si>
    <t>Wind Onshore - CF Class-23 Cost Class-c04 - Peru</t>
  </si>
  <si>
    <t>EN_WON_25_c01_PER</t>
  </si>
  <si>
    <t>Wind Onshore - CF Class-25 Cost Class-c01 - Peru</t>
  </si>
  <si>
    <t>EN_WON_25_c04_PER</t>
  </si>
  <si>
    <t>Wind Onshore - CF Class-25 Cost Class-c04 - Peru</t>
  </si>
  <si>
    <t>EN_WON_26_c03_PER</t>
  </si>
  <si>
    <t>Wind Onshore - CF Class-26 Cost Class-c03 - Peru</t>
  </si>
  <si>
    <t>EN_WON_26_c04_PER</t>
  </si>
  <si>
    <t>Wind Onshore - CF Class-26 Cost Class-c04 - Peru</t>
  </si>
  <si>
    <t>EN_WON_27_c02_PER</t>
  </si>
  <si>
    <t>Wind Onshore - CF Class-27 Cost Class-c02 - Peru</t>
  </si>
  <si>
    <t>EN_WON_27_c03_PER</t>
  </si>
  <si>
    <t>Wind Onshore - CF Class-27 Cost Class-c03 - Peru</t>
  </si>
  <si>
    <t>EN_WON_27_c04_PER</t>
  </si>
  <si>
    <t>Wind Onshore - CF Class-27 Cost Class-c04 - Peru</t>
  </si>
  <si>
    <t>EN_WON_28_c04_PER</t>
  </si>
  <si>
    <t>Wind Onshore - CF Class-28 Cost Class-c04 - Peru</t>
  </si>
  <si>
    <t>EN_WON_29_c02_PER</t>
  </si>
  <si>
    <t>Wind Onshore - CF Class-29 Cost Class-c02 - Peru</t>
  </si>
  <si>
    <t>EN_WON_30_c03_PER</t>
  </si>
  <si>
    <t>Wind Onshore - CF Class-30 Cost Class-c03 - Peru</t>
  </si>
  <si>
    <t>EN_WON_31_c04_PER</t>
  </si>
  <si>
    <t>Wind Onshore - CF Class-31 Cost Class-c04 - Peru</t>
  </si>
  <si>
    <t>EN_WON_34_c02_PER</t>
  </si>
  <si>
    <t>Wind Onshore - CF Class-34 Cost Class-c02 - Peru</t>
  </si>
  <si>
    <t>EN_WON_34_c04_PER</t>
  </si>
  <si>
    <t>Wind Onshore - CF Class-34 Cost Class-c04 - Peru</t>
  </si>
  <si>
    <t>EN_WON_38_c01_PER</t>
  </si>
  <si>
    <t>Wind Onshore - CF Class-38 Cost Class-c01 - Peru</t>
  </si>
  <si>
    <t>EN_WON_38_c04_PER</t>
  </si>
  <si>
    <t>Wind Onshore - CF Class-38 Cost Class-c04 - Peru</t>
  </si>
  <si>
    <t>EN_WON_65_c01_PER</t>
  </si>
  <si>
    <t>Wind Onshore - CF Class-65 Cost Class-c01 - Peru</t>
  </si>
  <si>
    <t>EN_WON_19_c04_PHL</t>
  </si>
  <si>
    <t>Wind Onshore - CF Class-19 Cost Class-c04 - Philippines</t>
  </si>
  <si>
    <t>EN_WON_20_c04_PHL</t>
  </si>
  <si>
    <t>Wind Onshore - CF Class-20 Cost Class-c04 - Philippines</t>
  </si>
  <si>
    <t>EN_WON_21_c02_PHL</t>
  </si>
  <si>
    <t>Wind Onshore - CF Class-21 Cost Class-c02 - Philippines</t>
  </si>
  <si>
    <t>EN_WON_21_c03_PHL</t>
  </si>
  <si>
    <t>Wind Onshore - CF Class-21 Cost Class-c03 - Philippines</t>
  </si>
  <si>
    <t>EN_WON_21_c04_PHL</t>
  </si>
  <si>
    <t>Wind Onshore - CF Class-21 Cost Class-c04 - Philippines</t>
  </si>
  <si>
    <t>EN_WON_22_c02_PHL</t>
  </si>
  <si>
    <t>Wind Onshore - CF Class-22 Cost Class-c02 - Philippines</t>
  </si>
  <si>
    <t>EN_WON_22_c03_PHL</t>
  </si>
  <si>
    <t>Wind Onshore - CF Class-22 Cost Class-c03 - Philippines</t>
  </si>
  <si>
    <t>EN_WON_22_c04_PHL</t>
  </si>
  <si>
    <t>Wind Onshore - CF Class-22 Cost Class-c04 - Philippines</t>
  </si>
  <si>
    <t>EN_WON_23_c02_PHL</t>
  </si>
  <si>
    <t>Wind Onshore - CF Class-23 Cost Class-c02 - Philippines</t>
  </si>
  <si>
    <t>EN_WON_23_c03_PHL</t>
  </si>
  <si>
    <t>Wind Onshore - CF Class-23 Cost Class-c03 - Philippines</t>
  </si>
  <si>
    <t>EN_WON_23_c04_PHL</t>
  </si>
  <si>
    <t>Wind Onshore - CF Class-23 Cost Class-c04 - Philippines</t>
  </si>
  <si>
    <t>EN_WON_24_c04_PHL</t>
  </si>
  <si>
    <t>Wind Onshore - CF Class-24 Cost Class-c04 - Philippines</t>
  </si>
  <si>
    <t>EN_WON_25_c02_PHL</t>
  </si>
  <si>
    <t>Wind Onshore - CF Class-25 Cost Class-c02 - Philippines</t>
  </si>
  <si>
    <t>EN_WON_25_c04_PHL</t>
  </si>
  <si>
    <t>Wind Onshore - CF Class-25 Cost Class-c04 - Philippines</t>
  </si>
  <si>
    <t>EN_WON_26_c04_PHL</t>
  </si>
  <si>
    <t>Wind Onshore - CF Class-26 Cost Class-c04 - Philippines</t>
  </si>
  <si>
    <t>EN_WON_27_c02_PHL</t>
  </si>
  <si>
    <t>Wind Onshore - CF Class-27 Cost Class-c02 - Philippines</t>
  </si>
  <si>
    <t>EN_WON_27_c03_PHL</t>
  </si>
  <si>
    <t>Wind Onshore - CF Class-27 Cost Class-c03 - Philippines</t>
  </si>
  <si>
    <t>EN_WON_27_c04_PHL</t>
  </si>
  <si>
    <t>Wind Onshore - CF Class-27 Cost Class-c04 - Philippines</t>
  </si>
  <si>
    <t>EN_WON_28_c03_PHL</t>
  </si>
  <si>
    <t>Wind Onshore - CF Class-28 Cost Class-c03 - Philippines</t>
  </si>
  <si>
    <t>EN_WON_28_c04_PHL</t>
  </si>
  <si>
    <t>Wind Onshore - CF Class-28 Cost Class-c04 - Philippines</t>
  </si>
  <si>
    <t>EN_WON_29_c03_PHL</t>
  </si>
  <si>
    <t>Wind Onshore - CF Class-29 Cost Class-c03 - Philippines</t>
  </si>
  <si>
    <t>EN_WON_29_c04_PHL</t>
  </si>
  <si>
    <t>Wind Onshore - CF Class-29 Cost Class-c04 - Philippines</t>
  </si>
  <si>
    <t>EN_WON_30_c02_PHL</t>
  </si>
  <si>
    <t>Wind Onshore - CF Class-30 Cost Class-c02 - Philippines</t>
  </si>
  <si>
    <t>EN_WON_30_c03_PHL</t>
  </si>
  <si>
    <t>Wind Onshore - CF Class-30 Cost Class-c03 - Philippines</t>
  </si>
  <si>
    <t>EN_WON_30_c04_PHL</t>
  </si>
  <si>
    <t>Wind Onshore - CF Class-30 Cost Class-c04 - Philippines</t>
  </si>
  <si>
    <t>EN_WON_32_c02_PHL</t>
  </si>
  <si>
    <t>Wind Onshore - CF Class-32 Cost Class-c02 - Philippines</t>
  </si>
  <si>
    <t>EN_WON_35_c02_PHL</t>
  </si>
  <si>
    <t>Wind Onshore - CF Class-35 Cost Class-c02 - Philippines</t>
  </si>
  <si>
    <t>EN_WON_35_c03_PHL</t>
  </si>
  <si>
    <t>Wind Onshore - CF Class-35 Cost Class-c03 - Philippines</t>
  </si>
  <si>
    <t>EN_WON_36_c03_PHL</t>
  </si>
  <si>
    <t>Wind Onshore - CF Class-36 Cost Class-c03 - Philippines</t>
  </si>
  <si>
    <t>EN_WON_39_c01_PHL</t>
  </si>
  <si>
    <t>Wind Onshore - CF Class-39 Cost Class-c01 - Philippines</t>
  </si>
  <si>
    <t>EN_WON_39_c02_PHL</t>
  </si>
  <si>
    <t>Wind Onshore - CF Class-39 Cost Class-c02 - Philippines</t>
  </si>
  <si>
    <t>EN_WON_39_c03_PHL</t>
  </si>
  <si>
    <t>Wind Onshore - CF Class-39 Cost Class-c03 - Philippines</t>
  </si>
  <si>
    <t>EN_WON_41_c01_PHL</t>
  </si>
  <si>
    <t>Wind Onshore - CF Class-41 Cost Class-c01 - Philippines</t>
  </si>
  <si>
    <t>EN_WON_16_c03_PNG</t>
  </si>
  <si>
    <t>Wind Onshore - CF Class-16 Cost Class-c03 - Papua New Guinea</t>
  </si>
  <si>
    <t>EN_WON_16_c04_PNG</t>
  </si>
  <si>
    <t>Wind Onshore - CF Class-16 Cost Class-c04 - Papua New Guinea</t>
  </si>
  <si>
    <t>EN_WON_17_c02_PNG</t>
  </si>
  <si>
    <t>Wind Onshore - CF Class-17 Cost Class-c02 - Papua New Guinea</t>
  </si>
  <si>
    <t>EN_WON_17_c04_PNG</t>
  </si>
  <si>
    <t>Wind Onshore - CF Class-17 Cost Class-c04 - Papua New Guinea</t>
  </si>
  <si>
    <t>EN_WON_18_c03_PNG</t>
  </si>
  <si>
    <t>Wind Onshore - CF Class-18 Cost Class-c03 - Papua New Guinea</t>
  </si>
  <si>
    <t>EN_WON_18_c04_PNG</t>
  </si>
  <si>
    <t>Wind Onshore - CF Class-18 Cost Class-c04 - Papua New Guinea</t>
  </si>
  <si>
    <t>EN_WON_19_c04_PNG</t>
  </si>
  <si>
    <t>Wind Onshore - CF Class-19 Cost Class-c04 - Papua New Guinea</t>
  </si>
  <si>
    <t>EN_WON_20_c02_PNG</t>
  </si>
  <si>
    <t>Wind Onshore - CF Class-20 Cost Class-c02 - Papua New Guinea</t>
  </si>
  <si>
    <t>EN_WON_20_c03_PNG</t>
  </si>
  <si>
    <t>Wind Onshore - CF Class-20 Cost Class-c03 - Papua New Guinea</t>
  </si>
  <si>
    <t>EN_WON_20_c04_PNG</t>
  </si>
  <si>
    <t>Wind Onshore - CF Class-20 Cost Class-c04 - Papua New Guinea</t>
  </si>
  <si>
    <t>EN_WON_21_c03_PNG</t>
  </si>
  <si>
    <t>Wind Onshore - CF Class-21 Cost Class-c03 - Papua New Guinea</t>
  </si>
  <si>
    <t>EN_WON_21_c04_PNG</t>
  </si>
  <si>
    <t>Wind Onshore - CF Class-21 Cost Class-c04 - Papua New Guinea</t>
  </si>
  <si>
    <t>EN_WON_22_c03_PNG</t>
  </si>
  <si>
    <t>Wind Onshore - CF Class-22 Cost Class-c03 - Papua New Guinea</t>
  </si>
  <si>
    <t>EN_WON_22_c04_PNG</t>
  </si>
  <si>
    <t>Wind Onshore - CF Class-22 Cost Class-c04 - Papua New Guinea</t>
  </si>
  <si>
    <t>EN_WON_23_c04_PNG</t>
  </si>
  <si>
    <t>Wind Onshore - CF Class-23 Cost Class-c04 - Papua New Guinea</t>
  </si>
  <si>
    <t>EN_WON_25_c04_PNG</t>
  </si>
  <si>
    <t>Wind Onshore - CF Class-25 Cost Class-c04 - Papua New Guinea</t>
  </si>
  <si>
    <t>EN_WON_26_c03_PNG</t>
  </si>
  <si>
    <t>Wind Onshore - CF Class-26 Cost Class-c03 - Papua New Guinea</t>
  </si>
  <si>
    <t>EN_WON_28_c03_PNG</t>
  </si>
  <si>
    <t>Wind Onshore - CF Class-28 Cost Class-c03 - Papua New Guinea</t>
  </si>
  <si>
    <t>EN_WON_29_c02_PNG</t>
  </si>
  <si>
    <t>Wind Onshore - CF Class-29 Cost Class-c02 - Papua New Guinea</t>
  </si>
  <si>
    <t>EN_WON_31_c02_PNG</t>
  </si>
  <si>
    <t>Wind Onshore - CF Class-31 Cost Class-c02 - Papua New Guinea</t>
  </si>
  <si>
    <t>EN_WON_19_c02_POL</t>
  </si>
  <si>
    <t>Wind Onshore - CF Class-19 Cost Class-c02 - Poland</t>
  </si>
  <si>
    <t>EN_WON_19_c03_POL</t>
  </si>
  <si>
    <t>Wind Onshore - CF Class-19 Cost Class-c03 - Poland</t>
  </si>
  <si>
    <t>EN_WON_20_c02_POL</t>
  </si>
  <si>
    <t>Wind Onshore - CF Class-20 Cost Class-c02 - Poland</t>
  </si>
  <si>
    <t>EN_WON_21_c02_POL</t>
  </si>
  <si>
    <t>Wind Onshore - CF Class-21 Cost Class-c02 - Poland</t>
  </si>
  <si>
    <t>EN_WON_21_c03_POL</t>
  </si>
  <si>
    <t>Wind Onshore - CF Class-21 Cost Class-c03 - Poland</t>
  </si>
  <si>
    <t>EN_WON_22_c02_POL</t>
  </si>
  <si>
    <t>Wind Onshore - CF Class-22 Cost Class-c02 - Poland</t>
  </si>
  <si>
    <t>EN_WON_23_c02_POL</t>
  </si>
  <si>
    <t>Wind Onshore - CF Class-23 Cost Class-c02 - Poland</t>
  </si>
  <si>
    <t>EN_WON_24_c01_POL</t>
  </si>
  <si>
    <t>Wind Onshore - CF Class-24 Cost Class-c01 - Poland</t>
  </si>
  <si>
    <t>EN_WON_24_c02_POL</t>
  </si>
  <si>
    <t>Wind Onshore - CF Class-24 Cost Class-c02 - Poland</t>
  </si>
  <si>
    <t>EN_WON_25_c01_POL</t>
  </si>
  <si>
    <t>Wind Onshore - CF Class-25 Cost Class-c01 - Poland</t>
  </si>
  <si>
    <t>EN_WON_25_c02_POL</t>
  </si>
  <si>
    <t>Wind Onshore - CF Class-25 Cost Class-c02 - Poland</t>
  </si>
  <si>
    <t>EN_WON_25_c03_POL</t>
  </si>
  <si>
    <t>Wind Onshore - CF Class-25 Cost Class-c03 - Poland</t>
  </si>
  <si>
    <t>EN_WON_26_c01_POL</t>
  </si>
  <si>
    <t>Wind Onshore - CF Class-26 Cost Class-c01 - Poland</t>
  </si>
  <si>
    <t>EN_WON_26_c02_POL</t>
  </si>
  <si>
    <t>Wind Onshore - CF Class-26 Cost Class-c02 - Poland</t>
  </si>
  <si>
    <t>EN_WON_27_c01_POL</t>
  </si>
  <si>
    <t>Wind Onshore - CF Class-27 Cost Class-c01 - Poland</t>
  </si>
  <si>
    <t>EN_WON_27_c02_POL</t>
  </si>
  <si>
    <t>Wind Onshore - CF Class-27 Cost Class-c02 - Poland</t>
  </si>
  <si>
    <t>EN_WON_27_c03_POL</t>
  </si>
  <si>
    <t>Wind Onshore - CF Class-27 Cost Class-c03 - Poland</t>
  </si>
  <si>
    <t>EN_WON_28_c01_POL</t>
  </si>
  <si>
    <t>Wind Onshore - CF Class-28 Cost Class-c01 - Poland</t>
  </si>
  <si>
    <t>EN_WON_29_c01_POL</t>
  </si>
  <si>
    <t>Wind Onshore - CF Class-29 Cost Class-c01 - Poland</t>
  </si>
  <si>
    <t>EN_WON_30_c01_POL</t>
  </si>
  <si>
    <t>Wind Onshore - CF Class-30 Cost Class-c01 - Poland</t>
  </si>
  <si>
    <t>EN_WON_31_c01_POL</t>
  </si>
  <si>
    <t>Wind Onshore - CF Class-31 Cost Class-c01 - Poland</t>
  </si>
  <si>
    <t>EN_WON_32_c01_POL</t>
  </si>
  <si>
    <t>Wind Onshore - CF Class-32 Cost Class-c01 - Poland</t>
  </si>
  <si>
    <t>EN_WON_33_c01_POL</t>
  </si>
  <si>
    <t>Wind Onshore - CF Class-33 Cost Class-c01 - Poland</t>
  </si>
  <si>
    <t>EN_WON_34_c01_POL</t>
  </si>
  <si>
    <t>Wind Onshore - CF Class-34 Cost Class-c01 - Poland</t>
  </si>
  <si>
    <t>EN_WON_35_c01_POL</t>
  </si>
  <si>
    <t>Wind Onshore - CF Class-35 Cost Class-c01 - Poland</t>
  </si>
  <si>
    <t>EN_WON_36_c01_POL</t>
  </si>
  <si>
    <t>Wind Onshore - CF Class-36 Cost Class-c01 - Poland</t>
  </si>
  <si>
    <t>EN_WON_37_c01_POL</t>
  </si>
  <si>
    <t>Wind Onshore - CF Class-37 Cost Class-c01 - Poland</t>
  </si>
  <si>
    <t>EN_WON_38_c01_POL</t>
  </si>
  <si>
    <t>Wind Onshore - CF Class-38 Cost Class-c01 - Poland</t>
  </si>
  <si>
    <t>EN_WON_23_c03_PRK</t>
  </si>
  <si>
    <t>Wind Onshore - CF Class-23 Cost Class-c03 - Dem. People^s Rep. Korea</t>
  </si>
  <si>
    <t>EN_WON_23_c04_PRK</t>
  </si>
  <si>
    <t>Wind Onshore - CF Class-23 Cost Class-c04 - Dem. People^s Rep. Korea</t>
  </si>
  <si>
    <t>EN_WON_24_c02_PRK</t>
  </si>
  <si>
    <t>Wind Onshore - CF Class-24 Cost Class-c02 - Dem. People^s Rep. Korea</t>
  </si>
  <si>
    <t>EN_WON_24_c04_PRK</t>
  </si>
  <si>
    <t>Wind Onshore - CF Class-24 Cost Class-c04 - Dem. People^s Rep. Korea</t>
  </si>
  <si>
    <t>EN_WON_25_c03_PRK</t>
  </si>
  <si>
    <t>Wind Onshore - CF Class-25 Cost Class-c03 - Dem. People^s Rep. Korea</t>
  </si>
  <si>
    <t>EN_WON_25_c04_PRK</t>
  </si>
  <si>
    <t>Wind Onshore - CF Class-25 Cost Class-c04 - Dem. People^s Rep. Korea</t>
  </si>
  <si>
    <t>EN_WON_28_c02_PRK</t>
  </si>
  <si>
    <t>Wind Onshore - CF Class-28 Cost Class-c02 - Dem. People^s Rep. Korea</t>
  </si>
  <si>
    <t>EN_WON_31_c02_PRK</t>
  </si>
  <si>
    <t>Wind Onshore - CF Class-31 Cost Class-c02 - Dem. People^s Rep. Korea</t>
  </si>
  <si>
    <t>EN_WON_35_c01_PRK</t>
  </si>
  <si>
    <t>Wind Onshore - CF Class-35 Cost Class-c01 - Dem. People^s Rep. Korea</t>
  </si>
  <si>
    <t>EN_WON_23_c03_PRT</t>
  </si>
  <si>
    <t>Wind Onshore - CF Class-23 Cost Class-c03 - Portugal</t>
  </si>
  <si>
    <t>EN_WON_24_c01_PRT</t>
  </si>
  <si>
    <t>Wind Onshore - CF Class-24 Cost Class-c01 - Portugal</t>
  </si>
  <si>
    <t>EN_WON_24_c02_PRT</t>
  </si>
  <si>
    <t>Wind Onshore - CF Class-24 Cost Class-c02 - Portugal</t>
  </si>
  <si>
    <t>EN_WON_24_c03_PRT</t>
  </si>
  <si>
    <t>Wind Onshore - CF Class-24 Cost Class-c03 - Portugal</t>
  </si>
  <si>
    <t>EN_WON_24_c04_PRT</t>
  </si>
  <si>
    <t>Wind Onshore - CF Class-24 Cost Class-c04 - Portugal</t>
  </si>
  <si>
    <t>EN_WON_25_c03_PRT</t>
  </si>
  <si>
    <t>Wind Onshore - CF Class-25 Cost Class-c03 - Portugal</t>
  </si>
  <si>
    <t>EN_WON_26_c02_PRT</t>
  </si>
  <si>
    <t>Wind Onshore - CF Class-26 Cost Class-c02 - Portugal</t>
  </si>
  <si>
    <t>EN_WON_26_c03_PRT</t>
  </si>
  <si>
    <t>Wind Onshore - CF Class-26 Cost Class-c03 - Portugal</t>
  </si>
  <si>
    <t>EN_WON_27_c03_PRT</t>
  </si>
  <si>
    <t>Wind Onshore - CF Class-27 Cost Class-c03 - Portugal</t>
  </si>
  <si>
    <t>EN_WON_28_c02_PRT</t>
  </si>
  <si>
    <t>Wind Onshore - CF Class-28 Cost Class-c02 - Portugal</t>
  </si>
  <si>
    <t>EN_WON_28_c03_PRT</t>
  </si>
  <si>
    <t>Wind Onshore - CF Class-28 Cost Class-c03 - Portugal</t>
  </si>
  <si>
    <t>EN_WON_29_c02_PRT</t>
  </si>
  <si>
    <t>Wind Onshore - CF Class-29 Cost Class-c02 - Portugal</t>
  </si>
  <si>
    <t>EN_WON_30_c01_PRT</t>
  </si>
  <si>
    <t>Wind Onshore - CF Class-30 Cost Class-c01 - Portugal</t>
  </si>
  <si>
    <t>EN_WON_32_c01_PRT</t>
  </si>
  <si>
    <t>Wind Onshore - CF Class-32 Cost Class-c01 - Portugal</t>
  </si>
  <si>
    <t>EN_WON_34_c01_PRT</t>
  </si>
  <si>
    <t>Wind Onshore - CF Class-34 Cost Class-c01 - Portugal</t>
  </si>
  <si>
    <t>EN_WON_37_c01_PRT</t>
  </si>
  <si>
    <t>Wind Onshore - CF Class-37 Cost Class-c01 - Portugal</t>
  </si>
  <si>
    <t>EN_WON_38_c02_PRT</t>
  </si>
  <si>
    <t>Wind Onshore - CF Class-38 Cost Class-c02 - Portugal</t>
  </si>
  <si>
    <t>EN_WON_39_c01_PRT</t>
  </si>
  <si>
    <t>Wind Onshore - CF Class-39 Cost Class-c01 - Portugal</t>
  </si>
  <si>
    <t>EN_WON_39_c02_PRT</t>
  </si>
  <si>
    <t>Wind Onshore - CF Class-39 Cost Class-c02 - Portugal</t>
  </si>
  <si>
    <t>EN_WON_41_c01_PRT</t>
  </si>
  <si>
    <t>Wind Onshore - CF Class-41 Cost Class-c01 - Portugal</t>
  </si>
  <si>
    <t>EN_WON_42_c01_PRT</t>
  </si>
  <si>
    <t>Wind Onshore - CF Class-42 Cost Class-c01 - Portugal</t>
  </si>
  <si>
    <t>EN_WON_43_c02_PRT</t>
  </si>
  <si>
    <t>Wind Onshore - CF Class-43 Cost Class-c02 - Portugal</t>
  </si>
  <si>
    <t>EN_WON_44_c01_PRT</t>
  </si>
  <si>
    <t>Wind Onshore - CF Class-44 Cost Class-c01 - Portugal</t>
  </si>
  <si>
    <t>EN_WON_47_c01_PRT</t>
  </si>
  <si>
    <t>Wind Onshore - CF Class-47 Cost Class-c01 - Portugal</t>
  </si>
  <si>
    <t>EN_WON_53_c01_PRT</t>
  </si>
  <si>
    <t>Wind Onshore - CF Class-53 Cost Class-c01 - Portugal</t>
  </si>
  <si>
    <t>EN_WON_27_c01_PRY</t>
  </si>
  <si>
    <t>Wind Onshore - CF Class-27 Cost Class-c01 - Paraguay</t>
  </si>
  <si>
    <t>ELC_Win-PRY</t>
  </si>
  <si>
    <t>EN_WON_27_c02_PRY</t>
  </si>
  <si>
    <t>Wind Onshore - CF Class-27 Cost Class-c02 - Paraguay</t>
  </si>
  <si>
    <t>EN_WON_27_c03_PRY</t>
  </si>
  <si>
    <t>Wind Onshore - CF Class-27 Cost Class-c03 - Paraguay</t>
  </si>
  <si>
    <t>EN_WON_27_c04_PRY</t>
  </si>
  <si>
    <t>Wind Onshore - CF Class-27 Cost Class-c04 - Paraguay</t>
  </si>
  <si>
    <t>EN_WON_28_c01_PRY</t>
  </si>
  <si>
    <t>Wind Onshore - CF Class-28 Cost Class-c01 - Paraguay</t>
  </si>
  <si>
    <t>EN_WON_28_c02_PRY</t>
  </si>
  <si>
    <t>Wind Onshore - CF Class-28 Cost Class-c02 - Paraguay</t>
  </si>
  <si>
    <t>EN_WON_28_c03_PRY</t>
  </si>
  <si>
    <t>Wind Onshore - CF Class-28 Cost Class-c03 - Paraguay</t>
  </si>
  <si>
    <t>EN_WON_29_c02_PRY</t>
  </si>
  <si>
    <t>Wind Onshore - CF Class-29 Cost Class-c02 - Paraguay</t>
  </si>
  <si>
    <t>EN_WON_29_c03_PRY</t>
  </si>
  <si>
    <t>Wind Onshore - CF Class-29 Cost Class-c03 - Paraguay</t>
  </si>
  <si>
    <t>EN_WON_31_c03_PRY</t>
  </si>
  <si>
    <t>Wind Onshore - CF Class-31 Cost Class-c03 - Paraguay</t>
  </si>
  <si>
    <t>EN_WON_32_c02_PRY</t>
  </si>
  <si>
    <t>Wind Onshore - CF Class-32 Cost Class-c02 - Paraguay</t>
  </si>
  <si>
    <t>EN_WON_19_c02_PSE</t>
  </si>
  <si>
    <t>Wind Onshore - CF Class-19 Cost Class-c02 - Palestine</t>
  </si>
  <si>
    <t>ELC_Win-PSE</t>
  </si>
  <si>
    <t>EN_WON_20_c03_PSE</t>
  </si>
  <si>
    <t>Wind Onshore - CF Class-20 Cost Class-c03 - Palestine</t>
  </si>
  <si>
    <t>EN_WON_29_c01_QAT</t>
  </si>
  <si>
    <t>Wind Onshore - CF Class-29 Cost Class-c01 - Qatar</t>
  </si>
  <si>
    <t>ELC_Win-QAT</t>
  </si>
  <si>
    <t>EN_WON_26_c01_ROU</t>
  </si>
  <si>
    <t>Wind Onshore - CF Class-26 Cost Class-c01 - Romania</t>
  </si>
  <si>
    <t>ELC_Win-ROU</t>
  </si>
  <si>
    <t>EN_WON_27_c01_ROU</t>
  </si>
  <si>
    <t>Wind Onshore - CF Class-27 Cost Class-c01 - Romania</t>
  </si>
  <si>
    <t>EN_WON_27_c02_ROU</t>
  </si>
  <si>
    <t>Wind Onshore - CF Class-27 Cost Class-c02 - Romania</t>
  </si>
  <si>
    <t>EN_WON_27_c03_ROU</t>
  </si>
  <si>
    <t>Wind Onshore - CF Class-27 Cost Class-c03 - Romania</t>
  </si>
  <si>
    <t>EN_WON_28_c01_ROU</t>
  </si>
  <si>
    <t>Wind Onshore - CF Class-28 Cost Class-c01 - Romania</t>
  </si>
  <si>
    <t>EN_WON_28_c02_ROU</t>
  </si>
  <si>
    <t>Wind Onshore - CF Class-28 Cost Class-c02 - Romania</t>
  </si>
  <si>
    <t>EN_WON_28_c03_ROU</t>
  </si>
  <si>
    <t>Wind Onshore - CF Class-28 Cost Class-c03 - Romania</t>
  </si>
  <si>
    <t>EN_WON_29_c03_ROU</t>
  </si>
  <si>
    <t>Wind Onshore - CF Class-29 Cost Class-c03 - Romania</t>
  </si>
  <si>
    <t>EN_WON_35_c01_RUS</t>
  </si>
  <si>
    <t>Wind Onshore - CF Class-35 Cost Class-c01 - Russia</t>
  </si>
  <si>
    <t>EN_WON_35_c02_RUS</t>
  </si>
  <si>
    <t>Wind Onshore - CF Class-35 Cost Class-c02 - Russia</t>
  </si>
  <si>
    <t>EN_WON_35_c03_RUS</t>
  </si>
  <si>
    <t>Wind Onshore - CF Class-35 Cost Class-c03 - Russia</t>
  </si>
  <si>
    <t>EN_WON_35_c04_RUS</t>
  </si>
  <si>
    <t>Wind Onshore - CF Class-35 Cost Class-c04 - Russia</t>
  </si>
  <si>
    <t>EN_WON_36_c01_RUS</t>
  </si>
  <si>
    <t>Wind Onshore - CF Class-36 Cost Class-c01 - Russia</t>
  </si>
  <si>
    <t>EN_WON_36_c02_RUS</t>
  </si>
  <si>
    <t>Wind Onshore - CF Class-36 Cost Class-c02 - Russia</t>
  </si>
  <si>
    <t>EN_WON_36_c03_RUS</t>
  </si>
  <si>
    <t>Wind Onshore - CF Class-36 Cost Class-c03 - Russia</t>
  </si>
  <si>
    <t>EN_WON_36_c04_RUS</t>
  </si>
  <si>
    <t>Wind Onshore - CF Class-36 Cost Class-c04 - Russia</t>
  </si>
  <si>
    <t>EN_WON_37_c01_RUS</t>
  </si>
  <si>
    <t>Wind Onshore - CF Class-37 Cost Class-c01 - Russia</t>
  </si>
  <si>
    <t>EN_WON_37_c02_RUS</t>
  </si>
  <si>
    <t>Wind Onshore - CF Class-37 Cost Class-c02 - Russia</t>
  </si>
  <si>
    <t>EN_WON_37_c03_RUS</t>
  </si>
  <si>
    <t>Wind Onshore - CF Class-37 Cost Class-c03 - Russia</t>
  </si>
  <si>
    <t>EN_WON_37_c04_RUS</t>
  </si>
  <si>
    <t>Wind Onshore - CF Class-37 Cost Class-c04 - Russia</t>
  </si>
  <si>
    <t>EN_WON_38_c01_RUS</t>
  </si>
  <si>
    <t>Wind Onshore - CF Class-38 Cost Class-c01 - Russia</t>
  </si>
  <si>
    <t>EN_WON_38_c02_RUS</t>
  </si>
  <si>
    <t>Wind Onshore - CF Class-38 Cost Class-c02 - Russia</t>
  </si>
  <si>
    <t>EN_WON_38_c03_RUS</t>
  </si>
  <si>
    <t>Wind Onshore - CF Class-38 Cost Class-c03 - Russia</t>
  </si>
  <si>
    <t>EN_WON_39_c01_RUS</t>
  </si>
  <si>
    <t>Wind Onshore - CF Class-39 Cost Class-c01 - Russia</t>
  </si>
  <si>
    <t>EN_WON_39_c02_RUS</t>
  </si>
  <si>
    <t>Wind Onshore - CF Class-39 Cost Class-c02 - Russia</t>
  </si>
  <si>
    <t>EN_WON_39_c04_RUS</t>
  </si>
  <si>
    <t>Wind Onshore - CF Class-39 Cost Class-c04 - Russia</t>
  </si>
  <si>
    <t>EN_WON_40_c01_RUS</t>
  </si>
  <si>
    <t>Wind Onshore - CF Class-40 Cost Class-c01 - Russia</t>
  </si>
  <si>
    <t>EN_WON_40_c02_RUS</t>
  </si>
  <si>
    <t>Wind Onshore - CF Class-40 Cost Class-c02 - Russia</t>
  </si>
  <si>
    <t>EN_WON_40_c03_RUS</t>
  </si>
  <si>
    <t>Wind Onshore - CF Class-40 Cost Class-c03 - Russia</t>
  </si>
  <si>
    <t>EN_WON_41_c01_RUS</t>
  </si>
  <si>
    <t>Wind Onshore - CF Class-41 Cost Class-c01 - Russia</t>
  </si>
  <si>
    <t>EN_WON_41_c02_RUS</t>
  </si>
  <si>
    <t>Wind Onshore - CF Class-41 Cost Class-c02 - Russia</t>
  </si>
  <si>
    <t>EN_WON_41_c03_RUS</t>
  </si>
  <si>
    <t>Wind Onshore - CF Class-41 Cost Class-c03 - Russia</t>
  </si>
  <si>
    <t>EN_WON_44_c02_RUS</t>
  </si>
  <si>
    <t>Wind Onshore - CF Class-44 Cost Class-c02 - Russia</t>
  </si>
  <si>
    <t>EN_WON_16_c03_RWA</t>
  </si>
  <si>
    <t>Wind Onshore - CF Class-16 Cost Class-c03 - Rwanda</t>
  </si>
  <si>
    <t>ELC_Win-RWA</t>
  </si>
  <si>
    <t>EN_WON_31_c01_SAU</t>
  </si>
  <si>
    <t>Wind Onshore - CF Class-31 Cost Class-c01 - Saudi Arabia</t>
  </si>
  <si>
    <t>EN_WON_31_c02_SAU</t>
  </si>
  <si>
    <t>Wind Onshore - CF Class-31 Cost Class-c02 - Saudi Arabia</t>
  </si>
  <si>
    <t>EN_WON_32_c01_SAU</t>
  </si>
  <si>
    <t>Wind Onshore - CF Class-32 Cost Class-c01 - Saudi Arabia</t>
  </si>
  <si>
    <t>EN_WON_32_c02_SAU</t>
  </si>
  <si>
    <t>Wind Onshore - CF Class-32 Cost Class-c02 - Saudi Arabia</t>
  </si>
  <si>
    <t>EN_WON_33_c01_SAU</t>
  </si>
  <si>
    <t>Wind Onshore - CF Class-33 Cost Class-c01 - Saudi Arabia</t>
  </si>
  <si>
    <t>EN_WON_33_c02_SAU</t>
  </si>
  <si>
    <t>Wind Onshore - CF Class-33 Cost Class-c02 - Saudi Arabia</t>
  </si>
  <si>
    <t>EN_WON_34_c01_SAU</t>
  </si>
  <si>
    <t>Wind Onshore - CF Class-34 Cost Class-c01 - Saudi Arabia</t>
  </si>
  <si>
    <t>EN_WON_34_c02_SAU</t>
  </si>
  <si>
    <t>Wind Onshore - CF Class-34 Cost Class-c02 - Saudi Arabia</t>
  </si>
  <si>
    <t>EN_WON_35_c01_SAU</t>
  </si>
  <si>
    <t>Wind Onshore - CF Class-35 Cost Class-c01 - Saudi Arabia</t>
  </si>
  <si>
    <t>EN_WON_35_c02_SAU</t>
  </si>
  <si>
    <t>Wind Onshore - CF Class-35 Cost Class-c02 - Saudi Arabia</t>
  </si>
  <si>
    <t>EN_WON_36_c01_SAU</t>
  </si>
  <si>
    <t>Wind Onshore - CF Class-36 Cost Class-c01 - Saudi Arabia</t>
  </si>
  <si>
    <t>EN_WON_37_c01_SAU</t>
  </si>
  <si>
    <t>Wind Onshore - CF Class-37 Cost Class-c01 - Saudi Arabia</t>
  </si>
  <si>
    <t>EN_WON_37_c03_SAU</t>
  </si>
  <si>
    <t>Wind Onshore - CF Class-37 Cost Class-c03 - Saudi Arabia</t>
  </si>
  <si>
    <t>EN_WON_38_c01_SAU</t>
  </si>
  <si>
    <t>Wind Onshore - CF Class-38 Cost Class-c01 - Saudi Arabia</t>
  </si>
  <si>
    <t>EN_WON_40_c01_SAU</t>
  </si>
  <si>
    <t>Wind Onshore - CF Class-40 Cost Class-c01 - Saudi Arabia</t>
  </si>
  <si>
    <t>EN_WON_46_c02_SAU</t>
  </si>
  <si>
    <t>Wind Onshore - CF Class-46 Cost Class-c02 - Saudi Arabia</t>
  </si>
  <si>
    <t>EN_WON_52_c01_SAU</t>
  </si>
  <si>
    <t>Wind Onshore - CF Class-52 Cost Class-c01 - Saudi Arabia</t>
  </si>
  <si>
    <t>EN_WON_23_c01_SEN</t>
  </si>
  <si>
    <t>Wind Onshore - CF Class-23 Cost Class-c01 - Senegal</t>
  </si>
  <si>
    <t>EN_WON_23_c02_SEN</t>
  </si>
  <si>
    <t>Wind Onshore - CF Class-23 Cost Class-c02 - Senegal</t>
  </si>
  <si>
    <t>EN_WON_24_c01_SEN</t>
  </si>
  <si>
    <t>Wind Onshore - CF Class-24 Cost Class-c01 - Senegal</t>
  </si>
  <si>
    <t>EN_WON_24_c02_SEN</t>
  </si>
  <si>
    <t>Wind Onshore - CF Class-24 Cost Class-c02 - Senegal</t>
  </si>
  <si>
    <t>EN_WON_25_c02_SEN</t>
  </si>
  <si>
    <t>Wind Onshore - CF Class-25 Cost Class-c02 - Senegal</t>
  </si>
  <si>
    <t>EN_WON_26_c01_SEN</t>
  </si>
  <si>
    <t>Wind Onshore - CF Class-26 Cost Class-c01 - Senegal</t>
  </si>
  <si>
    <t>EN_WON_26_c02_SEN</t>
  </si>
  <si>
    <t>Wind Onshore - CF Class-26 Cost Class-c02 - Senegal</t>
  </si>
  <si>
    <t>EN_WON_27_c02_SEN</t>
  </si>
  <si>
    <t>Wind Onshore - CF Class-27 Cost Class-c02 - Senegal</t>
  </si>
  <si>
    <t>EN_WON_28_c01_SEN</t>
  </si>
  <si>
    <t>Wind Onshore - CF Class-28 Cost Class-c01 - Senegal</t>
  </si>
  <si>
    <t>EN_WON_15_c03_SLE</t>
  </si>
  <si>
    <t>Wind Onshore - CF Class-15 Cost Class-c03 - Sierra Leone</t>
  </si>
  <si>
    <t>ELC_Win-SLE</t>
  </si>
  <si>
    <t>EN_WON_17_c03_SLE</t>
  </si>
  <si>
    <t>Wind Onshore - CF Class-17 Cost Class-c03 - Sierra Leone</t>
  </si>
  <si>
    <t>EN_WON_17_c04_SLV</t>
  </si>
  <si>
    <t>Wind Onshore - CF Class-17 Cost Class-c04 - El Salvador</t>
  </si>
  <si>
    <t>ELC_Win-SLV</t>
  </si>
  <si>
    <t>EN_WON_18_c04_SLV</t>
  </si>
  <si>
    <t>Wind Onshore - CF Class-18 Cost Class-c04 - El Salvador</t>
  </si>
  <si>
    <t>EN_WON_19_c04_SLV</t>
  </si>
  <si>
    <t>Wind Onshore - CF Class-19 Cost Class-c04 - El Salvador</t>
  </si>
  <si>
    <t>EN_WON_47_c01_SOM</t>
  </si>
  <si>
    <t>Wind Onshore - CF Class-47 Cost Class-c01 - Somalia</t>
  </si>
  <si>
    <t>EN_WON_48_c04_SOM</t>
  </si>
  <si>
    <t>Wind Onshore - CF Class-48 Cost Class-c04 - Somalia</t>
  </si>
  <si>
    <t>EN_WON_49_c01_SOM</t>
  </si>
  <si>
    <t>Wind Onshore - CF Class-49 Cost Class-c01 - Somalia</t>
  </si>
  <si>
    <t>EN_WON_49_c04_SOM</t>
  </si>
  <si>
    <t>Wind Onshore - CF Class-49 Cost Class-c04 - Somalia</t>
  </si>
  <si>
    <t>EN_WON_51_c04_SOM</t>
  </si>
  <si>
    <t>Wind Onshore - CF Class-51 Cost Class-c04 - Somalia</t>
  </si>
  <si>
    <t>EN_WON_54_c01_SOM</t>
  </si>
  <si>
    <t>Wind Onshore - CF Class-54 Cost Class-c01 - Somalia</t>
  </si>
  <si>
    <t>EN_WON_22_c01_SRB</t>
  </si>
  <si>
    <t>Wind Onshore - CF Class-22 Cost Class-c01 - Serbia</t>
  </si>
  <si>
    <t>ELC_Win-SRB</t>
  </si>
  <si>
    <t>EN_WON_22_c03_SRB</t>
  </si>
  <si>
    <t>Wind Onshore - CF Class-22 Cost Class-c03 - Serbia</t>
  </si>
  <si>
    <t>EN_WON_23_c01_SRB</t>
  </si>
  <si>
    <t>Wind Onshore - CF Class-23 Cost Class-c01 - Serbia</t>
  </si>
  <si>
    <t>EN_WON_23_c02_SRB</t>
  </si>
  <si>
    <t>Wind Onshore - CF Class-23 Cost Class-c02 - Serbia</t>
  </si>
  <si>
    <t>EN_WON_23_c03_SRB</t>
  </si>
  <si>
    <t>Wind Onshore - CF Class-23 Cost Class-c03 - Serbia</t>
  </si>
  <si>
    <t>EN_WON_24_c01_SRB</t>
  </si>
  <si>
    <t>Wind Onshore - CF Class-24 Cost Class-c01 - Serbia</t>
  </si>
  <si>
    <t>EN_WON_24_c03_SRB</t>
  </si>
  <si>
    <t>Wind Onshore - CF Class-24 Cost Class-c03 - Serbia</t>
  </si>
  <si>
    <t>EN_WON_25_c01_SRB</t>
  </si>
  <si>
    <t>Wind Onshore - CF Class-25 Cost Class-c01 - Serbia</t>
  </si>
  <si>
    <t>EN_WON_26_c01_SRB</t>
  </si>
  <si>
    <t>Wind Onshore - CF Class-26 Cost Class-c01 - Serbia</t>
  </si>
  <si>
    <t>EN_WON_26_c02_SRB</t>
  </si>
  <si>
    <t>Wind Onshore - CF Class-26 Cost Class-c02 - Serbia</t>
  </si>
  <si>
    <t>EN_WON_28_c01_SRB</t>
  </si>
  <si>
    <t>Wind Onshore - CF Class-28 Cost Class-c01 - Serbia</t>
  </si>
  <si>
    <t>EN_WON_15_c03_SSD</t>
  </si>
  <si>
    <t>Wind Onshore - CF Class-15 Cost Class-c03 - South Sudan</t>
  </si>
  <si>
    <t>ELC_Win-SSD</t>
  </si>
  <si>
    <t>EN_WON_15_c04_SSD</t>
  </si>
  <si>
    <t>Wind Onshore - CF Class-15 Cost Class-c04 - South Sudan</t>
  </si>
  <si>
    <t>EN_WON_16_c03_SSD</t>
  </si>
  <si>
    <t>Wind Onshore - CF Class-16 Cost Class-c03 - South Sudan</t>
  </si>
  <si>
    <t>EN_WON_16_c04_SSD</t>
  </si>
  <si>
    <t>Wind Onshore - CF Class-16 Cost Class-c04 - South Sudan</t>
  </si>
  <si>
    <t>EN_WON_17_c02_SSD</t>
  </si>
  <si>
    <t>Wind Onshore - CF Class-17 Cost Class-c02 - South Sudan</t>
  </si>
  <si>
    <t>EN_WON_17_c03_SSD</t>
  </si>
  <si>
    <t>Wind Onshore - CF Class-17 Cost Class-c03 - South Sudan</t>
  </si>
  <si>
    <t>EN_WON_17_c04_SSD</t>
  </si>
  <si>
    <t>Wind Onshore - CF Class-17 Cost Class-c04 - South Sudan</t>
  </si>
  <si>
    <t>EN_WON_18_c03_SSD</t>
  </si>
  <si>
    <t>Wind Onshore - CF Class-18 Cost Class-c03 - South Sudan</t>
  </si>
  <si>
    <t>EN_WON_18_c04_SSD</t>
  </si>
  <si>
    <t>Wind Onshore - CF Class-18 Cost Class-c04 - South Sudan</t>
  </si>
  <si>
    <t>EN_WON_19_c02_SSD</t>
  </si>
  <si>
    <t>Wind Onshore - CF Class-19 Cost Class-c02 - South Sudan</t>
  </si>
  <si>
    <t>EN_WON_19_c03_SSD</t>
  </si>
  <si>
    <t>Wind Onshore - CF Class-19 Cost Class-c03 - South Sudan</t>
  </si>
  <si>
    <t>EN_WON_19_c04_SSD</t>
  </si>
  <si>
    <t>Wind Onshore - CF Class-19 Cost Class-c04 - South Sudan</t>
  </si>
  <si>
    <t>EN_WON_20_c02_SSD</t>
  </si>
  <si>
    <t>Wind Onshore - CF Class-20 Cost Class-c02 - South Sudan</t>
  </si>
  <si>
    <t>EN_WON_20_c03_SSD</t>
  </si>
  <si>
    <t>Wind Onshore - CF Class-20 Cost Class-c03 - South Sudan</t>
  </si>
  <si>
    <t>EN_WON_20_c04_SSD</t>
  </si>
  <si>
    <t>Wind Onshore - CF Class-20 Cost Class-c04 - South Sudan</t>
  </si>
  <si>
    <t>EN_WON_21_c02_SSD</t>
  </si>
  <si>
    <t>Wind Onshore - CF Class-21 Cost Class-c02 - South Sudan</t>
  </si>
  <si>
    <t>EN_WON_21_c03_SSD</t>
  </si>
  <si>
    <t>Wind Onshore - CF Class-21 Cost Class-c03 - South Sudan</t>
  </si>
  <si>
    <t>EN_WON_21_c04_SSD</t>
  </si>
  <si>
    <t>Wind Onshore - CF Class-21 Cost Class-c04 - South Sudan</t>
  </si>
  <si>
    <t>EN_WON_22_c02_SSD</t>
  </si>
  <si>
    <t>Wind Onshore - CF Class-22 Cost Class-c02 - South Sudan</t>
  </si>
  <si>
    <t>EN_WON_22_c04_SSD</t>
  </si>
  <si>
    <t>Wind Onshore - CF Class-22 Cost Class-c04 - South Sudan</t>
  </si>
  <si>
    <t>EN_WON_23_c02_SSD</t>
  </si>
  <si>
    <t>Wind Onshore - CF Class-23 Cost Class-c02 - South Sudan</t>
  </si>
  <si>
    <t>EN_WON_23_c03_SSD</t>
  </si>
  <si>
    <t>Wind Onshore - CF Class-23 Cost Class-c03 - South Sudan</t>
  </si>
  <si>
    <t>EN_WON_23_c04_SSD</t>
  </si>
  <si>
    <t>Wind Onshore - CF Class-23 Cost Class-c04 - South Sudan</t>
  </si>
  <si>
    <t>EN_WON_25_c02_SSD</t>
  </si>
  <si>
    <t>Wind Onshore - CF Class-25 Cost Class-c02 - South Sudan</t>
  </si>
  <si>
    <t>EN_WON_25_c04_SSD</t>
  </si>
  <si>
    <t>Wind Onshore - CF Class-25 Cost Class-c04 - South Sudan</t>
  </si>
  <si>
    <t>EN_WON_26_c03_SSD</t>
  </si>
  <si>
    <t>Wind Onshore - CF Class-26 Cost Class-c03 - South Sudan</t>
  </si>
  <si>
    <t>EN_WON_26_c04_SSD</t>
  </si>
  <si>
    <t>Wind Onshore - CF Class-26 Cost Class-c04 - South Sudan</t>
  </si>
  <si>
    <t>EN_WON_28_c04_SSD</t>
  </si>
  <si>
    <t>Wind Onshore - CF Class-28 Cost Class-c04 - South Sudan</t>
  </si>
  <si>
    <t>EN_WON_29_c02_SSD</t>
  </si>
  <si>
    <t>Wind Onshore - CF Class-29 Cost Class-c02 - South Sudan</t>
  </si>
  <si>
    <t>EN_WON_20_c04_SUR</t>
  </si>
  <si>
    <t>Wind Onshore - CF Class-20 Cost Class-c04 - Suriname</t>
  </si>
  <si>
    <t>ELC_Win-SUR</t>
  </si>
  <si>
    <t>EN_WON_25_c01_SVK</t>
  </si>
  <si>
    <t>Wind Onshore - CF Class-25 Cost Class-c01 - Slovak Republic</t>
  </si>
  <si>
    <t>ELC_Win-SVK</t>
  </si>
  <si>
    <t>EN_WON_26_c03_SVK</t>
  </si>
  <si>
    <t>Wind Onshore - CF Class-26 Cost Class-c03 - Slovak Republic</t>
  </si>
  <si>
    <t>EN_WON_27_c01_SVK</t>
  </si>
  <si>
    <t>Wind Onshore - CF Class-27 Cost Class-c01 - Slovak Republic</t>
  </si>
  <si>
    <t>EN_WON_22_c04_SVN</t>
  </si>
  <si>
    <t>Wind Onshore - CF Class-22 Cost Class-c04 - Slovenia</t>
  </si>
  <si>
    <t>ELC_Win-SVN</t>
  </si>
  <si>
    <t>EN_WON_17_c02_SWE</t>
  </si>
  <si>
    <t>Wind Onshore - CF Class-17 Cost Class-c02 - Sweden</t>
  </si>
  <si>
    <t>EN_WON_18_c02_SWE</t>
  </si>
  <si>
    <t>Wind Onshore - CF Class-18 Cost Class-c02 - Sweden</t>
  </si>
  <si>
    <t>EN_WON_19_c02_SWE</t>
  </si>
  <si>
    <t>Wind Onshore - CF Class-19 Cost Class-c02 - Sweden</t>
  </si>
  <si>
    <t>EN_WON_20_c02_SWE</t>
  </si>
  <si>
    <t>Wind Onshore - CF Class-20 Cost Class-c02 - Sweden</t>
  </si>
  <si>
    <t>EN_WON_21_c02_SWE</t>
  </si>
  <si>
    <t>Wind Onshore - CF Class-21 Cost Class-c02 - Sweden</t>
  </si>
  <si>
    <t>EN_WON_23_c01_SWE</t>
  </si>
  <si>
    <t>Wind Onshore - CF Class-23 Cost Class-c01 - Sweden</t>
  </si>
  <si>
    <t>EN_WON_24_c02_SWE</t>
  </si>
  <si>
    <t>Wind Onshore - CF Class-24 Cost Class-c02 - Sweden</t>
  </si>
  <si>
    <t>EN_WON_25_c01_SWE</t>
  </si>
  <si>
    <t>Wind Onshore - CF Class-25 Cost Class-c01 - Sweden</t>
  </si>
  <si>
    <t>EN_WON_26_c01_SWE</t>
  </si>
  <si>
    <t>Wind Onshore - CF Class-26 Cost Class-c01 - Sweden</t>
  </si>
  <si>
    <t>EN_WON_27_c01_SWE</t>
  </si>
  <si>
    <t>Wind Onshore - CF Class-27 Cost Class-c01 - Sweden</t>
  </si>
  <si>
    <t>EN_WON_28_c01_SWE</t>
  </si>
  <si>
    <t>Wind Onshore - CF Class-28 Cost Class-c01 - Sweden</t>
  </si>
  <si>
    <t>EN_WON_29_c01_SWE</t>
  </si>
  <si>
    <t>Wind Onshore - CF Class-29 Cost Class-c01 - Sweden</t>
  </si>
  <si>
    <t>EN_WON_30_c01_SWE</t>
  </si>
  <si>
    <t>Wind Onshore - CF Class-30 Cost Class-c01 - Sweden</t>
  </si>
  <si>
    <t>EN_WON_30_c02_SWE</t>
  </si>
  <si>
    <t>Wind Onshore - CF Class-30 Cost Class-c02 - Sweden</t>
  </si>
  <si>
    <t>EN_WON_31_c01_SWE</t>
  </si>
  <si>
    <t>Wind Onshore - CF Class-31 Cost Class-c01 - Sweden</t>
  </si>
  <si>
    <t>EN_WON_32_c01_SWE</t>
  </si>
  <si>
    <t>Wind Onshore - CF Class-32 Cost Class-c01 - Sweden</t>
  </si>
  <si>
    <t>EN_WON_32_c02_SWE</t>
  </si>
  <si>
    <t>Wind Onshore - CF Class-32 Cost Class-c02 - Sweden</t>
  </si>
  <si>
    <t>EN_WON_33_c01_SWE</t>
  </si>
  <si>
    <t>Wind Onshore - CF Class-33 Cost Class-c01 - Sweden</t>
  </si>
  <si>
    <t>EN_WON_34_c01_SWE</t>
  </si>
  <si>
    <t>Wind Onshore - CF Class-34 Cost Class-c01 - Sweden</t>
  </si>
  <si>
    <t>EN_WON_35_c01_SWE</t>
  </si>
  <si>
    <t>Wind Onshore - CF Class-35 Cost Class-c01 - Sweden</t>
  </si>
  <si>
    <t>EN_WON_36_c01_SWE</t>
  </si>
  <si>
    <t>Wind Onshore - CF Class-36 Cost Class-c01 - Sweden</t>
  </si>
  <si>
    <t>EN_WON_37_c01_SWE</t>
  </si>
  <si>
    <t>Wind Onshore - CF Class-37 Cost Class-c01 - Sweden</t>
  </si>
  <si>
    <t>EN_WON_38_c01_SWE</t>
  </si>
  <si>
    <t>Wind Onshore - CF Class-38 Cost Class-c01 - Sweden</t>
  </si>
  <si>
    <t>EN_WON_39_c01_SWE</t>
  </si>
  <si>
    <t>Wind Onshore - CF Class-39 Cost Class-c01 - Sweden</t>
  </si>
  <si>
    <t>EN_WON_40_c01_SWE</t>
  </si>
  <si>
    <t>Wind Onshore - CF Class-40 Cost Class-c01 - Sweden</t>
  </si>
  <si>
    <t>EN_WON_41_c01_SWE</t>
  </si>
  <si>
    <t>Wind Onshore - CF Class-41 Cost Class-c01 - Sweden</t>
  </si>
  <si>
    <t>EN_WON_42_c01_SWE</t>
  </si>
  <si>
    <t>Wind Onshore - CF Class-42 Cost Class-c01 - Sweden</t>
  </si>
  <si>
    <t>EN_WON_43_c01_SWE</t>
  </si>
  <si>
    <t>Wind Onshore - CF Class-43 Cost Class-c01 - Sweden</t>
  </si>
  <si>
    <t>EN_WON_18_c03_SWZ</t>
  </si>
  <si>
    <t>Wind Onshore - CF Class-18 Cost Class-c03 - Swaziland</t>
  </si>
  <si>
    <t>ELC_Win-SWZ</t>
  </si>
  <si>
    <t>EN_WON_19_c03_SWZ</t>
  </si>
  <si>
    <t>Wind Onshore - CF Class-19 Cost Class-c03 - Swaziland</t>
  </si>
  <si>
    <t>EN_WON_21_c03_SWZ</t>
  </si>
  <si>
    <t>Wind Onshore - CF Class-21 Cost Class-c03 - Swaziland</t>
  </si>
  <si>
    <t>EN_WON_35_c01_SYR</t>
  </si>
  <si>
    <t>Wind Onshore - CF Class-35 Cost Class-c01 - Syrian Arab Republic</t>
  </si>
  <si>
    <t>EN_WON_36_c01_SYR</t>
  </si>
  <si>
    <t>Wind Onshore - CF Class-36 Cost Class-c01 - Syrian Arab Republic</t>
  </si>
  <si>
    <t>EN_WON_36_c02_SYR</t>
  </si>
  <si>
    <t>Wind Onshore - CF Class-36 Cost Class-c02 - Syrian Arab Republic</t>
  </si>
  <si>
    <t>EN_WON_38_c01_SYR</t>
  </si>
  <si>
    <t>Wind Onshore - CF Class-38 Cost Class-c01 - Syrian Arab Republic</t>
  </si>
  <si>
    <t>EN_WON_39_c01_SYR</t>
  </si>
  <si>
    <t>Wind Onshore - CF Class-39 Cost Class-c01 - Syrian Arab Republic</t>
  </si>
  <si>
    <t>EN_WON_41_c01_SYR</t>
  </si>
  <si>
    <t>Wind Onshore - CF Class-41 Cost Class-c01 - Syrian Arab Republic</t>
  </si>
  <si>
    <t>EN_WON_43_c01_SYR</t>
  </si>
  <si>
    <t>Wind Onshore - CF Class-43 Cost Class-c01 - Syrian Arab Republic</t>
  </si>
  <si>
    <t>EN_WON_58_c01_TCD</t>
  </si>
  <si>
    <t>Wind Onshore - CF Class-58 Cost Class-c01 - Chad</t>
  </si>
  <si>
    <t>ELC_Win-TCD</t>
  </si>
  <si>
    <t>EN_WON_60_c01_TCD</t>
  </si>
  <si>
    <t>Wind Onshore - CF Class-60 Cost Class-c01 - Chad</t>
  </si>
  <si>
    <t>EN_WON_16_c04_TGO</t>
  </si>
  <si>
    <t>Wind Onshore - CF Class-16 Cost Class-c04 - Togo</t>
  </si>
  <si>
    <t>ELC_Win-TGO</t>
  </si>
  <si>
    <t>EN_WON_15_c02_THA</t>
  </si>
  <si>
    <t>Wind Onshore - CF Class-15 Cost Class-c02 - Thailand</t>
  </si>
  <si>
    <t>ELC_Win-THA</t>
  </si>
  <si>
    <t>EN_WON_15_c03_THA</t>
  </si>
  <si>
    <t>Wind Onshore - CF Class-15 Cost Class-c03 - Thailand</t>
  </si>
  <si>
    <t>EN_WON_16_c02_THA</t>
  </si>
  <si>
    <t>Wind Onshore - CF Class-16 Cost Class-c02 - Thailand</t>
  </si>
  <si>
    <t>EN_WON_16_c03_THA</t>
  </si>
  <si>
    <t>Wind Onshore - CF Class-16 Cost Class-c03 - Thailand</t>
  </si>
  <si>
    <t>EN_WON_16_c04_THA</t>
  </si>
  <si>
    <t>Wind Onshore - CF Class-16 Cost Class-c04 - Thailand</t>
  </si>
  <si>
    <t>EN_WON_17_c02_THA</t>
  </si>
  <si>
    <t>Wind Onshore - CF Class-17 Cost Class-c02 - Thailand</t>
  </si>
  <si>
    <t>EN_WON_17_c03_THA</t>
  </si>
  <si>
    <t>Wind Onshore - CF Class-17 Cost Class-c03 - Thailand</t>
  </si>
  <si>
    <t>EN_WON_17_c04_THA</t>
  </si>
  <si>
    <t>Wind Onshore - CF Class-17 Cost Class-c04 - Thailand</t>
  </si>
  <si>
    <t>EN_WON_18_c02_THA</t>
  </si>
  <si>
    <t>Wind Onshore - CF Class-18 Cost Class-c02 - Thailand</t>
  </si>
  <si>
    <t>EN_WON_18_c03_THA</t>
  </si>
  <si>
    <t>Wind Onshore - CF Class-18 Cost Class-c03 - Thailand</t>
  </si>
  <si>
    <t>EN_WON_18_c04_THA</t>
  </si>
  <si>
    <t>Wind Onshore - CF Class-18 Cost Class-c04 - Thailand</t>
  </si>
  <si>
    <t>EN_WON_19_c02_THA</t>
  </si>
  <si>
    <t>Wind Onshore - CF Class-19 Cost Class-c02 - Thailand</t>
  </si>
  <si>
    <t>EN_WON_19_c03_THA</t>
  </si>
  <si>
    <t>Wind Onshore - CF Class-19 Cost Class-c03 - Thailand</t>
  </si>
  <si>
    <t>EN_WON_19_c04_THA</t>
  </si>
  <si>
    <t>Wind Onshore - CF Class-19 Cost Class-c04 - Thailand</t>
  </si>
  <si>
    <t>EN_WON_20_c02_THA</t>
  </si>
  <si>
    <t>Wind Onshore - CF Class-20 Cost Class-c02 - Thailand</t>
  </si>
  <si>
    <t>EN_WON_20_c03_THA</t>
  </si>
  <si>
    <t>Wind Onshore - CF Class-20 Cost Class-c03 - Thailand</t>
  </si>
  <si>
    <t>EN_WON_20_c04_THA</t>
  </si>
  <si>
    <t>Wind Onshore - CF Class-20 Cost Class-c04 - Thailand</t>
  </si>
  <si>
    <t>EN_WON_21_c03_THA</t>
  </si>
  <si>
    <t>Wind Onshore - CF Class-21 Cost Class-c03 - Thailand</t>
  </si>
  <si>
    <t>EN_WON_21_c04_THA</t>
  </si>
  <si>
    <t>Wind Onshore - CF Class-21 Cost Class-c04 - Thailand</t>
  </si>
  <si>
    <t>EN_WON_22_c02_THA</t>
  </si>
  <si>
    <t>Wind Onshore - CF Class-22 Cost Class-c02 - Thailand</t>
  </si>
  <si>
    <t>EN_WON_22_c03_THA</t>
  </si>
  <si>
    <t>Wind Onshore - CF Class-22 Cost Class-c03 - Thailand</t>
  </si>
  <si>
    <t>EN_WON_22_c04_THA</t>
  </si>
  <si>
    <t>Wind Onshore - CF Class-22 Cost Class-c04 - Thailand</t>
  </si>
  <si>
    <t>EN_WON_23_c02_THA</t>
  </si>
  <si>
    <t>Wind Onshore - CF Class-23 Cost Class-c02 - Thailand</t>
  </si>
  <si>
    <t>EN_WON_23_c03_THA</t>
  </si>
  <si>
    <t>Wind Onshore - CF Class-23 Cost Class-c03 - Thailand</t>
  </si>
  <si>
    <t>EN_WON_24_c01_THA</t>
  </si>
  <si>
    <t>Wind Onshore - CF Class-24 Cost Class-c01 - Thailand</t>
  </si>
  <si>
    <t>EN_WON_26_c01_THA</t>
  </si>
  <si>
    <t>Wind Onshore - CF Class-26 Cost Class-c01 - Thailand</t>
  </si>
  <si>
    <t>EN_WON_16_c02_TJK</t>
  </si>
  <si>
    <t>Wind Onshore - CF Class-16 Cost Class-c02 - Tajikistan</t>
  </si>
  <si>
    <t>ELC_Win-TJK</t>
  </si>
  <si>
    <t>EN_WON_16_c03_TJK</t>
  </si>
  <si>
    <t>Wind Onshore - CF Class-16 Cost Class-c03 - Tajikistan</t>
  </si>
  <si>
    <t>EN_WON_16_c04_TJK</t>
  </si>
  <si>
    <t>Wind Onshore - CF Class-16 Cost Class-c04 - Tajikistan</t>
  </si>
  <si>
    <t>EN_WON_17_c03_TJK</t>
  </si>
  <si>
    <t>Wind Onshore - CF Class-17 Cost Class-c03 - Tajikistan</t>
  </si>
  <si>
    <t>EN_WON_17_c04_TJK</t>
  </si>
  <si>
    <t>Wind Onshore - CF Class-17 Cost Class-c04 - Tajikistan</t>
  </si>
  <si>
    <t>EN_WON_18_c02_TJK</t>
  </si>
  <si>
    <t>Wind Onshore - CF Class-18 Cost Class-c02 - Tajikistan</t>
  </si>
  <si>
    <t>EN_WON_18_c03_TJK</t>
  </si>
  <si>
    <t>Wind Onshore - CF Class-18 Cost Class-c03 - Tajikistan</t>
  </si>
  <si>
    <t>EN_WON_18_c04_TJK</t>
  </si>
  <si>
    <t>Wind Onshore - CF Class-18 Cost Class-c04 - Tajikistan</t>
  </si>
  <si>
    <t>EN_WON_19_c02_TJK</t>
  </si>
  <si>
    <t>Wind Onshore - CF Class-19 Cost Class-c02 - Tajikistan</t>
  </si>
  <si>
    <t>EN_WON_19_c03_TJK</t>
  </si>
  <si>
    <t>Wind Onshore - CF Class-19 Cost Class-c03 - Tajikistan</t>
  </si>
  <si>
    <t>EN_WON_19_c04_TJK</t>
  </si>
  <si>
    <t>Wind Onshore - CF Class-19 Cost Class-c04 - Tajikistan</t>
  </si>
  <si>
    <t>EN_WON_20_c02_TJK</t>
  </si>
  <si>
    <t>Wind Onshore - CF Class-20 Cost Class-c02 - Tajikistan</t>
  </si>
  <si>
    <t>EN_WON_21_c02_TJK</t>
  </si>
  <si>
    <t>Wind Onshore - CF Class-21 Cost Class-c02 - Tajikistan</t>
  </si>
  <si>
    <t>EN_WON_21_c03_TJK</t>
  </si>
  <si>
    <t>Wind Onshore - CF Class-21 Cost Class-c03 - Tajikistan</t>
  </si>
  <si>
    <t>EN_WON_21_c04_TJK</t>
  </si>
  <si>
    <t>Wind Onshore - CF Class-21 Cost Class-c04 - Tajikistan</t>
  </si>
  <si>
    <t>EN_WON_22_c03_TJK</t>
  </si>
  <si>
    <t>Wind Onshore - CF Class-22 Cost Class-c03 - Tajikistan</t>
  </si>
  <si>
    <t>EN_WON_22_c04_TJK</t>
  </si>
  <si>
    <t>Wind Onshore - CF Class-22 Cost Class-c04 - Tajikistan</t>
  </si>
  <si>
    <t>EN_WON_25_c03_TJK</t>
  </si>
  <si>
    <t>Wind Onshore - CF Class-25 Cost Class-c03 - Tajikistan</t>
  </si>
  <si>
    <t>EN_WON_25_c04_TJK</t>
  </si>
  <si>
    <t>Wind Onshore - CF Class-25 Cost Class-c04 - Tajikistan</t>
  </si>
  <si>
    <t>EN_WON_28_c04_TJK</t>
  </si>
  <si>
    <t>Wind Onshore - CF Class-28 Cost Class-c04 - Tajikistan</t>
  </si>
  <si>
    <t>EN_WON_29_c04_TJK</t>
  </si>
  <si>
    <t>Wind Onshore - CF Class-29 Cost Class-c04 - Tajikistan</t>
  </si>
  <si>
    <t>EN_WON_30_c04_TJK</t>
  </si>
  <si>
    <t>Wind Onshore - CF Class-30 Cost Class-c04 - Tajikistan</t>
  </si>
  <si>
    <t>EN_WON_42_c01_TKM</t>
  </si>
  <si>
    <t>Wind Onshore - CF Class-42 Cost Class-c01 - Turkmenistan</t>
  </si>
  <si>
    <t>ELC_Win-TKM</t>
  </si>
  <si>
    <t>EN_WON_43_c01_TKM</t>
  </si>
  <si>
    <t>Wind Onshore - CF Class-43 Cost Class-c01 - Turkmenistan</t>
  </si>
  <si>
    <t>EN_WON_44_c01_TKM</t>
  </si>
  <si>
    <t>Wind Onshore - CF Class-44 Cost Class-c01 - Turkmenistan</t>
  </si>
  <si>
    <t>EN_WON_45_c01_TKM</t>
  </si>
  <si>
    <t>Wind Onshore - CF Class-45 Cost Class-c01 - Turkmenistan</t>
  </si>
  <si>
    <t>EN_WON_22_c01_TON</t>
  </si>
  <si>
    <t>Wind Onshore - CF Class-22 Cost Class-c01 - Tonga</t>
  </si>
  <si>
    <t>EN_WON_25_c02_TON</t>
  </si>
  <si>
    <t>Wind Onshore - CF Class-25 Cost Class-c02 - Tonga</t>
  </si>
  <si>
    <t>EN_WON_30_c04_TON</t>
  </si>
  <si>
    <t>Wind Onshore - CF Class-30 Cost Class-c04 - Tonga</t>
  </si>
  <si>
    <t>EN_WON_24_c04_TTO</t>
  </si>
  <si>
    <t>Wind Onshore - CF Class-24 Cost Class-c04 - Trinidad and Tobago</t>
  </si>
  <si>
    <t>EN_WON_29_c03_TTO</t>
  </si>
  <si>
    <t>Wind Onshore - CF Class-29 Cost Class-c03 - Trinidad and Tobago</t>
  </si>
  <si>
    <t>EN_WON_40_c01_TUN</t>
  </si>
  <si>
    <t>Wind Onshore - CF Class-40 Cost Class-c01 - Tunisia</t>
  </si>
  <si>
    <t>EN_WON_41_c01_TUN</t>
  </si>
  <si>
    <t>Wind Onshore - CF Class-41 Cost Class-c01 - Tunisia</t>
  </si>
  <si>
    <t>EN_WON_15_c02_TUR</t>
  </si>
  <si>
    <t>Wind Onshore - CF Class-15 Cost Class-c02 - Turkey</t>
  </si>
  <si>
    <t>EN_WON_16_c02_TUR</t>
  </si>
  <si>
    <t>Wind Onshore - CF Class-16 Cost Class-c02 - Turkey</t>
  </si>
  <si>
    <t>EN_WON_16_c03_TUR</t>
  </si>
  <si>
    <t>Wind Onshore - CF Class-16 Cost Class-c03 - Turkey</t>
  </si>
  <si>
    <t>EN_WON_17_c02_TUR</t>
  </si>
  <si>
    <t>Wind Onshore - CF Class-17 Cost Class-c02 - Turkey</t>
  </si>
  <si>
    <t>EN_WON_17_c03_TUR</t>
  </si>
  <si>
    <t>Wind Onshore - CF Class-17 Cost Class-c03 - Turkey</t>
  </si>
  <si>
    <t>EN_WON_18_c02_TUR</t>
  </si>
  <si>
    <t>Wind Onshore - CF Class-18 Cost Class-c02 - Turkey</t>
  </si>
  <si>
    <t>EN_WON_18_c03_TUR</t>
  </si>
  <si>
    <t>Wind Onshore - CF Class-18 Cost Class-c03 - Turkey</t>
  </si>
  <si>
    <t>EN_WON_18_c04_TUR</t>
  </si>
  <si>
    <t>Wind Onshore - CF Class-18 Cost Class-c04 - Turkey</t>
  </si>
  <si>
    <t>EN_WON_19_c02_TUR</t>
  </si>
  <si>
    <t>Wind Onshore - CF Class-19 Cost Class-c02 - Turkey</t>
  </si>
  <si>
    <t>EN_WON_19_c03_TUR</t>
  </si>
  <si>
    <t>Wind Onshore - CF Class-19 Cost Class-c03 - Turkey</t>
  </si>
  <si>
    <t>EN_WON_19_c04_TUR</t>
  </si>
  <si>
    <t>Wind Onshore - CF Class-19 Cost Class-c04 - Turkey</t>
  </si>
  <si>
    <t>EN_WON_20_c01_TUR</t>
  </si>
  <si>
    <t>Wind Onshore - CF Class-20 Cost Class-c01 - Turkey</t>
  </si>
  <si>
    <t>EN_WON_20_c02_TUR</t>
  </si>
  <si>
    <t>Wind Onshore - CF Class-20 Cost Class-c02 - Turkey</t>
  </si>
  <si>
    <t>EN_WON_20_c03_TUR</t>
  </si>
  <si>
    <t>Wind Onshore - CF Class-20 Cost Class-c03 - Turkey</t>
  </si>
  <si>
    <t>EN_WON_20_c04_TUR</t>
  </si>
  <si>
    <t>Wind Onshore - CF Class-20 Cost Class-c04 - Turkey</t>
  </si>
  <si>
    <t>EN_WON_21_c02_TUR</t>
  </si>
  <si>
    <t>Wind Onshore - CF Class-21 Cost Class-c02 - Turkey</t>
  </si>
  <si>
    <t>EN_WON_21_c03_TUR</t>
  </si>
  <si>
    <t>Wind Onshore - CF Class-21 Cost Class-c03 - Turkey</t>
  </si>
  <si>
    <t>EN_WON_21_c04_TUR</t>
  </si>
  <si>
    <t>Wind Onshore - CF Class-21 Cost Class-c04 - Turkey</t>
  </si>
  <si>
    <t>EN_WON_22_c02_TUR</t>
  </si>
  <si>
    <t>Wind Onshore - CF Class-22 Cost Class-c02 - Turkey</t>
  </si>
  <si>
    <t>EN_WON_22_c03_TUR</t>
  </si>
  <si>
    <t>Wind Onshore - CF Class-22 Cost Class-c03 - Turkey</t>
  </si>
  <si>
    <t>EN_WON_22_c04_TUR</t>
  </si>
  <si>
    <t>Wind Onshore - CF Class-22 Cost Class-c04 - Turkey</t>
  </si>
  <si>
    <t>EN_WON_23_c02_TUR</t>
  </si>
  <si>
    <t>Wind Onshore - CF Class-23 Cost Class-c02 - Turkey</t>
  </si>
  <si>
    <t>EN_WON_23_c03_TUR</t>
  </si>
  <si>
    <t>Wind Onshore - CF Class-23 Cost Class-c03 - Turkey</t>
  </si>
  <si>
    <t>EN_WON_23_c04_TUR</t>
  </si>
  <si>
    <t>Wind Onshore - CF Class-23 Cost Class-c04 - Turkey</t>
  </si>
  <si>
    <t>EN_WON_24_c02_TUR</t>
  </si>
  <si>
    <t>Wind Onshore - CF Class-24 Cost Class-c02 - Turkey</t>
  </si>
  <si>
    <t>EN_WON_24_c03_TUR</t>
  </si>
  <si>
    <t>Wind Onshore - CF Class-24 Cost Class-c03 - Turkey</t>
  </si>
  <si>
    <t>EN_WON_24_c04_TUR</t>
  </si>
  <si>
    <t>Wind Onshore - CF Class-24 Cost Class-c04 - Turkey</t>
  </si>
  <si>
    <t>EN_WON_25_c02_TUR</t>
  </si>
  <si>
    <t>Wind Onshore - CF Class-25 Cost Class-c02 - Turkey</t>
  </si>
  <si>
    <t>EN_WON_25_c03_TUR</t>
  </si>
  <si>
    <t>Wind Onshore - CF Class-25 Cost Class-c03 - Turkey</t>
  </si>
  <si>
    <t>EN_WON_26_c01_TUR</t>
  </si>
  <si>
    <t>Wind Onshore - CF Class-26 Cost Class-c01 - Turkey</t>
  </si>
  <si>
    <t>EN_WON_26_c02_TUR</t>
  </si>
  <si>
    <t>Wind Onshore - CF Class-26 Cost Class-c02 - Turkey</t>
  </si>
  <si>
    <t>EN_WON_26_c03_TUR</t>
  </si>
  <si>
    <t>Wind Onshore - CF Class-26 Cost Class-c03 - Turkey</t>
  </si>
  <si>
    <t>EN_WON_26_c04_TUR</t>
  </si>
  <si>
    <t>Wind Onshore - CF Class-26 Cost Class-c04 - Turkey</t>
  </si>
  <si>
    <t>EN_WON_27_c01_TUR</t>
  </si>
  <si>
    <t>Wind Onshore - CF Class-27 Cost Class-c01 - Turkey</t>
  </si>
  <si>
    <t>EN_WON_27_c03_TUR</t>
  </si>
  <si>
    <t>Wind Onshore - CF Class-27 Cost Class-c03 - Turkey</t>
  </si>
  <si>
    <t>EN_WON_28_c02_TUR</t>
  </si>
  <si>
    <t>Wind Onshore - CF Class-28 Cost Class-c02 - Turkey</t>
  </si>
  <si>
    <t>EN_WON_29_c02_TUR</t>
  </si>
  <si>
    <t>Wind Onshore - CF Class-29 Cost Class-c02 - Turkey</t>
  </si>
  <si>
    <t>EN_WON_30_c02_TUR</t>
  </si>
  <si>
    <t>Wind Onshore - CF Class-30 Cost Class-c02 - Turkey</t>
  </si>
  <si>
    <t>EN_WON_30_c03_TUR</t>
  </si>
  <si>
    <t>Wind Onshore - CF Class-30 Cost Class-c03 - Turkey</t>
  </si>
  <si>
    <t>EN_WON_31_c01_TUR</t>
  </si>
  <si>
    <t>Wind Onshore - CF Class-31 Cost Class-c01 - Turkey</t>
  </si>
  <si>
    <t>EN_WON_31_c03_TUR</t>
  </si>
  <si>
    <t>Wind Onshore - CF Class-31 Cost Class-c03 - Turkey</t>
  </si>
  <si>
    <t>EN_WON_32_c03_TUR</t>
  </si>
  <si>
    <t>Wind Onshore - CF Class-32 Cost Class-c03 - Turkey</t>
  </si>
  <si>
    <t>EN_WON_33_c02_TUR</t>
  </si>
  <si>
    <t>Wind Onshore - CF Class-33 Cost Class-c02 - Turkey</t>
  </si>
  <si>
    <t>EN_WON_34_c01_TUR</t>
  </si>
  <si>
    <t>Wind Onshore - CF Class-34 Cost Class-c01 - Turkey</t>
  </si>
  <si>
    <t>EN_WON_34_c02_TUR</t>
  </si>
  <si>
    <t>Wind Onshore - CF Class-34 Cost Class-c02 - Turkey</t>
  </si>
  <si>
    <t>EN_WON_35_c01_TUR</t>
  </si>
  <si>
    <t>Wind Onshore - CF Class-35 Cost Class-c01 - Turkey</t>
  </si>
  <si>
    <t>EN_WON_35_c02_TUR</t>
  </si>
  <si>
    <t>Wind Onshore - CF Class-35 Cost Class-c02 - Turkey</t>
  </si>
  <si>
    <t>EN_WON_36_c01_TUR</t>
  </si>
  <si>
    <t>Wind Onshore - CF Class-36 Cost Class-c01 - Turkey</t>
  </si>
  <si>
    <t>EN_WON_36_c02_TUR</t>
  </si>
  <si>
    <t>Wind Onshore - CF Class-36 Cost Class-c02 - Turkey</t>
  </si>
  <si>
    <t>EN_WON_37_c02_TUR</t>
  </si>
  <si>
    <t>Wind Onshore - CF Class-37 Cost Class-c02 - Turkey</t>
  </si>
  <si>
    <t>EN_WON_39_c01_TUR</t>
  </si>
  <si>
    <t>Wind Onshore - CF Class-39 Cost Class-c01 - Turkey</t>
  </si>
  <si>
    <t>EN_WON_24_c03_TZA</t>
  </si>
  <si>
    <t>Wind Onshore - CF Class-24 Cost Class-c03 - Tanzania</t>
  </si>
  <si>
    <t>ELC_Win-TZA</t>
  </si>
  <si>
    <t>EN_WON_24_c04_TZA</t>
  </si>
  <si>
    <t>Wind Onshore - CF Class-24 Cost Class-c04 - Tanzania</t>
  </si>
  <si>
    <t>EN_WON_25_c02_TZA</t>
  </si>
  <si>
    <t>Wind Onshore - CF Class-25 Cost Class-c02 - Tanzania</t>
  </si>
  <si>
    <t>EN_WON_25_c03_TZA</t>
  </si>
  <si>
    <t>Wind Onshore - CF Class-25 Cost Class-c03 - Tanzania</t>
  </si>
  <si>
    <t>EN_WON_25_c04_TZA</t>
  </si>
  <si>
    <t>Wind Onshore - CF Class-25 Cost Class-c04 - Tanzania</t>
  </si>
  <si>
    <t>EN_WON_26_c02_TZA</t>
  </si>
  <si>
    <t>Wind Onshore - CF Class-26 Cost Class-c02 - Tanzania</t>
  </si>
  <si>
    <t>EN_WON_26_c03_TZA</t>
  </si>
  <si>
    <t>Wind Onshore - CF Class-26 Cost Class-c03 - Tanzania</t>
  </si>
  <si>
    <t>EN_WON_26_c04_TZA</t>
  </si>
  <si>
    <t>Wind Onshore - CF Class-26 Cost Class-c04 - Tanzania</t>
  </si>
  <si>
    <t>EN_WON_27_c03_TZA</t>
  </si>
  <si>
    <t>Wind Onshore - CF Class-27 Cost Class-c03 - Tanzania</t>
  </si>
  <si>
    <t>EN_WON_27_c04_TZA</t>
  </si>
  <si>
    <t>Wind Onshore - CF Class-27 Cost Class-c04 - Tanzania</t>
  </si>
  <si>
    <t>EN_WON_28_c03_TZA</t>
  </si>
  <si>
    <t>Wind Onshore - CF Class-28 Cost Class-c03 - Tanzania</t>
  </si>
  <si>
    <t>EN_WON_29_c03_TZA</t>
  </si>
  <si>
    <t>Wind Onshore - CF Class-29 Cost Class-c03 - Tanzania</t>
  </si>
  <si>
    <t>EN_WON_30_c03_TZA</t>
  </si>
  <si>
    <t>Wind Onshore - CF Class-30 Cost Class-c03 - Tanzania</t>
  </si>
  <si>
    <t>EN_WON_30_c04_TZA</t>
  </si>
  <si>
    <t>Wind Onshore - CF Class-30 Cost Class-c04 - Tanzania</t>
  </si>
  <si>
    <t>EN_WON_31_c03_TZA</t>
  </si>
  <si>
    <t>Wind Onshore - CF Class-31 Cost Class-c03 - Tanzania</t>
  </si>
  <si>
    <t>EN_WON_31_c04_TZA</t>
  </si>
  <si>
    <t>Wind Onshore - CF Class-31 Cost Class-c04 - Tanzania</t>
  </si>
  <si>
    <t>EN_WON_32_c03_TZA</t>
  </si>
  <si>
    <t>Wind Onshore - CF Class-32 Cost Class-c03 - Tanzania</t>
  </si>
  <si>
    <t>EN_WON_32_c04_TZA</t>
  </si>
  <si>
    <t>Wind Onshore - CF Class-32 Cost Class-c04 - Tanzania</t>
  </si>
  <si>
    <t>EN_WON_33_c02_TZA</t>
  </si>
  <si>
    <t>Wind Onshore - CF Class-33 Cost Class-c02 - Tanzania</t>
  </si>
  <si>
    <t>EN_WON_33_c03_TZA</t>
  </si>
  <si>
    <t>Wind Onshore - CF Class-33 Cost Class-c03 - Tanzania</t>
  </si>
  <si>
    <t>EN_WON_33_c04_TZA</t>
  </si>
  <si>
    <t>Wind Onshore - CF Class-33 Cost Class-c04 - Tanzania</t>
  </si>
  <si>
    <t>EN_WON_36_c04_TZA</t>
  </si>
  <si>
    <t>Wind Onshore - CF Class-36 Cost Class-c04 - Tanzania</t>
  </si>
  <si>
    <t>EN_WON_37_c01_TZA</t>
  </si>
  <si>
    <t>Wind Onshore - CF Class-37 Cost Class-c01 - Tanzania</t>
  </si>
  <si>
    <t>EN_WON_37_c04_TZA</t>
  </si>
  <si>
    <t>Wind Onshore - CF Class-37 Cost Class-c04 - Tanzania</t>
  </si>
  <si>
    <t>EN_WON_38_c04_TZA</t>
  </si>
  <si>
    <t>Wind Onshore - CF Class-38 Cost Class-c04 - Tanzania</t>
  </si>
  <si>
    <t>EN_WON_41_c02_TZA</t>
  </si>
  <si>
    <t>Wind Onshore - CF Class-41 Cost Class-c02 - Tanzania</t>
  </si>
  <si>
    <t>EN_WON_15_c03_UGA</t>
  </si>
  <si>
    <t>Wind Onshore - CF Class-15 Cost Class-c03 - Uganda</t>
  </si>
  <si>
    <t>ELC_Win-UGA</t>
  </si>
  <si>
    <t>EN_WON_16_c02_UGA</t>
  </si>
  <si>
    <t>Wind Onshore - CF Class-16 Cost Class-c02 - Uganda</t>
  </si>
  <si>
    <t>EN_WON_16_c03_UGA</t>
  </si>
  <si>
    <t>Wind Onshore - CF Class-16 Cost Class-c03 - Uganda</t>
  </si>
  <si>
    <t>EN_WON_16_c04_UGA</t>
  </si>
  <si>
    <t>Wind Onshore - CF Class-16 Cost Class-c04 - Uganda</t>
  </si>
  <si>
    <t>EN_WON_17_c04_UGA</t>
  </si>
  <si>
    <t>Wind Onshore - CF Class-17 Cost Class-c04 - Uganda</t>
  </si>
  <si>
    <t>EN_WON_18_c03_UGA</t>
  </si>
  <si>
    <t>Wind Onshore - CF Class-18 Cost Class-c03 - Uganda</t>
  </si>
  <si>
    <t>EN_WON_19_c04_UGA</t>
  </si>
  <si>
    <t>Wind Onshore - CF Class-19 Cost Class-c04 - Uganda</t>
  </si>
  <si>
    <t>EN_WON_21_c04_UGA</t>
  </si>
  <si>
    <t>Wind Onshore - CF Class-21 Cost Class-c04 - Uganda</t>
  </si>
  <si>
    <t>EN_WON_33_c01_UKR</t>
  </si>
  <si>
    <t>Wind Onshore - CF Class-33 Cost Class-c01 - Ukraine</t>
  </si>
  <si>
    <t>EN_WON_34_c01_UKR</t>
  </si>
  <si>
    <t>Wind Onshore - CF Class-34 Cost Class-c01 - Ukraine</t>
  </si>
  <si>
    <t>EN_WON_35_c01_UKR</t>
  </si>
  <si>
    <t>Wind Onshore - CF Class-35 Cost Class-c01 - Ukraine</t>
  </si>
  <si>
    <t>EN_WON_37_c01_URY</t>
  </si>
  <si>
    <t>Wind Onshore - CF Class-37 Cost Class-c01 - Uruguay</t>
  </si>
  <si>
    <t>EN_WON_38_c01_URY</t>
  </si>
  <si>
    <t>Wind Onshore - CF Class-38 Cost Class-c01 - Uruguay</t>
  </si>
  <si>
    <t>EN_WON_40_c01_URY</t>
  </si>
  <si>
    <t>Wind Onshore - CF Class-40 Cost Class-c01 - Uruguay</t>
  </si>
  <si>
    <t>EN_WON_21_c02_USA</t>
  </si>
  <si>
    <t>Wind Onshore - CF Class-21 Cost Class-c02 - United States</t>
  </si>
  <si>
    <t>EN_WON_21_c03_USA</t>
  </si>
  <si>
    <t>Wind Onshore - CF Class-21 Cost Class-c03 - United States</t>
  </si>
  <si>
    <t>EN_WON_22_c01_USA</t>
  </si>
  <si>
    <t>Wind Onshore - CF Class-22 Cost Class-c01 - United States</t>
  </si>
  <si>
    <t>EN_WON_22_c02_USA</t>
  </si>
  <si>
    <t>Wind Onshore - CF Class-22 Cost Class-c02 - United States</t>
  </si>
  <si>
    <t>EN_WON_22_c03_USA</t>
  </si>
  <si>
    <t>Wind Onshore - CF Class-22 Cost Class-c03 - United States</t>
  </si>
  <si>
    <t>EN_WON_22_c04_USA</t>
  </si>
  <si>
    <t>Wind Onshore - CF Class-22 Cost Class-c04 - United States</t>
  </si>
  <si>
    <t>EN_WON_23_c01_USA</t>
  </si>
  <si>
    <t>Wind Onshore - CF Class-23 Cost Class-c01 - United States</t>
  </si>
  <si>
    <t>EN_WON_23_c02_USA</t>
  </si>
  <si>
    <t>Wind Onshore - CF Class-23 Cost Class-c02 - United States</t>
  </si>
  <si>
    <t>EN_WON_23_c03_USA</t>
  </si>
  <si>
    <t>Wind Onshore - CF Class-23 Cost Class-c03 - United States</t>
  </si>
  <si>
    <t>EN_WON_23_c04_USA</t>
  </si>
  <si>
    <t>Wind Onshore - CF Class-23 Cost Class-c04 - United States</t>
  </si>
  <si>
    <t>EN_WON_24_c01_USA</t>
  </si>
  <si>
    <t>Wind Onshore - CF Class-24 Cost Class-c01 - United States</t>
  </si>
  <si>
    <t>EN_WON_24_c02_USA</t>
  </si>
  <si>
    <t>Wind Onshore - CF Class-24 Cost Class-c02 - United States</t>
  </si>
  <si>
    <t>EN_WON_24_c03_USA</t>
  </si>
  <si>
    <t>Wind Onshore - CF Class-24 Cost Class-c03 - United States</t>
  </si>
  <si>
    <t>EN_WON_24_c04_USA</t>
  </si>
  <si>
    <t>Wind Onshore - CF Class-24 Cost Class-c04 - United States</t>
  </si>
  <si>
    <t>EN_WON_25_c01_USA</t>
  </si>
  <si>
    <t>Wind Onshore - CF Class-25 Cost Class-c01 - United States</t>
  </si>
  <si>
    <t>EN_WON_25_c02_USA</t>
  </si>
  <si>
    <t>Wind Onshore - CF Class-25 Cost Class-c02 - United States</t>
  </si>
  <si>
    <t>EN_WON_25_c03_USA</t>
  </si>
  <si>
    <t>Wind Onshore - CF Class-25 Cost Class-c03 - United States</t>
  </si>
  <si>
    <t>EN_WON_25_c04_USA</t>
  </si>
  <si>
    <t>Wind Onshore - CF Class-25 Cost Class-c04 - United States</t>
  </si>
  <si>
    <t>EN_WON_26_c01_USA</t>
  </si>
  <si>
    <t>Wind Onshore - CF Class-26 Cost Class-c01 - United States</t>
  </si>
  <si>
    <t>EN_WON_26_c02_USA</t>
  </si>
  <si>
    <t>Wind Onshore - CF Class-26 Cost Class-c02 - United States</t>
  </si>
  <si>
    <t>EN_WON_26_c03_USA</t>
  </si>
  <si>
    <t>Wind Onshore - CF Class-26 Cost Class-c03 - United States</t>
  </si>
  <si>
    <t>EN_WON_26_c04_USA</t>
  </si>
  <si>
    <t>Wind Onshore - CF Class-26 Cost Class-c04 - United States</t>
  </si>
  <si>
    <t>EN_WON_27_c01_USA</t>
  </si>
  <si>
    <t>Wind Onshore - CF Class-27 Cost Class-c01 - United States</t>
  </si>
  <si>
    <t>EN_WON_27_c02_USA</t>
  </si>
  <si>
    <t>Wind Onshore - CF Class-27 Cost Class-c02 - United States</t>
  </si>
  <si>
    <t>EN_WON_27_c03_USA</t>
  </si>
  <si>
    <t>Wind Onshore - CF Class-27 Cost Class-c03 - United States</t>
  </si>
  <si>
    <t>EN_WON_27_c04_USA</t>
  </si>
  <si>
    <t>Wind Onshore - CF Class-27 Cost Class-c04 - United States</t>
  </si>
  <si>
    <t>EN_WON_28_c01_USA</t>
  </si>
  <si>
    <t>Wind Onshore - CF Class-28 Cost Class-c01 - United States</t>
  </si>
  <si>
    <t>EN_WON_28_c02_USA</t>
  </si>
  <si>
    <t>Wind Onshore - CF Class-28 Cost Class-c02 - United States</t>
  </si>
  <si>
    <t>EN_WON_28_c03_USA</t>
  </si>
  <si>
    <t>Wind Onshore - CF Class-28 Cost Class-c03 - United States</t>
  </si>
  <si>
    <t>EN_WON_28_c04_USA</t>
  </si>
  <si>
    <t>Wind Onshore - CF Class-28 Cost Class-c04 - United States</t>
  </si>
  <si>
    <t>EN_WON_29_c01_USA</t>
  </si>
  <si>
    <t>Wind Onshore - CF Class-29 Cost Class-c01 - United States</t>
  </si>
  <si>
    <t>EN_WON_29_c02_USA</t>
  </si>
  <si>
    <t>Wind Onshore - CF Class-29 Cost Class-c02 - United States</t>
  </si>
  <si>
    <t>EN_WON_29_c03_USA</t>
  </si>
  <si>
    <t>Wind Onshore - CF Class-29 Cost Class-c03 - United States</t>
  </si>
  <si>
    <t>EN_WON_29_c04_USA</t>
  </si>
  <si>
    <t>Wind Onshore - CF Class-29 Cost Class-c04 - United States</t>
  </si>
  <si>
    <t>EN_WON_30_c01_USA</t>
  </si>
  <si>
    <t>Wind Onshore - CF Class-30 Cost Class-c01 - United States</t>
  </si>
  <si>
    <t>EN_WON_30_c02_USA</t>
  </si>
  <si>
    <t>Wind Onshore - CF Class-30 Cost Class-c02 - United States</t>
  </si>
  <si>
    <t>EN_WON_30_c03_USA</t>
  </si>
  <si>
    <t>Wind Onshore - CF Class-30 Cost Class-c03 - United States</t>
  </si>
  <si>
    <t>EN_WON_30_c04_USA</t>
  </si>
  <si>
    <t>Wind Onshore - CF Class-30 Cost Class-c04 - United States</t>
  </si>
  <si>
    <t>EN_WON_31_c01_USA</t>
  </si>
  <si>
    <t>Wind Onshore - CF Class-31 Cost Class-c01 - United States</t>
  </si>
  <si>
    <t>EN_WON_31_c02_USA</t>
  </si>
  <si>
    <t>Wind Onshore - CF Class-31 Cost Class-c02 - United States</t>
  </si>
  <si>
    <t>EN_WON_31_c03_USA</t>
  </si>
  <si>
    <t>Wind Onshore - CF Class-31 Cost Class-c03 - United States</t>
  </si>
  <si>
    <t>EN_WON_31_c04_USA</t>
  </si>
  <si>
    <t>Wind Onshore - CF Class-31 Cost Class-c04 - United States</t>
  </si>
  <si>
    <t>EN_WON_32_c01_USA</t>
  </si>
  <si>
    <t>Wind Onshore - CF Class-32 Cost Class-c01 - United States</t>
  </si>
  <si>
    <t>EN_WON_32_c02_USA</t>
  </si>
  <si>
    <t>Wind Onshore - CF Class-32 Cost Class-c02 - United States</t>
  </si>
  <si>
    <t>EN_WON_32_c03_USA</t>
  </si>
  <si>
    <t>Wind Onshore - CF Class-32 Cost Class-c03 - United States</t>
  </si>
  <si>
    <t>EN_WON_32_c04_USA</t>
  </si>
  <si>
    <t>Wind Onshore - CF Class-32 Cost Class-c04 - United States</t>
  </si>
  <si>
    <t>EN_WON_33_c01_USA</t>
  </si>
  <si>
    <t>Wind Onshore - CF Class-33 Cost Class-c01 - United States</t>
  </si>
  <si>
    <t>EN_WON_33_c02_USA</t>
  </si>
  <si>
    <t>Wind Onshore - CF Class-33 Cost Class-c02 - United States</t>
  </si>
  <si>
    <t>EN_WON_33_c03_USA</t>
  </si>
  <si>
    <t>Wind Onshore - CF Class-33 Cost Class-c03 - United States</t>
  </si>
  <si>
    <t>EN_WON_33_c04_USA</t>
  </si>
  <si>
    <t>Wind Onshore - CF Class-33 Cost Class-c04 - United States</t>
  </si>
  <si>
    <t>EN_WON_34_c01_USA</t>
  </si>
  <si>
    <t>Wind Onshore - CF Class-34 Cost Class-c01 - United States</t>
  </si>
  <si>
    <t>EN_WON_34_c02_USA</t>
  </si>
  <si>
    <t>Wind Onshore - CF Class-34 Cost Class-c02 - United States</t>
  </si>
  <si>
    <t>EN_WON_34_c03_USA</t>
  </si>
  <si>
    <t>Wind Onshore - CF Class-34 Cost Class-c03 - United States</t>
  </si>
  <si>
    <t>EN_WON_34_c04_USA</t>
  </si>
  <si>
    <t>Wind Onshore - CF Class-34 Cost Class-c04 - United States</t>
  </si>
  <si>
    <t>EN_WON_35_c01_USA</t>
  </si>
  <si>
    <t>Wind Onshore - CF Class-35 Cost Class-c01 - United States</t>
  </si>
  <si>
    <t>EN_WON_35_c02_USA</t>
  </si>
  <si>
    <t>Wind Onshore - CF Class-35 Cost Class-c02 - United States</t>
  </si>
  <si>
    <t>EN_WON_35_c03_USA</t>
  </si>
  <si>
    <t>Wind Onshore - CF Class-35 Cost Class-c03 - United States</t>
  </si>
  <si>
    <t>EN_WON_35_c04_USA</t>
  </si>
  <si>
    <t>Wind Onshore - CF Class-35 Cost Class-c04 - United States</t>
  </si>
  <si>
    <t>EN_WON_36_c01_USA</t>
  </si>
  <si>
    <t>Wind Onshore - CF Class-36 Cost Class-c01 - United States</t>
  </si>
  <si>
    <t>EN_WON_36_c02_USA</t>
  </si>
  <si>
    <t>Wind Onshore - CF Class-36 Cost Class-c02 - United States</t>
  </si>
  <si>
    <t>EN_WON_36_c03_USA</t>
  </si>
  <si>
    <t>Wind Onshore - CF Class-36 Cost Class-c03 - United States</t>
  </si>
  <si>
    <t>EN_WON_36_c04_USA</t>
  </si>
  <si>
    <t>Wind Onshore - CF Class-36 Cost Class-c04 - United States</t>
  </si>
  <si>
    <t>EN_WON_37_c01_USA</t>
  </si>
  <si>
    <t>Wind Onshore - CF Class-37 Cost Class-c01 - United States</t>
  </si>
  <si>
    <t>EN_WON_37_c02_USA</t>
  </si>
  <si>
    <t>Wind Onshore - CF Class-37 Cost Class-c02 - United States</t>
  </si>
  <si>
    <t>EN_WON_37_c03_USA</t>
  </si>
  <si>
    <t>Wind Onshore - CF Class-37 Cost Class-c03 - United States</t>
  </si>
  <si>
    <t>EN_WON_37_c04_USA</t>
  </si>
  <si>
    <t>Wind Onshore - CF Class-37 Cost Class-c04 - United States</t>
  </si>
  <si>
    <t>EN_WON_38_c01_USA</t>
  </si>
  <si>
    <t>Wind Onshore - CF Class-38 Cost Class-c01 - United States</t>
  </si>
  <si>
    <t>EN_WON_38_c02_USA</t>
  </si>
  <si>
    <t>Wind Onshore - CF Class-38 Cost Class-c02 - United States</t>
  </si>
  <si>
    <t>EN_WON_38_c03_USA</t>
  </si>
  <si>
    <t>Wind Onshore - CF Class-38 Cost Class-c03 - United States</t>
  </si>
  <si>
    <t>EN_WON_38_c04_USA</t>
  </si>
  <si>
    <t>Wind Onshore - CF Class-38 Cost Class-c04 - United States</t>
  </si>
  <si>
    <t>EN_WON_39_c01_USA</t>
  </si>
  <si>
    <t>Wind Onshore - CF Class-39 Cost Class-c01 - United States</t>
  </si>
  <si>
    <t>EN_WON_39_c02_USA</t>
  </si>
  <si>
    <t>Wind Onshore - CF Class-39 Cost Class-c02 - United States</t>
  </si>
  <si>
    <t>EN_WON_39_c03_USA</t>
  </si>
  <si>
    <t>Wind Onshore - CF Class-39 Cost Class-c03 - United States</t>
  </si>
  <si>
    <t>EN_WON_39_c04_USA</t>
  </si>
  <si>
    <t>Wind Onshore - CF Class-39 Cost Class-c04 - United States</t>
  </si>
  <si>
    <t>EN_WON_40_c01_USA</t>
  </si>
  <si>
    <t>Wind Onshore - CF Class-40 Cost Class-c01 - United States</t>
  </si>
  <si>
    <t>EN_WON_40_c04_USA</t>
  </si>
  <si>
    <t>Wind Onshore - CF Class-40 Cost Class-c04 - United States</t>
  </si>
  <si>
    <t>EN_WON_41_c01_USA</t>
  </si>
  <si>
    <t>Wind Onshore - CF Class-41 Cost Class-c01 - United States</t>
  </si>
  <si>
    <t>EN_WON_41_c02_USA</t>
  </si>
  <si>
    <t>Wind Onshore - CF Class-41 Cost Class-c02 - United States</t>
  </si>
  <si>
    <t>EN_WON_41_c03_USA</t>
  </si>
  <si>
    <t>Wind Onshore - CF Class-41 Cost Class-c03 - United States</t>
  </si>
  <si>
    <t>EN_WON_41_c04_USA</t>
  </si>
  <si>
    <t>Wind Onshore - CF Class-41 Cost Class-c04 - United States</t>
  </si>
  <si>
    <t>EN_WON_42_c01_USA</t>
  </si>
  <si>
    <t>Wind Onshore - CF Class-42 Cost Class-c01 - United States</t>
  </si>
  <si>
    <t>EN_WON_42_c02_USA</t>
  </si>
  <si>
    <t>Wind Onshore - CF Class-42 Cost Class-c02 - United States</t>
  </si>
  <si>
    <t>EN_WON_42_c03_USA</t>
  </si>
  <si>
    <t>Wind Onshore - CF Class-42 Cost Class-c03 - United States</t>
  </si>
  <si>
    <t>EN_WON_42_c04_USA</t>
  </si>
  <si>
    <t>Wind Onshore - CF Class-42 Cost Class-c04 - United States</t>
  </si>
  <si>
    <t>EN_WON_43_c01_USA</t>
  </si>
  <si>
    <t>Wind Onshore - CF Class-43 Cost Class-c01 - United States</t>
  </si>
  <si>
    <t>EN_WON_43_c02_USA</t>
  </si>
  <si>
    <t>Wind Onshore - CF Class-43 Cost Class-c02 - United States</t>
  </si>
  <si>
    <t>EN_WON_43_c04_USA</t>
  </si>
  <si>
    <t>Wind Onshore - CF Class-43 Cost Class-c04 - United States</t>
  </si>
  <si>
    <t>EN_WON_44_c01_USA</t>
  </si>
  <si>
    <t>Wind Onshore - CF Class-44 Cost Class-c01 - United States</t>
  </si>
  <si>
    <t>EN_WON_44_c02_USA</t>
  </si>
  <si>
    <t>Wind Onshore - CF Class-44 Cost Class-c02 - United States</t>
  </si>
  <si>
    <t>EN_WON_45_c01_USA</t>
  </si>
  <si>
    <t>Wind Onshore - CF Class-45 Cost Class-c01 - United States</t>
  </si>
  <si>
    <t>EN_WON_45_c02_USA</t>
  </si>
  <si>
    <t>Wind Onshore - CF Class-45 Cost Class-c02 - United States</t>
  </si>
  <si>
    <t>EN_WON_46_c01_USA</t>
  </si>
  <si>
    <t>Wind Onshore - CF Class-46 Cost Class-c01 - United States</t>
  </si>
  <si>
    <t>EN_WON_46_c02_USA</t>
  </si>
  <si>
    <t>Wind Onshore - CF Class-46 Cost Class-c02 - United States</t>
  </si>
  <si>
    <t>EN_WON_46_c04_USA</t>
  </si>
  <si>
    <t>Wind Onshore - CF Class-46 Cost Class-c04 - United States</t>
  </si>
  <si>
    <t>EN_WON_47_c04_USA</t>
  </si>
  <si>
    <t>Wind Onshore - CF Class-47 Cost Class-c04 - United States</t>
  </si>
  <si>
    <t>EN_WON_48_c02_USA</t>
  </si>
  <si>
    <t>Wind Onshore - CF Class-48 Cost Class-c02 - United States</t>
  </si>
  <si>
    <t>EN_WON_50_c01_USA</t>
  </si>
  <si>
    <t>Wind Onshore - CF Class-50 Cost Class-c01 - United States</t>
  </si>
  <si>
    <t>EN_WON_51_c02_USA</t>
  </si>
  <si>
    <t>Wind Onshore - CF Class-51 Cost Class-c02 - United States</t>
  </si>
  <si>
    <t>EN_WON_43_c01_UZB</t>
  </si>
  <si>
    <t>Wind Onshore - CF Class-43 Cost Class-c01 - Uzbekistan</t>
  </si>
  <si>
    <t>ELC_Win-UZB</t>
  </si>
  <si>
    <t>EN_WON_44_c01_UZB</t>
  </si>
  <si>
    <t>Wind Onshore - CF Class-44 Cost Class-c01 - Uzbekistan</t>
  </si>
  <si>
    <t>EN_WON_45_c01_UZB</t>
  </si>
  <si>
    <t>Wind Onshore - CF Class-45 Cost Class-c01 - Uzbekistan</t>
  </si>
  <si>
    <t>EN_WON_46_c01_UZB</t>
  </si>
  <si>
    <t>Wind Onshore - CF Class-46 Cost Class-c01 - Uzbekistan</t>
  </si>
  <si>
    <t>EN_WON_20_c03_VEN</t>
  </si>
  <si>
    <t>Wind Onshore - CF Class-20 Cost Class-c03 - Venezuela</t>
  </si>
  <si>
    <t>EN_WON_20_c04_VEN</t>
  </si>
  <si>
    <t>Wind Onshore - CF Class-20 Cost Class-c04 - Venezuela</t>
  </si>
  <si>
    <t>EN_WON_21_c02_VEN</t>
  </si>
  <si>
    <t>Wind Onshore - CF Class-21 Cost Class-c02 - Venezuela</t>
  </si>
  <si>
    <t>EN_WON_21_c03_VEN</t>
  </si>
  <si>
    <t>Wind Onshore - CF Class-21 Cost Class-c03 - Venezuela</t>
  </si>
  <si>
    <t>EN_WON_21_c04_VEN</t>
  </si>
  <si>
    <t>Wind Onshore - CF Class-21 Cost Class-c04 - Venezuela</t>
  </si>
  <si>
    <t>EN_WON_22_c02_VEN</t>
  </si>
  <si>
    <t>Wind Onshore - CF Class-22 Cost Class-c02 - Venezuela</t>
  </si>
  <si>
    <t>EN_WON_22_c03_VEN</t>
  </si>
  <si>
    <t>Wind Onshore - CF Class-22 Cost Class-c03 - Venezuela</t>
  </si>
  <si>
    <t>EN_WON_22_c04_VEN</t>
  </si>
  <si>
    <t>Wind Onshore - CF Class-22 Cost Class-c04 - Venezuela</t>
  </si>
  <si>
    <t>EN_WON_23_c02_VEN</t>
  </si>
  <si>
    <t>Wind Onshore - CF Class-23 Cost Class-c02 - Venezuela</t>
  </si>
  <si>
    <t>EN_WON_23_c03_VEN</t>
  </si>
  <si>
    <t>Wind Onshore - CF Class-23 Cost Class-c03 - Venezuela</t>
  </si>
  <si>
    <t>EN_WON_23_c04_VEN</t>
  </si>
  <si>
    <t>Wind Onshore - CF Class-23 Cost Class-c04 - Venezuela</t>
  </si>
  <si>
    <t>EN_WON_24_c02_VEN</t>
  </si>
  <si>
    <t>Wind Onshore - CF Class-24 Cost Class-c02 - Venezuela</t>
  </si>
  <si>
    <t>EN_WON_24_c03_VEN</t>
  </si>
  <si>
    <t>Wind Onshore - CF Class-24 Cost Class-c03 - Venezuela</t>
  </si>
  <si>
    <t>EN_WON_24_c04_VEN</t>
  </si>
  <si>
    <t>Wind Onshore - CF Class-24 Cost Class-c04 - Venezuela</t>
  </si>
  <si>
    <t>EN_WON_25_c02_VEN</t>
  </si>
  <si>
    <t>Wind Onshore - CF Class-25 Cost Class-c02 - Venezuela</t>
  </si>
  <si>
    <t>EN_WON_25_c03_VEN</t>
  </si>
  <si>
    <t>Wind Onshore - CF Class-25 Cost Class-c03 - Venezuela</t>
  </si>
  <si>
    <t>EN_WON_26_c01_VEN</t>
  </si>
  <si>
    <t>Wind Onshore - CF Class-26 Cost Class-c01 - Venezuela</t>
  </si>
  <si>
    <t>EN_WON_26_c02_VEN</t>
  </si>
  <si>
    <t>Wind Onshore - CF Class-26 Cost Class-c02 - Venezuela</t>
  </si>
  <si>
    <t>EN_WON_26_c03_VEN</t>
  </si>
  <si>
    <t>Wind Onshore - CF Class-26 Cost Class-c03 - Venezuela</t>
  </si>
  <si>
    <t>EN_WON_26_c04_VEN</t>
  </si>
  <si>
    <t>Wind Onshore - CF Class-26 Cost Class-c04 - Venezuela</t>
  </si>
  <si>
    <t>EN_WON_27_c02_VEN</t>
  </si>
  <si>
    <t>Wind Onshore - CF Class-27 Cost Class-c02 - Venezuela</t>
  </si>
  <si>
    <t>EN_WON_27_c03_VEN</t>
  </si>
  <si>
    <t>Wind Onshore - CF Class-27 Cost Class-c03 - Venezuela</t>
  </si>
  <si>
    <t>EN_WON_27_c04_VEN</t>
  </si>
  <si>
    <t>Wind Onshore - CF Class-27 Cost Class-c04 - Venezuela</t>
  </si>
  <si>
    <t>EN_WON_28_c02_VEN</t>
  </si>
  <si>
    <t>Wind Onshore - CF Class-28 Cost Class-c02 - Venezuela</t>
  </si>
  <si>
    <t>EN_WON_29_c02_VEN</t>
  </si>
  <si>
    <t>Wind Onshore - CF Class-29 Cost Class-c02 - Venezuela</t>
  </si>
  <si>
    <t>EN_WON_30_c02_VEN</t>
  </si>
  <si>
    <t>Wind Onshore - CF Class-30 Cost Class-c02 - Venezuela</t>
  </si>
  <si>
    <t>EN_WON_31_c01_VEN</t>
  </si>
  <si>
    <t>Wind Onshore - CF Class-31 Cost Class-c01 - Venezuela</t>
  </si>
  <si>
    <t>EN_WON_31_c03_VEN</t>
  </si>
  <si>
    <t>Wind Onshore - CF Class-31 Cost Class-c03 - Venezuela</t>
  </si>
  <si>
    <t>EN_WON_31_c04_VEN</t>
  </si>
  <si>
    <t>Wind Onshore - CF Class-31 Cost Class-c04 - Venezuela</t>
  </si>
  <si>
    <t>EN_WON_32_c02_VEN</t>
  </si>
  <si>
    <t>Wind Onshore - CF Class-32 Cost Class-c02 - Venezuela</t>
  </si>
  <si>
    <t>EN_WON_32_c03_VEN</t>
  </si>
  <si>
    <t>Wind Onshore - CF Class-32 Cost Class-c03 - Venezuela</t>
  </si>
  <si>
    <t>EN_WON_32_c04_VEN</t>
  </si>
  <si>
    <t>Wind Onshore - CF Class-32 Cost Class-c04 - Venezuela</t>
  </si>
  <si>
    <t>EN_WON_33_c03_VEN</t>
  </si>
  <si>
    <t>Wind Onshore - CF Class-33 Cost Class-c03 - Venezuela</t>
  </si>
  <si>
    <t>EN_WON_34_c03_VEN</t>
  </si>
  <si>
    <t>Wind Onshore - CF Class-34 Cost Class-c03 - Venezuela</t>
  </si>
  <si>
    <t>EN_WON_34_c04_VEN</t>
  </si>
  <si>
    <t>Wind Onshore - CF Class-34 Cost Class-c04 - Venezuela</t>
  </si>
  <si>
    <t>EN_WON_35_c01_VEN</t>
  </si>
  <si>
    <t>Wind Onshore - CF Class-35 Cost Class-c01 - Venezuela</t>
  </si>
  <si>
    <t>EN_WON_35_c02_VEN</t>
  </si>
  <si>
    <t>Wind Onshore - CF Class-35 Cost Class-c02 - Venezuela</t>
  </si>
  <si>
    <t>EN_WON_35_c03_VEN</t>
  </si>
  <si>
    <t>Wind Onshore - CF Class-35 Cost Class-c03 - Venezuela</t>
  </si>
  <si>
    <t>EN_WON_38_c01_VEN</t>
  </si>
  <si>
    <t>Wind Onshore - CF Class-38 Cost Class-c01 - Venezuela</t>
  </si>
  <si>
    <t>EN_WON_39_c01_VEN</t>
  </si>
  <si>
    <t>Wind Onshore - CF Class-39 Cost Class-c01 - Venezuela</t>
  </si>
  <si>
    <t>EN_WON_39_c02_VEN</t>
  </si>
  <si>
    <t>Wind Onshore - CF Class-39 Cost Class-c02 - Venezuela</t>
  </si>
  <si>
    <t>EN_WON_39_c03_VEN</t>
  </si>
  <si>
    <t>Wind Onshore - CF Class-39 Cost Class-c03 - Venezuela</t>
  </si>
  <si>
    <t>EN_WON_40_c01_VEN</t>
  </si>
  <si>
    <t>Wind Onshore - CF Class-40 Cost Class-c01 - Venezuela</t>
  </si>
  <si>
    <t>EN_WON_40_c02_VEN</t>
  </si>
  <si>
    <t>Wind Onshore - CF Class-40 Cost Class-c02 - Venezuela</t>
  </si>
  <si>
    <t>EN_WON_41_c04_VEN</t>
  </si>
  <si>
    <t>Wind Onshore - CF Class-41 Cost Class-c04 - Venezuela</t>
  </si>
  <si>
    <t>EN_WON_42_c01_VEN</t>
  </si>
  <si>
    <t>Wind Onshore - CF Class-42 Cost Class-c01 - Venezuela</t>
  </si>
  <si>
    <t>EN_WON_42_c02_VEN</t>
  </si>
  <si>
    <t>Wind Onshore - CF Class-42 Cost Class-c02 - Venezuela</t>
  </si>
  <si>
    <t>EN_WON_43_c03_VEN</t>
  </si>
  <si>
    <t>Wind Onshore - CF Class-43 Cost Class-c03 - Venezuela</t>
  </si>
  <si>
    <t>EN_WON_51_c01_VEN</t>
  </si>
  <si>
    <t>Wind Onshore - CF Class-51 Cost Class-c01 - Venezuela</t>
  </si>
  <si>
    <t>EN_WON_54_c01_VEN</t>
  </si>
  <si>
    <t>Wind Onshore - CF Class-54 Cost Class-c01 - Venezuela</t>
  </si>
  <si>
    <t>EN_WON_56_c01_VEN</t>
  </si>
  <si>
    <t>Wind Onshore - CF Class-56 Cost Class-c01 - Venezuela</t>
  </si>
  <si>
    <t>EN_WON_57_c01_VEN</t>
  </si>
  <si>
    <t>Wind Onshore - CF Class-57 Cost Class-c01 - Venezuela</t>
  </si>
  <si>
    <t>EN_WON_58_c01_VEN</t>
  </si>
  <si>
    <t>Wind Onshore - CF Class-58 Cost Class-c01 - Venezuela</t>
  </si>
  <si>
    <t>EN_WON_15_c04_VNM</t>
  </si>
  <si>
    <t>Wind Onshore - CF Class-15 Cost Class-c04 - Vietnam</t>
  </si>
  <si>
    <t>EN_WON_16_c02_VNM</t>
  </si>
  <si>
    <t>Wind Onshore - CF Class-16 Cost Class-c02 - Vietnam</t>
  </si>
  <si>
    <t>EN_WON_16_c03_VNM</t>
  </si>
  <si>
    <t>Wind Onshore - CF Class-16 Cost Class-c03 - Vietnam</t>
  </si>
  <si>
    <t>EN_WON_16_c04_VNM</t>
  </si>
  <si>
    <t>Wind Onshore - CF Class-16 Cost Class-c04 - Vietnam</t>
  </si>
  <si>
    <t>EN_WON_17_c02_VNM</t>
  </si>
  <si>
    <t>Wind Onshore - CF Class-17 Cost Class-c02 - Vietnam</t>
  </si>
  <si>
    <t>EN_WON_17_c03_VNM</t>
  </si>
  <si>
    <t>Wind Onshore - CF Class-17 Cost Class-c03 - Vietnam</t>
  </si>
  <si>
    <t>EN_WON_17_c04_VNM</t>
  </si>
  <si>
    <t>Wind Onshore - CF Class-17 Cost Class-c04 - Vietnam</t>
  </si>
  <si>
    <t>EN_WON_18_c04_VNM</t>
  </si>
  <si>
    <t>Wind Onshore - CF Class-18 Cost Class-c04 - Vietnam</t>
  </si>
  <si>
    <t>EN_WON_19_c02_VNM</t>
  </si>
  <si>
    <t>Wind Onshore - CF Class-19 Cost Class-c02 - Vietnam</t>
  </si>
  <si>
    <t>EN_WON_19_c04_VNM</t>
  </si>
  <si>
    <t>Wind Onshore - CF Class-19 Cost Class-c04 - Vietnam</t>
  </si>
  <si>
    <t>EN_WON_20_c02_VNM</t>
  </si>
  <si>
    <t>Wind Onshore - CF Class-20 Cost Class-c02 - Vietnam</t>
  </si>
  <si>
    <t>EN_WON_20_c04_VNM</t>
  </si>
  <si>
    <t>Wind Onshore - CF Class-20 Cost Class-c04 - Vietnam</t>
  </si>
  <si>
    <t>EN_WON_21_c04_VNM</t>
  </si>
  <si>
    <t>Wind Onshore - CF Class-21 Cost Class-c04 - Vietnam</t>
  </si>
  <si>
    <t>EN_WON_22_c02_VNM</t>
  </si>
  <si>
    <t>Wind Onshore - CF Class-22 Cost Class-c02 - Vietnam</t>
  </si>
  <si>
    <t>EN_WON_22_c04_VNM</t>
  </si>
  <si>
    <t>Wind Onshore - CF Class-22 Cost Class-c04 - Vietnam</t>
  </si>
  <si>
    <t>EN_WON_23_c02_VNM</t>
  </si>
  <si>
    <t>Wind Onshore - CF Class-23 Cost Class-c02 - Vietnam</t>
  </si>
  <si>
    <t>EN_WON_23_c03_VNM</t>
  </si>
  <si>
    <t>Wind Onshore - CF Class-23 Cost Class-c03 - Vietnam</t>
  </si>
  <si>
    <t>EN_WON_23_c04_VNM</t>
  </si>
  <si>
    <t>Wind Onshore - CF Class-23 Cost Class-c04 - Vietnam</t>
  </si>
  <si>
    <t>EN_WON_24_c04_VNM</t>
  </si>
  <si>
    <t>Wind Onshore - CF Class-24 Cost Class-c04 - Vietnam</t>
  </si>
  <si>
    <t>EN_WON_25_c04_VNM</t>
  </si>
  <si>
    <t>Wind Onshore - CF Class-25 Cost Class-c04 - Vietnam</t>
  </si>
  <si>
    <t>EN_WON_26_c04_VNM</t>
  </si>
  <si>
    <t>Wind Onshore - CF Class-26 Cost Class-c04 - Vietnam</t>
  </si>
  <si>
    <t>EN_WON_27_c04_VNM</t>
  </si>
  <si>
    <t>Wind Onshore - CF Class-27 Cost Class-c04 - Vietnam</t>
  </si>
  <si>
    <t>EN_WON_28_c02_VNM</t>
  </si>
  <si>
    <t>Wind Onshore - CF Class-28 Cost Class-c02 - Vietnam</t>
  </si>
  <si>
    <t>EN_WON_28_c04_VNM</t>
  </si>
  <si>
    <t>Wind Onshore - CF Class-28 Cost Class-c04 - Vietnam</t>
  </si>
  <si>
    <t>EN_WON_30_c02_VNM</t>
  </si>
  <si>
    <t>Wind Onshore - CF Class-30 Cost Class-c02 - Vietnam</t>
  </si>
  <si>
    <t>EN_WON_30_c04_VNM</t>
  </si>
  <si>
    <t>Wind Onshore - CF Class-30 Cost Class-c04 - Vietnam</t>
  </si>
  <si>
    <t>EN_WON_38_c03_VNM</t>
  </si>
  <si>
    <t>Wind Onshore - CF Class-38 Cost Class-c03 - Vietnam</t>
  </si>
  <si>
    <t>EN_WON_40_c01_VNM</t>
  </si>
  <si>
    <t>Wind Onshore - CF Class-40 Cost Class-c01 - Vietnam</t>
  </si>
  <si>
    <t>EN_WON_50_c02_VNM</t>
  </si>
  <si>
    <t>Wind Onshore - CF Class-50 Cost Class-c02 - Vietnam</t>
  </si>
  <si>
    <t>EN_WON_17_c04_VUT</t>
  </si>
  <si>
    <t>Wind Onshore - CF Class-17 Cost Class-c04 - Vanuatu</t>
  </si>
  <si>
    <t>EN_WON_25_c04_VUT</t>
  </si>
  <si>
    <t>Wind Onshore - CF Class-25 Cost Class-c04 - Vanuatu</t>
  </si>
  <si>
    <t>EN_WON_40_c02_YEM</t>
  </si>
  <si>
    <t>Wind Onshore - CF Class-40 Cost Class-c02 - Yemen</t>
  </si>
  <si>
    <t>EN_WON_43_c01_YEM</t>
  </si>
  <si>
    <t>Wind Onshore - CF Class-43 Cost Class-c01 - Yemen</t>
  </si>
  <si>
    <t>EN_WON_44_c01_YEM</t>
  </si>
  <si>
    <t>Wind Onshore - CF Class-44 Cost Class-c01 - Yemen</t>
  </si>
  <si>
    <t>EN_WON_44_c02_YEM</t>
  </si>
  <si>
    <t>Wind Onshore - CF Class-44 Cost Class-c02 - Yemen</t>
  </si>
  <si>
    <t>EN_WON_44_c04_YEM</t>
  </si>
  <si>
    <t>Wind Onshore - CF Class-44 Cost Class-c04 - Yemen</t>
  </si>
  <si>
    <t>EN_WON_46_c01_YEM</t>
  </si>
  <si>
    <t>Wind Onshore - CF Class-46 Cost Class-c01 - Yemen</t>
  </si>
  <si>
    <t>EN_WON_47_c04_YEM</t>
  </si>
  <si>
    <t>Wind Onshore - CF Class-47 Cost Class-c04 - Yemen</t>
  </si>
  <si>
    <t>EN_WON_48_c01_YEM</t>
  </si>
  <si>
    <t>Wind Onshore - CF Class-48 Cost Class-c01 - Yemen</t>
  </si>
  <si>
    <t>EN_WON_51_c01_YEM</t>
  </si>
  <si>
    <t>Wind Onshore - CF Class-51 Cost Class-c01 - Yemen</t>
  </si>
  <si>
    <t>EN_WON_54_c01_YEM</t>
  </si>
  <si>
    <t>Wind Onshore - CF Class-54 Cost Class-c01 - Yemen</t>
  </si>
  <si>
    <t>EN_WON_56_c01_YEM</t>
  </si>
  <si>
    <t>Wind Onshore - CF Class-56 Cost Class-c01 - Yemen</t>
  </si>
  <si>
    <t>EN_WON_24_c01_ZAF</t>
  </si>
  <si>
    <t>Wind Onshore - CF Class-24 Cost Class-c01 - South Africa</t>
  </si>
  <si>
    <t>EN_WON_24_c03_ZAF</t>
  </si>
  <si>
    <t>Wind Onshore - CF Class-24 Cost Class-c03 - South Africa</t>
  </si>
  <si>
    <t>EN_WON_25_c02_ZAF</t>
  </si>
  <si>
    <t>Wind Onshore - CF Class-25 Cost Class-c02 - South Africa</t>
  </si>
  <si>
    <t>EN_WON_25_c03_ZAF</t>
  </si>
  <si>
    <t>Wind Onshore - CF Class-25 Cost Class-c03 - South Africa</t>
  </si>
  <si>
    <t>EN_WON_26_c01_ZAF</t>
  </si>
  <si>
    <t>Wind Onshore - CF Class-26 Cost Class-c01 - South Africa</t>
  </si>
  <si>
    <t>EN_WON_26_c02_ZAF</t>
  </si>
  <si>
    <t>Wind Onshore - CF Class-26 Cost Class-c02 - South Africa</t>
  </si>
  <si>
    <t>EN_WON_26_c03_ZAF</t>
  </si>
  <si>
    <t>Wind Onshore - CF Class-26 Cost Class-c03 - South Africa</t>
  </si>
  <si>
    <t>EN_WON_26_c04_ZAF</t>
  </si>
  <si>
    <t>Wind Onshore - CF Class-26 Cost Class-c04 - South Africa</t>
  </si>
  <si>
    <t>EN_WON_27_c01_ZAF</t>
  </si>
  <si>
    <t>Wind Onshore - CF Class-27 Cost Class-c01 - South Africa</t>
  </si>
  <si>
    <t>EN_WON_27_c02_ZAF</t>
  </si>
  <si>
    <t>Wind Onshore - CF Class-27 Cost Class-c02 - South Africa</t>
  </si>
  <si>
    <t>EN_WON_27_c03_ZAF</t>
  </si>
  <si>
    <t>Wind Onshore - CF Class-27 Cost Class-c03 - South Africa</t>
  </si>
  <si>
    <t>EN_WON_28_c01_ZAF</t>
  </si>
  <si>
    <t>Wind Onshore - CF Class-28 Cost Class-c01 - South Africa</t>
  </si>
  <si>
    <t>EN_WON_28_c02_ZAF</t>
  </si>
  <si>
    <t>Wind Onshore - CF Class-28 Cost Class-c02 - South Africa</t>
  </si>
  <si>
    <t>EN_WON_28_c03_ZAF</t>
  </si>
  <si>
    <t>Wind Onshore - CF Class-28 Cost Class-c03 - South Africa</t>
  </si>
  <si>
    <t>EN_WON_28_c04_ZAF</t>
  </si>
  <si>
    <t>Wind Onshore - CF Class-28 Cost Class-c04 - South Africa</t>
  </si>
  <si>
    <t>EN_WON_29_c02_ZAF</t>
  </si>
  <si>
    <t>Wind Onshore - CF Class-29 Cost Class-c02 - South Africa</t>
  </si>
  <si>
    <t>EN_WON_29_c03_ZAF</t>
  </si>
  <si>
    <t>Wind Onshore - CF Class-29 Cost Class-c03 - South Africa</t>
  </si>
  <si>
    <t>EN_WON_29_c04_ZAF</t>
  </si>
  <si>
    <t>Wind Onshore - CF Class-29 Cost Class-c04 - South Africa</t>
  </si>
  <si>
    <t>EN_WON_30_c01_ZAF</t>
  </si>
  <si>
    <t>Wind Onshore - CF Class-30 Cost Class-c01 - South Africa</t>
  </si>
  <si>
    <t>EN_WON_30_c02_ZAF</t>
  </si>
  <si>
    <t>Wind Onshore - CF Class-30 Cost Class-c02 - South Africa</t>
  </si>
  <si>
    <t>EN_WON_30_c03_ZAF</t>
  </si>
  <si>
    <t>Wind Onshore - CF Class-30 Cost Class-c03 - South Africa</t>
  </si>
  <si>
    <t>EN_WON_30_c04_ZAF</t>
  </si>
  <si>
    <t>Wind Onshore - CF Class-30 Cost Class-c04 - South Africa</t>
  </si>
  <si>
    <t>EN_WON_31_c01_ZAF</t>
  </si>
  <si>
    <t>Wind Onshore - CF Class-31 Cost Class-c01 - South Africa</t>
  </si>
  <si>
    <t>EN_WON_31_c02_ZAF</t>
  </si>
  <si>
    <t>Wind Onshore - CF Class-31 Cost Class-c02 - South Africa</t>
  </si>
  <si>
    <t>EN_WON_31_c03_ZAF</t>
  </si>
  <si>
    <t>Wind Onshore - CF Class-31 Cost Class-c03 - South Africa</t>
  </si>
  <si>
    <t>EN_WON_32_c01_ZAF</t>
  </si>
  <si>
    <t>Wind Onshore - CF Class-32 Cost Class-c01 - South Africa</t>
  </si>
  <si>
    <t>EN_WON_32_c02_ZAF</t>
  </si>
  <si>
    <t>Wind Onshore - CF Class-32 Cost Class-c02 - South Africa</t>
  </si>
  <si>
    <t>EN_WON_32_c03_ZAF</t>
  </si>
  <si>
    <t>Wind Onshore - CF Class-32 Cost Class-c03 - South Africa</t>
  </si>
  <si>
    <t>EN_WON_33_c01_ZAF</t>
  </si>
  <si>
    <t>Wind Onshore - CF Class-33 Cost Class-c01 - South Africa</t>
  </si>
  <si>
    <t>EN_WON_33_c03_ZAF</t>
  </si>
  <si>
    <t>Wind Onshore - CF Class-33 Cost Class-c03 - South Africa</t>
  </si>
  <si>
    <t>EN_WON_34_c01_ZAF</t>
  </si>
  <si>
    <t>Wind Onshore - CF Class-34 Cost Class-c01 - South Africa</t>
  </si>
  <si>
    <t>EN_WON_34_c02_ZAF</t>
  </si>
  <si>
    <t>Wind Onshore - CF Class-34 Cost Class-c02 - South Africa</t>
  </si>
  <si>
    <t>EN_WON_35_c01_ZAF</t>
  </si>
  <si>
    <t>Wind Onshore - CF Class-35 Cost Class-c01 - South Africa</t>
  </si>
  <si>
    <t>EN_WON_35_c02_ZAF</t>
  </si>
  <si>
    <t>Wind Onshore - CF Class-35 Cost Class-c02 - South Africa</t>
  </si>
  <si>
    <t>EN_WON_36_c02_ZAF</t>
  </si>
  <si>
    <t>Wind Onshore - CF Class-36 Cost Class-c02 - South Africa</t>
  </si>
  <si>
    <t>EN_WON_43_c02_ZAF</t>
  </si>
  <si>
    <t>Wind Onshore - CF Class-43 Cost Class-c02 - South Africa</t>
  </si>
  <si>
    <t>EN_WON_46_c01_ZAF</t>
  </si>
  <si>
    <t>Wind Onshore - CF Class-46 Cost Class-c01 - South Africa</t>
  </si>
  <si>
    <t>EN_WON_49_c01_ZAF</t>
  </si>
  <si>
    <t>Wind Onshore - CF Class-49 Cost Class-c01 - South Africa</t>
  </si>
  <si>
    <t>EN_WON_15_c03_ZMB</t>
  </si>
  <si>
    <t>Wind Onshore - CF Class-15 Cost Class-c03 - Zambia</t>
  </si>
  <si>
    <t>ELC_Win-ZMB</t>
  </si>
  <si>
    <t>EN_WON_16_c02_ZMB</t>
  </si>
  <si>
    <t>Wind Onshore - CF Class-16 Cost Class-c02 - Zambia</t>
  </si>
  <si>
    <t>EN_WON_16_c03_ZMB</t>
  </si>
  <si>
    <t>Wind Onshore - CF Class-16 Cost Class-c03 - Zambia</t>
  </si>
  <si>
    <t>EN_WON_16_c04_ZMB</t>
  </si>
  <si>
    <t>Wind Onshore - CF Class-16 Cost Class-c04 - Zambia</t>
  </si>
  <si>
    <t>EN_WON_17_c02_ZMB</t>
  </si>
  <si>
    <t>Wind Onshore - CF Class-17 Cost Class-c02 - Zambia</t>
  </si>
  <si>
    <t>EN_WON_17_c03_ZMB</t>
  </si>
  <si>
    <t>Wind Onshore - CF Class-17 Cost Class-c03 - Zambia</t>
  </si>
  <si>
    <t>EN_WON_17_c04_ZMB</t>
  </si>
  <si>
    <t>Wind Onshore - CF Class-17 Cost Class-c04 - Zambia</t>
  </si>
  <si>
    <t>EN_WON_18_c02_ZMB</t>
  </si>
  <si>
    <t>Wind Onshore - CF Class-18 Cost Class-c02 - Zambia</t>
  </si>
  <si>
    <t>EN_WON_18_c03_ZMB</t>
  </si>
  <si>
    <t>Wind Onshore - CF Class-18 Cost Class-c03 - Zambia</t>
  </si>
  <si>
    <t>EN_WON_18_c04_ZMB</t>
  </si>
  <si>
    <t>Wind Onshore - CF Class-18 Cost Class-c04 - Zambia</t>
  </si>
  <si>
    <t>EN_WON_19_c03_ZMB</t>
  </si>
  <si>
    <t>Wind Onshore - CF Class-19 Cost Class-c03 - Zambia</t>
  </si>
  <si>
    <t>EN_WON_19_c04_ZMB</t>
  </si>
  <si>
    <t>Wind Onshore - CF Class-19 Cost Class-c04 - Zambia</t>
  </si>
  <si>
    <t>EN_WON_20_c02_ZMB</t>
  </si>
  <si>
    <t>Wind Onshore - CF Class-20 Cost Class-c02 - Zambia</t>
  </si>
  <si>
    <t>EN_WON_20_c03_ZMB</t>
  </si>
  <si>
    <t>Wind Onshore - CF Class-20 Cost Class-c03 - Zambia</t>
  </si>
  <si>
    <t>EN_WON_20_c04_ZMB</t>
  </si>
  <si>
    <t>Wind Onshore - CF Class-20 Cost Class-c04 - Zambia</t>
  </si>
  <si>
    <t>EN_WON_21_c02_ZMB</t>
  </si>
  <si>
    <t>Wind Onshore - CF Class-21 Cost Class-c02 - Zambia</t>
  </si>
  <si>
    <t>EN_WON_21_c03_ZMB</t>
  </si>
  <si>
    <t>Wind Onshore - CF Class-21 Cost Class-c03 - Zambia</t>
  </si>
  <si>
    <t>EN_WON_21_c04_ZMB</t>
  </si>
  <si>
    <t>Wind Onshore - CF Class-21 Cost Class-c04 - Zambia</t>
  </si>
  <si>
    <t>EN_WON_22_c02_ZMB</t>
  </si>
  <si>
    <t>Wind Onshore - CF Class-22 Cost Class-c02 - Zambia</t>
  </si>
  <si>
    <t>EN_WON_22_c03_ZMB</t>
  </si>
  <si>
    <t>Wind Onshore - CF Class-22 Cost Class-c03 - Zambia</t>
  </si>
  <si>
    <t>EN_WON_22_c04_ZMB</t>
  </si>
  <si>
    <t>Wind Onshore - CF Class-22 Cost Class-c04 - Zambia</t>
  </si>
  <si>
    <t>EN_WON_23_c02_ZMB</t>
  </si>
  <si>
    <t>Wind Onshore - CF Class-23 Cost Class-c02 - Zambia</t>
  </si>
  <si>
    <t>EN_WON_23_c03_ZMB</t>
  </si>
  <si>
    <t>Wind Onshore - CF Class-23 Cost Class-c03 - Zambia</t>
  </si>
  <si>
    <t>EN_WON_24_c03_ZMB</t>
  </si>
  <si>
    <t>Wind Onshore - CF Class-24 Cost Class-c03 - Zambia</t>
  </si>
  <si>
    <t>EN_WON_24_c04_ZMB</t>
  </si>
  <si>
    <t>Wind Onshore - CF Class-24 Cost Class-c04 - Zambia</t>
  </si>
  <si>
    <t>EN_WON_25_c02_ZMB</t>
  </si>
  <si>
    <t>Wind Onshore - CF Class-25 Cost Class-c02 - Zambia</t>
  </si>
  <si>
    <t>EN_WON_25_c04_ZMB</t>
  </si>
  <si>
    <t>Wind Onshore - CF Class-25 Cost Class-c04 - Zambia</t>
  </si>
  <si>
    <t>EN_WON_27_c03_ZMB</t>
  </si>
  <si>
    <t>Wind Onshore - CF Class-27 Cost Class-c03 - Zambia</t>
  </si>
  <si>
    <t>EN_WON_27_c04_ZMB</t>
  </si>
  <si>
    <t>Wind Onshore - CF Class-27 Cost Class-c04 - Zambia</t>
  </si>
  <si>
    <t>EN_WON_28_c02_ZMB</t>
  </si>
  <si>
    <t>Wind Onshore - CF Class-28 Cost Class-c02 - Zambia</t>
  </si>
  <si>
    <t>EN_WON_28_c03_ZMB</t>
  </si>
  <si>
    <t>Wind Onshore - CF Class-28 Cost Class-c03 - Zambia</t>
  </si>
  <si>
    <t>EN_WON_29_c02_ZMB</t>
  </si>
  <si>
    <t>Wind Onshore - CF Class-29 Cost Class-c02 - Zambia</t>
  </si>
  <si>
    <t>EN_WON_21_c04_ZWE</t>
  </si>
  <si>
    <t>Wind Onshore - CF Class-21 Cost Class-c04 - Zimbabwe</t>
  </si>
  <si>
    <t>ELC_Win-ZWE</t>
  </si>
  <si>
    <t>EN_WON_22_c03_ZWE</t>
  </si>
  <si>
    <t>Wind Onshore - CF Class-22 Cost Class-c03 - Zimbabwe</t>
  </si>
  <si>
    <t>EN_WON_22_c04_ZWE</t>
  </si>
  <si>
    <t>Wind Onshore - CF Class-22 Cost Class-c04 - Zimbabwe</t>
  </si>
  <si>
    <t>EN_WON_23_c02_ZWE</t>
  </si>
  <si>
    <t>Wind Onshore - CF Class-23 Cost Class-c02 - Zimbabwe</t>
  </si>
  <si>
    <t>EN_WON_23_c04_ZWE</t>
  </si>
  <si>
    <t>Wind Onshore - CF Class-23 Cost Class-c04 - Zimbabwe</t>
  </si>
  <si>
    <t>EN_WON_24_c02_ZWE</t>
  </si>
  <si>
    <t>Wind Onshore - CF Class-24 Cost Class-c02 - Zimbabwe</t>
  </si>
  <si>
    <t>EN_WON_24_c04_ZWE</t>
  </si>
  <si>
    <t>Wind Onshore - CF Class-24 Cost Class-c04 - Zimbabwe</t>
  </si>
  <si>
    <t>EN_WON_25_c01_ZWE</t>
  </si>
  <si>
    <t>Wind Onshore - CF Class-25 Cost Class-c01 - Zimbabwe</t>
  </si>
  <si>
    <t>EN_WON_26_c03_ZWE</t>
  </si>
  <si>
    <t>Wind Onshore - CF Class-26 Cost Class-c03 - Zimbabwe</t>
  </si>
  <si>
    <t>This is independent of model regional aggregation</t>
  </si>
  <si>
    <t>source: TF - step 10 - LNG terminals SubRES - model independent.sql</t>
  </si>
  <si>
    <t>LIFE</t>
  </si>
  <si>
    <t>NCAP_BND~0</t>
  </si>
  <si>
    <t>PASTI</t>
  </si>
  <si>
    <t>Year</t>
  </si>
  <si>
    <t>pcg</t>
  </si>
  <si>
    <t>LNG_exp_FLNG_AUS</t>
  </si>
  <si>
    <t>GASNGA</t>
  </si>
  <si>
    <t>GASLNG</t>
  </si>
  <si>
    <t>PRE</t>
  </si>
  <si>
    <t>LNG export terminals - FLNG - Australia</t>
  </si>
  <si>
    <t>mtpa</t>
  </si>
  <si>
    <t>LNG_exp_FLNG_CMR</t>
  </si>
  <si>
    <t>LNG export terminals - FLNG - Cameroon</t>
  </si>
  <si>
    <t>LNG_exp_FLNG_COD</t>
  </si>
  <si>
    <t>LNG export terminals - FLNG - Democratic Republic of the Congo</t>
  </si>
  <si>
    <t>LNG_exp_FLNG_GAB</t>
  </si>
  <si>
    <t>LNG export terminals - FLNG - Gabon</t>
  </si>
  <si>
    <t>LNG_exp_FLNG_MOZ</t>
  </si>
  <si>
    <t>LNG export terminals - FLNG - Mozambique</t>
  </si>
  <si>
    <t>LNG_exp_FLNG_MYS</t>
  </si>
  <si>
    <t>LNG export terminals - FLNG - Malaysia</t>
  </si>
  <si>
    <t>LNG_exp_FLNG_SEN</t>
  </si>
  <si>
    <t>LNG export terminals - FLNG - Mauritania/Senegal</t>
  </si>
  <si>
    <t>LNG_exp_Onshore_AGO</t>
  </si>
  <si>
    <t>LNG export terminals - Onshore - Angola</t>
  </si>
  <si>
    <t>LNG_exp_Onshore_ARE</t>
  </si>
  <si>
    <t>LNG export terminals - Onshore - UAE</t>
  </si>
  <si>
    <t>LNG_exp_Onshore_AUS</t>
  </si>
  <si>
    <t>LNG export terminals - Onshore - Australia</t>
  </si>
  <si>
    <t>LNG_exp_Onshore_BRN</t>
  </si>
  <si>
    <t>LNG export terminals - Onshore - Brunei</t>
  </si>
  <si>
    <t>LNG_exp_Onshore_CAN</t>
  </si>
  <si>
    <t>LNG export terminals - Onshore - Canada</t>
  </si>
  <si>
    <t>LNG_exp_Onshore_DZA</t>
  </si>
  <si>
    <t>LNG export terminals - Onshore - Algeria</t>
  </si>
  <si>
    <t>LNG_exp_Onshore_EGY</t>
  </si>
  <si>
    <t>LNG export terminals - Onshore - Egypt</t>
  </si>
  <si>
    <t>LNG_exp_Onshore_GNQ</t>
  </si>
  <si>
    <t>LNG export terminals - Onshore - Equatorial Guinea</t>
  </si>
  <si>
    <t>LNG_exp_Onshore_IDN</t>
  </si>
  <si>
    <t>LNG export terminals - Onshore - Indonesia</t>
  </si>
  <si>
    <t>LNG_exp_Onshore_MEX</t>
  </si>
  <si>
    <t>LNG export terminals - Onshore - Mexico</t>
  </si>
  <si>
    <t>LNG_exp_Onshore_MYS</t>
  </si>
  <si>
    <t>LNG export terminals - Onshore - Malaysia</t>
  </si>
  <si>
    <t>LNG_exp_Onshore_NGA</t>
  </si>
  <si>
    <t>LNG export terminals - Onshore - Nigeria</t>
  </si>
  <si>
    <t>LNG_exp_Onshore_NOR</t>
  </si>
  <si>
    <t>LNG export terminals - Onshore - Norway</t>
  </si>
  <si>
    <t>LNG_exp_Onshore_OMN</t>
  </si>
  <si>
    <t>LNG export terminals - Onshore - Oman</t>
  </si>
  <si>
    <t>LNG_exp_Onshore_PER</t>
  </si>
  <si>
    <t>LNG export terminals - Onshore - Peru</t>
  </si>
  <si>
    <t>LNG_exp_Onshore_PNG</t>
  </si>
  <si>
    <t>LNG export terminals - Onshore - Papua New Guinea</t>
  </si>
  <si>
    <t>LNG_exp_Onshore_QAT</t>
  </si>
  <si>
    <t>LNG export terminals - Onshore - Qatar</t>
  </si>
  <si>
    <t>LNG_exp_Onshore_RUS</t>
  </si>
  <si>
    <t>LNG export terminals - Onshore - Russia</t>
  </si>
  <si>
    <t>LNG_exp_Onshore_TTO</t>
  </si>
  <si>
    <t>LNG export terminals - Onshore - Trinidad and Tobago</t>
  </si>
  <si>
    <t>LNG_exp_Onshore_USA</t>
  </si>
  <si>
    <t>LNG export terminals - Onshore - USA</t>
  </si>
  <si>
    <t>LNG_imp_FSRU _BRA</t>
  </si>
  <si>
    <t>LNG import terminals - FSRU  - Brazil</t>
  </si>
  <si>
    <t>LNG_imp_FSRU_ARE</t>
  </si>
  <si>
    <t>LNG import terminals - FSRU - UAE</t>
  </si>
  <si>
    <t>LNG_imp_FSRU_ARG</t>
  </si>
  <si>
    <t>LNG import terminals - FSRU - Argentina</t>
  </si>
  <si>
    <t>LNG_imp_FSRU_AUS</t>
  </si>
  <si>
    <t>LNG import terminals - FSRU - Australia</t>
  </si>
  <si>
    <t>LNG_imp_FSRU_BGD</t>
  </si>
  <si>
    <t>LNG import terminals - FSRU - Bangladesh</t>
  </si>
  <si>
    <t>LNG_imp_FSRU_BRA</t>
  </si>
  <si>
    <t>LNG import terminals - FSRU - Brazil</t>
  </si>
  <si>
    <t>LNG_imp_FSRU_CHN</t>
  </si>
  <si>
    <t>LNG import terminals - FSRU - China</t>
  </si>
  <si>
    <t>LNG_imp_FSRU_COL</t>
  </si>
  <si>
    <t>LNG import terminals - FSRU - Colombia</t>
  </si>
  <si>
    <t>LNG_imp_FSRU_CYP</t>
  </si>
  <si>
    <t>LNG import terminals - FSRU - Cyprus</t>
  </si>
  <si>
    <t>LNG_imp_FSRU_DEU</t>
  </si>
  <si>
    <t>LNG import terminals - FSRU - Germany</t>
  </si>
  <si>
    <t>LNG_imp_FSRU_EGY</t>
  </si>
  <si>
    <t>LNG import terminals - FSRU - Egypt</t>
  </si>
  <si>
    <t>LNG_imp_FSRU_GRC</t>
  </si>
  <si>
    <t>LNG import terminals - FSRU - Greece</t>
  </si>
  <si>
    <t>LNG_imp_FSRU_HRV</t>
  </si>
  <si>
    <t>LNG import terminals - FSRU - Croatia</t>
  </si>
  <si>
    <t>LNG_imp_FSRU_IDN</t>
  </si>
  <si>
    <t>LNG import terminals - FSRU - Indonesia</t>
  </si>
  <si>
    <t>LNG_imp_FSRU_IND</t>
  </si>
  <si>
    <t>LNG import terminals - FSRU - India</t>
  </si>
  <si>
    <t>LNG_imp_FSRU_ISR</t>
  </si>
  <si>
    <t>LNG import terminals - FSRU - Israel</t>
  </si>
  <si>
    <t>LNG_imp_FSRU_ITA</t>
  </si>
  <si>
    <t>LNG import terminals - FSRU - Italy</t>
  </si>
  <si>
    <t>LNG_imp_FSRU_JAM</t>
  </si>
  <si>
    <t>LNG import terminals - FSRU - Jamaica</t>
  </si>
  <si>
    <t>LNG_imp_FSRU_JOR</t>
  </si>
  <si>
    <t>LNG import terminals - FSRU - Jordan</t>
  </si>
  <si>
    <t>LNG_imp_FSRU_LTU</t>
  </si>
  <si>
    <t>LNG import terminals - FSRU - Lithuania</t>
  </si>
  <si>
    <t>LNG_imp_FSRU_NLD</t>
  </si>
  <si>
    <t>LNG import terminals - FSRU - Netherlands</t>
  </si>
  <si>
    <t>LNG_imp_FSRU_PAK</t>
  </si>
  <si>
    <t>LNG import terminals - FSRU - Pakistan</t>
  </si>
  <si>
    <t>LNG_imp_FSRU_PHL</t>
  </si>
  <si>
    <t>LNG import terminals - FSRU - Philippines</t>
  </si>
  <si>
    <t>LNG_imp_FSRU_SEN</t>
  </si>
  <si>
    <t>LNG import terminals - FSRU - Senegal</t>
  </si>
  <si>
    <t>LNG_imp_FSRU_SLV</t>
  </si>
  <si>
    <t>LNG import terminals - FSRU - El Salvador</t>
  </si>
  <si>
    <t>LNG_imp_FSRU_TUR</t>
  </si>
  <si>
    <t>LNG import terminals - FSRU - Turkey</t>
  </si>
  <si>
    <t>LNG_imp_FSRU_USA</t>
  </si>
  <si>
    <t>LNG import terminals - FSRU - United States</t>
  </si>
  <si>
    <t>LNG_imp_FSU, FRU_GHA</t>
  </si>
  <si>
    <t>LNG import terminals - FSU, FRU - Ghana</t>
  </si>
  <si>
    <t>LNG_imp_FSU_BHR</t>
  </si>
  <si>
    <t>LNG import terminals - FSU - Bahrain</t>
  </si>
  <si>
    <t>LNG_imp_FSU_MLT</t>
  </si>
  <si>
    <t>LNG import terminals - FSU - Malta</t>
  </si>
  <si>
    <t>LNG_imp_Offshore FSRU_ITA</t>
  </si>
  <si>
    <t>LNG import terminals - Offshore FSRU - Italy</t>
  </si>
  <si>
    <t>LNG_imp_Offshore FSU_MYS</t>
  </si>
  <si>
    <t>LNG import terminals - Offshore FSU - Malaysia</t>
  </si>
  <si>
    <t>LNG_imp_Onshore_BEL</t>
  </si>
  <si>
    <t>LNG import terminals - Onshore - Belgium</t>
  </si>
  <si>
    <t>LNG_imp_Onshore_CAN</t>
  </si>
  <si>
    <t>LNG import terminals - Onshore - Canada</t>
  </si>
  <si>
    <t>LNG_imp_Onshore_CHL</t>
  </si>
  <si>
    <t>LNG import terminals - Onshore - Chile</t>
  </si>
  <si>
    <t>LNG_imp_Onshore_CHN</t>
  </si>
  <si>
    <t>LNG import terminals - Onshore - China</t>
  </si>
  <si>
    <t>LNG_imp_Onshore_DOM</t>
  </si>
  <si>
    <t>LNG import terminals - Onshore - Dominican Republic</t>
  </si>
  <si>
    <t>LNG_imp_Onshore_ESP</t>
  </si>
  <si>
    <t>LNG import terminals - Onshore - Spain</t>
  </si>
  <si>
    <t>LNG_imp_Onshore_EST</t>
  </si>
  <si>
    <t>LNG import terminals - Onshore - Estonia</t>
  </si>
  <si>
    <t>LNG_imp_Onshore_FIN</t>
  </si>
  <si>
    <t>LNG import terminals - Onshore - Finland</t>
  </si>
  <si>
    <t>LNG_imp_Onshore_FRA</t>
  </si>
  <si>
    <t>LNG import terminals - Onshore - France</t>
  </si>
  <si>
    <t>LNG_imp_Onshore_GBR</t>
  </si>
  <si>
    <t>LNG import terminals - Onshore - United Kingdom</t>
  </si>
  <si>
    <t>LNG_imp_Onshore_GIB</t>
  </si>
  <si>
    <t>LNG import terminals - Onshore - Gibraltar</t>
  </si>
  <si>
    <t>LNG_imp_Onshore_GRC</t>
  </si>
  <si>
    <t>LNG import terminals - Onshore - Greece</t>
  </si>
  <si>
    <t>LNG_imp_Onshore_IDN</t>
  </si>
  <si>
    <t>LNG import terminals - Onshore - Indonesia</t>
  </si>
  <si>
    <t>LNG_imp_Onshore_IND</t>
  </si>
  <si>
    <t>LNG import terminals - Onshore - India</t>
  </si>
  <si>
    <t>LNG_imp_Onshore_ITA</t>
  </si>
  <si>
    <t>LNG import terminals - Onshore - Italy</t>
  </si>
  <si>
    <t>LNG_imp_Onshore_JAM</t>
  </si>
  <si>
    <t>LNG import terminals - Onshore - Jamaica</t>
  </si>
  <si>
    <t>LNG_imp_Onshore_JPN</t>
  </si>
  <si>
    <t>LNG import terminals - Onshore - Japan</t>
  </si>
  <si>
    <t>LNG_imp_Onshore_KOR</t>
  </si>
  <si>
    <t>LNG import terminals - Onshore - South Korea</t>
  </si>
  <si>
    <t>LNG_imp_Onshore_KWT</t>
  </si>
  <si>
    <t>LNG import terminals - Onshore - Kuwait</t>
  </si>
  <si>
    <t>LNG_imp_Onshore_MEX</t>
  </si>
  <si>
    <t>LNG import terminals - Onshore - Mexico</t>
  </si>
  <si>
    <t>LNG_imp_Onshore_MYS</t>
  </si>
  <si>
    <t>LNG import terminals - Onshore - Malaysia</t>
  </si>
  <si>
    <t>LNG_imp_Onshore_NLD</t>
  </si>
  <si>
    <t>LNG import terminals - Onshore - Netherlands</t>
  </si>
  <si>
    <t>LNG_imp_Onshore_NOR</t>
  </si>
  <si>
    <t xml:space="preserve">LNG import terminals - Onshore - Norway </t>
  </si>
  <si>
    <t>LNG_imp_Onshore_PAN</t>
  </si>
  <si>
    <t>LNG import terminals - Onshore - Panama</t>
  </si>
  <si>
    <t>LNG_imp_Onshore_PHL</t>
  </si>
  <si>
    <t>LNG import terminals - Onshore - Philippines</t>
  </si>
  <si>
    <t>LNG_imp_Onshore_POL</t>
  </si>
  <si>
    <t>LNG import terminals - Onshore - Poland</t>
  </si>
  <si>
    <t>LNG_imp_Onshore_PRI</t>
  </si>
  <si>
    <t>LNG import terminals - Onshore - Puerto Rico</t>
  </si>
  <si>
    <t>LNG_imp_Onshore_PRT</t>
  </si>
  <si>
    <t>LNG import terminals - Onshore - Portugal</t>
  </si>
  <si>
    <t>LNG_imp_Onshore_SGP</t>
  </si>
  <si>
    <t>LNG import terminals - Onshore - Singapore</t>
  </si>
  <si>
    <t>LNG_imp_Onshore_SWE</t>
  </si>
  <si>
    <t>LNG import terminals - Onshore - Sweden</t>
  </si>
  <si>
    <t>LNG_imp_Onshore_THA</t>
  </si>
  <si>
    <t>LNG import terminals - Onshore - Thailand</t>
  </si>
  <si>
    <t>LNG_imp_Onshore_TUR</t>
  </si>
  <si>
    <t>LNG import terminals - Onshore - Turkey</t>
  </si>
  <si>
    <t>LNG_imp_Onshore_TWN</t>
  </si>
  <si>
    <t>LNG import terminals - Onshore - Taiwan</t>
  </si>
  <si>
    <t>LNG_imp_Onshore_USA</t>
  </si>
  <si>
    <t>LNG import terminals - Onshore - United States</t>
  </si>
  <si>
    <t>LNG_imp_Onshore_VNM</t>
  </si>
  <si>
    <t>LNG import terminals - Onshore - Vietnam</t>
  </si>
  <si>
    <t>NatGrExt</t>
  </si>
  <si>
    <t>Countries in NREL data</t>
  </si>
  <si>
    <t>RegionCode</t>
  </si>
  <si>
    <t>RegionName</t>
  </si>
  <si>
    <t>TACT</t>
  </si>
  <si>
    <t>TCAP</t>
  </si>
  <si>
    <t>PrimaryCG</t>
  </si>
  <si>
    <t>Afghanistan</t>
  </si>
  <si>
    <t>DumGrid</t>
  </si>
  <si>
    <t>Angola</t>
  </si>
  <si>
    <t>Albania</t>
  </si>
  <si>
    <t>United Arab Emirates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</si>
  <si>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</si>
  <si>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</si>
  <si>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</si>
  <si>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</si>
  <si>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</si>
  <si>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</si>
  <si>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</si>
  <si>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</si>
  <si>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</si>
  <si>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</si>
  <si>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</si>
  <si>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</si>
  <si>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</si>
  <si>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The Bahamas</t>
  </si>
  <si>
    <t>Bosnia and Herzegovina</t>
  </si>
  <si>
    <t>Belarus</t>
  </si>
  <si>
    <t>Belize</t>
  </si>
  <si>
    <t>Bolivia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</si>
  <si>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</si>
  <si>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</si>
  <si>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</si>
  <si>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</si>
  <si>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</si>
  <si>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</si>
  <si>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</si>
  <si>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Ivory Coast</t>
  </si>
  <si>
    <t>Cameroon</t>
  </si>
  <si>
    <t>Democratic Republic of Congo</t>
  </si>
  <si>
    <t>Republic of Congo</t>
  </si>
  <si>
    <t>Colombia</t>
  </si>
  <si>
    <t>Costa Rica</t>
  </si>
  <si>
    <t>Cuba</t>
  </si>
  <si>
    <t>Cyprus</t>
  </si>
  <si>
    <t>Czech Republic</t>
  </si>
  <si>
    <t>Germany</t>
  </si>
  <si>
    <t>Djibouti</t>
  </si>
  <si>
    <t>Denmark</t>
  </si>
  <si>
    <t>Dominican Republic</t>
  </si>
  <si>
    <t>Algeria</t>
  </si>
  <si>
    <t>Ecuador</t>
  </si>
  <si>
    <t>Egypt</t>
  </si>
  <si>
    <t>Eritrea</t>
  </si>
  <si>
    <t>ESH</t>
  </si>
  <si>
    <t>Western Sahara</t>
  </si>
  <si>
    <t>Spain</t>
  </si>
  <si>
    <t>Estonia</t>
  </si>
  <si>
    <t>Ethiopia</t>
  </si>
  <si>
    <t>Finland</t>
  </si>
  <si>
    <t>France</t>
  </si>
  <si>
    <t>Gabon</t>
  </si>
  <si>
    <t>United Kingdom</t>
  </si>
  <si>
    <t>Georgia</t>
  </si>
  <si>
    <t>Ghana</t>
  </si>
  <si>
    <t>Guinea</t>
  </si>
  <si>
    <t>The Gambia</t>
  </si>
  <si>
    <t>Guinea-Bissau</t>
  </si>
  <si>
    <t>Equatorial Guinea</t>
  </si>
  <si>
    <t>Greece</t>
  </si>
  <si>
    <t>Guatemala</t>
  </si>
  <si>
    <t>GUF</t>
  </si>
  <si>
    <t>French Guiana</t>
  </si>
  <si>
    <t>Guyana</t>
  </si>
  <si>
    <t>Honduras</t>
  </si>
  <si>
    <t>Croatia</t>
  </si>
  <si>
    <t>Haiti</t>
  </si>
  <si>
    <t>Hungary</t>
  </si>
  <si>
    <t>Indonesia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</si>
  <si>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</si>
  <si>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</si>
  <si>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</si>
  <si>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</si>
  <si>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</si>
  <si>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</si>
  <si>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</si>
  <si>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</si>
  <si>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Kazakhstan</t>
  </si>
  <si>
    <t>Kenya</t>
  </si>
  <si>
    <t>Kyrgyz Republic</t>
  </si>
  <si>
    <t>Cambodia</t>
  </si>
  <si>
    <t>South Korea</t>
  </si>
  <si>
    <t>Kuwait</t>
  </si>
  <si>
    <t>Laos</t>
  </si>
  <si>
    <t>Lebanon</t>
  </si>
  <si>
    <t>Liberia</t>
  </si>
  <si>
    <t>Libya</t>
  </si>
  <si>
    <t>Sri Lanka</t>
  </si>
  <si>
    <t>Lesotho</t>
  </si>
  <si>
    <t>Lithuania</t>
  </si>
  <si>
    <t>Luxembourg</t>
  </si>
  <si>
    <t>Latvia</t>
  </si>
  <si>
    <t>Morocco</t>
  </si>
  <si>
    <t>Moldova</t>
  </si>
  <si>
    <t>Madagascar</t>
  </si>
  <si>
    <t>Mexico</t>
  </si>
  <si>
    <t>Macedonia</t>
  </si>
  <si>
    <t>Mali</t>
  </si>
  <si>
    <t>Myanmar</t>
  </si>
  <si>
    <t>Montenegro</t>
  </si>
  <si>
    <t>Mongolia</t>
  </si>
  <si>
    <t>Mozambique</t>
  </si>
  <si>
    <t>Mauritania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</si>
  <si>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</si>
  <si>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</si>
  <si>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</si>
  <si>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</si>
  <si>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</si>
  <si>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</si>
  <si>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</si>
  <si>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</si>
  <si>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</si>
  <si>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Oman</t>
  </si>
  <si>
    <t>Pakistan</t>
  </si>
  <si>
    <t>Panama</t>
  </si>
  <si>
    <t>Peru</t>
  </si>
  <si>
    <t>Philippines</t>
  </si>
  <si>
    <t>Papua New Guinea</t>
  </si>
  <si>
    <t>Poland</t>
  </si>
  <si>
    <t>Dem. People^s Rep. Korea</t>
  </si>
  <si>
    <t>Portugal</t>
  </si>
  <si>
    <t>Paraguay</t>
  </si>
  <si>
    <t>Palestine</t>
  </si>
  <si>
    <t>Qatar</t>
  </si>
  <si>
    <t>Romania</t>
  </si>
  <si>
    <t>Rwanda</t>
  </si>
  <si>
    <t>Saudi Arabia</t>
  </si>
  <si>
    <t>Senegal</t>
  </si>
  <si>
    <t>Sierra Leone</t>
  </si>
  <si>
    <t>El Salvador</t>
  </si>
  <si>
    <t>Somalia</t>
  </si>
  <si>
    <t>Serbia</t>
  </si>
  <si>
    <t>South Sudan</t>
  </si>
  <si>
    <t>Suriname</t>
  </si>
  <si>
    <t>Slovak Republic</t>
  </si>
  <si>
    <t>Slovenia</t>
  </si>
  <si>
    <t>Sweden</t>
  </si>
  <si>
    <t>Swaziland</t>
  </si>
  <si>
    <t>Syrian Arab Republic</t>
  </si>
  <si>
    <t>Chad</t>
  </si>
  <si>
    <t>Togo</t>
  </si>
  <si>
    <t>Thailand</t>
  </si>
  <si>
    <t>Tajikistan</t>
  </si>
  <si>
    <t>Turkmenistan</t>
  </si>
  <si>
    <t>TLS</t>
  </si>
  <si>
    <t>Timor-Leste</t>
  </si>
  <si>
    <t>Tonga</t>
  </si>
  <si>
    <t>Trinidad and Tobago</t>
  </si>
  <si>
    <t>Tunisia</t>
  </si>
  <si>
    <t>Turkey</t>
  </si>
  <si>
    <t>TWN</t>
  </si>
  <si>
    <t>Taiwan</t>
  </si>
  <si>
    <t>Tanzania</t>
  </si>
  <si>
    <t>Uganda</t>
  </si>
  <si>
    <t>Ukraine</t>
  </si>
  <si>
    <t>Uruguay</t>
  </si>
  <si>
    <t>United States</t>
  </si>
  <si>
    <t>Uzbekistan</t>
  </si>
  <si>
    <t>Venezuela</t>
  </si>
  <si>
    <t>Vietnam</t>
  </si>
  <si>
    <t>Vanuatu</t>
  </si>
  <si>
    <t>Yemen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</si>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</sst>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  <numFmt numFmtId="178" formatCode="\Te\x\t"/>
  </numFmts>
  <fonts count="24"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b/>
      <i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9"/>
      <name val="Times New Roman"/>
      <charset val="0"/>
    </font>
    <font>
      <sz val="9"/>
      <name val="Times New Roman"/>
      <charset val="0"/>
    </font>
  </fonts>
  <fills count="36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3" fillId="2" borderId="0" applyNumberFormat="0" applyBorder="0" applyAlignment="0" applyProtection="0"/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178" fontId="0" fillId="0" borderId="0" xfId="0" applyNumberFormat="1"/>
    <xf numFmtId="0" fontId="3" fillId="2" borderId="0" xfId="22"/>
    <xf numFmtId="0" fontId="4" fillId="0" borderId="1" xfId="13"/>
    <xf numFmtId="0" fontId="5" fillId="0" borderId="2" xfId="14"/>
    <xf numFmtId="2" fontId="0" fillId="0" borderId="0" xfId="0" applyNumberForma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0" xfId="0" applyFont="1" applyFill="1"/>
    <xf numFmtId="0" fontId="5" fillId="6" borderId="2" xfId="14" applyFill="1"/>
    <xf numFmtId="0" fontId="0" fillId="0" borderId="0" xfId="0" applyFill="1"/>
    <xf numFmtId="0" fontId="0" fillId="5" borderId="0" xfId="0" applyFont="1" applyFill="1" applyAlignment="1"/>
    <xf numFmtId="0" fontId="0" fillId="6" borderId="0" xfId="0" applyFont="1" applyFill="1" applyAlignment="1"/>
    <xf numFmtId="0" fontId="0" fillId="0" borderId="0" xfId="0" applyFont="1" applyFill="1" applyAlignment="1"/>
    <xf numFmtId="0" fontId="0" fillId="3" borderId="0" xfId="0" applyFont="1" applyFill="1"/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B1:AV803"/>
  <sheetViews>
    <sheetView zoomScale="78" zoomScaleNormal="78" topLeftCell="J1" workbookViewId="0">
      <selection activeCell="R4" sqref="R4"/>
    </sheetView>
  </sheetViews>
  <sheetFormatPr defaultColWidth="9.13636363636364" defaultRowHeight="14.5"/>
  <cols>
    <col min="1" max="1" width="9.13636363636364" style="19"/>
    <col min="2" max="2" width="11.2636363636364" style="19" customWidth="1"/>
    <col min="3" max="3" width="27.4" style="19" customWidth="1"/>
    <col min="4" max="4" width="56" style="19" customWidth="1"/>
    <col min="5" max="5" width="5.4" style="19" customWidth="1"/>
    <col min="6" max="6" width="5" style="19" customWidth="1"/>
    <col min="7" max="7" width="8.4" style="19" customWidth="1"/>
    <col min="8" max="8" width="10.2636363636364" style="19" customWidth="1"/>
    <col min="9" max="9" width="9.13636363636364" style="19"/>
    <col min="10" max="10" width="21.4545454545455" style="19" customWidth="1"/>
    <col min="11" max="11" width="9.4" style="19" customWidth="1"/>
    <col min="12" max="12" width="13" style="19" customWidth="1"/>
    <col min="13" max="14" width="19.4545454545455" style="19" customWidth="1"/>
    <col min="15" max="15" width="16" style="19" customWidth="1"/>
    <col min="16" max="16" width="9.13636363636364" style="19"/>
    <col min="17" max="17" width="12.8181818181818" style="19"/>
    <col min="18" max="18" width="9.13636363636364" style="19"/>
    <col min="20" max="20" width="73.8181818181818" style="10" customWidth="1"/>
    <col min="21" max="26" width="73.8181818181818" style="14" customWidth="1"/>
    <col min="28" max="29" width="21.4545454545455" style="19" customWidth="1"/>
    <col min="30" max="30" width="15.0909090909091" style="19" customWidth="1"/>
    <col min="31" max="31" width="14" customWidth="1"/>
    <col min="32" max="33" width="12.8181818181818" style="19"/>
    <col min="34" max="35" width="9.13636363636364" style="19"/>
    <col min="36" max="36" width="10.1363636363636" style="19" customWidth="1"/>
    <col min="37" max="37" width="11.0636363636364" style="19" customWidth="1"/>
    <col min="38" max="38" width="8.06363636363636" style="19" customWidth="1"/>
    <col min="39" max="39" width="4.26363636363636" style="19" customWidth="1"/>
    <col min="40" max="40" width="4.6" style="19" customWidth="1"/>
    <col min="41" max="41" width="7.6" style="19" customWidth="1"/>
    <col min="42" max="43" width="9.13636363636364" style="19"/>
    <col min="44" max="44" width="11.0636363636364" style="19" customWidth="1"/>
    <col min="45" max="45" width="9.13636363636364" style="19"/>
    <col min="46" max="46" width="10" style="19" customWidth="1"/>
    <col min="47" max="47" width="3.4" style="19" customWidth="1"/>
    <col min="48" max="48" width="7.72727272727273" style="19" customWidth="1"/>
    <col min="49" max="16384" width="9.13636363636364" style="19"/>
  </cols>
  <sheetData>
    <row r="1" spans="2:48">
      <c r="B1" s="19" t="s">
        <v>0</v>
      </c>
      <c r="J1" s="19" t="s">
        <v>1</v>
      </c>
      <c r="O1"/>
      <c r="P1"/>
      <c r="Q1"/>
      <c r="R1"/>
      <c r="AC1" s="19" t="s">
        <v>1</v>
      </c>
      <c r="AD1"/>
      <c r="AF1"/>
      <c r="AG1"/>
    </row>
    <row r="3" ht="15.25" spans="2:48">
      <c r="B3" s="6" t="s">
        <v>2</v>
      </c>
      <c r="C3"/>
      <c r="D3"/>
      <c r="E3"/>
      <c r="F3"/>
      <c r="G3"/>
      <c r="H3"/>
      <c r="I3"/>
      <c r="J3"/>
      <c r="K3"/>
      <c r="L3" s="6" t="s">
        <v>3</v>
      </c>
      <c r="M3"/>
      <c r="N3"/>
      <c r="O3"/>
      <c r="P3"/>
      <c r="V3" s="11"/>
      <c r="W3" s="13" t="s">
        <v>4</v>
      </c>
      <c r="X3" s="11"/>
      <c r="AB3"/>
      <c r="AC3"/>
      <c r="AD3" s="6"/>
      <c r="AJ3" s="6" t="s">
        <v>2</v>
      </c>
      <c r="AK3"/>
      <c r="AL3"/>
      <c r="AM3"/>
      <c r="AN3"/>
      <c r="AO3"/>
      <c r="AP3"/>
      <c r="AQ3"/>
      <c r="AR3"/>
      <c r="AS3"/>
      <c r="AT3" s="6" t="s">
        <v>3</v>
      </c>
      <c r="AU3"/>
    </row>
    <row r="4" spans="2:48">
      <c r="B4" s="19" t="s">
        <v>5</v>
      </c>
      <c r="C4" s="19" t="s">
        <v>6</v>
      </c>
      <c r="D4" s="19" t="s">
        <v>7</v>
      </c>
      <c r="E4" s="19" t="s">
        <v>8</v>
      </c>
      <c r="F4" s="19" t="s">
        <v>9</v>
      </c>
      <c r="G4" s="19" t="s">
        <v>10</v>
      </c>
      <c r="J4" s="19" t="s">
        <v>11</v>
      </c>
      <c r="K4" s="19" t="s">
        <v>12</v>
      </c>
      <c r="L4" s="19" t="s">
        <v>13</v>
      </c>
      <c r="M4" s="19" t="s">
        <v>14</v>
      </c>
      <c r="N4" s="19" t="s">
        <v>15</v>
      </c>
      <c r="O4" s="19" t="s">
        <v>16</v>
      </c>
      <c r="P4" s="19" t="s">
        <v>17</v>
      </c>
      <c r="Q4" s="19" t="s">
        <v>18</v>
      </c>
      <c r="R4" t="s">
        <v>19</v>
      </c>
      <c r="T4" s="10" t="s">
        <v>20</v>
      </c>
      <c r="V4" s="11" t="s">
        <v>11</v>
      </c>
      <c r="W4" s="11" t="s">
        <v>21</v>
      </c>
      <c r="X4" s="11" t="s">
        <v>22</v>
      </c>
      <c r="Y4" s="14" t="s">
        <v>23</v>
      </c>
      <c r="AC4" s="19" t="s">
        <v>11</v>
      </c>
      <c r="AJ4" s="19" t="s">
        <v>5</v>
      </c>
      <c r="AK4" s="19" t="s">
        <v>6</v>
      </c>
      <c r="AL4" s="19" t="s">
        <v>7</v>
      </c>
      <c r="AM4" s="19" t="s">
        <v>8</v>
      </c>
      <c r="AN4" s="19" t="s">
        <v>9</v>
      </c>
      <c r="AO4" s="19" t="s">
        <v>10</v>
      </c>
      <c r="AP4"/>
      <c r="AQ4"/>
      <c r="AR4" s="19" t="s">
        <v>11</v>
      </c>
      <c r="AS4" s="19" t="s">
        <v>12</v>
      </c>
      <c r="AT4" s="19" t="s">
        <v>13</v>
      </c>
      <c r="AU4" t="s">
        <v>24</v>
      </c>
      <c r="AV4" t="s">
        <v>25</v>
      </c>
    </row>
    <row r="5" spans="2:48">
      <c r="B5" s="19" t="s">
        <v>26</v>
      </c>
      <c r="C5" s="19" t="s">
        <v>27</v>
      </c>
      <c r="D5" s="19" t="s">
        <v>28</v>
      </c>
      <c r="E5" s="19" t="s">
        <v>29</v>
      </c>
      <c r="F5" s="19" t="s">
        <v>30</v>
      </c>
      <c r="G5" s="19" t="s">
        <v>31</v>
      </c>
      <c r="J5" s="19" t="s">
        <v>27</v>
      </c>
      <c r="K5" s="19" t="s">
        <v>32</v>
      </c>
      <c r="L5" s="19" t="s">
        <v>33</v>
      </c>
      <c r="M5" s="19">
        <v>0</v>
      </c>
      <c r="N5" s="19">
        <v>1443</v>
      </c>
      <c r="O5" s="19">
        <v>0.207915381897305</v>
      </c>
      <c r="P5" s="19" t="s">
        <v>34</v>
      </c>
      <c r="Q5" s="19">
        <v>40.32825</v>
      </c>
      <c r="R5">
        <f>N5*0.01</f>
        <v>14.43</v>
      </c>
      <c r="T5" s="15" t="s">
        <v>35</v>
      </c>
      <c r="U5" s="17"/>
      <c r="V5" s="16" t="str">
        <f>J5</f>
        <v>EN_SPV_21_c01_AFG</v>
      </c>
      <c r="W5" s="12">
        <f>N5</f>
        <v>1443</v>
      </c>
      <c r="X5" s="11">
        <f>W5</f>
        <v>1443</v>
      </c>
      <c r="Y5" s="17">
        <v>3</v>
      </c>
      <c r="Z5" s="17"/>
      <c r="AC5" s="19" t="s">
        <v>27</v>
      </c>
      <c r="AJ5" s="19" t="s">
        <v>26</v>
      </c>
      <c r="AK5" s="19" t="s">
        <v>36</v>
      </c>
      <c r="AL5"/>
      <c r="AM5" s="19" t="s">
        <v>29</v>
      </c>
      <c r="AN5" t="s">
        <v>30</v>
      </c>
      <c r="AO5" t="s">
        <v>37</v>
      </c>
      <c r="AP5"/>
      <c r="AQ5"/>
      <c r="AR5" s="19" t="str">
        <f>AK5</f>
        <v>ElcAgg_Solar</v>
      </c>
      <c r="AS5"/>
      <c r="AT5" s="19" t="s">
        <v>38</v>
      </c>
      <c r="AU5" s="19">
        <v>1</v>
      </c>
      <c r="AV5" s="19">
        <v>31.536</v>
      </c>
    </row>
    <row r="6" spans="2:48">
      <c r="B6" s="19" t="s">
        <v>26</v>
      </c>
      <c r="C6" s="19" t="s">
        <v>39</v>
      </c>
      <c r="D6" s="19" t="s">
        <v>40</v>
      </c>
      <c r="E6" s="19" t="s">
        <v>29</v>
      </c>
      <c r="F6" s="19" t="s">
        <v>30</v>
      </c>
      <c r="G6" s="19" t="s">
        <v>31</v>
      </c>
      <c r="J6" s="19" t="s">
        <v>39</v>
      </c>
      <c r="K6" s="19" t="s">
        <v>32</v>
      </c>
      <c r="L6" s="19" t="s">
        <v>33</v>
      </c>
      <c r="M6" s="19">
        <v>88.9549921786477</v>
      </c>
      <c r="N6" s="19">
        <v>1443</v>
      </c>
      <c r="O6" s="19">
        <v>0.210284697282695</v>
      </c>
      <c r="P6" s="19" t="s">
        <v>34</v>
      </c>
      <c r="Q6" s="19">
        <v>23.59875</v>
      </c>
      <c r="R6">
        <f t="shared" ref="R6:R69" si="0">N6*0.01</f>
        <v>14.43</v>
      </c>
      <c r="T6" s="15" t="s">
        <v>35</v>
      </c>
      <c r="U6" s="17"/>
      <c r="V6" s="16" t="str">
        <f t="shared" ref="V6:V69" si="1">J6</f>
        <v>EN_SPV_21_c02_AFG</v>
      </c>
      <c r="W6" s="12">
        <f t="shared" ref="W6:W69" si="2">N6</f>
        <v>1443</v>
      </c>
      <c r="X6" s="11">
        <f t="shared" ref="X6:X69" si="3">W6</f>
        <v>1443</v>
      </c>
      <c r="Y6" s="17">
        <v>3</v>
      </c>
      <c r="Z6" s="17"/>
      <c r="AC6" s="19" t="s">
        <v>39</v>
      </c>
      <c r="AJ6" s="19" t="s">
        <v>26</v>
      </c>
      <c r="AK6" s="19" t="s">
        <v>41</v>
      </c>
      <c r="AL6"/>
      <c r="AM6" s="19" t="s">
        <v>29</v>
      </c>
      <c r="AN6" t="s">
        <v>30</v>
      </c>
      <c r="AO6" t="s">
        <v>37</v>
      </c>
      <c r="AR6" s="19" t="str">
        <f>AK6</f>
        <v>ElcAgg_Wind</v>
      </c>
      <c r="AS6"/>
      <c r="AT6" s="19" t="s">
        <v>38</v>
      </c>
      <c r="AU6" s="19">
        <v>1</v>
      </c>
      <c r="AV6" s="19">
        <v>31.536</v>
      </c>
    </row>
    <row r="7" spans="2:48">
      <c r="B7" s="19" t="s">
        <v>26</v>
      </c>
      <c r="C7" s="19" t="s">
        <v>42</v>
      </c>
      <c r="D7" s="19" t="s">
        <v>43</v>
      </c>
      <c r="E7" s="19" t="s">
        <v>29</v>
      </c>
      <c r="F7" s="19" t="s">
        <v>30</v>
      </c>
      <c r="G7" s="19" t="s">
        <v>31</v>
      </c>
      <c r="J7" s="19" t="s">
        <v>42</v>
      </c>
      <c r="K7" s="19" t="s">
        <v>32</v>
      </c>
      <c r="L7" s="19" t="s">
        <v>33</v>
      </c>
      <c r="M7" s="19">
        <v>101.208996203257</v>
      </c>
      <c r="N7" s="19">
        <v>1443</v>
      </c>
      <c r="O7" s="19">
        <v>0.209405853883383</v>
      </c>
      <c r="P7" s="19" t="s">
        <v>34</v>
      </c>
      <c r="Q7" s="19">
        <v>3.25425</v>
      </c>
      <c r="R7">
        <f t="shared" si="0"/>
        <v>14.43</v>
      </c>
      <c r="T7" s="15" t="s">
        <v>35</v>
      </c>
      <c r="U7" s="17"/>
      <c r="V7" s="16" t="str">
        <f t="shared" si="1"/>
        <v>EN_SPV_21_c03_AFG</v>
      </c>
      <c r="W7" s="12">
        <f t="shared" si="2"/>
        <v>1443</v>
      </c>
      <c r="X7" s="11">
        <f t="shared" si="3"/>
        <v>1443</v>
      </c>
      <c r="Y7" s="17">
        <v>3</v>
      </c>
      <c r="Z7" s="17"/>
      <c r="AC7" s="19" t="s">
        <v>42</v>
      </c>
    </row>
    <row r="8" spans="2:48">
      <c r="B8" s="19" t="s">
        <v>26</v>
      </c>
      <c r="C8" s="19" t="s">
        <v>44</v>
      </c>
      <c r="D8" s="19" t="s">
        <v>45</v>
      </c>
      <c r="E8" s="19" t="s">
        <v>29</v>
      </c>
      <c r="F8" s="19" t="s">
        <v>30</v>
      </c>
      <c r="G8" s="19" t="s">
        <v>31</v>
      </c>
      <c r="J8" s="19" t="s">
        <v>44</v>
      </c>
      <c r="K8" s="19" t="s">
        <v>32</v>
      </c>
      <c r="L8" s="19" t="s">
        <v>33</v>
      </c>
      <c r="M8" s="19">
        <v>0</v>
      </c>
      <c r="N8" s="19">
        <v>1443</v>
      </c>
      <c r="O8" s="19">
        <v>0.21514328358209</v>
      </c>
      <c r="P8" s="19" t="s">
        <v>34</v>
      </c>
      <c r="Q8" s="19">
        <v>10.30125</v>
      </c>
      <c r="R8">
        <f t="shared" si="0"/>
        <v>14.43</v>
      </c>
      <c r="T8" s="15" t="s">
        <v>35</v>
      </c>
      <c r="U8" s="17"/>
      <c r="V8" s="16" t="str">
        <f t="shared" si="1"/>
        <v>EN_SPV_22_c01_AFG</v>
      </c>
      <c r="W8" s="12">
        <f t="shared" si="2"/>
        <v>1443</v>
      </c>
      <c r="X8" s="11">
        <f t="shared" si="3"/>
        <v>1443</v>
      </c>
      <c r="Y8" s="17">
        <v>3</v>
      </c>
      <c r="Z8" s="17"/>
      <c r="AC8" s="19" t="s">
        <v>44</v>
      </c>
    </row>
    <row r="9" spans="2:48">
      <c r="B9" s="19" t="s">
        <v>26</v>
      </c>
      <c r="C9" s="19" t="s">
        <v>46</v>
      </c>
      <c r="D9" s="19" t="s">
        <v>47</v>
      </c>
      <c r="E9" s="19" t="s">
        <v>29</v>
      </c>
      <c r="F9" s="19" t="s">
        <v>30</v>
      </c>
      <c r="G9" s="19" t="s">
        <v>31</v>
      </c>
      <c r="J9" s="19" t="s">
        <v>46</v>
      </c>
      <c r="K9" s="19" t="s">
        <v>32</v>
      </c>
      <c r="L9" s="19" t="s">
        <v>33</v>
      </c>
      <c r="M9" s="19">
        <v>88.9549921786477</v>
      </c>
      <c r="N9" s="19">
        <v>1443</v>
      </c>
      <c r="O9" s="19">
        <v>0.215828946268906</v>
      </c>
      <c r="P9" s="19" t="s">
        <v>34</v>
      </c>
      <c r="Q9" s="19">
        <v>8.97525</v>
      </c>
      <c r="R9">
        <f t="shared" si="0"/>
        <v>14.43</v>
      </c>
      <c r="T9" s="15" t="s">
        <v>35</v>
      </c>
      <c r="U9" s="17"/>
      <c r="V9" s="16" t="str">
        <f t="shared" si="1"/>
        <v>EN_SPV_22_c02_AFG</v>
      </c>
      <c r="W9" s="12">
        <f t="shared" si="2"/>
        <v>1443</v>
      </c>
      <c r="X9" s="11">
        <f t="shared" si="3"/>
        <v>1443</v>
      </c>
      <c r="Y9" s="17">
        <v>3</v>
      </c>
      <c r="Z9" s="17"/>
      <c r="AC9" s="19" t="s">
        <v>46</v>
      </c>
    </row>
    <row r="10" spans="2:48">
      <c r="B10" s="19" t="s">
        <v>26</v>
      </c>
      <c r="C10" s="19" t="s">
        <v>48</v>
      </c>
      <c r="D10" s="19" t="s">
        <v>49</v>
      </c>
      <c r="E10" s="19" t="s">
        <v>29</v>
      </c>
      <c r="F10" s="19" t="s">
        <v>30</v>
      </c>
      <c r="G10" s="19" t="s">
        <v>31</v>
      </c>
      <c r="J10" s="19" t="s">
        <v>48</v>
      </c>
      <c r="K10" s="19" t="s">
        <v>32</v>
      </c>
      <c r="L10" s="19" t="s">
        <v>33</v>
      </c>
      <c r="M10" s="19">
        <v>101.208996203257</v>
      </c>
      <c r="N10" s="19">
        <v>1443</v>
      </c>
      <c r="O10" s="19">
        <v>0.215</v>
      </c>
      <c r="P10" s="19" t="s">
        <v>34</v>
      </c>
      <c r="Q10" s="19">
        <v>0.99075</v>
      </c>
      <c r="R10">
        <f t="shared" si="0"/>
        <v>14.43</v>
      </c>
      <c r="T10" s="15" t="s">
        <v>35</v>
      </c>
      <c r="U10" s="17"/>
      <c r="V10" s="16" t="str">
        <f t="shared" si="1"/>
        <v>EN_SPV_22_c03_AFG</v>
      </c>
      <c r="W10" s="12">
        <f t="shared" si="2"/>
        <v>1443</v>
      </c>
      <c r="X10" s="11">
        <f t="shared" si="3"/>
        <v>1443</v>
      </c>
      <c r="Y10" s="17">
        <v>3</v>
      </c>
      <c r="Z10" s="17"/>
      <c r="AC10" s="19" t="s">
        <v>48</v>
      </c>
    </row>
    <row r="11" spans="2:48">
      <c r="B11" s="19" t="s">
        <v>26</v>
      </c>
      <c r="C11" s="19" t="s">
        <v>50</v>
      </c>
      <c r="D11" s="19" t="s">
        <v>51</v>
      </c>
      <c r="E11" s="19" t="s">
        <v>29</v>
      </c>
      <c r="F11" s="19" t="s">
        <v>30</v>
      </c>
      <c r="G11" s="19" t="s">
        <v>31</v>
      </c>
      <c r="J11" s="19" t="s">
        <v>50</v>
      </c>
      <c r="K11" s="19" t="s">
        <v>32</v>
      </c>
      <c r="L11" s="19" t="s">
        <v>52</v>
      </c>
      <c r="M11" s="19">
        <v>0</v>
      </c>
      <c r="N11" s="19">
        <v>1321</v>
      </c>
      <c r="O11" s="19">
        <v>0.19931320793752</v>
      </c>
      <c r="P11" s="19" t="s">
        <v>53</v>
      </c>
      <c r="Q11" s="19">
        <v>217.51125</v>
      </c>
      <c r="R11">
        <f t="shared" si="0"/>
        <v>13.21</v>
      </c>
      <c r="T11" s="15" t="s">
        <v>54</v>
      </c>
      <c r="U11" s="17"/>
      <c r="V11" s="16" t="str">
        <f t="shared" si="1"/>
        <v>EN_SPV_20_c01_AGO</v>
      </c>
      <c r="W11" s="12">
        <f t="shared" si="2"/>
        <v>1321</v>
      </c>
      <c r="X11" s="11">
        <f t="shared" si="3"/>
        <v>1321</v>
      </c>
      <c r="Y11" s="17">
        <v>3</v>
      </c>
      <c r="Z11" s="17"/>
      <c r="AC11" s="19" t="s">
        <v>50</v>
      </c>
    </row>
    <row r="12" spans="2:48">
      <c r="B12" s="19" t="s">
        <v>26</v>
      </c>
      <c r="C12" s="19" t="s">
        <v>55</v>
      </c>
      <c r="D12" s="19" t="s">
        <v>56</v>
      </c>
      <c r="E12" s="19" t="s">
        <v>29</v>
      </c>
      <c r="F12" s="19" t="s">
        <v>30</v>
      </c>
      <c r="G12" s="19" t="s">
        <v>31</v>
      </c>
      <c r="J12" s="19" t="s">
        <v>55</v>
      </c>
      <c r="K12" s="19" t="s">
        <v>32</v>
      </c>
      <c r="L12" s="19" t="s">
        <v>52</v>
      </c>
      <c r="M12" s="19">
        <v>88.9549921786477</v>
      </c>
      <c r="N12" s="19">
        <v>1321</v>
      </c>
      <c r="O12" s="19">
        <v>0.199851103070217</v>
      </c>
      <c r="P12" s="19" t="s">
        <v>53</v>
      </c>
      <c r="Q12" s="19">
        <v>235.0485</v>
      </c>
      <c r="R12">
        <f t="shared" si="0"/>
        <v>13.21</v>
      </c>
      <c r="T12" s="15" t="s">
        <v>54</v>
      </c>
      <c r="U12" s="17"/>
      <c r="V12" s="16" t="str">
        <f t="shared" si="1"/>
        <v>EN_SPV_20_c02_AGO</v>
      </c>
      <c r="W12" s="12">
        <f t="shared" si="2"/>
        <v>1321</v>
      </c>
      <c r="X12" s="11">
        <f t="shared" si="3"/>
        <v>1321</v>
      </c>
      <c r="Y12" s="17">
        <v>3</v>
      </c>
      <c r="Z12" s="17"/>
      <c r="AC12" s="19" t="s">
        <v>55</v>
      </c>
    </row>
    <row r="13" spans="2:48">
      <c r="B13" s="19" t="s">
        <v>26</v>
      </c>
      <c r="C13" s="19" t="s">
        <v>57</v>
      </c>
      <c r="D13" s="19" t="s">
        <v>58</v>
      </c>
      <c r="E13" s="19" t="s">
        <v>29</v>
      </c>
      <c r="F13" s="19" t="s">
        <v>30</v>
      </c>
      <c r="G13" s="19" t="s">
        <v>31</v>
      </c>
      <c r="J13" s="19" t="s">
        <v>57</v>
      </c>
      <c r="K13" s="19" t="s">
        <v>32</v>
      </c>
      <c r="L13" s="19" t="s">
        <v>52</v>
      </c>
      <c r="M13" s="19">
        <v>0</v>
      </c>
      <c r="N13" s="19">
        <v>1321</v>
      </c>
      <c r="O13" s="19">
        <v>0.207102913092912</v>
      </c>
      <c r="P13" s="19" t="s">
        <v>53</v>
      </c>
      <c r="Q13" s="19">
        <v>67.94325</v>
      </c>
      <c r="R13">
        <f t="shared" si="0"/>
        <v>13.21</v>
      </c>
      <c r="T13" s="15" t="s">
        <v>54</v>
      </c>
      <c r="U13" s="17"/>
      <c r="V13" s="16" t="str">
        <f t="shared" si="1"/>
        <v>EN_SPV_21_c01_AGO</v>
      </c>
      <c r="W13" s="12">
        <f t="shared" si="2"/>
        <v>1321</v>
      </c>
      <c r="X13" s="11">
        <f t="shared" si="3"/>
        <v>1321</v>
      </c>
      <c r="Y13" s="17">
        <v>3</v>
      </c>
      <c r="Z13" s="17"/>
      <c r="AC13" s="19" t="s">
        <v>57</v>
      </c>
    </row>
    <row r="14" spans="2:48">
      <c r="B14" s="19" t="s">
        <v>26</v>
      </c>
      <c r="C14" s="19" t="s">
        <v>59</v>
      </c>
      <c r="D14" s="19" t="s">
        <v>60</v>
      </c>
      <c r="E14" s="19" t="s">
        <v>29</v>
      </c>
      <c r="F14" s="19" t="s">
        <v>30</v>
      </c>
      <c r="G14" s="19" t="s">
        <v>31</v>
      </c>
      <c r="J14" s="19" t="s">
        <v>59</v>
      </c>
      <c r="K14" s="19" t="s">
        <v>32</v>
      </c>
      <c r="L14" s="19" t="s">
        <v>52</v>
      </c>
      <c r="M14" s="19">
        <v>88.9549921786477</v>
      </c>
      <c r="N14" s="19">
        <v>1321</v>
      </c>
      <c r="O14" s="19">
        <v>0.2059634474798</v>
      </c>
      <c r="P14" s="19" t="s">
        <v>53</v>
      </c>
      <c r="Q14" s="19">
        <v>19.4925</v>
      </c>
      <c r="R14">
        <f t="shared" si="0"/>
        <v>13.21</v>
      </c>
      <c r="T14" s="15" t="s">
        <v>54</v>
      </c>
      <c r="U14" s="17"/>
      <c r="V14" s="16" t="str">
        <f t="shared" si="1"/>
        <v>EN_SPV_21_c02_AGO</v>
      </c>
      <c r="W14" s="12">
        <f t="shared" si="2"/>
        <v>1321</v>
      </c>
      <c r="X14" s="11">
        <f t="shared" si="3"/>
        <v>1321</v>
      </c>
      <c r="Y14" s="17">
        <v>3</v>
      </c>
      <c r="Z14" s="17"/>
      <c r="AC14" s="19" t="s">
        <v>59</v>
      </c>
    </row>
    <row r="15" spans="2:48">
      <c r="B15" s="19" t="s">
        <v>26</v>
      </c>
      <c r="C15" s="19" t="s">
        <v>61</v>
      </c>
      <c r="D15" s="19" t="s">
        <v>62</v>
      </c>
      <c r="E15" s="19" t="s">
        <v>29</v>
      </c>
      <c r="F15" s="19" t="s">
        <v>30</v>
      </c>
      <c r="G15" s="19" t="s">
        <v>31</v>
      </c>
      <c r="J15" s="19" t="s">
        <v>61</v>
      </c>
      <c r="K15" s="19" t="s">
        <v>32</v>
      </c>
      <c r="L15" s="19" t="s">
        <v>52</v>
      </c>
      <c r="M15" s="19">
        <v>101.208996203257</v>
      </c>
      <c r="N15" s="19">
        <v>1321</v>
      </c>
      <c r="O15" s="19">
        <v>0.208830852354174</v>
      </c>
      <c r="P15" s="19" t="s">
        <v>53</v>
      </c>
      <c r="Q15" s="19">
        <v>34.00875</v>
      </c>
      <c r="R15">
        <f t="shared" si="0"/>
        <v>13.21</v>
      </c>
      <c r="T15" s="15" t="s">
        <v>54</v>
      </c>
      <c r="U15" s="17"/>
      <c r="V15" s="16" t="str">
        <f t="shared" si="1"/>
        <v>EN_SPV_21_c03_AGO</v>
      </c>
      <c r="W15" s="12">
        <f t="shared" si="2"/>
        <v>1321</v>
      </c>
      <c r="X15" s="11">
        <f t="shared" si="3"/>
        <v>1321</v>
      </c>
      <c r="Y15" s="17">
        <v>3</v>
      </c>
      <c r="Z15" s="17"/>
      <c r="AC15" s="19" t="s">
        <v>61</v>
      </c>
    </row>
    <row r="16" spans="2:48">
      <c r="B16" s="19" t="s">
        <v>26</v>
      </c>
      <c r="C16" s="19" t="s">
        <v>63</v>
      </c>
      <c r="D16" s="19" t="s">
        <v>64</v>
      </c>
      <c r="E16" s="19" t="s">
        <v>29</v>
      </c>
      <c r="F16" s="19" t="s">
        <v>30</v>
      </c>
      <c r="G16" s="19" t="s">
        <v>31</v>
      </c>
      <c r="J16" s="19" t="s">
        <v>63</v>
      </c>
      <c r="K16" s="19" t="s">
        <v>32</v>
      </c>
      <c r="L16" s="19" t="s">
        <v>52</v>
      </c>
      <c r="M16" s="19">
        <v>101.208996203257</v>
      </c>
      <c r="N16" s="19">
        <v>1321</v>
      </c>
      <c r="O16" s="19">
        <v>0.215</v>
      </c>
      <c r="P16" s="19" t="s">
        <v>53</v>
      </c>
      <c r="Q16" s="19">
        <v>4.82175</v>
      </c>
      <c r="R16">
        <f t="shared" si="0"/>
        <v>13.21</v>
      </c>
      <c r="T16" s="15" t="s">
        <v>54</v>
      </c>
      <c r="U16" s="17"/>
      <c r="V16" s="16" t="str">
        <f t="shared" si="1"/>
        <v>EN_SPV_22_c03_AGO</v>
      </c>
      <c r="W16" s="12">
        <f t="shared" si="2"/>
        <v>1321</v>
      </c>
      <c r="X16" s="11">
        <f t="shared" si="3"/>
        <v>1321</v>
      </c>
      <c r="Y16" s="17">
        <v>3</v>
      </c>
      <c r="Z16" s="17"/>
      <c r="AC16" s="19" t="s">
        <v>63</v>
      </c>
    </row>
    <row r="17" spans="2:29">
      <c r="B17" s="19" t="s">
        <v>26</v>
      </c>
      <c r="C17" s="19" t="s">
        <v>65</v>
      </c>
      <c r="D17" s="19" t="s">
        <v>66</v>
      </c>
      <c r="E17" s="19" t="s">
        <v>29</v>
      </c>
      <c r="F17" s="19" t="s">
        <v>30</v>
      </c>
      <c r="G17" s="19" t="s">
        <v>31</v>
      </c>
      <c r="J17" s="19" t="s">
        <v>65</v>
      </c>
      <c r="K17" s="19" t="s">
        <v>32</v>
      </c>
      <c r="L17" s="19" t="s">
        <v>67</v>
      </c>
      <c r="M17" s="19">
        <v>88.9549921786477</v>
      </c>
      <c r="N17" s="19">
        <v>769</v>
      </c>
      <c r="O17" s="19">
        <v>0.150767572633552</v>
      </c>
      <c r="P17" s="19" t="s">
        <v>68</v>
      </c>
      <c r="Q17" s="19">
        <v>0.80025</v>
      </c>
      <c r="R17">
        <f t="shared" si="0"/>
        <v>7.69</v>
      </c>
      <c r="T17" s="15" t="s">
        <v>69</v>
      </c>
      <c r="U17" s="17"/>
      <c r="V17" s="16" t="str">
        <f t="shared" si="1"/>
        <v>EN_SPV_15_c02_ALB</v>
      </c>
      <c r="W17" s="12">
        <f t="shared" si="2"/>
        <v>769</v>
      </c>
      <c r="X17" s="11">
        <f t="shared" si="3"/>
        <v>769</v>
      </c>
      <c r="Y17" s="17">
        <v>3</v>
      </c>
      <c r="Z17" s="17"/>
      <c r="AC17" s="19" t="s">
        <v>65</v>
      </c>
    </row>
    <row r="18" spans="2:29">
      <c r="B18" s="19" t="s">
        <v>26</v>
      </c>
      <c r="C18" s="19" t="s">
        <v>70</v>
      </c>
      <c r="D18" s="19" t="s">
        <v>71</v>
      </c>
      <c r="E18" s="19" t="s">
        <v>29</v>
      </c>
      <c r="F18" s="19" t="s">
        <v>30</v>
      </c>
      <c r="G18" s="19" t="s">
        <v>31</v>
      </c>
      <c r="J18" s="19" t="s">
        <v>70</v>
      </c>
      <c r="K18" s="19" t="s">
        <v>32</v>
      </c>
      <c r="L18" s="19" t="s">
        <v>67</v>
      </c>
      <c r="M18" s="19">
        <v>0</v>
      </c>
      <c r="N18" s="19">
        <v>769</v>
      </c>
      <c r="O18" s="19">
        <v>0.16064972826087</v>
      </c>
      <c r="P18" s="19" t="s">
        <v>68</v>
      </c>
      <c r="Q18" s="19">
        <v>5.52</v>
      </c>
      <c r="R18">
        <f t="shared" si="0"/>
        <v>7.69</v>
      </c>
      <c r="T18" s="15" t="s">
        <v>69</v>
      </c>
      <c r="U18" s="17"/>
      <c r="V18" s="16" t="str">
        <f t="shared" si="1"/>
        <v>EN_SPV_16_c01_ALB</v>
      </c>
      <c r="W18" s="12">
        <f t="shared" si="2"/>
        <v>769</v>
      </c>
      <c r="X18" s="11">
        <f t="shared" si="3"/>
        <v>769</v>
      </c>
      <c r="Y18" s="17">
        <v>3</v>
      </c>
      <c r="Z18" s="17"/>
      <c r="AC18" s="19" t="s">
        <v>70</v>
      </c>
    </row>
    <row r="19" spans="2:29">
      <c r="B19" s="19" t="s">
        <v>26</v>
      </c>
      <c r="C19" s="19" t="s">
        <v>72</v>
      </c>
      <c r="D19" s="19" t="s">
        <v>73</v>
      </c>
      <c r="E19" s="19" t="s">
        <v>29</v>
      </c>
      <c r="F19" s="19" t="s">
        <v>30</v>
      </c>
      <c r="G19" s="19" t="s">
        <v>31</v>
      </c>
      <c r="J19" s="19" t="s">
        <v>72</v>
      </c>
      <c r="K19" s="19" t="s">
        <v>32</v>
      </c>
      <c r="L19" s="19" t="s">
        <v>67</v>
      </c>
      <c r="M19" s="19">
        <v>88.9549921786477</v>
      </c>
      <c r="N19" s="19">
        <v>769</v>
      </c>
      <c r="O19" s="19">
        <v>0.157569548491597</v>
      </c>
      <c r="P19" s="19" t="s">
        <v>68</v>
      </c>
      <c r="Q19" s="19">
        <v>3.70425</v>
      </c>
      <c r="R19">
        <f t="shared" si="0"/>
        <v>7.69</v>
      </c>
      <c r="T19" s="15" t="s">
        <v>69</v>
      </c>
      <c r="U19" s="17"/>
      <c r="V19" s="16" t="str">
        <f t="shared" si="1"/>
        <v>EN_SPV_16_c02_ALB</v>
      </c>
      <c r="W19" s="12">
        <f t="shared" si="2"/>
        <v>769</v>
      </c>
      <c r="X19" s="11">
        <f t="shared" si="3"/>
        <v>769</v>
      </c>
      <c r="Y19" s="17">
        <v>3</v>
      </c>
      <c r="Z19" s="17"/>
      <c r="AC19" s="19" t="s">
        <v>72</v>
      </c>
    </row>
    <row r="20" spans="2:29">
      <c r="B20" s="19" t="s">
        <v>26</v>
      </c>
      <c r="C20" s="19" t="s">
        <v>74</v>
      </c>
      <c r="D20" s="19" t="s">
        <v>75</v>
      </c>
      <c r="E20" s="19" t="s">
        <v>29</v>
      </c>
      <c r="F20" s="19" t="s">
        <v>30</v>
      </c>
      <c r="G20" s="19" t="s">
        <v>31</v>
      </c>
      <c r="J20" s="19" t="s">
        <v>74</v>
      </c>
      <c r="K20" s="19" t="s">
        <v>32</v>
      </c>
      <c r="L20" s="19" t="s">
        <v>67</v>
      </c>
      <c r="M20" s="19">
        <v>0</v>
      </c>
      <c r="N20" s="19">
        <v>769</v>
      </c>
      <c r="O20" s="19">
        <v>0.166098000439464</v>
      </c>
      <c r="P20" s="19" t="s">
        <v>68</v>
      </c>
      <c r="Q20" s="19">
        <v>3.41325</v>
      </c>
      <c r="R20">
        <f t="shared" si="0"/>
        <v>7.69</v>
      </c>
      <c r="T20" s="15" t="s">
        <v>69</v>
      </c>
      <c r="U20" s="17"/>
      <c r="V20" s="16" t="str">
        <f t="shared" si="1"/>
        <v>EN_SPV_17_c01_ALB</v>
      </c>
      <c r="W20" s="12">
        <f t="shared" si="2"/>
        <v>769</v>
      </c>
      <c r="X20" s="11">
        <f t="shared" si="3"/>
        <v>769</v>
      </c>
      <c r="Y20" s="17">
        <v>3</v>
      </c>
      <c r="Z20" s="17"/>
      <c r="AC20" s="19" t="s">
        <v>74</v>
      </c>
    </row>
    <row r="21" spans="2:29">
      <c r="B21" s="19" t="s">
        <v>26</v>
      </c>
      <c r="C21" s="19" t="s">
        <v>76</v>
      </c>
      <c r="D21" s="19" t="s">
        <v>77</v>
      </c>
      <c r="E21" s="19" t="s">
        <v>29</v>
      </c>
      <c r="F21" s="19" t="s">
        <v>30</v>
      </c>
      <c r="G21" s="19" t="s">
        <v>31</v>
      </c>
      <c r="J21" s="19" t="s">
        <v>76</v>
      </c>
      <c r="K21" s="19" t="s">
        <v>32</v>
      </c>
      <c r="L21" s="19" t="s">
        <v>78</v>
      </c>
      <c r="M21" s="19">
        <v>0</v>
      </c>
      <c r="N21" s="19">
        <v>859</v>
      </c>
      <c r="O21" s="19">
        <v>0.198124784231036</v>
      </c>
      <c r="P21" s="19" t="s">
        <v>79</v>
      </c>
      <c r="Q21" s="19">
        <v>145.1205</v>
      </c>
      <c r="R21">
        <f t="shared" si="0"/>
        <v>8.59</v>
      </c>
      <c r="T21" s="15" t="s">
        <v>80</v>
      </c>
      <c r="U21" s="17"/>
      <c r="V21" s="16" t="str">
        <f t="shared" si="1"/>
        <v>EN_SPV_20_c01_ARE</v>
      </c>
      <c r="W21" s="12">
        <f t="shared" si="2"/>
        <v>859</v>
      </c>
      <c r="X21" s="11">
        <f t="shared" si="3"/>
        <v>859</v>
      </c>
      <c r="Y21" s="17">
        <v>3</v>
      </c>
      <c r="Z21" s="17"/>
      <c r="AC21" s="19" t="s">
        <v>76</v>
      </c>
    </row>
    <row r="22" spans="2:29">
      <c r="B22" s="19" t="s">
        <v>26</v>
      </c>
      <c r="C22" s="19" t="s">
        <v>81</v>
      </c>
      <c r="D22" s="19" t="s">
        <v>82</v>
      </c>
      <c r="E22" s="19" t="s">
        <v>29</v>
      </c>
      <c r="F22" s="19" t="s">
        <v>30</v>
      </c>
      <c r="G22" s="19" t="s">
        <v>31</v>
      </c>
      <c r="J22" s="19" t="s">
        <v>81</v>
      </c>
      <c r="K22" s="19" t="s">
        <v>32</v>
      </c>
      <c r="L22" s="19" t="s">
        <v>78</v>
      </c>
      <c r="M22" s="19">
        <v>88.9549921786477</v>
      </c>
      <c r="N22" s="19">
        <v>859</v>
      </c>
      <c r="O22" s="19">
        <v>0.196999119886733</v>
      </c>
      <c r="P22" s="19" t="s">
        <v>79</v>
      </c>
      <c r="Q22" s="19">
        <v>19.59975</v>
      </c>
      <c r="R22">
        <f t="shared" si="0"/>
        <v>8.59</v>
      </c>
      <c r="T22" s="15" t="s">
        <v>80</v>
      </c>
      <c r="U22" s="17"/>
      <c r="V22" s="16" t="str">
        <f t="shared" si="1"/>
        <v>EN_SPV_20_c02_ARE</v>
      </c>
      <c r="W22" s="12">
        <f t="shared" si="2"/>
        <v>859</v>
      </c>
      <c r="X22" s="11">
        <f t="shared" si="3"/>
        <v>859</v>
      </c>
      <c r="Y22" s="17">
        <v>3</v>
      </c>
      <c r="Z22" s="17"/>
      <c r="AC22" s="19" t="s">
        <v>81</v>
      </c>
    </row>
    <row r="23" spans="2:29">
      <c r="B23" s="19" t="s">
        <v>26</v>
      </c>
      <c r="C23" s="19" t="s">
        <v>83</v>
      </c>
      <c r="D23" s="19" t="s">
        <v>84</v>
      </c>
      <c r="E23" s="19" t="s">
        <v>29</v>
      </c>
      <c r="F23" s="19" t="s">
        <v>30</v>
      </c>
      <c r="G23" s="19" t="s">
        <v>31</v>
      </c>
      <c r="J23" s="19" t="s">
        <v>83</v>
      </c>
      <c r="K23" s="19" t="s">
        <v>32</v>
      </c>
      <c r="L23" s="19" t="s">
        <v>78</v>
      </c>
      <c r="M23" s="19">
        <v>101.208996203257</v>
      </c>
      <c r="N23" s="19">
        <v>859</v>
      </c>
      <c r="O23" s="19">
        <v>0.198982664117272</v>
      </c>
      <c r="P23" s="19" t="s">
        <v>79</v>
      </c>
      <c r="Q23" s="19">
        <v>5.88375</v>
      </c>
      <c r="R23">
        <f t="shared" si="0"/>
        <v>8.59</v>
      </c>
      <c r="T23" s="15" t="s">
        <v>80</v>
      </c>
      <c r="U23" s="17"/>
      <c r="V23" s="16" t="str">
        <f t="shared" si="1"/>
        <v>EN_SPV_20_c03_ARE</v>
      </c>
      <c r="W23" s="12">
        <f t="shared" si="2"/>
        <v>859</v>
      </c>
      <c r="X23" s="11">
        <f t="shared" si="3"/>
        <v>859</v>
      </c>
      <c r="Y23" s="17">
        <v>3</v>
      </c>
      <c r="Z23" s="17"/>
      <c r="AC23" s="19" t="s">
        <v>83</v>
      </c>
    </row>
    <row r="24" spans="2:29">
      <c r="B24" s="19" t="s">
        <v>26</v>
      </c>
      <c r="C24" s="19" t="s">
        <v>85</v>
      </c>
      <c r="D24" s="19" t="s">
        <v>86</v>
      </c>
      <c r="E24" s="19" t="s">
        <v>29</v>
      </c>
      <c r="F24" s="19" t="s">
        <v>30</v>
      </c>
      <c r="G24" s="19" t="s">
        <v>31</v>
      </c>
      <c r="J24" s="19" t="s">
        <v>85</v>
      </c>
      <c r="K24" s="19" t="s">
        <v>32</v>
      </c>
      <c r="L24" s="19" t="s">
        <v>87</v>
      </c>
      <c r="M24" s="19">
        <v>0</v>
      </c>
      <c r="N24" s="19">
        <v>1312</v>
      </c>
      <c r="O24" s="19">
        <v>0.189009669421004</v>
      </c>
      <c r="P24" s="19" t="s">
        <v>88</v>
      </c>
      <c r="Q24" s="19">
        <v>256.5045</v>
      </c>
      <c r="R24">
        <f t="shared" si="0"/>
        <v>13.12</v>
      </c>
      <c r="T24" s="15" t="s">
        <v>89</v>
      </c>
      <c r="U24" s="17"/>
      <c r="V24" s="16" t="str">
        <f t="shared" si="1"/>
        <v>EN_SPV_19_c01_ARG</v>
      </c>
      <c r="W24" s="12">
        <f t="shared" si="2"/>
        <v>1312</v>
      </c>
      <c r="X24" s="11">
        <f t="shared" si="3"/>
        <v>1312</v>
      </c>
      <c r="Y24" s="17">
        <v>3</v>
      </c>
      <c r="Z24" s="17"/>
      <c r="AC24" s="19" t="s">
        <v>85</v>
      </c>
    </row>
    <row r="25" spans="2:29">
      <c r="B25" s="19" t="s">
        <v>26</v>
      </c>
      <c r="C25" s="19" t="s">
        <v>90</v>
      </c>
      <c r="D25" s="19" t="s">
        <v>91</v>
      </c>
      <c r="E25" s="19" t="s">
        <v>29</v>
      </c>
      <c r="F25" s="19" t="s">
        <v>30</v>
      </c>
      <c r="G25" s="19" t="s">
        <v>31</v>
      </c>
      <c r="J25" s="19" t="s">
        <v>90</v>
      </c>
      <c r="K25" s="19" t="s">
        <v>32</v>
      </c>
      <c r="L25" s="19" t="s">
        <v>87</v>
      </c>
      <c r="M25" s="19">
        <v>88.9549921786477</v>
      </c>
      <c r="N25" s="19">
        <v>1312</v>
      </c>
      <c r="O25" s="19">
        <v>0.188106394696022</v>
      </c>
      <c r="P25" s="19" t="s">
        <v>88</v>
      </c>
      <c r="Q25" s="19">
        <v>245.13675</v>
      </c>
      <c r="R25">
        <f t="shared" si="0"/>
        <v>13.12</v>
      </c>
      <c r="T25" s="15" t="s">
        <v>89</v>
      </c>
      <c r="U25" s="17"/>
      <c r="V25" s="16" t="str">
        <f t="shared" si="1"/>
        <v>EN_SPV_19_c02_ARG</v>
      </c>
      <c r="W25" s="12">
        <f t="shared" si="2"/>
        <v>1312</v>
      </c>
      <c r="X25" s="11">
        <f t="shared" si="3"/>
        <v>1312</v>
      </c>
      <c r="Y25" s="17">
        <v>3</v>
      </c>
      <c r="Z25" s="17"/>
      <c r="AC25" s="19" t="s">
        <v>90</v>
      </c>
    </row>
    <row r="26" spans="2:29">
      <c r="B26" s="19" t="s">
        <v>26</v>
      </c>
      <c r="C26" s="19" t="s">
        <v>92</v>
      </c>
      <c r="D26" s="19" t="s">
        <v>93</v>
      </c>
      <c r="E26" s="19" t="s">
        <v>29</v>
      </c>
      <c r="F26" s="19" t="s">
        <v>30</v>
      </c>
      <c r="G26" s="19" t="s">
        <v>31</v>
      </c>
      <c r="J26" s="19" t="s">
        <v>92</v>
      </c>
      <c r="K26" s="19" t="s">
        <v>32</v>
      </c>
      <c r="L26" s="19" t="s">
        <v>87</v>
      </c>
      <c r="M26" s="19">
        <v>0</v>
      </c>
      <c r="N26" s="19">
        <v>1312</v>
      </c>
      <c r="O26" s="19">
        <v>0.19863010808699</v>
      </c>
      <c r="P26" s="19" t="s">
        <v>88</v>
      </c>
      <c r="Q26" s="19">
        <v>57.5925</v>
      </c>
      <c r="R26">
        <f t="shared" si="0"/>
        <v>13.12</v>
      </c>
      <c r="T26" s="15" t="s">
        <v>89</v>
      </c>
      <c r="U26" s="17"/>
      <c r="V26" s="16" t="str">
        <f t="shared" si="1"/>
        <v>EN_SPV_20_c01_ARG</v>
      </c>
      <c r="W26" s="12">
        <f t="shared" si="2"/>
        <v>1312</v>
      </c>
      <c r="X26" s="11">
        <f t="shared" si="3"/>
        <v>1312</v>
      </c>
      <c r="Y26" s="17">
        <v>3</v>
      </c>
      <c r="Z26" s="17"/>
      <c r="AC26" s="19" t="s">
        <v>92</v>
      </c>
    </row>
    <row r="27" spans="2:29">
      <c r="B27" s="19" t="s">
        <v>26</v>
      </c>
      <c r="C27" s="19" t="s">
        <v>94</v>
      </c>
      <c r="D27" s="19" t="s">
        <v>95</v>
      </c>
      <c r="E27" s="19" t="s">
        <v>29</v>
      </c>
      <c r="F27" s="19" t="s">
        <v>30</v>
      </c>
      <c r="G27" s="19" t="s">
        <v>31</v>
      </c>
      <c r="J27" s="19" t="s">
        <v>94</v>
      </c>
      <c r="K27" s="19" t="s">
        <v>32</v>
      </c>
      <c r="L27" s="19" t="s">
        <v>87</v>
      </c>
      <c r="M27" s="19">
        <v>88.9549921786477</v>
      </c>
      <c r="N27" s="19">
        <v>1312</v>
      </c>
      <c r="O27" s="19">
        <v>0.199335302641846</v>
      </c>
      <c r="P27" s="19" t="s">
        <v>88</v>
      </c>
      <c r="Q27" s="19">
        <v>26.913</v>
      </c>
      <c r="R27">
        <f t="shared" si="0"/>
        <v>13.12</v>
      </c>
      <c r="T27" s="15" t="s">
        <v>89</v>
      </c>
      <c r="U27" s="17"/>
      <c r="V27" s="16" t="str">
        <f t="shared" si="1"/>
        <v>EN_SPV_20_c02_ARG</v>
      </c>
      <c r="W27" s="12">
        <f t="shared" si="2"/>
        <v>1312</v>
      </c>
      <c r="X27" s="11">
        <f t="shared" si="3"/>
        <v>1312</v>
      </c>
      <c r="Y27" s="17">
        <v>3</v>
      </c>
      <c r="Z27" s="17"/>
      <c r="AC27" s="19" t="s">
        <v>94</v>
      </c>
    </row>
    <row r="28" spans="2:29">
      <c r="B28" s="19" t="s">
        <v>26</v>
      </c>
      <c r="C28" s="19" t="s">
        <v>96</v>
      </c>
      <c r="D28" s="19" t="s">
        <v>97</v>
      </c>
      <c r="E28" s="19" t="s">
        <v>29</v>
      </c>
      <c r="F28" s="19" t="s">
        <v>30</v>
      </c>
      <c r="G28" s="19" t="s">
        <v>31</v>
      </c>
      <c r="J28" s="19" t="s">
        <v>96</v>
      </c>
      <c r="K28" s="19" t="s">
        <v>32</v>
      </c>
      <c r="L28" s="19" t="s">
        <v>87</v>
      </c>
      <c r="M28" s="19">
        <v>101.208996203257</v>
      </c>
      <c r="N28" s="19">
        <v>1312</v>
      </c>
      <c r="O28" s="19">
        <v>0.195</v>
      </c>
      <c r="P28" s="19" t="s">
        <v>88</v>
      </c>
      <c r="Q28" s="19">
        <v>9.2175</v>
      </c>
      <c r="R28">
        <f t="shared" si="0"/>
        <v>13.12</v>
      </c>
      <c r="T28" s="15" t="s">
        <v>89</v>
      </c>
      <c r="U28" s="17"/>
      <c r="V28" s="16" t="str">
        <f t="shared" si="1"/>
        <v>EN_SPV_20_c03_ARG</v>
      </c>
      <c r="W28" s="12">
        <f t="shared" si="2"/>
        <v>1312</v>
      </c>
      <c r="X28" s="11">
        <f t="shared" si="3"/>
        <v>1312</v>
      </c>
      <c r="Y28" s="17">
        <v>3</v>
      </c>
      <c r="Z28" s="17"/>
      <c r="AC28" s="19" t="s">
        <v>96</v>
      </c>
    </row>
    <row r="29" spans="2:29">
      <c r="B29" s="19" t="s">
        <v>26</v>
      </c>
      <c r="C29" s="19" t="s">
        <v>98</v>
      </c>
      <c r="D29" s="19" t="s">
        <v>99</v>
      </c>
      <c r="E29" s="19" t="s">
        <v>29</v>
      </c>
      <c r="F29" s="19" t="s">
        <v>30</v>
      </c>
      <c r="G29" s="19" t="s">
        <v>31</v>
      </c>
      <c r="J29" s="19" t="s">
        <v>98</v>
      </c>
      <c r="K29" s="19" t="s">
        <v>32</v>
      </c>
      <c r="L29" s="19" t="s">
        <v>87</v>
      </c>
      <c r="M29" s="19">
        <v>0</v>
      </c>
      <c r="N29" s="19">
        <v>1312</v>
      </c>
      <c r="O29" s="19">
        <v>0.20865985878785</v>
      </c>
      <c r="P29" s="19" t="s">
        <v>88</v>
      </c>
      <c r="Q29" s="19">
        <v>31.6545</v>
      </c>
      <c r="R29">
        <f t="shared" si="0"/>
        <v>13.12</v>
      </c>
      <c r="T29" s="15" t="s">
        <v>89</v>
      </c>
      <c r="U29" s="17"/>
      <c r="V29" s="16" t="str">
        <f t="shared" si="1"/>
        <v>EN_SPV_21_c01_ARG</v>
      </c>
      <c r="W29" s="12">
        <f t="shared" si="2"/>
        <v>1312</v>
      </c>
      <c r="X29" s="11">
        <f t="shared" si="3"/>
        <v>1312</v>
      </c>
      <c r="Y29" s="17">
        <v>3</v>
      </c>
      <c r="Z29" s="17"/>
      <c r="AC29" s="19" t="s">
        <v>98</v>
      </c>
    </row>
    <row r="30" spans="2:29">
      <c r="B30" s="19" t="s">
        <v>26</v>
      </c>
      <c r="C30" s="19" t="s">
        <v>100</v>
      </c>
      <c r="D30" s="19" t="s">
        <v>101</v>
      </c>
      <c r="E30" s="19" t="s">
        <v>29</v>
      </c>
      <c r="F30" s="19" t="s">
        <v>30</v>
      </c>
      <c r="G30" s="19" t="s">
        <v>31</v>
      </c>
      <c r="J30" s="19" t="s">
        <v>100</v>
      </c>
      <c r="K30" s="19" t="s">
        <v>32</v>
      </c>
      <c r="L30" s="19" t="s">
        <v>87</v>
      </c>
      <c r="M30" s="19">
        <v>88.9549921786477</v>
      </c>
      <c r="N30" s="19">
        <v>1312</v>
      </c>
      <c r="O30" s="19">
        <v>0.207580384127913</v>
      </c>
      <c r="P30" s="19" t="s">
        <v>88</v>
      </c>
      <c r="Q30" s="19">
        <v>23.07825</v>
      </c>
      <c r="R30">
        <f t="shared" si="0"/>
        <v>13.12</v>
      </c>
      <c r="T30" s="15" t="s">
        <v>89</v>
      </c>
      <c r="U30" s="17"/>
      <c r="V30" s="16" t="str">
        <f t="shared" si="1"/>
        <v>EN_SPV_21_c02_ARG</v>
      </c>
      <c r="W30" s="12">
        <f t="shared" si="2"/>
        <v>1312</v>
      </c>
      <c r="X30" s="11">
        <f t="shared" si="3"/>
        <v>1312</v>
      </c>
      <c r="Y30" s="17">
        <v>3</v>
      </c>
      <c r="Z30" s="17"/>
      <c r="AC30" s="19" t="s">
        <v>100</v>
      </c>
    </row>
    <row r="31" spans="2:29">
      <c r="B31" s="19" t="s">
        <v>26</v>
      </c>
      <c r="C31" s="19" t="s">
        <v>102</v>
      </c>
      <c r="D31" s="19" t="s">
        <v>103</v>
      </c>
      <c r="E31" s="19" t="s">
        <v>29</v>
      </c>
      <c r="F31" s="19" t="s">
        <v>30</v>
      </c>
      <c r="G31" s="19" t="s">
        <v>31</v>
      </c>
      <c r="J31" s="19" t="s">
        <v>102</v>
      </c>
      <c r="K31" s="19" t="s">
        <v>32</v>
      </c>
      <c r="L31" s="19" t="s">
        <v>87</v>
      </c>
      <c r="M31" s="19">
        <v>0</v>
      </c>
      <c r="N31" s="19">
        <v>1312</v>
      </c>
      <c r="O31" s="19">
        <v>0.222218790637191</v>
      </c>
      <c r="P31" s="19" t="s">
        <v>88</v>
      </c>
      <c r="Q31" s="19">
        <v>9.228</v>
      </c>
      <c r="R31">
        <f t="shared" si="0"/>
        <v>13.12</v>
      </c>
      <c r="T31" s="15" t="s">
        <v>89</v>
      </c>
      <c r="U31" s="17"/>
      <c r="V31" s="16" t="str">
        <f t="shared" si="1"/>
        <v>EN_SPV_22_c01_ARG</v>
      </c>
      <c r="W31" s="12">
        <f t="shared" si="2"/>
        <v>1312</v>
      </c>
      <c r="X31" s="11">
        <f t="shared" si="3"/>
        <v>1312</v>
      </c>
      <c r="Y31" s="17">
        <v>3</v>
      </c>
      <c r="Z31" s="17"/>
      <c r="AC31" s="19" t="s">
        <v>102</v>
      </c>
    </row>
    <row r="32" spans="2:29">
      <c r="B32" s="19" t="s">
        <v>26</v>
      </c>
      <c r="C32" s="19" t="s">
        <v>104</v>
      </c>
      <c r="D32" s="19" t="s">
        <v>105</v>
      </c>
      <c r="E32" s="19" t="s">
        <v>29</v>
      </c>
      <c r="F32" s="19" t="s">
        <v>30</v>
      </c>
      <c r="G32" s="19" t="s">
        <v>31</v>
      </c>
      <c r="J32" s="19" t="s">
        <v>104</v>
      </c>
      <c r="K32" s="19" t="s">
        <v>32</v>
      </c>
      <c r="L32" s="19" t="s">
        <v>87</v>
      </c>
      <c r="M32" s="19">
        <v>0</v>
      </c>
      <c r="N32" s="19">
        <v>1312</v>
      </c>
      <c r="O32" s="19">
        <v>0.229605209289193</v>
      </c>
      <c r="P32" s="19" t="s">
        <v>88</v>
      </c>
      <c r="Q32" s="19">
        <v>10.62525</v>
      </c>
      <c r="R32">
        <f t="shared" si="0"/>
        <v>13.12</v>
      </c>
      <c r="T32" s="15" t="s">
        <v>89</v>
      </c>
      <c r="U32" s="17"/>
      <c r="V32" s="16" t="str">
        <f t="shared" si="1"/>
        <v>EN_SPV_23_c01_ARG</v>
      </c>
      <c r="W32" s="12">
        <f t="shared" si="2"/>
        <v>1312</v>
      </c>
      <c r="X32" s="11">
        <f t="shared" si="3"/>
        <v>1312</v>
      </c>
      <c r="Y32" s="17">
        <v>3</v>
      </c>
      <c r="Z32" s="17"/>
      <c r="AC32" s="19" t="s">
        <v>104</v>
      </c>
    </row>
    <row r="33" spans="2:29">
      <c r="B33" s="19" t="s">
        <v>26</v>
      </c>
      <c r="C33" s="19" t="s">
        <v>106</v>
      </c>
      <c r="D33" s="19" t="s">
        <v>107</v>
      </c>
      <c r="E33" s="19" t="s">
        <v>29</v>
      </c>
      <c r="F33" s="19" t="s">
        <v>30</v>
      </c>
      <c r="G33" s="19" t="s">
        <v>31</v>
      </c>
      <c r="J33" s="19" t="s">
        <v>106</v>
      </c>
      <c r="K33" s="19" t="s">
        <v>32</v>
      </c>
      <c r="L33" s="19" t="s">
        <v>87</v>
      </c>
      <c r="M33" s="19">
        <v>0</v>
      </c>
      <c r="N33" s="19">
        <v>1312</v>
      </c>
      <c r="O33" s="19">
        <v>0.236212709620477</v>
      </c>
      <c r="P33" s="19" t="s">
        <v>88</v>
      </c>
      <c r="Q33" s="19">
        <v>0.84975</v>
      </c>
      <c r="R33">
        <f t="shared" si="0"/>
        <v>13.12</v>
      </c>
      <c r="T33" s="15" t="s">
        <v>89</v>
      </c>
      <c r="U33" s="17"/>
      <c r="V33" s="16" t="str">
        <f t="shared" si="1"/>
        <v>EN_SPV_24_c01_ARG</v>
      </c>
      <c r="W33" s="12">
        <f t="shared" si="2"/>
        <v>1312</v>
      </c>
      <c r="X33" s="11">
        <f t="shared" si="3"/>
        <v>1312</v>
      </c>
      <c r="Y33" s="17">
        <v>3</v>
      </c>
      <c r="Z33" s="17"/>
      <c r="AC33" s="19" t="s">
        <v>106</v>
      </c>
    </row>
    <row r="34" spans="2:29">
      <c r="B34" s="19" t="s">
        <v>26</v>
      </c>
      <c r="C34" s="19" t="s">
        <v>108</v>
      </c>
      <c r="D34" s="19" t="s">
        <v>109</v>
      </c>
      <c r="E34" s="19" t="s">
        <v>29</v>
      </c>
      <c r="F34" s="19" t="s">
        <v>30</v>
      </c>
      <c r="G34" s="19" t="s">
        <v>31</v>
      </c>
      <c r="J34" s="19" t="s">
        <v>108</v>
      </c>
      <c r="K34" s="19" t="s">
        <v>32</v>
      </c>
      <c r="L34" s="19" t="s">
        <v>110</v>
      </c>
      <c r="M34" s="19">
        <v>0</v>
      </c>
      <c r="N34" s="19">
        <v>859</v>
      </c>
      <c r="O34" s="19">
        <v>0.16301221719457</v>
      </c>
      <c r="P34" s="19" t="s">
        <v>111</v>
      </c>
      <c r="Q34" s="19">
        <v>1.6575</v>
      </c>
      <c r="R34">
        <f t="shared" si="0"/>
        <v>8.59</v>
      </c>
      <c r="T34" s="15" t="s">
        <v>112</v>
      </c>
      <c r="U34" s="17"/>
      <c r="V34" s="16" t="str">
        <f t="shared" si="1"/>
        <v>EN_SPV_16_c01_ARM</v>
      </c>
      <c r="W34" s="12">
        <f t="shared" si="2"/>
        <v>859</v>
      </c>
      <c r="X34" s="11">
        <f t="shared" si="3"/>
        <v>859</v>
      </c>
      <c r="Y34" s="17">
        <v>3</v>
      </c>
      <c r="Z34" s="17"/>
      <c r="AC34" s="19" t="s">
        <v>108</v>
      </c>
    </row>
    <row r="35" spans="2:29">
      <c r="B35" s="19" t="s">
        <v>26</v>
      </c>
      <c r="C35" s="19" t="s">
        <v>113</v>
      </c>
      <c r="D35" s="19" t="s">
        <v>114</v>
      </c>
      <c r="E35" s="19" t="s">
        <v>29</v>
      </c>
      <c r="F35" s="19" t="s">
        <v>30</v>
      </c>
      <c r="G35" s="19" t="s">
        <v>31</v>
      </c>
      <c r="J35" s="19" t="s">
        <v>113</v>
      </c>
      <c r="K35" s="19" t="s">
        <v>32</v>
      </c>
      <c r="L35" s="19" t="s">
        <v>110</v>
      </c>
      <c r="M35" s="19">
        <v>0</v>
      </c>
      <c r="N35" s="19">
        <v>859</v>
      </c>
      <c r="O35" s="19">
        <v>0.167764778325123</v>
      </c>
      <c r="P35" s="19" t="s">
        <v>111</v>
      </c>
      <c r="Q35" s="19">
        <v>5.481</v>
      </c>
      <c r="R35">
        <f t="shared" si="0"/>
        <v>8.59</v>
      </c>
      <c r="T35" s="15" t="s">
        <v>112</v>
      </c>
      <c r="U35" s="17"/>
      <c r="V35" s="16" t="str">
        <f t="shared" si="1"/>
        <v>EN_SPV_17_c01_ARM</v>
      </c>
      <c r="W35" s="12">
        <f t="shared" si="2"/>
        <v>859</v>
      </c>
      <c r="X35" s="11">
        <f t="shared" si="3"/>
        <v>859</v>
      </c>
      <c r="Y35" s="17">
        <v>3</v>
      </c>
      <c r="Z35" s="17"/>
      <c r="AC35" s="19" t="s">
        <v>113</v>
      </c>
    </row>
    <row r="36" spans="2:29">
      <c r="B36" s="19" t="s">
        <v>26</v>
      </c>
      <c r="C36" s="19" t="s">
        <v>115</v>
      </c>
      <c r="D36" s="19" t="s">
        <v>116</v>
      </c>
      <c r="E36" s="19" t="s">
        <v>29</v>
      </c>
      <c r="F36" s="19" t="s">
        <v>30</v>
      </c>
      <c r="G36" s="19" t="s">
        <v>31</v>
      </c>
      <c r="J36" s="19" t="s">
        <v>115</v>
      </c>
      <c r="K36" s="19" t="s">
        <v>32</v>
      </c>
      <c r="L36" s="19" t="s">
        <v>117</v>
      </c>
      <c r="M36" s="19">
        <v>138.878712278909</v>
      </c>
      <c r="N36" s="19">
        <v>1236</v>
      </c>
      <c r="O36" s="19">
        <v>0.206489194504876</v>
      </c>
      <c r="P36" s="19" t="s">
        <v>118</v>
      </c>
      <c r="Q36" s="19">
        <v>4527.141</v>
      </c>
      <c r="R36">
        <f t="shared" si="0"/>
        <v>12.36</v>
      </c>
      <c r="T36" s="15" t="s">
        <v>119</v>
      </c>
      <c r="U36" s="17"/>
      <c r="V36" s="16" t="str">
        <f t="shared" si="1"/>
        <v>EN_SPV_21_c04_AUS</v>
      </c>
      <c r="W36" s="12">
        <f t="shared" si="2"/>
        <v>1236</v>
      </c>
      <c r="X36" s="11">
        <f t="shared" si="3"/>
        <v>1236</v>
      </c>
      <c r="Y36" s="17">
        <v>3</v>
      </c>
      <c r="Z36" s="17"/>
      <c r="AC36" s="19" t="s">
        <v>115</v>
      </c>
    </row>
    <row r="37" spans="2:29">
      <c r="B37" s="19" t="s">
        <v>26</v>
      </c>
      <c r="C37" s="19" t="s">
        <v>120</v>
      </c>
      <c r="D37" s="19" t="s">
        <v>121</v>
      </c>
      <c r="E37" s="19" t="s">
        <v>29</v>
      </c>
      <c r="F37" s="19" t="s">
        <v>30</v>
      </c>
      <c r="G37" s="19" t="s">
        <v>31</v>
      </c>
      <c r="J37" s="19" t="s">
        <v>120</v>
      </c>
      <c r="K37" s="19" t="s">
        <v>32</v>
      </c>
      <c r="L37" s="19" t="s">
        <v>122</v>
      </c>
      <c r="M37" s="19">
        <v>88.9549921786477</v>
      </c>
      <c r="N37" s="19">
        <v>958</v>
      </c>
      <c r="O37" s="19">
        <v>0.124</v>
      </c>
      <c r="P37" s="19" t="s">
        <v>123</v>
      </c>
      <c r="Q37" s="19">
        <v>5.68575</v>
      </c>
      <c r="R37">
        <f t="shared" si="0"/>
        <v>9.58</v>
      </c>
      <c r="T37" s="15" t="s">
        <v>69</v>
      </c>
      <c r="U37" s="17"/>
      <c r="V37" s="16" t="str">
        <f t="shared" si="1"/>
        <v>EN_SPV_12_c02_AUT</v>
      </c>
      <c r="W37" s="12">
        <f t="shared" si="2"/>
        <v>958</v>
      </c>
      <c r="X37" s="11">
        <f t="shared" si="3"/>
        <v>958</v>
      </c>
      <c r="Y37" s="17">
        <v>3</v>
      </c>
      <c r="Z37" s="17"/>
      <c r="AC37" s="19" t="s">
        <v>120</v>
      </c>
    </row>
    <row r="38" spans="2:29">
      <c r="B38" s="19" t="s">
        <v>26</v>
      </c>
      <c r="C38" s="19" t="s">
        <v>124</v>
      </c>
      <c r="D38" s="19" t="s">
        <v>125</v>
      </c>
      <c r="E38" s="19" t="s">
        <v>29</v>
      </c>
      <c r="F38" s="19" t="s">
        <v>30</v>
      </c>
      <c r="G38" s="19" t="s">
        <v>31</v>
      </c>
      <c r="J38" s="19" t="s">
        <v>124</v>
      </c>
      <c r="K38" s="19" t="s">
        <v>32</v>
      </c>
      <c r="L38" s="19" t="s">
        <v>122</v>
      </c>
      <c r="M38" s="19">
        <v>101.208996203257</v>
      </c>
      <c r="N38" s="19">
        <v>958</v>
      </c>
      <c r="O38" s="19">
        <v>0.122802383105484</v>
      </c>
      <c r="P38" s="19" t="s">
        <v>123</v>
      </c>
      <c r="Q38" s="19">
        <v>14.09925</v>
      </c>
      <c r="R38">
        <f t="shared" si="0"/>
        <v>9.58</v>
      </c>
      <c r="T38" s="15" t="s">
        <v>69</v>
      </c>
      <c r="U38" s="17"/>
      <c r="V38" s="16" t="str">
        <f t="shared" si="1"/>
        <v>EN_SPV_12_c03_AUT</v>
      </c>
      <c r="W38" s="12">
        <f t="shared" si="2"/>
        <v>958</v>
      </c>
      <c r="X38" s="11">
        <f t="shared" si="3"/>
        <v>958</v>
      </c>
      <c r="Y38" s="17">
        <v>3</v>
      </c>
      <c r="Z38" s="17"/>
      <c r="AC38" s="19" t="s">
        <v>124</v>
      </c>
    </row>
    <row r="39" spans="2:29">
      <c r="B39" s="19" t="s">
        <v>26</v>
      </c>
      <c r="C39" s="19" t="s">
        <v>126</v>
      </c>
      <c r="D39" s="19" t="s">
        <v>127</v>
      </c>
      <c r="E39" s="19" t="s">
        <v>29</v>
      </c>
      <c r="F39" s="19" t="s">
        <v>30</v>
      </c>
      <c r="G39" s="19" t="s">
        <v>31</v>
      </c>
      <c r="J39" s="19" t="s">
        <v>126</v>
      </c>
      <c r="K39" s="19" t="s">
        <v>32</v>
      </c>
      <c r="L39" s="19" t="s">
        <v>122</v>
      </c>
      <c r="M39" s="19">
        <v>88.9549921786477</v>
      </c>
      <c r="N39" s="19">
        <v>958</v>
      </c>
      <c r="O39" s="19">
        <v>0.130114952322251</v>
      </c>
      <c r="P39" s="19" t="s">
        <v>123</v>
      </c>
      <c r="Q39" s="19">
        <v>41.3715</v>
      </c>
      <c r="R39">
        <f t="shared" si="0"/>
        <v>9.58</v>
      </c>
      <c r="T39" s="15" t="s">
        <v>69</v>
      </c>
      <c r="U39" s="17"/>
      <c r="V39" s="16" t="str">
        <f t="shared" si="1"/>
        <v>EN_SPV_13_c02_AUT</v>
      </c>
      <c r="W39" s="12">
        <f t="shared" si="2"/>
        <v>958</v>
      </c>
      <c r="X39" s="11">
        <f t="shared" si="3"/>
        <v>958</v>
      </c>
      <c r="Y39" s="17">
        <v>3</v>
      </c>
      <c r="Z39" s="17"/>
      <c r="AC39" s="19" t="s">
        <v>126</v>
      </c>
    </row>
    <row r="40" spans="2:29">
      <c r="B40" s="19" t="s">
        <v>26</v>
      </c>
      <c r="C40" s="19" t="s">
        <v>128</v>
      </c>
      <c r="D40" s="19" t="s">
        <v>129</v>
      </c>
      <c r="E40" s="19" t="s">
        <v>29</v>
      </c>
      <c r="F40" s="19" t="s">
        <v>30</v>
      </c>
      <c r="G40" s="19" t="s">
        <v>31</v>
      </c>
      <c r="J40" s="19" t="s">
        <v>128</v>
      </c>
      <c r="K40" s="19" t="s">
        <v>32</v>
      </c>
      <c r="L40" s="19" t="s">
        <v>122</v>
      </c>
      <c r="M40" s="19">
        <v>101.208996203257</v>
      </c>
      <c r="N40" s="19">
        <v>958</v>
      </c>
      <c r="O40" s="19">
        <v>0.126333285135917</v>
      </c>
      <c r="P40" s="19" t="s">
        <v>123</v>
      </c>
      <c r="Q40" s="19">
        <v>51.87</v>
      </c>
      <c r="R40">
        <f t="shared" si="0"/>
        <v>9.58</v>
      </c>
      <c r="T40" s="15" t="s">
        <v>69</v>
      </c>
      <c r="U40" s="17"/>
      <c r="V40" s="16" t="str">
        <f t="shared" si="1"/>
        <v>EN_SPV_13_c03_AUT</v>
      </c>
      <c r="W40" s="12">
        <f t="shared" si="2"/>
        <v>958</v>
      </c>
      <c r="X40" s="11">
        <f t="shared" si="3"/>
        <v>958</v>
      </c>
      <c r="Y40" s="17">
        <v>3</v>
      </c>
      <c r="Z40" s="17"/>
      <c r="AC40" s="19" t="s">
        <v>128</v>
      </c>
    </row>
    <row r="41" spans="2:29">
      <c r="B41" s="19" t="s">
        <v>26</v>
      </c>
      <c r="C41" s="19" t="s">
        <v>130</v>
      </c>
      <c r="D41" s="19" t="s">
        <v>131</v>
      </c>
      <c r="E41" s="19" t="s">
        <v>29</v>
      </c>
      <c r="F41" s="19" t="s">
        <v>30</v>
      </c>
      <c r="G41" s="19" t="s">
        <v>31</v>
      </c>
      <c r="J41" s="19" t="s">
        <v>130</v>
      </c>
      <c r="K41" s="19" t="s">
        <v>32</v>
      </c>
      <c r="L41" s="19" t="s">
        <v>122</v>
      </c>
      <c r="M41" s="19">
        <v>88.9549921786477</v>
      </c>
      <c r="N41" s="19">
        <v>958</v>
      </c>
      <c r="O41" s="19">
        <v>0.135810911055095</v>
      </c>
      <c r="P41" s="19" t="s">
        <v>123</v>
      </c>
      <c r="Q41" s="19">
        <v>20.8275</v>
      </c>
      <c r="R41">
        <f t="shared" si="0"/>
        <v>9.58</v>
      </c>
      <c r="T41" s="15" t="s">
        <v>69</v>
      </c>
      <c r="U41" s="17"/>
      <c r="V41" s="16" t="str">
        <f t="shared" si="1"/>
        <v>EN_SPV_14_c02_AUT</v>
      </c>
      <c r="W41" s="12">
        <f t="shared" si="2"/>
        <v>958</v>
      </c>
      <c r="X41" s="11">
        <f t="shared" si="3"/>
        <v>958</v>
      </c>
      <c r="Y41" s="17">
        <v>3</v>
      </c>
      <c r="Z41" s="17"/>
      <c r="AC41" s="19" t="s">
        <v>130</v>
      </c>
    </row>
    <row r="42" spans="2:29">
      <c r="B42" s="19" t="s">
        <v>26</v>
      </c>
      <c r="C42" s="19" t="s">
        <v>132</v>
      </c>
      <c r="D42" s="19" t="s">
        <v>133</v>
      </c>
      <c r="E42" s="19" t="s">
        <v>29</v>
      </c>
      <c r="F42" s="19" t="s">
        <v>30</v>
      </c>
      <c r="G42" s="19" t="s">
        <v>31</v>
      </c>
      <c r="J42" s="19" t="s">
        <v>132</v>
      </c>
      <c r="K42" s="19" t="s">
        <v>32</v>
      </c>
      <c r="L42" s="19" t="s">
        <v>122</v>
      </c>
      <c r="M42" s="19">
        <v>88.9549921786477</v>
      </c>
      <c r="N42" s="19">
        <v>958</v>
      </c>
      <c r="O42" s="19">
        <v>0.147</v>
      </c>
      <c r="P42" s="19" t="s">
        <v>123</v>
      </c>
      <c r="Q42" s="19">
        <v>0.1095</v>
      </c>
      <c r="R42">
        <f t="shared" si="0"/>
        <v>9.58</v>
      </c>
      <c r="T42" s="15" t="s">
        <v>69</v>
      </c>
      <c r="U42" s="17"/>
      <c r="V42" s="16" t="str">
        <f t="shared" si="1"/>
        <v>EN_SPV_15_c02_AUT</v>
      </c>
      <c r="W42" s="12">
        <f t="shared" si="2"/>
        <v>958</v>
      </c>
      <c r="X42" s="11">
        <f t="shared" si="3"/>
        <v>958</v>
      </c>
      <c r="Y42" s="17">
        <v>3</v>
      </c>
      <c r="Z42" s="17"/>
      <c r="AC42" s="19" t="s">
        <v>132</v>
      </c>
    </row>
    <row r="43" spans="2:29">
      <c r="B43" s="19" t="s">
        <v>26</v>
      </c>
      <c r="C43" s="19" t="s">
        <v>134</v>
      </c>
      <c r="D43" s="19" t="s">
        <v>135</v>
      </c>
      <c r="E43" s="19" t="s">
        <v>29</v>
      </c>
      <c r="F43" s="19" t="s">
        <v>30</v>
      </c>
      <c r="G43" s="19" t="s">
        <v>31</v>
      </c>
      <c r="J43" s="19" t="s">
        <v>134</v>
      </c>
      <c r="K43" s="19" t="s">
        <v>32</v>
      </c>
      <c r="L43" s="19" t="s">
        <v>136</v>
      </c>
      <c r="M43" s="19">
        <v>88.9549921786477</v>
      </c>
      <c r="N43" s="19">
        <v>859</v>
      </c>
      <c r="O43" s="19">
        <v>0.139657983193277</v>
      </c>
      <c r="P43" s="19" t="s">
        <v>137</v>
      </c>
      <c r="Q43" s="19">
        <v>0.8925</v>
      </c>
      <c r="R43">
        <f t="shared" si="0"/>
        <v>8.59</v>
      </c>
      <c r="T43" s="15" t="s">
        <v>112</v>
      </c>
      <c r="U43" s="17"/>
      <c r="V43" s="16" t="str">
        <f t="shared" si="1"/>
        <v>EN_SPV_14_c02_AZE</v>
      </c>
      <c r="W43" s="12">
        <f t="shared" si="2"/>
        <v>859</v>
      </c>
      <c r="X43" s="11">
        <f t="shared" si="3"/>
        <v>859</v>
      </c>
      <c r="Y43" s="17">
        <v>3</v>
      </c>
      <c r="Z43" s="17"/>
      <c r="AC43" s="19" t="s">
        <v>134</v>
      </c>
    </row>
    <row r="44" spans="2:29">
      <c r="B44" s="19" t="s">
        <v>26</v>
      </c>
      <c r="C44" s="19" t="s">
        <v>138</v>
      </c>
      <c r="D44" s="19" t="s">
        <v>139</v>
      </c>
      <c r="E44" s="19" t="s">
        <v>29</v>
      </c>
      <c r="F44" s="19" t="s">
        <v>30</v>
      </c>
      <c r="G44" s="19" t="s">
        <v>31</v>
      </c>
      <c r="J44" s="19" t="s">
        <v>138</v>
      </c>
      <c r="K44" s="19" t="s">
        <v>32</v>
      </c>
      <c r="L44" s="19" t="s">
        <v>136</v>
      </c>
      <c r="M44" s="19">
        <v>88.9549921786477</v>
      </c>
      <c r="N44" s="19">
        <v>859</v>
      </c>
      <c r="O44" s="19">
        <v>0.150937820831263</v>
      </c>
      <c r="P44" s="19" t="s">
        <v>137</v>
      </c>
      <c r="Q44" s="19">
        <v>18.117</v>
      </c>
      <c r="R44">
        <f t="shared" si="0"/>
        <v>8.59</v>
      </c>
      <c r="T44" s="15" t="s">
        <v>112</v>
      </c>
      <c r="U44" s="17"/>
      <c r="V44" s="16" t="str">
        <f t="shared" si="1"/>
        <v>EN_SPV_15_c02_AZE</v>
      </c>
      <c r="W44" s="12">
        <f t="shared" si="2"/>
        <v>859</v>
      </c>
      <c r="X44" s="11">
        <f t="shared" si="3"/>
        <v>859</v>
      </c>
      <c r="Y44" s="17">
        <v>3</v>
      </c>
      <c r="Z44" s="17"/>
      <c r="AC44" s="19" t="s">
        <v>138</v>
      </c>
    </row>
    <row r="45" spans="2:29">
      <c r="B45" s="19" t="s">
        <v>26</v>
      </c>
      <c r="C45" s="19" t="s">
        <v>140</v>
      </c>
      <c r="D45" s="19" t="s">
        <v>141</v>
      </c>
      <c r="E45" s="19" t="s">
        <v>29</v>
      </c>
      <c r="F45" s="19" t="s">
        <v>30</v>
      </c>
      <c r="G45" s="19" t="s">
        <v>31</v>
      </c>
      <c r="J45" s="19" t="s">
        <v>140</v>
      </c>
      <c r="K45" s="19" t="s">
        <v>32</v>
      </c>
      <c r="L45" s="19" t="s">
        <v>136</v>
      </c>
      <c r="M45" s="19">
        <v>0</v>
      </c>
      <c r="N45" s="19">
        <v>859</v>
      </c>
      <c r="O45" s="19">
        <v>0.163866666666667</v>
      </c>
      <c r="P45" s="19" t="s">
        <v>137</v>
      </c>
      <c r="Q45" s="19">
        <v>0.27</v>
      </c>
      <c r="R45">
        <f t="shared" si="0"/>
        <v>8.59</v>
      </c>
      <c r="T45" s="15" t="s">
        <v>112</v>
      </c>
      <c r="U45" s="17"/>
      <c r="V45" s="16" t="str">
        <f t="shared" si="1"/>
        <v>EN_SPV_16_c01_AZE</v>
      </c>
      <c r="W45" s="12">
        <f t="shared" si="2"/>
        <v>859</v>
      </c>
      <c r="X45" s="11">
        <f t="shared" si="3"/>
        <v>859</v>
      </c>
      <c r="Y45" s="17">
        <v>3</v>
      </c>
      <c r="Z45" s="17"/>
      <c r="AC45" s="19" t="s">
        <v>140</v>
      </c>
    </row>
    <row r="46" spans="2:29">
      <c r="B46" s="19" t="s">
        <v>26</v>
      </c>
      <c r="C46" s="19" t="s">
        <v>142</v>
      </c>
      <c r="D46" s="19" t="s">
        <v>143</v>
      </c>
      <c r="E46" s="19" t="s">
        <v>29</v>
      </c>
      <c r="F46" s="19" t="s">
        <v>30</v>
      </c>
      <c r="G46" s="19" t="s">
        <v>31</v>
      </c>
      <c r="J46" s="19" t="s">
        <v>142</v>
      </c>
      <c r="K46" s="19" t="s">
        <v>32</v>
      </c>
      <c r="L46" s="19" t="s">
        <v>136</v>
      </c>
      <c r="M46" s="19">
        <v>88.9549921786477</v>
      </c>
      <c r="N46" s="19">
        <v>859</v>
      </c>
      <c r="O46" s="19">
        <v>0.156048768939394</v>
      </c>
      <c r="P46" s="19" t="s">
        <v>137</v>
      </c>
      <c r="Q46" s="19">
        <v>1.584</v>
      </c>
      <c r="R46">
        <f t="shared" si="0"/>
        <v>8.59</v>
      </c>
      <c r="T46" s="15" t="s">
        <v>112</v>
      </c>
      <c r="U46" s="17"/>
      <c r="V46" s="16" t="str">
        <f t="shared" si="1"/>
        <v>EN_SPV_16_c02_AZE</v>
      </c>
      <c r="W46" s="12">
        <f t="shared" si="2"/>
        <v>859</v>
      </c>
      <c r="X46" s="11">
        <f t="shared" si="3"/>
        <v>859</v>
      </c>
      <c r="Y46" s="17">
        <v>3</v>
      </c>
      <c r="Z46" s="17"/>
      <c r="AC46" s="19" t="s">
        <v>142</v>
      </c>
    </row>
    <row r="47" spans="2:29">
      <c r="B47" s="19" t="s">
        <v>26</v>
      </c>
      <c r="C47" s="19" t="s">
        <v>144</v>
      </c>
      <c r="D47" s="19" t="s">
        <v>145</v>
      </c>
      <c r="E47" s="19" t="s">
        <v>29</v>
      </c>
      <c r="F47" s="19" t="s">
        <v>30</v>
      </c>
      <c r="G47" s="19" t="s">
        <v>31</v>
      </c>
      <c r="J47" s="19" t="s">
        <v>144</v>
      </c>
      <c r="K47" s="19" t="s">
        <v>32</v>
      </c>
      <c r="L47" s="19" t="s">
        <v>136</v>
      </c>
      <c r="M47" s="19">
        <v>0</v>
      </c>
      <c r="N47" s="19">
        <v>859</v>
      </c>
      <c r="O47" s="19">
        <v>0.171788937409025</v>
      </c>
      <c r="P47" s="19" t="s">
        <v>137</v>
      </c>
      <c r="Q47" s="19">
        <v>2.57625</v>
      </c>
      <c r="R47">
        <f t="shared" si="0"/>
        <v>8.59</v>
      </c>
      <c r="T47" s="15" t="s">
        <v>112</v>
      </c>
      <c r="U47" s="17"/>
      <c r="V47" s="16" t="str">
        <f t="shared" si="1"/>
        <v>EN_SPV_17_c01_AZE</v>
      </c>
      <c r="W47" s="12">
        <f t="shared" si="2"/>
        <v>859</v>
      </c>
      <c r="X47" s="11">
        <f t="shared" si="3"/>
        <v>859</v>
      </c>
      <c r="Y47" s="17">
        <v>3</v>
      </c>
      <c r="Z47" s="17"/>
      <c r="AC47" s="19" t="s">
        <v>144</v>
      </c>
    </row>
    <row r="48" spans="2:29">
      <c r="B48" s="19" t="s">
        <v>26</v>
      </c>
      <c r="C48" s="19" t="s">
        <v>146</v>
      </c>
      <c r="D48" s="19" t="s">
        <v>147</v>
      </c>
      <c r="E48" s="19" t="s">
        <v>29</v>
      </c>
      <c r="F48" s="19" t="s">
        <v>30</v>
      </c>
      <c r="G48" s="19" t="s">
        <v>31</v>
      </c>
      <c r="J48" s="19" t="s">
        <v>146</v>
      </c>
      <c r="K48" s="19" t="s">
        <v>32</v>
      </c>
      <c r="L48" s="19" t="s">
        <v>136</v>
      </c>
      <c r="M48" s="19">
        <v>0</v>
      </c>
      <c r="N48" s="19">
        <v>859</v>
      </c>
      <c r="O48" s="19">
        <v>0.176</v>
      </c>
      <c r="P48" s="19" t="s">
        <v>137</v>
      </c>
      <c r="Q48" s="19">
        <v>0.31575</v>
      </c>
      <c r="R48">
        <f t="shared" si="0"/>
        <v>8.59</v>
      </c>
      <c r="T48" s="15" t="s">
        <v>112</v>
      </c>
      <c r="U48" s="17"/>
      <c r="V48" s="16" t="str">
        <f t="shared" si="1"/>
        <v>EN_SPV_18_c01_AZE</v>
      </c>
      <c r="W48" s="12">
        <f t="shared" si="2"/>
        <v>859</v>
      </c>
      <c r="X48" s="11">
        <f t="shared" si="3"/>
        <v>859</v>
      </c>
      <c r="Y48" s="17">
        <v>3</v>
      </c>
      <c r="Z48" s="17"/>
      <c r="AC48" s="19" t="s">
        <v>146</v>
      </c>
    </row>
    <row r="49" spans="2:29">
      <c r="B49" s="19" t="s">
        <v>26</v>
      </c>
      <c r="C49" s="19" t="s">
        <v>148</v>
      </c>
      <c r="D49" s="19" t="s">
        <v>149</v>
      </c>
      <c r="E49" s="19" t="s">
        <v>29</v>
      </c>
      <c r="F49" s="19" t="s">
        <v>30</v>
      </c>
      <c r="G49" s="19" t="s">
        <v>31</v>
      </c>
      <c r="J49" s="19" t="s">
        <v>148</v>
      </c>
      <c r="K49" s="19" t="s">
        <v>32</v>
      </c>
      <c r="L49" s="19" t="s">
        <v>150</v>
      </c>
      <c r="M49" s="19">
        <v>88.9549921786477</v>
      </c>
      <c r="N49" s="19">
        <v>1420</v>
      </c>
      <c r="O49" s="19">
        <v>0.162843216896832</v>
      </c>
      <c r="P49" s="19" t="s">
        <v>151</v>
      </c>
      <c r="Q49" s="19">
        <v>0.92325</v>
      </c>
      <c r="R49">
        <f t="shared" si="0"/>
        <v>14.2</v>
      </c>
      <c r="T49" s="15" t="s">
        <v>54</v>
      </c>
      <c r="U49" s="17"/>
      <c r="V49" s="16" t="str">
        <f t="shared" si="1"/>
        <v>EN_SPV_16_c02_BDI</v>
      </c>
      <c r="W49" s="12">
        <f t="shared" si="2"/>
        <v>1420</v>
      </c>
      <c r="X49" s="11">
        <f t="shared" si="3"/>
        <v>1420</v>
      </c>
      <c r="Y49" s="17">
        <v>3</v>
      </c>
      <c r="Z49" s="17"/>
      <c r="AC49" s="19" t="s">
        <v>148</v>
      </c>
    </row>
    <row r="50" spans="2:29">
      <c r="B50" s="19" t="s">
        <v>26</v>
      </c>
      <c r="C50" s="19" t="s">
        <v>152</v>
      </c>
      <c r="D50" s="19" t="s">
        <v>153</v>
      </c>
      <c r="E50" s="19" t="s">
        <v>29</v>
      </c>
      <c r="F50" s="19" t="s">
        <v>30</v>
      </c>
      <c r="G50" s="19" t="s">
        <v>31</v>
      </c>
      <c r="J50" s="19" t="s">
        <v>152</v>
      </c>
      <c r="K50" s="19" t="s">
        <v>32</v>
      </c>
      <c r="L50" s="19" t="s">
        <v>150</v>
      </c>
      <c r="M50" s="19">
        <v>0</v>
      </c>
      <c r="N50" s="19">
        <v>1420</v>
      </c>
      <c r="O50" s="19">
        <v>0.169041883577851</v>
      </c>
      <c r="P50" s="19" t="s">
        <v>151</v>
      </c>
      <c r="Q50" s="19">
        <v>3.1695</v>
      </c>
      <c r="R50">
        <f t="shared" si="0"/>
        <v>14.2</v>
      </c>
      <c r="T50" s="15" t="s">
        <v>54</v>
      </c>
      <c r="U50" s="17"/>
      <c r="V50" s="16" t="str">
        <f t="shared" si="1"/>
        <v>EN_SPV_17_c01_BDI</v>
      </c>
      <c r="W50" s="12">
        <f t="shared" si="2"/>
        <v>1420</v>
      </c>
      <c r="X50" s="11">
        <f t="shared" si="3"/>
        <v>1420</v>
      </c>
      <c r="Y50" s="17">
        <v>3</v>
      </c>
      <c r="Z50" s="17"/>
      <c r="AC50" s="19" t="s">
        <v>152</v>
      </c>
    </row>
    <row r="51" spans="2:29">
      <c r="B51" s="19" t="s">
        <v>26</v>
      </c>
      <c r="C51" s="19" t="s">
        <v>154</v>
      </c>
      <c r="D51" s="19" t="s">
        <v>155</v>
      </c>
      <c r="E51" s="19" t="s">
        <v>29</v>
      </c>
      <c r="F51" s="19" t="s">
        <v>30</v>
      </c>
      <c r="G51" s="19" t="s">
        <v>31</v>
      </c>
      <c r="J51" s="19" t="s">
        <v>154</v>
      </c>
      <c r="K51" s="19" t="s">
        <v>32</v>
      </c>
      <c r="L51" s="19" t="s">
        <v>150</v>
      </c>
      <c r="M51" s="19">
        <v>88.9549921786477</v>
      </c>
      <c r="N51" s="19">
        <v>1420</v>
      </c>
      <c r="O51" s="19">
        <v>0.168880459037297</v>
      </c>
      <c r="P51" s="19" t="s">
        <v>151</v>
      </c>
      <c r="Q51" s="19">
        <v>2.35275</v>
      </c>
      <c r="R51">
        <f t="shared" si="0"/>
        <v>14.2</v>
      </c>
      <c r="T51" s="15" t="s">
        <v>54</v>
      </c>
      <c r="U51" s="17"/>
      <c r="V51" s="16" t="str">
        <f t="shared" si="1"/>
        <v>EN_SPV_17_c02_BDI</v>
      </c>
      <c r="W51" s="12">
        <f t="shared" si="2"/>
        <v>1420</v>
      </c>
      <c r="X51" s="11">
        <f t="shared" si="3"/>
        <v>1420</v>
      </c>
      <c r="Y51" s="17">
        <v>3</v>
      </c>
      <c r="Z51" s="17"/>
      <c r="AC51" s="19" t="s">
        <v>154</v>
      </c>
    </row>
    <row r="52" spans="2:29">
      <c r="B52" s="19" t="s">
        <v>26</v>
      </c>
      <c r="C52" s="19" t="s">
        <v>156</v>
      </c>
      <c r="D52" s="19" t="s">
        <v>157</v>
      </c>
      <c r="E52" s="19" t="s">
        <v>29</v>
      </c>
      <c r="F52" s="19" t="s">
        <v>30</v>
      </c>
      <c r="G52" s="19" t="s">
        <v>31</v>
      </c>
      <c r="J52" s="19" t="s">
        <v>156</v>
      </c>
      <c r="K52" s="19" t="s">
        <v>32</v>
      </c>
      <c r="L52" s="19" t="s">
        <v>158</v>
      </c>
      <c r="M52" s="19">
        <v>101.208996203257</v>
      </c>
      <c r="N52" s="19">
        <v>958</v>
      </c>
      <c r="O52" s="19">
        <v>0.113496920826103</v>
      </c>
      <c r="P52" s="19" t="s">
        <v>159</v>
      </c>
      <c r="Q52" s="19">
        <v>44.0865</v>
      </c>
      <c r="R52">
        <f t="shared" si="0"/>
        <v>9.58</v>
      </c>
      <c r="T52" s="15" t="s">
        <v>69</v>
      </c>
      <c r="U52" s="17"/>
      <c r="V52" s="16" t="str">
        <f t="shared" si="1"/>
        <v>EN_SPV_11_c03_BEL</v>
      </c>
      <c r="W52" s="12">
        <f t="shared" si="2"/>
        <v>958</v>
      </c>
      <c r="X52" s="11">
        <f t="shared" si="3"/>
        <v>958</v>
      </c>
      <c r="Y52" s="17">
        <v>3</v>
      </c>
      <c r="Z52" s="17"/>
      <c r="AC52" s="19" t="s">
        <v>156</v>
      </c>
    </row>
    <row r="53" spans="2:29">
      <c r="B53" s="19" t="s">
        <v>26</v>
      </c>
      <c r="C53" s="19" t="s">
        <v>160</v>
      </c>
      <c r="D53" s="19" t="s">
        <v>161</v>
      </c>
      <c r="E53" s="19" t="s">
        <v>29</v>
      </c>
      <c r="F53" s="19" t="s">
        <v>30</v>
      </c>
      <c r="G53" s="19" t="s">
        <v>31</v>
      </c>
      <c r="J53" s="19" t="s">
        <v>160</v>
      </c>
      <c r="K53" s="19" t="s">
        <v>32</v>
      </c>
      <c r="L53" s="19" t="s">
        <v>158</v>
      </c>
      <c r="M53" s="19">
        <v>101.208996203257</v>
      </c>
      <c r="N53" s="19">
        <v>958</v>
      </c>
      <c r="O53" s="19">
        <v>0.115661143769097</v>
      </c>
      <c r="P53" s="19" t="s">
        <v>159</v>
      </c>
      <c r="Q53" s="19">
        <v>93.51975</v>
      </c>
      <c r="R53">
        <f t="shared" si="0"/>
        <v>9.58</v>
      </c>
      <c r="T53" s="15" t="s">
        <v>69</v>
      </c>
      <c r="U53" s="17"/>
      <c r="V53" s="16" t="str">
        <f t="shared" si="1"/>
        <v>EN_SPV_12_c03_BEL</v>
      </c>
      <c r="W53" s="12">
        <f t="shared" si="2"/>
        <v>958</v>
      </c>
      <c r="X53" s="11">
        <f t="shared" si="3"/>
        <v>958</v>
      </c>
      <c r="Y53" s="17">
        <v>3</v>
      </c>
      <c r="Z53" s="17"/>
      <c r="AC53" s="19" t="s">
        <v>160</v>
      </c>
    </row>
    <row r="54" spans="2:29">
      <c r="B54" s="19" t="s">
        <v>26</v>
      </c>
      <c r="C54" s="19" t="s">
        <v>162</v>
      </c>
      <c r="D54" s="19" t="s">
        <v>163</v>
      </c>
      <c r="E54" s="19" t="s">
        <v>29</v>
      </c>
      <c r="F54" s="19" t="s">
        <v>30</v>
      </c>
      <c r="G54" s="19" t="s">
        <v>31</v>
      </c>
      <c r="J54" s="19" t="s">
        <v>162</v>
      </c>
      <c r="K54" s="19" t="s">
        <v>32</v>
      </c>
      <c r="L54" s="19" t="s">
        <v>164</v>
      </c>
      <c r="M54" s="19">
        <v>0</v>
      </c>
      <c r="N54" s="19">
        <v>1621</v>
      </c>
      <c r="O54" s="19">
        <v>0.176081262118808</v>
      </c>
      <c r="P54" s="19" t="s">
        <v>165</v>
      </c>
      <c r="Q54" s="19">
        <v>4.25475</v>
      </c>
      <c r="R54">
        <f t="shared" si="0"/>
        <v>16.21</v>
      </c>
      <c r="T54" s="15" t="s">
        <v>54</v>
      </c>
      <c r="U54" s="17"/>
      <c r="V54" s="16" t="str">
        <f t="shared" si="1"/>
        <v>EN_SPV_18_c01_BEN</v>
      </c>
      <c r="W54" s="12">
        <f t="shared" si="2"/>
        <v>1621</v>
      </c>
      <c r="X54" s="11">
        <f t="shared" si="3"/>
        <v>1621</v>
      </c>
      <c r="Y54" s="17">
        <v>3</v>
      </c>
      <c r="Z54" s="17"/>
      <c r="AC54" s="19" t="s">
        <v>162</v>
      </c>
    </row>
    <row r="55" spans="2:29">
      <c r="B55" s="19" t="s">
        <v>26</v>
      </c>
      <c r="C55" s="19" t="s">
        <v>166</v>
      </c>
      <c r="D55" s="19" t="s">
        <v>167</v>
      </c>
      <c r="E55" s="19" t="s">
        <v>29</v>
      </c>
      <c r="F55" s="19" t="s">
        <v>30</v>
      </c>
      <c r="G55" s="19" t="s">
        <v>31</v>
      </c>
      <c r="J55" s="19" t="s">
        <v>166</v>
      </c>
      <c r="K55" s="19" t="s">
        <v>32</v>
      </c>
      <c r="L55" s="19" t="s">
        <v>164</v>
      </c>
      <c r="M55" s="19">
        <v>88.9549921786477</v>
      </c>
      <c r="N55" s="19">
        <v>1621</v>
      </c>
      <c r="O55" s="19">
        <v>0.175689614007163</v>
      </c>
      <c r="P55" s="19" t="s">
        <v>165</v>
      </c>
      <c r="Q55" s="19">
        <v>33.9255</v>
      </c>
      <c r="R55">
        <f t="shared" si="0"/>
        <v>16.21</v>
      </c>
      <c r="T55" s="15" t="s">
        <v>54</v>
      </c>
      <c r="U55" s="17"/>
      <c r="V55" s="16" t="str">
        <f t="shared" si="1"/>
        <v>EN_SPV_18_c02_BEN</v>
      </c>
      <c r="W55" s="12">
        <f t="shared" si="2"/>
        <v>1621</v>
      </c>
      <c r="X55" s="11">
        <f t="shared" si="3"/>
        <v>1621</v>
      </c>
      <c r="Y55" s="17">
        <v>3</v>
      </c>
      <c r="Z55" s="17"/>
      <c r="AC55" s="19" t="s">
        <v>166</v>
      </c>
    </row>
    <row r="56" spans="2:29">
      <c r="B56" s="19" t="s">
        <v>26</v>
      </c>
      <c r="C56" s="19" t="s">
        <v>168</v>
      </c>
      <c r="D56" s="19" t="s">
        <v>169</v>
      </c>
      <c r="E56" s="19" t="s">
        <v>29</v>
      </c>
      <c r="F56" s="19" t="s">
        <v>30</v>
      </c>
      <c r="G56" s="19" t="s">
        <v>31</v>
      </c>
      <c r="J56" s="19" t="s">
        <v>168</v>
      </c>
      <c r="K56" s="19" t="s">
        <v>32</v>
      </c>
      <c r="L56" s="19" t="s">
        <v>170</v>
      </c>
      <c r="M56" s="19">
        <v>0</v>
      </c>
      <c r="N56" s="19">
        <v>1494</v>
      </c>
      <c r="O56" s="19">
        <v>0.185607632093933</v>
      </c>
      <c r="P56" s="19" t="s">
        <v>171</v>
      </c>
      <c r="Q56" s="19">
        <v>5.3655</v>
      </c>
      <c r="R56">
        <f t="shared" si="0"/>
        <v>14.94</v>
      </c>
      <c r="T56" s="15" t="s">
        <v>54</v>
      </c>
      <c r="U56" s="17"/>
      <c r="V56" s="16" t="str">
        <f t="shared" si="1"/>
        <v>EN_SPV_19_c01_BFA</v>
      </c>
      <c r="W56" s="12">
        <f t="shared" si="2"/>
        <v>1494</v>
      </c>
      <c r="X56" s="11">
        <f t="shared" si="3"/>
        <v>1494</v>
      </c>
      <c r="Y56" s="17">
        <v>3</v>
      </c>
      <c r="Z56" s="17"/>
      <c r="AC56" s="19" t="s">
        <v>168</v>
      </c>
    </row>
    <row r="57" spans="2:29">
      <c r="B57" s="19" t="s">
        <v>26</v>
      </c>
      <c r="C57" s="19" t="s">
        <v>172</v>
      </c>
      <c r="D57" s="19" t="s">
        <v>173</v>
      </c>
      <c r="E57" s="19" t="s">
        <v>29</v>
      </c>
      <c r="F57" s="19" t="s">
        <v>30</v>
      </c>
      <c r="G57" s="19" t="s">
        <v>31</v>
      </c>
      <c r="J57" s="19" t="s">
        <v>172</v>
      </c>
      <c r="K57" s="19" t="s">
        <v>32</v>
      </c>
      <c r="L57" s="19" t="s">
        <v>170</v>
      </c>
      <c r="M57" s="19">
        <v>101.208996203257</v>
      </c>
      <c r="N57" s="19">
        <v>1494</v>
      </c>
      <c r="O57" s="19">
        <v>0.185634165857004</v>
      </c>
      <c r="P57" s="19" t="s">
        <v>171</v>
      </c>
      <c r="Q57" s="19">
        <v>26.2455</v>
      </c>
      <c r="R57">
        <f t="shared" si="0"/>
        <v>14.94</v>
      </c>
      <c r="T57" s="15" t="s">
        <v>54</v>
      </c>
      <c r="U57" s="17"/>
      <c r="V57" s="16" t="str">
        <f t="shared" si="1"/>
        <v>EN_SPV_19_c03_BFA</v>
      </c>
      <c r="W57" s="12">
        <f t="shared" si="2"/>
        <v>1494</v>
      </c>
      <c r="X57" s="11">
        <f t="shared" si="3"/>
        <v>1494</v>
      </c>
      <c r="Y57" s="17">
        <v>3</v>
      </c>
      <c r="Z57" s="17"/>
      <c r="AC57" s="19" t="s">
        <v>172</v>
      </c>
    </row>
    <row r="58" spans="2:29">
      <c r="B58" s="19" t="s">
        <v>26</v>
      </c>
      <c r="C58" s="19" t="s">
        <v>174</v>
      </c>
      <c r="D58" s="19" t="s">
        <v>175</v>
      </c>
      <c r="E58" s="19" t="s">
        <v>29</v>
      </c>
      <c r="F58" s="19" t="s">
        <v>30</v>
      </c>
      <c r="G58" s="19" t="s">
        <v>31</v>
      </c>
      <c r="J58" s="19" t="s">
        <v>174</v>
      </c>
      <c r="K58" s="19" t="s">
        <v>32</v>
      </c>
      <c r="L58" s="19" t="s">
        <v>170</v>
      </c>
      <c r="M58" s="19">
        <v>138.878712278909</v>
      </c>
      <c r="N58" s="19">
        <v>1494</v>
      </c>
      <c r="O58" s="19">
        <v>0.186</v>
      </c>
      <c r="P58" s="19" t="s">
        <v>171</v>
      </c>
      <c r="Q58" s="19">
        <v>6.771</v>
      </c>
      <c r="R58">
        <f t="shared" si="0"/>
        <v>14.94</v>
      </c>
      <c r="T58" s="15" t="s">
        <v>54</v>
      </c>
      <c r="U58" s="17"/>
      <c r="V58" s="16" t="str">
        <f t="shared" si="1"/>
        <v>EN_SPV_19_c04_BFA</v>
      </c>
      <c r="W58" s="12">
        <f t="shared" si="2"/>
        <v>1494</v>
      </c>
      <c r="X58" s="11">
        <f t="shared" si="3"/>
        <v>1494</v>
      </c>
      <c r="Y58" s="17">
        <v>3</v>
      </c>
      <c r="Z58" s="17"/>
      <c r="AC58" s="19" t="s">
        <v>174</v>
      </c>
    </row>
    <row r="59" spans="2:29">
      <c r="B59" s="19" t="s">
        <v>26</v>
      </c>
      <c r="C59" s="19" t="s">
        <v>176</v>
      </c>
      <c r="D59" s="19" t="s">
        <v>177</v>
      </c>
      <c r="E59" s="19" t="s">
        <v>29</v>
      </c>
      <c r="F59" s="19" t="s">
        <v>30</v>
      </c>
      <c r="G59" s="19" t="s">
        <v>31</v>
      </c>
      <c r="J59" s="19" t="s">
        <v>176</v>
      </c>
      <c r="K59" s="19" t="s">
        <v>32</v>
      </c>
      <c r="L59" s="19" t="s">
        <v>178</v>
      </c>
      <c r="M59" s="19">
        <v>88.9549921786477</v>
      </c>
      <c r="N59" s="19">
        <v>1443</v>
      </c>
      <c r="O59" s="19">
        <v>0.144506003752345</v>
      </c>
      <c r="P59" s="19" t="s">
        <v>179</v>
      </c>
      <c r="Q59" s="19">
        <v>11.9925</v>
      </c>
      <c r="R59">
        <f t="shared" si="0"/>
        <v>14.43</v>
      </c>
      <c r="T59" s="15" t="s">
        <v>35</v>
      </c>
      <c r="U59" s="17"/>
      <c r="V59" s="16" t="str">
        <f t="shared" si="1"/>
        <v>EN_SPV_14_c02_BGD</v>
      </c>
      <c r="W59" s="12">
        <f t="shared" si="2"/>
        <v>1443</v>
      </c>
      <c r="X59" s="11">
        <f t="shared" si="3"/>
        <v>1443</v>
      </c>
      <c r="Y59" s="17">
        <v>3</v>
      </c>
      <c r="Z59" s="17"/>
      <c r="AC59" s="19" t="s">
        <v>176</v>
      </c>
    </row>
    <row r="60" spans="2:29">
      <c r="B60" s="19" t="s">
        <v>26</v>
      </c>
      <c r="C60" s="19" t="s">
        <v>180</v>
      </c>
      <c r="D60" s="19" t="s">
        <v>181</v>
      </c>
      <c r="E60" s="19" t="s">
        <v>29</v>
      </c>
      <c r="F60" s="19" t="s">
        <v>30</v>
      </c>
      <c r="G60" s="19" t="s">
        <v>31</v>
      </c>
      <c r="J60" s="19" t="s">
        <v>180</v>
      </c>
      <c r="K60" s="19" t="s">
        <v>32</v>
      </c>
      <c r="L60" s="19" t="s">
        <v>178</v>
      </c>
      <c r="M60" s="19">
        <v>0</v>
      </c>
      <c r="N60" s="19">
        <v>1443</v>
      </c>
      <c r="O60" s="19">
        <v>0.151611168272379</v>
      </c>
      <c r="P60" s="19" t="s">
        <v>179</v>
      </c>
      <c r="Q60" s="19">
        <v>48.1095</v>
      </c>
      <c r="R60">
        <f t="shared" si="0"/>
        <v>14.43</v>
      </c>
      <c r="T60" s="15" t="s">
        <v>35</v>
      </c>
      <c r="U60" s="17"/>
      <c r="V60" s="16" t="str">
        <f t="shared" si="1"/>
        <v>EN_SPV_15_c01_BGD</v>
      </c>
      <c r="W60" s="12">
        <f t="shared" si="2"/>
        <v>1443</v>
      </c>
      <c r="X60" s="11">
        <f t="shared" si="3"/>
        <v>1443</v>
      </c>
      <c r="Y60" s="17">
        <v>3</v>
      </c>
      <c r="Z60" s="17"/>
      <c r="AC60" s="19" t="s">
        <v>180</v>
      </c>
    </row>
    <row r="61" spans="2:29">
      <c r="B61" s="19" t="s">
        <v>26</v>
      </c>
      <c r="C61" s="19" t="s">
        <v>182</v>
      </c>
      <c r="D61" s="19" t="s">
        <v>183</v>
      </c>
      <c r="E61" s="19" t="s">
        <v>29</v>
      </c>
      <c r="F61" s="19" t="s">
        <v>30</v>
      </c>
      <c r="G61" s="19" t="s">
        <v>31</v>
      </c>
      <c r="J61" s="19" t="s">
        <v>182</v>
      </c>
      <c r="K61" s="19" t="s">
        <v>32</v>
      </c>
      <c r="L61" s="19" t="s">
        <v>178</v>
      </c>
      <c r="M61" s="19">
        <v>88.9549921786477</v>
      </c>
      <c r="N61" s="19">
        <v>1443</v>
      </c>
      <c r="O61" s="19">
        <v>0.15148264209239</v>
      </c>
      <c r="P61" s="19" t="s">
        <v>179</v>
      </c>
      <c r="Q61" s="19">
        <v>279.642</v>
      </c>
      <c r="R61">
        <f t="shared" si="0"/>
        <v>14.43</v>
      </c>
      <c r="T61" s="15" t="s">
        <v>35</v>
      </c>
      <c r="U61" s="17"/>
      <c r="V61" s="16" t="str">
        <f t="shared" si="1"/>
        <v>EN_SPV_15_c02_BGD</v>
      </c>
      <c r="W61" s="12">
        <f t="shared" si="2"/>
        <v>1443</v>
      </c>
      <c r="X61" s="11">
        <f t="shared" si="3"/>
        <v>1443</v>
      </c>
      <c r="Y61" s="17">
        <v>3</v>
      </c>
      <c r="Z61" s="17"/>
      <c r="AC61" s="19" t="s">
        <v>182</v>
      </c>
    </row>
    <row r="62" spans="2:29">
      <c r="B62" s="19" t="s">
        <v>26</v>
      </c>
      <c r="C62" s="19" t="s">
        <v>184</v>
      </c>
      <c r="D62" s="19" t="s">
        <v>185</v>
      </c>
      <c r="E62" s="19" t="s">
        <v>29</v>
      </c>
      <c r="F62" s="19" t="s">
        <v>30</v>
      </c>
      <c r="G62" s="19" t="s">
        <v>31</v>
      </c>
      <c r="J62" s="19" t="s">
        <v>184</v>
      </c>
      <c r="K62" s="19" t="s">
        <v>32</v>
      </c>
      <c r="L62" s="19" t="s">
        <v>178</v>
      </c>
      <c r="M62" s="19">
        <v>101.208996203257</v>
      </c>
      <c r="N62" s="19">
        <v>1443</v>
      </c>
      <c r="O62" s="19">
        <v>0.154</v>
      </c>
      <c r="P62" s="19" t="s">
        <v>179</v>
      </c>
      <c r="Q62" s="19">
        <v>7.809</v>
      </c>
      <c r="R62">
        <f t="shared" si="0"/>
        <v>14.43</v>
      </c>
      <c r="T62" s="15" t="s">
        <v>35</v>
      </c>
      <c r="U62" s="17"/>
      <c r="V62" s="16" t="str">
        <f t="shared" si="1"/>
        <v>EN_SPV_15_c03_BGD</v>
      </c>
      <c r="W62" s="12">
        <f t="shared" si="2"/>
        <v>1443</v>
      </c>
      <c r="X62" s="11">
        <f t="shared" si="3"/>
        <v>1443</v>
      </c>
      <c r="Y62" s="17">
        <v>3</v>
      </c>
      <c r="Z62" s="17"/>
      <c r="AC62" s="19" t="s">
        <v>184</v>
      </c>
    </row>
    <row r="63" spans="2:29">
      <c r="B63" s="19" t="s">
        <v>26</v>
      </c>
      <c r="C63" s="19" t="s">
        <v>186</v>
      </c>
      <c r="D63" s="19" t="s">
        <v>187</v>
      </c>
      <c r="E63" s="19" t="s">
        <v>29</v>
      </c>
      <c r="F63" s="19" t="s">
        <v>30</v>
      </c>
      <c r="G63" s="19" t="s">
        <v>31</v>
      </c>
      <c r="J63" s="19" t="s">
        <v>186</v>
      </c>
      <c r="K63" s="19" t="s">
        <v>32</v>
      </c>
      <c r="L63" s="19" t="s">
        <v>178</v>
      </c>
      <c r="M63" s="19">
        <v>0</v>
      </c>
      <c r="N63" s="19">
        <v>1443</v>
      </c>
      <c r="O63" s="19">
        <v>0.159053529806819</v>
      </c>
      <c r="P63" s="19" t="s">
        <v>179</v>
      </c>
      <c r="Q63" s="19">
        <v>18.98475</v>
      </c>
      <c r="R63">
        <f t="shared" si="0"/>
        <v>14.43</v>
      </c>
      <c r="T63" s="15" t="s">
        <v>35</v>
      </c>
      <c r="U63" s="17"/>
      <c r="V63" s="16" t="str">
        <f t="shared" si="1"/>
        <v>EN_SPV_16_c01_BGD</v>
      </c>
      <c r="W63" s="12">
        <f t="shared" si="2"/>
        <v>1443</v>
      </c>
      <c r="X63" s="11">
        <f t="shared" si="3"/>
        <v>1443</v>
      </c>
      <c r="Y63" s="17">
        <v>3</v>
      </c>
      <c r="Z63" s="17"/>
      <c r="AC63" s="19" t="s">
        <v>186</v>
      </c>
    </row>
    <row r="64" spans="2:29">
      <c r="B64" s="19" t="s">
        <v>26</v>
      </c>
      <c r="C64" s="19" t="s">
        <v>188</v>
      </c>
      <c r="D64" s="19" t="s">
        <v>189</v>
      </c>
      <c r="E64" s="19" t="s">
        <v>29</v>
      </c>
      <c r="F64" s="19" t="s">
        <v>30</v>
      </c>
      <c r="G64" s="19" t="s">
        <v>31</v>
      </c>
      <c r="J64" s="19" t="s">
        <v>188</v>
      </c>
      <c r="K64" s="19" t="s">
        <v>32</v>
      </c>
      <c r="L64" s="19" t="s">
        <v>178</v>
      </c>
      <c r="M64" s="19">
        <v>88.9549921786477</v>
      </c>
      <c r="N64" s="19">
        <v>1443</v>
      </c>
      <c r="O64" s="19">
        <v>0.157891624293339</v>
      </c>
      <c r="P64" s="19" t="s">
        <v>179</v>
      </c>
      <c r="Q64" s="19">
        <v>47.4945</v>
      </c>
      <c r="R64">
        <f t="shared" si="0"/>
        <v>14.43</v>
      </c>
      <c r="T64" s="15" t="s">
        <v>35</v>
      </c>
      <c r="U64" s="17"/>
      <c r="V64" s="16" t="str">
        <f t="shared" si="1"/>
        <v>EN_SPV_16_c02_BGD</v>
      </c>
      <c r="W64" s="12">
        <f t="shared" si="2"/>
        <v>1443</v>
      </c>
      <c r="X64" s="11">
        <f t="shared" si="3"/>
        <v>1443</v>
      </c>
      <c r="Y64" s="17">
        <v>3</v>
      </c>
      <c r="Z64" s="17"/>
      <c r="AC64" s="19" t="s">
        <v>188</v>
      </c>
    </row>
    <row r="65" spans="2:29">
      <c r="B65" s="19" t="s">
        <v>26</v>
      </c>
      <c r="C65" s="19" t="s">
        <v>190</v>
      </c>
      <c r="D65" s="19" t="s">
        <v>191</v>
      </c>
      <c r="E65" s="19" t="s">
        <v>29</v>
      </c>
      <c r="F65" s="19" t="s">
        <v>30</v>
      </c>
      <c r="G65" s="19" t="s">
        <v>31</v>
      </c>
      <c r="J65" s="19" t="s">
        <v>190</v>
      </c>
      <c r="K65" s="19" t="s">
        <v>32</v>
      </c>
      <c r="L65" s="19" t="s">
        <v>178</v>
      </c>
      <c r="M65" s="19">
        <v>101.208996203257</v>
      </c>
      <c r="N65" s="19">
        <v>1443</v>
      </c>
      <c r="O65" s="19">
        <v>0.155</v>
      </c>
      <c r="P65" s="19" t="s">
        <v>179</v>
      </c>
      <c r="Q65" s="19">
        <v>2.56125</v>
      </c>
      <c r="R65">
        <f t="shared" si="0"/>
        <v>14.43</v>
      </c>
      <c r="T65" s="15" t="s">
        <v>35</v>
      </c>
      <c r="U65" s="17"/>
      <c r="V65" s="16" t="str">
        <f t="shared" si="1"/>
        <v>EN_SPV_16_c03_BGD</v>
      </c>
      <c r="W65" s="12">
        <f t="shared" si="2"/>
        <v>1443</v>
      </c>
      <c r="X65" s="11">
        <f t="shared" si="3"/>
        <v>1443</v>
      </c>
      <c r="Y65" s="17">
        <v>3</v>
      </c>
      <c r="Z65" s="17"/>
      <c r="AC65" s="19" t="s">
        <v>190</v>
      </c>
    </row>
    <row r="66" spans="2:29">
      <c r="B66" s="19" t="s">
        <v>26</v>
      </c>
      <c r="C66" s="19" t="s">
        <v>192</v>
      </c>
      <c r="D66" s="19" t="s">
        <v>193</v>
      </c>
      <c r="E66" s="19" t="s">
        <v>29</v>
      </c>
      <c r="F66" s="19" t="s">
        <v>30</v>
      </c>
      <c r="G66" s="19" t="s">
        <v>31</v>
      </c>
      <c r="J66" s="19" t="s">
        <v>192</v>
      </c>
      <c r="K66" s="19" t="s">
        <v>32</v>
      </c>
      <c r="L66" s="19" t="s">
        <v>178</v>
      </c>
      <c r="M66" s="19">
        <v>0</v>
      </c>
      <c r="N66" s="19">
        <v>1443</v>
      </c>
      <c r="O66" s="19">
        <v>0.166</v>
      </c>
      <c r="P66" s="19" t="s">
        <v>179</v>
      </c>
      <c r="Q66" s="19">
        <v>2.58675</v>
      </c>
      <c r="R66">
        <f t="shared" si="0"/>
        <v>14.43</v>
      </c>
      <c r="T66" s="15" t="s">
        <v>35</v>
      </c>
      <c r="U66" s="17"/>
      <c r="V66" s="16" t="str">
        <f t="shared" si="1"/>
        <v>EN_SPV_17_c01_BGD</v>
      </c>
      <c r="W66" s="12">
        <f t="shared" si="2"/>
        <v>1443</v>
      </c>
      <c r="X66" s="11">
        <f t="shared" si="3"/>
        <v>1443</v>
      </c>
      <c r="Y66" s="17">
        <v>3</v>
      </c>
      <c r="Z66" s="17"/>
      <c r="AC66" s="19" t="s">
        <v>192</v>
      </c>
    </row>
    <row r="67" spans="2:29">
      <c r="B67" s="19" t="s">
        <v>26</v>
      </c>
      <c r="C67" s="19" t="s">
        <v>194</v>
      </c>
      <c r="D67" s="19" t="s">
        <v>195</v>
      </c>
      <c r="E67" s="19" t="s">
        <v>29</v>
      </c>
      <c r="F67" s="19" t="s">
        <v>30</v>
      </c>
      <c r="G67" s="19" t="s">
        <v>31</v>
      </c>
      <c r="J67" s="19" t="s">
        <v>194</v>
      </c>
      <c r="K67" s="19" t="s">
        <v>32</v>
      </c>
      <c r="L67" s="19" t="s">
        <v>178</v>
      </c>
      <c r="M67" s="19">
        <v>88.9549921786477</v>
      </c>
      <c r="N67" s="19">
        <v>1443</v>
      </c>
      <c r="O67" s="19">
        <v>0.165</v>
      </c>
      <c r="P67" s="19" t="s">
        <v>179</v>
      </c>
      <c r="Q67" s="19">
        <v>2.81475</v>
      </c>
      <c r="R67">
        <f t="shared" si="0"/>
        <v>14.43</v>
      </c>
      <c r="T67" s="15" t="s">
        <v>35</v>
      </c>
      <c r="U67" s="17"/>
      <c r="V67" s="16" t="str">
        <f t="shared" si="1"/>
        <v>EN_SPV_17_c02_BGD</v>
      </c>
      <c r="W67" s="12">
        <f t="shared" si="2"/>
        <v>1443</v>
      </c>
      <c r="X67" s="11">
        <f t="shared" si="3"/>
        <v>1443</v>
      </c>
      <c r="Y67" s="17">
        <v>3</v>
      </c>
      <c r="Z67" s="17"/>
      <c r="AC67" s="19" t="s">
        <v>194</v>
      </c>
    </row>
    <row r="68" spans="2:29">
      <c r="B68" s="19" t="s">
        <v>26</v>
      </c>
      <c r="C68" s="19" t="s">
        <v>196</v>
      </c>
      <c r="D68" s="19" t="s">
        <v>197</v>
      </c>
      <c r="E68" s="19" t="s">
        <v>29</v>
      </c>
      <c r="F68" s="19" t="s">
        <v>30</v>
      </c>
      <c r="G68" s="19" t="s">
        <v>31</v>
      </c>
      <c r="J68" s="19" t="s">
        <v>196</v>
      </c>
      <c r="K68" s="19" t="s">
        <v>32</v>
      </c>
      <c r="L68" s="19" t="s">
        <v>198</v>
      </c>
      <c r="M68" s="19">
        <v>88.9549921786477</v>
      </c>
      <c r="N68" s="19">
        <v>974</v>
      </c>
      <c r="O68" s="19">
        <v>0.144017320958857</v>
      </c>
      <c r="P68" s="19" t="s">
        <v>199</v>
      </c>
      <c r="Q68" s="19">
        <v>30.2235</v>
      </c>
      <c r="R68">
        <f t="shared" si="0"/>
        <v>9.74</v>
      </c>
      <c r="T68" s="15" t="s">
        <v>69</v>
      </c>
      <c r="U68" s="17"/>
      <c r="V68" s="16" t="str">
        <f t="shared" si="1"/>
        <v>EN_SPV_14_c02_BGR</v>
      </c>
      <c r="W68" s="12">
        <f t="shared" si="2"/>
        <v>974</v>
      </c>
      <c r="X68" s="11">
        <f t="shared" si="3"/>
        <v>974</v>
      </c>
      <c r="Y68" s="17">
        <v>3</v>
      </c>
      <c r="Z68" s="17"/>
      <c r="AC68" s="19" t="s">
        <v>196</v>
      </c>
    </row>
    <row r="69" spans="2:29">
      <c r="B69" s="19" t="s">
        <v>26</v>
      </c>
      <c r="C69" s="19" t="s">
        <v>200</v>
      </c>
      <c r="D69" s="19" t="s">
        <v>201</v>
      </c>
      <c r="E69" s="19" t="s">
        <v>29</v>
      </c>
      <c r="F69" s="19" t="s">
        <v>30</v>
      </c>
      <c r="G69" s="19" t="s">
        <v>31</v>
      </c>
      <c r="J69" s="19" t="s">
        <v>200</v>
      </c>
      <c r="K69" s="19" t="s">
        <v>32</v>
      </c>
      <c r="L69" s="19" t="s">
        <v>198</v>
      </c>
      <c r="M69" s="19">
        <v>88.9549921786477</v>
      </c>
      <c r="N69" s="19">
        <v>974</v>
      </c>
      <c r="O69" s="19">
        <v>0.149425684889054</v>
      </c>
      <c r="P69" s="19" t="s">
        <v>199</v>
      </c>
      <c r="Q69" s="19">
        <v>6.05025</v>
      </c>
      <c r="R69">
        <f t="shared" si="0"/>
        <v>9.74</v>
      </c>
      <c r="T69" s="15" t="s">
        <v>69</v>
      </c>
      <c r="U69" s="17"/>
      <c r="V69" s="16" t="str">
        <f t="shared" si="1"/>
        <v>EN_SPV_15_c02_BGR</v>
      </c>
      <c r="W69" s="12">
        <f t="shared" si="2"/>
        <v>974</v>
      </c>
      <c r="X69" s="11">
        <f t="shared" si="3"/>
        <v>974</v>
      </c>
      <c r="Y69" s="17">
        <v>3</v>
      </c>
      <c r="Z69" s="17"/>
      <c r="AC69" s="19" t="s">
        <v>200</v>
      </c>
    </row>
    <row r="70" spans="2:29">
      <c r="B70" s="19" t="s">
        <v>26</v>
      </c>
      <c r="C70" s="19" t="s">
        <v>202</v>
      </c>
      <c r="D70" s="19" t="s">
        <v>203</v>
      </c>
      <c r="E70" s="19" t="s">
        <v>29</v>
      </c>
      <c r="F70" s="19" t="s">
        <v>30</v>
      </c>
      <c r="G70" s="19" t="s">
        <v>31</v>
      </c>
      <c r="J70" s="19" t="s">
        <v>202</v>
      </c>
      <c r="K70" s="19" t="s">
        <v>32</v>
      </c>
      <c r="L70" s="19" t="s">
        <v>198</v>
      </c>
      <c r="M70" s="19">
        <v>0</v>
      </c>
      <c r="N70" s="19">
        <v>974</v>
      </c>
      <c r="O70" s="19">
        <v>0.156</v>
      </c>
      <c r="P70" s="19" t="s">
        <v>199</v>
      </c>
      <c r="Q70" s="19">
        <v>0.17325</v>
      </c>
      <c r="R70">
        <f t="shared" ref="R70:R133" si="4">N70*0.01</f>
        <v>9.74</v>
      </c>
      <c r="T70" s="15" t="s">
        <v>69</v>
      </c>
      <c r="U70" s="17"/>
      <c r="V70" s="16" t="str">
        <f t="shared" ref="V70:V133" si="5">J70</f>
        <v>EN_SPV_16_c01_BGR</v>
      </c>
      <c r="W70" s="12">
        <f t="shared" ref="W70:W133" si="6">N70</f>
        <v>974</v>
      </c>
      <c r="X70" s="11">
        <f t="shared" ref="X70:X133" si="7">W70</f>
        <v>974</v>
      </c>
      <c r="Y70" s="17">
        <v>3</v>
      </c>
      <c r="Z70" s="17"/>
      <c r="AC70" s="19" t="s">
        <v>202</v>
      </c>
    </row>
    <row r="71" spans="2:29">
      <c r="B71" s="19" t="s">
        <v>26</v>
      </c>
      <c r="C71" s="19" t="s">
        <v>204</v>
      </c>
      <c r="D71" s="19" t="s">
        <v>205</v>
      </c>
      <c r="E71" s="19" t="s">
        <v>29</v>
      </c>
      <c r="F71" s="19" t="s">
        <v>30</v>
      </c>
      <c r="G71" s="19" t="s">
        <v>31</v>
      </c>
      <c r="J71" s="19" t="s">
        <v>204</v>
      </c>
      <c r="K71" s="19" t="s">
        <v>32</v>
      </c>
      <c r="L71" s="19" t="s">
        <v>206</v>
      </c>
      <c r="M71" s="19">
        <v>0</v>
      </c>
      <c r="N71" s="19">
        <v>859</v>
      </c>
      <c r="O71" s="19">
        <v>0.191</v>
      </c>
      <c r="P71" s="19" t="s">
        <v>207</v>
      </c>
      <c r="Q71" s="19">
        <v>1.449</v>
      </c>
      <c r="R71">
        <f t="shared" si="4"/>
        <v>8.59</v>
      </c>
      <c r="T71" s="15" t="s">
        <v>80</v>
      </c>
      <c r="U71" s="17"/>
      <c r="V71" s="16" t="str">
        <f t="shared" si="5"/>
        <v>EN_SPV_19_c01_BHR</v>
      </c>
      <c r="W71" s="12">
        <f t="shared" si="6"/>
        <v>859</v>
      </c>
      <c r="X71" s="11">
        <f t="shared" si="7"/>
        <v>859</v>
      </c>
      <c r="Y71" s="17">
        <v>3</v>
      </c>
      <c r="Z71" s="17"/>
      <c r="AC71" s="19" t="s">
        <v>204</v>
      </c>
    </row>
    <row r="72" spans="2:29">
      <c r="B72" s="19" t="s">
        <v>26</v>
      </c>
      <c r="C72" s="19" t="s">
        <v>208</v>
      </c>
      <c r="D72" s="19" t="s">
        <v>209</v>
      </c>
      <c r="E72" s="19" t="s">
        <v>29</v>
      </c>
      <c r="F72" s="19" t="s">
        <v>30</v>
      </c>
      <c r="G72" s="19" t="s">
        <v>31</v>
      </c>
      <c r="J72" s="19" t="s">
        <v>208</v>
      </c>
      <c r="K72" s="19" t="s">
        <v>32</v>
      </c>
      <c r="L72" s="19" t="s">
        <v>210</v>
      </c>
      <c r="M72" s="19">
        <v>0</v>
      </c>
      <c r="N72" s="19">
        <v>1391</v>
      </c>
      <c r="O72" s="19">
        <v>0.173453860640301</v>
      </c>
      <c r="P72" s="19" t="s">
        <v>211</v>
      </c>
      <c r="Q72" s="19">
        <v>0.39825</v>
      </c>
      <c r="R72">
        <f t="shared" si="4"/>
        <v>13.91</v>
      </c>
      <c r="T72" s="15" t="s">
        <v>119</v>
      </c>
      <c r="U72" s="17"/>
      <c r="V72" s="16" t="str">
        <f t="shared" si="5"/>
        <v>EN_SPV_17_c01_BHS</v>
      </c>
      <c r="W72" s="12">
        <f t="shared" si="6"/>
        <v>1391</v>
      </c>
      <c r="X72" s="11">
        <f t="shared" si="7"/>
        <v>1391</v>
      </c>
      <c r="Y72" s="17">
        <v>3</v>
      </c>
      <c r="Z72" s="17"/>
      <c r="AC72" s="19" t="s">
        <v>208</v>
      </c>
    </row>
    <row r="73" spans="2:29">
      <c r="B73" s="19" t="s">
        <v>26</v>
      </c>
      <c r="C73" s="19" t="s">
        <v>212</v>
      </c>
      <c r="D73" s="19" t="s">
        <v>213</v>
      </c>
      <c r="E73" s="19" t="s">
        <v>29</v>
      </c>
      <c r="F73" s="19" t="s">
        <v>30</v>
      </c>
      <c r="G73" s="19" t="s">
        <v>31</v>
      </c>
      <c r="J73" s="19" t="s">
        <v>212</v>
      </c>
      <c r="K73" s="19" t="s">
        <v>32</v>
      </c>
      <c r="L73" s="19" t="s">
        <v>210</v>
      </c>
      <c r="M73" s="19">
        <v>88.9549921786477</v>
      </c>
      <c r="N73" s="19">
        <v>1391</v>
      </c>
      <c r="O73" s="19">
        <v>0.173</v>
      </c>
      <c r="P73" s="19" t="s">
        <v>211</v>
      </c>
      <c r="Q73" s="19">
        <v>0.1725</v>
      </c>
      <c r="R73">
        <f t="shared" si="4"/>
        <v>13.91</v>
      </c>
      <c r="T73" s="15" t="s">
        <v>119</v>
      </c>
      <c r="U73" s="17"/>
      <c r="V73" s="16" t="str">
        <f t="shared" si="5"/>
        <v>EN_SPV_17_c02_BHS</v>
      </c>
      <c r="W73" s="12">
        <f t="shared" si="6"/>
        <v>1391</v>
      </c>
      <c r="X73" s="11">
        <f t="shared" si="7"/>
        <v>1391</v>
      </c>
      <c r="Y73" s="17">
        <v>3</v>
      </c>
      <c r="Z73" s="17"/>
      <c r="AC73" s="19" t="s">
        <v>212</v>
      </c>
    </row>
    <row r="74" spans="2:29">
      <c r="B74" s="19" t="s">
        <v>26</v>
      </c>
      <c r="C74" s="19" t="s">
        <v>214</v>
      </c>
      <c r="D74" s="19" t="s">
        <v>215</v>
      </c>
      <c r="E74" s="19" t="s">
        <v>29</v>
      </c>
      <c r="F74" s="19" t="s">
        <v>30</v>
      </c>
      <c r="G74" s="19" t="s">
        <v>31</v>
      </c>
      <c r="J74" s="19" t="s">
        <v>214</v>
      </c>
      <c r="K74" s="19" t="s">
        <v>32</v>
      </c>
      <c r="L74" s="19" t="s">
        <v>210</v>
      </c>
      <c r="M74" s="19">
        <v>0</v>
      </c>
      <c r="N74" s="19">
        <v>1391</v>
      </c>
      <c r="O74" s="19">
        <v>0.176231003039514</v>
      </c>
      <c r="P74" s="19" t="s">
        <v>211</v>
      </c>
      <c r="Q74" s="19">
        <v>0.24675</v>
      </c>
      <c r="R74">
        <f t="shared" si="4"/>
        <v>13.91</v>
      </c>
      <c r="T74" s="15" t="s">
        <v>119</v>
      </c>
      <c r="U74" s="17"/>
      <c r="V74" s="16" t="str">
        <f t="shared" si="5"/>
        <v>EN_SPV_18_c01_BHS</v>
      </c>
      <c r="W74" s="12">
        <f t="shared" si="6"/>
        <v>1391</v>
      </c>
      <c r="X74" s="11">
        <f t="shared" si="7"/>
        <v>1391</v>
      </c>
      <c r="Y74" s="17">
        <v>3</v>
      </c>
      <c r="Z74" s="17"/>
      <c r="AC74" s="19" t="s">
        <v>214</v>
      </c>
    </row>
    <row r="75" spans="2:29">
      <c r="B75" s="19" t="s">
        <v>26</v>
      </c>
      <c r="C75" s="19" t="s">
        <v>216</v>
      </c>
      <c r="D75" s="19" t="s">
        <v>217</v>
      </c>
      <c r="E75" s="19" t="s">
        <v>29</v>
      </c>
      <c r="F75" s="19" t="s">
        <v>30</v>
      </c>
      <c r="G75" s="19" t="s">
        <v>31</v>
      </c>
      <c r="J75" s="19" t="s">
        <v>216</v>
      </c>
      <c r="K75" s="19" t="s">
        <v>32</v>
      </c>
      <c r="L75" s="19" t="s">
        <v>210</v>
      </c>
      <c r="M75" s="19">
        <v>88.9549921786477</v>
      </c>
      <c r="N75" s="19">
        <v>1391</v>
      </c>
      <c r="O75" s="19">
        <v>0.179</v>
      </c>
      <c r="P75" s="19" t="s">
        <v>211</v>
      </c>
      <c r="Q75" s="19">
        <v>0.30675</v>
      </c>
      <c r="R75">
        <f t="shared" si="4"/>
        <v>13.91</v>
      </c>
      <c r="T75" s="15" t="s">
        <v>119</v>
      </c>
      <c r="U75" s="17"/>
      <c r="V75" s="16" t="str">
        <f t="shared" si="5"/>
        <v>EN_SPV_18_c02_BHS</v>
      </c>
      <c r="W75" s="12">
        <f t="shared" si="6"/>
        <v>1391</v>
      </c>
      <c r="X75" s="11">
        <f t="shared" si="7"/>
        <v>1391</v>
      </c>
      <c r="Y75" s="17">
        <v>3</v>
      </c>
      <c r="Z75" s="17"/>
      <c r="AC75" s="19" t="s">
        <v>216</v>
      </c>
    </row>
    <row r="76" spans="2:29">
      <c r="B76" s="19" t="s">
        <v>26</v>
      </c>
      <c r="C76" s="19" t="s">
        <v>218</v>
      </c>
      <c r="D76" s="19" t="s">
        <v>219</v>
      </c>
      <c r="E76" s="19" t="s">
        <v>29</v>
      </c>
      <c r="F76" s="19" t="s">
        <v>30</v>
      </c>
      <c r="G76" s="19" t="s">
        <v>31</v>
      </c>
      <c r="J76" s="19" t="s">
        <v>218</v>
      </c>
      <c r="K76" s="19" t="s">
        <v>32</v>
      </c>
      <c r="L76" s="19" t="s">
        <v>210</v>
      </c>
      <c r="M76" s="19">
        <v>101.208996203257</v>
      </c>
      <c r="N76" s="19">
        <v>1391</v>
      </c>
      <c r="O76" s="19">
        <v>0.179095634095634</v>
      </c>
      <c r="P76" s="19" t="s">
        <v>211</v>
      </c>
      <c r="Q76" s="19">
        <v>0.7215</v>
      </c>
      <c r="R76">
        <f t="shared" si="4"/>
        <v>13.91</v>
      </c>
      <c r="T76" s="15" t="s">
        <v>119</v>
      </c>
      <c r="U76" s="17"/>
      <c r="V76" s="16" t="str">
        <f t="shared" si="5"/>
        <v>EN_SPV_18_c03_BHS</v>
      </c>
      <c r="W76" s="12">
        <f t="shared" si="6"/>
        <v>1391</v>
      </c>
      <c r="X76" s="11">
        <f t="shared" si="7"/>
        <v>1391</v>
      </c>
      <c r="Y76" s="17">
        <v>3</v>
      </c>
      <c r="Z76" s="17"/>
      <c r="AC76" s="19" t="s">
        <v>218</v>
      </c>
    </row>
    <row r="77" spans="2:29">
      <c r="B77" s="19" t="s">
        <v>26</v>
      </c>
      <c r="C77" s="19" t="s">
        <v>220</v>
      </c>
      <c r="D77" s="19" t="s">
        <v>221</v>
      </c>
      <c r="E77" s="19" t="s">
        <v>29</v>
      </c>
      <c r="F77" s="19" t="s">
        <v>30</v>
      </c>
      <c r="G77" s="19" t="s">
        <v>31</v>
      </c>
      <c r="J77" s="19" t="s">
        <v>220</v>
      </c>
      <c r="K77" s="19" t="s">
        <v>32</v>
      </c>
      <c r="L77" s="19" t="s">
        <v>210</v>
      </c>
      <c r="M77" s="19">
        <v>138.878712278909</v>
      </c>
      <c r="N77" s="19">
        <v>1391</v>
      </c>
      <c r="O77" s="19">
        <v>0.183001949317739</v>
      </c>
      <c r="P77" s="19" t="s">
        <v>211</v>
      </c>
      <c r="Q77" s="19">
        <v>1.15425</v>
      </c>
      <c r="R77">
        <f t="shared" si="4"/>
        <v>13.91</v>
      </c>
      <c r="T77" s="15" t="s">
        <v>119</v>
      </c>
      <c r="U77" s="17"/>
      <c r="V77" s="16" t="str">
        <f t="shared" si="5"/>
        <v>EN_SPV_18_c04_BHS</v>
      </c>
      <c r="W77" s="12">
        <f t="shared" si="6"/>
        <v>1391</v>
      </c>
      <c r="X77" s="11">
        <f t="shared" si="7"/>
        <v>1391</v>
      </c>
      <c r="Y77" s="17">
        <v>3</v>
      </c>
      <c r="Z77" s="17"/>
      <c r="AC77" s="19" t="s">
        <v>220</v>
      </c>
    </row>
    <row r="78" spans="2:29">
      <c r="B78" s="19" t="s">
        <v>26</v>
      </c>
      <c r="C78" s="19" t="s">
        <v>222</v>
      </c>
      <c r="D78" s="19" t="s">
        <v>223</v>
      </c>
      <c r="E78" s="19" t="s">
        <v>29</v>
      </c>
      <c r="F78" s="19" t="s">
        <v>30</v>
      </c>
      <c r="G78" s="19" t="s">
        <v>31</v>
      </c>
      <c r="J78" s="19" t="s">
        <v>222</v>
      </c>
      <c r="K78" s="19" t="s">
        <v>32</v>
      </c>
      <c r="L78" s="19" t="s">
        <v>210</v>
      </c>
      <c r="M78" s="19">
        <v>138.878712278909</v>
      </c>
      <c r="N78" s="19">
        <v>1391</v>
      </c>
      <c r="O78" s="19">
        <v>0.188176785714286</v>
      </c>
      <c r="P78" s="19" t="s">
        <v>211</v>
      </c>
      <c r="Q78" s="19">
        <v>0.84</v>
      </c>
      <c r="R78">
        <f t="shared" si="4"/>
        <v>13.91</v>
      </c>
      <c r="T78" s="15" t="s">
        <v>119</v>
      </c>
      <c r="U78" s="17"/>
      <c r="V78" s="16" t="str">
        <f t="shared" si="5"/>
        <v>EN_SPV_19_c04_BHS</v>
      </c>
      <c r="W78" s="12">
        <f t="shared" si="6"/>
        <v>1391</v>
      </c>
      <c r="X78" s="11">
        <f t="shared" si="7"/>
        <v>1391</v>
      </c>
      <c r="Y78" s="17">
        <v>3</v>
      </c>
      <c r="Z78" s="17"/>
      <c r="AC78" s="19" t="s">
        <v>222</v>
      </c>
    </row>
    <row r="79" spans="2:29">
      <c r="B79" s="19" t="s">
        <v>26</v>
      </c>
      <c r="C79" s="19" t="s">
        <v>224</v>
      </c>
      <c r="D79" s="19" t="s">
        <v>225</v>
      </c>
      <c r="E79" s="19" t="s">
        <v>29</v>
      </c>
      <c r="F79" s="19" t="s">
        <v>30</v>
      </c>
      <c r="G79" s="19" t="s">
        <v>31</v>
      </c>
      <c r="J79" s="19" t="s">
        <v>224</v>
      </c>
      <c r="K79" s="19" t="s">
        <v>32</v>
      </c>
      <c r="L79" s="19" t="s">
        <v>226</v>
      </c>
      <c r="M79" s="19">
        <v>88.9549921786477</v>
      </c>
      <c r="N79" s="19">
        <v>769</v>
      </c>
      <c r="O79" s="19">
        <v>0.133927562417871</v>
      </c>
      <c r="P79" s="19" t="s">
        <v>227</v>
      </c>
      <c r="Q79" s="19">
        <v>4.566</v>
      </c>
      <c r="R79">
        <f t="shared" si="4"/>
        <v>7.69</v>
      </c>
      <c r="T79" s="15" t="s">
        <v>69</v>
      </c>
      <c r="U79" s="17"/>
      <c r="V79" s="16" t="str">
        <f t="shared" si="5"/>
        <v>EN_SPV_13_c02_BIH</v>
      </c>
      <c r="W79" s="12">
        <f t="shared" si="6"/>
        <v>769</v>
      </c>
      <c r="X79" s="11">
        <f t="shared" si="7"/>
        <v>769</v>
      </c>
      <c r="Y79" s="17">
        <v>3</v>
      </c>
      <c r="Z79" s="17"/>
      <c r="AC79" s="19" t="s">
        <v>224</v>
      </c>
    </row>
    <row r="80" spans="2:29">
      <c r="B80" s="19" t="s">
        <v>26</v>
      </c>
      <c r="C80" s="19" t="s">
        <v>228</v>
      </c>
      <c r="D80" s="19" t="s">
        <v>229</v>
      </c>
      <c r="E80" s="19" t="s">
        <v>29</v>
      </c>
      <c r="F80" s="19" t="s">
        <v>30</v>
      </c>
      <c r="G80" s="19" t="s">
        <v>31</v>
      </c>
      <c r="J80" s="19" t="s">
        <v>228</v>
      </c>
      <c r="K80" s="19" t="s">
        <v>32</v>
      </c>
      <c r="L80" s="19" t="s">
        <v>226</v>
      </c>
      <c r="M80" s="19">
        <v>101.208996203257</v>
      </c>
      <c r="N80" s="19">
        <v>769</v>
      </c>
      <c r="O80" s="19">
        <v>0.13328942853372</v>
      </c>
      <c r="P80" s="19" t="s">
        <v>227</v>
      </c>
      <c r="Q80" s="19">
        <v>5.68275</v>
      </c>
      <c r="R80">
        <f t="shared" si="4"/>
        <v>7.69</v>
      </c>
      <c r="T80" s="15" t="s">
        <v>69</v>
      </c>
      <c r="U80" s="17"/>
      <c r="V80" s="16" t="str">
        <f t="shared" si="5"/>
        <v>EN_SPV_13_c03_BIH</v>
      </c>
      <c r="W80" s="12">
        <f t="shared" si="6"/>
        <v>769</v>
      </c>
      <c r="X80" s="11">
        <f t="shared" si="7"/>
        <v>769</v>
      </c>
      <c r="Y80" s="17">
        <v>3</v>
      </c>
      <c r="Z80" s="17"/>
      <c r="AC80" s="19" t="s">
        <v>228</v>
      </c>
    </row>
    <row r="81" spans="2:29">
      <c r="B81" s="19" t="s">
        <v>26</v>
      </c>
      <c r="C81" s="19" t="s">
        <v>230</v>
      </c>
      <c r="D81" s="19" t="s">
        <v>231</v>
      </c>
      <c r="E81" s="19" t="s">
        <v>29</v>
      </c>
      <c r="F81" s="19" t="s">
        <v>30</v>
      </c>
      <c r="G81" s="19" t="s">
        <v>31</v>
      </c>
      <c r="J81" s="19" t="s">
        <v>230</v>
      </c>
      <c r="K81" s="19" t="s">
        <v>32</v>
      </c>
      <c r="L81" s="19" t="s">
        <v>226</v>
      </c>
      <c r="M81" s="19">
        <v>88.9549921786477</v>
      </c>
      <c r="N81" s="19">
        <v>769</v>
      </c>
      <c r="O81" s="19">
        <v>0.13678285583051</v>
      </c>
      <c r="P81" s="19" t="s">
        <v>227</v>
      </c>
      <c r="Q81" s="19">
        <v>13.06275</v>
      </c>
      <c r="R81">
        <f t="shared" si="4"/>
        <v>7.69</v>
      </c>
      <c r="T81" s="15" t="s">
        <v>69</v>
      </c>
      <c r="U81" s="17"/>
      <c r="V81" s="16" t="str">
        <f t="shared" si="5"/>
        <v>EN_SPV_14_c02_BIH</v>
      </c>
      <c r="W81" s="12">
        <f t="shared" si="6"/>
        <v>769</v>
      </c>
      <c r="X81" s="11">
        <f t="shared" si="7"/>
        <v>769</v>
      </c>
      <c r="Y81" s="17">
        <v>3</v>
      </c>
      <c r="Z81" s="17"/>
      <c r="AC81" s="19" t="s">
        <v>230</v>
      </c>
    </row>
    <row r="82" spans="2:29">
      <c r="B82" s="19" t="s">
        <v>26</v>
      </c>
      <c r="C82" s="19" t="s">
        <v>232</v>
      </c>
      <c r="D82" s="19" t="s">
        <v>233</v>
      </c>
      <c r="E82" s="19" t="s">
        <v>29</v>
      </c>
      <c r="F82" s="19" t="s">
        <v>30</v>
      </c>
      <c r="G82" s="19" t="s">
        <v>31</v>
      </c>
      <c r="J82" s="19" t="s">
        <v>232</v>
      </c>
      <c r="K82" s="19" t="s">
        <v>32</v>
      </c>
      <c r="L82" s="19" t="s">
        <v>226</v>
      </c>
      <c r="M82" s="19">
        <v>101.208996203257</v>
      </c>
      <c r="N82" s="19">
        <v>769</v>
      </c>
      <c r="O82" s="19">
        <v>0.136196529459241</v>
      </c>
      <c r="P82" s="19" t="s">
        <v>227</v>
      </c>
      <c r="Q82" s="19">
        <v>3.717</v>
      </c>
      <c r="R82">
        <f t="shared" si="4"/>
        <v>7.69</v>
      </c>
      <c r="T82" s="15" t="s">
        <v>69</v>
      </c>
      <c r="U82" s="17"/>
      <c r="V82" s="16" t="str">
        <f t="shared" si="5"/>
        <v>EN_SPV_14_c03_BIH</v>
      </c>
      <c r="W82" s="12">
        <f t="shared" si="6"/>
        <v>769</v>
      </c>
      <c r="X82" s="11">
        <f t="shared" si="7"/>
        <v>769</v>
      </c>
      <c r="Y82" s="17">
        <v>3</v>
      </c>
      <c r="Z82" s="17"/>
      <c r="AC82" s="19" t="s">
        <v>232</v>
      </c>
    </row>
    <row r="83" spans="2:29">
      <c r="B83" s="19" t="s">
        <v>26</v>
      </c>
      <c r="C83" s="19" t="s">
        <v>234</v>
      </c>
      <c r="D83" s="19" t="s">
        <v>235</v>
      </c>
      <c r="E83" s="19" t="s">
        <v>29</v>
      </c>
      <c r="F83" s="19" t="s">
        <v>30</v>
      </c>
      <c r="G83" s="19" t="s">
        <v>31</v>
      </c>
      <c r="J83" s="19" t="s">
        <v>234</v>
      </c>
      <c r="K83" s="19" t="s">
        <v>32</v>
      </c>
      <c r="L83" s="19" t="s">
        <v>226</v>
      </c>
      <c r="M83" s="19">
        <v>88.9549921786477</v>
      </c>
      <c r="N83" s="19">
        <v>769</v>
      </c>
      <c r="O83" s="19">
        <v>0.150367700729927</v>
      </c>
      <c r="P83" s="19" t="s">
        <v>227</v>
      </c>
      <c r="Q83" s="19">
        <v>3.288</v>
      </c>
      <c r="R83">
        <f t="shared" si="4"/>
        <v>7.69</v>
      </c>
      <c r="T83" s="15" t="s">
        <v>69</v>
      </c>
      <c r="U83" s="17"/>
      <c r="V83" s="16" t="str">
        <f t="shared" si="5"/>
        <v>EN_SPV_15_c02_BIH</v>
      </c>
      <c r="W83" s="12">
        <f t="shared" si="6"/>
        <v>769</v>
      </c>
      <c r="X83" s="11">
        <f t="shared" si="7"/>
        <v>769</v>
      </c>
      <c r="Y83" s="17">
        <v>3</v>
      </c>
      <c r="Z83" s="17"/>
      <c r="AC83" s="19" t="s">
        <v>234</v>
      </c>
    </row>
    <row r="84" spans="2:29">
      <c r="B84" s="19" t="s">
        <v>26</v>
      </c>
      <c r="C84" s="19" t="s">
        <v>236</v>
      </c>
      <c r="D84" s="19" t="s">
        <v>237</v>
      </c>
      <c r="E84" s="19" t="s">
        <v>29</v>
      </c>
      <c r="F84" s="19" t="s">
        <v>30</v>
      </c>
      <c r="G84" s="19" t="s">
        <v>31</v>
      </c>
      <c r="J84" s="19" t="s">
        <v>236</v>
      </c>
      <c r="K84" s="19" t="s">
        <v>32</v>
      </c>
      <c r="L84" s="19" t="s">
        <v>226</v>
      </c>
      <c r="M84" s="19">
        <v>88.9549921786477</v>
      </c>
      <c r="N84" s="19">
        <v>769</v>
      </c>
      <c r="O84" s="19">
        <v>0.157234106962664</v>
      </c>
      <c r="P84" s="19" t="s">
        <v>227</v>
      </c>
      <c r="Q84" s="19">
        <v>5.20275</v>
      </c>
      <c r="R84">
        <f t="shared" si="4"/>
        <v>7.69</v>
      </c>
      <c r="T84" s="15" t="s">
        <v>69</v>
      </c>
      <c r="U84" s="17"/>
      <c r="V84" s="16" t="str">
        <f t="shared" si="5"/>
        <v>EN_SPV_16_c02_BIH</v>
      </c>
      <c r="W84" s="12">
        <f t="shared" si="6"/>
        <v>769</v>
      </c>
      <c r="X84" s="11">
        <f t="shared" si="7"/>
        <v>769</v>
      </c>
      <c r="Y84" s="17">
        <v>3</v>
      </c>
      <c r="Z84" s="17"/>
      <c r="AC84" s="19" t="s">
        <v>236</v>
      </c>
    </row>
    <row r="85" spans="2:29">
      <c r="B85" s="19" t="s">
        <v>26</v>
      </c>
      <c r="C85" s="19" t="s">
        <v>238</v>
      </c>
      <c r="D85" s="19" t="s">
        <v>239</v>
      </c>
      <c r="E85" s="19" t="s">
        <v>29</v>
      </c>
      <c r="F85" s="19" t="s">
        <v>30</v>
      </c>
      <c r="G85" s="19" t="s">
        <v>31</v>
      </c>
      <c r="J85" s="19" t="s">
        <v>238</v>
      </c>
      <c r="K85" s="19" t="s">
        <v>32</v>
      </c>
      <c r="L85" s="19" t="s">
        <v>240</v>
      </c>
      <c r="M85" s="19">
        <v>101.208996203257</v>
      </c>
      <c r="N85" s="19">
        <v>974</v>
      </c>
      <c r="O85" s="19">
        <v>0.117926273206876</v>
      </c>
      <c r="P85" s="19" t="s">
        <v>241</v>
      </c>
      <c r="Q85" s="19">
        <v>107.90175</v>
      </c>
      <c r="R85">
        <f t="shared" si="4"/>
        <v>9.74</v>
      </c>
      <c r="T85" s="15" t="s">
        <v>112</v>
      </c>
      <c r="U85" s="17"/>
      <c r="V85" s="16" t="str">
        <f t="shared" si="5"/>
        <v>EN_SPV_12_c03_BLR</v>
      </c>
      <c r="W85" s="12">
        <f t="shared" si="6"/>
        <v>974</v>
      </c>
      <c r="X85" s="11">
        <f t="shared" si="7"/>
        <v>974</v>
      </c>
      <c r="Y85" s="17">
        <v>3</v>
      </c>
      <c r="Z85" s="17"/>
      <c r="AC85" s="19" t="s">
        <v>238</v>
      </c>
    </row>
    <row r="86" spans="2:29">
      <c r="B86" s="19" t="s">
        <v>26</v>
      </c>
      <c r="C86" s="19" t="s">
        <v>242</v>
      </c>
      <c r="D86" s="19" t="s">
        <v>243</v>
      </c>
      <c r="E86" s="19" t="s">
        <v>29</v>
      </c>
      <c r="F86" s="19" t="s">
        <v>30</v>
      </c>
      <c r="G86" s="19" t="s">
        <v>31</v>
      </c>
      <c r="J86" s="19" t="s">
        <v>242</v>
      </c>
      <c r="K86" s="19" t="s">
        <v>32</v>
      </c>
      <c r="L86" s="19" t="s">
        <v>244</v>
      </c>
      <c r="M86" s="19">
        <v>0</v>
      </c>
      <c r="N86" s="19">
        <v>1285</v>
      </c>
      <c r="O86" s="19">
        <v>0.163300628930818</v>
      </c>
      <c r="P86" s="19" t="s">
        <v>245</v>
      </c>
      <c r="Q86" s="19">
        <v>0.59625</v>
      </c>
      <c r="R86">
        <f t="shared" si="4"/>
        <v>12.85</v>
      </c>
      <c r="T86" s="15" t="s">
        <v>89</v>
      </c>
      <c r="U86" s="17"/>
      <c r="V86" s="16" t="str">
        <f t="shared" si="5"/>
        <v>EN_SPV_16_c01_BLZ</v>
      </c>
      <c r="W86" s="12">
        <f t="shared" si="6"/>
        <v>1285</v>
      </c>
      <c r="X86" s="11">
        <f t="shared" si="7"/>
        <v>1285</v>
      </c>
      <c r="Y86" s="17">
        <v>3</v>
      </c>
      <c r="Z86" s="17"/>
      <c r="AC86" s="19" t="s">
        <v>242</v>
      </c>
    </row>
    <row r="87" spans="2:29">
      <c r="B87" s="19" t="s">
        <v>26</v>
      </c>
      <c r="C87" s="19" t="s">
        <v>246</v>
      </c>
      <c r="D87" s="19" t="s">
        <v>247</v>
      </c>
      <c r="E87" s="19" t="s">
        <v>29</v>
      </c>
      <c r="F87" s="19" t="s">
        <v>30</v>
      </c>
      <c r="G87" s="19" t="s">
        <v>31</v>
      </c>
      <c r="J87" s="19" t="s">
        <v>246</v>
      </c>
      <c r="K87" s="19" t="s">
        <v>32</v>
      </c>
      <c r="L87" s="19" t="s">
        <v>244</v>
      </c>
      <c r="M87" s="19">
        <v>88.9549921786477</v>
      </c>
      <c r="N87" s="19">
        <v>1285</v>
      </c>
      <c r="O87" s="19">
        <v>0.162349385245902</v>
      </c>
      <c r="P87" s="19" t="s">
        <v>245</v>
      </c>
      <c r="Q87" s="19">
        <v>0.732</v>
      </c>
      <c r="R87">
        <f t="shared" si="4"/>
        <v>12.85</v>
      </c>
      <c r="T87" s="15" t="s">
        <v>89</v>
      </c>
      <c r="U87" s="17"/>
      <c r="V87" s="16" t="str">
        <f t="shared" si="5"/>
        <v>EN_SPV_16_c02_BLZ</v>
      </c>
      <c r="W87" s="12">
        <f t="shared" si="6"/>
        <v>1285</v>
      </c>
      <c r="X87" s="11">
        <f t="shared" si="7"/>
        <v>1285</v>
      </c>
      <c r="Y87" s="17">
        <v>3</v>
      </c>
      <c r="Z87" s="17"/>
      <c r="AC87" s="19" t="s">
        <v>246</v>
      </c>
    </row>
    <row r="88" spans="2:29">
      <c r="B88" s="19" t="s">
        <v>26</v>
      </c>
      <c r="C88" s="19" t="s">
        <v>248</v>
      </c>
      <c r="D88" s="19" t="s">
        <v>249</v>
      </c>
      <c r="E88" s="19" t="s">
        <v>29</v>
      </c>
      <c r="F88" s="19" t="s">
        <v>30</v>
      </c>
      <c r="G88" s="19" t="s">
        <v>31</v>
      </c>
      <c r="J88" s="19" t="s">
        <v>248</v>
      </c>
      <c r="K88" s="19" t="s">
        <v>32</v>
      </c>
      <c r="L88" s="19" t="s">
        <v>244</v>
      </c>
      <c r="M88" s="19">
        <v>0</v>
      </c>
      <c r="N88" s="19">
        <v>1285</v>
      </c>
      <c r="O88" s="19">
        <v>0.166</v>
      </c>
      <c r="P88" s="19" t="s">
        <v>245</v>
      </c>
      <c r="Q88" s="19">
        <v>0.285</v>
      </c>
      <c r="R88">
        <f t="shared" si="4"/>
        <v>12.85</v>
      </c>
      <c r="T88" s="15" t="s">
        <v>89</v>
      </c>
      <c r="U88" s="17"/>
      <c r="V88" s="16" t="str">
        <f t="shared" si="5"/>
        <v>EN_SPV_17_c01_BLZ</v>
      </c>
      <c r="W88" s="12">
        <f t="shared" si="6"/>
        <v>1285</v>
      </c>
      <c r="X88" s="11">
        <f t="shared" si="7"/>
        <v>1285</v>
      </c>
      <c r="Y88" s="17">
        <v>3</v>
      </c>
      <c r="Z88" s="17"/>
      <c r="AC88" s="19" t="s">
        <v>248</v>
      </c>
    </row>
    <row r="89" spans="2:29">
      <c r="B89" s="19" t="s">
        <v>26</v>
      </c>
      <c r="C89" s="19" t="s">
        <v>250</v>
      </c>
      <c r="D89" s="19" t="s">
        <v>251</v>
      </c>
      <c r="E89" s="19" t="s">
        <v>29</v>
      </c>
      <c r="F89" s="19" t="s">
        <v>30</v>
      </c>
      <c r="G89" s="19" t="s">
        <v>31</v>
      </c>
      <c r="J89" s="19" t="s">
        <v>250</v>
      </c>
      <c r="K89" s="19" t="s">
        <v>32</v>
      </c>
      <c r="L89" s="19" t="s">
        <v>252</v>
      </c>
      <c r="M89" s="19">
        <v>88.9549921786477</v>
      </c>
      <c r="N89" s="19">
        <v>1344</v>
      </c>
      <c r="O89" s="19">
        <v>0.168427206454809</v>
      </c>
      <c r="P89" s="19" t="s">
        <v>253</v>
      </c>
      <c r="Q89" s="19">
        <v>21.1935</v>
      </c>
      <c r="R89">
        <f t="shared" si="4"/>
        <v>13.44</v>
      </c>
      <c r="T89" s="15" t="s">
        <v>89</v>
      </c>
      <c r="U89" s="17"/>
      <c r="V89" s="16" t="str">
        <f t="shared" si="5"/>
        <v>EN_SPV_17_c02_BOL</v>
      </c>
      <c r="W89" s="12">
        <f t="shared" si="6"/>
        <v>1344</v>
      </c>
      <c r="X89" s="11">
        <f t="shared" si="7"/>
        <v>1344</v>
      </c>
      <c r="Y89" s="17">
        <v>3</v>
      </c>
      <c r="Z89" s="17"/>
      <c r="AC89" s="19" t="s">
        <v>250</v>
      </c>
    </row>
    <row r="90" spans="2:29">
      <c r="B90" s="19" t="s">
        <v>26</v>
      </c>
      <c r="C90" s="19" t="s">
        <v>254</v>
      </c>
      <c r="D90" s="19" t="s">
        <v>255</v>
      </c>
      <c r="E90" s="19" t="s">
        <v>29</v>
      </c>
      <c r="F90" s="19" t="s">
        <v>30</v>
      </c>
      <c r="G90" s="19" t="s">
        <v>31</v>
      </c>
      <c r="J90" s="19" t="s">
        <v>254</v>
      </c>
      <c r="K90" s="19" t="s">
        <v>32</v>
      </c>
      <c r="L90" s="19" t="s">
        <v>252</v>
      </c>
      <c r="M90" s="19">
        <v>101.208996203257</v>
      </c>
      <c r="N90" s="19">
        <v>1344</v>
      </c>
      <c r="O90" s="19">
        <v>0.168156160361986</v>
      </c>
      <c r="P90" s="19" t="s">
        <v>253</v>
      </c>
      <c r="Q90" s="19">
        <v>55.69275</v>
      </c>
      <c r="R90">
        <f t="shared" si="4"/>
        <v>13.44</v>
      </c>
      <c r="T90" s="15" t="s">
        <v>89</v>
      </c>
      <c r="U90" s="17"/>
      <c r="V90" s="16" t="str">
        <f t="shared" si="5"/>
        <v>EN_SPV_17_c03_BOL</v>
      </c>
      <c r="W90" s="12">
        <f t="shared" si="6"/>
        <v>1344</v>
      </c>
      <c r="X90" s="11">
        <f t="shared" si="7"/>
        <v>1344</v>
      </c>
      <c r="Y90" s="17">
        <v>3</v>
      </c>
      <c r="Z90" s="17"/>
      <c r="AC90" s="19" t="s">
        <v>254</v>
      </c>
    </row>
    <row r="91" spans="2:29">
      <c r="B91" s="19" t="s">
        <v>26</v>
      </c>
      <c r="C91" s="19" t="s">
        <v>256</v>
      </c>
      <c r="D91" s="19" t="s">
        <v>257</v>
      </c>
      <c r="E91" s="19" t="s">
        <v>29</v>
      </c>
      <c r="F91" s="19" t="s">
        <v>30</v>
      </c>
      <c r="G91" s="19" t="s">
        <v>31</v>
      </c>
      <c r="J91" s="19" t="s">
        <v>256</v>
      </c>
      <c r="K91" s="19" t="s">
        <v>32</v>
      </c>
      <c r="L91" s="19" t="s">
        <v>252</v>
      </c>
      <c r="M91" s="19">
        <v>101.208996203257</v>
      </c>
      <c r="N91" s="19">
        <v>1344</v>
      </c>
      <c r="O91" s="19">
        <v>0.176</v>
      </c>
      <c r="P91" s="19" t="s">
        <v>253</v>
      </c>
      <c r="Q91" s="19">
        <v>0.90675</v>
      </c>
      <c r="R91">
        <f t="shared" si="4"/>
        <v>13.44</v>
      </c>
      <c r="T91" s="15" t="s">
        <v>89</v>
      </c>
      <c r="U91" s="17"/>
      <c r="V91" s="16" t="str">
        <f t="shared" si="5"/>
        <v>EN_SPV_18_c03_BOL</v>
      </c>
      <c r="W91" s="12">
        <f t="shared" si="6"/>
        <v>1344</v>
      </c>
      <c r="X91" s="11">
        <f t="shared" si="7"/>
        <v>1344</v>
      </c>
      <c r="Y91" s="17">
        <v>3</v>
      </c>
      <c r="Z91" s="17"/>
      <c r="AC91" s="19" t="s">
        <v>256</v>
      </c>
    </row>
    <row r="92" spans="2:29">
      <c r="B92" s="19" t="s">
        <v>26</v>
      </c>
      <c r="C92" s="19" t="s">
        <v>258</v>
      </c>
      <c r="D92" s="19" t="s">
        <v>259</v>
      </c>
      <c r="E92" s="19" t="s">
        <v>29</v>
      </c>
      <c r="F92" s="19" t="s">
        <v>30</v>
      </c>
      <c r="G92" s="19" t="s">
        <v>31</v>
      </c>
      <c r="J92" s="19" t="s">
        <v>258</v>
      </c>
      <c r="K92" s="19" t="s">
        <v>32</v>
      </c>
      <c r="L92" s="19" t="s">
        <v>252</v>
      </c>
      <c r="M92" s="19">
        <v>0</v>
      </c>
      <c r="N92" s="19">
        <v>1344</v>
      </c>
      <c r="O92" s="19">
        <v>0.191407988587732</v>
      </c>
      <c r="P92" s="19" t="s">
        <v>253</v>
      </c>
      <c r="Q92" s="19">
        <v>0.52575</v>
      </c>
      <c r="R92">
        <f t="shared" si="4"/>
        <v>13.44</v>
      </c>
      <c r="T92" s="15" t="s">
        <v>89</v>
      </c>
      <c r="U92" s="17"/>
      <c r="V92" s="16" t="str">
        <f t="shared" si="5"/>
        <v>EN_SPV_19_c01_BOL</v>
      </c>
      <c r="W92" s="12">
        <f t="shared" si="6"/>
        <v>1344</v>
      </c>
      <c r="X92" s="11">
        <f t="shared" si="7"/>
        <v>1344</v>
      </c>
      <c r="Y92" s="17">
        <v>3</v>
      </c>
      <c r="Z92" s="17"/>
      <c r="AC92" s="19" t="s">
        <v>258</v>
      </c>
    </row>
    <row r="93" spans="2:29">
      <c r="B93" s="19" t="s">
        <v>26</v>
      </c>
      <c r="C93" s="19" t="s">
        <v>260</v>
      </c>
      <c r="D93" s="19" t="s">
        <v>261</v>
      </c>
      <c r="E93" s="19" t="s">
        <v>29</v>
      </c>
      <c r="F93" s="19" t="s">
        <v>30</v>
      </c>
      <c r="G93" s="19" t="s">
        <v>31</v>
      </c>
      <c r="J93" s="19" t="s">
        <v>260</v>
      </c>
      <c r="K93" s="19" t="s">
        <v>32</v>
      </c>
      <c r="L93" s="19" t="s">
        <v>252</v>
      </c>
      <c r="M93" s="19">
        <v>0</v>
      </c>
      <c r="N93" s="19">
        <v>1344</v>
      </c>
      <c r="O93" s="19">
        <v>0.199229651162791</v>
      </c>
      <c r="P93" s="19" t="s">
        <v>253</v>
      </c>
      <c r="Q93" s="19">
        <v>0.516</v>
      </c>
      <c r="R93">
        <f t="shared" si="4"/>
        <v>13.44</v>
      </c>
      <c r="T93" s="15" t="s">
        <v>89</v>
      </c>
      <c r="U93" s="17"/>
      <c r="V93" s="16" t="str">
        <f t="shared" si="5"/>
        <v>EN_SPV_20_c01_BOL</v>
      </c>
      <c r="W93" s="12">
        <f t="shared" si="6"/>
        <v>1344</v>
      </c>
      <c r="X93" s="11">
        <f t="shared" si="7"/>
        <v>1344</v>
      </c>
      <c r="Y93" s="17">
        <v>3</v>
      </c>
      <c r="Z93" s="17"/>
      <c r="AC93" s="19" t="s">
        <v>260</v>
      </c>
    </row>
    <row r="94" spans="2:29">
      <c r="B94" s="19" t="s">
        <v>26</v>
      </c>
      <c r="C94" s="19" t="s">
        <v>262</v>
      </c>
      <c r="D94" s="19" t="s">
        <v>263</v>
      </c>
      <c r="E94" s="19" t="s">
        <v>29</v>
      </c>
      <c r="F94" s="19" t="s">
        <v>30</v>
      </c>
      <c r="G94" s="19" t="s">
        <v>31</v>
      </c>
      <c r="J94" s="19" t="s">
        <v>262</v>
      </c>
      <c r="K94" s="19" t="s">
        <v>32</v>
      </c>
      <c r="L94" s="19" t="s">
        <v>264</v>
      </c>
      <c r="M94" s="19">
        <v>0</v>
      </c>
      <c r="N94" s="19">
        <v>1255</v>
      </c>
      <c r="O94" s="19">
        <v>0.169866804517565</v>
      </c>
      <c r="P94" s="19" t="s">
        <v>265</v>
      </c>
      <c r="Q94" s="19">
        <v>233.223</v>
      </c>
      <c r="R94">
        <f t="shared" si="4"/>
        <v>12.55</v>
      </c>
      <c r="T94" s="15" t="s">
        <v>89</v>
      </c>
      <c r="U94" s="17"/>
      <c r="V94" s="16" t="str">
        <f t="shared" si="5"/>
        <v>EN_SPV_17_c01_BRA</v>
      </c>
      <c r="W94" s="12">
        <f t="shared" si="6"/>
        <v>1255</v>
      </c>
      <c r="X94" s="11">
        <f t="shared" si="7"/>
        <v>1255</v>
      </c>
      <c r="Y94" s="17">
        <v>3</v>
      </c>
      <c r="Z94" s="17"/>
      <c r="AC94" s="19" t="s">
        <v>262</v>
      </c>
    </row>
    <row r="95" spans="2:29">
      <c r="B95" s="19" t="s">
        <v>26</v>
      </c>
      <c r="C95" s="19" t="s">
        <v>266</v>
      </c>
      <c r="D95" s="19" t="s">
        <v>267</v>
      </c>
      <c r="E95" s="19" t="s">
        <v>29</v>
      </c>
      <c r="F95" s="19" t="s">
        <v>30</v>
      </c>
      <c r="G95" s="19" t="s">
        <v>31</v>
      </c>
      <c r="J95" s="19" t="s">
        <v>266</v>
      </c>
      <c r="K95" s="19" t="s">
        <v>32</v>
      </c>
      <c r="L95" s="19" t="s">
        <v>264</v>
      </c>
      <c r="M95" s="19">
        <v>101.208996203257</v>
      </c>
      <c r="N95" s="19">
        <v>1255</v>
      </c>
      <c r="O95" s="19">
        <v>0.170047806363608</v>
      </c>
      <c r="P95" s="19" t="s">
        <v>265</v>
      </c>
      <c r="Q95" s="19">
        <v>141.8535</v>
      </c>
      <c r="R95">
        <f t="shared" si="4"/>
        <v>12.55</v>
      </c>
      <c r="T95" s="15" t="s">
        <v>89</v>
      </c>
      <c r="U95" s="17"/>
      <c r="V95" s="16" t="str">
        <f t="shared" si="5"/>
        <v>EN_SPV_17_c03_BRA</v>
      </c>
      <c r="W95" s="12">
        <f t="shared" si="6"/>
        <v>1255</v>
      </c>
      <c r="X95" s="11">
        <f t="shared" si="7"/>
        <v>1255</v>
      </c>
      <c r="Y95" s="17">
        <v>3</v>
      </c>
      <c r="Z95" s="17"/>
      <c r="AC95" s="19" t="s">
        <v>266</v>
      </c>
    </row>
    <row r="96" spans="2:29">
      <c r="B96" s="19" t="s">
        <v>26</v>
      </c>
      <c r="C96" s="19" t="s">
        <v>268</v>
      </c>
      <c r="D96" s="19" t="s">
        <v>269</v>
      </c>
      <c r="E96" s="19" t="s">
        <v>29</v>
      </c>
      <c r="F96" s="19" t="s">
        <v>30</v>
      </c>
      <c r="G96" s="19" t="s">
        <v>31</v>
      </c>
      <c r="J96" s="19" t="s">
        <v>268</v>
      </c>
      <c r="K96" s="19" t="s">
        <v>32</v>
      </c>
      <c r="L96" s="19" t="s">
        <v>264</v>
      </c>
      <c r="M96" s="19">
        <v>138.878712278909</v>
      </c>
      <c r="N96" s="19">
        <v>1255</v>
      </c>
      <c r="O96" s="19">
        <v>0.170123045578026</v>
      </c>
      <c r="P96" s="19" t="s">
        <v>265</v>
      </c>
      <c r="Q96" s="19">
        <v>149.085</v>
      </c>
      <c r="R96">
        <f t="shared" si="4"/>
        <v>12.55</v>
      </c>
      <c r="T96" s="15" t="s">
        <v>89</v>
      </c>
      <c r="U96" s="17"/>
      <c r="V96" s="16" t="str">
        <f t="shared" si="5"/>
        <v>EN_SPV_17_c04_BRA</v>
      </c>
      <c r="W96" s="12">
        <f t="shared" si="6"/>
        <v>1255</v>
      </c>
      <c r="X96" s="11">
        <f t="shared" si="7"/>
        <v>1255</v>
      </c>
      <c r="Y96" s="17">
        <v>3</v>
      </c>
      <c r="Z96" s="17"/>
      <c r="AC96" s="19" t="s">
        <v>268</v>
      </c>
    </row>
    <row r="97" spans="2:29">
      <c r="B97" s="19" t="s">
        <v>26</v>
      </c>
      <c r="C97" s="19" t="s">
        <v>270</v>
      </c>
      <c r="D97" s="19" t="s">
        <v>271</v>
      </c>
      <c r="E97" s="19" t="s">
        <v>29</v>
      </c>
      <c r="F97" s="19" t="s">
        <v>30</v>
      </c>
      <c r="G97" s="19" t="s">
        <v>31</v>
      </c>
      <c r="J97" s="19" t="s">
        <v>270</v>
      </c>
      <c r="K97" s="19" t="s">
        <v>32</v>
      </c>
      <c r="L97" s="19" t="s">
        <v>264</v>
      </c>
      <c r="M97" s="19">
        <v>0</v>
      </c>
      <c r="N97" s="19">
        <v>1255</v>
      </c>
      <c r="O97" s="19">
        <v>0.179538930109915</v>
      </c>
      <c r="P97" s="19" t="s">
        <v>265</v>
      </c>
      <c r="Q97" s="19">
        <v>339.32925</v>
      </c>
      <c r="R97">
        <f t="shared" si="4"/>
        <v>12.55</v>
      </c>
      <c r="T97" s="15" t="s">
        <v>89</v>
      </c>
      <c r="U97" s="17"/>
      <c r="V97" s="16" t="str">
        <f t="shared" si="5"/>
        <v>EN_SPV_18_c01_BRA</v>
      </c>
      <c r="W97" s="12">
        <f t="shared" si="6"/>
        <v>1255</v>
      </c>
      <c r="X97" s="11">
        <f t="shared" si="7"/>
        <v>1255</v>
      </c>
      <c r="Y97" s="17">
        <v>3</v>
      </c>
      <c r="Z97" s="17"/>
      <c r="AC97" s="19" t="s">
        <v>270</v>
      </c>
    </row>
    <row r="98" spans="2:29">
      <c r="B98" s="19" t="s">
        <v>26</v>
      </c>
      <c r="C98" s="19" t="s">
        <v>272</v>
      </c>
      <c r="D98" s="19" t="s">
        <v>273</v>
      </c>
      <c r="E98" s="19" t="s">
        <v>29</v>
      </c>
      <c r="F98" s="19" t="s">
        <v>30</v>
      </c>
      <c r="G98" s="19" t="s">
        <v>31</v>
      </c>
      <c r="J98" s="19" t="s">
        <v>272</v>
      </c>
      <c r="K98" s="19" t="s">
        <v>32</v>
      </c>
      <c r="L98" s="19" t="s">
        <v>264</v>
      </c>
      <c r="M98" s="19">
        <v>88.9549921786477</v>
      </c>
      <c r="N98" s="19">
        <v>1255</v>
      </c>
      <c r="O98" s="19">
        <v>0.17901796891633</v>
      </c>
      <c r="P98" s="19" t="s">
        <v>265</v>
      </c>
      <c r="Q98" s="19">
        <v>264.20625</v>
      </c>
      <c r="R98">
        <f t="shared" si="4"/>
        <v>12.55</v>
      </c>
      <c r="T98" s="15" t="s">
        <v>89</v>
      </c>
      <c r="U98" s="17"/>
      <c r="V98" s="16" t="str">
        <f t="shared" si="5"/>
        <v>EN_SPV_18_c02_BRA</v>
      </c>
      <c r="W98" s="12">
        <f t="shared" si="6"/>
        <v>1255</v>
      </c>
      <c r="X98" s="11">
        <f t="shared" si="7"/>
        <v>1255</v>
      </c>
      <c r="Y98" s="17">
        <v>3</v>
      </c>
      <c r="Z98" s="17"/>
      <c r="AC98" s="19" t="s">
        <v>272</v>
      </c>
    </row>
    <row r="99" spans="2:29">
      <c r="B99" s="19" t="s">
        <v>26</v>
      </c>
      <c r="C99" s="19" t="s">
        <v>274</v>
      </c>
      <c r="D99" s="19" t="s">
        <v>275</v>
      </c>
      <c r="E99" s="19" t="s">
        <v>29</v>
      </c>
      <c r="F99" s="19" t="s">
        <v>30</v>
      </c>
      <c r="G99" s="19" t="s">
        <v>31</v>
      </c>
      <c r="J99" s="19" t="s">
        <v>274</v>
      </c>
      <c r="K99" s="19" t="s">
        <v>32</v>
      </c>
      <c r="L99" s="19" t="s">
        <v>264</v>
      </c>
      <c r="M99" s="19">
        <v>101.208996203257</v>
      </c>
      <c r="N99" s="19">
        <v>1255</v>
      </c>
      <c r="O99" s="19">
        <v>0.177542326335379</v>
      </c>
      <c r="P99" s="19" t="s">
        <v>265</v>
      </c>
      <c r="Q99" s="19">
        <v>140.64825</v>
      </c>
      <c r="R99">
        <f t="shared" si="4"/>
        <v>12.55</v>
      </c>
      <c r="T99" s="15" t="s">
        <v>89</v>
      </c>
      <c r="U99" s="17"/>
      <c r="V99" s="16" t="str">
        <f t="shared" si="5"/>
        <v>EN_SPV_18_c03_BRA</v>
      </c>
      <c r="W99" s="12">
        <f t="shared" si="6"/>
        <v>1255</v>
      </c>
      <c r="X99" s="11">
        <f t="shared" si="7"/>
        <v>1255</v>
      </c>
      <c r="Y99" s="17">
        <v>3</v>
      </c>
      <c r="Z99" s="17"/>
      <c r="AC99" s="19" t="s">
        <v>274</v>
      </c>
    </row>
    <row r="100" spans="2:29">
      <c r="B100" s="19" t="s">
        <v>26</v>
      </c>
      <c r="C100" s="19" t="s">
        <v>276</v>
      </c>
      <c r="D100" s="19" t="s">
        <v>277</v>
      </c>
      <c r="E100" s="19" t="s">
        <v>29</v>
      </c>
      <c r="F100" s="19" t="s">
        <v>30</v>
      </c>
      <c r="G100" s="19" t="s">
        <v>31</v>
      </c>
      <c r="J100" s="19" t="s">
        <v>276</v>
      </c>
      <c r="K100" s="19" t="s">
        <v>32</v>
      </c>
      <c r="L100" s="19" t="s">
        <v>264</v>
      </c>
      <c r="M100" s="19">
        <v>138.878712278909</v>
      </c>
      <c r="N100" s="19">
        <v>1255</v>
      </c>
      <c r="O100" s="19">
        <v>0.177452772142586</v>
      </c>
      <c r="P100" s="19" t="s">
        <v>265</v>
      </c>
      <c r="Q100" s="19">
        <v>33.64275</v>
      </c>
      <c r="R100">
        <f t="shared" si="4"/>
        <v>12.55</v>
      </c>
      <c r="T100" s="15" t="s">
        <v>89</v>
      </c>
      <c r="U100" s="17"/>
      <c r="V100" s="16" t="str">
        <f t="shared" si="5"/>
        <v>EN_SPV_18_c04_BRA</v>
      </c>
      <c r="W100" s="12">
        <f t="shared" si="6"/>
        <v>1255</v>
      </c>
      <c r="X100" s="11">
        <f t="shared" si="7"/>
        <v>1255</v>
      </c>
      <c r="Y100" s="17">
        <v>3</v>
      </c>
      <c r="Z100" s="17"/>
      <c r="AC100" s="19" t="s">
        <v>276</v>
      </c>
    </row>
    <row r="101" spans="2:29">
      <c r="B101" s="19" t="s">
        <v>26</v>
      </c>
      <c r="C101" s="19" t="s">
        <v>278</v>
      </c>
      <c r="D101" s="19" t="s">
        <v>279</v>
      </c>
      <c r="E101" s="19" t="s">
        <v>29</v>
      </c>
      <c r="F101" s="19" t="s">
        <v>30</v>
      </c>
      <c r="G101" s="19" t="s">
        <v>31</v>
      </c>
      <c r="J101" s="19" t="s">
        <v>278</v>
      </c>
      <c r="K101" s="19" t="s">
        <v>32</v>
      </c>
      <c r="L101" s="19" t="s">
        <v>264</v>
      </c>
      <c r="M101" s="19">
        <v>0</v>
      </c>
      <c r="N101" s="19">
        <v>1255</v>
      </c>
      <c r="O101" s="19">
        <v>0.188021715076682</v>
      </c>
      <c r="P101" s="19" t="s">
        <v>265</v>
      </c>
      <c r="Q101" s="19">
        <v>170.13525</v>
      </c>
      <c r="R101">
        <f t="shared" si="4"/>
        <v>12.55</v>
      </c>
      <c r="T101" s="15" t="s">
        <v>89</v>
      </c>
      <c r="U101" s="17"/>
      <c r="V101" s="16" t="str">
        <f t="shared" si="5"/>
        <v>EN_SPV_19_c01_BRA</v>
      </c>
      <c r="W101" s="12">
        <f t="shared" si="6"/>
        <v>1255</v>
      </c>
      <c r="X101" s="11">
        <f t="shared" si="7"/>
        <v>1255</v>
      </c>
      <c r="Y101" s="17">
        <v>3</v>
      </c>
      <c r="Z101" s="17"/>
      <c r="AC101" s="19" t="s">
        <v>278</v>
      </c>
    </row>
    <row r="102" spans="2:29">
      <c r="B102" s="19" t="s">
        <v>26</v>
      </c>
      <c r="C102" s="19" t="s">
        <v>280</v>
      </c>
      <c r="D102" s="19" t="s">
        <v>281</v>
      </c>
      <c r="E102" s="19" t="s">
        <v>29</v>
      </c>
      <c r="F102" s="19" t="s">
        <v>30</v>
      </c>
      <c r="G102" s="19" t="s">
        <v>31</v>
      </c>
      <c r="J102" s="19" t="s">
        <v>280</v>
      </c>
      <c r="K102" s="19" t="s">
        <v>32</v>
      </c>
      <c r="L102" s="19" t="s">
        <v>264</v>
      </c>
      <c r="M102" s="19">
        <v>88.9549921786477</v>
      </c>
      <c r="N102" s="19">
        <v>1255</v>
      </c>
      <c r="O102" s="19">
        <v>0.18729958321234</v>
      </c>
      <c r="P102" s="19" t="s">
        <v>265</v>
      </c>
      <c r="Q102" s="19">
        <v>87.8145</v>
      </c>
      <c r="R102">
        <f t="shared" si="4"/>
        <v>12.55</v>
      </c>
      <c r="T102" s="15" t="s">
        <v>89</v>
      </c>
      <c r="U102" s="17"/>
      <c r="V102" s="16" t="str">
        <f t="shared" si="5"/>
        <v>EN_SPV_19_c02_BRA</v>
      </c>
      <c r="W102" s="12">
        <f t="shared" si="6"/>
        <v>1255</v>
      </c>
      <c r="X102" s="11">
        <f t="shared" si="7"/>
        <v>1255</v>
      </c>
      <c r="Y102" s="17">
        <v>3</v>
      </c>
      <c r="Z102" s="17"/>
      <c r="AC102" s="19" t="s">
        <v>280</v>
      </c>
    </row>
    <row r="103" spans="2:29">
      <c r="B103" s="19" t="s">
        <v>26</v>
      </c>
      <c r="C103" s="19" t="s">
        <v>282</v>
      </c>
      <c r="D103" s="19" t="s">
        <v>283</v>
      </c>
      <c r="E103" s="19" t="s">
        <v>29</v>
      </c>
      <c r="F103" s="19" t="s">
        <v>30</v>
      </c>
      <c r="G103" s="19" t="s">
        <v>31</v>
      </c>
      <c r="J103" s="19" t="s">
        <v>282</v>
      </c>
      <c r="K103" s="19" t="s">
        <v>32</v>
      </c>
      <c r="L103" s="19" t="s">
        <v>264</v>
      </c>
      <c r="M103" s="19">
        <v>101.208996203257</v>
      </c>
      <c r="N103" s="19">
        <v>1255</v>
      </c>
      <c r="O103" s="19">
        <v>0.187072351959967</v>
      </c>
      <c r="P103" s="19" t="s">
        <v>265</v>
      </c>
      <c r="Q103" s="19">
        <v>10.791</v>
      </c>
      <c r="R103">
        <f t="shared" si="4"/>
        <v>12.55</v>
      </c>
      <c r="T103" s="15" t="s">
        <v>89</v>
      </c>
      <c r="U103" s="17"/>
      <c r="V103" s="16" t="str">
        <f t="shared" si="5"/>
        <v>EN_SPV_19_c03_BRA</v>
      </c>
      <c r="W103" s="12">
        <f t="shared" si="6"/>
        <v>1255</v>
      </c>
      <c r="X103" s="11">
        <f t="shared" si="7"/>
        <v>1255</v>
      </c>
      <c r="Y103" s="17">
        <v>3</v>
      </c>
      <c r="Z103" s="17"/>
      <c r="AC103" s="19" t="s">
        <v>282</v>
      </c>
    </row>
    <row r="104" spans="2:29">
      <c r="B104" s="19" t="s">
        <v>26</v>
      </c>
      <c r="C104" s="19" t="s">
        <v>284</v>
      </c>
      <c r="D104" s="19" t="s">
        <v>285</v>
      </c>
      <c r="E104" s="19" t="s">
        <v>29</v>
      </c>
      <c r="F104" s="19" t="s">
        <v>30</v>
      </c>
      <c r="G104" s="19" t="s">
        <v>31</v>
      </c>
      <c r="J104" s="19" t="s">
        <v>284</v>
      </c>
      <c r="K104" s="19" t="s">
        <v>32</v>
      </c>
      <c r="L104" s="19" t="s">
        <v>264</v>
      </c>
      <c r="M104" s="19">
        <v>88.9549921786477</v>
      </c>
      <c r="N104" s="19">
        <v>1255</v>
      </c>
      <c r="O104" s="19">
        <v>0.196</v>
      </c>
      <c r="P104" s="19" t="s">
        <v>265</v>
      </c>
      <c r="Q104" s="19">
        <v>0.48</v>
      </c>
      <c r="R104">
        <f t="shared" si="4"/>
        <v>12.55</v>
      </c>
      <c r="T104" s="15" t="s">
        <v>89</v>
      </c>
      <c r="U104" s="17"/>
      <c r="V104" s="16" t="str">
        <f t="shared" si="5"/>
        <v>EN_SPV_20_c02_BRA</v>
      </c>
      <c r="W104" s="12">
        <f t="shared" si="6"/>
        <v>1255</v>
      </c>
      <c r="X104" s="11">
        <f t="shared" si="7"/>
        <v>1255</v>
      </c>
      <c r="Y104" s="17">
        <v>3</v>
      </c>
      <c r="Z104" s="17"/>
      <c r="AC104" s="19" t="s">
        <v>284</v>
      </c>
    </row>
    <row r="105" spans="2:29">
      <c r="B105" s="19" t="s">
        <v>26</v>
      </c>
      <c r="C105" s="19" t="s">
        <v>286</v>
      </c>
      <c r="D105" s="19" t="s">
        <v>287</v>
      </c>
      <c r="E105" s="19" t="s">
        <v>29</v>
      </c>
      <c r="F105" s="19" t="s">
        <v>30</v>
      </c>
      <c r="G105" s="19" t="s">
        <v>31</v>
      </c>
      <c r="J105" s="19" t="s">
        <v>286</v>
      </c>
      <c r="K105" s="19" t="s">
        <v>32</v>
      </c>
      <c r="L105" s="19" t="s">
        <v>288</v>
      </c>
      <c r="M105" s="19">
        <v>88.9549921786477</v>
      </c>
      <c r="N105" s="19">
        <v>1113</v>
      </c>
      <c r="O105" s="19">
        <v>0.155</v>
      </c>
      <c r="P105" s="19" t="s">
        <v>289</v>
      </c>
      <c r="Q105" s="19">
        <v>4.521</v>
      </c>
      <c r="R105">
        <f t="shared" si="4"/>
        <v>11.13</v>
      </c>
      <c r="T105" s="15" t="s">
        <v>290</v>
      </c>
      <c r="U105" s="17"/>
      <c r="V105" s="16" t="str">
        <f t="shared" si="5"/>
        <v>EN_SPV_16_c02_BRN</v>
      </c>
      <c r="W105" s="12">
        <f t="shared" si="6"/>
        <v>1113</v>
      </c>
      <c r="X105" s="11">
        <f t="shared" si="7"/>
        <v>1113</v>
      </c>
      <c r="Y105" s="17">
        <v>3</v>
      </c>
      <c r="Z105" s="17"/>
      <c r="AC105" s="19" t="s">
        <v>286</v>
      </c>
    </row>
    <row r="106" spans="2:29">
      <c r="B106" s="19" t="s">
        <v>26</v>
      </c>
      <c r="C106" s="19" t="s">
        <v>291</v>
      </c>
      <c r="D106" s="19" t="s">
        <v>292</v>
      </c>
      <c r="E106" s="19" t="s">
        <v>29</v>
      </c>
      <c r="F106" s="19" t="s">
        <v>30</v>
      </c>
      <c r="G106" s="19" t="s">
        <v>31</v>
      </c>
      <c r="J106" s="19" t="s">
        <v>291</v>
      </c>
      <c r="K106" s="19" t="s">
        <v>32</v>
      </c>
      <c r="L106" s="19" t="s">
        <v>293</v>
      </c>
      <c r="M106" s="19">
        <v>88.9549921786477</v>
      </c>
      <c r="N106" s="19">
        <v>1443</v>
      </c>
      <c r="O106" s="19">
        <v>0.14071875</v>
      </c>
      <c r="P106" s="19" t="s">
        <v>294</v>
      </c>
      <c r="Q106" s="19">
        <v>0.168</v>
      </c>
      <c r="R106">
        <f t="shared" si="4"/>
        <v>14.43</v>
      </c>
      <c r="T106" s="15" t="s">
        <v>35</v>
      </c>
      <c r="U106" s="17"/>
      <c r="V106" s="16" t="str">
        <f t="shared" si="5"/>
        <v>EN_SPV_14_c02_BTN</v>
      </c>
      <c r="W106" s="12">
        <f t="shared" si="6"/>
        <v>1443</v>
      </c>
      <c r="X106" s="11">
        <f t="shared" si="7"/>
        <v>1443</v>
      </c>
      <c r="Y106" s="17">
        <v>3</v>
      </c>
      <c r="Z106" s="17"/>
      <c r="AC106" s="19" t="s">
        <v>291</v>
      </c>
    </row>
    <row r="107" spans="2:29">
      <c r="B107" s="19" t="s">
        <v>26</v>
      </c>
      <c r="C107" s="19" t="s">
        <v>295</v>
      </c>
      <c r="D107" s="19" t="s">
        <v>296</v>
      </c>
      <c r="E107" s="19" t="s">
        <v>29</v>
      </c>
      <c r="F107" s="19" t="s">
        <v>30</v>
      </c>
      <c r="G107" s="19" t="s">
        <v>31</v>
      </c>
      <c r="J107" s="19" t="s">
        <v>295</v>
      </c>
      <c r="K107" s="19" t="s">
        <v>32</v>
      </c>
      <c r="L107" s="19" t="s">
        <v>297</v>
      </c>
      <c r="M107" s="19">
        <v>0</v>
      </c>
      <c r="N107" s="19">
        <v>1314</v>
      </c>
      <c r="O107" s="19">
        <v>0.216</v>
      </c>
      <c r="P107" s="19" t="s">
        <v>298</v>
      </c>
      <c r="Q107" s="19">
        <v>5.9925</v>
      </c>
      <c r="R107">
        <f t="shared" si="4"/>
        <v>13.14</v>
      </c>
      <c r="T107" s="15" t="s">
        <v>54</v>
      </c>
      <c r="U107" s="17"/>
      <c r="V107" s="16" t="str">
        <f t="shared" si="5"/>
        <v>EN_SPV_22_c01_BWA</v>
      </c>
      <c r="W107" s="12">
        <f t="shared" si="6"/>
        <v>1314</v>
      </c>
      <c r="X107" s="11">
        <f t="shared" si="7"/>
        <v>1314</v>
      </c>
      <c r="Y107" s="17">
        <v>3</v>
      </c>
      <c r="Z107" s="17"/>
      <c r="AC107" s="19" t="s">
        <v>295</v>
      </c>
    </row>
    <row r="108" spans="2:29">
      <c r="B108" s="19" t="s">
        <v>26</v>
      </c>
      <c r="C108" s="19" t="s">
        <v>299</v>
      </c>
      <c r="D108" s="19" t="s">
        <v>300</v>
      </c>
      <c r="E108" s="19" t="s">
        <v>29</v>
      </c>
      <c r="F108" s="19" t="s">
        <v>30</v>
      </c>
      <c r="G108" s="19" t="s">
        <v>31</v>
      </c>
      <c r="J108" s="19" t="s">
        <v>299</v>
      </c>
      <c r="K108" s="19" t="s">
        <v>32</v>
      </c>
      <c r="L108" s="19" t="s">
        <v>297</v>
      </c>
      <c r="M108" s="19">
        <v>88.9549921786477</v>
      </c>
      <c r="N108" s="19">
        <v>1314</v>
      </c>
      <c r="O108" s="19">
        <v>0.216</v>
      </c>
      <c r="P108" s="19" t="s">
        <v>298</v>
      </c>
      <c r="Q108" s="19">
        <v>5.9325</v>
      </c>
      <c r="R108">
        <f t="shared" si="4"/>
        <v>13.14</v>
      </c>
      <c r="T108" s="15" t="s">
        <v>54</v>
      </c>
      <c r="U108" s="17"/>
      <c r="V108" s="16" t="str">
        <f t="shared" si="5"/>
        <v>EN_SPV_22_c02_BWA</v>
      </c>
      <c r="W108" s="12">
        <f t="shared" si="6"/>
        <v>1314</v>
      </c>
      <c r="X108" s="11">
        <f t="shared" si="7"/>
        <v>1314</v>
      </c>
      <c r="Y108" s="17">
        <v>3</v>
      </c>
      <c r="Z108" s="17"/>
      <c r="AC108" s="19" t="s">
        <v>299</v>
      </c>
    </row>
    <row r="109" spans="2:29">
      <c r="B109" s="19" t="s">
        <v>26</v>
      </c>
      <c r="C109" s="19" t="s">
        <v>301</v>
      </c>
      <c r="D109" s="19" t="s">
        <v>302</v>
      </c>
      <c r="E109" s="19" t="s">
        <v>29</v>
      </c>
      <c r="F109" s="19" t="s">
        <v>30</v>
      </c>
      <c r="G109" s="19" t="s">
        <v>31</v>
      </c>
      <c r="J109" s="19" t="s">
        <v>301</v>
      </c>
      <c r="K109" s="19" t="s">
        <v>32</v>
      </c>
      <c r="L109" s="19" t="s">
        <v>297</v>
      </c>
      <c r="M109" s="19">
        <v>101.208996203257</v>
      </c>
      <c r="N109" s="19">
        <v>1314</v>
      </c>
      <c r="O109" s="19">
        <v>0.215159745507695</v>
      </c>
      <c r="P109" s="19" t="s">
        <v>298</v>
      </c>
      <c r="Q109" s="19">
        <v>26.16975</v>
      </c>
      <c r="R109">
        <f t="shared" si="4"/>
        <v>13.14</v>
      </c>
      <c r="T109" s="15" t="s">
        <v>54</v>
      </c>
      <c r="U109" s="17"/>
      <c r="V109" s="16" t="str">
        <f t="shared" si="5"/>
        <v>EN_SPV_22_c03_BWA</v>
      </c>
      <c r="W109" s="12">
        <f t="shared" si="6"/>
        <v>1314</v>
      </c>
      <c r="X109" s="11">
        <f t="shared" si="7"/>
        <v>1314</v>
      </c>
      <c r="Y109" s="17">
        <v>3</v>
      </c>
      <c r="Z109" s="17"/>
      <c r="AC109" s="19" t="s">
        <v>301</v>
      </c>
    </row>
    <row r="110" spans="2:29">
      <c r="B110" s="19" t="s">
        <v>26</v>
      </c>
      <c r="C110" s="19" t="s">
        <v>303</v>
      </c>
      <c r="D110" s="19" t="s">
        <v>304</v>
      </c>
      <c r="E110" s="19" t="s">
        <v>29</v>
      </c>
      <c r="F110" s="19" t="s">
        <v>30</v>
      </c>
      <c r="G110" s="19" t="s">
        <v>31</v>
      </c>
      <c r="J110" s="19" t="s">
        <v>303</v>
      </c>
      <c r="K110" s="19" t="s">
        <v>32</v>
      </c>
      <c r="L110" s="19" t="s">
        <v>305</v>
      </c>
      <c r="M110" s="19">
        <v>138.878712278909</v>
      </c>
      <c r="N110" s="19">
        <v>1321</v>
      </c>
      <c r="O110" s="19">
        <v>0.187754143056742</v>
      </c>
      <c r="P110" s="19" t="s">
        <v>306</v>
      </c>
      <c r="Q110" s="19">
        <v>77.298</v>
      </c>
      <c r="R110">
        <f t="shared" si="4"/>
        <v>13.21</v>
      </c>
      <c r="T110" s="15" t="s">
        <v>54</v>
      </c>
      <c r="U110" s="17"/>
      <c r="V110" s="16" t="str">
        <f t="shared" si="5"/>
        <v>EN_SPV_19_c04_CAF</v>
      </c>
      <c r="W110" s="12">
        <f t="shared" si="6"/>
        <v>1321</v>
      </c>
      <c r="X110" s="11">
        <f t="shared" si="7"/>
        <v>1321</v>
      </c>
      <c r="Y110" s="17">
        <v>3</v>
      </c>
      <c r="Z110" s="17"/>
      <c r="AC110" s="19" t="s">
        <v>303</v>
      </c>
    </row>
    <row r="111" spans="2:29">
      <c r="B111" s="19" t="s">
        <v>26</v>
      </c>
      <c r="C111" s="19" t="s">
        <v>307</v>
      </c>
      <c r="D111" s="19" t="s">
        <v>308</v>
      </c>
      <c r="E111" s="19" t="s">
        <v>29</v>
      </c>
      <c r="F111" s="19" t="s">
        <v>30</v>
      </c>
      <c r="G111" s="19" t="s">
        <v>31</v>
      </c>
      <c r="J111" s="19" t="s">
        <v>307</v>
      </c>
      <c r="K111" s="19" t="s">
        <v>32</v>
      </c>
      <c r="L111" s="19" t="s">
        <v>309</v>
      </c>
      <c r="M111" s="19">
        <v>138.878712278909</v>
      </c>
      <c r="N111" s="19">
        <v>2377</v>
      </c>
      <c r="O111" s="19">
        <v>0.109935828877005</v>
      </c>
      <c r="P111" s="19" t="s">
        <v>310</v>
      </c>
      <c r="Q111" s="19">
        <v>0.2805</v>
      </c>
      <c r="R111">
        <f t="shared" si="4"/>
        <v>23.77</v>
      </c>
      <c r="T111" s="15" t="s">
        <v>119</v>
      </c>
      <c r="U111" s="17"/>
      <c r="V111" s="16" t="str">
        <f t="shared" si="5"/>
        <v>EN_SPV_11_c04_CAN</v>
      </c>
      <c r="W111" s="12">
        <f t="shared" si="6"/>
        <v>2377</v>
      </c>
      <c r="X111" s="11">
        <f t="shared" si="7"/>
        <v>2377</v>
      </c>
      <c r="Y111" s="17">
        <v>3</v>
      </c>
      <c r="Z111" s="17"/>
      <c r="AC111" s="19" t="s">
        <v>307</v>
      </c>
    </row>
    <row r="112" spans="2:29">
      <c r="B112" s="19" t="s">
        <v>26</v>
      </c>
      <c r="C112" s="19" t="s">
        <v>311</v>
      </c>
      <c r="D112" s="19" t="s">
        <v>312</v>
      </c>
      <c r="E112" s="19" t="s">
        <v>29</v>
      </c>
      <c r="F112" s="19" t="s">
        <v>30</v>
      </c>
      <c r="G112" s="19" t="s">
        <v>31</v>
      </c>
      <c r="J112" s="19" t="s">
        <v>311</v>
      </c>
      <c r="K112" s="19" t="s">
        <v>32</v>
      </c>
      <c r="L112" s="19" t="s">
        <v>309</v>
      </c>
      <c r="M112" s="19">
        <v>88.9549921786477</v>
      </c>
      <c r="N112" s="19">
        <v>2377</v>
      </c>
      <c r="O112" s="19">
        <v>0.121574738003309</v>
      </c>
      <c r="P112" s="19" t="s">
        <v>310</v>
      </c>
      <c r="Q112" s="19">
        <v>1.35975</v>
      </c>
      <c r="R112">
        <f t="shared" si="4"/>
        <v>23.77</v>
      </c>
      <c r="T112" s="15" t="s">
        <v>119</v>
      </c>
      <c r="U112" s="17"/>
      <c r="V112" s="16" t="str">
        <f t="shared" si="5"/>
        <v>EN_SPV_12_c02_CAN</v>
      </c>
      <c r="W112" s="12">
        <f t="shared" si="6"/>
        <v>2377</v>
      </c>
      <c r="X112" s="11">
        <f t="shared" si="7"/>
        <v>2377</v>
      </c>
      <c r="Y112" s="17">
        <v>3</v>
      </c>
      <c r="Z112" s="17"/>
      <c r="AC112" s="19" t="s">
        <v>311</v>
      </c>
    </row>
    <row r="113" spans="2:29">
      <c r="B113" s="19" t="s">
        <v>26</v>
      </c>
      <c r="C113" s="19" t="s">
        <v>313</v>
      </c>
      <c r="D113" s="19" t="s">
        <v>314</v>
      </c>
      <c r="E113" s="19" t="s">
        <v>29</v>
      </c>
      <c r="F113" s="19" t="s">
        <v>30</v>
      </c>
      <c r="G113" s="19" t="s">
        <v>31</v>
      </c>
      <c r="J113" s="19" t="s">
        <v>313</v>
      </c>
      <c r="K113" s="19" t="s">
        <v>32</v>
      </c>
      <c r="L113" s="19" t="s">
        <v>309</v>
      </c>
      <c r="M113" s="19">
        <v>101.208996203257</v>
      </c>
      <c r="N113" s="19">
        <v>2377</v>
      </c>
      <c r="O113" s="19">
        <v>0.120429667896679</v>
      </c>
      <c r="P113" s="19" t="s">
        <v>310</v>
      </c>
      <c r="Q113" s="19">
        <v>5.08125</v>
      </c>
      <c r="R113">
        <f t="shared" si="4"/>
        <v>23.77</v>
      </c>
      <c r="T113" s="15" t="s">
        <v>119</v>
      </c>
      <c r="U113" s="17"/>
      <c r="V113" s="16" t="str">
        <f t="shared" si="5"/>
        <v>EN_SPV_12_c03_CAN</v>
      </c>
      <c r="W113" s="12">
        <f t="shared" si="6"/>
        <v>2377</v>
      </c>
      <c r="X113" s="11">
        <f t="shared" si="7"/>
        <v>2377</v>
      </c>
      <c r="Y113" s="17">
        <v>3</v>
      </c>
      <c r="Z113" s="17"/>
      <c r="AC113" s="19" t="s">
        <v>313</v>
      </c>
    </row>
    <row r="114" spans="2:29">
      <c r="B114" s="19" t="s">
        <v>26</v>
      </c>
      <c r="C114" s="19" t="s">
        <v>315</v>
      </c>
      <c r="D114" s="19" t="s">
        <v>316</v>
      </c>
      <c r="E114" s="19" t="s">
        <v>29</v>
      </c>
      <c r="F114" s="19" t="s">
        <v>30</v>
      </c>
      <c r="G114" s="19" t="s">
        <v>31</v>
      </c>
      <c r="J114" s="19" t="s">
        <v>315</v>
      </c>
      <c r="K114" s="19" t="s">
        <v>32</v>
      </c>
      <c r="L114" s="19" t="s">
        <v>309</v>
      </c>
      <c r="M114" s="19">
        <v>138.878712278909</v>
      </c>
      <c r="N114" s="19">
        <v>2377</v>
      </c>
      <c r="O114" s="19">
        <v>0.121154813787639</v>
      </c>
      <c r="P114" s="19" t="s">
        <v>310</v>
      </c>
      <c r="Q114" s="19">
        <v>7.57200000000001</v>
      </c>
      <c r="R114">
        <f t="shared" si="4"/>
        <v>23.77</v>
      </c>
      <c r="T114" s="15" t="s">
        <v>119</v>
      </c>
      <c r="U114" s="17"/>
      <c r="V114" s="16" t="str">
        <f t="shared" si="5"/>
        <v>EN_SPV_12_c04_CAN</v>
      </c>
      <c r="W114" s="12">
        <f t="shared" si="6"/>
        <v>2377</v>
      </c>
      <c r="X114" s="11">
        <f t="shared" si="7"/>
        <v>2377</v>
      </c>
      <c r="Y114" s="17">
        <v>3</v>
      </c>
      <c r="Z114" s="17"/>
      <c r="AC114" s="19" t="s">
        <v>315</v>
      </c>
    </row>
    <row r="115" spans="2:29">
      <c r="B115" s="19" t="s">
        <v>26</v>
      </c>
      <c r="C115" s="19" t="s">
        <v>317</v>
      </c>
      <c r="D115" s="19" t="s">
        <v>318</v>
      </c>
      <c r="E115" s="19" t="s">
        <v>29</v>
      </c>
      <c r="F115" s="19" t="s">
        <v>30</v>
      </c>
      <c r="G115" s="19" t="s">
        <v>31</v>
      </c>
      <c r="J115" s="19" t="s">
        <v>317</v>
      </c>
      <c r="K115" s="19" t="s">
        <v>32</v>
      </c>
      <c r="L115" s="19" t="s">
        <v>309</v>
      </c>
      <c r="M115" s="19">
        <v>88.9549921786477</v>
      </c>
      <c r="N115" s="19">
        <v>2377</v>
      </c>
      <c r="O115" s="19">
        <v>0.131757092198582</v>
      </c>
      <c r="P115" s="19" t="s">
        <v>310</v>
      </c>
      <c r="Q115" s="19">
        <v>0.423</v>
      </c>
      <c r="R115">
        <f t="shared" si="4"/>
        <v>23.77</v>
      </c>
      <c r="T115" s="15" t="s">
        <v>119</v>
      </c>
      <c r="U115" s="17"/>
      <c r="V115" s="16" t="str">
        <f t="shared" si="5"/>
        <v>EN_SPV_13_c02_CAN</v>
      </c>
      <c r="W115" s="12">
        <f t="shared" si="6"/>
        <v>2377</v>
      </c>
      <c r="X115" s="11">
        <f t="shared" si="7"/>
        <v>2377</v>
      </c>
      <c r="Y115" s="17">
        <v>3</v>
      </c>
      <c r="Z115" s="17"/>
      <c r="AC115" s="19" t="s">
        <v>317</v>
      </c>
    </row>
    <row r="116" spans="2:29">
      <c r="B116" s="19" t="s">
        <v>26</v>
      </c>
      <c r="C116" s="19" t="s">
        <v>319</v>
      </c>
      <c r="D116" s="19" t="s">
        <v>320</v>
      </c>
      <c r="E116" s="19" t="s">
        <v>29</v>
      </c>
      <c r="F116" s="19" t="s">
        <v>30</v>
      </c>
      <c r="G116" s="19" t="s">
        <v>31</v>
      </c>
      <c r="J116" s="19" t="s">
        <v>319</v>
      </c>
      <c r="K116" s="19" t="s">
        <v>32</v>
      </c>
      <c r="L116" s="19" t="s">
        <v>309</v>
      </c>
      <c r="M116" s="19">
        <v>101.208996203257</v>
      </c>
      <c r="N116" s="19">
        <v>2377</v>
      </c>
      <c r="O116" s="19">
        <v>0.129228103778513</v>
      </c>
      <c r="P116" s="19" t="s">
        <v>310</v>
      </c>
      <c r="Q116" s="19">
        <v>12.92175</v>
      </c>
      <c r="R116">
        <f t="shared" si="4"/>
        <v>23.77</v>
      </c>
      <c r="T116" s="15" t="s">
        <v>119</v>
      </c>
      <c r="U116" s="17"/>
      <c r="V116" s="16" t="str">
        <f t="shared" si="5"/>
        <v>EN_SPV_13_c03_CAN</v>
      </c>
      <c r="W116" s="12">
        <f t="shared" si="6"/>
        <v>2377</v>
      </c>
      <c r="X116" s="11">
        <f t="shared" si="7"/>
        <v>2377</v>
      </c>
      <c r="Y116" s="17">
        <v>3</v>
      </c>
      <c r="Z116" s="17"/>
      <c r="AC116" s="19" t="s">
        <v>319</v>
      </c>
    </row>
    <row r="117" spans="2:29">
      <c r="B117" s="19" t="s">
        <v>26</v>
      </c>
      <c r="C117" s="19" t="s">
        <v>321</v>
      </c>
      <c r="D117" s="19" t="s">
        <v>322</v>
      </c>
      <c r="E117" s="19" t="s">
        <v>29</v>
      </c>
      <c r="F117" s="19" t="s">
        <v>30</v>
      </c>
      <c r="G117" s="19" t="s">
        <v>31</v>
      </c>
      <c r="J117" s="19" t="s">
        <v>321</v>
      </c>
      <c r="K117" s="19" t="s">
        <v>32</v>
      </c>
      <c r="L117" s="19" t="s">
        <v>309</v>
      </c>
      <c r="M117" s="19">
        <v>138.878712278909</v>
      </c>
      <c r="N117" s="19">
        <v>2377</v>
      </c>
      <c r="O117" s="19">
        <v>0.130511355586115</v>
      </c>
      <c r="P117" s="19" t="s">
        <v>310</v>
      </c>
      <c r="Q117" s="19">
        <v>17.99775</v>
      </c>
      <c r="R117">
        <f t="shared" si="4"/>
        <v>23.77</v>
      </c>
      <c r="T117" s="15" t="s">
        <v>119</v>
      </c>
      <c r="U117" s="17"/>
      <c r="V117" s="16" t="str">
        <f t="shared" si="5"/>
        <v>EN_SPV_13_c04_CAN</v>
      </c>
      <c r="W117" s="12">
        <f t="shared" si="6"/>
        <v>2377</v>
      </c>
      <c r="X117" s="11">
        <f t="shared" si="7"/>
        <v>2377</v>
      </c>
      <c r="Y117" s="17">
        <v>3</v>
      </c>
      <c r="Z117" s="17"/>
      <c r="AC117" s="19" t="s">
        <v>321</v>
      </c>
    </row>
    <row r="118" spans="2:29">
      <c r="B118" s="19" t="s">
        <v>26</v>
      </c>
      <c r="C118" s="19" t="s">
        <v>323</v>
      </c>
      <c r="D118" s="19" t="s">
        <v>324</v>
      </c>
      <c r="E118" s="19" t="s">
        <v>29</v>
      </c>
      <c r="F118" s="19" t="s">
        <v>30</v>
      </c>
      <c r="G118" s="19" t="s">
        <v>31</v>
      </c>
      <c r="J118" s="19" t="s">
        <v>323</v>
      </c>
      <c r="K118" s="19" t="s">
        <v>32</v>
      </c>
      <c r="L118" s="19" t="s">
        <v>309</v>
      </c>
      <c r="M118" s="19">
        <v>0</v>
      </c>
      <c r="N118" s="19">
        <v>2377</v>
      </c>
      <c r="O118" s="19">
        <v>0.141949074074074</v>
      </c>
      <c r="P118" s="19" t="s">
        <v>310</v>
      </c>
      <c r="Q118" s="19">
        <v>0.972</v>
      </c>
      <c r="R118">
        <f t="shared" si="4"/>
        <v>23.77</v>
      </c>
      <c r="T118" s="15" t="s">
        <v>119</v>
      </c>
      <c r="U118" s="17"/>
      <c r="V118" s="16" t="str">
        <f t="shared" si="5"/>
        <v>EN_SPV_14_c01_CAN</v>
      </c>
      <c r="W118" s="12">
        <f t="shared" si="6"/>
        <v>2377</v>
      </c>
      <c r="X118" s="11">
        <f t="shared" si="7"/>
        <v>2377</v>
      </c>
      <c r="Y118" s="17">
        <v>3</v>
      </c>
      <c r="Z118" s="17"/>
      <c r="AC118" s="19" t="s">
        <v>323</v>
      </c>
    </row>
    <row r="119" spans="2:29">
      <c r="B119" s="19" t="s">
        <v>26</v>
      </c>
      <c r="C119" s="19" t="s">
        <v>325</v>
      </c>
      <c r="D119" s="19" t="s">
        <v>326</v>
      </c>
      <c r="E119" s="19" t="s">
        <v>29</v>
      </c>
      <c r="F119" s="19" t="s">
        <v>30</v>
      </c>
      <c r="G119" s="19" t="s">
        <v>31</v>
      </c>
      <c r="J119" s="19" t="s">
        <v>325</v>
      </c>
      <c r="K119" s="19" t="s">
        <v>32</v>
      </c>
      <c r="L119" s="19" t="s">
        <v>309</v>
      </c>
      <c r="M119" s="19">
        <v>88.9549921786477</v>
      </c>
      <c r="N119" s="19">
        <v>2377</v>
      </c>
      <c r="O119" s="19">
        <v>0.142771300816343</v>
      </c>
      <c r="P119" s="19" t="s">
        <v>310</v>
      </c>
      <c r="Q119" s="19">
        <v>18.28275</v>
      </c>
      <c r="R119">
        <f t="shared" si="4"/>
        <v>23.77</v>
      </c>
      <c r="T119" s="15" t="s">
        <v>119</v>
      </c>
      <c r="U119" s="17"/>
      <c r="V119" s="16" t="str">
        <f t="shared" si="5"/>
        <v>EN_SPV_14_c02_CAN</v>
      </c>
      <c r="W119" s="12">
        <f t="shared" si="6"/>
        <v>2377</v>
      </c>
      <c r="X119" s="11">
        <f t="shared" si="7"/>
        <v>2377</v>
      </c>
      <c r="Y119" s="17">
        <v>3</v>
      </c>
      <c r="Z119" s="17"/>
      <c r="AC119" s="19" t="s">
        <v>325</v>
      </c>
    </row>
    <row r="120" spans="2:29">
      <c r="B120" s="19" t="s">
        <v>26</v>
      </c>
      <c r="C120" s="19" t="s">
        <v>327</v>
      </c>
      <c r="D120" s="19" t="s">
        <v>328</v>
      </c>
      <c r="E120" s="19" t="s">
        <v>29</v>
      </c>
      <c r="F120" s="19" t="s">
        <v>30</v>
      </c>
      <c r="G120" s="19" t="s">
        <v>31</v>
      </c>
      <c r="J120" s="19" t="s">
        <v>327</v>
      </c>
      <c r="K120" s="19" t="s">
        <v>32</v>
      </c>
      <c r="L120" s="19" t="s">
        <v>309</v>
      </c>
      <c r="M120" s="19">
        <v>101.208996203257</v>
      </c>
      <c r="N120" s="19">
        <v>2377</v>
      </c>
      <c r="O120" s="19">
        <v>0.141426186365156</v>
      </c>
      <c r="P120" s="19" t="s">
        <v>310</v>
      </c>
      <c r="Q120" s="19">
        <v>53.862</v>
      </c>
      <c r="R120">
        <f t="shared" si="4"/>
        <v>23.77</v>
      </c>
      <c r="T120" s="15" t="s">
        <v>119</v>
      </c>
      <c r="U120" s="17"/>
      <c r="V120" s="16" t="str">
        <f t="shared" si="5"/>
        <v>EN_SPV_14_c03_CAN</v>
      </c>
      <c r="W120" s="12">
        <f t="shared" si="6"/>
        <v>2377</v>
      </c>
      <c r="X120" s="11">
        <f t="shared" si="7"/>
        <v>2377</v>
      </c>
      <c r="Y120" s="17">
        <v>3</v>
      </c>
      <c r="Z120" s="17"/>
      <c r="AC120" s="19" t="s">
        <v>327</v>
      </c>
    </row>
    <row r="121" spans="2:29">
      <c r="B121" s="19" t="s">
        <v>26</v>
      </c>
      <c r="C121" s="19" t="s">
        <v>329</v>
      </c>
      <c r="D121" s="19" t="s">
        <v>330</v>
      </c>
      <c r="E121" s="19" t="s">
        <v>29</v>
      </c>
      <c r="F121" s="19" t="s">
        <v>30</v>
      </c>
      <c r="G121" s="19" t="s">
        <v>31</v>
      </c>
      <c r="J121" s="19" t="s">
        <v>329</v>
      </c>
      <c r="K121" s="19" t="s">
        <v>32</v>
      </c>
      <c r="L121" s="19" t="s">
        <v>309</v>
      </c>
      <c r="M121" s="19">
        <v>138.878712278909</v>
      </c>
      <c r="N121" s="19">
        <v>2377</v>
      </c>
      <c r="O121" s="19">
        <v>0.141854201666168</v>
      </c>
      <c r="P121" s="19" t="s">
        <v>310</v>
      </c>
      <c r="Q121" s="19">
        <v>260.718</v>
      </c>
      <c r="R121">
        <f t="shared" si="4"/>
        <v>23.77</v>
      </c>
      <c r="T121" s="15" t="s">
        <v>119</v>
      </c>
      <c r="U121" s="17"/>
      <c r="V121" s="16" t="str">
        <f t="shared" si="5"/>
        <v>EN_SPV_14_c04_CAN</v>
      </c>
      <c r="W121" s="12">
        <f t="shared" si="6"/>
        <v>2377</v>
      </c>
      <c r="X121" s="11">
        <f t="shared" si="7"/>
        <v>2377</v>
      </c>
      <c r="Y121" s="17">
        <v>3</v>
      </c>
      <c r="Z121" s="17"/>
      <c r="AC121" s="19" t="s">
        <v>329</v>
      </c>
    </row>
    <row r="122" spans="2:29">
      <c r="B122" s="19" t="s">
        <v>26</v>
      </c>
      <c r="C122" s="19" t="s">
        <v>331</v>
      </c>
      <c r="D122" s="19" t="s">
        <v>332</v>
      </c>
      <c r="E122" s="19" t="s">
        <v>29</v>
      </c>
      <c r="F122" s="19" t="s">
        <v>30</v>
      </c>
      <c r="G122" s="19" t="s">
        <v>31</v>
      </c>
      <c r="J122" s="19" t="s">
        <v>331</v>
      </c>
      <c r="K122" s="19" t="s">
        <v>32</v>
      </c>
      <c r="L122" s="19" t="s">
        <v>309</v>
      </c>
      <c r="M122" s="19">
        <v>0</v>
      </c>
      <c r="N122" s="19">
        <v>2377</v>
      </c>
      <c r="O122" s="19">
        <v>0.147899572649573</v>
      </c>
      <c r="P122" s="19" t="s">
        <v>310</v>
      </c>
      <c r="Q122" s="19">
        <v>1.404</v>
      </c>
      <c r="R122">
        <f t="shared" si="4"/>
        <v>23.77</v>
      </c>
      <c r="T122" s="15" t="s">
        <v>119</v>
      </c>
      <c r="U122" s="17"/>
      <c r="V122" s="16" t="str">
        <f t="shared" si="5"/>
        <v>EN_SPV_15_c01_CAN</v>
      </c>
      <c r="W122" s="12">
        <f t="shared" si="6"/>
        <v>2377</v>
      </c>
      <c r="X122" s="11">
        <f t="shared" si="7"/>
        <v>2377</v>
      </c>
      <c r="Y122" s="17">
        <v>3</v>
      </c>
      <c r="Z122" s="17"/>
      <c r="AC122" s="19" t="s">
        <v>331</v>
      </c>
    </row>
    <row r="123" spans="2:29">
      <c r="B123" s="19" t="s">
        <v>26</v>
      </c>
      <c r="C123" s="19" t="s">
        <v>333</v>
      </c>
      <c r="D123" s="19" t="s">
        <v>334</v>
      </c>
      <c r="E123" s="19" t="s">
        <v>29</v>
      </c>
      <c r="F123" s="19" t="s">
        <v>30</v>
      </c>
      <c r="G123" s="19" t="s">
        <v>31</v>
      </c>
      <c r="J123" s="19" t="s">
        <v>333</v>
      </c>
      <c r="K123" s="19" t="s">
        <v>32</v>
      </c>
      <c r="L123" s="19" t="s">
        <v>309</v>
      </c>
      <c r="M123" s="19">
        <v>88.9549921786477</v>
      </c>
      <c r="N123" s="19">
        <v>2377</v>
      </c>
      <c r="O123" s="19">
        <v>0.148648385538587</v>
      </c>
      <c r="P123" s="19" t="s">
        <v>310</v>
      </c>
      <c r="Q123" s="19">
        <v>20.18475</v>
      </c>
      <c r="R123">
        <f t="shared" si="4"/>
        <v>23.77</v>
      </c>
      <c r="T123" s="15" t="s">
        <v>119</v>
      </c>
      <c r="U123" s="17"/>
      <c r="V123" s="16" t="str">
        <f t="shared" si="5"/>
        <v>EN_SPV_15_c02_CAN</v>
      </c>
      <c r="W123" s="12">
        <f t="shared" si="6"/>
        <v>2377</v>
      </c>
      <c r="X123" s="11">
        <f t="shared" si="7"/>
        <v>2377</v>
      </c>
      <c r="Y123" s="17">
        <v>3</v>
      </c>
      <c r="Z123" s="17"/>
      <c r="AC123" s="19" t="s">
        <v>333</v>
      </c>
    </row>
    <row r="124" spans="2:29">
      <c r="B124" s="19" t="s">
        <v>26</v>
      </c>
      <c r="C124" s="19" t="s">
        <v>335</v>
      </c>
      <c r="D124" s="19" t="s">
        <v>336</v>
      </c>
      <c r="E124" s="19" t="s">
        <v>29</v>
      </c>
      <c r="F124" s="19" t="s">
        <v>30</v>
      </c>
      <c r="G124" s="19" t="s">
        <v>31</v>
      </c>
      <c r="J124" s="19" t="s">
        <v>335</v>
      </c>
      <c r="K124" s="19" t="s">
        <v>32</v>
      </c>
      <c r="L124" s="19" t="s">
        <v>309</v>
      </c>
      <c r="M124" s="19">
        <v>101.208996203257</v>
      </c>
      <c r="N124" s="19">
        <v>2377</v>
      </c>
      <c r="O124" s="19">
        <v>0.148655375354651</v>
      </c>
      <c r="P124" s="19" t="s">
        <v>310</v>
      </c>
      <c r="Q124" s="19">
        <v>39.123</v>
      </c>
      <c r="R124">
        <f t="shared" si="4"/>
        <v>23.77</v>
      </c>
      <c r="T124" s="15" t="s">
        <v>119</v>
      </c>
      <c r="U124" s="17"/>
      <c r="V124" s="16" t="str">
        <f t="shared" si="5"/>
        <v>EN_SPV_15_c03_CAN</v>
      </c>
      <c r="W124" s="12">
        <f t="shared" si="6"/>
        <v>2377</v>
      </c>
      <c r="X124" s="11">
        <f t="shared" si="7"/>
        <v>2377</v>
      </c>
      <c r="Y124" s="17">
        <v>3</v>
      </c>
      <c r="Z124" s="17"/>
      <c r="AC124" s="19" t="s">
        <v>335</v>
      </c>
    </row>
    <row r="125" spans="2:29">
      <c r="B125" s="19" t="s">
        <v>26</v>
      </c>
      <c r="C125" s="19" t="s">
        <v>337</v>
      </c>
      <c r="D125" s="19" t="s">
        <v>338</v>
      </c>
      <c r="E125" s="19" t="s">
        <v>29</v>
      </c>
      <c r="F125" s="19" t="s">
        <v>30</v>
      </c>
      <c r="G125" s="19" t="s">
        <v>31</v>
      </c>
      <c r="J125" s="19" t="s">
        <v>337</v>
      </c>
      <c r="K125" s="19" t="s">
        <v>32</v>
      </c>
      <c r="L125" s="19" t="s">
        <v>309</v>
      </c>
      <c r="M125" s="19">
        <v>138.878712278909</v>
      </c>
      <c r="N125" s="19">
        <v>2377</v>
      </c>
      <c r="O125" s="19">
        <v>0.149797653340466</v>
      </c>
      <c r="P125" s="19" t="s">
        <v>310</v>
      </c>
      <c r="Q125" s="19">
        <v>145.803</v>
      </c>
      <c r="R125">
        <f t="shared" si="4"/>
        <v>23.77</v>
      </c>
      <c r="T125" s="15" t="s">
        <v>119</v>
      </c>
      <c r="U125" s="17"/>
      <c r="V125" s="16" t="str">
        <f t="shared" si="5"/>
        <v>EN_SPV_15_c04_CAN</v>
      </c>
      <c r="W125" s="12">
        <f t="shared" si="6"/>
        <v>2377</v>
      </c>
      <c r="X125" s="11">
        <f t="shared" si="7"/>
        <v>2377</v>
      </c>
      <c r="Y125" s="17">
        <v>3</v>
      </c>
      <c r="Z125" s="17"/>
      <c r="AC125" s="19" t="s">
        <v>337</v>
      </c>
    </row>
    <row r="126" spans="2:29">
      <c r="B126" s="19" t="s">
        <v>26</v>
      </c>
      <c r="C126" s="19" t="s">
        <v>339</v>
      </c>
      <c r="D126" s="19" t="s">
        <v>340</v>
      </c>
      <c r="E126" s="19" t="s">
        <v>29</v>
      </c>
      <c r="F126" s="19" t="s">
        <v>30</v>
      </c>
      <c r="G126" s="19" t="s">
        <v>31</v>
      </c>
      <c r="J126" s="19" t="s">
        <v>339</v>
      </c>
      <c r="K126" s="19" t="s">
        <v>32</v>
      </c>
      <c r="L126" s="19" t="s">
        <v>309</v>
      </c>
      <c r="M126" s="19">
        <v>0</v>
      </c>
      <c r="N126" s="19">
        <v>2377</v>
      </c>
      <c r="O126" s="19">
        <v>0.162515472568971</v>
      </c>
      <c r="P126" s="19" t="s">
        <v>310</v>
      </c>
      <c r="Q126" s="19">
        <v>14.2995</v>
      </c>
      <c r="R126">
        <f t="shared" si="4"/>
        <v>23.77</v>
      </c>
      <c r="T126" s="15" t="s">
        <v>119</v>
      </c>
      <c r="U126" s="17"/>
      <c r="V126" s="16" t="str">
        <f t="shared" si="5"/>
        <v>EN_SPV_16_c01_CAN</v>
      </c>
      <c r="W126" s="12">
        <f t="shared" si="6"/>
        <v>2377</v>
      </c>
      <c r="X126" s="11">
        <f t="shared" si="7"/>
        <v>2377</v>
      </c>
      <c r="Y126" s="17">
        <v>3</v>
      </c>
      <c r="Z126" s="17"/>
      <c r="AC126" s="19" t="s">
        <v>339</v>
      </c>
    </row>
    <row r="127" spans="2:29">
      <c r="B127" s="19" t="s">
        <v>26</v>
      </c>
      <c r="C127" s="19" t="s">
        <v>341</v>
      </c>
      <c r="D127" s="19" t="s">
        <v>342</v>
      </c>
      <c r="E127" s="19" t="s">
        <v>29</v>
      </c>
      <c r="F127" s="19" t="s">
        <v>30</v>
      </c>
      <c r="G127" s="19" t="s">
        <v>31</v>
      </c>
      <c r="J127" s="19" t="s">
        <v>341</v>
      </c>
      <c r="K127" s="19" t="s">
        <v>32</v>
      </c>
      <c r="L127" s="19" t="s">
        <v>309</v>
      </c>
      <c r="M127" s="19">
        <v>88.9549921786477</v>
      </c>
      <c r="N127" s="19">
        <v>2377</v>
      </c>
      <c r="O127" s="19">
        <v>0.162448989694433</v>
      </c>
      <c r="P127" s="19" t="s">
        <v>310</v>
      </c>
      <c r="Q127" s="19">
        <v>66.663</v>
      </c>
      <c r="R127">
        <f t="shared" si="4"/>
        <v>23.77</v>
      </c>
      <c r="T127" s="15" t="s">
        <v>119</v>
      </c>
      <c r="U127" s="17"/>
      <c r="V127" s="16" t="str">
        <f t="shared" si="5"/>
        <v>EN_SPV_16_c02_CAN</v>
      </c>
      <c r="W127" s="12">
        <f t="shared" si="6"/>
        <v>2377</v>
      </c>
      <c r="X127" s="11">
        <f t="shared" si="7"/>
        <v>2377</v>
      </c>
      <c r="Y127" s="17">
        <v>3</v>
      </c>
      <c r="Z127" s="17"/>
      <c r="AC127" s="19" t="s">
        <v>341</v>
      </c>
    </row>
    <row r="128" spans="2:29">
      <c r="B128" s="19" t="s">
        <v>26</v>
      </c>
      <c r="C128" s="19" t="s">
        <v>343</v>
      </c>
      <c r="D128" s="19" t="s">
        <v>344</v>
      </c>
      <c r="E128" s="19" t="s">
        <v>29</v>
      </c>
      <c r="F128" s="19" t="s">
        <v>30</v>
      </c>
      <c r="G128" s="19" t="s">
        <v>31</v>
      </c>
      <c r="J128" s="19" t="s">
        <v>343</v>
      </c>
      <c r="K128" s="19" t="s">
        <v>32</v>
      </c>
      <c r="L128" s="19" t="s">
        <v>309</v>
      </c>
      <c r="M128" s="19">
        <v>101.208996203257</v>
      </c>
      <c r="N128" s="19">
        <v>2377</v>
      </c>
      <c r="O128" s="19">
        <v>0.162337891520244</v>
      </c>
      <c r="P128" s="19" t="s">
        <v>310</v>
      </c>
      <c r="Q128" s="19">
        <v>9.8175</v>
      </c>
      <c r="R128">
        <f t="shared" si="4"/>
        <v>23.77</v>
      </c>
      <c r="T128" s="15" t="s">
        <v>119</v>
      </c>
      <c r="U128" s="17"/>
      <c r="V128" s="16" t="str">
        <f t="shared" si="5"/>
        <v>EN_SPV_16_c03_CAN</v>
      </c>
      <c r="W128" s="12">
        <f t="shared" si="6"/>
        <v>2377</v>
      </c>
      <c r="X128" s="11">
        <f t="shared" si="7"/>
        <v>2377</v>
      </c>
      <c r="Y128" s="17">
        <v>3</v>
      </c>
      <c r="Z128" s="17"/>
      <c r="AC128" s="19" t="s">
        <v>343</v>
      </c>
    </row>
    <row r="129" spans="2:29">
      <c r="B129" s="19" t="s">
        <v>26</v>
      </c>
      <c r="C129" s="19" t="s">
        <v>345</v>
      </c>
      <c r="D129" s="19" t="s">
        <v>346</v>
      </c>
      <c r="E129" s="19" t="s">
        <v>29</v>
      </c>
      <c r="F129" s="19" t="s">
        <v>30</v>
      </c>
      <c r="G129" s="19" t="s">
        <v>31</v>
      </c>
      <c r="J129" s="19" t="s">
        <v>345</v>
      </c>
      <c r="K129" s="19" t="s">
        <v>32</v>
      </c>
      <c r="L129" s="19" t="s">
        <v>309</v>
      </c>
      <c r="M129" s="19">
        <v>138.878712278909</v>
      </c>
      <c r="N129" s="19">
        <v>2377</v>
      </c>
      <c r="O129" s="19">
        <v>0.155371492081134</v>
      </c>
      <c r="P129" s="19" t="s">
        <v>310</v>
      </c>
      <c r="Q129" s="19">
        <v>8.09775</v>
      </c>
      <c r="R129">
        <f t="shared" si="4"/>
        <v>23.77</v>
      </c>
      <c r="T129" s="15" t="s">
        <v>119</v>
      </c>
      <c r="U129" s="17"/>
      <c r="V129" s="16" t="str">
        <f t="shared" si="5"/>
        <v>EN_SPV_16_c04_CAN</v>
      </c>
      <c r="W129" s="12">
        <f t="shared" si="6"/>
        <v>2377</v>
      </c>
      <c r="X129" s="11">
        <f t="shared" si="7"/>
        <v>2377</v>
      </c>
      <c r="Y129" s="17">
        <v>3</v>
      </c>
      <c r="Z129" s="17"/>
      <c r="AC129" s="19" t="s">
        <v>345</v>
      </c>
    </row>
    <row r="130" spans="2:29">
      <c r="B130" s="19" t="s">
        <v>26</v>
      </c>
      <c r="C130" s="19" t="s">
        <v>347</v>
      </c>
      <c r="D130" s="19" t="s">
        <v>348</v>
      </c>
      <c r="E130" s="19" t="s">
        <v>29</v>
      </c>
      <c r="F130" s="19" t="s">
        <v>30</v>
      </c>
      <c r="G130" s="19" t="s">
        <v>31</v>
      </c>
      <c r="J130" s="19" t="s">
        <v>347</v>
      </c>
      <c r="K130" s="19" t="s">
        <v>32</v>
      </c>
      <c r="L130" s="19" t="s">
        <v>309</v>
      </c>
      <c r="M130" s="19">
        <v>0</v>
      </c>
      <c r="N130" s="19">
        <v>2377</v>
      </c>
      <c r="O130" s="19">
        <v>0.166110846140258</v>
      </c>
      <c r="P130" s="19" t="s">
        <v>310</v>
      </c>
      <c r="Q130" s="19">
        <v>25.4745</v>
      </c>
      <c r="R130">
        <f t="shared" si="4"/>
        <v>23.77</v>
      </c>
      <c r="T130" s="15" t="s">
        <v>119</v>
      </c>
      <c r="U130" s="17"/>
      <c r="V130" s="16" t="str">
        <f t="shared" si="5"/>
        <v>EN_SPV_17_c01_CAN</v>
      </c>
      <c r="W130" s="12">
        <f t="shared" si="6"/>
        <v>2377</v>
      </c>
      <c r="X130" s="11">
        <f t="shared" si="7"/>
        <v>2377</v>
      </c>
      <c r="Y130" s="17">
        <v>3</v>
      </c>
      <c r="Z130" s="17"/>
      <c r="AC130" s="19" t="s">
        <v>347</v>
      </c>
    </row>
    <row r="131" spans="2:29">
      <c r="B131" s="19" t="s">
        <v>26</v>
      </c>
      <c r="C131" s="19" t="s">
        <v>349</v>
      </c>
      <c r="D131" s="19" t="s">
        <v>350</v>
      </c>
      <c r="E131" s="19" t="s">
        <v>29</v>
      </c>
      <c r="F131" s="19" t="s">
        <v>30</v>
      </c>
      <c r="G131" s="19" t="s">
        <v>31</v>
      </c>
      <c r="J131" s="19" t="s">
        <v>349</v>
      </c>
      <c r="K131" s="19" t="s">
        <v>32</v>
      </c>
      <c r="L131" s="19" t="s">
        <v>309</v>
      </c>
      <c r="M131" s="19">
        <v>88.9549921786477</v>
      </c>
      <c r="N131" s="19">
        <v>2377</v>
      </c>
      <c r="O131" s="19">
        <v>0.166700557019901</v>
      </c>
      <c r="P131" s="19" t="s">
        <v>310</v>
      </c>
      <c r="Q131" s="19">
        <v>87.92325</v>
      </c>
      <c r="R131">
        <f t="shared" si="4"/>
        <v>23.77</v>
      </c>
      <c r="T131" s="15" t="s">
        <v>119</v>
      </c>
      <c r="U131" s="17"/>
      <c r="V131" s="16" t="str">
        <f t="shared" si="5"/>
        <v>EN_SPV_17_c02_CAN</v>
      </c>
      <c r="W131" s="12">
        <f t="shared" si="6"/>
        <v>2377</v>
      </c>
      <c r="X131" s="11">
        <f t="shared" si="7"/>
        <v>2377</v>
      </c>
      <c r="Y131" s="17">
        <v>3</v>
      </c>
      <c r="Z131" s="17"/>
      <c r="AC131" s="19" t="s">
        <v>349</v>
      </c>
    </row>
    <row r="132" spans="2:29">
      <c r="B132" s="19" t="s">
        <v>26</v>
      </c>
      <c r="C132" s="19" t="s">
        <v>351</v>
      </c>
      <c r="D132" s="19" t="s">
        <v>352</v>
      </c>
      <c r="E132" s="19" t="s">
        <v>29</v>
      </c>
      <c r="F132" s="19" t="s">
        <v>30</v>
      </c>
      <c r="G132" s="19" t="s">
        <v>31</v>
      </c>
      <c r="J132" s="19" t="s">
        <v>351</v>
      </c>
      <c r="K132" s="19" t="s">
        <v>32</v>
      </c>
      <c r="L132" s="19" t="s">
        <v>309</v>
      </c>
      <c r="M132" s="19">
        <v>101.208996203257</v>
      </c>
      <c r="N132" s="19">
        <v>2377</v>
      </c>
      <c r="O132" s="19">
        <v>0.168480959971661</v>
      </c>
      <c r="P132" s="19" t="s">
        <v>310</v>
      </c>
      <c r="Q132" s="19">
        <v>25.407</v>
      </c>
      <c r="R132">
        <f t="shared" si="4"/>
        <v>23.77</v>
      </c>
      <c r="T132" s="15" t="s">
        <v>119</v>
      </c>
      <c r="U132" s="17"/>
      <c r="V132" s="16" t="str">
        <f t="shared" si="5"/>
        <v>EN_SPV_17_c03_CAN</v>
      </c>
      <c r="W132" s="12">
        <f t="shared" si="6"/>
        <v>2377</v>
      </c>
      <c r="X132" s="11">
        <f t="shared" si="7"/>
        <v>2377</v>
      </c>
      <c r="Y132" s="17">
        <v>3</v>
      </c>
      <c r="Z132" s="17"/>
      <c r="AC132" s="19" t="s">
        <v>351</v>
      </c>
    </row>
    <row r="133" spans="2:29">
      <c r="B133" s="19" t="s">
        <v>26</v>
      </c>
      <c r="C133" s="19" t="s">
        <v>353</v>
      </c>
      <c r="D133" s="19" t="s">
        <v>354</v>
      </c>
      <c r="E133" s="19" t="s">
        <v>29</v>
      </c>
      <c r="F133" s="19" t="s">
        <v>30</v>
      </c>
      <c r="G133" s="19" t="s">
        <v>31</v>
      </c>
      <c r="J133" s="19" t="s">
        <v>353</v>
      </c>
      <c r="K133" s="19" t="s">
        <v>32</v>
      </c>
      <c r="L133" s="19" t="s">
        <v>355</v>
      </c>
      <c r="M133" s="19">
        <v>88.9549921786477</v>
      </c>
      <c r="N133" s="19">
        <v>958</v>
      </c>
      <c r="O133" s="19">
        <v>0.130521219544492</v>
      </c>
      <c r="P133" s="19" t="s">
        <v>356</v>
      </c>
      <c r="Q133" s="19">
        <v>22.656</v>
      </c>
      <c r="R133">
        <f t="shared" si="4"/>
        <v>9.58</v>
      </c>
      <c r="T133" s="15" t="s">
        <v>69</v>
      </c>
      <c r="U133" s="17"/>
      <c r="V133" s="16" t="str">
        <f t="shared" si="5"/>
        <v>EN_SPV_13_c02_CHE</v>
      </c>
      <c r="W133" s="12">
        <f t="shared" si="6"/>
        <v>958</v>
      </c>
      <c r="X133" s="11">
        <f t="shared" si="7"/>
        <v>958</v>
      </c>
      <c r="Y133" s="17">
        <v>3</v>
      </c>
      <c r="Z133" s="17"/>
      <c r="AC133" s="19" t="s">
        <v>353</v>
      </c>
    </row>
    <row r="134" spans="2:29">
      <c r="B134" s="19" t="s">
        <v>26</v>
      </c>
      <c r="C134" s="19" t="s">
        <v>357</v>
      </c>
      <c r="D134" s="19" t="s">
        <v>358</v>
      </c>
      <c r="E134" s="19" t="s">
        <v>29</v>
      </c>
      <c r="F134" s="19" t="s">
        <v>30</v>
      </c>
      <c r="G134" s="19" t="s">
        <v>31</v>
      </c>
      <c r="J134" s="19" t="s">
        <v>357</v>
      </c>
      <c r="K134" s="19" t="s">
        <v>32</v>
      </c>
      <c r="L134" s="19" t="s">
        <v>355</v>
      </c>
      <c r="M134" s="19">
        <v>101.208996203257</v>
      </c>
      <c r="N134" s="19">
        <v>958</v>
      </c>
      <c r="O134" s="19">
        <v>0.128723432343234</v>
      </c>
      <c r="P134" s="19" t="s">
        <v>356</v>
      </c>
      <c r="Q134" s="19">
        <v>10.22625</v>
      </c>
      <c r="R134">
        <f t="shared" ref="R134:R197" si="8">N134*0.01</f>
        <v>9.58</v>
      </c>
      <c r="T134" s="15" t="s">
        <v>69</v>
      </c>
      <c r="U134" s="17"/>
      <c r="V134" s="16" t="str">
        <f t="shared" ref="V134:V197" si="9">J134</f>
        <v>EN_SPV_13_c03_CHE</v>
      </c>
      <c r="W134" s="12">
        <f t="shared" ref="W134:W197" si="10">N134</f>
        <v>958</v>
      </c>
      <c r="X134" s="11">
        <f t="shared" ref="X134:X197" si="11">W134</f>
        <v>958</v>
      </c>
      <c r="Y134" s="17">
        <v>3</v>
      </c>
      <c r="Z134" s="17"/>
      <c r="AC134" s="19" t="s">
        <v>357</v>
      </c>
    </row>
    <row r="135" spans="2:29">
      <c r="B135" s="19" t="s">
        <v>26</v>
      </c>
      <c r="C135" s="19" t="s">
        <v>359</v>
      </c>
      <c r="D135" s="19" t="s">
        <v>360</v>
      </c>
      <c r="E135" s="19" t="s">
        <v>29</v>
      </c>
      <c r="F135" s="19" t="s">
        <v>30</v>
      </c>
      <c r="G135" s="19" t="s">
        <v>31</v>
      </c>
      <c r="J135" s="19" t="s">
        <v>359</v>
      </c>
      <c r="K135" s="19" t="s">
        <v>32</v>
      </c>
      <c r="L135" s="19" t="s">
        <v>355</v>
      </c>
      <c r="M135" s="19">
        <v>88.9549921786477</v>
      </c>
      <c r="N135" s="19">
        <v>958</v>
      </c>
      <c r="O135" s="19">
        <v>0.139087896592244</v>
      </c>
      <c r="P135" s="19" t="s">
        <v>356</v>
      </c>
      <c r="Q135" s="19">
        <v>9.57375</v>
      </c>
      <c r="R135">
        <f t="shared" si="8"/>
        <v>9.58</v>
      </c>
      <c r="T135" s="15" t="s">
        <v>69</v>
      </c>
      <c r="U135" s="17"/>
      <c r="V135" s="16" t="str">
        <f t="shared" si="9"/>
        <v>EN_SPV_14_c02_CHE</v>
      </c>
      <c r="W135" s="12">
        <f t="shared" si="10"/>
        <v>958</v>
      </c>
      <c r="X135" s="11">
        <f t="shared" si="11"/>
        <v>958</v>
      </c>
      <c r="Y135" s="17">
        <v>3</v>
      </c>
      <c r="Z135" s="17"/>
      <c r="AC135" s="19" t="s">
        <v>359</v>
      </c>
    </row>
    <row r="136" spans="2:29">
      <c r="B136" s="19" t="s">
        <v>26</v>
      </c>
      <c r="C136" s="19" t="s">
        <v>361</v>
      </c>
      <c r="D136" s="19" t="s">
        <v>362</v>
      </c>
      <c r="E136" s="19" t="s">
        <v>29</v>
      </c>
      <c r="F136" s="19" t="s">
        <v>30</v>
      </c>
      <c r="G136" s="19" t="s">
        <v>31</v>
      </c>
      <c r="J136" s="19" t="s">
        <v>361</v>
      </c>
      <c r="K136" s="19" t="s">
        <v>32</v>
      </c>
      <c r="L136" s="19" t="s">
        <v>355</v>
      </c>
      <c r="M136" s="19">
        <v>88.9549921786477</v>
      </c>
      <c r="N136" s="19">
        <v>958</v>
      </c>
      <c r="O136" s="19">
        <v>0.146215568862275</v>
      </c>
      <c r="P136" s="19" t="s">
        <v>356</v>
      </c>
      <c r="Q136" s="19">
        <v>0.501</v>
      </c>
      <c r="R136">
        <f t="shared" si="8"/>
        <v>9.58</v>
      </c>
      <c r="T136" s="15" t="s">
        <v>69</v>
      </c>
      <c r="U136" s="17"/>
      <c r="V136" s="16" t="str">
        <f t="shared" si="9"/>
        <v>EN_SPV_15_c02_CHE</v>
      </c>
      <c r="W136" s="12">
        <f t="shared" si="10"/>
        <v>958</v>
      </c>
      <c r="X136" s="11">
        <f t="shared" si="11"/>
        <v>958</v>
      </c>
      <c r="Y136" s="17">
        <v>3</v>
      </c>
      <c r="Z136" s="17"/>
      <c r="AC136" s="19" t="s">
        <v>361</v>
      </c>
    </row>
    <row r="137" spans="2:29">
      <c r="B137" s="19" t="s">
        <v>26</v>
      </c>
      <c r="C137" s="19" t="s">
        <v>363</v>
      </c>
      <c r="D137" s="19" t="s">
        <v>364</v>
      </c>
      <c r="E137" s="19" t="s">
        <v>29</v>
      </c>
      <c r="F137" s="19" t="s">
        <v>30</v>
      </c>
      <c r="G137" s="19" t="s">
        <v>31</v>
      </c>
      <c r="J137" s="19" t="s">
        <v>363</v>
      </c>
      <c r="K137" s="19" t="s">
        <v>32</v>
      </c>
      <c r="L137" s="19" t="s">
        <v>365</v>
      </c>
      <c r="M137" s="19">
        <v>0</v>
      </c>
      <c r="N137" s="19">
        <v>1727</v>
      </c>
      <c r="O137" s="19">
        <v>0.198744914871177</v>
      </c>
      <c r="P137" s="19" t="s">
        <v>366</v>
      </c>
      <c r="Q137" s="19">
        <v>4.97775</v>
      </c>
      <c r="R137">
        <f t="shared" si="8"/>
        <v>17.27</v>
      </c>
      <c r="T137" s="15" t="s">
        <v>89</v>
      </c>
      <c r="U137" s="17"/>
      <c r="V137" s="16" t="str">
        <f t="shared" si="9"/>
        <v>EN_SPV_20_c01_CHL</v>
      </c>
      <c r="W137" s="12">
        <f t="shared" si="10"/>
        <v>1727</v>
      </c>
      <c r="X137" s="11">
        <f t="shared" si="11"/>
        <v>1727</v>
      </c>
      <c r="Y137" s="17">
        <v>3</v>
      </c>
      <c r="Z137" s="17"/>
      <c r="AC137" s="19" t="s">
        <v>363</v>
      </c>
    </row>
    <row r="138" spans="2:29">
      <c r="B138" s="19" t="s">
        <v>26</v>
      </c>
      <c r="C138" s="19" t="s">
        <v>367</v>
      </c>
      <c r="D138" s="19" t="s">
        <v>368</v>
      </c>
      <c r="E138" s="19" t="s">
        <v>29</v>
      </c>
      <c r="F138" s="19" t="s">
        <v>30</v>
      </c>
      <c r="G138" s="19" t="s">
        <v>31</v>
      </c>
      <c r="J138" s="19" t="s">
        <v>367</v>
      </c>
      <c r="K138" s="19" t="s">
        <v>32</v>
      </c>
      <c r="L138" s="19" t="s">
        <v>365</v>
      </c>
      <c r="M138" s="19">
        <v>0</v>
      </c>
      <c r="N138" s="19">
        <v>1727</v>
      </c>
      <c r="O138" s="19">
        <v>0.206031215469613</v>
      </c>
      <c r="P138" s="19" t="s">
        <v>366</v>
      </c>
      <c r="Q138" s="19">
        <v>2.715</v>
      </c>
      <c r="R138">
        <f t="shared" si="8"/>
        <v>17.27</v>
      </c>
      <c r="T138" s="15" t="s">
        <v>89</v>
      </c>
      <c r="U138" s="17"/>
      <c r="V138" s="16" t="str">
        <f t="shared" si="9"/>
        <v>EN_SPV_21_c01_CHL</v>
      </c>
      <c r="W138" s="12">
        <f t="shared" si="10"/>
        <v>1727</v>
      </c>
      <c r="X138" s="11">
        <f t="shared" si="11"/>
        <v>1727</v>
      </c>
      <c r="Y138" s="17">
        <v>3</v>
      </c>
      <c r="Z138" s="17"/>
      <c r="AC138" s="19" t="s">
        <v>367</v>
      </c>
    </row>
    <row r="139" spans="2:29">
      <c r="B139" s="19" t="s">
        <v>26</v>
      </c>
      <c r="C139" s="19" t="s">
        <v>369</v>
      </c>
      <c r="D139" s="19" t="s">
        <v>370</v>
      </c>
      <c r="E139" s="19" t="s">
        <v>29</v>
      </c>
      <c r="F139" s="19" t="s">
        <v>30</v>
      </c>
      <c r="G139" s="19" t="s">
        <v>31</v>
      </c>
      <c r="J139" s="19" t="s">
        <v>369</v>
      </c>
      <c r="K139" s="19" t="s">
        <v>32</v>
      </c>
      <c r="L139" s="19" t="s">
        <v>365</v>
      </c>
      <c r="M139" s="19">
        <v>88.9549921786477</v>
      </c>
      <c r="N139" s="19">
        <v>1727</v>
      </c>
      <c r="O139" s="19">
        <v>0.205034600760456</v>
      </c>
      <c r="P139" s="19" t="s">
        <v>366</v>
      </c>
      <c r="Q139" s="19">
        <v>1.9725</v>
      </c>
      <c r="R139">
        <f t="shared" si="8"/>
        <v>17.27</v>
      </c>
      <c r="T139" s="15" t="s">
        <v>89</v>
      </c>
      <c r="U139" s="17"/>
      <c r="V139" s="16" t="str">
        <f t="shared" si="9"/>
        <v>EN_SPV_21_c02_CHL</v>
      </c>
      <c r="W139" s="12">
        <f t="shared" si="10"/>
        <v>1727</v>
      </c>
      <c r="X139" s="11">
        <f t="shared" si="11"/>
        <v>1727</v>
      </c>
      <c r="Y139" s="17">
        <v>3</v>
      </c>
      <c r="Z139" s="17"/>
      <c r="AC139" s="19" t="s">
        <v>369</v>
      </c>
    </row>
    <row r="140" spans="2:29">
      <c r="B140" s="19" t="s">
        <v>26</v>
      </c>
      <c r="C140" s="19" t="s">
        <v>371</v>
      </c>
      <c r="D140" s="19" t="s">
        <v>372</v>
      </c>
      <c r="E140" s="19" t="s">
        <v>29</v>
      </c>
      <c r="F140" s="19" t="s">
        <v>30</v>
      </c>
      <c r="G140" s="19" t="s">
        <v>31</v>
      </c>
      <c r="J140" s="19" t="s">
        <v>371</v>
      </c>
      <c r="K140" s="19" t="s">
        <v>32</v>
      </c>
      <c r="L140" s="19" t="s">
        <v>365</v>
      </c>
      <c r="M140" s="19">
        <v>0</v>
      </c>
      <c r="N140" s="19">
        <v>1727</v>
      </c>
      <c r="O140" s="19">
        <v>0.222553009708738</v>
      </c>
      <c r="P140" s="19" t="s">
        <v>366</v>
      </c>
      <c r="Q140" s="19">
        <v>3.8625</v>
      </c>
      <c r="R140">
        <f t="shared" si="8"/>
        <v>17.27</v>
      </c>
      <c r="T140" s="15" t="s">
        <v>89</v>
      </c>
      <c r="U140" s="17"/>
      <c r="V140" s="16" t="str">
        <f t="shared" si="9"/>
        <v>EN_SPV_22_c01_CHL</v>
      </c>
      <c r="W140" s="12">
        <f t="shared" si="10"/>
        <v>1727</v>
      </c>
      <c r="X140" s="11">
        <f t="shared" si="11"/>
        <v>1727</v>
      </c>
      <c r="Y140" s="17">
        <v>3</v>
      </c>
      <c r="Z140" s="17"/>
      <c r="AC140" s="19" t="s">
        <v>371</v>
      </c>
    </row>
    <row r="141" spans="2:29">
      <c r="B141" s="19" t="s">
        <v>26</v>
      </c>
      <c r="C141" s="19" t="s">
        <v>373</v>
      </c>
      <c r="D141" s="19" t="s">
        <v>374</v>
      </c>
      <c r="E141" s="19" t="s">
        <v>29</v>
      </c>
      <c r="F141" s="19" t="s">
        <v>30</v>
      </c>
      <c r="G141" s="19" t="s">
        <v>31</v>
      </c>
      <c r="J141" s="19" t="s">
        <v>373</v>
      </c>
      <c r="K141" s="19" t="s">
        <v>32</v>
      </c>
      <c r="L141" s="19" t="s">
        <v>365</v>
      </c>
      <c r="M141" s="19">
        <v>0</v>
      </c>
      <c r="N141" s="19">
        <v>1727</v>
      </c>
      <c r="O141" s="19">
        <v>0.230325010477654</v>
      </c>
      <c r="P141" s="19" t="s">
        <v>366</v>
      </c>
      <c r="Q141" s="19">
        <v>59.05425</v>
      </c>
      <c r="R141">
        <f t="shared" si="8"/>
        <v>17.27</v>
      </c>
      <c r="T141" s="15" t="s">
        <v>89</v>
      </c>
      <c r="U141" s="17"/>
      <c r="V141" s="16" t="str">
        <f t="shared" si="9"/>
        <v>EN_SPV_23_c01_CHL</v>
      </c>
      <c r="W141" s="12">
        <f t="shared" si="10"/>
        <v>1727</v>
      </c>
      <c r="X141" s="11">
        <f t="shared" si="11"/>
        <v>1727</v>
      </c>
      <c r="Y141" s="17">
        <v>3</v>
      </c>
      <c r="Z141" s="17"/>
      <c r="AC141" s="19" t="s">
        <v>373</v>
      </c>
    </row>
    <row r="142" spans="2:29">
      <c r="B142" s="19" t="s">
        <v>26</v>
      </c>
      <c r="C142" s="19" t="s">
        <v>375</v>
      </c>
      <c r="D142" s="19" t="s">
        <v>376</v>
      </c>
      <c r="E142" s="19" t="s">
        <v>29</v>
      </c>
      <c r="F142" s="19" t="s">
        <v>30</v>
      </c>
      <c r="G142" s="19" t="s">
        <v>31</v>
      </c>
      <c r="J142" s="19" t="s">
        <v>375</v>
      </c>
      <c r="K142" s="19" t="s">
        <v>32</v>
      </c>
      <c r="L142" s="19" t="s">
        <v>365</v>
      </c>
      <c r="M142" s="19">
        <v>88.9549921786477</v>
      </c>
      <c r="N142" s="19">
        <v>1727</v>
      </c>
      <c r="O142" s="19">
        <v>0.230984154929578</v>
      </c>
      <c r="P142" s="19" t="s">
        <v>366</v>
      </c>
      <c r="Q142" s="19">
        <v>0.426</v>
      </c>
      <c r="R142">
        <f t="shared" si="8"/>
        <v>17.27</v>
      </c>
      <c r="T142" s="15" t="s">
        <v>89</v>
      </c>
      <c r="U142" s="17"/>
      <c r="V142" s="16" t="str">
        <f t="shared" si="9"/>
        <v>EN_SPV_23_c02_CHL</v>
      </c>
      <c r="W142" s="12">
        <f t="shared" si="10"/>
        <v>1727</v>
      </c>
      <c r="X142" s="11">
        <f t="shared" si="11"/>
        <v>1727</v>
      </c>
      <c r="Y142" s="17">
        <v>3</v>
      </c>
      <c r="Z142" s="17"/>
      <c r="AC142" s="19" t="s">
        <v>375</v>
      </c>
    </row>
    <row r="143" spans="2:29">
      <c r="B143" s="19" t="s">
        <v>26</v>
      </c>
      <c r="C143" s="19" t="s">
        <v>377</v>
      </c>
      <c r="D143" s="19" t="s">
        <v>378</v>
      </c>
      <c r="E143" s="19" t="s">
        <v>29</v>
      </c>
      <c r="F143" s="19" t="s">
        <v>30</v>
      </c>
      <c r="G143" s="19" t="s">
        <v>31</v>
      </c>
      <c r="J143" s="19" t="s">
        <v>377</v>
      </c>
      <c r="K143" s="19" t="s">
        <v>32</v>
      </c>
      <c r="L143" s="19" t="s">
        <v>365</v>
      </c>
      <c r="M143" s="19">
        <v>0</v>
      </c>
      <c r="N143" s="19">
        <v>1727</v>
      </c>
      <c r="O143" s="19">
        <v>0.237913767446912</v>
      </c>
      <c r="P143" s="19" t="s">
        <v>366</v>
      </c>
      <c r="Q143" s="19">
        <v>69.04875</v>
      </c>
      <c r="R143">
        <f t="shared" si="8"/>
        <v>17.27</v>
      </c>
      <c r="T143" s="15" t="s">
        <v>89</v>
      </c>
      <c r="U143" s="17"/>
      <c r="V143" s="16" t="str">
        <f t="shared" si="9"/>
        <v>EN_SPV_24_c01_CHL</v>
      </c>
      <c r="W143" s="12">
        <f t="shared" si="10"/>
        <v>1727</v>
      </c>
      <c r="X143" s="11">
        <f t="shared" si="11"/>
        <v>1727</v>
      </c>
      <c r="Y143" s="17">
        <v>3</v>
      </c>
      <c r="Z143" s="17"/>
      <c r="AC143" s="19" t="s">
        <v>377</v>
      </c>
    </row>
    <row r="144" spans="2:29">
      <c r="B144" s="19" t="s">
        <v>26</v>
      </c>
      <c r="C144" s="19" t="s">
        <v>379</v>
      </c>
      <c r="D144" s="19" t="s">
        <v>380</v>
      </c>
      <c r="E144" s="19" t="s">
        <v>29</v>
      </c>
      <c r="F144" s="19" t="s">
        <v>30</v>
      </c>
      <c r="G144" s="19" t="s">
        <v>31</v>
      </c>
      <c r="J144" s="19" t="s">
        <v>379</v>
      </c>
      <c r="K144" s="19" t="s">
        <v>32</v>
      </c>
      <c r="L144" s="19" t="s">
        <v>365</v>
      </c>
      <c r="M144" s="19">
        <v>88.9549921786477</v>
      </c>
      <c r="N144" s="19">
        <v>1727</v>
      </c>
      <c r="O144" s="19">
        <v>0.241</v>
      </c>
      <c r="P144" s="19" t="s">
        <v>366</v>
      </c>
      <c r="Q144" s="19">
        <v>0.5745</v>
      </c>
      <c r="R144">
        <f t="shared" si="8"/>
        <v>17.27</v>
      </c>
      <c r="T144" s="15" t="s">
        <v>89</v>
      </c>
      <c r="U144" s="17"/>
      <c r="V144" s="16" t="str">
        <f t="shared" si="9"/>
        <v>EN_SPV_24_c02_CHL</v>
      </c>
      <c r="W144" s="12">
        <f t="shared" si="10"/>
        <v>1727</v>
      </c>
      <c r="X144" s="11">
        <f t="shared" si="11"/>
        <v>1727</v>
      </c>
      <c r="Y144" s="17">
        <v>3</v>
      </c>
      <c r="Z144" s="17"/>
      <c r="AC144" s="19" t="s">
        <v>379</v>
      </c>
    </row>
    <row r="145" spans="2:29">
      <c r="B145" s="19" t="s">
        <v>26</v>
      </c>
      <c r="C145" s="19" t="s">
        <v>381</v>
      </c>
      <c r="D145" s="19" t="s">
        <v>382</v>
      </c>
      <c r="E145" s="19" t="s">
        <v>29</v>
      </c>
      <c r="F145" s="19" t="s">
        <v>30</v>
      </c>
      <c r="G145" s="19" t="s">
        <v>31</v>
      </c>
      <c r="J145" s="19" t="s">
        <v>381</v>
      </c>
      <c r="K145" s="19" t="s">
        <v>32</v>
      </c>
      <c r="L145" s="19" t="s">
        <v>365</v>
      </c>
      <c r="M145" s="19">
        <v>0</v>
      </c>
      <c r="N145" s="19">
        <v>1727</v>
      </c>
      <c r="O145" s="19">
        <v>0.245</v>
      </c>
      <c r="P145" s="19" t="s">
        <v>366</v>
      </c>
      <c r="Q145" s="19">
        <v>1.38075</v>
      </c>
      <c r="R145">
        <f t="shared" si="8"/>
        <v>17.27</v>
      </c>
      <c r="T145" s="15" t="s">
        <v>89</v>
      </c>
      <c r="U145" s="17"/>
      <c r="V145" s="16" t="str">
        <f t="shared" si="9"/>
        <v>EN_SPV_25_c01_CHL</v>
      </c>
      <c r="W145" s="12">
        <f t="shared" si="10"/>
        <v>1727</v>
      </c>
      <c r="X145" s="11">
        <f t="shared" si="11"/>
        <v>1727</v>
      </c>
      <c r="Y145" s="17">
        <v>3</v>
      </c>
      <c r="Z145" s="17"/>
      <c r="AC145" s="19" t="s">
        <v>381</v>
      </c>
    </row>
    <row r="146" spans="2:29">
      <c r="B146" s="19" t="s">
        <v>26</v>
      </c>
      <c r="C146" s="19" t="s">
        <v>383</v>
      </c>
      <c r="D146" s="19" t="s">
        <v>384</v>
      </c>
      <c r="E146" s="19" t="s">
        <v>29</v>
      </c>
      <c r="F146" s="19" t="s">
        <v>30</v>
      </c>
      <c r="G146" s="19" t="s">
        <v>31</v>
      </c>
      <c r="J146" s="19" t="s">
        <v>383</v>
      </c>
      <c r="K146" s="19" t="s">
        <v>32</v>
      </c>
      <c r="L146" s="19" t="s">
        <v>385</v>
      </c>
      <c r="M146" s="19">
        <v>101.208996203257</v>
      </c>
      <c r="N146" s="19">
        <v>794</v>
      </c>
      <c r="O146" s="19">
        <v>0.0827780977802754</v>
      </c>
      <c r="P146" s="19" t="s">
        <v>386</v>
      </c>
      <c r="Q146" s="19">
        <v>10.677</v>
      </c>
      <c r="R146">
        <f t="shared" si="8"/>
        <v>7.94</v>
      </c>
      <c r="T146" s="15" t="s">
        <v>290</v>
      </c>
      <c r="U146" s="17"/>
      <c r="V146" s="16" t="str">
        <f t="shared" si="9"/>
        <v>EN_SPV_08_c03_CHN</v>
      </c>
      <c r="W146" s="12">
        <f t="shared" si="10"/>
        <v>794</v>
      </c>
      <c r="X146" s="11">
        <f t="shared" si="11"/>
        <v>794</v>
      </c>
      <c r="Y146" s="17">
        <v>3</v>
      </c>
      <c r="Z146" s="17"/>
      <c r="AC146" s="19" t="s">
        <v>383</v>
      </c>
    </row>
    <row r="147" spans="2:29">
      <c r="B147" s="19" t="s">
        <v>26</v>
      </c>
      <c r="C147" s="19" t="s">
        <v>387</v>
      </c>
      <c r="D147" s="19" t="s">
        <v>388</v>
      </c>
      <c r="E147" s="19" t="s">
        <v>29</v>
      </c>
      <c r="F147" s="19" t="s">
        <v>30</v>
      </c>
      <c r="G147" s="19" t="s">
        <v>31</v>
      </c>
      <c r="J147" s="19" t="s">
        <v>387</v>
      </c>
      <c r="K147" s="19" t="s">
        <v>32</v>
      </c>
      <c r="L147" s="19" t="s">
        <v>385</v>
      </c>
      <c r="M147" s="19">
        <v>138.878712278909</v>
      </c>
      <c r="N147" s="19">
        <v>794</v>
      </c>
      <c r="O147" s="19">
        <v>0.0801948384891472</v>
      </c>
      <c r="P147" s="19" t="s">
        <v>386</v>
      </c>
      <c r="Q147" s="19">
        <v>8.7765</v>
      </c>
      <c r="R147">
        <f t="shared" si="8"/>
        <v>7.94</v>
      </c>
      <c r="T147" s="15" t="s">
        <v>290</v>
      </c>
      <c r="U147" s="17"/>
      <c r="V147" s="16" t="str">
        <f t="shared" si="9"/>
        <v>EN_SPV_08_c04_CHN</v>
      </c>
      <c r="W147" s="12">
        <f t="shared" si="10"/>
        <v>794</v>
      </c>
      <c r="X147" s="11">
        <f t="shared" si="11"/>
        <v>794</v>
      </c>
      <c r="Y147" s="17">
        <v>3</v>
      </c>
      <c r="Z147" s="17"/>
      <c r="AC147" s="19" t="s">
        <v>387</v>
      </c>
    </row>
    <row r="148" spans="2:29">
      <c r="B148" s="19" t="s">
        <v>26</v>
      </c>
      <c r="C148" s="19" t="s">
        <v>389</v>
      </c>
      <c r="D148" s="19" t="s">
        <v>390</v>
      </c>
      <c r="E148" s="19" t="s">
        <v>29</v>
      </c>
      <c r="F148" s="19" t="s">
        <v>30</v>
      </c>
      <c r="G148" s="19" t="s">
        <v>31</v>
      </c>
      <c r="J148" s="19" t="s">
        <v>389</v>
      </c>
      <c r="K148" s="19" t="s">
        <v>32</v>
      </c>
      <c r="L148" s="19" t="s">
        <v>385</v>
      </c>
      <c r="M148" s="19">
        <v>101.208996203257</v>
      </c>
      <c r="N148" s="19">
        <v>794</v>
      </c>
      <c r="O148" s="19">
        <v>0.0917743319009618</v>
      </c>
      <c r="P148" s="19" t="s">
        <v>386</v>
      </c>
      <c r="Q148" s="19">
        <v>183.2625</v>
      </c>
      <c r="R148">
        <f t="shared" si="8"/>
        <v>7.94</v>
      </c>
      <c r="T148" s="15" t="s">
        <v>290</v>
      </c>
      <c r="U148" s="17"/>
      <c r="V148" s="16" t="str">
        <f t="shared" si="9"/>
        <v>EN_SPV_09_c03_CHN</v>
      </c>
      <c r="W148" s="12">
        <f t="shared" si="10"/>
        <v>794</v>
      </c>
      <c r="X148" s="11">
        <f t="shared" si="11"/>
        <v>794</v>
      </c>
      <c r="Y148" s="17">
        <v>3</v>
      </c>
      <c r="Z148" s="17"/>
      <c r="AC148" s="19" t="s">
        <v>389</v>
      </c>
    </row>
    <row r="149" spans="2:29">
      <c r="B149" s="19" t="s">
        <v>26</v>
      </c>
      <c r="C149" s="19" t="s">
        <v>391</v>
      </c>
      <c r="D149" s="19" t="s">
        <v>392</v>
      </c>
      <c r="E149" s="19" t="s">
        <v>29</v>
      </c>
      <c r="F149" s="19" t="s">
        <v>30</v>
      </c>
      <c r="G149" s="19" t="s">
        <v>31</v>
      </c>
      <c r="J149" s="19" t="s">
        <v>391</v>
      </c>
      <c r="K149" s="19" t="s">
        <v>32</v>
      </c>
      <c r="L149" s="19" t="s">
        <v>385</v>
      </c>
      <c r="M149" s="19">
        <v>138.878712278909</v>
      </c>
      <c r="N149" s="19">
        <v>794</v>
      </c>
      <c r="O149" s="19">
        <v>0.0866778426197822</v>
      </c>
      <c r="P149" s="19" t="s">
        <v>386</v>
      </c>
      <c r="Q149" s="19">
        <v>20.17725</v>
      </c>
      <c r="R149">
        <f t="shared" si="8"/>
        <v>7.94</v>
      </c>
      <c r="T149" s="15" t="s">
        <v>290</v>
      </c>
      <c r="U149" s="17"/>
      <c r="V149" s="16" t="str">
        <f t="shared" si="9"/>
        <v>EN_SPV_09_c04_CHN</v>
      </c>
      <c r="W149" s="12">
        <f t="shared" si="10"/>
        <v>794</v>
      </c>
      <c r="X149" s="11">
        <f t="shared" si="11"/>
        <v>794</v>
      </c>
      <c r="Y149" s="17">
        <v>3</v>
      </c>
      <c r="Z149" s="17"/>
      <c r="AC149" s="19" t="s">
        <v>391</v>
      </c>
    </row>
    <row r="150" spans="2:29">
      <c r="B150" s="19" t="s">
        <v>26</v>
      </c>
      <c r="C150" s="19" t="s">
        <v>393</v>
      </c>
      <c r="D150" s="19" t="s">
        <v>394</v>
      </c>
      <c r="E150" s="19" t="s">
        <v>29</v>
      </c>
      <c r="F150" s="19" t="s">
        <v>30</v>
      </c>
      <c r="G150" s="19" t="s">
        <v>31</v>
      </c>
      <c r="J150" s="19" t="s">
        <v>393</v>
      </c>
      <c r="K150" s="19" t="s">
        <v>32</v>
      </c>
      <c r="L150" s="19" t="s">
        <v>385</v>
      </c>
      <c r="M150" s="19">
        <v>101.208996203257</v>
      </c>
      <c r="N150" s="19">
        <v>794</v>
      </c>
      <c r="O150" s="19">
        <v>0.0999344350515679</v>
      </c>
      <c r="P150" s="19" t="s">
        <v>386</v>
      </c>
      <c r="Q150" s="19">
        <v>143.5485</v>
      </c>
      <c r="R150">
        <f t="shared" si="8"/>
        <v>7.94</v>
      </c>
      <c r="T150" s="15" t="s">
        <v>290</v>
      </c>
      <c r="U150" s="17"/>
      <c r="V150" s="16" t="str">
        <f t="shared" si="9"/>
        <v>EN_SPV_10_c03_CHN</v>
      </c>
      <c r="W150" s="12">
        <f t="shared" si="10"/>
        <v>794</v>
      </c>
      <c r="X150" s="11">
        <f t="shared" si="11"/>
        <v>794</v>
      </c>
      <c r="Y150" s="17">
        <v>3</v>
      </c>
      <c r="Z150" s="17"/>
      <c r="AC150" s="19" t="s">
        <v>393</v>
      </c>
    </row>
    <row r="151" spans="2:29">
      <c r="B151" s="19" t="s">
        <v>26</v>
      </c>
      <c r="C151" s="19" t="s">
        <v>395</v>
      </c>
      <c r="D151" s="19" t="s">
        <v>396</v>
      </c>
      <c r="E151" s="19" t="s">
        <v>29</v>
      </c>
      <c r="F151" s="19" t="s">
        <v>30</v>
      </c>
      <c r="G151" s="19" t="s">
        <v>31</v>
      </c>
      <c r="J151" s="19" t="s">
        <v>395</v>
      </c>
      <c r="K151" s="19" t="s">
        <v>32</v>
      </c>
      <c r="L151" s="19" t="s">
        <v>385</v>
      </c>
      <c r="M151" s="19">
        <v>101.208996203257</v>
      </c>
      <c r="N151" s="19">
        <v>794</v>
      </c>
      <c r="O151" s="19">
        <v>0.109882494546276</v>
      </c>
      <c r="P151" s="19" t="s">
        <v>386</v>
      </c>
      <c r="Q151" s="19">
        <v>411.8745</v>
      </c>
      <c r="R151">
        <f t="shared" si="8"/>
        <v>7.94</v>
      </c>
      <c r="T151" s="15" t="s">
        <v>290</v>
      </c>
      <c r="U151" s="17"/>
      <c r="V151" s="16" t="str">
        <f t="shared" si="9"/>
        <v>EN_SPV_11_c03_CHN</v>
      </c>
      <c r="W151" s="12">
        <f t="shared" si="10"/>
        <v>794</v>
      </c>
      <c r="X151" s="11">
        <f t="shared" si="11"/>
        <v>794</v>
      </c>
      <c r="Y151" s="17">
        <v>3</v>
      </c>
      <c r="Z151" s="17"/>
      <c r="AC151" s="19" t="s">
        <v>395</v>
      </c>
    </row>
    <row r="152" spans="2:29">
      <c r="B152" s="19" t="s">
        <v>26</v>
      </c>
      <c r="C152" s="19" t="s">
        <v>397</v>
      </c>
      <c r="D152" s="19" t="s">
        <v>398</v>
      </c>
      <c r="E152" s="19" t="s">
        <v>29</v>
      </c>
      <c r="F152" s="19" t="s">
        <v>30</v>
      </c>
      <c r="G152" s="19" t="s">
        <v>31</v>
      </c>
      <c r="J152" s="19" t="s">
        <v>397</v>
      </c>
      <c r="K152" s="19" t="s">
        <v>32</v>
      </c>
      <c r="L152" s="19" t="s">
        <v>385</v>
      </c>
      <c r="M152" s="19">
        <v>88.9549921786477</v>
      </c>
      <c r="N152" s="19">
        <v>794</v>
      </c>
      <c r="O152" s="19">
        <v>0.124</v>
      </c>
      <c r="P152" s="19" t="s">
        <v>386</v>
      </c>
      <c r="Q152" s="19">
        <v>1.63125</v>
      </c>
      <c r="R152">
        <f t="shared" si="8"/>
        <v>7.94</v>
      </c>
      <c r="T152" s="15" t="s">
        <v>290</v>
      </c>
      <c r="U152" s="17"/>
      <c r="V152" s="16" t="str">
        <f t="shared" si="9"/>
        <v>EN_SPV_12_c02_CHN</v>
      </c>
      <c r="W152" s="12">
        <f t="shared" si="10"/>
        <v>794</v>
      </c>
      <c r="X152" s="11">
        <f t="shared" si="11"/>
        <v>794</v>
      </c>
      <c r="Y152" s="17">
        <v>3</v>
      </c>
      <c r="Z152" s="17"/>
      <c r="AC152" s="19" t="s">
        <v>397</v>
      </c>
    </row>
    <row r="153" spans="2:29">
      <c r="B153" s="19" t="s">
        <v>26</v>
      </c>
      <c r="C153" s="19" t="s">
        <v>399</v>
      </c>
      <c r="D153" s="19" t="s">
        <v>400</v>
      </c>
      <c r="E153" s="19" t="s">
        <v>29</v>
      </c>
      <c r="F153" s="19" t="s">
        <v>30</v>
      </c>
      <c r="G153" s="19" t="s">
        <v>31</v>
      </c>
      <c r="J153" s="19" t="s">
        <v>399</v>
      </c>
      <c r="K153" s="19" t="s">
        <v>32</v>
      </c>
      <c r="L153" s="19" t="s">
        <v>385</v>
      </c>
      <c r="M153" s="19">
        <v>101.208996203257</v>
      </c>
      <c r="N153" s="19">
        <v>794</v>
      </c>
      <c r="O153" s="19">
        <v>0.120423430739078</v>
      </c>
      <c r="P153" s="19" t="s">
        <v>386</v>
      </c>
      <c r="Q153" s="19">
        <v>967.01175</v>
      </c>
      <c r="R153">
        <f t="shared" si="8"/>
        <v>7.94</v>
      </c>
      <c r="T153" s="15" t="s">
        <v>290</v>
      </c>
      <c r="U153" s="17"/>
      <c r="V153" s="16" t="str">
        <f t="shared" si="9"/>
        <v>EN_SPV_12_c03_CHN</v>
      </c>
      <c r="W153" s="12">
        <f t="shared" si="10"/>
        <v>794</v>
      </c>
      <c r="X153" s="11">
        <f t="shared" si="11"/>
        <v>794</v>
      </c>
      <c r="Y153" s="17">
        <v>3</v>
      </c>
      <c r="Z153" s="17"/>
      <c r="AC153" s="19" t="s">
        <v>399</v>
      </c>
    </row>
    <row r="154" spans="2:29">
      <c r="B154" s="19" t="s">
        <v>26</v>
      </c>
      <c r="C154" s="19" t="s">
        <v>401</v>
      </c>
      <c r="D154" s="19" t="s">
        <v>402</v>
      </c>
      <c r="E154" s="19" t="s">
        <v>29</v>
      </c>
      <c r="F154" s="19" t="s">
        <v>30</v>
      </c>
      <c r="G154" s="19" t="s">
        <v>31</v>
      </c>
      <c r="J154" s="19" t="s">
        <v>401</v>
      </c>
      <c r="K154" s="19" t="s">
        <v>32</v>
      </c>
      <c r="L154" s="19" t="s">
        <v>385</v>
      </c>
      <c r="M154" s="19">
        <v>88.9549921786477</v>
      </c>
      <c r="N154" s="19">
        <v>794</v>
      </c>
      <c r="O154" s="19">
        <v>0.130653885037015</v>
      </c>
      <c r="P154" s="19" t="s">
        <v>386</v>
      </c>
      <c r="Q154" s="19">
        <v>303.42375</v>
      </c>
      <c r="R154">
        <f t="shared" si="8"/>
        <v>7.94</v>
      </c>
      <c r="T154" s="15" t="s">
        <v>290</v>
      </c>
      <c r="U154" s="17"/>
      <c r="V154" s="16" t="str">
        <f t="shared" si="9"/>
        <v>EN_SPV_13_c02_CHN</v>
      </c>
      <c r="W154" s="12">
        <f t="shared" si="10"/>
        <v>794</v>
      </c>
      <c r="X154" s="11">
        <f t="shared" si="11"/>
        <v>794</v>
      </c>
      <c r="Y154" s="17">
        <v>3</v>
      </c>
      <c r="Z154" s="17"/>
      <c r="AC154" s="19" t="s">
        <v>401</v>
      </c>
    </row>
    <row r="155" spans="2:29">
      <c r="B155" s="19" t="s">
        <v>26</v>
      </c>
      <c r="C155" s="19" t="s">
        <v>403</v>
      </c>
      <c r="D155" s="19" t="s">
        <v>404</v>
      </c>
      <c r="E155" s="19" t="s">
        <v>29</v>
      </c>
      <c r="F155" s="19" t="s">
        <v>30</v>
      </c>
      <c r="G155" s="19" t="s">
        <v>31</v>
      </c>
      <c r="J155" s="19" t="s">
        <v>403</v>
      </c>
      <c r="K155" s="19" t="s">
        <v>32</v>
      </c>
      <c r="L155" s="19" t="s">
        <v>385</v>
      </c>
      <c r="M155" s="19">
        <v>101.208996203257</v>
      </c>
      <c r="N155" s="19">
        <v>794</v>
      </c>
      <c r="O155" s="19">
        <v>0.128447922343279</v>
      </c>
      <c r="P155" s="19" t="s">
        <v>386</v>
      </c>
      <c r="Q155" s="19">
        <v>565.64325</v>
      </c>
      <c r="R155">
        <f t="shared" si="8"/>
        <v>7.94</v>
      </c>
      <c r="T155" s="15" t="s">
        <v>290</v>
      </c>
      <c r="U155" s="17"/>
      <c r="V155" s="16" t="str">
        <f t="shared" si="9"/>
        <v>EN_SPV_13_c03_CHN</v>
      </c>
      <c r="W155" s="12">
        <f t="shared" si="10"/>
        <v>794</v>
      </c>
      <c r="X155" s="11">
        <f t="shared" si="11"/>
        <v>794</v>
      </c>
      <c r="Y155" s="17">
        <v>3</v>
      </c>
      <c r="Z155" s="17"/>
      <c r="AC155" s="19" t="s">
        <v>403</v>
      </c>
    </row>
    <row r="156" spans="2:29">
      <c r="B156" s="19" t="s">
        <v>26</v>
      </c>
      <c r="C156" s="19" t="s">
        <v>405</v>
      </c>
      <c r="D156" s="19" t="s">
        <v>406</v>
      </c>
      <c r="E156" s="19" t="s">
        <v>29</v>
      </c>
      <c r="F156" s="19" t="s">
        <v>30</v>
      </c>
      <c r="G156" s="19" t="s">
        <v>31</v>
      </c>
      <c r="J156" s="19" t="s">
        <v>405</v>
      </c>
      <c r="K156" s="19" t="s">
        <v>32</v>
      </c>
      <c r="L156" s="19" t="s">
        <v>385</v>
      </c>
      <c r="M156" s="19">
        <v>138.878712278909</v>
      </c>
      <c r="N156" s="19">
        <v>794</v>
      </c>
      <c r="O156" s="19">
        <v>0.131554112554113</v>
      </c>
      <c r="P156" s="19" t="s">
        <v>386</v>
      </c>
      <c r="Q156" s="19">
        <v>0.17325</v>
      </c>
      <c r="R156">
        <f t="shared" si="8"/>
        <v>7.94</v>
      </c>
      <c r="T156" s="15" t="s">
        <v>290</v>
      </c>
      <c r="U156" s="17"/>
      <c r="V156" s="16" t="str">
        <f t="shared" si="9"/>
        <v>EN_SPV_13_c04_CHN</v>
      </c>
      <c r="W156" s="12">
        <f t="shared" si="10"/>
        <v>794</v>
      </c>
      <c r="X156" s="11">
        <f t="shared" si="11"/>
        <v>794</v>
      </c>
      <c r="Y156" s="17">
        <v>3</v>
      </c>
      <c r="Z156" s="17"/>
      <c r="AC156" s="19" t="s">
        <v>405</v>
      </c>
    </row>
    <row r="157" spans="2:29">
      <c r="B157" s="19" t="s">
        <v>26</v>
      </c>
      <c r="C157" s="19" t="s">
        <v>407</v>
      </c>
      <c r="D157" s="19" t="s">
        <v>408</v>
      </c>
      <c r="E157" s="19" t="s">
        <v>29</v>
      </c>
      <c r="F157" s="19" t="s">
        <v>30</v>
      </c>
      <c r="G157" s="19" t="s">
        <v>31</v>
      </c>
      <c r="J157" s="19" t="s">
        <v>407</v>
      </c>
      <c r="K157" s="19" t="s">
        <v>32</v>
      </c>
      <c r="L157" s="19" t="s">
        <v>385</v>
      </c>
      <c r="M157" s="19">
        <v>88.9549921786477</v>
      </c>
      <c r="N157" s="19">
        <v>794</v>
      </c>
      <c r="O157" s="19">
        <v>0.140985390971949</v>
      </c>
      <c r="P157" s="19" t="s">
        <v>386</v>
      </c>
      <c r="Q157" s="19">
        <v>667.0875</v>
      </c>
      <c r="R157">
        <f t="shared" si="8"/>
        <v>7.94</v>
      </c>
      <c r="T157" s="15" t="s">
        <v>290</v>
      </c>
      <c r="U157" s="17"/>
      <c r="V157" s="16" t="str">
        <f t="shared" si="9"/>
        <v>EN_SPV_14_c02_CHN</v>
      </c>
      <c r="W157" s="12">
        <f t="shared" si="10"/>
        <v>794</v>
      </c>
      <c r="X157" s="11">
        <f t="shared" si="11"/>
        <v>794</v>
      </c>
      <c r="Y157" s="17">
        <v>3</v>
      </c>
      <c r="Z157" s="17"/>
      <c r="AC157" s="19" t="s">
        <v>407</v>
      </c>
    </row>
    <row r="158" spans="2:29">
      <c r="B158" s="19" t="s">
        <v>26</v>
      </c>
      <c r="C158" s="19" t="s">
        <v>409</v>
      </c>
      <c r="D158" s="19" t="s">
        <v>410</v>
      </c>
      <c r="E158" s="19" t="s">
        <v>29</v>
      </c>
      <c r="F158" s="19" t="s">
        <v>30</v>
      </c>
      <c r="G158" s="19" t="s">
        <v>31</v>
      </c>
      <c r="J158" s="19" t="s">
        <v>409</v>
      </c>
      <c r="K158" s="19" t="s">
        <v>32</v>
      </c>
      <c r="L158" s="19" t="s">
        <v>385</v>
      </c>
      <c r="M158" s="19">
        <v>101.208996203257</v>
      </c>
      <c r="N158" s="19">
        <v>794</v>
      </c>
      <c r="O158" s="19">
        <v>0.142140280121108</v>
      </c>
      <c r="P158" s="19" t="s">
        <v>386</v>
      </c>
      <c r="Q158" s="19">
        <v>64.9005</v>
      </c>
      <c r="R158">
        <f t="shared" si="8"/>
        <v>7.94</v>
      </c>
      <c r="T158" s="15" t="s">
        <v>290</v>
      </c>
      <c r="U158" s="17"/>
      <c r="V158" s="16" t="str">
        <f t="shared" si="9"/>
        <v>EN_SPV_14_c03_CHN</v>
      </c>
      <c r="W158" s="12">
        <f t="shared" si="10"/>
        <v>794</v>
      </c>
      <c r="X158" s="11">
        <f t="shared" si="11"/>
        <v>794</v>
      </c>
      <c r="Y158" s="17">
        <v>3</v>
      </c>
      <c r="Z158" s="17"/>
      <c r="AC158" s="19" t="s">
        <v>409</v>
      </c>
    </row>
    <row r="159" spans="2:29">
      <c r="B159" s="19" t="s">
        <v>26</v>
      </c>
      <c r="C159" s="19" t="s">
        <v>411</v>
      </c>
      <c r="D159" s="19" t="s">
        <v>412</v>
      </c>
      <c r="E159" s="19" t="s">
        <v>29</v>
      </c>
      <c r="F159" s="19" t="s">
        <v>30</v>
      </c>
      <c r="G159" s="19" t="s">
        <v>31</v>
      </c>
      <c r="J159" s="19" t="s">
        <v>411</v>
      </c>
      <c r="K159" s="19" t="s">
        <v>32</v>
      </c>
      <c r="L159" s="19" t="s">
        <v>385</v>
      </c>
      <c r="M159" s="19">
        <v>0</v>
      </c>
      <c r="N159" s="19">
        <v>794</v>
      </c>
      <c r="O159" s="19">
        <v>0.154</v>
      </c>
      <c r="P159" s="19" t="s">
        <v>386</v>
      </c>
      <c r="Q159" s="19">
        <v>0.7485</v>
      </c>
      <c r="R159">
        <f t="shared" si="8"/>
        <v>7.94</v>
      </c>
      <c r="T159" s="15" t="s">
        <v>290</v>
      </c>
      <c r="U159" s="17"/>
      <c r="V159" s="16" t="str">
        <f t="shared" si="9"/>
        <v>EN_SPV_15_c01_CHN</v>
      </c>
      <c r="W159" s="12">
        <f t="shared" si="10"/>
        <v>794</v>
      </c>
      <c r="X159" s="11">
        <f t="shared" si="11"/>
        <v>794</v>
      </c>
      <c r="Y159" s="17">
        <v>3</v>
      </c>
      <c r="Z159" s="17"/>
      <c r="AC159" s="19" t="s">
        <v>411</v>
      </c>
    </row>
    <row r="160" spans="2:29">
      <c r="B160" s="19" t="s">
        <v>26</v>
      </c>
      <c r="C160" s="19" t="s">
        <v>413</v>
      </c>
      <c r="D160" s="19" t="s">
        <v>414</v>
      </c>
      <c r="E160" s="19" t="s">
        <v>29</v>
      </c>
      <c r="F160" s="19" t="s">
        <v>30</v>
      </c>
      <c r="G160" s="19" t="s">
        <v>31</v>
      </c>
      <c r="J160" s="19" t="s">
        <v>413</v>
      </c>
      <c r="K160" s="19" t="s">
        <v>32</v>
      </c>
      <c r="L160" s="19" t="s">
        <v>385</v>
      </c>
      <c r="M160" s="19">
        <v>88.9549921786477</v>
      </c>
      <c r="N160" s="19">
        <v>794</v>
      </c>
      <c r="O160" s="19">
        <v>0.150016466317213</v>
      </c>
      <c r="P160" s="19" t="s">
        <v>386</v>
      </c>
      <c r="Q160" s="19">
        <v>890.8185</v>
      </c>
      <c r="R160">
        <f t="shared" si="8"/>
        <v>7.94</v>
      </c>
      <c r="T160" s="15" t="s">
        <v>290</v>
      </c>
      <c r="U160" s="17"/>
      <c r="V160" s="16" t="str">
        <f t="shared" si="9"/>
        <v>EN_SPV_15_c02_CHN</v>
      </c>
      <c r="W160" s="12">
        <f t="shared" si="10"/>
        <v>794</v>
      </c>
      <c r="X160" s="11">
        <f t="shared" si="11"/>
        <v>794</v>
      </c>
      <c r="Y160" s="17">
        <v>3</v>
      </c>
      <c r="Z160" s="17"/>
      <c r="AC160" s="19" t="s">
        <v>413</v>
      </c>
    </row>
    <row r="161" spans="2:29">
      <c r="B161" s="19" t="s">
        <v>26</v>
      </c>
      <c r="C161" s="19" t="s">
        <v>415</v>
      </c>
      <c r="D161" s="19" t="s">
        <v>416</v>
      </c>
      <c r="E161" s="19" t="s">
        <v>29</v>
      </c>
      <c r="F161" s="19" t="s">
        <v>30</v>
      </c>
      <c r="G161" s="19" t="s">
        <v>31</v>
      </c>
      <c r="J161" s="19" t="s">
        <v>415</v>
      </c>
      <c r="K161" s="19" t="s">
        <v>32</v>
      </c>
      <c r="L161" s="19" t="s">
        <v>385</v>
      </c>
      <c r="M161" s="19">
        <v>101.208996203257</v>
      </c>
      <c r="N161" s="19">
        <v>794</v>
      </c>
      <c r="O161" s="19">
        <v>0.150116297566391</v>
      </c>
      <c r="P161" s="19" t="s">
        <v>386</v>
      </c>
      <c r="Q161" s="19">
        <v>593.1315</v>
      </c>
      <c r="R161">
        <f t="shared" si="8"/>
        <v>7.94</v>
      </c>
      <c r="T161" s="15" t="s">
        <v>290</v>
      </c>
      <c r="U161" s="17"/>
      <c r="V161" s="16" t="str">
        <f t="shared" si="9"/>
        <v>EN_SPV_15_c03_CHN</v>
      </c>
      <c r="W161" s="12">
        <f t="shared" si="10"/>
        <v>794</v>
      </c>
      <c r="X161" s="11">
        <f t="shared" si="11"/>
        <v>794</v>
      </c>
      <c r="Y161" s="17">
        <v>3</v>
      </c>
      <c r="Z161" s="17"/>
      <c r="AC161" s="19" t="s">
        <v>415</v>
      </c>
    </row>
    <row r="162" spans="2:29">
      <c r="B162" s="19" t="s">
        <v>26</v>
      </c>
      <c r="C162" s="19" t="s">
        <v>417</v>
      </c>
      <c r="D162" s="19" t="s">
        <v>418</v>
      </c>
      <c r="E162" s="19" t="s">
        <v>29</v>
      </c>
      <c r="F162" s="19" t="s">
        <v>30</v>
      </c>
      <c r="G162" s="19" t="s">
        <v>31</v>
      </c>
      <c r="J162" s="19" t="s">
        <v>417</v>
      </c>
      <c r="K162" s="19" t="s">
        <v>32</v>
      </c>
      <c r="L162" s="19" t="s">
        <v>385</v>
      </c>
      <c r="M162" s="19">
        <v>138.878712278909</v>
      </c>
      <c r="N162" s="19">
        <v>794</v>
      </c>
      <c r="O162" s="19">
        <v>0.152416516590355</v>
      </c>
      <c r="P162" s="19" t="s">
        <v>386</v>
      </c>
      <c r="Q162" s="19">
        <v>225.7185</v>
      </c>
      <c r="R162">
        <f t="shared" si="8"/>
        <v>7.94</v>
      </c>
      <c r="T162" s="15" t="s">
        <v>290</v>
      </c>
      <c r="U162" s="17"/>
      <c r="V162" s="16" t="str">
        <f t="shared" si="9"/>
        <v>EN_SPV_15_c04_CHN</v>
      </c>
      <c r="W162" s="12">
        <f t="shared" si="10"/>
        <v>794</v>
      </c>
      <c r="X162" s="11">
        <f t="shared" si="11"/>
        <v>794</v>
      </c>
      <c r="Y162" s="17">
        <v>3</v>
      </c>
      <c r="Z162" s="17"/>
      <c r="AC162" s="19" t="s">
        <v>417</v>
      </c>
    </row>
    <row r="163" spans="2:29">
      <c r="B163" s="19" t="s">
        <v>26</v>
      </c>
      <c r="C163" s="19" t="s">
        <v>419</v>
      </c>
      <c r="D163" s="19" t="s">
        <v>420</v>
      </c>
      <c r="E163" s="19" t="s">
        <v>29</v>
      </c>
      <c r="F163" s="19" t="s">
        <v>30</v>
      </c>
      <c r="G163" s="19" t="s">
        <v>31</v>
      </c>
      <c r="J163" s="19" t="s">
        <v>419</v>
      </c>
      <c r="K163" s="19" t="s">
        <v>32</v>
      </c>
      <c r="L163" s="19" t="s">
        <v>385</v>
      </c>
      <c r="M163" s="19">
        <v>0</v>
      </c>
      <c r="N163" s="19">
        <v>794</v>
      </c>
      <c r="O163" s="19">
        <v>0.161364847071766</v>
      </c>
      <c r="P163" s="19" t="s">
        <v>386</v>
      </c>
      <c r="Q163" s="19">
        <v>308.15925</v>
      </c>
      <c r="R163">
        <f t="shared" si="8"/>
        <v>7.94</v>
      </c>
      <c r="T163" s="15" t="s">
        <v>290</v>
      </c>
      <c r="U163" s="17"/>
      <c r="V163" s="16" t="str">
        <f t="shared" si="9"/>
        <v>EN_SPV_16_c01_CHN</v>
      </c>
      <c r="W163" s="12">
        <f t="shared" si="10"/>
        <v>794</v>
      </c>
      <c r="X163" s="11">
        <f t="shared" si="11"/>
        <v>794</v>
      </c>
      <c r="Y163" s="17">
        <v>3</v>
      </c>
      <c r="Z163" s="17"/>
      <c r="AC163" s="19" t="s">
        <v>419</v>
      </c>
    </row>
    <row r="164" spans="2:29">
      <c r="B164" s="19" t="s">
        <v>26</v>
      </c>
      <c r="C164" s="19" t="s">
        <v>421</v>
      </c>
      <c r="D164" s="19" t="s">
        <v>422</v>
      </c>
      <c r="E164" s="19" t="s">
        <v>29</v>
      </c>
      <c r="F164" s="19" t="s">
        <v>30</v>
      </c>
      <c r="G164" s="19" t="s">
        <v>31</v>
      </c>
      <c r="J164" s="19" t="s">
        <v>421</v>
      </c>
      <c r="K164" s="19" t="s">
        <v>32</v>
      </c>
      <c r="L164" s="19" t="s">
        <v>385</v>
      </c>
      <c r="M164" s="19">
        <v>88.9549921786477</v>
      </c>
      <c r="N164" s="19">
        <v>794</v>
      </c>
      <c r="O164" s="19">
        <v>0.159398030283215</v>
      </c>
      <c r="P164" s="19" t="s">
        <v>386</v>
      </c>
      <c r="Q164" s="19">
        <v>825.804</v>
      </c>
      <c r="R164">
        <f t="shared" si="8"/>
        <v>7.94</v>
      </c>
      <c r="T164" s="15" t="s">
        <v>290</v>
      </c>
      <c r="U164" s="17"/>
      <c r="V164" s="16" t="str">
        <f t="shared" si="9"/>
        <v>EN_SPV_16_c02_CHN</v>
      </c>
      <c r="W164" s="12">
        <f t="shared" si="10"/>
        <v>794</v>
      </c>
      <c r="X164" s="11">
        <f t="shared" si="11"/>
        <v>794</v>
      </c>
      <c r="Y164" s="17">
        <v>3</v>
      </c>
      <c r="Z164" s="17"/>
      <c r="AC164" s="19" t="s">
        <v>421</v>
      </c>
    </row>
    <row r="165" spans="2:29">
      <c r="B165" s="19" t="s">
        <v>26</v>
      </c>
      <c r="C165" s="19" t="s">
        <v>423</v>
      </c>
      <c r="D165" s="19" t="s">
        <v>424</v>
      </c>
      <c r="E165" s="19" t="s">
        <v>29</v>
      </c>
      <c r="F165" s="19" t="s">
        <v>30</v>
      </c>
      <c r="G165" s="19" t="s">
        <v>31</v>
      </c>
      <c r="J165" s="19" t="s">
        <v>423</v>
      </c>
      <c r="K165" s="19" t="s">
        <v>32</v>
      </c>
      <c r="L165" s="19" t="s">
        <v>385</v>
      </c>
      <c r="M165" s="19">
        <v>101.208996203257</v>
      </c>
      <c r="N165" s="19">
        <v>794</v>
      </c>
      <c r="O165" s="19">
        <v>0.159103692144602</v>
      </c>
      <c r="P165" s="19" t="s">
        <v>386</v>
      </c>
      <c r="Q165" s="19">
        <v>202.34175</v>
      </c>
      <c r="R165">
        <f t="shared" si="8"/>
        <v>7.94</v>
      </c>
      <c r="T165" s="15" t="s">
        <v>290</v>
      </c>
      <c r="U165" s="17"/>
      <c r="V165" s="16" t="str">
        <f t="shared" si="9"/>
        <v>EN_SPV_16_c03_CHN</v>
      </c>
      <c r="W165" s="12">
        <f t="shared" si="10"/>
        <v>794</v>
      </c>
      <c r="X165" s="11">
        <f t="shared" si="11"/>
        <v>794</v>
      </c>
      <c r="Y165" s="17">
        <v>3</v>
      </c>
      <c r="Z165" s="17"/>
      <c r="AC165" s="19" t="s">
        <v>423</v>
      </c>
    </row>
    <row r="166" spans="2:29">
      <c r="B166" s="19" t="s">
        <v>26</v>
      </c>
      <c r="C166" s="19" t="s">
        <v>425</v>
      </c>
      <c r="D166" s="19" t="s">
        <v>426</v>
      </c>
      <c r="E166" s="19" t="s">
        <v>29</v>
      </c>
      <c r="F166" s="19" t="s">
        <v>30</v>
      </c>
      <c r="G166" s="19" t="s">
        <v>31</v>
      </c>
      <c r="J166" s="19" t="s">
        <v>425</v>
      </c>
      <c r="K166" s="19" t="s">
        <v>32</v>
      </c>
      <c r="L166" s="19" t="s">
        <v>385</v>
      </c>
      <c r="M166" s="19">
        <v>138.878712278909</v>
      </c>
      <c r="N166" s="19">
        <v>794</v>
      </c>
      <c r="O166" s="19">
        <v>0.157281913588758</v>
      </c>
      <c r="P166" s="19" t="s">
        <v>386</v>
      </c>
      <c r="Q166" s="19">
        <v>418.85175</v>
      </c>
      <c r="R166">
        <f t="shared" si="8"/>
        <v>7.94</v>
      </c>
      <c r="T166" s="15" t="s">
        <v>290</v>
      </c>
      <c r="U166" s="17"/>
      <c r="V166" s="16" t="str">
        <f t="shared" si="9"/>
        <v>EN_SPV_16_c04_CHN</v>
      </c>
      <c r="W166" s="12">
        <f t="shared" si="10"/>
        <v>794</v>
      </c>
      <c r="X166" s="11">
        <f t="shared" si="11"/>
        <v>794</v>
      </c>
      <c r="Y166" s="17">
        <v>3</v>
      </c>
      <c r="Z166" s="17"/>
      <c r="AC166" s="19" t="s">
        <v>425</v>
      </c>
    </row>
    <row r="167" spans="2:29">
      <c r="B167" s="19" t="s">
        <v>26</v>
      </c>
      <c r="C167" s="19" t="s">
        <v>427</v>
      </c>
      <c r="D167" s="19" t="s">
        <v>428</v>
      </c>
      <c r="E167" s="19" t="s">
        <v>29</v>
      </c>
      <c r="F167" s="19" t="s">
        <v>30</v>
      </c>
      <c r="G167" s="19" t="s">
        <v>31</v>
      </c>
      <c r="J167" s="19" t="s">
        <v>427</v>
      </c>
      <c r="K167" s="19" t="s">
        <v>32</v>
      </c>
      <c r="L167" s="19" t="s">
        <v>385</v>
      </c>
      <c r="M167" s="19">
        <v>0</v>
      </c>
      <c r="N167" s="19">
        <v>794</v>
      </c>
      <c r="O167" s="19">
        <v>0.170506027314761</v>
      </c>
      <c r="P167" s="19" t="s">
        <v>386</v>
      </c>
      <c r="Q167" s="19">
        <v>617.688</v>
      </c>
      <c r="R167">
        <f t="shared" si="8"/>
        <v>7.94</v>
      </c>
      <c r="T167" s="15" t="s">
        <v>290</v>
      </c>
      <c r="U167" s="17"/>
      <c r="V167" s="16" t="str">
        <f t="shared" si="9"/>
        <v>EN_SPV_17_c01_CHN</v>
      </c>
      <c r="W167" s="12">
        <f t="shared" si="10"/>
        <v>794</v>
      </c>
      <c r="X167" s="11">
        <f t="shared" si="11"/>
        <v>794</v>
      </c>
      <c r="Y167" s="17">
        <v>3</v>
      </c>
      <c r="Z167" s="17"/>
      <c r="AC167" s="19" t="s">
        <v>427</v>
      </c>
    </row>
    <row r="168" spans="2:29">
      <c r="B168" s="19" t="s">
        <v>26</v>
      </c>
      <c r="C168" s="19" t="s">
        <v>429</v>
      </c>
      <c r="D168" s="19" t="s">
        <v>430</v>
      </c>
      <c r="E168" s="19" t="s">
        <v>29</v>
      </c>
      <c r="F168" s="19" t="s">
        <v>30</v>
      </c>
      <c r="G168" s="19" t="s">
        <v>31</v>
      </c>
      <c r="J168" s="19" t="s">
        <v>429</v>
      </c>
      <c r="K168" s="19" t="s">
        <v>32</v>
      </c>
      <c r="L168" s="19" t="s">
        <v>385</v>
      </c>
      <c r="M168" s="19">
        <v>88.9549921786477</v>
      </c>
      <c r="N168" s="19">
        <v>794</v>
      </c>
      <c r="O168" s="19">
        <v>0.169559188934869</v>
      </c>
      <c r="P168" s="19" t="s">
        <v>386</v>
      </c>
      <c r="Q168" s="19">
        <v>486.98925</v>
      </c>
      <c r="R168">
        <f t="shared" si="8"/>
        <v>7.94</v>
      </c>
      <c r="T168" s="15" t="s">
        <v>290</v>
      </c>
      <c r="U168" s="17"/>
      <c r="V168" s="16" t="str">
        <f t="shared" si="9"/>
        <v>EN_SPV_17_c02_CHN</v>
      </c>
      <c r="W168" s="12">
        <f t="shared" si="10"/>
        <v>794</v>
      </c>
      <c r="X168" s="11">
        <f t="shared" si="11"/>
        <v>794</v>
      </c>
      <c r="Y168" s="17">
        <v>3</v>
      </c>
      <c r="Z168" s="17"/>
      <c r="AC168" s="19" t="s">
        <v>429</v>
      </c>
    </row>
    <row r="169" spans="2:29">
      <c r="B169" s="19" t="s">
        <v>26</v>
      </c>
      <c r="C169" s="19" t="s">
        <v>431</v>
      </c>
      <c r="D169" s="19" t="s">
        <v>432</v>
      </c>
      <c r="E169" s="19" t="s">
        <v>29</v>
      </c>
      <c r="F169" s="19" t="s">
        <v>30</v>
      </c>
      <c r="G169" s="19" t="s">
        <v>31</v>
      </c>
      <c r="J169" s="19" t="s">
        <v>431</v>
      </c>
      <c r="K169" s="19" t="s">
        <v>32</v>
      </c>
      <c r="L169" s="19" t="s">
        <v>385</v>
      </c>
      <c r="M169" s="19">
        <v>101.208996203257</v>
      </c>
      <c r="N169" s="19">
        <v>794</v>
      </c>
      <c r="O169" s="19">
        <v>0.169391128774771</v>
      </c>
      <c r="P169" s="19" t="s">
        <v>386</v>
      </c>
      <c r="Q169" s="19">
        <v>246.64575</v>
      </c>
      <c r="R169">
        <f t="shared" si="8"/>
        <v>7.94</v>
      </c>
      <c r="T169" s="15" t="s">
        <v>290</v>
      </c>
      <c r="U169" s="17"/>
      <c r="V169" s="16" t="str">
        <f t="shared" si="9"/>
        <v>EN_SPV_17_c03_CHN</v>
      </c>
      <c r="W169" s="12">
        <f t="shared" si="10"/>
        <v>794</v>
      </c>
      <c r="X169" s="11">
        <f t="shared" si="11"/>
        <v>794</v>
      </c>
      <c r="Y169" s="17">
        <v>3</v>
      </c>
      <c r="Z169" s="17"/>
      <c r="AC169" s="19" t="s">
        <v>431</v>
      </c>
    </row>
    <row r="170" spans="2:29">
      <c r="B170" s="19" t="s">
        <v>26</v>
      </c>
      <c r="C170" s="19" t="s">
        <v>433</v>
      </c>
      <c r="D170" s="19" t="s">
        <v>434</v>
      </c>
      <c r="E170" s="19" t="s">
        <v>29</v>
      </c>
      <c r="F170" s="19" t="s">
        <v>30</v>
      </c>
      <c r="G170" s="19" t="s">
        <v>31</v>
      </c>
      <c r="J170" s="19" t="s">
        <v>433</v>
      </c>
      <c r="K170" s="19" t="s">
        <v>32</v>
      </c>
      <c r="L170" s="19" t="s">
        <v>385</v>
      </c>
      <c r="M170" s="19">
        <v>138.878712278909</v>
      </c>
      <c r="N170" s="19">
        <v>794</v>
      </c>
      <c r="O170" s="19">
        <v>0.170008585680939</v>
      </c>
      <c r="P170" s="19" t="s">
        <v>386</v>
      </c>
      <c r="Q170" s="19">
        <v>140.7285</v>
      </c>
      <c r="R170">
        <f t="shared" si="8"/>
        <v>7.94</v>
      </c>
      <c r="T170" s="15" t="s">
        <v>290</v>
      </c>
      <c r="U170" s="17"/>
      <c r="V170" s="16" t="str">
        <f t="shared" si="9"/>
        <v>EN_SPV_17_c04_CHN</v>
      </c>
      <c r="W170" s="12">
        <f t="shared" si="10"/>
        <v>794</v>
      </c>
      <c r="X170" s="11">
        <f t="shared" si="11"/>
        <v>794</v>
      </c>
      <c r="Y170" s="17">
        <v>3</v>
      </c>
      <c r="Z170" s="17"/>
      <c r="AC170" s="19" t="s">
        <v>433</v>
      </c>
    </row>
    <row r="171" spans="2:29">
      <c r="B171" s="19" t="s">
        <v>26</v>
      </c>
      <c r="C171" s="19" t="s">
        <v>435</v>
      </c>
      <c r="D171" s="19" t="s">
        <v>436</v>
      </c>
      <c r="E171" s="19" t="s">
        <v>29</v>
      </c>
      <c r="F171" s="19" t="s">
        <v>30</v>
      </c>
      <c r="G171" s="19" t="s">
        <v>31</v>
      </c>
      <c r="J171" s="19" t="s">
        <v>435</v>
      </c>
      <c r="K171" s="19" t="s">
        <v>32</v>
      </c>
      <c r="L171" s="19" t="s">
        <v>385</v>
      </c>
      <c r="M171" s="19">
        <v>0</v>
      </c>
      <c r="N171" s="19">
        <v>794</v>
      </c>
      <c r="O171" s="19">
        <v>0.179898582333697</v>
      </c>
      <c r="P171" s="19" t="s">
        <v>386</v>
      </c>
      <c r="Q171" s="19">
        <v>1297.0965</v>
      </c>
      <c r="R171">
        <f t="shared" si="8"/>
        <v>7.94</v>
      </c>
      <c r="T171" s="15" t="s">
        <v>290</v>
      </c>
      <c r="U171" s="17"/>
      <c r="V171" s="16" t="str">
        <f t="shared" si="9"/>
        <v>EN_SPV_18_c01_CHN</v>
      </c>
      <c r="W171" s="12">
        <f t="shared" si="10"/>
        <v>794</v>
      </c>
      <c r="X171" s="11">
        <f t="shared" si="11"/>
        <v>794</v>
      </c>
      <c r="Y171" s="17">
        <v>3</v>
      </c>
      <c r="Z171" s="17"/>
      <c r="AC171" s="19" t="s">
        <v>435</v>
      </c>
    </row>
    <row r="172" spans="2:29">
      <c r="B172" s="19" t="s">
        <v>26</v>
      </c>
      <c r="C172" s="19" t="s">
        <v>437</v>
      </c>
      <c r="D172" s="19" t="s">
        <v>438</v>
      </c>
      <c r="E172" s="19" t="s">
        <v>29</v>
      </c>
      <c r="F172" s="19" t="s">
        <v>30</v>
      </c>
      <c r="G172" s="19" t="s">
        <v>31</v>
      </c>
      <c r="J172" s="19" t="s">
        <v>437</v>
      </c>
      <c r="K172" s="19" t="s">
        <v>32</v>
      </c>
      <c r="L172" s="19" t="s">
        <v>385</v>
      </c>
      <c r="M172" s="19">
        <v>88.9549921786477</v>
      </c>
      <c r="N172" s="19">
        <v>794</v>
      </c>
      <c r="O172" s="19">
        <v>0.179196369581653</v>
      </c>
      <c r="P172" s="19" t="s">
        <v>386</v>
      </c>
      <c r="Q172" s="19">
        <v>402.7635</v>
      </c>
      <c r="R172">
        <f t="shared" si="8"/>
        <v>7.94</v>
      </c>
      <c r="T172" s="15" t="s">
        <v>290</v>
      </c>
      <c r="U172" s="17"/>
      <c r="V172" s="16" t="str">
        <f t="shared" si="9"/>
        <v>EN_SPV_18_c02_CHN</v>
      </c>
      <c r="W172" s="12">
        <f t="shared" si="10"/>
        <v>794</v>
      </c>
      <c r="X172" s="11">
        <f t="shared" si="11"/>
        <v>794</v>
      </c>
      <c r="Y172" s="17">
        <v>3</v>
      </c>
      <c r="Z172" s="17"/>
      <c r="AC172" s="19" t="s">
        <v>437</v>
      </c>
    </row>
    <row r="173" spans="2:29">
      <c r="B173" s="19" t="s">
        <v>26</v>
      </c>
      <c r="C173" s="19" t="s">
        <v>439</v>
      </c>
      <c r="D173" s="19" t="s">
        <v>440</v>
      </c>
      <c r="E173" s="19" t="s">
        <v>29</v>
      </c>
      <c r="F173" s="19" t="s">
        <v>30</v>
      </c>
      <c r="G173" s="19" t="s">
        <v>31</v>
      </c>
      <c r="J173" s="19" t="s">
        <v>439</v>
      </c>
      <c r="K173" s="19" t="s">
        <v>32</v>
      </c>
      <c r="L173" s="19" t="s">
        <v>385</v>
      </c>
      <c r="M173" s="19">
        <v>101.208996203257</v>
      </c>
      <c r="N173" s="19">
        <v>794</v>
      </c>
      <c r="O173" s="19">
        <v>0.180260043916721</v>
      </c>
      <c r="P173" s="19" t="s">
        <v>386</v>
      </c>
      <c r="Q173" s="19">
        <v>258.216</v>
      </c>
      <c r="R173">
        <f t="shared" si="8"/>
        <v>7.94</v>
      </c>
      <c r="T173" s="15" t="s">
        <v>290</v>
      </c>
      <c r="U173" s="17"/>
      <c r="V173" s="16" t="str">
        <f t="shared" si="9"/>
        <v>EN_SPV_18_c03_CHN</v>
      </c>
      <c r="W173" s="12">
        <f t="shared" si="10"/>
        <v>794</v>
      </c>
      <c r="X173" s="11">
        <f t="shared" si="11"/>
        <v>794</v>
      </c>
      <c r="Y173" s="17">
        <v>3</v>
      </c>
      <c r="Z173" s="17"/>
      <c r="AC173" s="19" t="s">
        <v>439</v>
      </c>
    </row>
    <row r="174" spans="2:29">
      <c r="B174" s="19" t="s">
        <v>26</v>
      </c>
      <c r="C174" s="19" t="s">
        <v>441</v>
      </c>
      <c r="D174" s="19" t="s">
        <v>442</v>
      </c>
      <c r="E174" s="19" t="s">
        <v>29</v>
      </c>
      <c r="F174" s="19" t="s">
        <v>30</v>
      </c>
      <c r="G174" s="19" t="s">
        <v>31</v>
      </c>
      <c r="J174" s="19" t="s">
        <v>441</v>
      </c>
      <c r="K174" s="19" t="s">
        <v>32</v>
      </c>
      <c r="L174" s="19" t="s">
        <v>385</v>
      </c>
      <c r="M174" s="19">
        <v>138.878712278909</v>
      </c>
      <c r="N174" s="19">
        <v>794</v>
      </c>
      <c r="O174" s="19">
        <v>0.179689245485994</v>
      </c>
      <c r="P174" s="19" t="s">
        <v>386</v>
      </c>
      <c r="Q174" s="19">
        <v>142.224</v>
      </c>
      <c r="R174">
        <f t="shared" si="8"/>
        <v>7.94</v>
      </c>
      <c r="T174" s="15" t="s">
        <v>290</v>
      </c>
      <c r="U174" s="17"/>
      <c r="V174" s="16" t="str">
        <f t="shared" si="9"/>
        <v>EN_SPV_18_c04_CHN</v>
      </c>
      <c r="W174" s="12">
        <f t="shared" si="10"/>
        <v>794</v>
      </c>
      <c r="X174" s="11">
        <f t="shared" si="11"/>
        <v>794</v>
      </c>
      <c r="Y174" s="17">
        <v>3</v>
      </c>
      <c r="Z174" s="17"/>
      <c r="AC174" s="19" t="s">
        <v>441</v>
      </c>
    </row>
    <row r="175" s="18" customFormat="1" spans="2:29">
      <c r="B175" s="18" t="s">
        <v>26</v>
      </c>
      <c r="C175" s="18" t="s">
        <v>443</v>
      </c>
      <c r="D175" s="18" t="s">
        <v>444</v>
      </c>
      <c r="E175" s="18" t="s">
        <v>29</v>
      </c>
      <c r="F175" s="18" t="s">
        <v>30</v>
      </c>
      <c r="G175" s="18" t="s">
        <v>31</v>
      </c>
      <c r="J175" s="18" t="s">
        <v>443</v>
      </c>
      <c r="K175" s="18" t="s">
        <v>32</v>
      </c>
      <c r="L175" s="18" t="s">
        <v>385</v>
      </c>
      <c r="M175" s="18">
        <v>0</v>
      </c>
      <c r="N175" s="18">
        <v>794</v>
      </c>
      <c r="O175" s="18">
        <v>0.188317699629224</v>
      </c>
      <c r="P175" s="18" t="s">
        <v>386</v>
      </c>
      <c r="Q175" s="18">
        <v>626.05125</v>
      </c>
      <c r="R175">
        <f t="shared" si="8"/>
        <v>7.94</v>
      </c>
      <c r="T175" s="15" t="s">
        <v>290</v>
      </c>
      <c r="U175" s="17"/>
      <c r="V175" s="16" t="str">
        <f t="shared" si="9"/>
        <v>EN_SPV_19_c01_CHN</v>
      </c>
      <c r="W175" s="12">
        <f t="shared" si="10"/>
        <v>794</v>
      </c>
      <c r="X175" s="11">
        <f t="shared" si="11"/>
        <v>794</v>
      </c>
      <c r="Y175" s="17">
        <v>3</v>
      </c>
      <c r="Z175" s="17"/>
      <c r="AC175" s="18" t="s">
        <v>443</v>
      </c>
    </row>
    <row r="176" spans="2:29">
      <c r="B176" s="19" t="s">
        <v>26</v>
      </c>
      <c r="C176" s="19" t="s">
        <v>445</v>
      </c>
      <c r="D176" s="19" t="s">
        <v>446</v>
      </c>
      <c r="E176" s="19" t="s">
        <v>29</v>
      </c>
      <c r="F176" s="19" t="s">
        <v>30</v>
      </c>
      <c r="G176" s="19" t="s">
        <v>31</v>
      </c>
      <c r="J176" s="19" t="s">
        <v>445</v>
      </c>
      <c r="K176" s="19" t="s">
        <v>32</v>
      </c>
      <c r="L176" s="19" t="s">
        <v>385</v>
      </c>
      <c r="M176" s="19">
        <v>88.9549921786477</v>
      </c>
      <c r="N176" s="19">
        <v>794</v>
      </c>
      <c r="O176" s="19">
        <v>0.189311891210748</v>
      </c>
      <c r="P176" s="19" t="s">
        <v>386</v>
      </c>
      <c r="Q176" s="19">
        <v>608.277</v>
      </c>
      <c r="R176">
        <f t="shared" si="8"/>
        <v>7.94</v>
      </c>
      <c r="T176" s="15" t="s">
        <v>290</v>
      </c>
      <c r="U176" s="17"/>
      <c r="V176" s="16" t="str">
        <f t="shared" si="9"/>
        <v>EN_SPV_19_c02_CHN</v>
      </c>
      <c r="W176" s="12">
        <f t="shared" si="10"/>
        <v>794</v>
      </c>
      <c r="X176" s="11">
        <f t="shared" si="11"/>
        <v>794</v>
      </c>
      <c r="Y176" s="17">
        <v>3</v>
      </c>
      <c r="Z176" s="17"/>
      <c r="AC176" s="19" t="s">
        <v>445</v>
      </c>
    </row>
    <row r="177" spans="2:29">
      <c r="B177" s="19" t="s">
        <v>26</v>
      </c>
      <c r="C177" s="19" t="s">
        <v>447</v>
      </c>
      <c r="D177" s="19" t="s">
        <v>448</v>
      </c>
      <c r="E177" s="19" t="s">
        <v>29</v>
      </c>
      <c r="F177" s="19" t="s">
        <v>30</v>
      </c>
      <c r="G177" s="19" t="s">
        <v>31</v>
      </c>
      <c r="J177" s="19" t="s">
        <v>447</v>
      </c>
      <c r="K177" s="19" t="s">
        <v>32</v>
      </c>
      <c r="L177" s="19" t="s">
        <v>385</v>
      </c>
      <c r="M177" s="19">
        <v>101.208996203257</v>
      </c>
      <c r="N177" s="19">
        <v>794</v>
      </c>
      <c r="O177" s="19">
        <v>0.189577950076698</v>
      </c>
      <c r="P177" s="19" t="s">
        <v>386</v>
      </c>
      <c r="Q177" s="19">
        <v>403.36875</v>
      </c>
      <c r="R177">
        <f t="shared" si="8"/>
        <v>7.94</v>
      </c>
      <c r="T177" s="15" t="s">
        <v>290</v>
      </c>
      <c r="U177" s="17"/>
      <c r="V177" s="16" t="str">
        <f t="shared" si="9"/>
        <v>EN_SPV_19_c03_CHN</v>
      </c>
      <c r="W177" s="12">
        <f t="shared" si="10"/>
        <v>794</v>
      </c>
      <c r="X177" s="11">
        <f t="shared" si="11"/>
        <v>794</v>
      </c>
      <c r="Y177" s="17">
        <v>3</v>
      </c>
      <c r="Z177" s="17"/>
      <c r="AC177" s="19" t="s">
        <v>447</v>
      </c>
    </row>
    <row r="178" spans="2:29">
      <c r="B178" s="19" t="s">
        <v>26</v>
      </c>
      <c r="C178" s="19" t="s">
        <v>449</v>
      </c>
      <c r="D178" s="19" t="s">
        <v>450</v>
      </c>
      <c r="E178" s="19" t="s">
        <v>29</v>
      </c>
      <c r="F178" s="19" t="s">
        <v>30</v>
      </c>
      <c r="G178" s="19" t="s">
        <v>31</v>
      </c>
      <c r="J178" s="19" t="s">
        <v>449</v>
      </c>
      <c r="K178" s="19" t="s">
        <v>32</v>
      </c>
      <c r="L178" s="19" t="s">
        <v>385</v>
      </c>
      <c r="M178" s="19">
        <v>138.878712278909</v>
      </c>
      <c r="N178" s="19">
        <v>794</v>
      </c>
      <c r="O178" s="19">
        <v>0.189606144059045</v>
      </c>
      <c r="P178" s="19" t="s">
        <v>386</v>
      </c>
      <c r="Q178" s="19">
        <v>54.46725</v>
      </c>
      <c r="R178">
        <f t="shared" si="8"/>
        <v>7.94</v>
      </c>
      <c r="T178" s="15" t="s">
        <v>290</v>
      </c>
      <c r="U178" s="17"/>
      <c r="V178" s="16" t="str">
        <f t="shared" si="9"/>
        <v>EN_SPV_19_c04_CHN</v>
      </c>
      <c r="W178" s="12">
        <f t="shared" si="10"/>
        <v>794</v>
      </c>
      <c r="X178" s="11">
        <f t="shared" si="11"/>
        <v>794</v>
      </c>
      <c r="Y178" s="17">
        <v>3</v>
      </c>
      <c r="Z178" s="17"/>
      <c r="AC178" s="19" t="s">
        <v>449</v>
      </c>
    </row>
    <row r="179" spans="2:29">
      <c r="B179" s="19" t="s">
        <v>26</v>
      </c>
      <c r="C179" s="19" t="s">
        <v>451</v>
      </c>
      <c r="D179" s="19" t="s">
        <v>452</v>
      </c>
      <c r="E179" s="19" t="s">
        <v>29</v>
      </c>
      <c r="F179" s="19" t="s">
        <v>30</v>
      </c>
      <c r="G179" s="19" t="s">
        <v>31</v>
      </c>
      <c r="J179" s="19" t="s">
        <v>451</v>
      </c>
      <c r="K179" s="19" t="s">
        <v>32</v>
      </c>
      <c r="L179" s="19" t="s">
        <v>385</v>
      </c>
      <c r="M179" s="19">
        <v>0</v>
      </c>
      <c r="N179" s="19">
        <v>794</v>
      </c>
      <c r="O179" s="19">
        <v>0.196238496897265</v>
      </c>
      <c r="P179" s="19" t="s">
        <v>386</v>
      </c>
      <c r="Q179" s="19">
        <v>97.8975</v>
      </c>
      <c r="R179">
        <f t="shared" si="8"/>
        <v>7.94</v>
      </c>
      <c r="T179" s="15" t="s">
        <v>290</v>
      </c>
      <c r="U179" s="17"/>
      <c r="V179" s="16" t="str">
        <f t="shared" si="9"/>
        <v>EN_SPV_20_c01_CHN</v>
      </c>
      <c r="W179" s="12">
        <f t="shared" si="10"/>
        <v>794</v>
      </c>
      <c r="X179" s="11">
        <f t="shared" si="11"/>
        <v>794</v>
      </c>
      <c r="Y179" s="17">
        <v>3</v>
      </c>
      <c r="Z179" s="17"/>
      <c r="AC179" s="19" t="s">
        <v>451</v>
      </c>
    </row>
    <row r="180" spans="2:29">
      <c r="B180" s="19" t="s">
        <v>26</v>
      </c>
      <c r="C180" s="19" t="s">
        <v>453</v>
      </c>
      <c r="D180" s="19" t="s">
        <v>454</v>
      </c>
      <c r="E180" s="19" t="s">
        <v>29</v>
      </c>
      <c r="F180" s="19" t="s">
        <v>30</v>
      </c>
      <c r="G180" s="19" t="s">
        <v>31</v>
      </c>
      <c r="J180" s="19" t="s">
        <v>453</v>
      </c>
      <c r="K180" s="19" t="s">
        <v>32</v>
      </c>
      <c r="L180" s="19" t="s">
        <v>385</v>
      </c>
      <c r="M180" s="19">
        <v>88.9549921786477</v>
      </c>
      <c r="N180" s="19">
        <v>794</v>
      </c>
      <c r="O180" s="19">
        <v>0.196354906672989</v>
      </c>
      <c r="P180" s="19" t="s">
        <v>386</v>
      </c>
      <c r="Q180" s="19">
        <v>139.188</v>
      </c>
      <c r="R180">
        <f t="shared" si="8"/>
        <v>7.94</v>
      </c>
      <c r="T180" s="15" t="s">
        <v>290</v>
      </c>
      <c r="U180" s="17"/>
      <c r="V180" s="16" t="str">
        <f t="shared" si="9"/>
        <v>EN_SPV_20_c02_CHN</v>
      </c>
      <c r="W180" s="12">
        <f t="shared" si="10"/>
        <v>794</v>
      </c>
      <c r="X180" s="11">
        <f t="shared" si="11"/>
        <v>794</v>
      </c>
      <c r="Y180" s="17">
        <v>3</v>
      </c>
      <c r="Z180" s="17"/>
      <c r="AC180" s="19" t="s">
        <v>453</v>
      </c>
    </row>
    <row r="181" spans="2:29">
      <c r="B181" s="19" t="s">
        <v>26</v>
      </c>
      <c r="C181" s="19" t="s">
        <v>455</v>
      </c>
      <c r="D181" s="19" t="s">
        <v>456</v>
      </c>
      <c r="E181" s="19" t="s">
        <v>29</v>
      </c>
      <c r="F181" s="19" t="s">
        <v>30</v>
      </c>
      <c r="G181" s="19" t="s">
        <v>31</v>
      </c>
      <c r="J181" s="19" t="s">
        <v>455</v>
      </c>
      <c r="K181" s="19" t="s">
        <v>32</v>
      </c>
      <c r="L181" s="19" t="s">
        <v>385</v>
      </c>
      <c r="M181" s="19">
        <v>101.208996203257</v>
      </c>
      <c r="N181" s="19">
        <v>794</v>
      </c>
      <c r="O181" s="19">
        <v>0.196971106676644</v>
      </c>
      <c r="P181" s="19" t="s">
        <v>386</v>
      </c>
      <c r="Q181" s="19">
        <v>144.324</v>
      </c>
      <c r="R181">
        <f t="shared" si="8"/>
        <v>7.94</v>
      </c>
      <c r="T181" s="15" t="s">
        <v>290</v>
      </c>
      <c r="U181" s="17"/>
      <c r="V181" s="16" t="str">
        <f t="shared" si="9"/>
        <v>EN_SPV_20_c03_CHN</v>
      </c>
      <c r="W181" s="12">
        <f t="shared" si="10"/>
        <v>794</v>
      </c>
      <c r="X181" s="11">
        <f t="shared" si="11"/>
        <v>794</v>
      </c>
      <c r="Y181" s="17">
        <v>3</v>
      </c>
      <c r="Z181" s="17"/>
      <c r="AC181" s="19" t="s">
        <v>455</v>
      </c>
    </row>
    <row r="182" spans="2:29">
      <c r="B182" s="19" t="s">
        <v>26</v>
      </c>
      <c r="C182" s="19" t="s">
        <v>457</v>
      </c>
      <c r="D182" s="19" t="s">
        <v>458</v>
      </c>
      <c r="E182" s="19" t="s">
        <v>29</v>
      </c>
      <c r="F182" s="19" t="s">
        <v>30</v>
      </c>
      <c r="G182" s="19" t="s">
        <v>31</v>
      </c>
      <c r="J182" s="19" t="s">
        <v>457</v>
      </c>
      <c r="K182" s="19" t="s">
        <v>32</v>
      </c>
      <c r="L182" s="19" t="s">
        <v>385</v>
      </c>
      <c r="M182" s="19">
        <v>138.878712278909</v>
      </c>
      <c r="N182" s="19">
        <v>794</v>
      </c>
      <c r="O182" s="19">
        <v>0.195689759707548</v>
      </c>
      <c r="P182" s="19" t="s">
        <v>386</v>
      </c>
      <c r="Q182" s="19">
        <v>16.82325</v>
      </c>
      <c r="R182">
        <f t="shared" si="8"/>
        <v>7.94</v>
      </c>
      <c r="T182" s="15" t="s">
        <v>290</v>
      </c>
      <c r="U182" s="17"/>
      <c r="V182" s="16" t="str">
        <f t="shared" si="9"/>
        <v>EN_SPV_20_c04_CHN</v>
      </c>
      <c r="W182" s="12">
        <f t="shared" si="10"/>
        <v>794</v>
      </c>
      <c r="X182" s="11">
        <f t="shared" si="11"/>
        <v>794</v>
      </c>
      <c r="Y182" s="17">
        <v>3</v>
      </c>
      <c r="Z182" s="17"/>
      <c r="AC182" s="19" t="s">
        <v>457</v>
      </c>
    </row>
    <row r="183" spans="2:29">
      <c r="B183" s="19" t="s">
        <v>26</v>
      </c>
      <c r="C183" s="19" t="s">
        <v>459</v>
      </c>
      <c r="D183" s="19" t="s">
        <v>460</v>
      </c>
      <c r="E183" s="19" t="s">
        <v>29</v>
      </c>
      <c r="F183" s="19" t="s">
        <v>30</v>
      </c>
      <c r="G183" s="19" t="s">
        <v>31</v>
      </c>
      <c r="J183" s="19" t="s">
        <v>459</v>
      </c>
      <c r="K183" s="19" t="s">
        <v>32</v>
      </c>
      <c r="L183" s="19" t="s">
        <v>461</v>
      </c>
      <c r="M183" s="19">
        <v>0</v>
      </c>
      <c r="N183" s="19">
        <v>1621</v>
      </c>
      <c r="O183" s="19">
        <v>0.159200472284365</v>
      </c>
      <c r="P183" s="19" t="s">
        <v>462</v>
      </c>
      <c r="Q183" s="19">
        <v>6.0345</v>
      </c>
      <c r="R183">
        <f t="shared" si="8"/>
        <v>16.21</v>
      </c>
      <c r="T183" s="15" t="s">
        <v>54</v>
      </c>
      <c r="U183" s="17"/>
      <c r="V183" s="16" t="str">
        <f t="shared" si="9"/>
        <v>EN_SPV_16_c01_CIV</v>
      </c>
      <c r="W183" s="12">
        <f t="shared" si="10"/>
        <v>1621</v>
      </c>
      <c r="X183" s="11">
        <f t="shared" si="11"/>
        <v>1621</v>
      </c>
      <c r="Y183" s="17">
        <v>3</v>
      </c>
      <c r="Z183" s="17"/>
      <c r="AC183" s="19" t="s">
        <v>459</v>
      </c>
    </row>
    <row r="184" spans="2:29">
      <c r="B184" s="19" t="s">
        <v>26</v>
      </c>
      <c r="C184" s="19" t="s">
        <v>463</v>
      </c>
      <c r="D184" s="19" t="s">
        <v>464</v>
      </c>
      <c r="E184" s="19" t="s">
        <v>29</v>
      </c>
      <c r="F184" s="19" t="s">
        <v>30</v>
      </c>
      <c r="G184" s="19" t="s">
        <v>31</v>
      </c>
      <c r="J184" s="19" t="s">
        <v>463</v>
      </c>
      <c r="K184" s="19" t="s">
        <v>32</v>
      </c>
      <c r="L184" s="19" t="s">
        <v>461</v>
      </c>
      <c r="M184" s="19">
        <v>88.9549921786477</v>
      </c>
      <c r="N184" s="19">
        <v>1621</v>
      </c>
      <c r="O184" s="19">
        <v>0.15706657172512</v>
      </c>
      <c r="P184" s="19" t="s">
        <v>462</v>
      </c>
      <c r="Q184" s="19">
        <v>31.07175</v>
      </c>
      <c r="R184">
        <f t="shared" si="8"/>
        <v>16.21</v>
      </c>
      <c r="T184" s="15" t="s">
        <v>54</v>
      </c>
      <c r="U184" s="17"/>
      <c r="V184" s="16" t="str">
        <f t="shared" si="9"/>
        <v>EN_SPV_16_c02_CIV</v>
      </c>
      <c r="W184" s="12">
        <f t="shared" si="10"/>
        <v>1621</v>
      </c>
      <c r="X184" s="11">
        <f t="shared" si="11"/>
        <v>1621</v>
      </c>
      <c r="Y184" s="17">
        <v>3</v>
      </c>
      <c r="Z184" s="17"/>
      <c r="AC184" s="19" t="s">
        <v>463</v>
      </c>
    </row>
    <row r="185" spans="2:29">
      <c r="B185" s="19" t="s">
        <v>26</v>
      </c>
      <c r="C185" s="19" t="s">
        <v>465</v>
      </c>
      <c r="D185" s="19" t="s">
        <v>466</v>
      </c>
      <c r="E185" s="19" t="s">
        <v>29</v>
      </c>
      <c r="F185" s="19" t="s">
        <v>30</v>
      </c>
      <c r="G185" s="19" t="s">
        <v>31</v>
      </c>
      <c r="J185" s="19" t="s">
        <v>465</v>
      </c>
      <c r="K185" s="19" t="s">
        <v>32</v>
      </c>
      <c r="L185" s="19" t="s">
        <v>461</v>
      </c>
      <c r="M185" s="19">
        <v>101.208996203257</v>
      </c>
      <c r="N185" s="19">
        <v>1621</v>
      </c>
      <c r="O185" s="19">
        <v>0.16145</v>
      </c>
      <c r="P185" s="19" t="s">
        <v>462</v>
      </c>
      <c r="Q185" s="19">
        <v>0.135</v>
      </c>
      <c r="R185">
        <f t="shared" si="8"/>
        <v>16.21</v>
      </c>
      <c r="T185" s="15" t="s">
        <v>54</v>
      </c>
      <c r="U185" s="17"/>
      <c r="V185" s="16" t="str">
        <f t="shared" si="9"/>
        <v>EN_SPV_16_c03_CIV</v>
      </c>
      <c r="W185" s="12">
        <f t="shared" si="10"/>
        <v>1621</v>
      </c>
      <c r="X185" s="11">
        <f t="shared" si="11"/>
        <v>1621</v>
      </c>
      <c r="Y185" s="17">
        <v>3</v>
      </c>
      <c r="Z185" s="17"/>
      <c r="AC185" s="19" t="s">
        <v>465</v>
      </c>
    </row>
    <row r="186" spans="2:29">
      <c r="B186" s="19" t="s">
        <v>26</v>
      </c>
      <c r="C186" s="19" t="s">
        <v>467</v>
      </c>
      <c r="D186" s="19" t="s">
        <v>468</v>
      </c>
      <c r="E186" s="19" t="s">
        <v>29</v>
      </c>
      <c r="F186" s="19" t="s">
        <v>30</v>
      </c>
      <c r="G186" s="19" t="s">
        <v>31</v>
      </c>
      <c r="J186" s="19" t="s">
        <v>467</v>
      </c>
      <c r="K186" s="19" t="s">
        <v>32</v>
      </c>
      <c r="L186" s="19" t="s">
        <v>461</v>
      </c>
      <c r="M186" s="19">
        <v>0</v>
      </c>
      <c r="N186" s="19">
        <v>1621</v>
      </c>
      <c r="O186" s="19">
        <v>0.169721181591432</v>
      </c>
      <c r="P186" s="19" t="s">
        <v>462</v>
      </c>
      <c r="Q186" s="19">
        <v>15.33525</v>
      </c>
      <c r="R186">
        <f t="shared" si="8"/>
        <v>16.21</v>
      </c>
      <c r="T186" s="15" t="s">
        <v>54</v>
      </c>
      <c r="U186" s="17"/>
      <c r="V186" s="16" t="str">
        <f t="shared" si="9"/>
        <v>EN_SPV_17_c01_CIV</v>
      </c>
      <c r="W186" s="12">
        <f t="shared" si="10"/>
        <v>1621</v>
      </c>
      <c r="X186" s="11">
        <f t="shared" si="11"/>
        <v>1621</v>
      </c>
      <c r="Y186" s="17">
        <v>3</v>
      </c>
      <c r="Z186" s="17"/>
      <c r="AC186" s="19" t="s">
        <v>467</v>
      </c>
    </row>
    <row r="187" spans="2:29">
      <c r="B187" s="19" t="s">
        <v>26</v>
      </c>
      <c r="C187" s="19" t="s">
        <v>469</v>
      </c>
      <c r="D187" s="19" t="s">
        <v>470</v>
      </c>
      <c r="E187" s="19" t="s">
        <v>29</v>
      </c>
      <c r="F187" s="19" t="s">
        <v>30</v>
      </c>
      <c r="G187" s="19" t="s">
        <v>31</v>
      </c>
      <c r="J187" s="19" t="s">
        <v>469</v>
      </c>
      <c r="K187" s="19" t="s">
        <v>32</v>
      </c>
      <c r="L187" s="19" t="s">
        <v>461</v>
      </c>
      <c r="M187" s="19">
        <v>88.9549921786477</v>
      </c>
      <c r="N187" s="19">
        <v>1621</v>
      </c>
      <c r="O187" s="19">
        <v>0.169629238034821</v>
      </c>
      <c r="P187" s="19" t="s">
        <v>462</v>
      </c>
      <c r="Q187" s="19">
        <v>10.64025</v>
      </c>
      <c r="R187">
        <f t="shared" si="8"/>
        <v>16.21</v>
      </c>
      <c r="T187" s="15" t="s">
        <v>54</v>
      </c>
      <c r="U187" s="17"/>
      <c r="V187" s="16" t="str">
        <f t="shared" si="9"/>
        <v>EN_SPV_17_c02_CIV</v>
      </c>
      <c r="W187" s="12">
        <f t="shared" si="10"/>
        <v>1621</v>
      </c>
      <c r="X187" s="11">
        <f t="shared" si="11"/>
        <v>1621</v>
      </c>
      <c r="Y187" s="17">
        <v>3</v>
      </c>
      <c r="Z187" s="17"/>
      <c r="AC187" s="19" t="s">
        <v>469</v>
      </c>
    </row>
    <row r="188" spans="2:29">
      <c r="B188" s="19" t="s">
        <v>26</v>
      </c>
      <c r="C188" s="19" t="s">
        <v>471</v>
      </c>
      <c r="D188" s="19" t="s">
        <v>472</v>
      </c>
      <c r="E188" s="19" t="s">
        <v>29</v>
      </c>
      <c r="F188" s="19" t="s">
        <v>30</v>
      </c>
      <c r="G188" s="19" t="s">
        <v>31</v>
      </c>
      <c r="J188" s="19" t="s">
        <v>471</v>
      </c>
      <c r="K188" s="19" t="s">
        <v>32</v>
      </c>
      <c r="L188" s="19" t="s">
        <v>461</v>
      </c>
      <c r="M188" s="19">
        <v>0</v>
      </c>
      <c r="N188" s="19">
        <v>1621</v>
      </c>
      <c r="O188" s="19">
        <v>0.176081085753804</v>
      </c>
      <c r="P188" s="19" t="s">
        <v>462</v>
      </c>
      <c r="Q188" s="19">
        <v>13.014</v>
      </c>
      <c r="R188">
        <f t="shared" si="8"/>
        <v>16.21</v>
      </c>
      <c r="T188" s="15" t="s">
        <v>54</v>
      </c>
      <c r="U188" s="17"/>
      <c r="V188" s="16" t="str">
        <f t="shared" si="9"/>
        <v>EN_SPV_18_c01_CIV</v>
      </c>
      <c r="W188" s="12">
        <f t="shared" si="10"/>
        <v>1621</v>
      </c>
      <c r="X188" s="11">
        <f t="shared" si="11"/>
        <v>1621</v>
      </c>
      <c r="Y188" s="17">
        <v>3</v>
      </c>
      <c r="Z188" s="17"/>
      <c r="AC188" s="19" t="s">
        <v>471</v>
      </c>
    </row>
    <row r="189" spans="2:29">
      <c r="B189" s="19" t="s">
        <v>26</v>
      </c>
      <c r="C189" s="19" t="s">
        <v>473</v>
      </c>
      <c r="D189" s="19" t="s">
        <v>474</v>
      </c>
      <c r="E189" s="19" t="s">
        <v>29</v>
      </c>
      <c r="F189" s="19" t="s">
        <v>30</v>
      </c>
      <c r="G189" s="19" t="s">
        <v>31</v>
      </c>
      <c r="J189" s="19" t="s">
        <v>473</v>
      </c>
      <c r="K189" s="19" t="s">
        <v>32</v>
      </c>
      <c r="L189" s="19" t="s">
        <v>461</v>
      </c>
      <c r="M189" s="19">
        <v>88.9549921786477</v>
      </c>
      <c r="N189" s="19">
        <v>1621</v>
      </c>
      <c r="O189" s="19">
        <v>0.177</v>
      </c>
      <c r="P189" s="19" t="s">
        <v>462</v>
      </c>
      <c r="Q189" s="19">
        <v>1.026</v>
      </c>
      <c r="R189">
        <f t="shared" si="8"/>
        <v>16.21</v>
      </c>
      <c r="T189" s="15" t="s">
        <v>54</v>
      </c>
      <c r="U189" s="17"/>
      <c r="V189" s="16" t="str">
        <f t="shared" si="9"/>
        <v>EN_SPV_18_c02_CIV</v>
      </c>
      <c r="W189" s="12">
        <f t="shared" si="10"/>
        <v>1621</v>
      </c>
      <c r="X189" s="11">
        <f t="shared" si="11"/>
        <v>1621</v>
      </c>
      <c r="Y189" s="17">
        <v>3</v>
      </c>
      <c r="Z189" s="17"/>
      <c r="AC189" s="19" t="s">
        <v>473</v>
      </c>
    </row>
    <row r="190" spans="2:29">
      <c r="B190" s="19" t="s">
        <v>26</v>
      </c>
      <c r="C190" s="19" t="s">
        <v>475</v>
      </c>
      <c r="D190" s="19" t="s">
        <v>476</v>
      </c>
      <c r="E190" s="19" t="s">
        <v>29</v>
      </c>
      <c r="F190" s="19" t="s">
        <v>30</v>
      </c>
      <c r="G190" s="19" t="s">
        <v>31</v>
      </c>
      <c r="J190" s="19" t="s">
        <v>475</v>
      </c>
      <c r="K190" s="19" t="s">
        <v>32</v>
      </c>
      <c r="L190" s="19" t="s">
        <v>477</v>
      </c>
      <c r="M190" s="19">
        <v>0</v>
      </c>
      <c r="N190" s="19">
        <v>1321</v>
      </c>
      <c r="O190" s="19">
        <v>0.181291224642931</v>
      </c>
      <c r="P190" s="19" t="s">
        <v>478</v>
      </c>
      <c r="Q190" s="19">
        <v>231.888</v>
      </c>
      <c r="R190">
        <f t="shared" si="8"/>
        <v>13.21</v>
      </c>
      <c r="T190" s="15" t="s">
        <v>54</v>
      </c>
      <c r="U190" s="17"/>
      <c r="V190" s="16" t="str">
        <f t="shared" si="9"/>
        <v>EN_SPV_18_c01_CMR</v>
      </c>
      <c r="W190" s="12">
        <f t="shared" si="10"/>
        <v>1321</v>
      </c>
      <c r="X190" s="11">
        <f t="shared" si="11"/>
        <v>1321</v>
      </c>
      <c r="Y190" s="17">
        <v>3</v>
      </c>
      <c r="Z190" s="17"/>
      <c r="AC190" s="19" t="s">
        <v>475</v>
      </c>
    </row>
    <row r="191" spans="2:29">
      <c r="B191" s="19" t="s">
        <v>26</v>
      </c>
      <c r="C191" s="19" t="s">
        <v>479</v>
      </c>
      <c r="D191" s="19" t="s">
        <v>480</v>
      </c>
      <c r="E191" s="19" t="s">
        <v>29</v>
      </c>
      <c r="F191" s="19" t="s">
        <v>30</v>
      </c>
      <c r="G191" s="19" t="s">
        <v>31</v>
      </c>
      <c r="J191" s="19" t="s">
        <v>479</v>
      </c>
      <c r="K191" s="19" t="s">
        <v>32</v>
      </c>
      <c r="L191" s="19" t="s">
        <v>477</v>
      </c>
      <c r="M191" s="19">
        <v>0</v>
      </c>
      <c r="N191" s="19">
        <v>1321</v>
      </c>
      <c r="O191" s="19">
        <v>0.185355398806294</v>
      </c>
      <c r="P191" s="19" t="s">
        <v>478</v>
      </c>
      <c r="Q191" s="19">
        <v>22.116</v>
      </c>
      <c r="R191">
        <f t="shared" si="8"/>
        <v>13.21</v>
      </c>
      <c r="T191" s="15" t="s">
        <v>54</v>
      </c>
      <c r="U191" s="17"/>
      <c r="V191" s="16" t="str">
        <f t="shared" si="9"/>
        <v>EN_SPV_19_c01_CMR</v>
      </c>
      <c r="W191" s="12">
        <f t="shared" si="10"/>
        <v>1321</v>
      </c>
      <c r="X191" s="11">
        <f t="shared" si="11"/>
        <v>1321</v>
      </c>
      <c r="Y191" s="17">
        <v>3</v>
      </c>
      <c r="Z191" s="17"/>
      <c r="AC191" s="19" t="s">
        <v>479</v>
      </c>
    </row>
    <row r="192" spans="2:29">
      <c r="B192" s="19" t="s">
        <v>26</v>
      </c>
      <c r="C192" s="19" t="s">
        <v>481</v>
      </c>
      <c r="D192" s="19" t="s">
        <v>482</v>
      </c>
      <c r="E192" s="19" t="s">
        <v>29</v>
      </c>
      <c r="F192" s="19" t="s">
        <v>30</v>
      </c>
      <c r="G192" s="19" t="s">
        <v>31</v>
      </c>
      <c r="J192" s="19" t="s">
        <v>481</v>
      </c>
      <c r="K192" s="19" t="s">
        <v>32</v>
      </c>
      <c r="L192" s="19" t="s">
        <v>477</v>
      </c>
      <c r="M192" s="19">
        <v>88.9549921786477</v>
      </c>
      <c r="N192" s="19">
        <v>1321</v>
      </c>
      <c r="O192" s="19">
        <v>0.186</v>
      </c>
      <c r="P192" s="19" t="s">
        <v>478</v>
      </c>
      <c r="Q192" s="19">
        <v>11.3535</v>
      </c>
      <c r="R192">
        <f t="shared" si="8"/>
        <v>13.21</v>
      </c>
      <c r="T192" s="15" t="s">
        <v>54</v>
      </c>
      <c r="U192" s="17"/>
      <c r="V192" s="16" t="str">
        <f t="shared" si="9"/>
        <v>EN_SPV_19_c02_CMR</v>
      </c>
      <c r="W192" s="12">
        <f t="shared" si="10"/>
        <v>1321</v>
      </c>
      <c r="X192" s="11">
        <f t="shared" si="11"/>
        <v>1321</v>
      </c>
      <c r="Y192" s="17">
        <v>3</v>
      </c>
      <c r="Z192" s="17"/>
      <c r="AC192" s="19" t="s">
        <v>481</v>
      </c>
    </row>
    <row r="193" spans="2:29">
      <c r="B193" s="19" t="s">
        <v>26</v>
      </c>
      <c r="C193" s="19" t="s">
        <v>483</v>
      </c>
      <c r="D193" s="19" t="s">
        <v>484</v>
      </c>
      <c r="E193" s="19" t="s">
        <v>29</v>
      </c>
      <c r="F193" s="19" t="s">
        <v>30</v>
      </c>
      <c r="G193" s="19" t="s">
        <v>31</v>
      </c>
      <c r="J193" s="19" t="s">
        <v>483</v>
      </c>
      <c r="K193" s="19" t="s">
        <v>32</v>
      </c>
      <c r="L193" s="19" t="s">
        <v>477</v>
      </c>
      <c r="M193" s="19">
        <v>101.208996203257</v>
      </c>
      <c r="N193" s="19">
        <v>1321</v>
      </c>
      <c r="O193" s="19">
        <v>0.185</v>
      </c>
      <c r="P193" s="19" t="s">
        <v>478</v>
      </c>
      <c r="Q193" s="19">
        <v>5.6115</v>
      </c>
      <c r="R193">
        <f t="shared" si="8"/>
        <v>13.21</v>
      </c>
      <c r="T193" s="15" t="s">
        <v>54</v>
      </c>
      <c r="U193" s="17"/>
      <c r="V193" s="16" t="str">
        <f t="shared" si="9"/>
        <v>EN_SPV_19_c03_CMR</v>
      </c>
      <c r="W193" s="12">
        <f t="shared" si="10"/>
        <v>1321</v>
      </c>
      <c r="X193" s="11">
        <f t="shared" si="11"/>
        <v>1321</v>
      </c>
      <c r="Y193" s="17">
        <v>3</v>
      </c>
      <c r="Z193" s="17"/>
      <c r="AC193" s="19" t="s">
        <v>483</v>
      </c>
    </row>
    <row r="194" spans="2:29">
      <c r="B194" s="19" t="s">
        <v>26</v>
      </c>
      <c r="C194" s="19" t="s">
        <v>485</v>
      </c>
      <c r="D194" s="19" t="s">
        <v>486</v>
      </c>
      <c r="E194" s="19" t="s">
        <v>29</v>
      </c>
      <c r="F194" s="19" t="s">
        <v>30</v>
      </c>
      <c r="G194" s="19" t="s">
        <v>31</v>
      </c>
      <c r="J194" s="19" t="s">
        <v>485</v>
      </c>
      <c r="K194" s="19" t="s">
        <v>32</v>
      </c>
      <c r="L194" s="19" t="s">
        <v>487</v>
      </c>
      <c r="M194" s="19">
        <v>0</v>
      </c>
      <c r="N194" s="19">
        <v>1321</v>
      </c>
      <c r="O194" s="19">
        <v>0.188212531568142</v>
      </c>
      <c r="P194" s="19" t="s">
        <v>488</v>
      </c>
      <c r="Q194" s="19">
        <v>123.83925</v>
      </c>
      <c r="R194">
        <f t="shared" si="8"/>
        <v>13.21</v>
      </c>
      <c r="T194" s="15" t="s">
        <v>54</v>
      </c>
      <c r="U194" s="17"/>
      <c r="V194" s="16" t="str">
        <f t="shared" si="9"/>
        <v>EN_SPV_19_c01_COD</v>
      </c>
      <c r="W194" s="12">
        <f t="shared" si="10"/>
        <v>1321</v>
      </c>
      <c r="X194" s="11">
        <f t="shared" si="11"/>
        <v>1321</v>
      </c>
      <c r="Y194" s="17">
        <v>3</v>
      </c>
      <c r="Z194" s="17"/>
      <c r="AC194" s="19" t="s">
        <v>485</v>
      </c>
    </row>
    <row r="195" spans="2:29">
      <c r="B195" s="19" t="s">
        <v>26</v>
      </c>
      <c r="C195" s="19" t="s">
        <v>489</v>
      </c>
      <c r="D195" s="19" t="s">
        <v>490</v>
      </c>
      <c r="E195" s="19" t="s">
        <v>29</v>
      </c>
      <c r="F195" s="19" t="s">
        <v>30</v>
      </c>
      <c r="G195" s="19" t="s">
        <v>31</v>
      </c>
      <c r="J195" s="19" t="s">
        <v>489</v>
      </c>
      <c r="K195" s="19" t="s">
        <v>32</v>
      </c>
      <c r="L195" s="19" t="s">
        <v>487</v>
      </c>
      <c r="M195" s="19">
        <v>88.9549921786477</v>
      </c>
      <c r="N195" s="19">
        <v>1321</v>
      </c>
      <c r="O195" s="19">
        <v>0.187844139485195</v>
      </c>
      <c r="P195" s="19" t="s">
        <v>488</v>
      </c>
      <c r="Q195" s="19">
        <v>141.11175</v>
      </c>
      <c r="R195">
        <f t="shared" si="8"/>
        <v>13.21</v>
      </c>
      <c r="T195" s="15" t="s">
        <v>54</v>
      </c>
      <c r="U195" s="17"/>
      <c r="V195" s="16" t="str">
        <f t="shared" si="9"/>
        <v>EN_SPV_19_c02_COD</v>
      </c>
      <c r="W195" s="12">
        <f t="shared" si="10"/>
        <v>1321</v>
      </c>
      <c r="X195" s="11">
        <f t="shared" si="11"/>
        <v>1321</v>
      </c>
      <c r="Y195" s="17">
        <v>3</v>
      </c>
      <c r="Z195" s="17"/>
      <c r="AC195" s="19" t="s">
        <v>489</v>
      </c>
    </row>
    <row r="196" spans="2:29">
      <c r="B196" s="19" t="s">
        <v>26</v>
      </c>
      <c r="C196" s="19" t="s">
        <v>491</v>
      </c>
      <c r="D196" s="19" t="s">
        <v>492</v>
      </c>
      <c r="E196" s="19" t="s">
        <v>29</v>
      </c>
      <c r="F196" s="19" t="s">
        <v>30</v>
      </c>
      <c r="G196" s="19" t="s">
        <v>31</v>
      </c>
      <c r="J196" s="19" t="s">
        <v>491</v>
      </c>
      <c r="K196" s="19" t="s">
        <v>32</v>
      </c>
      <c r="L196" s="19" t="s">
        <v>493</v>
      </c>
      <c r="M196" s="19">
        <v>138.878712278909</v>
      </c>
      <c r="N196" s="19">
        <v>1321</v>
      </c>
      <c r="O196" s="19">
        <v>0.153328877005348</v>
      </c>
      <c r="P196" s="19" t="s">
        <v>494</v>
      </c>
      <c r="Q196" s="19">
        <v>0.2805</v>
      </c>
      <c r="R196">
        <f t="shared" si="8"/>
        <v>13.21</v>
      </c>
      <c r="T196" s="15" t="s">
        <v>54</v>
      </c>
      <c r="U196" s="17"/>
      <c r="V196" s="16" t="str">
        <f t="shared" si="9"/>
        <v>EN_SPV_15_c04_COG</v>
      </c>
      <c r="W196" s="12">
        <f t="shared" si="10"/>
        <v>1321</v>
      </c>
      <c r="X196" s="11">
        <f t="shared" si="11"/>
        <v>1321</v>
      </c>
      <c r="Y196" s="17">
        <v>3</v>
      </c>
      <c r="Z196" s="17"/>
      <c r="AC196" s="19" t="s">
        <v>491</v>
      </c>
    </row>
    <row r="197" spans="2:29">
      <c r="B197" s="19" t="s">
        <v>26</v>
      </c>
      <c r="C197" s="19" t="s">
        <v>495</v>
      </c>
      <c r="D197" s="19" t="s">
        <v>496</v>
      </c>
      <c r="E197" s="19" t="s">
        <v>29</v>
      </c>
      <c r="F197" s="19" t="s">
        <v>30</v>
      </c>
      <c r="G197" s="19" t="s">
        <v>31</v>
      </c>
      <c r="J197" s="19" t="s">
        <v>495</v>
      </c>
      <c r="K197" s="19" t="s">
        <v>32</v>
      </c>
      <c r="L197" s="19" t="s">
        <v>493</v>
      </c>
      <c r="M197" s="19">
        <v>88.9549921786477</v>
      </c>
      <c r="N197" s="19">
        <v>1321</v>
      </c>
      <c r="O197" s="19">
        <v>0.157041882728361</v>
      </c>
      <c r="P197" s="19" t="s">
        <v>494</v>
      </c>
      <c r="Q197" s="19">
        <v>3.7605</v>
      </c>
      <c r="R197">
        <f t="shared" si="8"/>
        <v>13.21</v>
      </c>
      <c r="T197" s="15" t="s">
        <v>54</v>
      </c>
      <c r="U197" s="17"/>
      <c r="V197" s="16" t="str">
        <f t="shared" si="9"/>
        <v>EN_SPV_16_c02_COG</v>
      </c>
      <c r="W197" s="12">
        <f t="shared" si="10"/>
        <v>1321</v>
      </c>
      <c r="X197" s="11">
        <f t="shared" si="11"/>
        <v>1321</v>
      </c>
      <c r="Y197" s="17">
        <v>3</v>
      </c>
      <c r="Z197" s="17"/>
      <c r="AC197" s="19" t="s">
        <v>495</v>
      </c>
    </row>
    <row r="198" spans="2:29">
      <c r="B198" s="19" t="s">
        <v>26</v>
      </c>
      <c r="C198" s="19" t="s">
        <v>497</v>
      </c>
      <c r="D198" s="19" t="s">
        <v>498</v>
      </c>
      <c r="E198" s="19" t="s">
        <v>29</v>
      </c>
      <c r="F198" s="19" t="s">
        <v>30</v>
      </c>
      <c r="G198" s="19" t="s">
        <v>31</v>
      </c>
      <c r="J198" s="19" t="s">
        <v>497</v>
      </c>
      <c r="K198" s="19" t="s">
        <v>32</v>
      </c>
      <c r="L198" s="19" t="s">
        <v>493</v>
      </c>
      <c r="M198" s="19">
        <v>101.208996203257</v>
      </c>
      <c r="N198" s="19">
        <v>1321</v>
      </c>
      <c r="O198" s="19">
        <v>0.157136087095741</v>
      </c>
      <c r="P198" s="19" t="s">
        <v>494</v>
      </c>
      <c r="Q198" s="19">
        <v>7.02675</v>
      </c>
      <c r="R198">
        <f t="shared" ref="R198:R261" si="12">N198*0.01</f>
        <v>13.21</v>
      </c>
      <c r="T198" s="15" t="s">
        <v>54</v>
      </c>
      <c r="U198" s="17"/>
      <c r="V198" s="16" t="str">
        <f t="shared" ref="V198:V261" si="13">J198</f>
        <v>EN_SPV_16_c03_COG</v>
      </c>
      <c r="W198" s="12">
        <f t="shared" ref="W198:W261" si="14">N198</f>
        <v>1321</v>
      </c>
      <c r="X198" s="11">
        <f t="shared" ref="X198:X261" si="15">W198</f>
        <v>1321</v>
      </c>
      <c r="Y198" s="17">
        <v>3</v>
      </c>
      <c r="Z198" s="17"/>
      <c r="AC198" s="19" t="s">
        <v>497</v>
      </c>
    </row>
    <row r="199" spans="2:29">
      <c r="B199" s="19" t="s">
        <v>26</v>
      </c>
      <c r="C199" s="19" t="s">
        <v>499</v>
      </c>
      <c r="D199" s="19" t="s">
        <v>500</v>
      </c>
      <c r="E199" s="19" t="s">
        <v>29</v>
      </c>
      <c r="F199" s="19" t="s">
        <v>30</v>
      </c>
      <c r="G199" s="19" t="s">
        <v>31</v>
      </c>
      <c r="J199" s="19" t="s">
        <v>499</v>
      </c>
      <c r="K199" s="19" t="s">
        <v>32</v>
      </c>
      <c r="L199" s="19" t="s">
        <v>493</v>
      </c>
      <c r="M199" s="19">
        <v>138.878712278909</v>
      </c>
      <c r="N199" s="19">
        <v>1321</v>
      </c>
      <c r="O199" s="19">
        <v>0.157547085201794</v>
      </c>
      <c r="P199" s="19" t="s">
        <v>494</v>
      </c>
      <c r="Q199" s="19">
        <v>0.16725</v>
      </c>
      <c r="R199">
        <f t="shared" si="12"/>
        <v>13.21</v>
      </c>
      <c r="T199" s="15" t="s">
        <v>54</v>
      </c>
      <c r="U199" s="17"/>
      <c r="V199" s="16" t="str">
        <f t="shared" si="13"/>
        <v>EN_SPV_16_c04_COG</v>
      </c>
      <c r="W199" s="12">
        <f t="shared" si="14"/>
        <v>1321</v>
      </c>
      <c r="X199" s="11">
        <f t="shared" si="15"/>
        <v>1321</v>
      </c>
      <c r="Y199" s="17">
        <v>3</v>
      </c>
      <c r="Z199" s="17"/>
      <c r="AC199" s="19" t="s">
        <v>499</v>
      </c>
    </row>
    <row r="200" spans="2:29">
      <c r="B200" s="19" t="s">
        <v>26</v>
      </c>
      <c r="C200" s="19" t="s">
        <v>501</v>
      </c>
      <c r="D200" s="19" t="s">
        <v>502</v>
      </c>
      <c r="E200" s="19" t="s">
        <v>29</v>
      </c>
      <c r="F200" s="19" t="s">
        <v>30</v>
      </c>
      <c r="G200" s="19" t="s">
        <v>31</v>
      </c>
      <c r="J200" s="19" t="s">
        <v>501</v>
      </c>
      <c r="K200" s="19" t="s">
        <v>32</v>
      </c>
      <c r="L200" s="19" t="s">
        <v>503</v>
      </c>
      <c r="M200" s="19">
        <v>0</v>
      </c>
      <c r="N200" s="19">
        <v>1344</v>
      </c>
      <c r="O200" s="19">
        <v>0.160943439737832</v>
      </c>
      <c r="P200" s="19" t="s">
        <v>504</v>
      </c>
      <c r="Q200" s="19">
        <v>6.17925</v>
      </c>
      <c r="R200">
        <f t="shared" si="12"/>
        <v>13.44</v>
      </c>
      <c r="T200" s="15" t="s">
        <v>89</v>
      </c>
      <c r="U200" s="17"/>
      <c r="V200" s="16" t="str">
        <f t="shared" si="13"/>
        <v>EN_SPV_16_c01_COL</v>
      </c>
      <c r="W200" s="12">
        <f t="shared" si="14"/>
        <v>1344</v>
      </c>
      <c r="X200" s="11">
        <f t="shared" si="15"/>
        <v>1344</v>
      </c>
      <c r="Y200" s="17">
        <v>3</v>
      </c>
      <c r="Z200" s="17"/>
      <c r="AC200" s="19" t="s">
        <v>501</v>
      </c>
    </row>
    <row r="201" spans="2:29">
      <c r="B201" s="19" t="s">
        <v>26</v>
      </c>
      <c r="C201" s="19" t="s">
        <v>505</v>
      </c>
      <c r="D201" s="19" t="s">
        <v>506</v>
      </c>
      <c r="E201" s="19" t="s">
        <v>29</v>
      </c>
      <c r="F201" s="19" t="s">
        <v>30</v>
      </c>
      <c r="G201" s="19" t="s">
        <v>31</v>
      </c>
      <c r="J201" s="19" t="s">
        <v>505</v>
      </c>
      <c r="K201" s="19" t="s">
        <v>32</v>
      </c>
      <c r="L201" s="19" t="s">
        <v>503</v>
      </c>
      <c r="M201" s="19">
        <v>88.9549921786477</v>
      </c>
      <c r="N201" s="19">
        <v>1344</v>
      </c>
      <c r="O201" s="19">
        <v>0.160105302701439</v>
      </c>
      <c r="P201" s="19" t="s">
        <v>504</v>
      </c>
      <c r="Q201" s="19">
        <v>89.841</v>
      </c>
      <c r="R201">
        <f t="shared" si="12"/>
        <v>13.44</v>
      </c>
      <c r="T201" s="15" t="s">
        <v>89</v>
      </c>
      <c r="U201" s="17"/>
      <c r="V201" s="16" t="str">
        <f t="shared" si="13"/>
        <v>EN_SPV_16_c02_COL</v>
      </c>
      <c r="W201" s="12">
        <f t="shared" si="14"/>
        <v>1344</v>
      </c>
      <c r="X201" s="11">
        <f t="shared" si="15"/>
        <v>1344</v>
      </c>
      <c r="Y201" s="17">
        <v>3</v>
      </c>
      <c r="Z201" s="17"/>
      <c r="AC201" s="19" t="s">
        <v>505</v>
      </c>
    </row>
    <row r="202" spans="2:29">
      <c r="B202" s="19" t="s">
        <v>26</v>
      </c>
      <c r="C202" s="19" t="s">
        <v>507</v>
      </c>
      <c r="D202" s="19" t="s">
        <v>508</v>
      </c>
      <c r="E202" s="19" t="s">
        <v>29</v>
      </c>
      <c r="F202" s="19" t="s">
        <v>30</v>
      </c>
      <c r="G202" s="19" t="s">
        <v>31</v>
      </c>
      <c r="J202" s="19" t="s">
        <v>507</v>
      </c>
      <c r="K202" s="19" t="s">
        <v>32</v>
      </c>
      <c r="L202" s="19" t="s">
        <v>503</v>
      </c>
      <c r="M202" s="19">
        <v>138.878712278909</v>
      </c>
      <c r="N202" s="19">
        <v>1344</v>
      </c>
      <c r="O202" s="19">
        <v>0.160558528377164</v>
      </c>
      <c r="P202" s="19" t="s">
        <v>504</v>
      </c>
      <c r="Q202" s="19">
        <v>49.25175</v>
      </c>
      <c r="R202">
        <f t="shared" si="12"/>
        <v>13.44</v>
      </c>
      <c r="T202" s="15" t="s">
        <v>89</v>
      </c>
      <c r="U202" s="17"/>
      <c r="V202" s="16" t="str">
        <f t="shared" si="13"/>
        <v>EN_SPV_16_c04_COL</v>
      </c>
      <c r="W202" s="12">
        <f t="shared" si="14"/>
        <v>1344</v>
      </c>
      <c r="X202" s="11">
        <f t="shared" si="15"/>
        <v>1344</v>
      </c>
      <c r="Y202" s="17">
        <v>3</v>
      </c>
      <c r="Z202" s="17"/>
      <c r="AC202" s="19" t="s">
        <v>507</v>
      </c>
    </row>
    <row r="203" spans="2:29">
      <c r="B203" s="19" t="s">
        <v>26</v>
      </c>
      <c r="C203" s="19" t="s">
        <v>509</v>
      </c>
      <c r="D203" s="19" t="s">
        <v>510</v>
      </c>
      <c r="E203" s="19" t="s">
        <v>29</v>
      </c>
      <c r="F203" s="19" t="s">
        <v>30</v>
      </c>
      <c r="G203" s="19" t="s">
        <v>31</v>
      </c>
      <c r="J203" s="19" t="s">
        <v>509</v>
      </c>
      <c r="K203" s="19" t="s">
        <v>32</v>
      </c>
      <c r="L203" s="19" t="s">
        <v>503</v>
      </c>
      <c r="M203" s="19">
        <v>0</v>
      </c>
      <c r="N203" s="19">
        <v>1344</v>
      </c>
      <c r="O203" s="19">
        <v>0.169141580289665</v>
      </c>
      <c r="P203" s="19" t="s">
        <v>504</v>
      </c>
      <c r="Q203" s="19">
        <v>32.05425</v>
      </c>
      <c r="R203">
        <f t="shared" si="12"/>
        <v>13.44</v>
      </c>
      <c r="T203" s="15" t="s">
        <v>89</v>
      </c>
      <c r="U203" s="17"/>
      <c r="V203" s="16" t="str">
        <f t="shared" si="13"/>
        <v>EN_SPV_17_c01_COL</v>
      </c>
      <c r="W203" s="12">
        <f t="shared" si="14"/>
        <v>1344</v>
      </c>
      <c r="X203" s="11">
        <f t="shared" si="15"/>
        <v>1344</v>
      </c>
      <c r="Y203" s="17">
        <v>3</v>
      </c>
      <c r="Z203" s="17"/>
      <c r="AC203" s="19" t="s">
        <v>509</v>
      </c>
    </row>
    <row r="204" spans="2:29">
      <c r="B204" s="19" t="s">
        <v>26</v>
      </c>
      <c r="C204" s="19" t="s">
        <v>511</v>
      </c>
      <c r="D204" s="19" t="s">
        <v>512</v>
      </c>
      <c r="E204" s="19" t="s">
        <v>29</v>
      </c>
      <c r="F204" s="19" t="s">
        <v>30</v>
      </c>
      <c r="G204" s="19" t="s">
        <v>31</v>
      </c>
      <c r="J204" s="19" t="s">
        <v>511</v>
      </c>
      <c r="K204" s="19" t="s">
        <v>32</v>
      </c>
      <c r="L204" s="19" t="s">
        <v>503</v>
      </c>
      <c r="M204" s="19">
        <v>88.9549921786477</v>
      </c>
      <c r="N204" s="19">
        <v>1344</v>
      </c>
      <c r="O204" s="19">
        <v>0.165852259505016</v>
      </c>
      <c r="P204" s="19" t="s">
        <v>504</v>
      </c>
      <c r="Q204" s="19">
        <v>23.84925</v>
      </c>
      <c r="R204">
        <f t="shared" si="12"/>
        <v>13.44</v>
      </c>
      <c r="T204" s="15" t="s">
        <v>89</v>
      </c>
      <c r="U204" s="17"/>
      <c r="V204" s="16" t="str">
        <f t="shared" si="13"/>
        <v>EN_SPV_17_c02_COL</v>
      </c>
      <c r="W204" s="12">
        <f t="shared" si="14"/>
        <v>1344</v>
      </c>
      <c r="X204" s="11">
        <f t="shared" si="15"/>
        <v>1344</v>
      </c>
      <c r="Y204" s="17">
        <v>3</v>
      </c>
      <c r="Z204" s="17"/>
      <c r="AC204" s="19" t="s">
        <v>511</v>
      </c>
    </row>
    <row r="205" spans="2:29">
      <c r="B205" s="19" t="s">
        <v>26</v>
      </c>
      <c r="C205" s="19" t="s">
        <v>513</v>
      </c>
      <c r="D205" s="19" t="s">
        <v>514</v>
      </c>
      <c r="E205" s="19" t="s">
        <v>29</v>
      </c>
      <c r="F205" s="19" t="s">
        <v>30</v>
      </c>
      <c r="G205" s="19" t="s">
        <v>31</v>
      </c>
      <c r="J205" s="19" t="s">
        <v>513</v>
      </c>
      <c r="K205" s="19" t="s">
        <v>32</v>
      </c>
      <c r="L205" s="19" t="s">
        <v>503</v>
      </c>
      <c r="M205" s="19">
        <v>101.208996203257</v>
      </c>
      <c r="N205" s="19">
        <v>1344</v>
      </c>
      <c r="O205" s="19">
        <v>0.170990580847724</v>
      </c>
      <c r="P205" s="19" t="s">
        <v>504</v>
      </c>
      <c r="Q205" s="19">
        <v>2.38875</v>
      </c>
      <c r="R205">
        <f t="shared" si="12"/>
        <v>13.44</v>
      </c>
      <c r="T205" s="15" t="s">
        <v>89</v>
      </c>
      <c r="U205" s="17"/>
      <c r="V205" s="16" t="str">
        <f t="shared" si="13"/>
        <v>EN_SPV_17_c03_COL</v>
      </c>
      <c r="W205" s="12">
        <f t="shared" si="14"/>
        <v>1344</v>
      </c>
      <c r="X205" s="11">
        <f t="shared" si="15"/>
        <v>1344</v>
      </c>
      <c r="Y205" s="17">
        <v>3</v>
      </c>
      <c r="Z205" s="17"/>
      <c r="AC205" s="19" t="s">
        <v>513</v>
      </c>
    </row>
    <row r="206" spans="2:29">
      <c r="B206" s="19" t="s">
        <v>26</v>
      </c>
      <c r="C206" s="19" t="s">
        <v>515</v>
      </c>
      <c r="D206" s="19" t="s">
        <v>516</v>
      </c>
      <c r="E206" s="19" t="s">
        <v>29</v>
      </c>
      <c r="F206" s="19" t="s">
        <v>30</v>
      </c>
      <c r="G206" s="19" t="s">
        <v>31</v>
      </c>
      <c r="J206" s="19" t="s">
        <v>515</v>
      </c>
      <c r="K206" s="19" t="s">
        <v>32</v>
      </c>
      <c r="L206" s="19" t="s">
        <v>503</v>
      </c>
      <c r="M206" s="19">
        <v>138.878712278909</v>
      </c>
      <c r="N206" s="19">
        <v>1344</v>
      </c>
      <c r="O206" s="19">
        <v>0.166936336115953</v>
      </c>
      <c r="P206" s="19" t="s">
        <v>504</v>
      </c>
      <c r="Q206" s="19">
        <v>16.3515</v>
      </c>
      <c r="R206">
        <f t="shared" si="12"/>
        <v>13.44</v>
      </c>
      <c r="T206" s="15" t="s">
        <v>89</v>
      </c>
      <c r="U206" s="17"/>
      <c r="V206" s="16" t="str">
        <f t="shared" si="13"/>
        <v>EN_SPV_17_c04_COL</v>
      </c>
      <c r="W206" s="12">
        <f t="shared" si="14"/>
        <v>1344</v>
      </c>
      <c r="X206" s="11">
        <f t="shared" si="15"/>
        <v>1344</v>
      </c>
      <c r="Y206" s="17">
        <v>3</v>
      </c>
      <c r="Z206" s="17"/>
      <c r="AC206" s="19" t="s">
        <v>515</v>
      </c>
    </row>
    <row r="207" spans="2:29">
      <c r="B207" s="19" t="s">
        <v>26</v>
      </c>
      <c r="C207" s="19" t="s">
        <v>517</v>
      </c>
      <c r="D207" s="19" t="s">
        <v>518</v>
      </c>
      <c r="E207" s="19" t="s">
        <v>29</v>
      </c>
      <c r="F207" s="19" t="s">
        <v>30</v>
      </c>
      <c r="G207" s="19" t="s">
        <v>31</v>
      </c>
      <c r="J207" s="19" t="s">
        <v>517</v>
      </c>
      <c r="K207" s="19" t="s">
        <v>32</v>
      </c>
      <c r="L207" s="19" t="s">
        <v>503</v>
      </c>
      <c r="M207" s="19">
        <v>0</v>
      </c>
      <c r="N207" s="19">
        <v>1344</v>
      </c>
      <c r="O207" s="19">
        <v>0.178514302507837</v>
      </c>
      <c r="P207" s="19" t="s">
        <v>504</v>
      </c>
      <c r="Q207" s="19">
        <v>11.484</v>
      </c>
      <c r="R207">
        <f t="shared" si="12"/>
        <v>13.44</v>
      </c>
      <c r="T207" s="15" t="s">
        <v>89</v>
      </c>
      <c r="U207" s="17"/>
      <c r="V207" s="16" t="str">
        <f t="shared" si="13"/>
        <v>EN_SPV_18_c01_COL</v>
      </c>
      <c r="W207" s="12">
        <f t="shared" si="14"/>
        <v>1344</v>
      </c>
      <c r="X207" s="11">
        <f t="shared" si="15"/>
        <v>1344</v>
      </c>
      <c r="Y207" s="17">
        <v>3</v>
      </c>
      <c r="Z207" s="17"/>
      <c r="AC207" s="19" t="s">
        <v>517</v>
      </c>
    </row>
    <row r="208" spans="2:29">
      <c r="B208" s="19" t="s">
        <v>26</v>
      </c>
      <c r="C208" s="19" t="s">
        <v>519</v>
      </c>
      <c r="D208" s="19" t="s">
        <v>520</v>
      </c>
      <c r="E208" s="19" t="s">
        <v>29</v>
      </c>
      <c r="F208" s="19" t="s">
        <v>30</v>
      </c>
      <c r="G208" s="19" t="s">
        <v>31</v>
      </c>
      <c r="J208" s="19" t="s">
        <v>519</v>
      </c>
      <c r="K208" s="19" t="s">
        <v>32</v>
      </c>
      <c r="L208" s="19" t="s">
        <v>503</v>
      </c>
      <c r="M208" s="19">
        <v>88.9549921786477</v>
      </c>
      <c r="N208" s="19">
        <v>1344</v>
      </c>
      <c r="O208" s="19">
        <v>0.175341666666667</v>
      </c>
      <c r="P208" s="19" t="s">
        <v>504</v>
      </c>
      <c r="Q208" s="19">
        <v>0.72</v>
      </c>
      <c r="R208">
        <f t="shared" si="12"/>
        <v>13.44</v>
      </c>
      <c r="T208" s="15" t="s">
        <v>89</v>
      </c>
      <c r="U208" s="17"/>
      <c r="V208" s="16" t="str">
        <f t="shared" si="13"/>
        <v>EN_SPV_18_c02_COL</v>
      </c>
      <c r="W208" s="12">
        <f t="shared" si="14"/>
        <v>1344</v>
      </c>
      <c r="X208" s="11">
        <f t="shared" si="15"/>
        <v>1344</v>
      </c>
      <c r="Y208" s="17">
        <v>3</v>
      </c>
      <c r="Z208" s="17"/>
      <c r="AC208" s="19" t="s">
        <v>519</v>
      </c>
    </row>
    <row r="209" spans="2:29">
      <c r="B209" s="19" t="s">
        <v>26</v>
      </c>
      <c r="C209" s="19" t="s">
        <v>521</v>
      </c>
      <c r="D209" s="19" t="s">
        <v>522</v>
      </c>
      <c r="E209" s="19" t="s">
        <v>29</v>
      </c>
      <c r="F209" s="19" t="s">
        <v>30</v>
      </c>
      <c r="G209" s="19" t="s">
        <v>31</v>
      </c>
      <c r="J209" s="19" t="s">
        <v>521</v>
      </c>
      <c r="K209" s="19" t="s">
        <v>32</v>
      </c>
      <c r="L209" s="19" t="s">
        <v>503</v>
      </c>
      <c r="M209" s="19">
        <v>0</v>
      </c>
      <c r="N209" s="19">
        <v>1344</v>
      </c>
      <c r="O209" s="19">
        <v>0.187730233779879</v>
      </c>
      <c r="P209" s="19" t="s">
        <v>504</v>
      </c>
      <c r="Q209" s="19">
        <v>2.85525</v>
      </c>
      <c r="R209">
        <f t="shared" si="12"/>
        <v>13.44</v>
      </c>
      <c r="T209" s="15" t="s">
        <v>89</v>
      </c>
      <c r="U209" s="17"/>
      <c r="V209" s="16" t="str">
        <f t="shared" si="13"/>
        <v>EN_SPV_19_c01_COL</v>
      </c>
      <c r="W209" s="12">
        <f t="shared" si="14"/>
        <v>1344</v>
      </c>
      <c r="X209" s="11">
        <f t="shared" si="15"/>
        <v>1344</v>
      </c>
      <c r="Y209" s="17">
        <v>3</v>
      </c>
      <c r="Z209" s="17"/>
      <c r="AC209" s="19" t="s">
        <v>521</v>
      </c>
    </row>
    <row r="210" spans="2:29">
      <c r="B210" s="19" t="s">
        <v>26</v>
      </c>
      <c r="C210" s="19" t="s">
        <v>523</v>
      </c>
      <c r="D210" s="19" t="s">
        <v>524</v>
      </c>
      <c r="E210" s="19" t="s">
        <v>29</v>
      </c>
      <c r="F210" s="19" t="s">
        <v>30</v>
      </c>
      <c r="G210" s="19" t="s">
        <v>31</v>
      </c>
      <c r="J210" s="19" t="s">
        <v>523</v>
      </c>
      <c r="K210" s="19" t="s">
        <v>32</v>
      </c>
      <c r="L210" s="19" t="s">
        <v>503</v>
      </c>
      <c r="M210" s="19">
        <v>88.9549921786477</v>
      </c>
      <c r="N210" s="19">
        <v>1344</v>
      </c>
      <c r="O210" s="19">
        <v>0.190526687994612</v>
      </c>
      <c r="P210" s="19" t="s">
        <v>504</v>
      </c>
      <c r="Q210" s="19">
        <v>4.45425</v>
      </c>
      <c r="R210">
        <f t="shared" si="12"/>
        <v>13.44</v>
      </c>
      <c r="T210" s="15" t="s">
        <v>89</v>
      </c>
      <c r="U210" s="17"/>
      <c r="V210" s="16" t="str">
        <f t="shared" si="13"/>
        <v>EN_SPV_19_c02_COL</v>
      </c>
      <c r="W210" s="12">
        <f t="shared" si="14"/>
        <v>1344</v>
      </c>
      <c r="X210" s="11">
        <f t="shared" si="15"/>
        <v>1344</v>
      </c>
      <c r="Y210" s="17">
        <v>3</v>
      </c>
      <c r="Z210" s="17"/>
      <c r="AC210" s="19" t="s">
        <v>523</v>
      </c>
    </row>
    <row r="211" spans="2:29">
      <c r="B211" s="19" t="s">
        <v>26</v>
      </c>
      <c r="C211" s="19" t="s">
        <v>525</v>
      </c>
      <c r="D211" s="19" t="s">
        <v>526</v>
      </c>
      <c r="E211" s="19" t="s">
        <v>29</v>
      </c>
      <c r="F211" s="19" t="s">
        <v>30</v>
      </c>
      <c r="G211" s="19" t="s">
        <v>31</v>
      </c>
      <c r="J211" s="19" t="s">
        <v>525</v>
      </c>
      <c r="K211" s="19" t="s">
        <v>32</v>
      </c>
      <c r="L211" s="19" t="s">
        <v>503</v>
      </c>
      <c r="M211" s="19">
        <v>88.9549921786477</v>
      </c>
      <c r="N211" s="19">
        <v>1344</v>
      </c>
      <c r="O211" s="19">
        <v>0.196</v>
      </c>
      <c r="P211" s="19" t="s">
        <v>504</v>
      </c>
      <c r="Q211" s="19">
        <v>0.8085</v>
      </c>
      <c r="R211">
        <f t="shared" si="12"/>
        <v>13.44</v>
      </c>
      <c r="T211" s="15" t="s">
        <v>89</v>
      </c>
      <c r="U211" s="17"/>
      <c r="V211" s="16" t="str">
        <f t="shared" si="13"/>
        <v>EN_SPV_20_c02_COL</v>
      </c>
      <c r="W211" s="12">
        <f t="shared" si="14"/>
        <v>1344</v>
      </c>
      <c r="X211" s="11">
        <f t="shared" si="15"/>
        <v>1344</v>
      </c>
      <c r="Y211" s="17">
        <v>3</v>
      </c>
      <c r="Z211" s="17"/>
      <c r="AC211" s="19" t="s">
        <v>525</v>
      </c>
    </row>
    <row r="212" spans="2:29">
      <c r="B212" s="19" t="s">
        <v>26</v>
      </c>
      <c r="C212" s="19" t="s">
        <v>527</v>
      </c>
      <c r="D212" s="19" t="s">
        <v>528</v>
      </c>
      <c r="E212" s="19" t="s">
        <v>29</v>
      </c>
      <c r="F212" s="19" t="s">
        <v>30</v>
      </c>
      <c r="G212" s="19" t="s">
        <v>31</v>
      </c>
      <c r="J212" s="19" t="s">
        <v>527</v>
      </c>
      <c r="K212" s="19" t="s">
        <v>32</v>
      </c>
      <c r="L212" s="19" t="s">
        <v>529</v>
      </c>
      <c r="M212" s="19">
        <v>0</v>
      </c>
      <c r="N212" s="19">
        <v>1285</v>
      </c>
      <c r="O212" s="19">
        <v>0.170933284078316</v>
      </c>
      <c r="P212" s="19" t="s">
        <v>530</v>
      </c>
      <c r="Q212" s="19">
        <v>10.15125</v>
      </c>
      <c r="R212">
        <f t="shared" si="12"/>
        <v>12.85</v>
      </c>
      <c r="T212" s="15" t="s">
        <v>89</v>
      </c>
      <c r="U212" s="17"/>
      <c r="V212" s="16" t="str">
        <f t="shared" si="13"/>
        <v>EN_SPV_17_c01_CRI</v>
      </c>
      <c r="W212" s="12">
        <f t="shared" si="14"/>
        <v>1285</v>
      </c>
      <c r="X212" s="11">
        <f t="shared" si="15"/>
        <v>1285</v>
      </c>
      <c r="Y212" s="17">
        <v>3</v>
      </c>
      <c r="Z212" s="17"/>
      <c r="AC212" s="19" t="s">
        <v>527</v>
      </c>
    </row>
    <row r="213" spans="2:29">
      <c r="B213" s="19" t="s">
        <v>26</v>
      </c>
      <c r="C213" s="19" t="s">
        <v>531</v>
      </c>
      <c r="D213" s="19" t="s">
        <v>532</v>
      </c>
      <c r="E213" s="19" t="s">
        <v>29</v>
      </c>
      <c r="F213" s="19" t="s">
        <v>30</v>
      </c>
      <c r="G213" s="19" t="s">
        <v>31</v>
      </c>
      <c r="J213" s="19" t="s">
        <v>531</v>
      </c>
      <c r="K213" s="19" t="s">
        <v>32</v>
      </c>
      <c r="L213" s="19" t="s">
        <v>529</v>
      </c>
      <c r="M213" s="19">
        <v>88.9549921786477</v>
      </c>
      <c r="N213" s="19">
        <v>1285</v>
      </c>
      <c r="O213" s="19">
        <v>0.172</v>
      </c>
      <c r="P213" s="19" t="s">
        <v>530</v>
      </c>
      <c r="Q213" s="19">
        <v>2.979</v>
      </c>
      <c r="R213">
        <f t="shared" si="12"/>
        <v>12.85</v>
      </c>
      <c r="T213" s="15" t="s">
        <v>89</v>
      </c>
      <c r="U213" s="17"/>
      <c r="V213" s="16" t="str">
        <f t="shared" si="13"/>
        <v>EN_SPV_17_c02_CRI</v>
      </c>
      <c r="W213" s="12">
        <f t="shared" si="14"/>
        <v>1285</v>
      </c>
      <c r="X213" s="11">
        <f t="shared" si="15"/>
        <v>1285</v>
      </c>
      <c r="Y213" s="17">
        <v>3</v>
      </c>
      <c r="Z213" s="17"/>
      <c r="AC213" s="19" t="s">
        <v>531</v>
      </c>
    </row>
    <row r="214" spans="2:29">
      <c r="B214" s="19" t="s">
        <v>26</v>
      </c>
      <c r="C214" s="19" t="s">
        <v>533</v>
      </c>
      <c r="D214" s="19" t="s">
        <v>534</v>
      </c>
      <c r="E214" s="19" t="s">
        <v>29</v>
      </c>
      <c r="F214" s="19" t="s">
        <v>30</v>
      </c>
      <c r="G214" s="19" t="s">
        <v>31</v>
      </c>
      <c r="J214" s="19" t="s">
        <v>533</v>
      </c>
      <c r="K214" s="19" t="s">
        <v>32</v>
      </c>
      <c r="L214" s="19" t="s">
        <v>529</v>
      </c>
      <c r="M214" s="19">
        <v>0</v>
      </c>
      <c r="N214" s="19">
        <v>1285</v>
      </c>
      <c r="O214" s="19">
        <v>0.179676210250246</v>
      </c>
      <c r="P214" s="19" t="s">
        <v>530</v>
      </c>
      <c r="Q214" s="19">
        <v>6.86325</v>
      </c>
      <c r="R214">
        <f t="shared" si="12"/>
        <v>12.85</v>
      </c>
      <c r="T214" s="15" t="s">
        <v>89</v>
      </c>
      <c r="U214" s="17"/>
      <c r="V214" s="16" t="str">
        <f t="shared" si="13"/>
        <v>EN_SPV_18_c01_CRI</v>
      </c>
      <c r="W214" s="12">
        <f t="shared" si="14"/>
        <v>1285</v>
      </c>
      <c r="X214" s="11">
        <f t="shared" si="15"/>
        <v>1285</v>
      </c>
      <c r="Y214" s="17">
        <v>3</v>
      </c>
      <c r="Z214" s="17"/>
      <c r="AC214" s="19" t="s">
        <v>533</v>
      </c>
    </row>
    <row r="215" spans="2:29">
      <c r="B215" s="19" t="s">
        <v>26</v>
      </c>
      <c r="C215" s="19" t="s">
        <v>535</v>
      </c>
      <c r="D215" s="19" t="s">
        <v>536</v>
      </c>
      <c r="E215" s="19" t="s">
        <v>29</v>
      </c>
      <c r="F215" s="19" t="s">
        <v>30</v>
      </c>
      <c r="G215" s="19" t="s">
        <v>31</v>
      </c>
      <c r="J215" s="19" t="s">
        <v>535</v>
      </c>
      <c r="K215" s="19" t="s">
        <v>32</v>
      </c>
      <c r="L215" s="19" t="s">
        <v>537</v>
      </c>
      <c r="M215" s="19">
        <v>0</v>
      </c>
      <c r="N215" s="19">
        <v>1391</v>
      </c>
      <c r="O215" s="19">
        <v>0.178258061814222</v>
      </c>
      <c r="P215" s="19" t="s">
        <v>538</v>
      </c>
      <c r="Q215" s="19">
        <v>26.86275</v>
      </c>
      <c r="R215">
        <f t="shared" si="12"/>
        <v>13.91</v>
      </c>
      <c r="T215" s="15" t="s">
        <v>89</v>
      </c>
      <c r="U215" s="17"/>
      <c r="V215" s="16" t="str">
        <f t="shared" si="13"/>
        <v>EN_SPV_18_c01_CUB</v>
      </c>
      <c r="W215" s="12">
        <f t="shared" si="14"/>
        <v>1391</v>
      </c>
      <c r="X215" s="11">
        <f t="shared" si="15"/>
        <v>1391</v>
      </c>
      <c r="Y215" s="17">
        <v>3</v>
      </c>
      <c r="Z215" s="17"/>
      <c r="AC215" s="19" t="s">
        <v>535</v>
      </c>
    </row>
    <row r="216" spans="2:29">
      <c r="B216" s="19" t="s">
        <v>26</v>
      </c>
      <c r="C216" s="19" t="s">
        <v>539</v>
      </c>
      <c r="D216" s="19" t="s">
        <v>540</v>
      </c>
      <c r="E216" s="19" t="s">
        <v>29</v>
      </c>
      <c r="F216" s="19" t="s">
        <v>30</v>
      </c>
      <c r="G216" s="19" t="s">
        <v>31</v>
      </c>
      <c r="J216" s="19" t="s">
        <v>539</v>
      </c>
      <c r="K216" s="19" t="s">
        <v>32</v>
      </c>
      <c r="L216" s="19" t="s">
        <v>537</v>
      </c>
      <c r="M216" s="19">
        <v>88.9549921786477</v>
      </c>
      <c r="N216" s="19">
        <v>1391</v>
      </c>
      <c r="O216" s="19">
        <v>0.182700389105058</v>
      </c>
      <c r="P216" s="19" t="s">
        <v>538</v>
      </c>
      <c r="Q216" s="19">
        <v>0.57825</v>
      </c>
      <c r="R216">
        <f t="shared" si="12"/>
        <v>13.91</v>
      </c>
      <c r="T216" s="15" t="s">
        <v>89</v>
      </c>
      <c r="U216" s="17"/>
      <c r="V216" s="16" t="str">
        <f t="shared" si="13"/>
        <v>EN_SPV_18_c02_CUB</v>
      </c>
      <c r="W216" s="12">
        <f t="shared" si="14"/>
        <v>1391</v>
      </c>
      <c r="X216" s="11">
        <f t="shared" si="15"/>
        <v>1391</v>
      </c>
      <c r="Y216" s="17">
        <v>3</v>
      </c>
      <c r="Z216" s="17"/>
      <c r="AC216" s="19" t="s">
        <v>539</v>
      </c>
    </row>
    <row r="217" spans="2:29">
      <c r="B217" s="19" t="s">
        <v>26</v>
      </c>
      <c r="C217" s="19" t="s">
        <v>541</v>
      </c>
      <c r="D217" s="19" t="s">
        <v>542</v>
      </c>
      <c r="E217" s="19" t="s">
        <v>29</v>
      </c>
      <c r="F217" s="19" t="s">
        <v>30</v>
      </c>
      <c r="G217" s="19" t="s">
        <v>31</v>
      </c>
      <c r="J217" s="19" t="s">
        <v>541</v>
      </c>
      <c r="K217" s="19" t="s">
        <v>32</v>
      </c>
      <c r="L217" s="19" t="s">
        <v>537</v>
      </c>
      <c r="M217" s="19">
        <v>101.208996203257</v>
      </c>
      <c r="N217" s="19">
        <v>1391</v>
      </c>
      <c r="O217" s="19">
        <v>0.181612970711297</v>
      </c>
      <c r="P217" s="19" t="s">
        <v>538</v>
      </c>
      <c r="Q217" s="19">
        <v>0.717</v>
      </c>
      <c r="R217">
        <f t="shared" si="12"/>
        <v>13.91</v>
      </c>
      <c r="T217" s="15" t="s">
        <v>89</v>
      </c>
      <c r="U217" s="17"/>
      <c r="V217" s="16" t="str">
        <f t="shared" si="13"/>
        <v>EN_SPV_18_c03_CUB</v>
      </c>
      <c r="W217" s="12">
        <f t="shared" si="14"/>
        <v>1391</v>
      </c>
      <c r="X217" s="11">
        <f t="shared" si="15"/>
        <v>1391</v>
      </c>
      <c r="Y217" s="17">
        <v>3</v>
      </c>
      <c r="Z217" s="17"/>
      <c r="AC217" s="19" t="s">
        <v>541</v>
      </c>
    </row>
    <row r="218" spans="2:29">
      <c r="B218" s="19" t="s">
        <v>26</v>
      </c>
      <c r="C218" s="19" t="s">
        <v>543</v>
      </c>
      <c r="D218" s="19" t="s">
        <v>544</v>
      </c>
      <c r="E218" s="19" t="s">
        <v>29</v>
      </c>
      <c r="F218" s="19" t="s">
        <v>30</v>
      </c>
      <c r="G218" s="19" t="s">
        <v>31</v>
      </c>
      <c r="J218" s="19" t="s">
        <v>543</v>
      </c>
      <c r="K218" s="19" t="s">
        <v>32</v>
      </c>
      <c r="L218" s="19" t="s">
        <v>537</v>
      </c>
      <c r="M218" s="19">
        <v>0</v>
      </c>
      <c r="N218" s="19">
        <v>1391</v>
      </c>
      <c r="O218" s="19">
        <v>0.185</v>
      </c>
      <c r="P218" s="19" t="s">
        <v>538</v>
      </c>
      <c r="Q218" s="19">
        <v>0.105</v>
      </c>
      <c r="R218">
        <f t="shared" si="12"/>
        <v>13.91</v>
      </c>
      <c r="T218" s="15" t="s">
        <v>89</v>
      </c>
      <c r="U218" s="17"/>
      <c r="V218" s="16" t="str">
        <f t="shared" si="13"/>
        <v>EN_SPV_19_c01_CUB</v>
      </c>
      <c r="W218" s="12">
        <f t="shared" si="14"/>
        <v>1391</v>
      </c>
      <c r="X218" s="11">
        <f t="shared" si="15"/>
        <v>1391</v>
      </c>
      <c r="Y218" s="17">
        <v>3</v>
      </c>
      <c r="Z218" s="17"/>
      <c r="AC218" s="19" t="s">
        <v>543</v>
      </c>
    </row>
    <row r="219" spans="2:29">
      <c r="B219" s="19" t="s">
        <v>26</v>
      </c>
      <c r="C219" s="19" t="s">
        <v>545</v>
      </c>
      <c r="D219" s="19" t="s">
        <v>546</v>
      </c>
      <c r="E219" s="19" t="s">
        <v>29</v>
      </c>
      <c r="F219" s="19" t="s">
        <v>30</v>
      </c>
      <c r="G219" s="19" t="s">
        <v>31</v>
      </c>
      <c r="J219" s="19" t="s">
        <v>545</v>
      </c>
      <c r="K219" s="19" t="s">
        <v>32</v>
      </c>
      <c r="L219" s="19" t="s">
        <v>547</v>
      </c>
      <c r="M219" s="19">
        <v>0</v>
      </c>
      <c r="N219" s="19">
        <v>859</v>
      </c>
      <c r="O219" s="19">
        <v>0.186819904662249</v>
      </c>
      <c r="P219" s="19" t="s">
        <v>548</v>
      </c>
      <c r="Q219" s="19">
        <v>6.45075</v>
      </c>
      <c r="R219">
        <f t="shared" si="12"/>
        <v>8.59</v>
      </c>
      <c r="T219" s="15" t="s">
        <v>69</v>
      </c>
      <c r="U219" s="17"/>
      <c r="V219" s="16" t="str">
        <f t="shared" si="13"/>
        <v>EN_SPV_19_c01_CYP</v>
      </c>
      <c r="W219" s="12">
        <f t="shared" si="14"/>
        <v>859</v>
      </c>
      <c r="X219" s="11">
        <f t="shared" si="15"/>
        <v>859</v>
      </c>
      <c r="Y219" s="17">
        <v>3</v>
      </c>
      <c r="Z219" s="17"/>
      <c r="AC219" s="19" t="s">
        <v>545</v>
      </c>
    </row>
    <row r="220" spans="2:29">
      <c r="B220" s="19" t="s">
        <v>26</v>
      </c>
      <c r="C220" s="19" t="s">
        <v>549</v>
      </c>
      <c r="D220" s="19" t="s">
        <v>550</v>
      </c>
      <c r="E220" s="19" t="s">
        <v>29</v>
      </c>
      <c r="F220" s="19" t="s">
        <v>30</v>
      </c>
      <c r="G220" s="19" t="s">
        <v>31</v>
      </c>
      <c r="J220" s="19" t="s">
        <v>549</v>
      </c>
      <c r="K220" s="19" t="s">
        <v>32</v>
      </c>
      <c r="L220" s="19" t="s">
        <v>551</v>
      </c>
      <c r="M220" s="19">
        <v>88.9549921786477</v>
      </c>
      <c r="N220" s="19">
        <v>974</v>
      </c>
      <c r="O220" s="19">
        <v>0.121571085432355</v>
      </c>
      <c r="P220" s="19" t="s">
        <v>552</v>
      </c>
      <c r="Q220" s="19">
        <v>11.553</v>
      </c>
      <c r="R220">
        <f t="shared" si="12"/>
        <v>9.74</v>
      </c>
      <c r="T220" s="15" t="s">
        <v>69</v>
      </c>
      <c r="U220" s="17"/>
      <c r="V220" s="16" t="str">
        <f t="shared" si="13"/>
        <v>EN_SPV_12_c02_CZE</v>
      </c>
      <c r="W220" s="12">
        <f t="shared" si="14"/>
        <v>974</v>
      </c>
      <c r="X220" s="11">
        <f t="shared" si="15"/>
        <v>974</v>
      </c>
      <c r="Y220" s="17">
        <v>3</v>
      </c>
      <c r="Z220" s="17"/>
      <c r="AC220" s="19" t="s">
        <v>549</v>
      </c>
    </row>
    <row r="221" spans="2:29">
      <c r="B221" s="19" t="s">
        <v>26</v>
      </c>
      <c r="C221" s="19" t="s">
        <v>553</v>
      </c>
      <c r="D221" s="19" t="s">
        <v>554</v>
      </c>
      <c r="E221" s="19" t="s">
        <v>29</v>
      </c>
      <c r="F221" s="19" t="s">
        <v>30</v>
      </c>
      <c r="G221" s="19" t="s">
        <v>31</v>
      </c>
      <c r="J221" s="19" t="s">
        <v>553</v>
      </c>
      <c r="K221" s="19" t="s">
        <v>32</v>
      </c>
      <c r="L221" s="19" t="s">
        <v>551</v>
      </c>
      <c r="M221" s="19">
        <v>101.208996203257</v>
      </c>
      <c r="N221" s="19">
        <v>974</v>
      </c>
      <c r="O221" s="19">
        <v>0.119431487761722</v>
      </c>
      <c r="P221" s="19" t="s">
        <v>552</v>
      </c>
      <c r="Q221" s="19">
        <v>203.46</v>
      </c>
      <c r="R221">
        <f t="shared" si="12"/>
        <v>9.74</v>
      </c>
      <c r="T221" s="15" t="s">
        <v>69</v>
      </c>
      <c r="U221" s="17"/>
      <c r="V221" s="16" t="str">
        <f t="shared" si="13"/>
        <v>EN_SPV_12_c03_CZE</v>
      </c>
      <c r="W221" s="12">
        <f t="shared" si="14"/>
        <v>974</v>
      </c>
      <c r="X221" s="11">
        <f t="shared" si="15"/>
        <v>974</v>
      </c>
      <c r="Y221" s="17">
        <v>3</v>
      </c>
      <c r="Z221" s="17"/>
      <c r="AC221" s="19" t="s">
        <v>553</v>
      </c>
    </row>
    <row r="222" spans="2:29">
      <c r="B222" s="19" t="s">
        <v>26</v>
      </c>
      <c r="C222" s="19" t="s">
        <v>555</v>
      </c>
      <c r="D222" s="19" t="s">
        <v>556</v>
      </c>
      <c r="E222" s="19" t="s">
        <v>29</v>
      </c>
      <c r="F222" s="19" t="s">
        <v>30</v>
      </c>
      <c r="G222" s="19" t="s">
        <v>31</v>
      </c>
      <c r="J222" s="19" t="s">
        <v>555</v>
      </c>
      <c r="K222" s="19" t="s">
        <v>32</v>
      </c>
      <c r="L222" s="19" t="s">
        <v>551</v>
      </c>
      <c r="M222" s="19">
        <v>88.9549921786477</v>
      </c>
      <c r="N222" s="19">
        <v>974</v>
      </c>
      <c r="O222" s="19">
        <v>0.126</v>
      </c>
      <c r="P222" s="19" t="s">
        <v>552</v>
      </c>
      <c r="Q222" s="19">
        <v>4.6725</v>
      </c>
      <c r="R222">
        <f t="shared" si="12"/>
        <v>9.74</v>
      </c>
      <c r="T222" s="15" t="s">
        <v>69</v>
      </c>
      <c r="U222" s="17"/>
      <c r="V222" s="16" t="str">
        <f t="shared" si="13"/>
        <v>EN_SPV_13_c02_CZE</v>
      </c>
      <c r="W222" s="12">
        <f t="shared" si="14"/>
        <v>974</v>
      </c>
      <c r="X222" s="11">
        <f t="shared" si="15"/>
        <v>974</v>
      </c>
      <c r="Y222" s="17">
        <v>3</v>
      </c>
      <c r="Z222" s="17"/>
      <c r="AC222" s="19" t="s">
        <v>555</v>
      </c>
    </row>
    <row r="223" spans="2:29">
      <c r="B223" s="19" t="s">
        <v>26</v>
      </c>
      <c r="C223" s="19" t="s">
        <v>557</v>
      </c>
      <c r="D223" s="19" t="s">
        <v>558</v>
      </c>
      <c r="E223" s="19" t="s">
        <v>29</v>
      </c>
      <c r="F223" s="19" t="s">
        <v>30</v>
      </c>
      <c r="G223" s="19" t="s">
        <v>31</v>
      </c>
      <c r="J223" s="19" t="s">
        <v>557</v>
      </c>
      <c r="K223" s="19" t="s">
        <v>32</v>
      </c>
      <c r="L223" s="19" t="s">
        <v>551</v>
      </c>
      <c r="M223" s="19">
        <v>101.208996203257</v>
      </c>
      <c r="N223" s="19">
        <v>974</v>
      </c>
      <c r="O223" s="19">
        <v>0.125557736964323</v>
      </c>
      <c r="P223" s="19" t="s">
        <v>552</v>
      </c>
      <c r="Q223" s="19">
        <v>17.76375</v>
      </c>
      <c r="R223">
        <f t="shared" si="12"/>
        <v>9.74</v>
      </c>
      <c r="T223" s="15" t="s">
        <v>69</v>
      </c>
      <c r="U223" s="17"/>
      <c r="V223" s="16" t="str">
        <f t="shared" si="13"/>
        <v>EN_SPV_13_c03_CZE</v>
      </c>
      <c r="W223" s="12">
        <f t="shared" si="14"/>
        <v>974</v>
      </c>
      <c r="X223" s="11">
        <f t="shared" si="15"/>
        <v>974</v>
      </c>
      <c r="Y223" s="17">
        <v>3</v>
      </c>
      <c r="Z223" s="17"/>
      <c r="AC223" s="19" t="s">
        <v>557</v>
      </c>
    </row>
    <row r="224" spans="2:29">
      <c r="B224" s="19" t="s">
        <v>26</v>
      </c>
      <c r="C224" s="19" t="s">
        <v>559</v>
      </c>
      <c r="D224" s="19" t="s">
        <v>560</v>
      </c>
      <c r="E224" s="19" t="s">
        <v>29</v>
      </c>
      <c r="F224" s="19" t="s">
        <v>30</v>
      </c>
      <c r="G224" s="19" t="s">
        <v>31</v>
      </c>
      <c r="J224" s="19" t="s">
        <v>559</v>
      </c>
      <c r="K224" s="19" t="s">
        <v>32</v>
      </c>
      <c r="L224" s="19" t="s">
        <v>561</v>
      </c>
      <c r="M224" s="19">
        <v>101.208996203257</v>
      </c>
      <c r="N224" s="19">
        <v>899</v>
      </c>
      <c r="O224" s="19">
        <v>0.111658197824398</v>
      </c>
      <c r="P224" s="19" t="s">
        <v>562</v>
      </c>
      <c r="Q224" s="19">
        <v>469.2495</v>
      </c>
      <c r="R224">
        <f t="shared" si="12"/>
        <v>8.99</v>
      </c>
      <c r="T224" s="15" t="s">
        <v>69</v>
      </c>
      <c r="U224" s="17"/>
      <c r="V224" s="16" t="str">
        <f t="shared" si="13"/>
        <v>EN_SPV_11_c03_DEU</v>
      </c>
      <c r="W224" s="12">
        <f t="shared" si="14"/>
        <v>899</v>
      </c>
      <c r="X224" s="11">
        <f t="shared" si="15"/>
        <v>899</v>
      </c>
      <c r="Y224" s="17">
        <v>3</v>
      </c>
      <c r="Z224" s="17"/>
      <c r="AC224" s="19" t="s">
        <v>559</v>
      </c>
    </row>
    <row r="225" spans="2:29">
      <c r="B225" s="19" t="s">
        <v>26</v>
      </c>
      <c r="C225" s="19" t="s">
        <v>563</v>
      </c>
      <c r="D225" s="19" t="s">
        <v>564</v>
      </c>
      <c r="E225" s="19" t="s">
        <v>29</v>
      </c>
      <c r="F225" s="19" t="s">
        <v>30</v>
      </c>
      <c r="G225" s="19" t="s">
        <v>31</v>
      </c>
      <c r="J225" s="19" t="s">
        <v>563</v>
      </c>
      <c r="K225" s="19" t="s">
        <v>32</v>
      </c>
      <c r="L225" s="19" t="s">
        <v>561</v>
      </c>
      <c r="M225" s="19">
        <v>88.9549921786477</v>
      </c>
      <c r="N225" s="19">
        <v>899</v>
      </c>
      <c r="O225" s="19">
        <v>0.123055502023511</v>
      </c>
      <c r="P225" s="19" t="s">
        <v>562</v>
      </c>
      <c r="Q225" s="19">
        <v>15.567</v>
      </c>
      <c r="R225">
        <f t="shared" si="12"/>
        <v>8.99</v>
      </c>
      <c r="T225" s="15" t="s">
        <v>69</v>
      </c>
      <c r="U225" s="17"/>
      <c r="V225" s="16" t="str">
        <f t="shared" si="13"/>
        <v>EN_SPV_12_c02_DEU</v>
      </c>
      <c r="W225" s="12">
        <f t="shared" si="14"/>
        <v>899</v>
      </c>
      <c r="X225" s="11">
        <f t="shared" si="15"/>
        <v>899</v>
      </c>
      <c r="Y225" s="17">
        <v>3</v>
      </c>
      <c r="Z225" s="17"/>
      <c r="AC225" s="19" t="s">
        <v>563</v>
      </c>
    </row>
    <row r="226" spans="2:29">
      <c r="B226" s="19" t="s">
        <v>26</v>
      </c>
      <c r="C226" s="19" t="s">
        <v>565</v>
      </c>
      <c r="D226" s="19" t="s">
        <v>566</v>
      </c>
      <c r="E226" s="19" t="s">
        <v>29</v>
      </c>
      <c r="F226" s="19" t="s">
        <v>30</v>
      </c>
      <c r="G226" s="19" t="s">
        <v>31</v>
      </c>
      <c r="J226" s="19" t="s">
        <v>565</v>
      </c>
      <c r="K226" s="19" t="s">
        <v>32</v>
      </c>
      <c r="L226" s="19" t="s">
        <v>561</v>
      </c>
      <c r="M226" s="19">
        <v>101.208996203257</v>
      </c>
      <c r="N226" s="19">
        <v>899</v>
      </c>
      <c r="O226" s="19">
        <v>0.118021462298942</v>
      </c>
      <c r="P226" s="19" t="s">
        <v>562</v>
      </c>
      <c r="Q226" s="19">
        <v>513.51675</v>
      </c>
      <c r="R226">
        <f t="shared" si="12"/>
        <v>8.99</v>
      </c>
      <c r="T226" s="15" t="s">
        <v>69</v>
      </c>
      <c r="U226" s="17"/>
      <c r="V226" s="16" t="str">
        <f t="shared" si="13"/>
        <v>EN_SPV_12_c03_DEU</v>
      </c>
      <c r="W226" s="12">
        <f t="shared" si="14"/>
        <v>899</v>
      </c>
      <c r="X226" s="11">
        <f t="shared" si="15"/>
        <v>899</v>
      </c>
      <c r="Y226" s="17">
        <v>3</v>
      </c>
      <c r="Z226" s="17"/>
      <c r="AC226" s="19" t="s">
        <v>565</v>
      </c>
    </row>
    <row r="227" spans="2:29">
      <c r="B227" s="19" t="s">
        <v>26</v>
      </c>
      <c r="C227" s="19" t="s">
        <v>567</v>
      </c>
      <c r="D227" s="19" t="s">
        <v>568</v>
      </c>
      <c r="E227" s="19" t="s">
        <v>29</v>
      </c>
      <c r="F227" s="19" t="s">
        <v>30</v>
      </c>
      <c r="G227" s="19" t="s">
        <v>31</v>
      </c>
      <c r="J227" s="19" t="s">
        <v>567</v>
      </c>
      <c r="K227" s="19" t="s">
        <v>32</v>
      </c>
      <c r="L227" s="19" t="s">
        <v>561</v>
      </c>
      <c r="M227" s="19">
        <v>88.9549921786477</v>
      </c>
      <c r="N227" s="19">
        <v>899</v>
      </c>
      <c r="O227" s="19">
        <v>0.126336232607821</v>
      </c>
      <c r="P227" s="19" t="s">
        <v>562</v>
      </c>
      <c r="Q227" s="19">
        <v>54.06525</v>
      </c>
      <c r="R227">
        <f t="shared" si="12"/>
        <v>8.99</v>
      </c>
      <c r="T227" s="15" t="s">
        <v>69</v>
      </c>
      <c r="U227" s="17"/>
      <c r="V227" s="16" t="str">
        <f t="shared" si="13"/>
        <v>EN_SPV_13_c02_DEU</v>
      </c>
      <c r="W227" s="12">
        <f t="shared" si="14"/>
        <v>899</v>
      </c>
      <c r="X227" s="11">
        <f t="shared" si="15"/>
        <v>899</v>
      </c>
      <c r="Y227" s="17">
        <v>3</v>
      </c>
      <c r="Z227" s="17"/>
      <c r="AC227" s="19" t="s">
        <v>567</v>
      </c>
    </row>
    <row r="228" spans="2:29">
      <c r="B228" s="19" t="s">
        <v>26</v>
      </c>
      <c r="C228" s="19" t="s">
        <v>569</v>
      </c>
      <c r="D228" s="19" t="s">
        <v>570</v>
      </c>
      <c r="E228" s="19" t="s">
        <v>29</v>
      </c>
      <c r="F228" s="19" t="s">
        <v>30</v>
      </c>
      <c r="G228" s="19" t="s">
        <v>31</v>
      </c>
      <c r="J228" s="19" t="s">
        <v>569</v>
      </c>
      <c r="K228" s="19" t="s">
        <v>32</v>
      </c>
      <c r="L228" s="19" t="s">
        <v>561</v>
      </c>
      <c r="M228" s="19">
        <v>101.208996203257</v>
      </c>
      <c r="N228" s="19">
        <v>899</v>
      </c>
      <c r="O228" s="19">
        <v>0.126784517167619</v>
      </c>
      <c r="P228" s="19" t="s">
        <v>562</v>
      </c>
      <c r="Q228" s="19">
        <v>68.0205</v>
      </c>
      <c r="R228">
        <f t="shared" si="12"/>
        <v>8.99</v>
      </c>
      <c r="T228" s="15" t="s">
        <v>69</v>
      </c>
      <c r="U228" s="17"/>
      <c r="V228" s="16" t="str">
        <f t="shared" si="13"/>
        <v>EN_SPV_13_c03_DEU</v>
      </c>
      <c r="W228" s="12">
        <f t="shared" si="14"/>
        <v>899</v>
      </c>
      <c r="X228" s="11">
        <f t="shared" si="15"/>
        <v>899</v>
      </c>
      <c r="Y228" s="17">
        <v>3</v>
      </c>
      <c r="Z228" s="17"/>
      <c r="AC228" s="19" t="s">
        <v>569</v>
      </c>
    </row>
    <row r="229" spans="2:29">
      <c r="B229" s="19" t="s">
        <v>26</v>
      </c>
      <c r="C229" s="19" t="s">
        <v>571</v>
      </c>
      <c r="D229" s="19" t="s">
        <v>572</v>
      </c>
      <c r="E229" s="19" t="s">
        <v>29</v>
      </c>
      <c r="F229" s="19" t="s">
        <v>30</v>
      </c>
      <c r="G229" s="19" t="s">
        <v>31</v>
      </c>
      <c r="J229" s="19" t="s">
        <v>571</v>
      </c>
      <c r="K229" s="19" t="s">
        <v>32</v>
      </c>
      <c r="L229" s="19" t="s">
        <v>573</v>
      </c>
      <c r="M229" s="19">
        <v>0</v>
      </c>
      <c r="N229" s="19">
        <v>1420</v>
      </c>
      <c r="O229" s="19">
        <v>0.190215693566382</v>
      </c>
      <c r="P229" s="19" t="s">
        <v>574</v>
      </c>
      <c r="Q229" s="19">
        <v>12.1005</v>
      </c>
      <c r="R229">
        <f t="shared" si="12"/>
        <v>14.2</v>
      </c>
      <c r="T229" s="15" t="s">
        <v>54</v>
      </c>
      <c r="U229" s="17"/>
      <c r="V229" s="16" t="str">
        <f t="shared" si="13"/>
        <v>EN_SPV_19_c01_DJI</v>
      </c>
      <c r="W229" s="12">
        <f t="shared" si="14"/>
        <v>1420</v>
      </c>
      <c r="X229" s="11">
        <f t="shared" si="15"/>
        <v>1420</v>
      </c>
      <c r="Y229" s="17">
        <v>3</v>
      </c>
      <c r="Z229" s="17"/>
      <c r="AC229" s="19" t="s">
        <v>571</v>
      </c>
    </row>
    <row r="230" spans="2:29">
      <c r="B230" s="19" t="s">
        <v>26</v>
      </c>
      <c r="C230" s="19" t="s">
        <v>575</v>
      </c>
      <c r="D230" s="19" t="s">
        <v>576</v>
      </c>
      <c r="E230" s="19" t="s">
        <v>29</v>
      </c>
      <c r="F230" s="19" t="s">
        <v>30</v>
      </c>
      <c r="G230" s="19" t="s">
        <v>31</v>
      </c>
      <c r="J230" s="19" t="s">
        <v>575</v>
      </c>
      <c r="K230" s="19" t="s">
        <v>32</v>
      </c>
      <c r="L230" s="19" t="s">
        <v>573</v>
      </c>
      <c r="M230" s="19">
        <v>0</v>
      </c>
      <c r="N230" s="19">
        <v>1420</v>
      </c>
      <c r="O230" s="19">
        <v>0.195</v>
      </c>
      <c r="P230" s="19" t="s">
        <v>574</v>
      </c>
      <c r="Q230" s="19">
        <v>1.2045</v>
      </c>
      <c r="R230">
        <f t="shared" si="12"/>
        <v>14.2</v>
      </c>
      <c r="T230" s="15" t="s">
        <v>54</v>
      </c>
      <c r="U230" s="17"/>
      <c r="V230" s="16" t="str">
        <f t="shared" si="13"/>
        <v>EN_SPV_20_c01_DJI</v>
      </c>
      <c r="W230" s="12">
        <f t="shared" si="14"/>
        <v>1420</v>
      </c>
      <c r="X230" s="11">
        <f t="shared" si="15"/>
        <v>1420</v>
      </c>
      <c r="Y230" s="17">
        <v>3</v>
      </c>
      <c r="Z230" s="17"/>
      <c r="AC230" s="19" t="s">
        <v>575</v>
      </c>
    </row>
    <row r="231" spans="2:29">
      <c r="B231" s="19" t="s">
        <v>26</v>
      </c>
      <c r="C231" s="19" t="s">
        <v>577</v>
      </c>
      <c r="D231" s="19" t="s">
        <v>578</v>
      </c>
      <c r="E231" s="19" t="s">
        <v>29</v>
      </c>
      <c r="F231" s="19" t="s">
        <v>30</v>
      </c>
      <c r="G231" s="19" t="s">
        <v>31</v>
      </c>
      <c r="J231" s="19" t="s">
        <v>577</v>
      </c>
      <c r="K231" s="19" t="s">
        <v>32</v>
      </c>
      <c r="L231" s="19" t="s">
        <v>579</v>
      </c>
      <c r="M231" s="19">
        <v>101.208996203257</v>
      </c>
      <c r="N231" s="19">
        <v>1045</v>
      </c>
      <c r="O231" s="19">
        <v>0.110727515356281</v>
      </c>
      <c r="P231" s="19" t="s">
        <v>580</v>
      </c>
      <c r="Q231" s="19">
        <v>150.06075</v>
      </c>
      <c r="R231">
        <f t="shared" si="12"/>
        <v>10.45</v>
      </c>
      <c r="T231" s="15" t="s">
        <v>69</v>
      </c>
      <c r="U231" s="17"/>
      <c r="V231" s="16" t="str">
        <f t="shared" si="13"/>
        <v>EN_SPV_11_c03_DNK</v>
      </c>
      <c r="W231" s="12">
        <f t="shared" si="14"/>
        <v>1045</v>
      </c>
      <c r="X231" s="11">
        <f t="shared" si="15"/>
        <v>1045</v>
      </c>
      <c r="Y231" s="17">
        <v>3</v>
      </c>
      <c r="Z231" s="17"/>
      <c r="AC231" s="19" t="s">
        <v>577</v>
      </c>
    </row>
    <row r="232" spans="2:29">
      <c r="B232" s="19" t="s">
        <v>26</v>
      </c>
      <c r="C232" s="19" t="s">
        <v>581</v>
      </c>
      <c r="D232" s="19" t="s">
        <v>582</v>
      </c>
      <c r="E232" s="19" t="s">
        <v>29</v>
      </c>
      <c r="F232" s="19" t="s">
        <v>30</v>
      </c>
      <c r="G232" s="19" t="s">
        <v>31</v>
      </c>
      <c r="J232" s="19" t="s">
        <v>581</v>
      </c>
      <c r="K232" s="19" t="s">
        <v>32</v>
      </c>
      <c r="L232" s="19" t="s">
        <v>579</v>
      </c>
      <c r="M232" s="19">
        <v>88.9549921786477</v>
      </c>
      <c r="N232" s="19">
        <v>1045</v>
      </c>
      <c r="O232" s="19">
        <v>0.121</v>
      </c>
      <c r="P232" s="19" t="s">
        <v>580</v>
      </c>
      <c r="Q232" s="19">
        <v>1.935</v>
      </c>
      <c r="R232">
        <f t="shared" si="12"/>
        <v>10.45</v>
      </c>
      <c r="T232" s="15" t="s">
        <v>69</v>
      </c>
      <c r="U232" s="17"/>
      <c r="V232" s="16" t="str">
        <f t="shared" si="13"/>
        <v>EN_SPV_12_c02_DNK</v>
      </c>
      <c r="W232" s="12">
        <f t="shared" si="14"/>
        <v>1045</v>
      </c>
      <c r="X232" s="11">
        <f t="shared" si="15"/>
        <v>1045</v>
      </c>
      <c r="Y232" s="17">
        <v>3</v>
      </c>
      <c r="Z232" s="17"/>
      <c r="AC232" s="19" t="s">
        <v>581</v>
      </c>
    </row>
    <row r="233" spans="2:29">
      <c r="B233" s="19" t="s">
        <v>26</v>
      </c>
      <c r="C233" s="19" t="s">
        <v>583</v>
      </c>
      <c r="D233" s="19" t="s">
        <v>584</v>
      </c>
      <c r="E233" s="19" t="s">
        <v>29</v>
      </c>
      <c r="F233" s="19" t="s">
        <v>30</v>
      </c>
      <c r="G233" s="19" t="s">
        <v>31</v>
      </c>
      <c r="J233" s="19" t="s">
        <v>583</v>
      </c>
      <c r="K233" s="19" t="s">
        <v>32</v>
      </c>
      <c r="L233" s="19" t="s">
        <v>579</v>
      </c>
      <c r="M233" s="19">
        <v>101.208996203257</v>
      </c>
      <c r="N233" s="19">
        <v>1045</v>
      </c>
      <c r="O233" s="19">
        <v>0.116282164304943</v>
      </c>
      <c r="P233" s="19" t="s">
        <v>580</v>
      </c>
      <c r="Q233" s="19">
        <v>25.35225</v>
      </c>
      <c r="R233">
        <f t="shared" si="12"/>
        <v>10.45</v>
      </c>
      <c r="T233" s="15" t="s">
        <v>69</v>
      </c>
      <c r="U233" s="17"/>
      <c r="V233" s="16" t="str">
        <f t="shared" si="13"/>
        <v>EN_SPV_12_c03_DNK</v>
      </c>
      <c r="W233" s="12">
        <f t="shared" si="14"/>
        <v>1045</v>
      </c>
      <c r="X233" s="11">
        <f t="shared" si="15"/>
        <v>1045</v>
      </c>
      <c r="Y233" s="17">
        <v>3</v>
      </c>
      <c r="Z233" s="17"/>
      <c r="AC233" s="19" t="s">
        <v>583</v>
      </c>
    </row>
    <row r="234" spans="2:29">
      <c r="B234" s="19" t="s">
        <v>26</v>
      </c>
      <c r="C234" s="19" t="s">
        <v>585</v>
      </c>
      <c r="D234" s="19" t="s">
        <v>586</v>
      </c>
      <c r="E234" s="19" t="s">
        <v>29</v>
      </c>
      <c r="F234" s="19" t="s">
        <v>30</v>
      </c>
      <c r="G234" s="19" t="s">
        <v>31</v>
      </c>
      <c r="J234" s="19" t="s">
        <v>585</v>
      </c>
      <c r="K234" s="19" t="s">
        <v>32</v>
      </c>
      <c r="L234" s="19" t="s">
        <v>587</v>
      </c>
      <c r="M234" s="19">
        <v>0</v>
      </c>
      <c r="N234" s="19">
        <v>1734</v>
      </c>
      <c r="O234" s="19">
        <v>0.17184756097561</v>
      </c>
      <c r="P234" s="19" t="s">
        <v>588</v>
      </c>
      <c r="Q234" s="19">
        <v>1.968</v>
      </c>
      <c r="R234">
        <f t="shared" si="12"/>
        <v>17.34</v>
      </c>
      <c r="T234" s="15" t="s">
        <v>89</v>
      </c>
      <c r="U234" s="17"/>
      <c r="V234" s="16" t="str">
        <f t="shared" si="13"/>
        <v>EN_SPV_17_c01_DOM</v>
      </c>
      <c r="W234" s="12">
        <f t="shared" si="14"/>
        <v>1734</v>
      </c>
      <c r="X234" s="11">
        <f t="shared" si="15"/>
        <v>1734</v>
      </c>
      <c r="Y234" s="17">
        <v>3</v>
      </c>
      <c r="Z234" s="17"/>
      <c r="AC234" s="19" t="s">
        <v>585</v>
      </c>
    </row>
    <row r="235" spans="2:29">
      <c r="B235" s="19" t="s">
        <v>26</v>
      </c>
      <c r="C235" s="19" t="s">
        <v>589</v>
      </c>
      <c r="D235" s="19" t="s">
        <v>590</v>
      </c>
      <c r="E235" s="19" t="s">
        <v>29</v>
      </c>
      <c r="F235" s="19" t="s">
        <v>30</v>
      </c>
      <c r="G235" s="19" t="s">
        <v>31</v>
      </c>
      <c r="J235" s="19" t="s">
        <v>589</v>
      </c>
      <c r="K235" s="19" t="s">
        <v>32</v>
      </c>
      <c r="L235" s="19" t="s">
        <v>587</v>
      </c>
      <c r="M235" s="19">
        <v>88.9549921786477</v>
      </c>
      <c r="N235" s="19">
        <v>1734</v>
      </c>
      <c r="O235" s="19">
        <v>0.171</v>
      </c>
      <c r="P235" s="19" t="s">
        <v>588</v>
      </c>
      <c r="Q235" s="19">
        <v>0.78975</v>
      </c>
      <c r="R235">
        <f t="shared" si="12"/>
        <v>17.34</v>
      </c>
      <c r="T235" s="15" t="s">
        <v>89</v>
      </c>
      <c r="U235" s="17"/>
      <c r="V235" s="16" t="str">
        <f t="shared" si="13"/>
        <v>EN_SPV_17_c02_DOM</v>
      </c>
      <c r="W235" s="12">
        <f t="shared" si="14"/>
        <v>1734</v>
      </c>
      <c r="X235" s="11">
        <f t="shared" si="15"/>
        <v>1734</v>
      </c>
      <c r="Y235" s="17">
        <v>3</v>
      </c>
      <c r="Z235" s="17"/>
      <c r="AC235" s="19" t="s">
        <v>589</v>
      </c>
    </row>
    <row r="236" spans="2:29">
      <c r="B236" s="19" t="s">
        <v>26</v>
      </c>
      <c r="C236" s="19" t="s">
        <v>591</v>
      </c>
      <c r="D236" s="19" t="s">
        <v>592</v>
      </c>
      <c r="E236" s="19" t="s">
        <v>29</v>
      </c>
      <c r="F236" s="19" t="s">
        <v>30</v>
      </c>
      <c r="G236" s="19" t="s">
        <v>31</v>
      </c>
      <c r="J236" s="19" t="s">
        <v>591</v>
      </c>
      <c r="K236" s="19" t="s">
        <v>32</v>
      </c>
      <c r="L236" s="19" t="s">
        <v>587</v>
      </c>
      <c r="M236" s="19">
        <v>0</v>
      </c>
      <c r="N236" s="19">
        <v>1734</v>
      </c>
      <c r="O236" s="19">
        <v>0.180763392857143</v>
      </c>
      <c r="P236" s="19" t="s">
        <v>588</v>
      </c>
      <c r="Q236" s="19">
        <v>3.696</v>
      </c>
      <c r="R236">
        <f t="shared" si="12"/>
        <v>17.34</v>
      </c>
      <c r="T236" s="15" t="s">
        <v>89</v>
      </c>
      <c r="U236" s="17"/>
      <c r="V236" s="16" t="str">
        <f t="shared" si="13"/>
        <v>EN_SPV_18_c01_DOM</v>
      </c>
      <c r="W236" s="12">
        <f t="shared" si="14"/>
        <v>1734</v>
      </c>
      <c r="X236" s="11">
        <f t="shared" si="15"/>
        <v>1734</v>
      </c>
      <c r="Y236" s="17">
        <v>3</v>
      </c>
      <c r="Z236" s="17"/>
      <c r="AC236" s="19" t="s">
        <v>591</v>
      </c>
    </row>
    <row r="237" spans="2:29">
      <c r="B237" s="19" t="s">
        <v>26</v>
      </c>
      <c r="C237" s="19" t="s">
        <v>593</v>
      </c>
      <c r="D237" s="19" t="s">
        <v>594</v>
      </c>
      <c r="E237" s="19" t="s">
        <v>29</v>
      </c>
      <c r="F237" s="19" t="s">
        <v>30</v>
      </c>
      <c r="G237" s="19" t="s">
        <v>31</v>
      </c>
      <c r="J237" s="19" t="s">
        <v>593</v>
      </c>
      <c r="K237" s="19" t="s">
        <v>32</v>
      </c>
      <c r="L237" s="19" t="s">
        <v>587</v>
      </c>
      <c r="M237" s="19">
        <v>0</v>
      </c>
      <c r="N237" s="19">
        <v>1734</v>
      </c>
      <c r="O237" s="19">
        <v>0.190777202072539</v>
      </c>
      <c r="P237" s="19" t="s">
        <v>588</v>
      </c>
      <c r="Q237" s="19">
        <v>2.75025</v>
      </c>
      <c r="R237">
        <f t="shared" si="12"/>
        <v>17.34</v>
      </c>
      <c r="T237" s="15" t="s">
        <v>89</v>
      </c>
      <c r="U237" s="17"/>
      <c r="V237" s="16" t="str">
        <f t="shared" si="13"/>
        <v>EN_SPV_19_c01_DOM</v>
      </c>
      <c r="W237" s="12">
        <f t="shared" si="14"/>
        <v>1734</v>
      </c>
      <c r="X237" s="11">
        <f t="shared" si="15"/>
        <v>1734</v>
      </c>
      <c r="Y237" s="17">
        <v>3</v>
      </c>
      <c r="Z237" s="17"/>
      <c r="AC237" s="19" t="s">
        <v>593</v>
      </c>
    </row>
    <row r="238" spans="2:29">
      <c r="B238" s="19" t="s">
        <v>26</v>
      </c>
      <c r="C238" s="19" t="s">
        <v>595</v>
      </c>
      <c r="D238" s="19" t="s">
        <v>596</v>
      </c>
      <c r="E238" s="19" t="s">
        <v>29</v>
      </c>
      <c r="F238" s="19" t="s">
        <v>30</v>
      </c>
      <c r="G238" s="19" t="s">
        <v>31</v>
      </c>
      <c r="J238" s="19" t="s">
        <v>595</v>
      </c>
      <c r="K238" s="19" t="s">
        <v>32</v>
      </c>
      <c r="L238" s="19" t="s">
        <v>587</v>
      </c>
      <c r="M238" s="19">
        <v>0</v>
      </c>
      <c r="N238" s="19">
        <v>1734</v>
      </c>
      <c r="O238" s="19">
        <v>0.195653883972468</v>
      </c>
      <c r="P238" s="19" t="s">
        <v>588</v>
      </c>
      <c r="Q238" s="19">
        <v>0.76275</v>
      </c>
      <c r="R238">
        <f t="shared" si="12"/>
        <v>17.34</v>
      </c>
      <c r="T238" s="15" t="s">
        <v>89</v>
      </c>
      <c r="U238" s="17"/>
      <c r="V238" s="16" t="str">
        <f t="shared" si="13"/>
        <v>EN_SPV_20_c01_DOM</v>
      </c>
      <c r="W238" s="12">
        <f t="shared" si="14"/>
        <v>1734</v>
      </c>
      <c r="X238" s="11">
        <f t="shared" si="15"/>
        <v>1734</v>
      </c>
      <c r="Y238" s="17">
        <v>3</v>
      </c>
      <c r="Z238" s="17"/>
      <c r="AC238" s="19" t="s">
        <v>595</v>
      </c>
    </row>
    <row r="239" spans="2:29">
      <c r="B239" s="19" t="s">
        <v>26</v>
      </c>
      <c r="C239" s="19" t="s">
        <v>597</v>
      </c>
      <c r="D239" s="19" t="s">
        <v>598</v>
      </c>
      <c r="E239" s="19" t="s">
        <v>29</v>
      </c>
      <c r="F239" s="19" t="s">
        <v>30</v>
      </c>
      <c r="G239" s="19" t="s">
        <v>31</v>
      </c>
      <c r="J239" s="19" t="s">
        <v>597</v>
      </c>
      <c r="K239" s="19" t="s">
        <v>32</v>
      </c>
      <c r="L239" s="19" t="s">
        <v>599</v>
      </c>
      <c r="M239" s="19">
        <v>138.878712278909</v>
      </c>
      <c r="N239" s="19">
        <v>1308</v>
      </c>
      <c r="O239" s="19">
        <v>0.207816154172117</v>
      </c>
      <c r="P239" s="19" t="s">
        <v>600</v>
      </c>
      <c r="Q239" s="19">
        <v>1017.69375</v>
      </c>
      <c r="R239">
        <f t="shared" si="12"/>
        <v>13.08</v>
      </c>
      <c r="T239" s="15" t="s">
        <v>80</v>
      </c>
      <c r="U239" s="17"/>
      <c r="V239" s="16" t="str">
        <f t="shared" si="13"/>
        <v>EN_SPV_21_c04_DZA</v>
      </c>
      <c r="W239" s="12">
        <f t="shared" si="14"/>
        <v>1308</v>
      </c>
      <c r="X239" s="11">
        <f t="shared" si="15"/>
        <v>1308</v>
      </c>
      <c r="Y239" s="17">
        <v>3</v>
      </c>
      <c r="Z239" s="17"/>
      <c r="AC239" s="19" t="s">
        <v>597</v>
      </c>
    </row>
    <row r="240" spans="2:29">
      <c r="B240" s="19" t="s">
        <v>26</v>
      </c>
      <c r="C240" s="19" t="s">
        <v>601</v>
      </c>
      <c r="D240" s="19" t="s">
        <v>602</v>
      </c>
      <c r="E240" s="19" t="s">
        <v>29</v>
      </c>
      <c r="F240" s="19" t="s">
        <v>30</v>
      </c>
      <c r="G240" s="19" t="s">
        <v>31</v>
      </c>
      <c r="J240" s="19" t="s">
        <v>601</v>
      </c>
      <c r="K240" s="19" t="s">
        <v>32</v>
      </c>
      <c r="L240" s="19" t="s">
        <v>599</v>
      </c>
      <c r="M240" s="19">
        <v>0</v>
      </c>
      <c r="N240" s="19">
        <v>1308</v>
      </c>
      <c r="O240" s="19">
        <v>0.216377609496521</v>
      </c>
      <c r="P240" s="19" t="s">
        <v>600</v>
      </c>
      <c r="Q240" s="19">
        <v>14.658</v>
      </c>
      <c r="R240">
        <f t="shared" si="12"/>
        <v>13.08</v>
      </c>
      <c r="T240" s="15" t="s">
        <v>80</v>
      </c>
      <c r="U240" s="17"/>
      <c r="V240" s="16" t="str">
        <f t="shared" si="13"/>
        <v>EN_SPV_22_c01_DZA</v>
      </c>
      <c r="W240" s="12">
        <f t="shared" si="14"/>
        <v>1308</v>
      </c>
      <c r="X240" s="11">
        <f t="shared" si="15"/>
        <v>1308</v>
      </c>
      <c r="Y240" s="17">
        <v>3</v>
      </c>
      <c r="Z240" s="17"/>
      <c r="AC240" s="19" t="s">
        <v>601</v>
      </c>
    </row>
    <row r="241" spans="2:29">
      <c r="B241" s="19" t="s">
        <v>26</v>
      </c>
      <c r="C241" s="19" t="s">
        <v>603</v>
      </c>
      <c r="D241" s="19" t="s">
        <v>604</v>
      </c>
      <c r="E241" s="19" t="s">
        <v>29</v>
      </c>
      <c r="F241" s="19" t="s">
        <v>30</v>
      </c>
      <c r="G241" s="19" t="s">
        <v>31</v>
      </c>
      <c r="J241" s="19" t="s">
        <v>603</v>
      </c>
      <c r="K241" s="19" t="s">
        <v>32</v>
      </c>
      <c r="L241" s="19" t="s">
        <v>599</v>
      </c>
      <c r="M241" s="19">
        <v>88.9549921786477</v>
      </c>
      <c r="N241" s="19">
        <v>1308</v>
      </c>
      <c r="O241" s="19">
        <v>0.216</v>
      </c>
      <c r="P241" s="19" t="s">
        <v>600</v>
      </c>
      <c r="Q241" s="19">
        <v>9.07125</v>
      </c>
      <c r="R241">
        <f t="shared" si="12"/>
        <v>13.08</v>
      </c>
      <c r="T241" s="15" t="s">
        <v>80</v>
      </c>
      <c r="U241" s="17"/>
      <c r="V241" s="16" t="str">
        <f t="shared" si="13"/>
        <v>EN_SPV_22_c02_DZA</v>
      </c>
      <c r="W241" s="12">
        <f t="shared" si="14"/>
        <v>1308</v>
      </c>
      <c r="X241" s="11">
        <f t="shared" si="15"/>
        <v>1308</v>
      </c>
      <c r="Y241" s="17">
        <v>3</v>
      </c>
      <c r="Z241" s="17"/>
      <c r="AC241" s="19" t="s">
        <v>603</v>
      </c>
    </row>
    <row r="242" spans="2:29">
      <c r="B242" s="19" t="s">
        <v>26</v>
      </c>
      <c r="C242" s="19" t="s">
        <v>605</v>
      </c>
      <c r="D242" s="19" t="s">
        <v>606</v>
      </c>
      <c r="E242" s="19" t="s">
        <v>29</v>
      </c>
      <c r="F242" s="19" t="s">
        <v>30</v>
      </c>
      <c r="G242" s="19" t="s">
        <v>31</v>
      </c>
      <c r="J242" s="19" t="s">
        <v>605</v>
      </c>
      <c r="K242" s="19" t="s">
        <v>32</v>
      </c>
      <c r="L242" s="19" t="s">
        <v>599</v>
      </c>
      <c r="M242" s="19">
        <v>101.208996203257</v>
      </c>
      <c r="N242" s="19">
        <v>1308</v>
      </c>
      <c r="O242" s="19">
        <v>0.215775339961147</v>
      </c>
      <c r="P242" s="19" t="s">
        <v>600</v>
      </c>
      <c r="Q242" s="19">
        <v>19.68975</v>
      </c>
      <c r="R242">
        <f t="shared" si="12"/>
        <v>13.08</v>
      </c>
      <c r="T242" s="15" t="s">
        <v>80</v>
      </c>
      <c r="U242" s="17"/>
      <c r="V242" s="16" t="str">
        <f t="shared" si="13"/>
        <v>EN_SPV_22_c03_DZA</v>
      </c>
      <c r="W242" s="12">
        <f t="shared" si="14"/>
        <v>1308</v>
      </c>
      <c r="X242" s="11">
        <f t="shared" si="15"/>
        <v>1308</v>
      </c>
      <c r="Y242" s="17">
        <v>3</v>
      </c>
      <c r="Z242" s="17"/>
      <c r="AC242" s="19" t="s">
        <v>605</v>
      </c>
    </row>
    <row r="243" spans="2:29">
      <c r="B243" s="19" t="s">
        <v>26</v>
      </c>
      <c r="C243" s="19" t="s">
        <v>607</v>
      </c>
      <c r="D243" s="19" t="s">
        <v>608</v>
      </c>
      <c r="E243" s="19" t="s">
        <v>29</v>
      </c>
      <c r="F243" s="19" t="s">
        <v>30</v>
      </c>
      <c r="G243" s="19" t="s">
        <v>31</v>
      </c>
      <c r="J243" s="19" t="s">
        <v>607</v>
      </c>
      <c r="K243" s="19" t="s">
        <v>32</v>
      </c>
      <c r="L243" s="19" t="s">
        <v>599</v>
      </c>
      <c r="M243" s="19">
        <v>138.878712278909</v>
      </c>
      <c r="N243" s="19">
        <v>1308</v>
      </c>
      <c r="O243" s="19">
        <v>0.216</v>
      </c>
      <c r="P243" s="19" t="s">
        <v>600</v>
      </c>
      <c r="Q243" s="19">
        <v>9.15975</v>
      </c>
      <c r="R243">
        <f t="shared" si="12"/>
        <v>13.08</v>
      </c>
      <c r="T243" s="15" t="s">
        <v>80</v>
      </c>
      <c r="U243" s="17"/>
      <c r="V243" s="16" t="str">
        <f t="shared" si="13"/>
        <v>EN_SPV_22_c04_DZA</v>
      </c>
      <c r="W243" s="12">
        <f t="shared" si="14"/>
        <v>1308</v>
      </c>
      <c r="X243" s="11">
        <f t="shared" si="15"/>
        <v>1308</v>
      </c>
      <c r="Y243" s="17">
        <v>3</v>
      </c>
      <c r="Z243" s="17"/>
      <c r="AC243" s="19" t="s">
        <v>607</v>
      </c>
    </row>
    <row r="244" spans="2:29">
      <c r="B244" s="19" t="s">
        <v>26</v>
      </c>
      <c r="C244" s="19" t="s">
        <v>609</v>
      </c>
      <c r="D244" s="19" t="s">
        <v>610</v>
      </c>
      <c r="E244" s="19" t="s">
        <v>29</v>
      </c>
      <c r="F244" s="19" t="s">
        <v>30</v>
      </c>
      <c r="G244" s="19" t="s">
        <v>31</v>
      </c>
      <c r="J244" s="19" t="s">
        <v>609</v>
      </c>
      <c r="K244" s="19" t="s">
        <v>32</v>
      </c>
      <c r="L244" s="19" t="s">
        <v>611</v>
      </c>
      <c r="M244" s="19">
        <v>101.208996203257</v>
      </c>
      <c r="N244" s="19">
        <v>1344</v>
      </c>
      <c r="O244" s="19">
        <v>0.113186800894855</v>
      </c>
      <c r="P244" s="19" t="s">
        <v>612</v>
      </c>
      <c r="Q244" s="19">
        <v>0.6705</v>
      </c>
      <c r="R244">
        <f t="shared" si="12"/>
        <v>13.44</v>
      </c>
      <c r="T244" s="15" t="s">
        <v>89</v>
      </c>
      <c r="U244" s="17"/>
      <c r="V244" s="16" t="str">
        <f t="shared" si="13"/>
        <v>EN_SPV_11_c03_ECU</v>
      </c>
      <c r="W244" s="12">
        <f t="shared" si="14"/>
        <v>1344</v>
      </c>
      <c r="X244" s="11">
        <f t="shared" si="15"/>
        <v>1344</v>
      </c>
      <c r="Y244" s="17">
        <v>3</v>
      </c>
      <c r="Z244" s="17"/>
      <c r="AC244" s="19" t="s">
        <v>609</v>
      </c>
    </row>
    <row r="245" spans="2:29">
      <c r="B245" s="19" t="s">
        <v>26</v>
      </c>
      <c r="C245" s="19" t="s">
        <v>613</v>
      </c>
      <c r="D245" s="19" t="s">
        <v>614</v>
      </c>
      <c r="E245" s="19" t="s">
        <v>29</v>
      </c>
      <c r="F245" s="19" t="s">
        <v>30</v>
      </c>
      <c r="G245" s="19" t="s">
        <v>31</v>
      </c>
      <c r="J245" s="19" t="s">
        <v>613</v>
      </c>
      <c r="K245" s="19" t="s">
        <v>32</v>
      </c>
      <c r="L245" s="19" t="s">
        <v>611</v>
      </c>
      <c r="M245" s="19">
        <v>101.208996203257</v>
      </c>
      <c r="N245" s="19">
        <v>1344</v>
      </c>
      <c r="O245" s="19">
        <v>0.120126735063368</v>
      </c>
      <c r="P245" s="19" t="s">
        <v>612</v>
      </c>
      <c r="Q245" s="19">
        <v>2.4855</v>
      </c>
      <c r="R245">
        <f t="shared" si="12"/>
        <v>13.44</v>
      </c>
      <c r="T245" s="15" t="s">
        <v>89</v>
      </c>
      <c r="U245" s="17"/>
      <c r="V245" s="16" t="str">
        <f t="shared" si="13"/>
        <v>EN_SPV_12_c03_ECU</v>
      </c>
      <c r="W245" s="12">
        <f t="shared" si="14"/>
        <v>1344</v>
      </c>
      <c r="X245" s="11">
        <f t="shared" si="15"/>
        <v>1344</v>
      </c>
      <c r="Y245" s="17">
        <v>3</v>
      </c>
      <c r="Z245" s="17"/>
      <c r="AC245" s="19" t="s">
        <v>613</v>
      </c>
    </row>
    <row r="246" spans="2:29">
      <c r="B246" s="19" t="s">
        <v>26</v>
      </c>
      <c r="C246" s="19" t="s">
        <v>615</v>
      </c>
      <c r="D246" s="19" t="s">
        <v>616</v>
      </c>
      <c r="E246" s="19" t="s">
        <v>29</v>
      </c>
      <c r="F246" s="19" t="s">
        <v>30</v>
      </c>
      <c r="G246" s="19" t="s">
        <v>31</v>
      </c>
      <c r="J246" s="19" t="s">
        <v>615</v>
      </c>
      <c r="K246" s="19" t="s">
        <v>32</v>
      </c>
      <c r="L246" s="19" t="s">
        <v>611</v>
      </c>
      <c r="M246" s="19">
        <v>88.9549921786477</v>
      </c>
      <c r="N246" s="19">
        <v>1344</v>
      </c>
      <c r="O246" s="19">
        <v>0.132719587628866</v>
      </c>
      <c r="P246" s="19" t="s">
        <v>612</v>
      </c>
      <c r="Q246" s="19">
        <v>0.36375</v>
      </c>
      <c r="R246">
        <f t="shared" si="12"/>
        <v>13.44</v>
      </c>
      <c r="T246" s="15" t="s">
        <v>89</v>
      </c>
      <c r="U246" s="17"/>
      <c r="V246" s="16" t="str">
        <f t="shared" si="13"/>
        <v>EN_SPV_13_c02_ECU</v>
      </c>
      <c r="W246" s="12">
        <f t="shared" si="14"/>
        <v>1344</v>
      </c>
      <c r="X246" s="11">
        <f t="shared" si="15"/>
        <v>1344</v>
      </c>
      <c r="Y246" s="17">
        <v>3</v>
      </c>
      <c r="Z246" s="17"/>
      <c r="AC246" s="19" t="s">
        <v>615</v>
      </c>
    </row>
    <row r="247" spans="2:29">
      <c r="B247" s="19" t="s">
        <v>26</v>
      </c>
      <c r="C247" s="19" t="s">
        <v>617</v>
      </c>
      <c r="D247" s="19" t="s">
        <v>618</v>
      </c>
      <c r="E247" s="19" t="s">
        <v>29</v>
      </c>
      <c r="F247" s="19" t="s">
        <v>30</v>
      </c>
      <c r="G247" s="19" t="s">
        <v>31</v>
      </c>
      <c r="J247" s="19" t="s">
        <v>617</v>
      </c>
      <c r="K247" s="19" t="s">
        <v>32</v>
      </c>
      <c r="L247" s="19" t="s">
        <v>611</v>
      </c>
      <c r="M247" s="19">
        <v>101.208996203257</v>
      </c>
      <c r="N247" s="19">
        <v>1344</v>
      </c>
      <c r="O247" s="19">
        <v>0.127310444524756</v>
      </c>
      <c r="P247" s="19" t="s">
        <v>612</v>
      </c>
      <c r="Q247" s="19">
        <v>2.07525</v>
      </c>
      <c r="R247">
        <f t="shared" si="12"/>
        <v>13.44</v>
      </c>
      <c r="T247" s="15" t="s">
        <v>89</v>
      </c>
      <c r="U247" s="17"/>
      <c r="V247" s="16" t="str">
        <f t="shared" si="13"/>
        <v>EN_SPV_13_c03_ECU</v>
      </c>
      <c r="W247" s="12">
        <f t="shared" si="14"/>
        <v>1344</v>
      </c>
      <c r="X247" s="11">
        <f t="shared" si="15"/>
        <v>1344</v>
      </c>
      <c r="Y247" s="17">
        <v>3</v>
      </c>
      <c r="Z247" s="17"/>
      <c r="AC247" s="19" t="s">
        <v>617</v>
      </c>
    </row>
    <row r="248" spans="2:29">
      <c r="B248" s="19" t="s">
        <v>26</v>
      </c>
      <c r="C248" s="19" t="s">
        <v>619</v>
      </c>
      <c r="D248" s="19" t="s">
        <v>620</v>
      </c>
      <c r="E248" s="19" t="s">
        <v>29</v>
      </c>
      <c r="F248" s="19" t="s">
        <v>30</v>
      </c>
      <c r="G248" s="19" t="s">
        <v>31</v>
      </c>
      <c r="J248" s="19" t="s">
        <v>619</v>
      </c>
      <c r="K248" s="19" t="s">
        <v>32</v>
      </c>
      <c r="L248" s="19" t="s">
        <v>611</v>
      </c>
      <c r="M248" s="19">
        <v>88.9549921786477</v>
      </c>
      <c r="N248" s="19">
        <v>1344</v>
      </c>
      <c r="O248" s="19">
        <v>0.140293642927934</v>
      </c>
      <c r="P248" s="19" t="s">
        <v>612</v>
      </c>
      <c r="Q248" s="19">
        <v>5.29725</v>
      </c>
      <c r="R248">
        <f t="shared" si="12"/>
        <v>13.44</v>
      </c>
      <c r="T248" s="15" t="s">
        <v>89</v>
      </c>
      <c r="U248" s="17"/>
      <c r="V248" s="16" t="str">
        <f t="shared" si="13"/>
        <v>EN_SPV_14_c02_ECU</v>
      </c>
      <c r="W248" s="12">
        <f t="shared" si="14"/>
        <v>1344</v>
      </c>
      <c r="X248" s="11">
        <f t="shared" si="15"/>
        <v>1344</v>
      </c>
      <c r="Y248" s="17">
        <v>3</v>
      </c>
      <c r="Z248" s="17"/>
      <c r="AC248" s="19" t="s">
        <v>619</v>
      </c>
    </row>
    <row r="249" spans="2:29">
      <c r="B249" s="19" t="s">
        <v>26</v>
      </c>
      <c r="C249" s="19" t="s">
        <v>621</v>
      </c>
      <c r="D249" s="19" t="s">
        <v>622</v>
      </c>
      <c r="E249" s="19" t="s">
        <v>29</v>
      </c>
      <c r="F249" s="19" t="s">
        <v>30</v>
      </c>
      <c r="G249" s="19" t="s">
        <v>31</v>
      </c>
      <c r="J249" s="19" t="s">
        <v>621</v>
      </c>
      <c r="K249" s="19" t="s">
        <v>32</v>
      </c>
      <c r="L249" s="19" t="s">
        <v>611</v>
      </c>
      <c r="M249" s="19">
        <v>101.208996203257</v>
      </c>
      <c r="N249" s="19">
        <v>1344</v>
      </c>
      <c r="O249" s="19">
        <v>0.142996904024768</v>
      </c>
      <c r="P249" s="19" t="s">
        <v>612</v>
      </c>
      <c r="Q249" s="19">
        <v>0.24225</v>
      </c>
      <c r="R249">
        <f t="shared" si="12"/>
        <v>13.44</v>
      </c>
      <c r="T249" s="15" t="s">
        <v>89</v>
      </c>
      <c r="U249" s="17"/>
      <c r="V249" s="16" t="str">
        <f t="shared" si="13"/>
        <v>EN_SPV_14_c03_ECU</v>
      </c>
      <c r="W249" s="12">
        <f t="shared" si="14"/>
        <v>1344</v>
      </c>
      <c r="X249" s="11">
        <f t="shared" si="15"/>
        <v>1344</v>
      </c>
      <c r="Y249" s="17">
        <v>3</v>
      </c>
      <c r="Z249" s="17"/>
      <c r="AC249" s="19" t="s">
        <v>621</v>
      </c>
    </row>
    <row r="250" spans="2:29">
      <c r="B250" s="19" t="s">
        <v>26</v>
      </c>
      <c r="C250" s="19" t="s">
        <v>623</v>
      </c>
      <c r="D250" s="19" t="s">
        <v>624</v>
      </c>
      <c r="E250" s="19" t="s">
        <v>29</v>
      </c>
      <c r="F250" s="19" t="s">
        <v>30</v>
      </c>
      <c r="G250" s="19" t="s">
        <v>31</v>
      </c>
      <c r="J250" s="19" t="s">
        <v>623</v>
      </c>
      <c r="K250" s="19" t="s">
        <v>32</v>
      </c>
      <c r="L250" s="19" t="s">
        <v>611</v>
      </c>
      <c r="M250" s="19">
        <v>88.9549921786477</v>
      </c>
      <c r="N250" s="19">
        <v>1344</v>
      </c>
      <c r="O250" s="19">
        <v>0.152203020134228</v>
      </c>
      <c r="P250" s="19" t="s">
        <v>612</v>
      </c>
      <c r="Q250" s="19">
        <v>0.447</v>
      </c>
      <c r="R250">
        <f t="shared" si="12"/>
        <v>13.44</v>
      </c>
      <c r="T250" s="15" t="s">
        <v>89</v>
      </c>
      <c r="U250" s="17"/>
      <c r="V250" s="16" t="str">
        <f t="shared" si="13"/>
        <v>EN_SPV_15_c02_ECU</v>
      </c>
      <c r="W250" s="12">
        <f t="shared" si="14"/>
        <v>1344</v>
      </c>
      <c r="X250" s="11">
        <f t="shared" si="15"/>
        <v>1344</v>
      </c>
      <c r="Y250" s="17">
        <v>3</v>
      </c>
      <c r="Z250" s="17"/>
      <c r="AC250" s="19" t="s">
        <v>623</v>
      </c>
    </row>
    <row r="251" spans="2:29">
      <c r="B251" s="19" t="s">
        <v>26</v>
      </c>
      <c r="C251" s="19" t="s">
        <v>625</v>
      </c>
      <c r="D251" s="19" t="s">
        <v>626</v>
      </c>
      <c r="E251" s="19" t="s">
        <v>29</v>
      </c>
      <c r="F251" s="19" t="s">
        <v>30</v>
      </c>
      <c r="G251" s="19" t="s">
        <v>31</v>
      </c>
      <c r="J251" s="19" t="s">
        <v>625</v>
      </c>
      <c r="K251" s="19" t="s">
        <v>32</v>
      </c>
      <c r="L251" s="19" t="s">
        <v>611</v>
      </c>
      <c r="M251" s="19">
        <v>0</v>
      </c>
      <c r="N251" s="19">
        <v>1344</v>
      </c>
      <c r="O251" s="19">
        <v>0.161101449275362</v>
      </c>
      <c r="P251" s="19" t="s">
        <v>612</v>
      </c>
      <c r="Q251" s="19">
        <v>0.3105</v>
      </c>
      <c r="R251">
        <f t="shared" si="12"/>
        <v>13.44</v>
      </c>
      <c r="T251" s="15" t="s">
        <v>89</v>
      </c>
      <c r="U251" s="17"/>
      <c r="V251" s="16" t="str">
        <f t="shared" si="13"/>
        <v>EN_SPV_16_c01_ECU</v>
      </c>
      <c r="W251" s="12">
        <f t="shared" si="14"/>
        <v>1344</v>
      </c>
      <c r="X251" s="11">
        <f t="shared" si="15"/>
        <v>1344</v>
      </c>
      <c r="Y251" s="17">
        <v>3</v>
      </c>
      <c r="Z251" s="17"/>
      <c r="AC251" s="19" t="s">
        <v>625</v>
      </c>
    </row>
    <row r="252" spans="2:29">
      <c r="B252" s="19" t="s">
        <v>26</v>
      </c>
      <c r="C252" s="19" t="s">
        <v>627</v>
      </c>
      <c r="D252" s="19" t="s">
        <v>628</v>
      </c>
      <c r="E252" s="19" t="s">
        <v>29</v>
      </c>
      <c r="F252" s="19" t="s">
        <v>30</v>
      </c>
      <c r="G252" s="19" t="s">
        <v>31</v>
      </c>
      <c r="J252" s="19" t="s">
        <v>627</v>
      </c>
      <c r="K252" s="19" t="s">
        <v>32</v>
      </c>
      <c r="L252" s="19" t="s">
        <v>611</v>
      </c>
      <c r="M252" s="19">
        <v>88.9549921786477</v>
      </c>
      <c r="N252" s="19">
        <v>1344</v>
      </c>
      <c r="O252" s="19">
        <v>0.156</v>
      </c>
      <c r="P252" s="19" t="s">
        <v>612</v>
      </c>
      <c r="Q252" s="19">
        <v>0.351</v>
      </c>
      <c r="R252">
        <f t="shared" si="12"/>
        <v>13.44</v>
      </c>
      <c r="T252" s="15" t="s">
        <v>89</v>
      </c>
      <c r="U252" s="17"/>
      <c r="V252" s="16" t="str">
        <f t="shared" si="13"/>
        <v>EN_SPV_16_c02_ECU</v>
      </c>
      <c r="W252" s="12">
        <f t="shared" si="14"/>
        <v>1344</v>
      </c>
      <c r="X252" s="11">
        <f t="shared" si="15"/>
        <v>1344</v>
      </c>
      <c r="Y252" s="17">
        <v>3</v>
      </c>
      <c r="Z252" s="17"/>
      <c r="AC252" s="19" t="s">
        <v>627</v>
      </c>
    </row>
    <row r="253" spans="2:29">
      <c r="B253" s="19" t="s">
        <v>26</v>
      </c>
      <c r="C253" s="19" t="s">
        <v>629</v>
      </c>
      <c r="D253" s="19" t="s">
        <v>630</v>
      </c>
      <c r="E253" s="19" t="s">
        <v>29</v>
      </c>
      <c r="F253" s="19" t="s">
        <v>30</v>
      </c>
      <c r="G253" s="19" t="s">
        <v>31</v>
      </c>
      <c r="J253" s="19" t="s">
        <v>629</v>
      </c>
      <c r="K253" s="19" t="s">
        <v>32</v>
      </c>
      <c r="L253" s="19" t="s">
        <v>611</v>
      </c>
      <c r="M253" s="19">
        <v>0</v>
      </c>
      <c r="N253" s="19">
        <v>1344</v>
      </c>
      <c r="O253" s="19">
        <v>0.178839237057221</v>
      </c>
      <c r="P253" s="19" t="s">
        <v>612</v>
      </c>
      <c r="Q253" s="19">
        <v>0.27525</v>
      </c>
      <c r="R253">
        <f t="shared" si="12"/>
        <v>13.44</v>
      </c>
      <c r="T253" s="15" t="s">
        <v>89</v>
      </c>
      <c r="U253" s="17"/>
      <c r="V253" s="16" t="str">
        <f t="shared" si="13"/>
        <v>EN_SPV_18_c01_ECU</v>
      </c>
      <c r="W253" s="12">
        <f t="shared" si="14"/>
        <v>1344</v>
      </c>
      <c r="X253" s="11">
        <f t="shared" si="15"/>
        <v>1344</v>
      </c>
      <c r="Y253" s="17">
        <v>3</v>
      </c>
      <c r="Z253" s="17"/>
      <c r="AC253" s="19" t="s">
        <v>629</v>
      </c>
    </row>
    <row r="254" spans="2:29">
      <c r="B254" s="19" t="s">
        <v>26</v>
      </c>
      <c r="C254" s="19" t="s">
        <v>631</v>
      </c>
      <c r="D254" s="19" t="s">
        <v>632</v>
      </c>
      <c r="E254" s="19" t="s">
        <v>29</v>
      </c>
      <c r="F254" s="19" t="s">
        <v>30</v>
      </c>
      <c r="G254" s="19" t="s">
        <v>31</v>
      </c>
      <c r="J254" s="19" t="s">
        <v>631</v>
      </c>
      <c r="K254" s="19" t="s">
        <v>32</v>
      </c>
      <c r="L254" s="19" t="s">
        <v>633</v>
      </c>
      <c r="M254" s="19">
        <v>101.208996203257</v>
      </c>
      <c r="N254" s="19">
        <v>1301</v>
      </c>
      <c r="O254" s="19">
        <v>0.210998921947257</v>
      </c>
      <c r="P254" s="19" t="s">
        <v>634</v>
      </c>
      <c r="Q254" s="19">
        <v>434.81175</v>
      </c>
      <c r="R254">
        <f t="shared" si="12"/>
        <v>13.01</v>
      </c>
      <c r="T254" s="15" t="s">
        <v>80</v>
      </c>
      <c r="U254" s="17"/>
      <c r="V254" s="16" t="str">
        <f t="shared" si="13"/>
        <v>EN_SPV_21_c03_EGY</v>
      </c>
      <c r="W254" s="12">
        <f t="shared" si="14"/>
        <v>1301</v>
      </c>
      <c r="X254" s="11">
        <f t="shared" si="15"/>
        <v>1301</v>
      </c>
      <c r="Y254" s="17">
        <v>3</v>
      </c>
      <c r="Z254" s="17"/>
      <c r="AC254" s="19" t="s">
        <v>631</v>
      </c>
    </row>
    <row r="255" spans="2:29">
      <c r="B255" s="19" t="s">
        <v>26</v>
      </c>
      <c r="C255" s="19" t="s">
        <v>635</v>
      </c>
      <c r="D255" s="19" t="s">
        <v>636</v>
      </c>
      <c r="E255" s="19" t="s">
        <v>29</v>
      </c>
      <c r="F255" s="19" t="s">
        <v>30</v>
      </c>
      <c r="G255" s="19" t="s">
        <v>31</v>
      </c>
      <c r="J255" s="19" t="s">
        <v>635</v>
      </c>
      <c r="K255" s="19" t="s">
        <v>32</v>
      </c>
      <c r="L255" s="19" t="s">
        <v>633</v>
      </c>
      <c r="M255" s="19">
        <v>138.878712278909</v>
      </c>
      <c r="N255" s="19">
        <v>1301</v>
      </c>
      <c r="O255" s="19">
        <v>0.211367755050516</v>
      </c>
      <c r="P255" s="19" t="s">
        <v>634</v>
      </c>
      <c r="Q255" s="19">
        <v>344.5935</v>
      </c>
      <c r="R255">
        <f t="shared" si="12"/>
        <v>13.01</v>
      </c>
      <c r="T255" s="15" t="s">
        <v>80</v>
      </c>
      <c r="U255" s="17"/>
      <c r="V255" s="16" t="str">
        <f t="shared" si="13"/>
        <v>EN_SPV_21_c04_EGY</v>
      </c>
      <c r="W255" s="12">
        <f t="shared" si="14"/>
        <v>1301</v>
      </c>
      <c r="X255" s="11">
        <f t="shared" si="15"/>
        <v>1301</v>
      </c>
      <c r="Y255" s="17">
        <v>3</v>
      </c>
      <c r="Z255" s="17"/>
      <c r="AC255" s="19" t="s">
        <v>635</v>
      </c>
    </row>
    <row r="256" spans="2:29">
      <c r="B256" s="19" t="s">
        <v>26</v>
      </c>
      <c r="C256" s="19" t="s">
        <v>637</v>
      </c>
      <c r="D256" s="19" t="s">
        <v>638</v>
      </c>
      <c r="E256" s="19" t="s">
        <v>29</v>
      </c>
      <c r="F256" s="19" t="s">
        <v>30</v>
      </c>
      <c r="G256" s="19" t="s">
        <v>31</v>
      </c>
      <c r="J256" s="19" t="s">
        <v>637</v>
      </c>
      <c r="K256" s="19" t="s">
        <v>32</v>
      </c>
      <c r="L256" s="19" t="s">
        <v>633</v>
      </c>
      <c r="M256" s="19">
        <v>0</v>
      </c>
      <c r="N256" s="19">
        <v>1301</v>
      </c>
      <c r="O256" s="19">
        <v>0.216736282795156</v>
      </c>
      <c r="P256" s="19" t="s">
        <v>634</v>
      </c>
      <c r="Q256" s="19">
        <v>71.352</v>
      </c>
      <c r="R256">
        <f t="shared" si="12"/>
        <v>13.01</v>
      </c>
      <c r="T256" s="15" t="s">
        <v>80</v>
      </c>
      <c r="U256" s="17"/>
      <c r="V256" s="16" t="str">
        <f t="shared" si="13"/>
        <v>EN_SPV_22_c01_EGY</v>
      </c>
      <c r="W256" s="12">
        <f t="shared" si="14"/>
        <v>1301</v>
      </c>
      <c r="X256" s="11">
        <f t="shared" si="15"/>
        <v>1301</v>
      </c>
      <c r="Y256" s="17">
        <v>3</v>
      </c>
      <c r="Z256" s="17"/>
      <c r="AC256" s="19" t="s">
        <v>637</v>
      </c>
    </row>
    <row r="257" spans="2:29">
      <c r="B257" s="19" t="s">
        <v>26</v>
      </c>
      <c r="C257" s="19" t="s">
        <v>639</v>
      </c>
      <c r="D257" s="19" t="s">
        <v>640</v>
      </c>
      <c r="E257" s="19" t="s">
        <v>29</v>
      </c>
      <c r="F257" s="19" t="s">
        <v>30</v>
      </c>
      <c r="G257" s="19" t="s">
        <v>31</v>
      </c>
      <c r="J257" s="19" t="s">
        <v>639</v>
      </c>
      <c r="K257" s="19" t="s">
        <v>32</v>
      </c>
      <c r="L257" s="19" t="s">
        <v>633</v>
      </c>
      <c r="M257" s="19">
        <v>88.9549921786477</v>
      </c>
      <c r="N257" s="19">
        <v>1301</v>
      </c>
      <c r="O257" s="19">
        <v>0.216845744223997</v>
      </c>
      <c r="P257" s="19" t="s">
        <v>634</v>
      </c>
      <c r="Q257" s="19">
        <v>52.3935</v>
      </c>
      <c r="R257">
        <f t="shared" si="12"/>
        <v>13.01</v>
      </c>
      <c r="T257" s="15" t="s">
        <v>80</v>
      </c>
      <c r="U257" s="17"/>
      <c r="V257" s="16" t="str">
        <f t="shared" si="13"/>
        <v>EN_SPV_22_c02_EGY</v>
      </c>
      <c r="W257" s="12">
        <f t="shared" si="14"/>
        <v>1301</v>
      </c>
      <c r="X257" s="11">
        <f t="shared" si="15"/>
        <v>1301</v>
      </c>
      <c r="Y257" s="17">
        <v>3</v>
      </c>
      <c r="Z257" s="17"/>
      <c r="AC257" s="19" t="s">
        <v>639</v>
      </c>
    </row>
    <row r="258" spans="2:29">
      <c r="B258" s="19" t="s">
        <v>26</v>
      </c>
      <c r="C258" s="19" t="s">
        <v>641</v>
      </c>
      <c r="D258" s="19" t="s">
        <v>642</v>
      </c>
      <c r="E258" s="19" t="s">
        <v>29</v>
      </c>
      <c r="F258" s="19" t="s">
        <v>30</v>
      </c>
      <c r="G258" s="19" t="s">
        <v>31</v>
      </c>
      <c r="J258" s="19" t="s">
        <v>641</v>
      </c>
      <c r="K258" s="19" t="s">
        <v>32</v>
      </c>
      <c r="L258" s="19" t="s">
        <v>633</v>
      </c>
      <c r="M258" s="19">
        <v>101.208996203257</v>
      </c>
      <c r="N258" s="19">
        <v>1301</v>
      </c>
      <c r="O258" s="19">
        <v>0.216334394013905</v>
      </c>
      <c r="P258" s="19" t="s">
        <v>634</v>
      </c>
      <c r="Q258" s="19">
        <v>77.78025</v>
      </c>
      <c r="R258">
        <f t="shared" si="12"/>
        <v>13.01</v>
      </c>
      <c r="T258" s="15" t="s">
        <v>80</v>
      </c>
      <c r="U258" s="17"/>
      <c r="V258" s="16" t="str">
        <f t="shared" si="13"/>
        <v>EN_SPV_22_c03_EGY</v>
      </c>
      <c r="W258" s="12">
        <f t="shared" si="14"/>
        <v>1301</v>
      </c>
      <c r="X258" s="11">
        <f t="shared" si="15"/>
        <v>1301</v>
      </c>
      <c r="Y258" s="17">
        <v>3</v>
      </c>
      <c r="Z258" s="17"/>
      <c r="AC258" s="19" t="s">
        <v>641</v>
      </c>
    </row>
    <row r="259" spans="2:29">
      <c r="B259" s="19" t="s">
        <v>26</v>
      </c>
      <c r="C259" s="19" t="s">
        <v>643</v>
      </c>
      <c r="D259" s="19" t="s">
        <v>644</v>
      </c>
      <c r="E259" s="19" t="s">
        <v>29</v>
      </c>
      <c r="F259" s="19" t="s">
        <v>30</v>
      </c>
      <c r="G259" s="19" t="s">
        <v>31</v>
      </c>
      <c r="J259" s="19" t="s">
        <v>643</v>
      </c>
      <c r="K259" s="19" t="s">
        <v>32</v>
      </c>
      <c r="L259" s="19" t="s">
        <v>633</v>
      </c>
      <c r="M259" s="19">
        <v>138.878712278909</v>
      </c>
      <c r="N259" s="19">
        <v>1301</v>
      </c>
      <c r="O259" s="19">
        <v>0.21809839831673</v>
      </c>
      <c r="P259" s="19" t="s">
        <v>634</v>
      </c>
      <c r="Q259" s="19">
        <v>279.456</v>
      </c>
      <c r="R259">
        <f t="shared" si="12"/>
        <v>13.01</v>
      </c>
      <c r="T259" s="15" t="s">
        <v>80</v>
      </c>
      <c r="U259" s="17"/>
      <c r="V259" s="16" t="str">
        <f t="shared" si="13"/>
        <v>EN_SPV_22_c04_EGY</v>
      </c>
      <c r="W259" s="12">
        <f t="shared" si="14"/>
        <v>1301</v>
      </c>
      <c r="X259" s="11">
        <f t="shared" si="15"/>
        <v>1301</v>
      </c>
      <c r="Y259" s="17">
        <v>3</v>
      </c>
      <c r="Z259" s="17"/>
      <c r="AC259" s="19" t="s">
        <v>643</v>
      </c>
    </row>
    <row r="260" spans="2:29">
      <c r="B260" s="19" t="s">
        <v>26</v>
      </c>
      <c r="C260" s="19" t="s">
        <v>645</v>
      </c>
      <c r="D260" s="19" t="s">
        <v>646</v>
      </c>
      <c r="E260" s="19" t="s">
        <v>29</v>
      </c>
      <c r="F260" s="19" t="s">
        <v>30</v>
      </c>
      <c r="G260" s="19" t="s">
        <v>31</v>
      </c>
      <c r="J260" s="19" t="s">
        <v>645</v>
      </c>
      <c r="K260" s="19" t="s">
        <v>32</v>
      </c>
      <c r="L260" s="19" t="s">
        <v>633</v>
      </c>
      <c r="M260" s="19">
        <v>0</v>
      </c>
      <c r="N260" s="19">
        <v>1301</v>
      </c>
      <c r="O260" s="19">
        <v>0.225</v>
      </c>
      <c r="P260" s="19" t="s">
        <v>634</v>
      </c>
      <c r="Q260" s="19">
        <v>2.334</v>
      </c>
      <c r="R260">
        <f t="shared" si="12"/>
        <v>13.01</v>
      </c>
      <c r="T260" s="15" t="s">
        <v>80</v>
      </c>
      <c r="U260" s="17"/>
      <c r="V260" s="16" t="str">
        <f t="shared" si="13"/>
        <v>EN_SPV_23_c01_EGY</v>
      </c>
      <c r="W260" s="12">
        <f t="shared" si="14"/>
        <v>1301</v>
      </c>
      <c r="X260" s="11">
        <f t="shared" si="15"/>
        <v>1301</v>
      </c>
      <c r="Y260" s="17">
        <v>3</v>
      </c>
      <c r="Z260" s="17"/>
      <c r="AC260" s="19" t="s">
        <v>645</v>
      </c>
    </row>
    <row r="261" spans="2:29">
      <c r="B261" s="19" t="s">
        <v>26</v>
      </c>
      <c r="C261" s="19" t="s">
        <v>647</v>
      </c>
      <c r="D261" s="19" t="s">
        <v>648</v>
      </c>
      <c r="E261" s="19" t="s">
        <v>29</v>
      </c>
      <c r="F261" s="19" t="s">
        <v>30</v>
      </c>
      <c r="G261" s="19" t="s">
        <v>31</v>
      </c>
      <c r="J261" s="19" t="s">
        <v>647</v>
      </c>
      <c r="K261" s="19" t="s">
        <v>32</v>
      </c>
      <c r="L261" s="19" t="s">
        <v>633</v>
      </c>
      <c r="M261" s="19">
        <v>138.878712278909</v>
      </c>
      <c r="N261" s="19">
        <v>1301</v>
      </c>
      <c r="O261" s="19">
        <v>0.22547664557814</v>
      </c>
      <c r="P261" s="19" t="s">
        <v>634</v>
      </c>
      <c r="Q261" s="19">
        <v>11.1435</v>
      </c>
      <c r="R261">
        <f t="shared" si="12"/>
        <v>13.01</v>
      </c>
      <c r="T261" s="15" t="s">
        <v>80</v>
      </c>
      <c r="U261" s="17"/>
      <c r="V261" s="16" t="str">
        <f t="shared" si="13"/>
        <v>EN_SPV_23_c04_EGY</v>
      </c>
      <c r="W261" s="12">
        <f t="shared" si="14"/>
        <v>1301</v>
      </c>
      <c r="X261" s="11">
        <f t="shared" si="15"/>
        <v>1301</v>
      </c>
      <c r="Y261" s="17">
        <v>3</v>
      </c>
      <c r="Z261" s="17"/>
      <c r="AC261" s="19" t="s">
        <v>647</v>
      </c>
    </row>
    <row r="262" spans="2:29">
      <c r="B262" s="19" t="s">
        <v>26</v>
      </c>
      <c r="C262" s="19" t="s">
        <v>649</v>
      </c>
      <c r="D262" s="19" t="s">
        <v>650</v>
      </c>
      <c r="E262" s="19" t="s">
        <v>29</v>
      </c>
      <c r="F262" s="19" t="s">
        <v>30</v>
      </c>
      <c r="G262" s="19" t="s">
        <v>31</v>
      </c>
      <c r="J262" s="19" t="s">
        <v>649</v>
      </c>
      <c r="K262" s="19" t="s">
        <v>32</v>
      </c>
      <c r="L262" s="19" t="s">
        <v>651</v>
      </c>
      <c r="M262" s="19">
        <v>88.9549921786477</v>
      </c>
      <c r="N262" s="19">
        <v>1420</v>
      </c>
      <c r="O262" s="19">
        <v>0.198856495331339</v>
      </c>
      <c r="P262" s="19" t="s">
        <v>652</v>
      </c>
      <c r="Q262" s="19">
        <v>8.27325</v>
      </c>
      <c r="R262">
        <f t="shared" ref="R262:R325" si="16">N262*0.01</f>
        <v>14.2</v>
      </c>
      <c r="T262" s="15" t="s">
        <v>54</v>
      </c>
      <c r="U262" s="17"/>
      <c r="V262" s="16" t="str">
        <f t="shared" ref="V262:V325" si="17">J262</f>
        <v>EN_SPV_20_c02_ERI</v>
      </c>
      <c r="W262" s="12">
        <f t="shared" ref="W262:W325" si="18">N262</f>
        <v>1420</v>
      </c>
      <c r="X262" s="11">
        <f t="shared" ref="X262:X325" si="19">W262</f>
        <v>1420</v>
      </c>
      <c r="Y262" s="17">
        <v>3</v>
      </c>
      <c r="Z262" s="17"/>
      <c r="AC262" s="19" t="s">
        <v>649</v>
      </c>
    </row>
    <row r="263" spans="2:29">
      <c r="B263" s="19" t="s">
        <v>26</v>
      </c>
      <c r="C263" s="19" t="s">
        <v>653</v>
      </c>
      <c r="D263" s="19" t="s">
        <v>654</v>
      </c>
      <c r="E263" s="19" t="s">
        <v>29</v>
      </c>
      <c r="F263" s="19" t="s">
        <v>30</v>
      </c>
      <c r="G263" s="19" t="s">
        <v>31</v>
      </c>
      <c r="J263" s="19" t="s">
        <v>653</v>
      </c>
      <c r="K263" s="19" t="s">
        <v>32</v>
      </c>
      <c r="L263" s="19" t="s">
        <v>655</v>
      </c>
      <c r="M263" s="19">
        <v>88.9549921786477</v>
      </c>
      <c r="N263" s="19">
        <v>766</v>
      </c>
      <c r="O263" s="19">
        <v>0.131074514038877</v>
      </c>
      <c r="P263" s="19" t="s">
        <v>656</v>
      </c>
      <c r="Q263" s="19">
        <v>0.6945</v>
      </c>
      <c r="R263">
        <f t="shared" si="16"/>
        <v>7.66</v>
      </c>
      <c r="T263" s="15" t="s">
        <v>69</v>
      </c>
      <c r="U263" s="17"/>
      <c r="V263" s="16" t="str">
        <f t="shared" si="17"/>
        <v>EN_SPV_13_c02_ESP</v>
      </c>
      <c r="W263" s="12">
        <f t="shared" si="18"/>
        <v>766</v>
      </c>
      <c r="X263" s="11">
        <f t="shared" si="19"/>
        <v>766</v>
      </c>
      <c r="Y263" s="17">
        <v>3</v>
      </c>
      <c r="Z263" s="17"/>
      <c r="AC263" s="19" t="s">
        <v>653</v>
      </c>
    </row>
    <row r="264" spans="2:29">
      <c r="B264" s="19" t="s">
        <v>26</v>
      </c>
      <c r="C264" s="19" t="s">
        <v>657</v>
      </c>
      <c r="D264" s="19" t="s">
        <v>658</v>
      </c>
      <c r="E264" s="19" t="s">
        <v>29</v>
      </c>
      <c r="F264" s="19" t="s">
        <v>30</v>
      </c>
      <c r="G264" s="19" t="s">
        <v>31</v>
      </c>
      <c r="J264" s="19" t="s">
        <v>657</v>
      </c>
      <c r="K264" s="19" t="s">
        <v>32</v>
      </c>
      <c r="L264" s="19" t="s">
        <v>655</v>
      </c>
      <c r="M264" s="19">
        <v>101.208996203257</v>
      </c>
      <c r="N264" s="19">
        <v>766</v>
      </c>
      <c r="O264" s="19">
        <v>0.131911538461538</v>
      </c>
      <c r="P264" s="19" t="s">
        <v>656</v>
      </c>
      <c r="Q264" s="19">
        <v>0.39</v>
      </c>
      <c r="R264">
        <f t="shared" si="16"/>
        <v>7.66</v>
      </c>
      <c r="T264" s="15" t="s">
        <v>69</v>
      </c>
      <c r="U264" s="17"/>
      <c r="V264" s="16" t="str">
        <f t="shared" si="17"/>
        <v>EN_SPV_13_c03_ESP</v>
      </c>
      <c r="W264" s="12">
        <f t="shared" si="18"/>
        <v>766</v>
      </c>
      <c r="X264" s="11">
        <f t="shared" si="19"/>
        <v>766</v>
      </c>
      <c r="Y264" s="17">
        <v>3</v>
      </c>
      <c r="Z264" s="17"/>
      <c r="AC264" s="19" t="s">
        <v>657</v>
      </c>
    </row>
    <row r="265" spans="2:29">
      <c r="B265" s="19" t="s">
        <v>26</v>
      </c>
      <c r="C265" s="19" t="s">
        <v>659</v>
      </c>
      <c r="D265" s="19" t="s">
        <v>660</v>
      </c>
      <c r="E265" s="19" t="s">
        <v>29</v>
      </c>
      <c r="F265" s="19" t="s">
        <v>30</v>
      </c>
      <c r="G265" s="19" t="s">
        <v>31</v>
      </c>
      <c r="J265" s="19" t="s">
        <v>659</v>
      </c>
      <c r="K265" s="19" t="s">
        <v>32</v>
      </c>
      <c r="L265" s="19" t="s">
        <v>655</v>
      </c>
      <c r="M265" s="19">
        <v>88.9549921786477</v>
      </c>
      <c r="N265" s="19">
        <v>766</v>
      </c>
      <c r="O265" s="19">
        <v>0.139852589641434</v>
      </c>
      <c r="P265" s="19" t="s">
        <v>656</v>
      </c>
      <c r="Q265" s="19">
        <v>1.506</v>
      </c>
      <c r="R265">
        <f t="shared" si="16"/>
        <v>7.66</v>
      </c>
      <c r="T265" s="15" t="s">
        <v>69</v>
      </c>
      <c r="U265" s="17"/>
      <c r="V265" s="16" t="str">
        <f t="shared" si="17"/>
        <v>EN_SPV_14_c02_ESP</v>
      </c>
      <c r="W265" s="12">
        <f t="shared" si="18"/>
        <v>766</v>
      </c>
      <c r="X265" s="11">
        <f t="shared" si="19"/>
        <v>766</v>
      </c>
      <c r="Y265" s="17">
        <v>3</v>
      </c>
      <c r="Z265" s="17"/>
      <c r="AC265" s="19" t="s">
        <v>659</v>
      </c>
    </row>
    <row r="266" spans="2:29">
      <c r="B266" s="19" t="s">
        <v>26</v>
      </c>
      <c r="C266" s="19" t="s">
        <v>661</v>
      </c>
      <c r="D266" s="19" t="s">
        <v>662</v>
      </c>
      <c r="E266" s="19" t="s">
        <v>29</v>
      </c>
      <c r="F266" s="19" t="s">
        <v>30</v>
      </c>
      <c r="G266" s="19" t="s">
        <v>31</v>
      </c>
      <c r="J266" s="19" t="s">
        <v>661</v>
      </c>
      <c r="K266" s="19" t="s">
        <v>32</v>
      </c>
      <c r="L266" s="19" t="s">
        <v>655</v>
      </c>
      <c r="M266" s="19">
        <v>88.9549921786477</v>
      </c>
      <c r="N266" s="19">
        <v>766</v>
      </c>
      <c r="O266" s="19">
        <v>0.14950139275766</v>
      </c>
      <c r="P266" s="19" t="s">
        <v>656</v>
      </c>
      <c r="Q266" s="19">
        <v>0.80775</v>
      </c>
      <c r="R266">
        <f t="shared" si="16"/>
        <v>7.66</v>
      </c>
      <c r="T266" s="15" t="s">
        <v>69</v>
      </c>
      <c r="U266" s="17"/>
      <c r="V266" s="16" t="str">
        <f t="shared" si="17"/>
        <v>EN_SPV_15_c02_ESP</v>
      </c>
      <c r="W266" s="12">
        <f t="shared" si="18"/>
        <v>766</v>
      </c>
      <c r="X266" s="11">
        <f t="shared" si="19"/>
        <v>766</v>
      </c>
      <c r="Y266" s="17">
        <v>3</v>
      </c>
      <c r="Z266" s="17"/>
      <c r="AC266" s="19" t="s">
        <v>661</v>
      </c>
    </row>
    <row r="267" spans="2:29">
      <c r="B267" s="19" t="s">
        <v>26</v>
      </c>
      <c r="C267" s="19" t="s">
        <v>663</v>
      </c>
      <c r="D267" s="19" t="s">
        <v>664</v>
      </c>
      <c r="E267" s="19" t="s">
        <v>29</v>
      </c>
      <c r="F267" s="19" t="s">
        <v>30</v>
      </c>
      <c r="G267" s="19" t="s">
        <v>31</v>
      </c>
      <c r="J267" s="19" t="s">
        <v>663</v>
      </c>
      <c r="K267" s="19" t="s">
        <v>32</v>
      </c>
      <c r="L267" s="19" t="s">
        <v>655</v>
      </c>
      <c r="M267" s="19">
        <v>0</v>
      </c>
      <c r="N267" s="19">
        <v>766</v>
      </c>
      <c r="O267" s="19">
        <v>0.163466535433071</v>
      </c>
      <c r="P267" s="19" t="s">
        <v>656</v>
      </c>
      <c r="Q267" s="19">
        <v>0.762</v>
      </c>
      <c r="R267">
        <f t="shared" si="16"/>
        <v>7.66</v>
      </c>
      <c r="T267" s="15" t="s">
        <v>69</v>
      </c>
      <c r="U267" s="17"/>
      <c r="V267" s="16" t="str">
        <f t="shared" si="17"/>
        <v>EN_SPV_16_c01_ESP</v>
      </c>
      <c r="W267" s="12">
        <f t="shared" si="18"/>
        <v>766</v>
      </c>
      <c r="X267" s="11">
        <f t="shared" si="19"/>
        <v>766</v>
      </c>
      <c r="Y267" s="17">
        <v>3</v>
      </c>
      <c r="Z267" s="17"/>
      <c r="AC267" s="19" t="s">
        <v>663</v>
      </c>
    </row>
    <row r="268" spans="2:29">
      <c r="B268" s="19" t="s">
        <v>26</v>
      </c>
      <c r="C268" s="19" t="s">
        <v>665</v>
      </c>
      <c r="D268" s="19" t="s">
        <v>666</v>
      </c>
      <c r="E268" s="19" t="s">
        <v>29</v>
      </c>
      <c r="F268" s="19" t="s">
        <v>30</v>
      </c>
      <c r="G268" s="19" t="s">
        <v>31</v>
      </c>
      <c r="J268" s="19" t="s">
        <v>665</v>
      </c>
      <c r="K268" s="19" t="s">
        <v>32</v>
      </c>
      <c r="L268" s="19" t="s">
        <v>655</v>
      </c>
      <c r="M268" s="19">
        <v>88.9549921786477</v>
      </c>
      <c r="N268" s="19">
        <v>766</v>
      </c>
      <c r="O268" s="19">
        <v>0.158478969505783</v>
      </c>
      <c r="P268" s="19" t="s">
        <v>656</v>
      </c>
      <c r="Q268" s="19">
        <v>1.4265</v>
      </c>
      <c r="R268">
        <f t="shared" si="16"/>
        <v>7.66</v>
      </c>
      <c r="T268" s="15" t="s">
        <v>69</v>
      </c>
      <c r="U268" s="17"/>
      <c r="V268" s="16" t="str">
        <f t="shared" si="17"/>
        <v>EN_SPV_16_c02_ESP</v>
      </c>
      <c r="W268" s="12">
        <f t="shared" si="18"/>
        <v>766</v>
      </c>
      <c r="X268" s="11">
        <f t="shared" si="19"/>
        <v>766</v>
      </c>
      <c r="Y268" s="17">
        <v>3</v>
      </c>
      <c r="Z268" s="17"/>
      <c r="AC268" s="19" t="s">
        <v>665</v>
      </c>
    </row>
    <row r="269" spans="2:29">
      <c r="B269" s="19" t="s">
        <v>26</v>
      </c>
      <c r="C269" s="19" t="s">
        <v>667</v>
      </c>
      <c r="D269" s="19" t="s">
        <v>668</v>
      </c>
      <c r="E269" s="19" t="s">
        <v>29</v>
      </c>
      <c r="F269" s="19" t="s">
        <v>30</v>
      </c>
      <c r="G269" s="19" t="s">
        <v>31</v>
      </c>
      <c r="J269" s="19" t="s">
        <v>667</v>
      </c>
      <c r="K269" s="19" t="s">
        <v>32</v>
      </c>
      <c r="L269" s="19" t="s">
        <v>655</v>
      </c>
      <c r="M269" s="19">
        <v>0</v>
      </c>
      <c r="N269" s="19">
        <v>766</v>
      </c>
      <c r="O269" s="19">
        <v>0.171594806750369</v>
      </c>
      <c r="P269" s="19" t="s">
        <v>656</v>
      </c>
      <c r="Q269" s="19">
        <v>35.06475</v>
      </c>
      <c r="R269">
        <f t="shared" si="16"/>
        <v>7.66</v>
      </c>
      <c r="T269" s="15" t="s">
        <v>69</v>
      </c>
      <c r="U269" s="17"/>
      <c r="V269" s="16" t="str">
        <f t="shared" si="17"/>
        <v>EN_SPV_17_c01_ESP</v>
      </c>
      <c r="W269" s="12">
        <f t="shared" si="18"/>
        <v>766</v>
      </c>
      <c r="X269" s="11">
        <f t="shared" si="19"/>
        <v>766</v>
      </c>
      <c r="Y269" s="17">
        <v>3</v>
      </c>
      <c r="Z269" s="17"/>
      <c r="AC269" s="19" t="s">
        <v>667</v>
      </c>
    </row>
    <row r="270" spans="2:29">
      <c r="B270" s="19" t="s">
        <v>26</v>
      </c>
      <c r="C270" s="19" t="s">
        <v>669</v>
      </c>
      <c r="D270" s="19" t="s">
        <v>670</v>
      </c>
      <c r="E270" s="19" t="s">
        <v>29</v>
      </c>
      <c r="F270" s="19" t="s">
        <v>30</v>
      </c>
      <c r="G270" s="19" t="s">
        <v>31</v>
      </c>
      <c r="J270" s="19" t="s">
        <v>669</v>
      </c>
      <c r="K270" s="19" t="s">
        <v>32</v>
      </c>
      <c r="L270" s="19" t="s">
        <v>655</v>
      </c>
      <c r="M270" s="19">
        <v>88.9549921786477</v>
      </c>
      <c r="N270" s="19">
        <v>766</v>
      </c>
      <c r="O270" s="19">
        <v>0.169370481927711</v>
      </c>
      <c r="P270" s="19" t="s">
        <v>656</v>
      </c>
      <c r="Q270" s="19">
        <v>0.249</v>
      </c>
      <c r="R270">
        <f t="shared" si="16"/>
        <v>7.66</v>
      </c>
      <c r="T270" s="15" t="s">
        <v>69</v>
      </c>
      <c r="U270" s="17"/>
      <c r="V270" s="16" t="str">
        <f t="shared" si="17"/>
        <v>EN_SPV_17_c02_ESP</v>
      </c>
      <c r="W270" s="12">
        <f t="shared" si="18"/>
        <v>766</v>
      </c>
      <c r="X270" s="11">
        <f t="shared" si="19"/>
        <v>766</v>
      </c>
      <c r="Y270" s="17">
        <v>3</v>
      </c>
      <c r="Z270" s="17"/>
      <c r="AC270" s="19" t="s">
        <v>669</v>
      </c>
    </row>
    <row r="271" spans="2:29">
      <c r="B271" s="19" t="s">
        <v>26</v>
      </c>
      <c r="C271" s="19" t="s">
        <v>671</v>
      </c>
      <c r="D271" s="19" t="s">
        <v>672</v>
      </c>
      <c r="E271" s="19" t="s">
        <v>29</v>
      </c>
      <c r="F271" s="19" t="s">
        <v>30</v>
      </c>
      <c r="G271" s="19" t="s">
        <v>31</v>
      </c>
      <c r="J271" s="19" t="s">
        <v>671</v>
      </c>
      <c r="K271" s="19" t="s">
        <v>32</v>
      </c>
      <c r="L271" s="19" t="s">
        <v>655</v>
      </c>
      <c r="M271" s="19">
        <v>0</v>
      </c>
      <c r="N271" s="19">
        <v>766</v>
      </c>
      <c r="O271" s="19">
        <v>0.178874087656423</v>
      </c>
      <c r="P271" s="19" t="s">
        <v>656</v>
      </c>
      <c r="Q271" s="19">
        <v>62.99025</v>
      </c>
      <c r="R271">
        <f t="shared" si="16"/>
        <v>7.66</v>
      </c>
      <c r="T271" s="15" t="s">
        <v>69</v>
      </c>
      <c r="U271" s="17"/>
      <c r="V271" s="16" t="str">
        <f t="shared" si="17"/>
        <v>EN_SPV_18_c01_ESP</v>
      </c>
      <c r="W271" s="12">
        <f t="shared" si="18"/>
        <v>766</v>
      </c>
      <c r="X271" s="11">
        <f t="shared" si="19"/>
        <v>766</v>
      </c>
      <c r="Y271" s="17">
        <v>3</v>
      </c>
      <c r="Z271" s="17"/>
      <c r="AC271" s="19" t="s">
        <v>671</v>
      </c>
    </row>
    <row r="272" spans="2:29">
      <c r="B272" s="19" t="s">
        <v>26</v>
      </c>
      <c r="C272" s="19" t="s">
        <v>673</v>
      </c>
      <c r="D272" s="19" t="s">
        <v>674</v>
      </c>
      <c r="E272" s="19" t="s">
        <v>29</v>
      </c>
      <c r="F272" s="19" t="s">
        <v>30</v>
      </c>
      <c r="G272" s="19" t="s">
        <v>31</v>
      </c>
      <c r="J272" s="19" t="s">
        <v>673</v>
      </c>
      <c r="K272" s="19" t="s">
        <v>32</v>
      </c>
      <c r="L272" s="19" t="s">
        <v>655</v>
      </c>
      <c r="M272" s="19">
        <v>0</v>
      </c>
      <c r="N272" s="19">
        <v>766</v>
      </c>
      <c r="O272" s="19">
        <v>0.18805204192266</v>
      </c>
      <c r="P272" s="19" t="s">
        <v>656</v>
      </c>
      <c r="Q272" s="19">
        <v>4.1505</v>
      </c>
      <c r="R272">
        <f t="shared" si="16"/>
        <v>7.66</v>
      </c>
      <c r="T272" s="15" t="s">
        <v>69</v>
      </c>
      <c r="U272" s="17"/>
      <c r="V272" s="16" t="str">
        <f t="shared" si="17"/>
        <v>EN_SPV_19_c01_ESP</v>
      </c>
      <c r="W272" s="12">
        <f t="shared" si="18"/>
        <v>766</v>
      </c>
      <c r="X272" s="11">
        <f t="shared" si="19"/>
        <v>766</v>
      </c>
      <c r="Y272" s="17">
        <v>3</v>
      </c>
      <c r="Z272" s="17"/>
      <c r="AC272" s="19" t="s">
        <v>673</v>
      </c>
    </row>
    <row r="273" spans="2:29">
      <c r="B273" s="19" t="s">
        <v>26</v>
      </c>
      <c r="C273" s="19" t="s">
        <v>675</v>
      </c>
      <c r="D273" s="19" t="s">
        <v>676</v>
      </c>
      <c r="E273" s="19" t="s">
        <v>29</v>
      </c>
      <c r="F273" s="19" t="s">
        <v>30</v>
      </c>
      <c r="G273" s="19" t="s">
        <v>31</v>
      </c>
      <c r="J273" s="19" t="s">
        <v>675</v>
      </c>
      <c r="K273" s="19" t="s">
        <v>32</v>
      </c>
      <c r="L273" s="19" t="s">
        <v>655</v>
      </c>
      <c r="M273" s="19">
        <v>138.878712278909</v>
      </c>
      <c r="N273" s="19">
        <v>766</v>
      </c>
      <c r="O273" s="19">
        <v>0.189854237288136</v>
      </c>
      <c r="P273" s="19" t="s">
        <v>656</v>
      </c>
      <c r="Q273" s="19">
        <v>1.99125</v>
      </c>
      <c r="R273">
        <f t="shared" si="16"/>
        <v>7.66</v>
      </c>
      <c r="T273" s="15" t="s">
        <v>69</v>
      </c>
      <c r="U273" s="17"/>
      <c r="V273" s="16" t="str">
        <f t="shared" si="17"/>
        <v>EN_SPV_19_c04_ESP</v>
      </c>
      <c r="W273" s="12">
        <f t="shared" si="18"/>
        <v>766</v>
      </c>
      <c r="X273" s="11">
        <f t="shared" si="19"/>
        <v>766</v>
      </c>
      <c r="Y273" s="17">
        <v>3</v>
      </c>
      <c r="Z273" s="17"/>
      <c r="AC273" s="19" t="s">
        <v>675</v>
      </c>
    </row>
    <row r="274" spans="2:29">
      <c r="B274" s="19" t="s">
        <v>26</v>
      </c>
      <c r="C274" s="19" t="s">
        <v>677</v>
      </c>
      <c r="D274" s="19" t="s">
        <v>678</v>
      </c>
      <c r="E274" s="19" t="s">
        <v>29</v>
      </c>
      <c r="F274" s="19" t="s">
        <v>30</v>
      </c>
      <c r="G274" s="19" t="s">
        <v>31</v>
      </c>
      <c r="J274" s="19" t="s">
        <v>677</v>
      </c>
      <c r="K274" s="19" t="s">
        <v>32</v>
      </c>
      <c r="L274" s="19" t="s">
        <v>679</v>
      </c>
      <c r="M274" s="19">
        <v>101.208996203257</v>
      </c>
      <c r="N274" s="19">
        <v>1706</v>
      </c>
      <c r="O274" s="19">
        <v>0.111488661481785</v>
      </c>
      <c r="P274" s="19" t="s">
        <v>680</v>
      </c>
      <c r="Q274" s="19">
        <v>9.16125</v>
      </c>
      <c r="R274">
        <f t="shared" si="16"/>
        <v>17.06</v>
      </c>
      <c r="T274" s="15" t="s">
        <v>69</v>
      </c>
      <c r="U274" s="17"/>
      <c r="V274" s="16" t="str">
        <f t="shared" si="17"/>
        <v>EN_SPV_11_c03_EST</v>
      </c>
      <c r="W274" s="12">
        <f t="shared" si="18"/>
        <v>1706</v>
      </c>
      <c r="X274" s="11">
        <f t="shared" si="19"/>
        <v>1706</v>
      </c>
      <c r="Y274" s="17">
        <v>3</v>
      </c>
      <c r="Z274" s="17"/>
      <c r="AC274" s="19" t="s">
        <v>677</v>
      </c>
    </row>
    <row r="275" spans="2:29">
      <c r="B275" s="19" t="s">
        <v>26</v>
      </c>
      <c r="C275" s="19" t="s">
        <v>681</v>
      </c>
      <c r="D275" s="19" t="s">
        <v>682</v>
      </c>
      <c r="E275" s="19" t="s">
        <v>29</v>
      </c>
      <c r="F275" s="19" t="s">
        <v>30</v>
      </c>
      <c r="G275" s="19" t="s">
        <v>31</v>
      </c>
      <c r="J275" s="19" t="s">
        <v>681</v>
      </c>
      <c r="K275" s="19" t="s">
        <v>32</v>
      </c>
      <c r="L275" s="19" t="s">
        <v>679</v>
      </c>
      <c r="M275" s="19">
        <v>101.208996203257</v>
      </c>
      <c r="N275" s="19">
        <v>1706</v>
      </c>
      <c r="O275" s="19">
        <v>0.116886774500476</v>
      </c>
      <c r="P275" s="19" t="s">
        <v>680</v>
      </c>
      <c r="Q275" s="19">
        <v>0.78825</v>
      </c>
      <c r="R275">
        <f t="shared" si="16"/>
        <v>17.06</v>
      </c>
      <c r="T275" s="15" t="s">
        <v>69</v>
      </c>
      <c r="U275" s="17"/>
      <c r="V275" s="16" t="str">
        <f t="shared" si="17"/>
        <v>EN_SPV_12_c03_EST</v>
      </c>
      <c r="W275" s="12">
        <f t="shared" si="18"/>
        <v>1706</v>
      </c>
      <c r="X275" s="11">
        <f t="shared" si="19"/>
        <v>1706</v>
      </c>
      <c r="Y275" s="17">
        <v>3</v>
      </c>
      <c r="Z275" s="17"/>
      <c r="AC275" s="19" t="s">
        <v>681</v>
      </c>
    </row>
    <row r="276" spans="2:29">
      <c r="B276" s="19" t="s">
        <v>26</v>
      </c>
      <c r="C276" s="19" t="s">
        <v>683</v>
      </c>
      <c r="D276" s="19" t="s">
        <v>684</v>
      </c>
      <c r="E276" s="19" t="s">
        <v>29</v>
      </c>
      <c r="F276" s="19" t="s">
        <v>30</v>
      </c>
      <c r="G276" s="19" t="s">
        <v>31</v>
      </c>
      <c r="J276" s="19" t="s">
        <v>683</v>
      </c>
      <c r="K276" s="19" t="s">
        <v>32</v>
      </c>
      <c r="L276" s="19" t="s">
        <v>685</v>
      </c>
      <c r="M276" s="19">
        <v>0</v>
      </c>
      <c r="N276" s="19">
        <v>1420</v>
      </c>
      <c r="O276" s="19">
        <v>0.197703792380287</v>
      </c>
      <c r="P276" s="19" t="s">
        <v>686</v>
      </c>
      <c r="Q276" s="19">
        <v>42.915</v>
      </c>
      <c r="R276">
        <f t="shared" si="16"/>
        <v>14.2</v>
      </c>
      <c r="T276" s="15" t="s">
        <v>54</v>
      </c>
      <c r="U276" s="17"/>
      <c r="V276" s="16" t="str">
        <f t="shared" si="17"/>
        <v>EN_SPV_20_c01_ETH</v>
      </c>
      <c r="W276" s="12">
        <f t="shared" si="18"/>
        <v>1420</v>
      </c>
      <c r="X276" s="11">
        <f t="shared" si="19"/>
        <v>1420</v>
      </c>
      <c r="Y276" s="17">
        <v>3</v>
      </c>
      <c r="Z276" s="17"/>
      <c r="AC276" s="19" t="s">
        <v>683</v>
      </c>
    </row>
    <row r="277" spans="2:29">
      <c r="B277" s="19" t="s">
        <v>26</v>
      </c>
      <c r="C277" s="19" t="s">
        <v>687</v>
      </c>
      <c r="D277" s="19" t="s">
        <v>688</v>
      </c>
      <c r="E277" s="19" t="s">
        <v>29</v>
      </c>
      <c r="F277" s="19" t="s">
        <v>30</v>
      </c>
      <c r="G277" s="19" t="s">
        <v>31</v>
      </c>
      <c r="J277" s="19" t="s">
        <v>687</v>
      </c>
      <c r="K277" s="19" t="s">
        <v>32</v>
      </c>
      <c r="L277" s="19" t="s">
        <v>685</v>
      </c>
      <c r="M277" s="19">
        <v>88.9549921786477</v>
      </c>
      <c r="N277" s="19">
        <v>1420</v>
      </c>
      <c r="O277" s="19">
        <v>0.198187526293647</v>
      </c>
      <c r="P277" s="19" t="s">
        <v>686</v>
      </c>
      <c r="Q277" s="19">
        <v>14.262</v>
      </c>
      <c r="R277">
        <f t="shared" si="16"/>
        <v>14.2</v>
      </c>
      <c r="T277" s="15" t="s">
        <v>54</v>
      </c>
      <c r="U277" s="17"/>
      <c r="V277" s="16" t="str">
        <f t="shared" si="17"/>
        <v>EN_SPV_20_c02_ETH</v>
      </c>
      <c r="W277" s="12">
        <f t="shared" si="18"/>
        <v>1420</v>
      </c>
      <c r="X277" s="11">
        <f t="shared" si="19"/>
        <v>1420</v>
      </c>
      <c r="Y277" s="17">
        <v>3</v>
      </c>
      <c r="Z277" s="17"/>
      <c r="AC277" s="19" t="s">
        <v>687</v>
      </c>
    </row>
    <row r="278" spans="2:29">
      <c r="B278" s="19" t="s">
        <v>26</v>
      </c>
      <c r="C278" s="19" t="s">
        <v>689</v>
      </c>
      <c r="D278" s="19" t="s">
        <v>690</v>
      </c>
      <c r="E278" s="19" t="s">
        <v>29</v>
      </c>
      <c r="F278" s="19" t="s">
        <v>30</v>
      </c>
      <c r="G278" s="19" t="s">
        <v>31</v>
      </c>
      <c r="J278" s="19" t="s">
        <v>689</v>
      </c>
      <c r="K278" s="19" t="s">
        <v>32</v>
      </c>
      <c r="L278" s="19" t="s">
        <v>685</v>
      </c>
      <c r="M278" s="19">
        <v>101.208996203257</v>
      </c>
      <c r="N278" s="19">
        <v>1420</v>
      </c>
      <c r="O278" s="19">
        <v>0.197429186907876</v>
      </c>
      <c r="P278" s="19" t="s">
        <v>686</v>
      </c>
      <c r="Q278" s="19">
        <v>34.11975</v>
      </c>
      <c r="R278">
        <f t="shared" si="16"/>
        <v>14.2</v>
      </c>
      <c r="T278" s="15" t="s">
        <v>54</v>
      </c>
      <c r="U278" s="17"/>
      <c r="V278" s="16" t="str">
        <f t="shared" si="17"/>
        <v>EN_SPV_20_c03_ETH</v>
      </c>
      <c r="W278" s="12">
        <f t="shared" si="18"/>
        <v>1420</v>
      </c>
      <c r="X278" s="11">
        <f t="shared" si="19"/>
        <v>1420</v>
      </c>
      <c r="Y278" s="17">
        <v>3</v>
      </c>
      <c r="Z278" s="17"/>
      <c r="AC278" s="19" t="s">
        <v>689</v>
      </c>
    </row>
    <row r="279" spans="2:29">
      <c r="B279" s="19" t="s">
        <v>26</v>
      </c>
      <c r="C279" s="19" t="s">
        <v>691</v>
      </c>
      <c r="D279" s="19" t="s">
        <v>692</v>
      </c>
      <c r="E279" s="19" t="s">
        <v>29</v>
      </c>
      <c r="F279" s="19" t="s">
        <v>30</v>
      </c>
      <c r="G279" s="19" t="s">
        <v>31</v>
      </c>
      <c r="J279" s="19" t="s">
        <v>691</v>
      </c>
      <c r="K279" s="19" t="s">
        <v>32</v>
      </c>
      <c r="L279" s="19" t="s">
        <v>685</v>
      </c>
      <c r="M279" s="19">
        <v>0</v>
      </c>
      <c r="N279" s="19">
        <v>1420</v>
      </c>
      <c r="O279" s="19">
        <v>0.20978263509411</v>
      </c>
      <c r="P279" s="19" t="s">
        <v>686</v>
      </c>
      <c r="Q279" s="19">
        <v>23.46975</v>
      </c>
      <c r="R279">
        <f t="shared" si="16"/>
        <v>14.2</v>
      </c>
      <c r="T279" s="15" t="s">
        <v>54</v>
      </c>
      <c r="U279" s="17"/>
      <c r="V279" s="16" t="str">
        <f t="shared" si="17"/>
        <v>EN_SPV_21_c01_ETH</v>
      </c>
      <c r="W279" s="12">
        <f t="shared" si="18"/>
        <v>1420</v>
      </c>
      <c r="X279" s="11">
        <f t="shared" si="19"/>
        <v>1420</v>
      </c>
      <c r="Y279" s="17">
        <v>3</v>
      </c>
      <c r="Z279" s="17"/>
      <c r="AC279" s="19" t="s">
        <v>691</v>
      </c>
    </row>
    <row r="280" spans="2:29">
      <c r="B280" s="19" t="s">
        <v>26</v>
      </c>
      <c r="C280" s="19" t="s">
        <v>693</v>
      </c>
      <c r="D280" s="19" t="s">
        <v>694</v>
      </c>
      <c r="E280" s="19" t="s">
        <v>29</v>
      </c>
      <c r="F280" s="19" t="s">
        <v>30</v>
      </c>
      <c r="G280" s="19" t="s">
        <v>31</v>
      </c>
      <c r="J280" s="19" t="s">
        <v>693</v>
      </c>
      <c r="K280" s="19" t="s">
        <v>32</v>
      </c>
      <c r="L280" s="19" t="s">
        <v>685</v>
      </c>
      <c r="M280" s="19">
        <v>88.9549921786477</v>
      </c>
      <c r="N280" s="19">
        <v>1420</v>
      </c>
      <c r="O280" s="19">
        <v>0.209</v>
      </c>
      <c r="P280" s="19" t="s">
        <v>686</v>
      </c>
      <c r="Q280" s="19">
        <v>5.1765</v>
      </c>
      <c r="R280">
        <f t="shared" si="16"/>
        <v>14.2</v>
      </c>
      <c r="T280" s="15" t="s">
        <v>54</v>
      </c>
      <c r="U280" s="17"/>
      <c r="V280" s="16" t="str">
        <f t="shared" si="17"/>
        <v>EN_SPV_21_c02_ETH</v>
      </c>
      <c r="W280" s="12">
        <f t="shared" si="18"/>
        <v>1420</v>
      </c>
      <c r="X280" s="11">
        <f t="shared" si="19"/>
        <v>1420</v>
      </c>
      <c r="Y280" s="17">
        <v>3</v>
      </c>
      <c r="Z280" s="17"/>
      <c r="AC280" s="19" t="s">
        <v>693</v>
      </c>
    </row>
    <row r="281" spans="2:29">
      <c r="B281" s="19" t="s">
        <v>26</v>
      </c>
      <c r="C281" s="19" t="s">
        <v>695</v>
      </c>
      <c r="D281" s="19" t="s">
        <v>696</v>
      </c>
      <c r="E281" s="19" t="s">
        <v>29</v>
      </c>
      <c r="F281" s="19" t="s">
        <v>30</v>
      </c>
      <c r="G281" s="19" t="s">
        <v>31</v>
      </c>
      <c r="J281" s="19" t="s">
        <v>695</v>
      </c>
      <c r="K281" s="19" t="s">
        <v>32</v>
      </c>
      <c r="L281" s="19" t="s">
        <v>685</v>
      </c>
      <c r="M281" s="19">
        <v>101.208996203257</v>
      </c>
      <c r="N281" s="19">
        <v>1420</v>
      </c>
      <c r="O281" s="19">
        <v>0.206042320426083</v>
      </c>
      <c r="P281" s="19" t="s">
        <v>686</v>
      </c>
      <c r="Q281" s="19">
        <v>10.4205</v>
      </c>
      <c r="R281">
        <f t="shared" si="16"/>
        <v>14.2</v>
      </c>
      <c r="T281" s="15" t="s">
        <v>54</v>
      </c>
      <c r="U281" s="17"/>
      <c r="V281" s="16" t="str">
        <f t="shared" si="17"/>
        <v>EN_SPV_21_c03_ETH</v>
      </c>
      <c r="W281" s="12">
        <f t="shared" si="18"/>
        <v>1420</v>
      </c>
      <c r="X281" s="11">
        <f t="shared" si="19"/>
        <v>1420</v>
      </c>
      <c r="Y281" s="17">
        <v>3</v>
      </c>
      <c r="Z281" s="17"/>
      <c r="AC281" s="19" t="s">
        <v>695</v>
      </c>
    </row>
    <row r="282" spans="2:29">
      <c r="B282" s="19" t="s">
        <v>26</v>
      </c>
      <c r="C282" s="19" t="s">
        <v>697</v>
      </c>
      <c r="D282" s="19" t="s">
        <v>698</v>
      </c>
      <c r="E282" s="19" t="s">
        <v>29</v>
      </c>
      <c r="F282" s="19" t="s">
        <v>30</v>
      </c>
      <c r="G282" s="19" t="s">
        <v>31</v>
      </c>
      <c r="J282" s="19" t="s">
        <v>697</v>
      </c>
      <c r="K282" s="19" t="s">
        <v>32</v>
      </c>
      <c r="L282" s="19" t="s">
        <v>699</v>
      </c>
      <c r="M282" s="19">
        <v>88.9549921786477</v>
      </c>
      <c r="N282" s="19">
        <v>979</v>
      </c>
      <c r="O282" s="19">
        <v>0.123524760451831</v>
      </c>
      <c r="P282" s="19" t="s">
        <v>700</v>
      </c>
      <c r="Q282" s="19">
        <v>12.9309146568369</v>
      </c>
      <c r="R282">
        <f t="shared" si="16"/>
        <v>9.79</v>
      </c>
      <c r="T282" s="15" t="s">
        <v>69</v>
      </c>
      <c r="U282" s="17"/>
      <c r="V282" s="16" t="str">
        <f t="shared" si="17"/>
        <v>EN_SPV_12_c02_FRA</v>
      </c>
      <c r="W282" s="12">
        <f t="shared" si="18"/>
        <v>979</v>
      </c>
      <c r="X282" s="11">
        <f t="shared" si="19"/>
        <v>979</v>
      </c>
      <c r="Y282" s="17">
        <v>3</v>
      </c>
      <c r="Z282" s="17"/>
      <c r="AC282" s="19" t="s">
        <v>697</v>
      </c>
    </row>
    <row r="283" spans="2:29">
      <c r="B283" s="19" t="s">
        <v>26</v>
      </c>
      <c r="C283" s="19" t="s">
        <v>701</v>
      </c>
      <c r="D283" s="19" t="s">
        <v>702</v>
      </c>
      <c r="E283" s="19" t="s">
        <v>29</v>
      </c>
      <c r="F283" s="19" t="s">
        <v>30</v>
      </c>
      <c r="G283" s="19" t="s">
        <v>31</v>
      </c>
      <c r="J283" s="19" t="s">
        <v>701</v>
      </c>
      <c r="K283" s="19" t="s">
        <v>32</v>
      </c>
      <c r="L283" s="19" t="s">
        <v>699</v>
      </c>
      <c r="M283" s="19">
        <v>101.208996203257</v>
      </c>
      <c r="N283" s="19">
        <v>979</v>
      </c>
      <c r="O283" s="19">
        <v>0.121015240470916</v>
      </c>
      <c r="P283" s="19" t="s">
        <v>700</v>
      </c>
      <c r="Q283" s="19">
        <v>212.720529034038</v>
      </c>
      <c r="R283">
        <f t="shared" si="16"/>
        <v>9.79</v>
      </c>
      <c r="T283" s="15" t="s">
        <v>69</v>
      </c>
      <c r="U283" s="17"/>
      <c r="V283" s="16" t="str">
        <f t="shared" si="17"/>
        <v>EN_SPV_12_c03_FRA</v>
      </c>
      <c r="W283" s="12">
        <f t="shared" si="18"/>
        <v>979</v>
      </c>
      <c r="X283" s="11">
        <f t="shared" si="19"/>
        <v>979</v>
      </c>
      <c r="Y283" s="17">
        <v>3</v>
      </c>
      <c r="Z283" s="17"/>
      <c r="AC283" s="19" t="s">
        <v>701</v>
      </c>
    </row>
    <row r="284" spans="2:29">
      <c r="B284" s="19" t="s">
        <v>26</v>
      </c>
      <c r="C284" s="19" t="s">
        <v>703</v>
      </c>
      <c r="D284" s="19" t="s">
        <v>704</v>
      </c>
      <c r="E284" s="19" t="s">
        <v>29</v>
      </c>
      <c r="F284" s="19" t="s">
        <v>30</v>
      </c>
      <c r="G284" s="19" t="s">
        <v>31</v>
      </c>
      <c r="J284" s="19" t="s">
        <v>703</v>
      </c>
      <c r="K284" s="19" t="s">
        <v>32</v>
      </c>
      <c r="L284" s="19" t="s">
        <v>699</v>
      </c>
      <c r="M284" s="19">
        <v>88.9549921786477</v>
      </c>
      <c r="N284" s="19">
        <v>979</v>
      </c>
      <c r="O284" s="19">
        <v>0.131852797340753</v>
      </c>
      <c r="P284" s="19" t="s">
        <v>700</v>
      </c>
      <c r="Q284" s="19">
        <v>57.9774871124573</v>
      </c>
      <c r="R284">
        <f t="shared" si="16"/>
        <v>9.79</v>
      </c>
      <c r="T284" s="15" t="s">
        <v>69</v>
      </c>
      <c r="U284" s="17"/>
      <c r="V284" s="16" t="str">
        <f t="shared" si="17"/>
        <v>EN_SPV_13_c02_FRA</v>
      </c>
      <c r="W284" s="12">
        <f t="shared" si="18"/>
        <v>979</v>
      </c>
      <c r="X284" s="11">
        <f t="shared" si="19"/>
        <v>979</v>
      </c>
      <c r="Y284" s="17">
        <v>3</v>
      </c>
      <c r="Z284" s="17"/>
      <c r="AC284" s="19" t="s">
        <v>703</v>
      </c>
    </row>
    <row r="285" spans="2:29">
      <c r="B285" s="19" t="s">
        <v>26</v>
      </c>
      <c r="C285" s="19" t="s">
        <v>705</v>
      </c>
      <c r="D285" s="19" t="s">
        <v>706</v>
      </c>
      <c r="E285" s="19" t="s">
        <v>29</v>
      </c>
      <c r="F285" s="19" t="s">
        <v>30</v>
      </c>
      <c r="G285" s="19" t="s">
        <v>31</v>
      </c>
      <c r="J285" s="19" t="s">
        <v>705</v>
      </c>
      <c r="K285" s="19" t="s">
        <v>32</v>
      </c>
      <c r="L285" s="19" t="s">
        <v>699</v>
      </c>
      <c r="M285" s="19">
        <v>101.208996203257</v>
      </c>
      <c r="N285" s="19">
        <v>979</v>
      </c>
      <c r="O285" s="19">
        <v>0.128273536602097</v>
      </c>
      <c r="P285" s="19" t="s">
        <v>700</v>
      </c>
      <c r="Q285" s="19">
        <v>113.030739723327</v>
      </c>
      <c r="R285">
        <f t="shared" si="16"/>
        <v>9.79</v>
      </c>
      <c r="T285" s="15" t="s">
        <v>69</v>
      </c>
      <c r="U285" s="17"/>
      <c r="V285" s="16" t="str">
        <f t="shared" si="17"/>
        <v>EN_SPV_13_c03_FRA</v>
      </c>
      <c r="W285" s="12">
        <f t="shared" si="18"/>
        <v>979</v>
      </c>
      <c r="X285" s="11">
        <f t="shared" si="19"/>
        <v>979</v>
      </c>
      <c r="Y285" s="17">
        <v>3</v>
      </c>
      <c r="Z285" s="17"/>
      <c r="AC285" s="19" t="s">
        <v>705</v>
      </c>
    </row>
    <row r="286" spans="2:29">
      <c r="B286" s="19" t="s">
        <v>26</v>
      </c>
      <c r="C286" s="19" t="s">
        <v>707</v>
      </c>
      <c r="D286" s="19" t="s">
        <v>708</v>
      </c>
      <c r="E286" s="19" t="s">
        <v>29</v>
      </c>
      <c r="F286" s="19" t="s">
        <v>30</v>
      </c>
      <c r="G286" s="19" t="s">
        <v>31</v>
      </c>
      <c r="J286" s="19" t="s">
        <v>707</v>
      </c>
      <c r="K286" s="19" t="s">
        <v>32</v>
      </c>
      <c r="L286" s="19" t="s">
        <v>699</v>
      </c>
      <c r="M286" s="19">
        <v>88.9549921786477</v>
      </c>
      <c r="N286" s="19">
        <v>979</v>
      </c>
      <c r="O286" s="19">
        <v>0.139227011973554</v>
      </c>
      <c r="P286" s="19" t="s">
        <v>700</v>
      </c>
      <c r="Q286" s="19">
        <v>236.708960317492</v>
      </c>
      <c r="R286">
        <f t="shared" si="16"/>
        <v>9.79</v>
      </c>
      <c r="T286" s="15" t="s">
        <v>69</v>
      </c>
      <c r="U286" s="17"/>
      <c r="V286" s="16" t="str">
        <f t="shared" si="17"/>
        <v>EN_SPV_14_c02_FRA</v>
      </c>
      <c r="W286" s="12">
        <f t="shared" si="18"/>
        <v>979</v>
      </c>
      <c r="X286" s="11">
        <f t="shared" si="19"/>
        <v>979</v>
      </c>
      <c r="Y286" s="17">
        <v>3</v>
      </c>
      <c r="Z286" s="17"/>
      <c r="AC286" s="19" t="s">
        <v>707</v>
      </c>
    </row>
    <row r="287" spans="2:29">
      <c r="B287" s="19" t="s">
        <v>26</v>
      </c>
      <c r="C287" s="19" t="s">
        <v>709</v>
      </c>
      <c r="D287" s="19" t="s">
        <v>710</v>
      </c>
      <c r="E287" s="19" t="s">
        <v>29</v>
      </c>
      <c r="F287" s="19" t="s">
        <v>30</v>
      </c>
      <c r="G287" s="19" t="s">
        <v>31</v>
      </c>
      <c r="J287" s="19" t="s">
        <v>709</v>
      </c>
      <c r="K287" s="19" t="s">
        <v>32</v>
      </c>
      <c r="L287" s="19" t="s">
        <v>699</v>
      </c>
      <c r="M287" s="19">
        <v>101.208996203257</v>
      </c>
      <c r="N287" s="19">
        <v>979</v>
      </c>
      <c r="O287" s="19">
        <v>0.13781228668942</v>
      </c>
      <c r="P287" s="19" t="s">
        <v>700</v>
      </c>
      <c r="Q287" s="19">
        <v>0.65925</v>
      </c>
      <c r="R287">
        <f t="shared" si="16"/>
        <v>9.79</v>
      </c>
      <c r="T287" s="15" t="s">
        <v>69</v>
      </c>
      <c r="U287" s="17"/>
      <c r="V287" s="16" t="str">
        <f t="shared" si="17"/>
        <v>EN_SPV_14_c03_FRA</v>
      </c>
      <c r="W287" s="12">
        <f t="shared" si="18"/>
        <v>979</v>
      </c>
      <c r="X287" s="11">
        <f t="shared" si="19"/>
        <v>979</v>
      </c>
      <c r="Y287" s="17">
        <v>3</v>
      </c>
      <c r="Z287" s="17"/>
      <c r="AC287" s="19" t="s">
        <v>709</v>
      </c>
    </row>
    <row r="288" spans="2:29">
      <c r="B288" s="19" t="s">
        <v>26</v>
      </c>
      <c r="C288" s="19" t="s">
        <v>711</v>
      </c>
      <c r="D288" s="19" t="s">
        <v>712</v>
      </c>
      <c r="E288" s="19" t="s">
        <v>29</v>
      </c>
      <c r="F288" s="19" t="s">
        <v>30</v>
      </c>
      <c r="G288" s="19" t="s">
        <v>31</v>
      </c>
      <c r="J288" s="19" t="s">
        <v>711</v>
      </c>
      <c r="K288" s="19" t="s">
        <v>32</v>
      </c>
      <c r="L288" s="19" t="s">
        <v>699</v>
      </c>
      <c r="M288" s="19">
        <v>88.9549921786477</v>
      </c>
      <c r="N288" s="19">
        <v>979</v>
      </c>
      <c r="O288" s="19">
        <v>0.147735098874129</v>
      </c>
      <c r="P288" s="19" t="s">
        <v>700</v>
      </c>
      <c r="Q288" s="19">
        <v>13.3346590756812</v>
      </c>
      <c r="R288">
        <f t="shared" si="16"/>
        <v>9.79</v>
      </c>
      <c r="T288" s="15" t="s">
        <v>69</v>
      </c>
      <c r="U288" s="17"/>
      <c r="V288" s="16" t="str">
        <f t="shared" si="17"/>
        <v>EN_SPV_15_c02_FRA</v>
      </c>
      <c r="W288" s="12">
        <f t="shared" si="18"/>
        <v>979</v>
      </c>
      <c r="X288" s="11">
        <f t="shared" si="19"/>
        <v>979</v>
      </c>
      <c r="Y288" s="17">
        <v>3</v>
      </c>
      <c r="Z288" s="17"/>
      <c r="AC288" s="19" t="s">
        <v>711</v>
      </c>
    </row>
    <row r="289" spans="2:29">
      <c r="B289" s="19" t="s">
        <v>26</v>
      </c>
      <c r="C289" s="19" t="s">
        <v>713</v>
      </c>
      <c r="D289" s="19" t="s">
        <v>714</v>
      </c>
      <c r="E289" s="19" t="s">
        <v>29</v>
      </c>
      <c r="F289" s="19" t="s">
        <v>30</v>
      </c>
      <c r="G289" s="19" t="s">
        <v>31</v>
      </c>
      <c r="J289" s="19" t="s">
        <v>713</v>
      </c>
      <c r="K289" s="19" t="s">
        <v>32</v>
      </c>
      <c r="L289" s="19" t="s">
        <v>699</v>
      </c>
      <c r="M289" s="19">
        <v>0</v>
      </c>
      <c r="N289" s="19">
        <v>979</v>
      </c>
      <c r="O289" s="19">
        <v>0.162358850820998</v>
      </c>
      <c r="P289" s="19" t="s">
        <v>700</v>
      </c>
      <c r="Q289" s="19">
        <v>1.25220042787255</v>
      </c>
      <c r="R289">
        <f t="shared" si="16"/>
        <v>9.79</v>
      </c>
      <c r="T289" s="15" t="s">
        <v>69</v>
      </c>
      <c r="U289" s="17"/>
      <c r="V289" s="16" t="str">
        <f t="shared" si="17"/>
        <v>EN_SPV_16_c01_FRA</v>
      </c>
      <c r="W289" s="12">
        <f t="shared" si="18"/>
        <v>979</v>
      </c>
      <c r="X289" s="11">
        <f t="shared" si="19"/>
        <v>979</v>
      </c>
      <c r="Y289" s="17">
        <v>3</v>
      </c>
      <c r="Z289" s="17"/>
      <c r="AC289" s="19" t="s">
        <v>713</v>
      </c>
    </row>
    <row r="290" spans="2:29">
      <c r="B290" s="19" t="s">
        <v>26</v>
      </c>
      <c r="C290" s="19" t="s">
        <v>715</v>
      </c>
      <c r="D290" s="19" t="s">
        <v>716</v>
      </c>
      <c r="E290" s="19" t="s">
        <v>29</v>
      </c>
      <c r="F290" s="19" t="s">
        <v>30</v>
      </c>
      <c r="G290" s="19" t="s">
        <v>31</v>
      </c>
      <c r="J290" s="19" t="s">
        <v>715</v>
      </c>
      <c r="K290" s="19" t="s">
        <v>32</v>
      </c>
      <c r="L290" s="19" t="s">
        <v>699</v>
      </c>
      <c r="M290" s="19">
        <v>88.9549921786477</v>
      </c>
      <c r="N290" s="19">
        <v>979</v>
      </c>
      <c r="O290" s="19">
        <v>0.159</v>
      </c>
      <c r="P290" s="19" t="s">
        <v>700</v>
      </c>
      <c r="Q290" s="19">
        <v>0.27525</v>
      </c>
      <c r="R290">
        <f t="shared" si="16"/>
        <v>9.79</v>
      </c>
      <c r="T290" s="15" t="s">
        <v>69</v>
      </c>
      <c r="U290" s="17"/>
      <c r="V290" s="16" t="str">
        <f t="shared" si="17"/>
        <v>EN_SPV_16_c02_FRA</v>
      </c>
      <c r="W290" s="12">
        <f t="shared" si="18"/>
        <v>979</v>
      </c>
      <c r="X290" s="11">
        <f t="shared" si="19"/>
        <v>979</v>
      </c>
      <c r="Y290" s="17">
        <v>3</v>
      </c>
      <c r="Z290" s="17"/>
      <c r="AC290" s="19" t="s">
        <v>715</v>
      </c>
    </row>
    <row r="291" spans="2:29">
      <c r="B291" s="19" t="s">
        <v>26</v>
      </c>
      <c r="C291" s="19" t="s">
        <v>717</v>
      </c>
      <c r="D291" s="19" t="s">
        <v>718</v>
      </c>
      <c r="E291" s="19" t="s">
        <v>29</v>
      </c>
      <c r="F291" s="19" t="s">
        <v>30</v>
      </c>
      <c r="G291" s="19" t="s">
        <v>31</v>
      </c>
      <c r="J291" s="19" t="s">
        <v>717</v>
      </c>
      <c r="K291" s="19" t="s">
        <v>32</v>
      </c>
      <c r="L291" s="19" t="s">
        <v>699</v>
      </c>
      <c r="M291" s="19">
        <v>0</v>
      </c>
      <c r="N291" s="19">
        <v>979</v>
      </c>
      <c r="O291" s="19">
        <v>0.171943605875396</v>
      </c>
      <c r="P291" s="19" t="s">
        <v>700</v>
      </c>
      <c r="Q291" s="19">
        <v>1.00743650046251</v>
      </c>
      <c r="R291">
        <f t="shared" si="16"/>
        <v>9.79</v>
      </c>
      <c r="T291" s="15" t="s">
        <v>69</v>
      </c>
      <c r="U291" s="17"/>
      <c r="V291" s="16" t="str">
        <f t="shared" si="17"/>
        <v>EN_SPV_17_c01_FRA</v>
      </c>
      <c r="W291" s="12">
        <f t="shared" si="18"/>
        <v>979</v>
      </c>
      <c r="X291" s="11">
        <f t="shared" si="19"/>
        <v>979</v>
      </c>
      <c r="Y291" s="17">
        <v>3</v>
      </c>
      <c r="Z291" s="17"/>
      <c r="AC291" s="19" t="s">
        <v>717</v>
      </c>
    </row>
    <row r="292" spans="2:29">
      <c r="B292" s="19" t="s">
        <v>26</v>
      </c>
      <c r="C292" s="19" t="s">
        <v>719</v>
      </c>
      <c r="D292" s="19" t="s">
        <v>720</v>
      </c>
      <c r="E292" s="19" t="s">
        <v>29</v>
      </c>
      <c r="F292" s="19" t="s">
        <v>30</v>
      </c>
      <c r="G292" s="19" t="s">
        <v>31</v>
      </c>
      <c r="J292" s="19" t="s">
        <v>719</v>
      </c>
      <c r="K292" s="19" t="s">
        <v>32</v>
      </c>
      <c r="L292" s="19" t="s">
        <v>721</v>
      </c>
      <c r="M292" s="19">
        <v>88.9549921786477</v>
      </c>
      <c r="N292" s="19">
        <v>1321</v>
      </c>
      <c r="O292" s="19">
        <v>0.136918342474101</v>
      </c>
      <c r="P292" s="19" t="s">
        <v>722</v>
      </c>
      <c r="Q292" s="19">
        <v>2.4615</v>
      </c>
      <c r="R292">
        <f t="shared" si="16"/>
        <v>13.21</v>
      </c>
      <c r="T292" s="15" t="s">
        <v>54</v>
      </c>
      <c r="U292" s="17"/>
      <c r="V292" s="16" t="str">
        <f t="shared" si="17"/>
        <v>EN_SPV_14_c02_GAB</v>
      </c>
      <c r="W292" s="12">
        <f t="shared" si="18"/>
        <v>1321</v>
      </c>
      <c r="X292" s="11">
        <f t="shared" si="19"/>
        <v>1321</v>
      </c>
      <c r="Y292" s="17">
        <v>3</v>
      </c>
      <c r="Z292" s="17"/>
      <c r="AC292" s="19" t="s">
        <v>719</v>
      </c>
    </row>
    <row r="293" spans="2:29">
      <c r="B293" s="19" t="s">
        <v>26</v>
      </c>
      <c r="C293" s="19" t="s">
        <v>723</v>
      </c>
      <c r="D293" s="19" t="s">
        <v>724</v>
      </c>
      <c r="E293" s="19" t="s">
        <v>29</v>
      </c>
      <c r="F293" s="19" t="s">
        <v>30</v>
      </c>
      <c r="G293" s="19" t="s">
        <v>31</v>
      </c>
      <c r="J293" s="19" t="s">
        <v>723</v>
      </c>
      <c r="K293" s="19" t="s">
        <v>32</v>
      </c>
      <c r="L293" s="19" t="s">
        <v>721</v>
      </c>
      <c r="M293" s="19">
        <v>101.208996203257</v>
      </c>
      <c r="N293" s="19">
        <v>1321</v>
      </c>
      <c r="O293" s="19">
        <v>0.136911879342484</v>
      </c>
      <c r="P293" s="19" t="s">
        <v>722</v>
      </c>
      <c r="Q293" s="19">
        <v>4.42575</v>
      </c>
      <c r="R293">
        <f t="shared" si="16"/>
        <v>13.21</v>
      </c>
      <c r="T293" s="15" t="s">
        <v>54</v>
      </c>
      <c r="U293" s="17"/>
      <c r="V293" s="16" t="str">
        <f t="shared" si="17"/>
        <v>EN_SPV_14_c03_GAB</v>
      </c>
      <c r="W293" s="12">
        <f t="shared" si="18"/>
        <v>1321</v>
      </c>
      <c r="X293" s="11">
        <f t="shared" si="19"/>
        <v>1321</v>
      </c>
      <c r="Y293" s="17">
        <v>3</v>
      </c>
      <c r="Z293" s="17"/>
      <c r="AC293" s="19" t="s">
        <v>723</v>
      </c>
    </row>
    <row r="294" spans="2:29">
      <c r="B294" s="19" t="s">
        <v>26</v>
      </c>
      <c r="C294" s="19" t="s">
        <v>725</v>
      </c>
      <c r="D294" s="19" t="s">
        <v>726</v>
      </c>
      <c r="E294" s="19" t="s">
        <v>29</v>
      </c>
      <c r="F294" s="19" t="s">
        <v>30</v>
      </c>
      <c r="G294" s="19" t="s">
        <v>31</v>
      </c>
      <c r="J294" s="19" t="s">
        <v>725</v>
      </c>
      <c r="K294" s="19" t="s">
        <v>32</v>
      </c>
      <c r="L294" s="19" t="s">
        <v>721</v>
      </c>
      <c r="M294" s="19">
        <v>138.878712278909</v>
      </c>
      <c r="N294" s="19">
        <v>1321</v>
      </c>
      <c r="O294" s="19">
        <v>0.14125641025641</v>
      </c>
      <c r="P294" s="19" t="s">
        <v>722</v>
      </c>
      <c r="Q294" s="19">
        <v>0.14625</v>
      </c>
      <c r="R294">
        <f t="shared" si="16"/>
        <v>13.21</v>
      </c>
      <c r="T294" s="15" t="s">
        <v>54</v>
      </c>
      <c r="U294" s="17"/>
      <c r="V294" s="16" t="str">
        <f t="shared" si="17"/>
        <v>EN_SPV_14_c04_GAB</v>
      </c>
      <c r="W294" s="12">
        <f t="shared" si="18"/>
        <v>1321</v>
      </c>
      <c r="X294" s="11">
        <f t="shared" si="19"/>
        <v>1321</v>
      </c>
      <c r="Y294" s="17">
        <v>3</v>
      </c>
      <c r="Z294" s="17"/>
      <c r="AC294" s="19" t="s">
        <v>725</v>
      </c>
    </row>
    <row r="295" spans="2:29">
      <c r="B295" s="19" t="s">
        <v>26</v>
      </c>
      <c r="C295" s="19" t="s">
        <v>727</v>
      </c>
      <c r="D295" s="19" t="s">
        <v>728</v>
      </c>
      <c r="E295" s="19" t="s">
        <v>29</v>
      </c>
      <c r="F295" s="19" t="s">
        <v>30</v>
      </c>
      <c r="G295" s="19" t="s">
        <v>31</v>
      </c>
      <c r="J295" s="19" t="s">
        <v>727</v>
      </c>
      <c r="K295" s="19" t="s">
        <v>32</v>
      </c>
      <c r="L295" s="19" t="s">
        <v>721</v>
      </c>
      <c r="M295" s="19">
        <v>88.9549921786477</v>
      </c>
      <c r="N295" s="19">
        <v>1321</v>
      </c>
      <c r="O295" s="19">
        <v>0.150777019002375</v>
      </c>
      <c r="P295" s="19" t="s">
        <v>722</v>
      </c>
      <c r="Q295" s="19">
        <v>2.526</v>
      </c>
      <c r="R295">
        <f t="shared" si="16"/>
        <v>13.21</v>
      </c>
      <c r="T295" s="15" t="s">
        <v>54</v>
      </c>
      <c r="U295" s="17"/>
      <c r="V295" s="16" t="str">
        <f t="shared" si="17"/>
        <v>EN_SPV_15_c02_GAB</v>
      </c>
      <c r="W295" s="12">
        <f t="shared" si="18"/>
        <v>1321</v>
      </c>
      <c r="X295" s="11">
        <f t="shared" si="19"/>
        <v>1321</v>
      </c>
      <c r="Y295" s="17">
        <v>3</v>
      </c>
      <c r="Z295" s="17"/>
      <c r="AC295" s="19" t="s">
        <v>727</v>
      </c>
    </row>
    <row r="296" spans="2:29">
      <c r="B296" s="19" t="s">
        <v>26</v>
      </c>
      <c r="C296" s="19" t="s">
        <v>729</v>
      </c>
      <c r="D296" s="19" t="s">
        <v>730</v>
      </c>
      <c r="E296" s="19" t="s">
        <v>29</v>
      </c>
      <c r="F296" s="19" t="s">
        <v>30</v>
      </c>
      <c r="G296" s="19" t="s">
        <v>31</v>
      </c>
      <c r="J296" s="19" t="s">
        <v>729</v>
      </c>
      <c r="K296" s="19" t="s">
        <v>32</v>
      </c>
      <c r="L296" s="19" t="s">
        <v>721</v>
      </c>
      <c r="M296" s="19">
        <v>101.208996203257</v>
      </c>
      <c r="N296" s="19">
        <v>1321</v>
      </c>
      <c r="O296" s="19">
        <v>0.151450601150026</v>
      </c>
      <c r="P296" s="19" t="s">
        <v>722</v>
      </c>
      <c r="Q296" s="19">
        <v>1.43475</v>
      </c>
      <c r="R296">
        <f t="shared" si="16"/>
        <v>13.21</v>
      </c>
      <c r="T296" s="15" t="s">
        <v>54</v>
      </c>
      <c r="U296" s="17"/>
      <c r="V296" s="16" t="str">
        <f t="shared" si="17"/>
        <v>EN_SPV_15_c03_GAB</v>
      </c>
      <c r="W296" s="12">
        <f t="shared" si="18"/>
        <v>1321</v>
      </c>
      <c r="X296" s="11">
        <f t="shared" si="19"/>
        <v>1321</v>
      </c>
      <c r="Y296" s="17">
        <v>3</v>
      </c>
      <c r="Z296" s="17"/>
      <c r="AC296" s="19" t="s">
        <v>729</v>
      </c>
    </row>
    <row r="297" spans="2:29">
      <c r="B297" s="19" t="s">
        <v>26</v>
      </c>
      <c r="C297" s="19" t="s">
        <v>731</v>
      </c>
      <c r="D297" s="19" t="s">
        <v>732</v>
      </c>
      <c r="E297" s="19" t="s">
        <v>29</v>
      </c>
      <c r="F297" s="19" t="s">
        <v>30</v>
      </c>
      <c r="G297" s="19" t="s">
        <v>31</v>
      </c>
      <c r="J297" s="19" t="s">
        <v>731</v>
      </c>
      <c r="K297" s="19" t="s">
        <v>32</v>
      </c>
      <c r="L297" s="19" t="s">
        <v>721</v>
      </c>
      <c r="M297" s="19">
        <v>101.208996203257</v>
      </c>
      <c r="N297" s="19">
        <v>1321</v>
      </c>
      <c r="O297" s="19">
        <v>0.155</v>
      </c>
      <c r="P297" s="19" t="s">
        <v>722</v>
      </c>
      <c r="Q297" s="19">
        <v>0.186</v>
      </c>
      <c r="R297">
        <f t="shared" si="16"/>
        <v>13.21</v>
      </c>
      <c r="T297" s="15" t="s">
        <v>54</v>
      </c>
      <c r="U297" s="17"/>
      <c r="V297" s="16" t="str">
        <f t="shared" si="17"/>
        <v>EN_SPV_16_c03_GAB</v>
      </c>
      <c r="W297" s="12">
        <f t="shared" si="18"/>
        <v>1321</v>
      </c>
      <c r="X297" s="11">
        <f t="shared" si="19"/>
        <v>1321</v>
      </c>
      <c r="Y297" s="17">
        <v>3</v>
      </c>
      <c r="Z297" s="17"/>
      <c r="AC297" s="19" t="s">
        <v>731</v>
      </c>
    </row>
    <row r="298" spans="2:29">
      <c r="B298" s="19" t="s">
        <v>26</v>
      </c>
      <c r="C298" s="19" t="s">
        <v>733</v>
      </c>
      <c r="D298" s="19" t="s">
        <v>734</v>
      </c>
      <c r="E298" s="19" t="s">
        <v>29</v>
      </c>
      <c r="F298" s="19" t="s">
        <v>30</v>
      </c>
      <c r="G298" s="19" t="s">
        <v>31</v>
      </c>
      <c r="J298" s="19" t="s">
        <v>733</v>
      </c>
      <c r="K298" s="19" t="s">
        <v>32</v>
      </c>
      <c r="L298" s="19" t="s">
        <v>735</v>
      </c>
      <c r="M298" s="19">
        <v>101.208996203257</v>
      </c>
      <c r="N298" s="19">
        <v>859</v>
      </c>
      <c r="O298" s="19">
        <v>0.0931282085651096</v>
      </c>
      <c r="P298" s="19" t="s">
        <v>736</v>
      </c>
      <c r="Q298" s="19">
        <v>22.3815</v>
      </c>
      <c r="R298">
        <f t="shared" si="16"/>
        <v>8.59</v>
      </c>
      <c r="T298" s="15" t="s">
        <v>69</v>
      </c>
      <c r="U298" s="17"/>
      <c r="V298" s="16" t="str">
        <f t="shared" si="17"/>
        <v>EN_SPV_09_c03_GBR</v>
      </c>
      <c r="W298" s="12">
        <f t="shared" si="18"/>
        <v>859</v>
      </c>
      <c r="X298" s="11">
        <f t="shared" si="19"/>
        <v>859</v>
      </c>
      <c r="Y298" s="17">
        <v>3</v>
      </c>
      <c r="Z298" s="17"/>
      <c r="AC298" s="19" t="s">
        <v>733</v>
      </c>
    </row>
    <row r="299" spans="2:29">
      <c r="B299" s="19" t="s">
        <v>26</v>
      </c>
      <c r="C299" s="19" t="s">
        <v>737</v>
      </c>
      <c r="D299" s="19" t="s">
        <v>738</v>
      </c>
      <c r="E299" s="19" t="s">
        <v>29</v>
      </c>
      <c r="F299" s="19" t="s">
        <v>30</v>
      </c>
      <c r="G299" s="19" t="s">
        <v>31</v>
      </c>
      <c r="J299" s="19" t="s">
        <v>737</v>
      </c>
      <c r="K299" s="19" t="s">
        <v>32</v>
      </c>
      <c r="L299" s="19" t="s">
        <v>735</v>
      </c>
      <c r="M299" s="19">
        <v>138.878712278909</v>
      </c>
      <c r="N299" s="19">
        <v>859</v>
      </c>
      <c r="O299" s="19">
        <v>0.0913888111888112</v>
      </c>
      <c r="P299" s="19" t="s">
        <v>736</v>
      </c>
      <c r="Q299" s="19">
        <v>1.0725</v>
      </c>
      <c r="R299">
        <f t="shared" si="16"/>
        <v>8.59</v>
      </c>
      <c r="T299" s="15" t="s">
        <v>69</v>
      </c>
      <c r="U299" s="17"/>
      <c r="V299" s="16" t="str">
        <f t="shared" si="17"/>
        <v>EN_SPV_09_c04_GBR</v>
      </c>
      <c r="W299" s="12">
        <f t="shared" si="18"/>
        <v>859</v>
      </c>
      <c r="X299" s="11">
        <f t="shared" si="19"/>
        <v>859</v>
      </c>
      <c r="Y299" s="17">
        <v>3</v>
      </c>
      <c r="Z299" s="17"/>
      <c r="AC299" s="19" t="s">
        <v>737</v>
      </c>
    </row>
    <row r="300" spans="2:29">
      <c r="B300" s="19" t="s">
        <v>26</v>
      </c>
      <c r="C300" s="19" t="s">
        <v>739</v>
      </c>
      <c r="D300" s="19" t="s">
        <v>740</v>
      </c>
      <c r="E300" s="19" t="s">
        <v>29</v>
      </c>
      <c r="F300" s="19" t="s">
        <v>30</v>
      </c>
      <c r="G300" s="19" t="s">
        <v>31</v>
      </c>
      <c r="J300" s="19" t="s">
        <v>739</v>
      </c>
      <c r="K300" s="19" t="s">
        <v>32</v>
      </c>
      <c r="L300" s="19" t="s">
        <v>735</v>
      </c>
      <c r="M300" s="19">
        <v>101.208996203257</v>
      </c>
      <c r="N300" s="19">
        <v>859</v>
      </c>
      <c r="O300" s="19">
        <v>0.0994504939967939</v>
      </c>
      <c r="P300" s="19" t="s">
        <v>736</v>
      </c>
      <c r="Q300" s="19">
        <v>91.701</v>
      </c>
      <c r="R300">
        <f t="shared" si="16"/>
        <v>8.59</v>
      </c>
      <c r="T300" s="15" t="s">
        <v>69</v>
      </c>
      <c r="U300" s="17"/>
      <c r="V300" s="16" t="str">
        <f t="shared" si="17"/>
        <v>EN_SPV_10_c03_GBR</v>
      </c>
      <c r="W300" s="12">
        <f t="shared" si="18"/>
        <v>859</v>
      </c>
      <c r="X300" s="11">
        <f t="shared" si="19"/>
        <v>859</v>
      </c>
      <c r="Y300" s="17">
        <v>3</v>
      </c>
      <c r="Z300" s="17"/>
      <c r="AC300" s="19" t="s">
        <v>739</v>
      </c>
    </row>
    <row r="301" spans="2:29">
      <c r="B301" s="19" t="s">
        <v>26</v>
      </c>
      <c r="C301" s="19" t="s">
        <v>741</v>
      </c>
      <c r="D301" s="19" t="s">
        <v>742</v>
      </c>
      <c r="E301" s="19" t="s">
        <v>29</v>
      </c>
      <c r="F301" s="19" t="s">
        <v>30</v>
      </c>
      <c r="G301" s="19" t="s">
        <v>31</v>
      </c>
      <c r="J301" s="19" t="s">
        <v>741</v>
      </c>
      <c r="K301" s="19" t="s">
        <v>32</v>
      </c>
      <c r="L301" s="19" t="s">
        <v>735</v>
      </c>
      <c r="M301" s="19">
        <v>138.878712278909</v>
      </c>
      <c r="N301" s="19">
        <v>859</v>
      </c>
      <c r="O301" s="19">
        <v>0.103</v>
      </c>
      <c r="P301" s="19" t="s">
        <v>736</v>
      </c>
      <c r="Q301" s="19">
        <v>0.117</v>
      </c>
      <c r="R301">
        <f t="shared" si="16"/>
        <v>8.59</v>
      </c>
      <c r="T301" s="15" t="s">
        <v>69</v>
      </c>
      <c r="U301" s="17"/>
      <c r="V301" s="16" t="str">
        <f t="shared" si="17"/>
        <v>EN_SPV_10_c04_GBR</v>
      </c>
      <c r="W301" s="12">
        <f t="shared" si="18"/>
        <v>859</v>
      </c>
      <c r="X301" s="11">
        <f t="shared" si="19"/>
        <v>859</v>
      </c>
      <c r="Y301" s="17">
        <v>3</v>
      </c>
      <c r="Z301" s="17"/>
      <c r="AC301" s="19" t="s">
        <v>741</v>
      </c>
    </row>
    <row r="302" spans="2:29">
      <c r="B302" s="19" t="s">
        <v>26</v>
      </c>
      <c r="C302" s="19" t="s">
        <v>743</v>
      </c>
      <c r="D302" s="19" t="s">
        <v>744</v>
      </c>
      <c r="E302" s="19" t="s">
        <v>29</v>
      </c>
      <c r="F302" s="19" t="s">
        <v>30</v>
      </c>
      <c r="G302" s="19" t="s">
        <v>31</v>
      </c>
      <c r="J302" s="19" t="s">
        <v>743</v>
      </c>
      <c r="K302" s="19" t="s">
        <v>32</v>
      </c>
      <c r="L302" s="19" t="s">
        <v>735</v>
      </c>
      <c r="M302" s="19">
        <v>101.208996203257</v>
      </c>
      <c r="N302" s="19">
        <v>859</v>
      </c>
      <c r="O302" s="19">
        <v>0.109780523458165</v>
      </c>
      <c r="P302" s="19" t="s">
        <v>736</v>
      </c>
      <c r="Q302" s="19">
        <v>43.098</v>
      </c>
      <c r="R302">
        <f t="shared" si="16"/>
        <v>8.59</v>
      </c>
      <c r="T302" s="15" t="s">
        <v>69</v>
      </c>
      <c r="U302" s="17"/>
      <c r="V302" s="16" t="str">
        <f t="shared" si="17"/>
        <v>EN_SPV_11_c03_GBR</v>
      </c>
      <c r="W302" s="12">
        <f t="shared" si="18"/>
        <v>859</v>
      </c>
      <c r="X302" s="11">
        <f t="shared" si="19"/>
        <v>859</v>
      </c>
      <c r="Y302" s="17">
        <v>3</v>
      </c>
      <c r="Z302" s="17"/>
      <c r="AC302" s="19" t="s">
        <v>743</v>
      </c>
    </row>
    <row r="303" spans="2:29">
      <c r="B303" s="19" t="s">
        <v>26</v>
      </c>
      <c r="C303" s="19" t="s">
        <v>745</v>
      </c>
      <c r="D303" s="19" t="s">
        <v>746</v>
      </c>
      <c r="E303" s="19" t="s">
        <v>29</v>
      </c>
      <c r="F303" s="19" t="s">
        <v>30</v>
      </c>
      <c r="G303" s="19" t="s">
        <v>31</v>
      </c>
      <c r="J303" s="19" t="s">
        <v>745</v>
      </c>
      <c r="K303" s="19" t="s">
        <v>32</v>
      </c>
      <c r="L303" s="19" t="s">
        <v>735</v>
      </c>
      <c r="M303" s="19">
        <v>101.208996203257</v>
      </c>
      <c r="N303" s="19">
        <v>859</v>
      </c>
      <c r="O303" s="19">
        <v>0.116910456611979</v>
      </c>
      <c r="P303" s="19" t="s">
        <v>736</v>
      </c>
      <c r="Q303" s="19">
        <v>3.79425</v>
      </c>
      <c r="R303">
        <f t="shared" si="16"/>
        <v>8.59</v>
      </c>
      <c r="T303" s="15" t="s">
        <v>69</v>
      </c>
      <c r="U303" s="17"/>
      <c r="V303" s="16" t="str">
        <f t="shared" si="17"/>
        <v>EN_SPV_12_c03_GBR</v>
      </c>
      <c r="W303" s="12">
        <f t="shared" si="18"/>
        <v>859</v>
      </c>
      <c r="X303" s="11">
        <f t="shared" si="19"/>
        <v>859</v>
      </c>
      <c r="Y303" s="17">
        <v>3</v>
      </c>
      <c r="Z303" s="17"/>
      <c r="AC303" s="19" t="s">
        <v>745</v>
      </c>
    </row>
    <row r="304" spans="2:29">
      <c r="B304" s="19" t="s">
        <v>26</v>
      </c>
      <c r="C304" s="19" t="s">
        <v>747</v>
      </c>
      <c r="D304" s="19" t="s">
        <v>748</v>
      </c>
      <c r="E304" s="19" t="s">
        <v>29</v>
      </c>
      <c r="F304" s="19" t="s">
        <v>30</v>
      </c>
      <c r="G304" s="19" t="s">
        <v>31</v>
      </c>
      <c r="J304" s="19" t="s">
        <v>747</v>
      </c>
      <c r="K304" s="19" t="s">
        <v>32</v>
      </c>
      <c r="L304" s="19" t="s">
        <v>749</v>
      </c>
      <c r="M304" s="19">
        <v>88.9549921786477</v>
      </c>
      <c r="N304" s="19">
        <v>859</v>
      </c>
      <c r="O304" s="19">
        <v>0.128129979035639</v>
      </c>
      <c r="P304" s="19" t="s">
        <v>750</v>
      </c>
      <c r="Q304" s="19">
        <v>0.35775</v>
      </c>
      <c r="R304">
        <f t="shared" si="16"/>
        <v>8.59</v>
      </c>
      <c r="T304" s="15" t="s">
        <v>112</v>
      </c>
      <c r="U304" s="17"/>
      <c r="V304" s="16" t="str">
        <f t="shared" si="17"/>
        <v>EN_SPV_13_c02_GEO</v>
      </c>
      <c r="W304" s="12">
        <f t="shared" si="18"/>
        <v>859</v>
      </c>
      <c r="X304" s="11">
        <f t="shared" si="19"/>
        <v>859</v>
      </c>
      <c r="Y304" s="17">
        <v>3</v>
      </c>
      <c r="Z304" s="17"/>
      <c r="AC304" s="19" t="s">
        <v>747</v>
      </c>
    </row>
    <row r="305" spans="2:29">
      <c r="B305" s="19" t="s">
        <v>26</v>
      </c>
      <c r="C305" s="19" t="s">
        <v>751</v>
      </c>
      <c r="D305" s="19" t="s">
        <v>752</v>
      </c>
      <c r="E305" s="19" t="s">
        <v>29</v>
      </c>
      <c r="F305" s="19" t="s">
        <v>30</v>
      </c>
      <c r="G305" s="19" t="s">
        <v>31</v>
      </c>
      <c r="J305" s="19" t="s">
        <v>751</v>
      </c>
      <c r="K305" s="19" t="s">
        <v>32</v>
      </c>
      <c r="L305" s="19" t="s">
        <v>749</v>
      </c>
      <c r="M305" s="19">
        <v>88.9549921786477</v>
      </c>
      <c r="N305" s="19">
        <v>859</v>
      </c>
      <c r="O305" s="19">
        <v>0.139546325213408</v>
      </c>
      <c r="P305" s="19" t="s">
        <v>750</v>
      </c>
      <c r="Q305" s="19">
        <v>3.60225</v>
      </c>
      <c r="R305">
        <f t="shared" si="16"/>
        <v>8.59</v>
      </c>
      <c r="T305" s="15" t="s">
        <v>112</v>
      </c>
      <c r="U305" s="17"/>
      <c r="V305" s="16" t="str">
        <f t="shared" si="17"/>
        <v>EN_SPV_14_c02_GEO</v>
      </c>
      <c r="W305" s="12">
        <f t="shared" si="18"/>
        <v>859</v>
      </c>
      <c r="X305" s="11">
        <f t="shared" si="19"/>
        <v>859</v>
      </c>
      <c r="Y305" s="17">
        <v>3</v>
      </c>
      <c r="Z305" s="17"/>
      <c r="AC305" s="19" t="s">
        <v>751</v>
      </c>
    </row>
    <row r="306" spans="2:29">
      <c r="B306" s="19" t="s">
        <v>26</v>
      </c>
      <c r="C306" s="19" t="s">
        <v>753</v>
      </c>
      <c r="D306" s="19" t="s">
        <v>754</v>
      </c>
      <c r="E306" s="19" t="s">
        <v>29</v>
      </c>
      <c r="F306" s="19" t="s">
        <v>30</v>
      </c>
      <c r="G306" s="19" t="s">
        <v>31</v>
      </c>
      <c r="J306" s="19" t="s">
        <v>753</v>
      </c>
      <c r="K306" s="19" t="s">
        <v>32</v>
      </c>
      <c r="L306" s="19" t="s">
        <v>749</v>
      </c>
      <c r="M306" s="19">
        <v>88.9549921786477</v>
      </c>
      <c r="N306" s="19">
        <v>859</v>
      </c>
      <c r="O306" s="19">
        <v>0.15073506617384</v>
      </c>
      <c r="P306" s="19" t="s">
        <v>750</v>
      </c>
      <c r="Q306" s="19">
        <v>6.29025</v>
      </c>
      <c r="R306">
        <f t="shared" si="16"/>
        <v>8.59</v>
      </c>
      <c r="T306" s="15" t="s">
        <v>112</v>
      </c>
      <c r="U306" s="17"/>
      <c r="V306" s="16" t="str">
        <f t="shared" si="17"/>
        <v>EN_SPV_15_c02_GEO</v>
      </c>
      <c r="W306" s="12">
        <f t="shared" si="18"/>
        <v>859</v>
      </c>
      <c r="X306" s="11">
        <f t="shared" si="19"/>
        <v>859</v>
      </c>
      <c r="Y306" s="17">
        <v>3</v>
      </c>
      <c r="Z306" s="17"/>
      <c r="AC306" s="19" t="s">
        <v>753</v>
      </c>
    </row>
    <row r="307" spans="2:29">
      <c r="B307" s="19" t="s">
        <v>26</v>
      </c>
      <c r="C307" s="19" t="s">
        <v>755</v>
      </c>
      <c r="D307" s="19" t="s">
        <v>756</v>
      </c>
      <c r="E307" s="19" t="s">
        <v>29</v>
      </c>
      <c r="F307" s="19" t="s">
        <v>30</v>
      </c>
      <c r="G307" s="19" t="s">
        <v>31</v>
      </c>
      <c r="J307" s="19" t="s">
        <v>755</v>
      </c>
      <c r="K307" s="19" t="s">
        <v>32</v>
      </c>
      <c r="L307" s="19" t="s">
        <v>749</v>
      </c>
      <c r="M307" s="19">
        <v>0</v>
      </c>
      <c r="N307" s="19">
        <v>859</v>
      </c>
      <c r="O307" s="19">
        <v>0.162</v>
      </c>
      <c r="P307" s="19" t="s">
        <v>750</v>
      </c>
      <c r="Q307" s="19">
        <v>0.126</v>
      </c>
      <c r="R307">
        <f t="shared" si="16"/>
        <v>8.59</v>
      </c>
      <c r="T307" s="15" t="s">
        <v>112</v>
      </c>
      <c r="U307" s="17"/>
      <c r="V307" s="16" t="str">
        <f t="shared" si="17"/>
        <v>EN_SPV_16_c01_GEO</v>
      </c>
      <c r="W307" s="12">
        <f t="shared" si="18"/>
        <v>859</v>
      </c>
      <c r="X307" s="11">
        <f t="shared" si="19"/>
        <v>859</v>
      </c>
      <c r="Y307" s="17">
        <v>3</v>
      </c>
      <c r="Z307" s="17"/>
      <c r="AC307" s="19" t="s">
        <v>755</v>
      </c>
    </row>
    <row r="308" spans="2:29">
      <c r="B308" s="19" t="s">
        <v>26</v>
      </c>
      <c r="C308" s="19" t="s">
        <v>757</v>
      </c>
      <c r="D308" s="19" t="s">
        <v>758</v>
      </c>
      <c r="E308" s="19" t="s">
        <v>29</v>
      </c>
      <c r="F308" s="19" t="s">
        <v>30</v>
      </c>
      <c r="G308" s="19" t="s">
        <v>31</v>
      </c>
      <c r="J308" s="19" t="s">
        <v>757</v>
      </c>
      <c r="K308" s="19" t="s">
        <v>32</v>
      </c>
      <c r="L308" s="19" t="s">
        <v>749</v>
      </c>
      <c r="M308" s="19">
        <v>88.9549921786477</v>
      </c>
      <c r="N308" s="19">
        <v>859</v>
      </c>
      <c r="O308" s="19">
        <v>0.155702290076336</v>
      </c>
      <c r="P308" s="19" t="s">
        <v>750</v>
      </c>
      <c r="Q308" s="19">
        <v>0.5895</v>
      </c>
      <c r="R308">
        <f t="shared" si="16"/>
        <v>8.59</v>
      </c>
      <c r="T308" s="15" t="s">
        <v>112</v>
      </c>
      <c r="U308" s="17"/>
      <c r="V308" s="16" t="str">
        <f t="shared" si="17"/>
        <v>EN_SPV_16_c02_GEO</v>
      </c>
      <c r="W308" s="12">
        <f t="shared" si="18"/>
        <v>859</v>
      </c>
      <c r="X308" s="11">
        <f t="shared" si="19"/>
        <v>859</v>
      </c>
      <c r="Y308" s="17">
        <v>3</v>
      </c>
      <c r="Z308" s="17"/>
      <c r="AC308" s="19" t="s">
        <v>757</v>
      </c>
    </row>
    <row r="309" spans="2:29">
      <c r="B309" s="19" t="s">
        <v>26</v>
      </c>
      <c r="C309" s="19" t="s">
        <v>759</v>
      </c>
      <c r="D309" s="19" t="s">
        <v>760</v>
      </c>
      <c r="E309" s="19" t="s">
        <v>29</v>
      </c>
      <c r="F309" s="19" t="s">
        <v>30</v>
      </c>
      <c r="G309" s="19" t="s">
        <v>31</v>
      </c>
      <c r="J309" s="19" t="s">
        <v>759</v>
      </c>
      <c r="K309" s="19" t="s">
        <v>32</v>
      </c>
      <c r="L309" s="19" t="s">
        <v>761</v>
      </c>
      <c r="M309" s="19">
        <v>0</v>
      </c>
      <c r="N309" s="19">
        <v>1621</v>
      </c>
      <c r="O309" s="19">
        <v>0.149</v>
      </c>
      <c r="P309" s="19" t="s">
        <v>762</v>
      </c>
      <c r="Q309" s="19">
        <v>2.06475</v>
      </c>
      <c r="R309">
        <f t="shared" si="16"/>
        <v>16.21</v>
      </c>
      <c r="T309" s="15" t="s">
        <v>54</v>
      </c>
      <c r="U309" s="17"/>
      <c r="V309" s="16" t="str">
        <f t="shared" si="17"/>
        <v>EN_SPV_15_c01_GHA</v>
      </c>
      <c r="W309" s="12">
        <f t="shared" si="18"/>
        <v>1621</v>
      </c>
      <c r="X309" s="11">
        <f t="shared" si="19"/>
        <v>1621</v>
      </c>
      <c r="Y309" s="17">
        <v>3</v>
      </c>
      <c r="Z309" s="17"/>
      <c r="AC309" s="19" t="s">
        <v>759</v>
      </c>
    </row>
    <row r="310" spans="2:29">
      <c r="B310" s="19" t="s">
        <v>26</v>
      </c>
      <c r="C310" s="19" t="s">
        <v>763</v>
      </c>
      <c r="D310" s="19" t="s">
        <v>764</v>
      </c>
      <c r="E310" s="19" t="s">
        <v>29</v>
      </c>
      <c r="F310" s="19" t="s">
        <v>30</v>
      </c>
      <c r="G310" s="19" t="s">
        <v>31</v>
      </c>
      <c r="J310" s="19" t="s">
        <v>763</v>
      </c>
      <c r="K310" s="19" t="s">
        <v>32</v>
      </c>
      <c r="L310" s="19" t="s">
        <v>761</v>
      </c>
      <c r="M310" s="19">
        <v>88.9549921786477</v>
      </c>
      <c r="N310" s="19">
        <v>1621</v>
      </c>
      <c r="O310" s="19">
        <v>0.148363866714734</v>
      </c>
      <c r="P310" s="19" t="s">
        <v>762</v>
      </c>
      <c r="Q310" s="19">
        <v>72.81375</v>
      </c>
      <c r="R310">
        <f t="shared" si="16"/>
        <v>16.21</v>
      </c>
      <c r="T310" s="15" t="s">
        <v>54</v>
      </c>
      <c r="U310" s="17"/>
      <c r="V310" s="16" t="str">
        <f t="shared" si="17"/>
        <v>EN_SPV_15_c02_GHA</v>
      </c>
      <c r="W310" s="12">
        <f t="shared" si="18"/>
        <v>1621</v>
      </c>
      <c r="X310" s="11">
        <f t="shared" si="19"/>
        <v>1621</v>
      </c>
      <c r="Y310" s="17">
        <v>3</v>
      </c>
      <c r="Z310" s="17"/>
      <c r="AC310" s="19" t="s">
        <v>763</v>
      </c>
    </row>
    <row r="311" spans="2:29">
      <c r="B311" s="19" t="s">
        <v>26</v>
      </c>
      <c r="C311" s="19" t="s">
        <v>765</v>
      </c>
      <c r="D311" s="19" t="s">
        <v>766</v>
      </c>
      <c r="E311" s="19" t="s">
        <v>29</v>
      </c>
      <c r="F311" s="19" t="s">
        <v>30</v>
      </c>
      <c r="G311" s="19" t="s">
        <v>31</v>
      </c>
      <c r="J311" s="19" t="s">
        <v>765</v>
      </c>
      <c r="K311" s="19" t="s">
        <v>32</v>
      </c>
      <c r="L311" s="19" t="s">
        <v>761</v>
      </c>
      <c r="M311" s="19">
        <v>0</v>
      </c>
      <c r="N311" s="19">
        <v>1621</v>
      </c>
      <c r="O311" s="19">
        <v>0.158388134057971</v>
      </c>
      <c r="P311" s="19" t="s">
        <v>762</v>
      </c>
      <c r="Q311" s="19">
        <v>3.312</v>
      </c>
      <c r="R311">
        <f t="shared" si="16"/>
        <v>16.21</v>
      </c>
      <c r="T311" s="15" t="s">
        <v>54</v>
      </c>
      <c r="U311" s="17"/>
      <c r="V311" s="16" t="str">
        <f t="shared" si="17"/>
        <v>EN_SPV_16_c01_GHA</v>
      </c>
      <c r="W311" s="12">
        <f t="shared" si="18"/>
        <v>1621</v>
      </c>
      <c r="X311" s="11">
        <f t="shared" si="19"/>
        <v>1621</v>
      </c>
      <c r="Y311" s="17">
        <v>3</v>
      </c>
      <c r="Z311" s="17"/>
      <c r="AC311" s="19" t="s">
        <v>765</v>
      </c>
    </row>
    <row r="312" spans="2:29">
      <c r="B312" s="19" t="s">
        <v>26</v>
      </c>
      <c r="C312" s="19" t="s">
        <v>767</v>
      </c>
      <c r="D312" s="19" t="s">
        <v>768</v>
      </c>
      <c r="E312" s="19" t="s">
        <v>29</v>
      </c>
      <c r="F312" s="19" t="s">
        <v>30</v>
      </c>
      <c r="G312" s="19" t="s">
        <v>31</v>
      </c>
      <c r="J312" s="19" t="s">
        <v>767</v>
      </c>
      <c r="K312" s="19" t="s">
        <v>32</v>
      </c>
      <c r="L312" s="19" t="s">
        <v>761</v>
      </c>
      <c r="M312" s="19">
        <v>88.9549921786477</v>
      </c>
      <c r="N312" s="19">
        <v>1621</v>
      </c>
      <c r="O312" s="19">
        <v>0.157081731919305</v>
      </c>
      <c r="P312" s="19" t="s">
        <v>762</v>
      </c>
      <c r="Q312" s="19">
        <v>9.40575</v>
      </c>
      <c r="R312">
        <f t="shared" si="16"/>
        <v>16.21</v>
      </c>
      <c r="T312" s="15" t="s">
        <v>54</v>
      </c>
      <c r="U312" s="17"/>
      <c r="V312" s="16" t="str">
        <f t="shared" si="17"/>
        <v>EN_SPV_16_c02_GHA</v>
      </c>
      <c r="W312" s="12">
        <f t="shared" si="18"/>
        <v>1621</v>
      </c>
      <c r="X312" s="11">
        <f t="shared" si="19"/>
        <v>1621</v>
      </c>
      <c r="Y312" s="17">
        <v>3</v>
      </c>
      <c r="Z312" s="17"/>
      <c r="AC312" s="19" t="s">
        <v>767</v>
      </c>
    </row>
    <row r="313" spans="2:29">
      <c r="B313" s="19" t="s">
        <v>26</v>
      </c>
      <c r="C313" s="19" t="s">
        <v>769</v>
      </c>
      <c r="D313" s="19" t="s">
        <v>770</v>
      </c>
      <c r="E313" s="19" t="s">
        <v>29</v>
      </c>
      <c r="F313" s="19" t="s">
        <v>30</v>
      </c>
      <c r="G313" s="19" t="s">
        <v>31</v>
      </c>
      <c r="J313" s="19" t="s">
        <v>769</v>
      </c>
      <c r="K313" s="19" t="s">
        <v>32</v>
      </c>
      <c r="L313" s="19" t="s">
        <v>761</v>
      </c>
      <c r="M313" s="19">
        <v>0</v>
      </c>
      <c r="N313" s="19">
        <v>1621</v>
      </c>
      <c r="O313" s="19">
        <v>0.171513925937549</v>
      </c>
      <c r="P313" s="19" t="s">
        <v>762</v>
      </c>
      <c r="Q313" s="19">
        <v>19.119</v>
      </c>
      <c r="R313">
        <f t="shared" si="16"/>
        <v>16.21</v>
      </c>
      <c r="T313" s="15" t="s">
        <v>54</v>
      </c>
      <c r="U313" s="17"/>
      <c r="V313" s="16" t="str">
        <f t="shared" si="17"/>
        <v>EN_SPV_17_c01_GHA</v>
      </c>
      <c r="W313" s="12">
        <f t="shared" si="18"/>
        <v>1621</v>
      </c>
      <c r="X313" s="11">
        <f t="shared" si="19"/>
        <v>1621</v>
      </c>
      <c r="Y313" s="17">
        <v>3</v>
      </c>
      <c r="Z313" s="17"/>
      <c r="AC313" s="19" t="s">
        <v>769</v>
      </c>
    </row>
    <row r="314" spans="2:29">
      <c r="B314" s="19" t="s">
        <v>26</v>
      </c>
      <c r="C314" s="19" t="s">
        <v>771</v>
      </c>
      <c r="D314" s="19" t="s">
        <v>772</v>
      </c>
      <c r="E314" s="19" t="s">
        <v>29</v>
      </c>
      <c r="F314" s="19" t="s">
        <v>30</v>
      </c>
      <c r="G314" s="19" t="s">
        <v>31</v>
      </c>
      <c r="J314" s="19" t="s">
        <v>771</v>
      </c>
      <c r="K314" s="19" t="s">
        <v>32</v>
      </c>
      <c r="L314" s="19" t="s">
        <v>761</v>
      </c>
      <c r="M314" s="19">
        <v>88.9549921786477</v>
      </c>
      <c r="N314" s="19">
        <v>1621</v>
      </c>
      <c r="O314" s="19">
        <v>0.170009002874868</v>
      </c>
      <c r="P314" s="19" t="s">
        <v>762</v>
      </c>
      <c r="Q314" s="19">
        <v>19.827</v>
      </c>
      <c r="R314">
        <f t="shared" si="16"/>
        <v>16.21</v>
      </c>
      <c r="T314" s="15" t="s">
        <v>54</v>
      </c>
      <c r="U314" s="17"/>
      <c r="V314" s="16" t="str">
        <f t="shared" si="17"/>
        <v>EN_SPV_17_c02_GHA</v>
      </c>
      <c r="W314" s="12">
        <f t="shared" si="18"/>
        <v>1621</v>
      </c>
      <c r="X314" s="11">
        <f t="shared" si="19"/>
        <v>1621</v>
      </c>
      <c r="Y314" s="17">
        <v>3</v>
      </c>
      <c r="Z314" s="17"/>
      <c r="AC314" s="19" t="s">
        <v>771</v>
      </c>
    </row>
    <row r="315" spans="2:29">
      <c r="B315" s="19" t="s">
        <v>26</v>
      </c>
      <c r="C315" s="19" t="s">
        <v>773</v>
      </c>
      <c r="D315" s="19" t="s">
        <v>774</v>
      </c>
      <c r="E315" s="19" t="s">
        <v>29</v>
      </c>
      <c r="F315" s="19" t="s">
        <v>30</v>
      </c>
      <c r="G315" s="19" t="s">
        <v>31</v>
      </c>
      <c r="J315" s="19" t="s">
        <v>773</v>
      </c>
      <c r="K315" s="19" t="s">
        <v>32</v>
      </c>
      <c r="L315" s="19" t="s">
        <v>761</v>
      </c>
      <c r="M315" s="19">
        <v>0</v>
      </c>
      <c r="N315" s="19">
        <v>1621</v>
      </c>
      <c r="O315" s="19">
        <v>0.175337974279945</v>
      </c>
      <c r="P315" s="19" t="s">
        <v>762</v>
      </c>
      <c r="Q315" s="19">
        <v>7.05675</v>
      </c>
      <c r="R315">
        <f t="shared" si="16"/>
        <v>16.21</v>
      </c>
      <c r="T315" s="15" t="s">
        <v>54</v>
      </c>
      <c r="U315" s="17"/>
      <c r="V315" s="16" t="str">
        <f t="shared" si="17"/>
        <v>EN_SPV_18_c01_GHA</v>
      </c>
      <c r="W315" s="12">
        <f t="shared" si="18"/>
        <v>1621</v>
      </c>
      <c r="X315" s="11">
        <f t="shared" si="19"/>
        <v>1621</v>
      </c>
      <c r="Y315" s="17">
        <v>3</v>
      </c>
      <c r="Z315" s="17"/>
      <c r="AC315" s="19" t="s">
        <v>773</v>
      </c>
    </row>
    <row r="316" spans="2:29">
      <c r="B316" s="19" t="s">
        <v>26</v>
      </c>
      <c r="C316" s="19" t="s">
        <v>775</v>
      </c>
      <c r="D316" s="19" t="s">
        <v>776</v>
      </c>
      <c r="E316" s="19" t="s">
        <v>29</v>
      </c>
      <c r="F316" s="19" t="s">
        <v>30</v>
      </c>
      <c r="G316" s="19" t="s">
        <v>31</v>
      </c>
      <c r="J316" s="19" t="s">
        <v>775</v>
      </c>
      <c r="K316" s="19" t="s">
        <v>32</v>
      </c>
      <c r="L316" s="19" t="s">
        <v>761</v>
      </c>
      <c r="M316" s="19">
        <v>88.9549921786477</v>
      </c>
      <c r="N316" s="19">
        <v>1621</v>
      </c>
      <c r="O316" s="19">
        <v>0.175</v>
      </c>
      <c r="P316" s="19" t="s">
        <v>762</v>
      </c>
      <c r="Q316" s="19">
        <v>1.5165</v>
      </c>
      <c r="R316">
        <f t="shared" si="16"/>
        <v>16.21</v>
      </c>
      <c r="T316" s="15" t="s">
        <v>54</v>
      </c>
      <c r="U316" s="17"/>
      <c r="V316" s="16" t="str">
        <f t="shared" si="17"/>
        <v>EN_SPV_18_c02_GHA</v>
      </c>
      <c r="W316" s="12">
        <f t="shared" si="18"/>
        <v>1621</v>
      </c>
      <c r="X316" s="11">
        <f t="shared" si="19"/>
        <v>1621</v>
      </c>
      <c r="Y316" s="17">
        <v>3</v>
      </c>
      <c r="Z316" s="17"/>
      <c r="AC316" s="19" t="s">
        <v>775</v>
      </c>
    </row>
    <row r="317" spans="2:29">
      <c r="B317" s="19" t="s">
        <v>26</v>
      </c>
      <c r="C317" s="19" t="s">
        <v>777</v>
      </c>
      <c r="D317" s="19" t="s">
        <v>778</v>
      </c>
      <c r="E317" s="19" t="s">
        <v>29</v>
      </c>
      <c r="F317" s="19" t="s">
        <v>30</v>
      </c>
      <c r="G317" s="19" t="s">
        <v>31</v>
      </c>
      <c r="J317" s="19" t="s">
        <v>777</v>
      </c>
      <c r="K317" s="19" t="s">
        <v>32</v>
      </c>
      <c r="L317" s="19" t="s">
        <v>779</v>
      </c>
      <c r="M317" s="19">
        <v>0</v>
      </c>
      <c r="N317" s="19">
        <v>1621</v>
      </c>
      <c r="O317" s="19">
        <v>0.179727505793029</v>
      </c>
      <c r="P317" s="19" t="s">
        <v>780</v>
      </c>
      <c r="Q317" s="19">
        <v>15.21225</v>
      </c>
      <c r="R317">
        <f t="shared" si="16"/>
        <v>16.21</v>
      </c>
      <c r="T317" s="15" t="s">
        <v>54</v>
      </c>
      <c r="U317" s="17"/>
      <c r="V317" s="16" t="str">
        <f t="shared" si="17"/>
        <v>EN_SPV_18_c01_GIN</v>
      </c>
      <c r="W317" s="12">
        <f t="shared" si="18"/>
        <v>1621</v>
      </c>
      <c r="X317" s="11">
        <f t="shared" si="19"/>
        <v>1621</v>
      </c>
      <c r="Y317" s="17">
        <v>3</v>
      </c>
      <c r="Z317" s="17"/>
      <c r="AC317" s="19" t="s">
        <v>777</v>
      </c>
    </row>
    <row r="318" spans="2:29">
      <c r="B318" s="19" t="s">
        <v>26</v>
      </c>
      <c r="C318" s="19" t="s">
        <v>781</v>
      </c>
      <c r="D318" s="19" t="s">
        <v>782</v>
      </c>
      <c r="E318" s="19" t="s">
        <v>29</v>
      </c>
      <c r="F318" s="19" t="s">
        <v>30</v>
      </c>
      <c r="G318" s="19" t="s">
        <v>31</v>
      </c>
      <c r="J318" s="19" t="s">
        <v>781</v>
      </c>
      <c r="K318" s="19" t="s">
        <v>32</v>
      </c>
      <c r="L318" s="19" t="s">
        <v>779</v>
      </c>
      <c r="M318" s="19">
        <v>88.9549921786477</v>
      </c>
      <c r="N318" s="19">
        <v>1621</v>
      </c>
      <c r="O318" s="19">
        <v>0.179023950325251</v>
      </c>
      <c r="P318" s="19" t="s">
        <v>780</v>
      </c>
      <c r="Q318" s="19">
        <v>2.5365</v>
      </c>
      <c r="R318">
        <f t="shared" si="16"/>
        <v>16.21</v>
      </c>
      <c r="T318" s="15" t="s">
        <v>54</v>
      </c>
      <c r="U318" s="17"/>
      <c r="V318" s="16" t="str">
        <f t="shared" si="17"/>
        <v>EN_SPV_18_c02_GIN</v>
      </c>
      <c r="W318" s="12">
        <f t="shared" si="18"/>
        <v>1621</v>
      </c>
      <c r="X318" s="11">
        <f t="shared" si="19"/>
        <v>1621</v>
      </c>
      <c r="Y318" s="17">
        <v>3</v>
      </c>
      <c r="Z318" s="17"/>
      <c r="AC318" s="19" t="s">
        <v>781</v>
      </c>
    </row>
    <row r="319" spans="2:29">
      <c r="B319" s="19" t="s">
        <v>26</v>
      </c>
      <c r="C319" s="19" t="s">
        <v>783</v>
      </c>
      <c r="D319" s="19" t="s">
        <v>784</v>
      </c>
      <c r="E319" s="19" t="s">
        <v>29</v>
      </c>
      <c r="F319" s="19" t="s">
        <v>30</v>
      </c>
      <c r="G319" s="19" t="s">
        <v>31</v>
      </c>
      <c r="J319" s="19" t="s">
        <v>783</v>
      </c>
      <c r="K319" s="19" t="s">
        <v>32</v>
      </c>
      <c r="L319" s="19" t="s">
        <v>779</v>
      </c>
      <c r="M319" s="19">
        <v>101.208996203257</v>
      </c>
      <c r="N319" s="19">
        <v>1621</v>
      </c>
      <c r="O319" s="19">
        <v>0.178563131313131</v>
      </c>
      <c r="P319" s="19" t="s">
        <v>780</v>
      </c>
      <c r="Q319" s="19">
        <v>0.891</v>
      </c>
      <c r="R319">
        <f t="shared" si="16"/>
        <v>16.21</v>
      </c>
      <c r="T319" s="15" t="s">
        <v>54</v>
      </c>
      <c r="U319" s="17"/>
      <c r="V319" s="16" t="str">
        <f t="shared" si="17"/>
        <v>EN_SPV_18_c03_GIN</v>
      </c>
      <c r="W319" s="12">
        <f t="shared" si="18"/>
        <v>1621</v>
      </c>
      <c r="X319" s="11">
        <f t="shared" si="19"/>
        <v>1621</v>
      </c>
      <c r="Y319" s="17">
        <v>3</v>
      </c>
      <c r="Z319" s="17"/>
      <c r="AC319" s="19" t="s">
        <v>783</v>
      </c>
    </row>
    <row r="320" spans="2:29">
      <c r="B320" s="19" t="s">
        <v>26</v>
      </c>
      <c r="C320" s="19" t="s">
        <v>785</v>
      </c>
      <c r="D320" s="19" t="s">
        <v>786</v>
      </c>
      <c r="E320" s="19" t="s">
        <v>29</v>
      </c>
      <c r="F320" s="19" t="s">
        <v>30</v>
      </c>
      <c r="G320" s="19" t="s">
        <v>31</v>
      </c>
      <c r="J320" s="19" t="s">
        <v>785</v>
      </c>
      <c r="K320" s="19" t="s">
        <v>32</v>
      </c>
      <c r="L320" s="19" t="s">
        <v>787</v>
      </c>
      <c r="M320" s="19">
        <v>0</v>
      </c>
      <c r="N320" s="19">
        <v>1621</v>
      </c>
      <c r="O320" s="19">
        <v>0.181302358574215</v>
      </c>
      <c r="P320" s="19" t="s">
        <v>788</v>
      </c>
      <c r="Q320" s="19">
        <v>4.22925</v>
      </c>
      <c r="R320">
        <f t="shared" si="16"/>
        <v>16.21</v>
      </c>
      <c r="T320" s="15" t="s">
        <v>54</v>
      </c>
      <c r="U320" s="17"/>
      <c r="V320" s="16" t="str">
        <f t="shared" si="17"/>
        <v>EN_SPV_18_c01_GMB</v>
      </c>
      <c r="W320" s="12">
        <f t="shared" si="18"/>
        <v>1621</v>
      </c>
      <c r="X320" s="11">
        <f t="shared" si="19"/>
        <v>1621</v>
      </c>
      <c r="Y320" s="17">
        <v>3</v>
      </c>
      <c r="Z320" s="17"/>
      <c r="AC320" s="19" t="s">
        <v>785</v>
      </c>
    </row>
    <row r="321" spans="2:29">
      <c r="B321" s="19" t="s">
        <v>26</v>
      </c>
      <c r="C321" s="19" t="s">
        <v>789</v>
      </c>
      <c r="D321" s="19" t="s">
        <v>790</v>
      </c>
      <c r="E321" s="19" t="s">
        <v>29</v>
      </c>
      <c r="F321" s="19" t="s">
        <v>30</v>
      </c>
      <c r="G321" s="19" t="s">
        <v>31</v>
      </c>
      <c r="J321" s="19" t="s">
        <v>789</v>
      </c>
      <c r="K321" s="19" t="s">
        <v>32</v>
      </c>
      <c r="L321" s="19" t="s">
        <v>791</v>
      </c>
      <c r="M321" s="19">
        <v>101.208996203257</v>
      </c>
      <c r="N321" s="19">
        <v>1621</v>
      </c>
      <c r="O321" s="19">
        <v>0.171910987482615</v>
      </c>
      <c r="P321" s="19" t="s">
        <v>792</v>
      </c>
      <c r="Q321" s="19">
        <v>0.53925</v>
      </c>
      <c r="R321">
        <f t="shared" si="16"/>
        <v>16.21</v>
      </c>
      <c r="T321" s="15" t="s">
        <v>54</v>
      </c>
      <c r="U321" s="17"/>
      <c r="V321" s="16" t="str">
        <f t="shared" si="17"/>
        <v>EN_SPV_17_c03_GNB</v>
      </c>
      <c r="W321" s="12">
        <f t="shared" si="18"/>
        <v>1621</v>
      </c>
      <c r="X321" s="11">
        <f t="shared" si="19"/>
        <v>1621</v>
      </c>
      <c r="Y321" s="17">
        <v>3</v>
      </c>
      <c r="Z321" s="17"/>
      <c r="AC321" s="19" t="s">
        <v>789</v>
      </c>
    </row>
    <row r="322" spans="2:29">
      <c r="B322" s="19" t="s">
        <v>26</v>
      </c>
      <c r="C322" s="19" t="s">
        <v>793</v>
      </c>
      <c r="D322" s="19" t="s">
        <v>794</v>
      </c>
      <c r="E322" s="19" t="s">
        <v>29</v>
      </c>
      <c r="F322" s="19" t="s">
        <v>30</v>
      </c>
      <c r="G322" s="19" t="s">
        <v>31</v>
      </c>
      <c r="J322" s="19" t="s">
        <v>793</v>
      </c>
      <c r="K322" s="19" t="s">
        <v>32</v>
      </c>
      <c r="L322" s="19" t="s">
        <v>791</v>
      </c>
      <c r="M322" s="19">
        <v>138.878712278909</v>
      </c>
      <c r="N322" s="19">
        <v>1621</v>
      </c>
      <c r="O322" s="19">
        <v>0.172829986613119</v>
      </c>
      <c r="P322" s="19" t="s">
        <v>792</v>
      </c>
      <c r="Q322" s="19">
        <v>0.56025</v>
      </c>
      <c r="R322">
        <f t="shared" si="16"/>
        <v>16.21</v>
      </c>
      <c r="T322" s="15" t="s">
        <v>54</v>
      </c>
      <c r="U322" s="17"/>
      <c r="V322" s="16" t="str">
        <f t="shared" si="17"/>
        <v>EN_SPV_17_c04_GNB</v>
      </c>
      <c r="W322" s="12">
        <f t="shared" si="18"/>
        <v>1621</v>
      </c>
      <c r="X322" s="11">
        <f t="shared" si="19"/>
        <v>1621</v>
      </c>
      <c r="Y322" s="17">
        <v>3</v>
      </c>
      <c r="Z322" s="17"/>
      <c r="AC322" s="19" t="s">
        <v>793</v>
      </c>
    </row>
    <row r="323" spans="2:29">
      <c r="B323" s="19" t="s">
        <v>26</v>
      </c>
      <c r="C323" s="19" t="s">
        <v>795</v>
      </c>
      <c r="D323" s="19" t="s">
        <v>796</v>
      </c>
      <c r="E323" s="19" t="s">
        <v>29</v>
      </c>
      <c r="F323" s="19" t="s">
        <v>30</v>
      </c>
      <c r="G323" s="19" t="s">
        <v>31</v>
      </c>
      <c r="J323" s="19" t="s">
        <v>795</v>
      </c>
      <c r="K323" s="19" t="s">
        <v>32</v>
      </c>
      <c r="L323" s="19" t="s">
        <v>791</v>
      </c>
      <c r="M323" s="19">
        <v>0</v>
      </c>
      <c r="N323" s="19">
        <v>1621</v>
      </c>
      <c r="O323" s="19">
        <v>0.177220637583893</v>
      </c>
      <c r="P323" s="19" t="s">
        <v>792</v>
      </c>
      <c r="Q323" s="19">
        <v>0.894</v>
      </c>
      <c r="R323">
        <f t="shared" si="16"/>
        <v>16.21</v>
      </c>
      <c r="T323" s="15" t="s">
        <v>54</v>
      </c>
      <c r="U323" s="17"/>
      <c r="V323" s="16" t="str">
        <f t="shared" si="17"/>
        <v>EN_SPV_18_c01_GNB</v>
      </c>
      <c r="W323" s="12">
        <f t="shared" si="18"/>
        <v>1621</v>
      </c>
      <c r="X323" s="11">
        <f t="shared" si="19"/>
        <v>1621</v>
      </c>
      <c r="Y323" s="17">
        <v>3</v>
      </c>
      <c r="Z323" s="17"/>
      <c r="AC323" s="19" t="s">
        <v>795</v>
      </c>
    </row>
    <row r="324" spans="2:29">
      <c r="B324" s="19" t="s">
        <v>26</v>
      </c>
      <c r="C324" s="19" t="s">
        <v>797</v>
      </c>
      <c r="D324" s="19" t="s">
        <v>798</v>
      </c>
      <c r="E324" s="19" t="s">
        <v>29</v>
      </c>
      <c r="F324" s="19" t="s">
        <v>30</v>
      </c>
      <c r="G324" s="19" t="s">
        <v>31</v>
      </c>
      <c r="J324" s="19" t="s">
        <v>797</v>
      </c>
      <c r="K324" s="19" t="s">
        <v>32</v>
      </c>
      <c r="L324" s="19" t="s">
        <v>791</v>
      </c>
      <c r="M324" s="19">
        <v>88.9549921786477</v>
      </c>
      <c r="N324" s="19">
        <v>1621</v>
      </c>
      <c r="O324" s="19">
        <v>0.176</v>
      </c>
      <c r="P324" s="19" t="s">
        <v>792</v>
      </c>
      <c r="Q324" s="19">
        <v>0.34575</v>
      </c>
      <c r="R324">
        <f t="shared" si="16"/>
        <v>16.21</v>
      </c>
      <c r="T324" s="15" t="s">
        <v>54</v>
      </c>
      <c r="U324" s="17"/>
      <c r="V324" s="16" t="str">
        <f t="shared" si="17"/>
        <v>EN_SPV_18_c02_GNB</v>
      </c>
      <c r="W324" s="12">
        <f t="shared" si="18"/>
        <v>1621</v>
      </c>
      <c r="X324" s="11">
        <f t="shared" si="19"/>
        <v>1621</v>
      </c>
      <c r="Y324" s="17">
        <v>3</v>
      </c>
      <c r="Z324" s="17"/>
      <c r="AC324" s="19" t="s">
        <v>797</v>
      </c>
    </row>
    <row r="325" spans="2:29">
      <c r="B325" s="19" t="s">
        <v>26</v>
      </c>
      <c r="C325" s="19" t="s">
        <v>799</v>
      </c>
      <c r="D325" s="19" t="s">
        <v>800</v>
      </c>
      <c r="E325" s="19" t="s">
        <v>29</v>
      </c>
      <c r="F325" s="19" t="s">
        <v>30</v>
      </c>
      <c r="G325" s="19" t="s">
        <v>31</v>
      </c>
      <c r="J325" s="19" t="s">
        <v>799</v>
      </c>
      <c r="K325" s="19" t="s">
        <v>32</v>
      </c>
      <c r="L325" s="19" t="s">
        <v>791</v>
      </c>
      <c r="M325" s="19">
        <v>101.208996203257</v>
      </c>
      <c r="N325" s="19">
        <v>1621</v>
      </c>
      <c r="O325" s="19">
        <v>0.176001436781609</v>
      </c>
      <c r="P325" s="19" t="s">
        <v>792</v>
      </c>
      <c r="Q325" s="19">
        <v>0.522</v>
      </c>
      <c r="R325">
        <f t="shared" si="16"/>
        <v>16.21</v>
      </c>
      <c r="T325" s="15" t="s">
        <v>54</v>
      </c>
      <c r="U325" s="17"/>
      <c r="V325" s="16" t="str">
        <f t="shared" si="17"/>
        <v>EN_SPV_18_c03_GNB</v>
      </c>
      <c r="W325" s="12">
        <f t="shared" si="18"/>
        <v>1621</v>
      </c>
      <c r="X325" s="11">
        <f t="shared" si="19"/>
        <v>1621</v>
      </c>
      <c r="Y325" s="17">
        <v>3</v>
      </c>
      <c r="Z325" s="17"/>
      <c r="AC325" s="19" t="s">
        <v>799</v>
      </c>
    </row>
    <row r="326" spans="2:29">
      <c r="B326" s="19" t="s">
        <v>26</v>
      </c>
      <c r="C326" s="19" t="s">
        <v>801</v>
      </c>
      <c r="D326" s="19" t="s">
        <v>802</v>
      </c>
      <c r="E326" s="19" t="s">
        <v>29</v>
      </c>
      <c r="F326" s="19" t="s">
        <v>30</v>
      </c>
      <c r="G326" s="19" t="s">
        <v>31</v>
      </c>
      <c r="J326" s="19" t="s">
        <v>801</v>
      </c>
      <c r="K326" s="19" t="s">
        <v>32</v>
      </c>
      <c r="L326" s="19" t="s">
        <v>791</v>
      </c>
      <c r="M326" s="19">
        <v>138.878712278909</v>
      </c>
      <c r="N326" s="19">
        <v>1621</v>
      </c>
      <c r="O326" s="19">
        <v>0.175717717717718</v>
      </c>
      <c r="P326" s="19" t="s">
        <v>792</v>
      </c>
      <c r="Q326" s="19">
        <v>0.24975</v>
      </c>
      <c r="R326">
        <f t="shared" ref="R326:R389" si="20">N326*0.01</f>
        <v>16.21</v>
      </c>
      <c r="T326" s="15" t="s">
        <v>54</v>
      </c>
      <c r="U326" s="17"/>
      <c r="V326" s="16" t="str">
        <f t="shared" ref="V326:V389" si="21">J326</f>
        <v>EN_SPV_18_c04_GNB</v>
      </c>
      <c r="W326" s="12">
        <f t="shared" ref="W326:W389" si="22">N326</f>
        <v>1621</v>
      </c>
      <c r="X326" s="11">
        <f t="shared" ref="X326:X389" si="23">W326</f>
        <v>1621</v>
      </c>
      <c r="Y326" s="17">
        <v>3</v>
      </c>
      <c r="Z326" s="17"/>
      <c r="AC326" s="19" t="s">
        <v>801</v>
      </c>
    </row>
    <row r="327" spans="2:29">
      <c r="B327" s="19" t="s">
        <v>26</v>
      </c>
      <c r="C327" s="19" t="s">
        <v>803</v>
      </c>
      <c r="D327" s="19" t="s">
        <v>804</v>
      </c>
      <c r="E327" s="19" t="s">
        <v>29</v>
      </c>
      <c r="F327" s="19" t="s">
        <v>30</v>
      </c>
      <c r="G327" s="19" t="s">
        <v>31</v>
      </c>
      <c r="J327" s="19" t="s">
        <v>803</v>
      </c>
      <c r="K327" s="19" t="s">
        <v>32</v>
      </c>
      <c r="L327" s="19" t="s">
        <v>805</v>
      </c>
      <c r="M327" s="19">
        <v>88.9549921786477</v>
      </c>
      <c r="N327" s="19">
        <v>1321</v>
      </c>
      <c r="O327" s="19">
        <v>0.14122972972973</v>
      </c>
      <c r="P327" s="19" t="s">
        <v>806</v>
      </c>
      <c r="Q327" s="19">
        <v>0.222</v>
      </c>
      <c r="R327">
        <f t="shared" si="20"/>
        <v>13.21</v>
      </c>
      <c r="T327" s="15" t="s">
        <v>54</v>
      </c>
      <c r="U327" s="17"/>
      <c r="V327" s="16" t="str">
        <f t="shared" si="21"/>
        <v>EN_SPV_14_c02_GNQ</v>
      </c>
      <c r="W327" s="12">
        <f t="shared" si="22"/>
        <v>1321</v>
      </c>
      <c r="X327" s="11">
        <f t="shared" si="23"/>
        <v>1321</v>
      </c>
      <c r="Y327" s="17">
        <v>3</v>
      </c>
      <c r="Z327" s="17"/>
      <c r="AC327" s="19" t="s">
        <v>803</v>
      </c>
    </row>
    <row r="328" spans="2:29">
      <c r="B328" s="19" t="s">
        <v>26</v>
      </c>
      <c r="C328" s="19" t="s">
        <v>807</v>
      </c>
      <c r="D328" s="19" t="s">
        <v>808</v>
      </c>
      <c r="E328" s="19" t="s">
        <v>29</v>
      </c>
      <c r="F328" s="19" t="s">
        <v>30</v>
      </c>
      <c r="G328" s="19" t="s">
        <v>31</v>
      </c>
      <c r="J328" s="19" t="s">
        <v>807</v>
      </c>
      <c r="K328" s="19" t="s">
        <v>32</v>
      </c>
      <c r="L328" s="19" t="s">
        <v>805</v>
      </c>
      <c r="M328" s="19">
        <v>88.9549921786477</v>
      </c>
      <c r="N328" s="19">
        <v>1321</v>
      </c>
      <c r="O328" s="19">
        <v>0.148147347740668</v>
      </c>
      <c r="P328" s="19" t="s">
        <v>806</v>
      </c>
      <c r="Q328" s="19">
        <v>0.7635</v>
      </c>
      <c r="R328">
        <f t="shared" si="20"/>
        <v>13.21</v>
      </c>
      <c r="T328" s="15" t="s">
        <v>54</v>
      </c>
      <c r="U328" s="17"/>
      <c r="V328" s="16" t="str">
        <f t="shared" si="21"/>
        <v>EN_SPV_15_c02_GNQ</v>
      </c>
      <c r="W328" s="12">
        <f t="shared" si="22"/>
        <v>1321</v>
      </c>
      <c r="X328" s="11">
        <f t="shared" si="23"/>
        <v>1321</v>
      </c>
      <c r="Y328" s="17">
        <v>3</v>
      </c>
      <c r="Z328" s="17"/>
      <c r="AC328" s="19" t="s">
        <v>807</v>
      </c>
    </row>
    <row r="329" spans="2:29">
      <c r="B329" s="19" t="s">
        <v>26</v>
      </c>
      <c r="C329" s="19" t="s">
        <v>809</v>
      </c>
      <c r="D329" s="19" t="s">
        <v>810</v>
      </c>
      <c r="E329" s="19" t="s">
        <v>29</v>
      </c>
      <c r="F329" s="19" t="s">
        <v>30</v>
      </c>
      <c r="G329" s="19" t="s">
        <v>31</v>
      </c>
      <c r="J329" s="19" t="s">
        <v>809</v>
      </c>
      <c r="K329" s="19" t="s">
        <v>32</v>
      </c>
      <c r="L329" s="19" t="s">
        <v>811</v>
      </c>
      <c r="M329" s="19">
        <v>88.9549921786477</v>
      </c>
      <c r="N329" s="19">
        <v>769</v>
      </c>
      <c r="O329" s="19">
        <v>0.151141434262948</v>
      </c>
      <c r="P329" s="19" t="s">
        <v>812</v>
      </c>
      <c r="Q329" s="19">
        <v>2.259</v>
      </c>
      <c r="R329">
        <f t="shared" si="20"/>
        <v>7.69</v>
      </c>
      <c r="T329" s="15" t="s">
        <v>69</v>
      </c>
      <c r="U329" s="17"/>
      <c r="V329" s="16" t="str">
        <f t="shared" si="21"/>
        <v>EN_SPV_15_c02_GRC</v>
      </c>
      <c r="W329" s="12">
        <f t="shared" si="22"/>
        <v>769</v>
      </c>
      <c r="X329" s="11">
        <f t="shared" si="23"/>
        <v>769</v>
      </c>
      <c r="Y329" s="17">
        <v>3</v>
      </c>
      <c r="Z329" s="17"/>
      <c r="AC329" s="19" t="s">
        <v>809</v>
      </c>
    </row>
    <row r="330" spans="2:29">
      <c r="B330" s="19" t="s">
        <v>26</v>
      </c>
      <c r="C330" s="19" t="s">
        <v>813</v>
      </c>
      <c r="D330" s="19" t="s">
        <v>814</v>
      </c>
      <c r="E330" s="19" t="s">
        <v>29</v>
      </c>
      <c r="F330" s="19" t="s">
        <v>30</v>
      </c>
      <c r="G330" s="19" t="s">
        <v>31</v>
      </c>
      <c r="J330" s="19" t="s">
        <v>813</v>
      </c>
      <c r="K330" s="19" t="s">
        <v>32</v>
      </c>
      <c r="L330" s="19" t="s">
        <v>811</v>
      </c>
      <c r="M330" s="19">
        <v>0</v>
      </c>
      <c r="N330" s="19">
        <v>769</v>
      </c>
      <c r="O330" s="19">
        <v>0.159063049946192</v>
      </c>
      <c r="P330" s="19" t="s">
        <v>812</v>
      </c>
      <c r="Q330" s="19">
        <v>11.84775</v>
      </c>
      <c r="R330">
        <f t="shared" si="20"/>
        <v>7.69</v>
      </c>
      <c r="T330" s="15" t="s">
        <v>69</v>
      </c>
      <c r="U330" s="17"/>
      <c r="V330" s="16" t="str">
        <f t="shared" si="21"/>
        <v>EN_SPV_16_c01_GRC</v>
      </c>
      <c r="W330" s="12">
        <f t="shared" si="22"/>
        <v>769</v>
      </c>
      <c r="X330" s="11">
        <f t="shared" si="23"/>
        <v>769</v>
      </c>
      <c r="Y330" s="17">
        <v>3</v>
      </c>
      <c r="Z330" s="17"/>
      <c r="AC330" s="19" t="s">
        <v>813</v>
      </c>
    </row>
    <row r="331" spans="2:29">
      <c r="B331" s="19" t="s">
        <v>26</v>
      </c>
      <c r="C331" s="19" t="s">
        <v>815</v>
      </c>
      <c r="D331" s="19" t="s">
        <v>816</v>
      </c>
      <c r="E331" s="19" t="s">
        <v>29</v>
      </c>
      <c r="F331" s="19" t="s">
        <v>30</v>
      </c>
      <c r="G331" s="19" t="s">
        <v>31</v>
      </c>
      <c r="J331" s="19" t="s">
        <v>815</v>
      </c>
      <c r="K331" s="19" t="s">
        <v>32</v>
      </c>
      <c r="L331" s="19" t="s">
        <v>811</v>
      </c>
      <c r="M331" s="19">
        <v>88.9549921786477</v>
      </c>
      <c r="N331" s="19">
        <v>769</v>
      </c>
      <c r="O331" s="19">
        <v>0.158927846781075</v>
      </c>
      <c r="P331" s="19" t="s">
        <v>812</v>
      </c>
      <c r="Q331" s="19">
        <v>7.91025</v>
      </c>
      <c r="R331">
        <f t="shared" si="20"/>
        <v>7.69</v>
      </c>
      <c r="T331" s="15" t="s">
        <v>69</v>
      </c>
      <c r="U331" s="17"/>
      <c r="V331" s="16" t="str">
        <f t="shared" si="21"/>
        <v>EN_SPV_16_c02_GRC</v>
      </c>
      <c r="W331" s="12">
        <f t="shared" si="22"/>
        <v>769</v>
      </c>
      <c r="X331" s="11">
        <f t="shared" si="23"/>
        <v>769</v>
      </c>
      <c r="Y331" s="17">
        <v>3</v>
      </c>
      <c r="Z331" s="17"/>
      <c r="AC331" s="19" t="s">
        <v>815</v>
      </c>
    </row>
    <row r="332" spans="2:29">
      <c r="B332" s="19" t="s">
        <v>26</v>
      </c>
      <c r="C332" s="19" t="s">
        <v>817</v>
      </c>
      <c r="D332" s="19" t="s">
        <v>818</v>
      </c>
      <c r="E332" s="19" t="s">
        <v>29</v>
      </c>
      <c r="F332" s="19" t="s">
        <v>30</v>
      </c>
      <c r="G332" s="19" t="s">
        <v>31</v>
      </c>
      <c r="J332" s="19" t="s">
        <v>817</v>
      </c>
      <c r="K332" s="19" t="s">
        <v>32</v>
      </c>
      <c r="L332" s="19" t="s">
        <v>811</v>
      </c>
      <c r="M332" s="19">
        <v>0</v>
      </c>
      <c r="N332" s="19">
        <v>769</v>
      </c>
      <c r="O332" s="19">
        <v>0.169113283674736</v>
      </c>
      <c r="P332" s="19" t="s">
        <v>812</v>
      </c>
      <c r="Q332" s="19">
        <v>2.4165</v>
      </c>
      <c r="R332">
        <f t="shared" si="20"/>
        <v>7.69</v>
      </c>
      <c r="T332" s="15" t="s">
        <v>69</v>
      </c>
      <c r="U332" s="17"/>
      <c r="V332" s="16" t="str">
        <f t="shared" si="21"/>
        <v>EN_SPV_17_c01_GRC</v>
      </c>
      <c r="W332" s="12">
        <f t="shared" si="22"/>
        <v>769</v>
      </c>
      <c r="X332" s="11">
        <f t="shared" si="23"/>
        <v>769</v>
      </c>
      <c r="Y332" s="17">
        <v>3</v>
      </c>
      <c r="Z332" s="17"/>
      <c r="AC332" s="19" t="s">
        <v>817</v>
      </c>
    </row>
    <row r="333" spans="2:29">
      <c r="B333" s="19" t="s">
        <v>26</v>
      </c>
      <c r="C333" s="19" t="s">
        <v>819</v>
      </c>
      <c r="D333" s="19" t="s">
        <v>820</v>
      </c>
      <c r="E333" s="19" t="s">
        <v>29</v>
      </c>
      <c r="F333" s="19" t="s">
        <v>30</v>
      </c>
      <c r="G333" s="19" t="s">
        <v>31</v>
      </c>
      <c r="J333" s="19" t="s">
        <v>819</v>
      </c>
      <c r="K333" s="19" t="s">
        <v>32</v>
      </c>
      <c r="L333" s="19" t="s">
        <v>811</v>
      </c>
      <c r="M333" s="19">
        <v>0</v>
      </c>
      <c r="N333" s="19">
        <v>769</v>
      </c>
      <c r="O333" s="19">
        <v>0.178405750798722</v>
      </c>
      <c r="P333" s="19" t="s">
        <v>812</v>
      </c>
      <c r="Q333" s="19">
        <v>1.17375</v>
      </c>
      <c r="R333">
        <f t="shared" si="20"/>
        <v>7.69</v>
      </c>
      <c r="T333" s="15" t="s">
        <v>69</v>
      </c>
      <c r="U333" s="17"/>
      <c r="V333" s="16" t="str">
        <f t="shared" si="21"/>
        <v>EN_SPV_18_c01_GRC</v>
      </c>
      <c r="W333" s="12">
        <f t="shared" si="22"/>
        <v>769</v>
      </c>
      <c r="X333" s="11">
        <f t="shared" si="23"/>
        <v>769</v>
      </c>
      <c r="Y333" s="17">
        <v>3</v>
      </c>
      <c r="Z333" s="17"/>
      <c r="AC333" s="19" t="s">
        <v>819</v>
      </c>
    </row>
    <row r="334" spans="2:29">
      <c r="B334" s="19" t="s">
        <v>26</v>
      </c>
      <c r="C334" s="19" t="s">
        <v>821</v>
      </c>
      <c r="D334" s="19" t="s">
        <v>822</v>
      </c>
      <c r="E334" s="19" t="s">
        <v>29</v>
      </c>
      <c r="F334" s="19" t="s">
        <v>30</v>
      </c>
      <c r="G334" s="19" t="s">
        <v>31</v>
      </c>
      <c r="J334" s="19" t="s">
        <v>821</v>
      </c>
      <c r="K334" s="19" t="s">
        <v>32</v>
      </c>
      <c r="L334" s="19" t="s">
        <v>811</v>
      </c>
      <c r="M334" s="19">
        <v>88.9549921786477</v>
      </c>
      <c r="N334" s="19">
        <v>769</v>
      </c>
      <c r="O334" s="19">
        <v>0.175202247191011</v>
      </c>
      <c r="P334" s="19" t="s">
        <v>812</v>
      </c>
      <c r="Q334" s="19">
        <v>0.1335</v>
      </c>
      <c r="R334">
        <f t="shared" si="20"/>
        <v>7.69</v>
      </c>
      <c r="T334" s="15" t="s">
        <v>69</v>
      </c>
      <c r="U334" s="17"/>
      <c r="V334" s="16" t="str">
        <f t="shared" si="21"/>
        <v>EN_SPV_18_c02_GRC</v>
      </c>
      <c r="W334" s="12">
        <f t="shared" si="22"/>
        <v>769</v>
      </c>
      <c r="X334" s="11">
        <f t="shared" si="23"/>
        <v>769</v>
      </c>
      <c r="Y334" s="17">
        <v>3</v>
      </c>
      <c r="Z334" s="17"/>
      <c r="AC334" s="19" t="s">
        <v>821</v>
      </c>
    </row>
    <row r="335" spans="2:29">
      <c r="B335" s="19" t="s">
        <v>26</v>
      </c>
      <c r="C335" s="19" t="s">
        <v>823</v>
      </c>
      <c r="D335" s="19" t="s">
        <v>824</v>
      </c>
      <c r="E335" s="19" t="s">
        <v>29</v>
      </c>
      <c r="F335" s="19" t="s">
        <v>30</v>
      </c>
      <c r="G335" s="19" t="s">
        <v>31</v>
      </c>
      <c r="J335" s="19" t="s">
        <v>823</v>
      </c>
      <c r="K335" s="19" t="s">
        <v>32</v>
      </c>
      <c r="L335" s="19" t="s">
        <v>825</v>
      </c>
      <c r="M335" s="19">
        <v>0</v>
      </c>
      <c r="N335" s="19">
        <v>1285</v>
      </c>
      <c r="O335" s="19">
        <v>0.182068103870652</v>
      </c>
      <c r="P335" s="19" t="s">
        <v>826</v>
      </c>
      <c r="Q335" s="19">
        <v>16.83825</v>
      </c>
      <c r="R335">
        <f t="shared" si="20"/>
        <v>12.85</v>
      </c>
      <c r="T335" s="15" t="s">
        <v>89</v>
      </c>
      <c r="U335" s="17"/>
      <c r="V335" s="16" t="str">
        <f t="shared" si="21"/>
        <v>EN_SPV_18_c01_GTM</v>
      </c>
      <c r="W335" s="12">
        <f t="shared" si="22"/>
        <v>1285</v>
      </c>
      <c r="X335" s="11">
        <f t="shared" si="23"/>
        <v>1285</v>
      </c>
      <c r="Y335" s="17">
        <v>3</v>
      </c>
      <c r="Z335" s="17"/>
      <c r="AC335" s="19" t="s">
        <v>823</v>
      </c>
    </row>
    <row r="336" spans="2:29">
      <c r="B336" s="19" t="s">
        <v>26</v>
      </c>
      <c r="C336" s="19" t="s">
        <v>827</v>
      </c>
      <c r="D336" s="19" t="s">
        <v>828</v>
      </c>
      <c r="E336" s="19" t="s">
        <v>29</v>
      </c>
      <c r="F336" s="19" t="s">
        <v>30</v>
      </c>
      <c r="G336" s="19" t="s">
        <v>31</v>
      </c>
      <c r="J336" s="19" t="s">
        <v>827</v>
      </c>
      <c r="K336" s="19" t="s">
        <v>32</v>
      </c>
      <c r="L336" s="19" t="s">
        <v>825</v>
      </c>
      <c r="M336" s="19">
        <v>0</v>
      </c>
      <c r="N336" s="19">
        <v>1285</v>
      </c>
      <c r="O336" s="19">
        <v>0.18957328392094</v>
      </c>
      <c r="P336" s="19" t="s">
        <v>826</v>
      </c>
      <c r="Q336" s="19">
        <v>22.464</v>
      </c>
      <c r="R336">
        <f t="shared" si="20"/>
        <v>12.85</v>
      </c>
      <c r="T336" s="15" t="s">
        <v>89</v>
      </c>
      <c r="U336" s="17"/>
      <c r="V336" s="16" t="str">
        <f t="shared" si="21"/>
        <v>EN_SPV_19_c01_GTM</v>
      </c>
      <c r="W336" s="12">
        <f t="shared" si="22"/>
        <v>1285</v>
      </c>
      <c r="X336" s="11">
        <f t="shared" si="23"/>
        <v>1285</v>
      </c>
      <c r="Y336" s="17">
        <v>3</v>
      </c>
      <c r="Z336" s="17"/>
      <c r="AC336" s="19" t="s">
        <v>827</v>
      </c>
    </row>
    <row r="337" spans="2:29">
      <c r="B337" s="19" t="s">
        <v>26</v>
      </c>
      <c r="C337" s="19" t="s">
        <v>829</v>
      </c>
      <c r="D337" s="19" t="s">
        <v>830</v>
      </c>
      <c r="E337" s="19" t="s">
        <v>29</v>
      </c>
      <c r="F337" s="19" t="s">
        <v>30</v>
      </c>
      <c r="G337" s="19" t="s">
        <v>31</v>
      </c>
      <c r="J337" s="19" t="s">
        <v>829</v>
      </c>
      <c r="K337" s="19" t="s">
        <v>32</v>
      </c>
      <c r="L337" s="19" t="s">
        <v>831</v>
      </c>
      <c r="M337" s="19">
        <v>88.9549921786477</v>
      </c>
      <c r="N337" s="19">
        <v>1344</v>
      </c>
      <c r="O337" s="19">
        <v>0.17110658124636</v>
      </c>
      <c r="P337" s="19" t="s">
        <v>832</v>
      </c>
      <c r="Q337" s="19">
        <v>12.8775</v>
      </c>
      <c r="R337">
        <f t="shared" si="20"/>
        <v>13.44</v>
      </c>
      <c r="T337" s="15" t="s">
        <v>89</v>
      </c>
      <c r="U337" s="17"/>
      <c r="V337" s="16" t="str">
        <f t="shared" si="21"/>
        <v>EN_SPV_17_c02_GUY</v>
      </c>
      <c r="W337" s="12">
        <f t="shared" si="22"/>
        <v>1344</v>
      </c>
      <c r="X337" s="11">
        <f t="shared" si="23"/>
        <v>1344</v>
      </c>
      <c r="Y337" s="17">
        <v>3</v>
      </c>
      <c r="Z337" s="17"/>
      <c r="AC337" s="19" t="s">
        <v>829</v>
      </c>
    </row>
    <row r="338" spans="2:29">
      <c r="B338" s="19" t="s">
        <v>26</v>
      </c>
      <c r="C338" s="19" t="s">
        <v>833</v>
      </c>
      <c r="D338" s="19" t="s">
        <v>834</v>
      </c>
      <c r="E338" s="19" t="s">
        <v>29</v>
      </c>
      <c r="F338" s="19" t="s">
        <v>30</v>
      </c>
      <c r="G338" s="19" t="s">
        <v>31</v>
      </c>
      <c r="J338" s="19" t="s">
        <v>833</v>
      </c>
      <c r="K338" s="19" t="s">
        <v>32</v>
      </c>
      <c r="L338" s="19" t="s">
        <v>831</v>
      </c>
      <c r="M338" s="19">
        <v>0</v>
      </c>
      <c r="N338" s="19">
        <v>1344</v>
      </c>
      <c r="O338" s="19">
        <v>0.175581012658228</v>
      </c>
      <c r="P338" s="19" t="s">
        <v>832</v>
      </c>
      <c r="Q338" s="19">
        <v>0.5925</v>
      </c>
      <c r="R338">
        <f t="shared" si="20"/>
        <v>13.44</v>
      </c>
      <c r="T338" s="15" t="s">
        <v>89</v>
      </c>
      <c r="U338" s="17"/>
      <c r="V338" s="16" t="str">
        <f t="shared" si="21"/>
        <v>EN_SPV_18_c01_GUY</v>
      </c>
      <c r="W338" s="12">
        <f t="shared" si="22"/>
        <v>1344</v>
      </c>
      <c r="X338" s="11">
        <f t="shared" si="23"/>
        <v>1344</v>
      </c>
      <c r="Y338" s="17">
        <v>3</v>
      </c>
      <c r="Z338" s="17"/>
      <c r="AC338" s="19" t="s">
        <v>833</v>
      </c>
    </row>
    <row r="339" spans="2:29">
      <c r="B339" s="19" t="s">
        <v>26</v>
      </c>
      <c r="C339" s="19" t="s">
        <v>835</v>
      </c>
      <c r="D339" s="19" t="s">
        <v>836</v>
      </c>
      <c r="E339" s="19" t="s">
        <v>29</v>
      </c>
      <c r="F339" s="19" t="s">
        <v>30</v>
      </c>
      <c r="G339" s="19" t="s">
        <v>31</v>
      </c>
      <c r="J339" s="19" t="s">
        <v>835</v>
      </c>
      <c r="K339" s="19" t="s">
        <v>32</v>
      </c>
      <c r="L339" s="19" t="s">
        <v>831</v>
      </c>
      <c r="M339" s="19">
        <v>88.9549921786477</v>
      </c>
      <c r="N339" s="19">
        <v>1344</v>
      </c>
      <c r="O339" s="19">
        <v>0.17594495412844</v>
      </c>
      <c r="P339" s="19" t="s">
        <v>832</v>
      </c>
      <c r="Q339" s="19">
        <v>0.981</v>
      </c>
      <c r="R339">
        <f t="shared" si="20"/>
        <v>13.44</v>
      </c>
      <c r="T339" s="15" t="s">
        <v>89</v>
      </c>
      <c r="U339" s="17"/>
      <c r="V339" s="16" t="str">
        <f t="shared" si="21"/>
        <v>EN_SPV_18_c02_GUY</v>
      </c>
      <c r="W339" s="12">
        <f t="shared" si="22"/>
        <v>1344</v>
      </c>
      <c r="X339" s="11">
        <f t="shared" si="23"/>
        <v>1344</v>
      </c>
      <c r="Y339" s="17">
        <v>3</v>
      </c>
      <c r="Z339" s="17"/>
      <c r="AC339" s="19" t="s">
        <v>835</v>
      </c>
    </row>
    <row r="340" spans="2:29">
      <c r="B340" s="19" t="s">
        <v>26</v>
      </c>
      <c r="C340" s="19" t="s">
        <v>837</v>
      </c>
      <c r="D340" s="19" t="s">
        <v>838</v>
      </c>
      <c r="E340" s="19" t="s">
        <v>29</v>
      </c>
      <c r="F340" s="19" t="s">
        <v>30</v>
      </c>
      <c r="G340" s="19" t="s">
        <v>31</v>
      </c>
      <c r="J340" s="19" t="s">
        <v>837</v>
      </c>
      <c r="K340" s="19" t="s">
        <v>32</v>
      </c>
      <c r="L340" s="19" t="s">
        <v>831</v>
      </c>
      <c r="M340" s="19">
        <v>101.208996203257</v>
      </c>
      <c r="N340" s="19">
        <v>1344</v>
      </c>
      <c r="O340" s="19">
        <v>0.176</v>
      </c>
      <c r="P340" s="19" t="s">
        <v>832</v>
      </c>
      <c r="Q340" s="19">
        <v>0.849</v>
      </c>
      <c r="R340">
        <f t="shared" si="20"/>
        <v>13.44</v>
      </c>
      <c r="T340" s="15" t="s">
        <v>89</v>
      </c>
      <c r="U340" s="17"/>
      <c r="V340" s="16" t="str">
        <f t="shared" si="21"/>
        <v>EN_SPV_18_c03_GUY</v>
      </c>
      <c r="W340" s="12">
        <f t="shared" si="22"/>
        <v>1344</v>
      </c>
      <c r="X340" s="11">
        <f t="shared" si="23"/>
        <v>1344</v>
      </c>
      <c r="Y340" s="17">
        <v>3</v>
      </c>
      <c r="Z340" s="17"/>
      <c r="AC340" s="19" t="s">
        <v>837</v>
      </c>
    </row>
    <row r="341" spans="2:29">
      <c r="B341" s="19" t="s">
        <v>26</v>
      </c>
      <c r="C341" s="19" t="s">
        <v>839</v>
      </c>
      <c r="D341" s="19" t="s">
        <v>840</v>
      </c>
      <c r="E341" s="19" t="s">
        <v>29</v>
      </c>
      <c r="F341" s="19" t="s">
        <v>30</v>
      </c>
      <c r="G341" s="19" t="s">
        <v>31</v>
      </c>
      <c r="J341" s="19" t="s">
        <v>839</v>
      </c>
      <c r="K341" s="19" t="s">
        <v>32</v>
      </c>
      <c r="L341" s="19" t="s">
        <v>841</v>
      </c>
      <c r="M341" s="19">
        <v>0</v>
      </c>
      <c r="N341" s="19">
        <v>1285</v>
      </c>
      <c r="O341" s="19">
        <v>0.168533040460721</v>
      </c>
      <c r="P341" s="19" t="s">
        <v>842</v>
      </c>
      <c r="Q341" s="19">
        <v>20.316</v>
      </c>
      <c r="R341">
        <f t="shared" si="20"/>
        <v>12.85</v>
      </c>
      <c r="T341" s="15" t="s">
        <v>89</v>
      </c>
      <c r="U341" s="17"/>
      <c r="V341" s="16" t="str">
        <f t="shared" si="21"/>
        <v>EN_SPV_17_c01_HND</v>
      </c>
      <c r="W341" s="12">
        <f t="shared" si="22"/>
        <v>1285</v>
      </c>
      <c r="X341" s="11">
        <f t="shared" si="23"/>
        <v>1285</v>
      </c>
      <c r="Y341" s="17">
        <v>3</v>
      </c>
      <c r="Z341" s="17"/>
      <c r="AC341" s="19" t="s">
        <v>839</v>
      </c>
    </row>
    <row r="342" spans="2:29">
      <c r="B342" s="19" t="s">
        <v>26</v>
      </c>
      <c r="C342" s="19" t="s">
        <v>843</v>
      </c>
      <c r="D342" s="19" t="s">
        <v>844</v>
      </c>
      <c r="E342" s="19" t="s">
        <v>29</v>
      </c>
      <c r="F342" s="19" t="s">
        <v>30</v>
      </c>
      <c r="G342" s="19" t="s">
        <v>31</v>
      </c>
      <c r="J342" s="19" t="s">
        <v>843</v>
      </c>
      <c r="K342" s="19" t="s">
        <v>32</v>
      </c>
      <c r="L342" s="19" t="s">
        <v>841</v>
      </c>
      <c r="M342" s="19">
        <v>101.208996203257</v>
      </c>
      <c r="N342" s="19">
        <v>1285</v>
      </c>
      <c r="O342" s="19">
        <v>0.17</v>
      </c>
      <c r="P342" s="19" t="s">
        <v>842</v>
      </c>
      <c r="Q342" s="19">
        <v>1.80825</v>
      </c>
      <c r="R342">
        <f t="shared" si="20"/>
        <v>12.85</v>
      </c>
      <c r="T342" s="15" t="s">
        <v>89</v>
      </c>
      <c r="U342" s="17"/>
      <c r="V342" s="16" t="str">
        <f t="shared" si="21"/>
        <v>EN_SPV_17_c03_HND</v>
      </c>
      <c r="W342" s="12">
        <f t="shared" si="22"/>
        <v>1285</v>
      </c>
      <c r="X342" s="11">
        <f t="shared" si="23"/>
        <v>1285</v>
      </c>
      <c r="Y342" s="17">
        <v>3</v>
      </c>
      <c r="Z342" s="17"/>
      <c r="AC342" s="19" t="s">
        <v>843</v>
      </c>
    </row>
    <row r="343" spans="2:29">
      <c r="B343" s="19" t="s">
        <v>26</v>
      </c>
      <c r="C343" s="19" t="s">
        <v>845</v>
      </c>
      <c r="D343" s="19" t="s">
        <v>846</v>
      </c>
      <c r="E343" s="19" t="s">
        <v>29</v>
      </c>
      <c r="F343" s="19" t="s">
        <v>30</v>
      </c>
      <c r="G343" s="19" t="s">
        <v>31</v>
      </c>
      <c r="J343" s="19" t="s">
        <v>845</v>
      </c>
      <c r="K343" s="19" t="s">
        <v>32</v>
      </c>
      <c r="L343" s="19" t="s">
        <v>841</v>
      </c>
      <c r="M343" s="19">
        <v>0</v>
      </c>
      <c r="N343" s="19">
        <v>1285</v>
      </c>
      <c r="O343" s="19">
        <v>0.17862151978229</v>
      </c>
      <c r="P343" s="19" t="s">
        <v>842</v>
      </c>
      <c r="Q343" s="19">
        <v>3.58275</v>
      </c>
      <c r="R343">
        <f t="shared" si="20"/>
        <v>12.85</v>
      </c>
      <c r="T343" s="15" t="s">
        <v>89</v>
      </c>
      <c r="U343" s="17"/>
      <c r="V343" s="16" t="str">
        <f t="shared" si="21"/>
        <v>EN_SPV_18_c01_HND</v>
      </c>
      <c r="W343" s="12">
        <f t="shared" si="22"/>
        <v>1285</v>
      </c>
      <c r="X343" s="11">
        <f t="shared" si="23"/>
        <v>1285</v>
      </c>
      <c r="Y343" s="17">
        <v>3</v>
      </c>
      <c r="Z343" s="17"/>
      <c r="AC343" s="19" t="s">
        <v>845</v>
      </c>
    </row>
    <row r="344" spans="2:29">
      <c r="B344" s="19" t="s">
        <v>26</v>
      </c>
      <c r="C344" s="19" t="s">
        <v>847</v>
      </c>
      <c r="D344" s="19" t="s">
        <v>848</v>
      </c>
      <c r="E344" s="19" t="s">
        <v>29</v>
      </c>
      <c r="F344" s="19" t="s">
        <v>30</v>
      </c>
      <c r="G344" s="19" t="s">
        <v>31</v>
      </c>
      <c r="J344" s="19" t="s">
        <v>847</v>
      </c>
      <c r="K344" s="19" t="s">
        <v>32</v>
      </c>
      <c r="L344" s="19" t="s">
        <v>841</v>
      </c>
      <c r="M344" s="19">
        <v>0</v>
      </c>
      <c r="N344" s="19">
        <v>1285</v>
      </c>
      <c r="O344" s="19">
        <v>0.190405141428348</v>
      </c>
      <c r="P344" s="19" t="s">
        <v>842</v>
      </c>
      <c r="Q344" s="19">
        <v>9.5985</v>
      </c>
      <c r="R344">
        <f t="shared" si="20"/>
        <v>12.85</v>
      </c>
      <c r="T344" s="15" t="s">
        <v>89</v>
      </c>
      <c r="U344" s="17"/>
      <c r="V344" s="16" t="str">
        <f t="shared" si="21"/>
        <v>EN_SPV_19_c01_HND</v>
      </c>
      <c r="W344" s="12">
        <f t="shared" si="22"/>
        <v>1285</v>
      </c>
      <c r="X344" s="11">
        <f t="shared" si="23"/>
        <v>1285</v>
      </c>
      <c r="Y344" s="17">
        <v>3</v>
      </c>
      <c r="Z344" s="17"/>
      <c r="AC344" s="19" t="s">
        <v>847</v>
      </c>
    </row>
    <row r="345" spans="2:29">
      <c r="B345" s="19" t="s">
        <v>26</v>
      </c>
      <c r="C345" s="19" t="s">
        <v>849</v>
      </c>
      <c r="D345" s="19" t="s">
        <v>850</v>
      </c>
      <c r="E345" s="19" t="s">
        <v>29</v>
      </c>
      <c r="F345" s="19" t="s">
        <v>30</v>
      </c>
      <c r="G345" s="19" t="s">
        <v>31</v>
      </c>
      <c r="J345" s="19" t="s">
        <v>849</v>
      </c>
      <c r="K345" s="19" t="s">
        <v>32</v>
      </c>
      <c r="L345" s="19" t="s">
        <v>851</v>
      </c>
      <c r="M345" s="19">
        <v>88.9549921786477</v>
      </c>
      <c r="N345" s="19">
        <v>769</v>
      </c>
      <c r="O345" s="19">
        <v>0.136659510722121</v>
      </c>
      <c r="P345" s="19" t="s">
        <v>852</v>
      </c>
      <c r="Q345" s="19">
        <v>31.79175</v>
      </c>
      <c r="R345">
        <f t="shared" si="20"/>
        <v>7.69</v>
      </c>
      <c r="T345" s="15" t="s">
        <v>69</v>
      </c>
      <c r="U345" s="17"/>
      <c r="V345" s="16" t="str">
        <f t="shared" si="21"/>
        <v>EN_SPV_14_c02_HRV</v>
      </c>
      <c r="W345" s="12">
        <f t="shared" si="22"/>
        <v>769</v>
      </c>
      <c r="X345" s="11">
        <f t="shared" si="23"/>
        <v>769</v>
      </c>
      <c r="Y345" s="17">
        <v>3</v>
      </c>
      <c r="Z345" s="17"/>
      <c r="AC345" s="19" t="s">
        <v>849</v>
      </c>
    </row>
    <row r="346" spans="2:29">
      <c r="B346" s="19" t="s">
        <v>26</v>
      </c>
      <c r="C346" s="19" t="s">
        <v>853</v>
      </c>
      <c r="D346" s="19" t="s">
        <v>854</v>
      </c>
      <c r="E346" s="19" t="s">
        <v>29</v>
      </c>
      <c r="F346" s="19" t="s">
        <v>30</v>
      </c>
      <c r="G346" s="19" t="s">
        <v>31</v>
      </c>
      <c r="J346" s="19" t="s">
        <v>853</v>
      </c>
      <c r="K346" s="19" t="s">
        <v>32</v>
      </c>
      <c r="L346" s="19" t="s">
        <v>851</v>
      </c>
      <c r="M346" s="19">
        <v>88.9549921786477</v>
      </c>
      <c r="N346" s="19">
        <v>769</v>
      </c>
      <c r="O346" s="19">
        <v>0.148857109665428</v>
      </c>
      <c r="P346" s="19" t="s">
        <v>852</v>
      </c>
      <c r="Q346" s="19">
        <v>3.228</v>
      </c>
      <c r="R346">
        <f t="shared" si="20"/>
        <v>7.69</v>
      </c>
      <c r="T346" s="15" t="s">
        <v>69</v>
      </c>
      <c r="U346" s="17"/>
      <c r="V346" s="16" t="str">
        <f t="shared" si="21"/>
        <v>EN_SPV_15_c02_HRV</v>
      </c>
      <c r="W346" s="12">
        <f t="shared" si="22"/>
        <v>769</v>
      </c>
      <c r="X346" s="11">
        <f t="shared" si="23"/>
        <v>769</v>
      </c>
      <c r="Y346" s="17">
        <v>3</v>
      </c>
      <c r="Z346" s="17"/>
      <c r="AC346" s="19" t="s">
        <v>853</v>
      </c>
    </row>
    <row r="347" spans="2:29">
      <c r="B347" s="19" t="s">
        <v>26</v>
      </c>
      <c r="C347" s="19" t="s">
        <v>855</v>
      </c>
      <c r="D347" s="19" t="s">
        <v>856</v>
      </c>
      <c r="E347" s="19" t="s">
        <v>29</v>
      </c>
      <c r="F347" s="19" t="s">
        <v>30</v>
      </c>
      <c r="G347" s="19" t="s">
        <v>31</v>
      </c>
      <c r="J347" s="19" t="s">
        <v>855</v>
      </c>
      <c r="K347" s="19" t="s">
        <v>32</v>
      </c>
      <c r="L347" s="19" t="s">
        <v>851</v>
      </c>
      <c r="M347" s="19">
        <v>0</v>
      </c>
      <c r="N347" s="19">
        <v>769</v>
      </c>
      <c r="O347" s="19">
        <v>0.159480586712683</v>
      </c>
      <c r="P347" s="19" t="s">
        <v>852</v>
      </c>
      <c r="Q347" s="19">
        <v>1.7385</v>
      </c>
      <c r="R347">
        <f t="shared" si="20"/>
        <v>7.69</v>
      </c>
      <c r="T347" s="15" t="s">
        <v>69</v>
      </c>
      <c r="U347" s="17"/>
      <c r="V347" s="16" t="str">
        <f t="shared" si="21"/>
        <v>EN_SPV_16_c01_HRV</v>
      </c>
      <c r="W347" s="12">
        <f t="shared" si="22"/>
        <v>769</v>
      </c>
      <c r="X347" s="11">
        <f t="shared" si="23"/>
        <v>769</v>
      </c>
      <c r="Y347" s="17">
        <v>3</v>
      </c>
      <c r="Z347" s="17"/>
      <c r="AC347" s="19" t="s">
        <v>855</v>
      </c>
    </row>
    <row r="348" spans="2:29">
      <c r="B348" s="19" t="s">
        <v>26</v>
      </c>
      <c r="C348" s="19" t="s">
        <v>857</v>
      </c>
      <c r="D348" s="19" t="s">
        <v>858</v>
      </c>
      <c r="E348" s="19" t="s">
        <v>29</v>
      </c>
      <c r="F348" s="19" t="s">
        <v>30</v>
      </c>
      <c r="G348" s="19" t="s">
        <v>31</v>
      </c>
      <c r="J348" s="19" t="s">
        <v>857</v>
      </c>
      <c r="K348" s="19" t="s">
        <v>32</v>
      </c>
      <c r="L348" s="19" t="s">
        <v>851</v>
      </c>
      <c r="M348" s="19">
        <v>88.9549921786477</v>
      </c>
      <c r="N348" s="19">
        <v>769</v>
      </c>
      <c r="O348" s="19">
        <v>0.157244897959184</v>
      </c>
      <c r="P348" s="19" t="s">
        <v>852</v>
      </c>
      <c r="Q348" s="19">
        <v>3.05025</v>
      </c>
      <c r="R348">
        <f t="shared" si="20"/>
        <v>7.69</v>
      </c>
      <c r="T348" s="15" t="s">
        <v>69</v>
      </c>
      <c r="U348" s="17"/>
      <c r="V348" s="16" t="str">
        <f t="shared" si="21"/>
        <v>EN_SPV_16_c02_HRV</v>
      </c>
      <c r="W348" s="12">
        <f t="shared" si="22"/>
        <v>769</v>
      </c>
      <c r="X348" s="11">
        <f t="shared" si="23"/>
        <v>769</v>
      </c>
      <c r="Y348" s="17">
        <v>3</v>
      </c>
      <c r="Z348" s="17"/>
      <c r="AC348" s="19" t="s">
        <v>857</v>
      </c>
    </row>
    <row r="349" spans="2:29">
      <c r="B349" s="19" t="s">
        <v>26</v>
      </c>
      <c r="C349" s="19" t="s">
        <v>859</v>
      </c>
      <c r="D349" s="19" t="s">
        <v>860</v>
      </c>
      <c r="E349" s="19" t="s">
        <v>29</v>
      </c>
      <c r="F349" s="19" t="s">
        <v>30</v>
      </c>
      <c r="G349" s="19" t="s">
        <v>31</v>
      </c>
      <c r="J349" s="19" t="s">
        <v>859</v>
      </c>
      <c r="K349" s="19" t="s">
        <v>32</v>
      </c>
      <c r="L349" s="19" t="s">
        <v>861</v>
      </c>
      <c r="M349" s="19">
        <v>0</v>
      </c>
      <c r="N349" s="19">
        <v>1391</v>
      </c>
      <c r="O349" s="19">
        <v>0.188536855036855</v>
      </c>
      <c r="P349" s="19" t="s">
        <v>862</v>
      </c>
      <c r="Q349" s="19">
        <v>8.547</v>
      </c>
      <c r="R349">
        <f t="shared" si="20"/>
        <v>13.91</v>
      </c>
      <c r="T349" s="15" t="s">
        <v>89</v>
      </c>
      <c r="U349" s="17"/>
      <c r="V349" s="16" t="str">
        <f t="shared" si="21"/>
        <v>EN_SPV_19_c01_HTI</v>
      </c>
      <c r="W349" s="12">
        <f t="shared" si="22"/>
        <v>1391</v>
      </c>
      <c r="X349" s="11">
        <f t="shared" si="23"/>
        <v>1391</v>
      </c>
      <c r="Y349" s="17">
        <v>3</v>
      </c>
      <c r="Z349" s="17"/>
      <c r="AC349" s="19" t="s">
        <v>859</v>
      </c>
    </row>
    <row r="350" spans="2:29">
      <c r="B350" s="19" t="s">
        <v>26</v>
      </c>
      <c r="C350" s="19" t="s">
        <v>863</v>
      </c>
      <c r="D350" s="19" t="s">
        <v>864</v>
      </c>
      <c r="E350" s="19" t="s">
        <v>29</v>
      </c>
      <c r="F350" s="19" t="s">
        <v>30</v>
      </c>
      <c r="G350" s="19" t="s">
        <v>31</v>
      </c>
      <c r="J350" s="19" t="s">
        <v>863</v>
      </c>
      <c r="K350" s="19" t="s">
        <v>32</v>
      </c>
      <c r="L350" s="19" t="s">
        <v>861</v>
      </c>
      <c r="M350" s="19">
        <v>88.9549921786477</v>
      </c>
      <c r="N350" s="19">
        <v>1391</v>
      </c>
      <c r="O350" s="19">
        <v>0.191</v>
      </c>
      <c r="P350" s="19" t="s">
        <v>862</v>
      </c>
      <c r="Q350" s="19">
        <v>0.399</v>
      </c>
      <c r="R350">
        <f t="shared" si="20"/>
        <v>13.91</v>
      </c>
      <c r="T350" s="15" t="s">
        <v>89</v>
      </c>
      <c r="U350" s="17"/>
      <c r="V350" s="16" t="str">
        <f t="shared" si="21"/>
        <v>EN_SPV_19_c02_HTI</v>
      </c>
      <c r="W350" s="12">
        <f t="shared" si="22"/>
        <v>1391</v>
      </c>
      <c r="X350" s="11">
        <f t="shared" si="23"/>
        <v>1391</v>
      </c>
      <c r="Y350" s="17">
        <v>3</v>
      </c>
      <c r="Z350" s="17"/>
      <c r="AC350" s="19" t="s">
        <v>863</v>
      </c>
    </row>
    <row r="351" spans="2:29">
      <c r="B351" s="19" t="s">
        <v>26</v>
      </c>
      <c r="C351" s="19" t="s">
        <v>865</v>
      </c>
      <c r="D351" s="19" t="s">
        <v>866</v>
      </c>
      <c r="E351" s="19" t="s">
        <v>29</v>
      </c>
      <c r="F351" s="19" t="s">
        <v>30</v>
      </c>
      <c r="G351" s="19" t="s">
        <v>31</v>
      </c>
      <c r="J351" s="19" t="s">
        <v>865</v>
      </c>
      <c r="K351" s="19" t="s">
        <v>32</v>
      </c>
      <c r="L351" s="19" t="s">
        <v>861</v>
      </c>
      <c r="M351" s="19">
        <v>0</v>
      </c>
      <c r="N351" s="19">
        <v>1391</v>
      </c>
      <c r="O351" s="19">
        <v>0.197</v>
      </c>
      <c r="P351" s="19" t="s">
        <v>862</v>
      </c>
      <c r="Q351" s="19">
        <v>0.56175</v>
      </c>
      <c r="R351">
        <f t="shared" si="20"/>
        <v>13.91</v>
      </c>
      <c r="T351" s="15" t="s">
        <v>89</v>
      </c>
      <c r="U351" s="17"/>
      <c r="V351" s="16" t="str">
        <f t="shared" si="21"/>
        <v>EN_SPV_20_c01_HTI</v>
      </c>
      <c r="W351" s="12">
        <f t="shared" si="22"/>
        <v>1391</v>
      </c>
      <c r="X351" s="11">
        <f t="shared" si="23"/>
        <v>1391</v>
      </c>
      <c r="Y351" s="17">
        <v>3</v>
      </c>
      <c r="Z351" s="17"/>
      <c r="AC351" s="19" t="s">
        <v>865</v>
      </c>
    </row>
    <row r="352" spans="2:29">
      <c r="B352" s="19" t="s">
        <v>26</v>
      </c>
      <c r="C352" s="19" t="s">
        <v>867</v>
      </c>
      <c r="D352" s="19" t="s">
        <v>868</v>
      </c>
      <c r="E352" s="19" t="s">
        <v>29</v>
      </c>
      <c r="F352" s="19" t="s">
        <v>30</v>
      </c>
      <c r="G352" s="19" t="s">
        <v>31</v>
      </c>
      <c r="J352" s="19" t="s">
        <v>867</v>
      </c>
      <c r="K352" s="19" t="s">
        <v>32</v>
      </c>
      <c r="L352" s="19" t="s">
        <v>869</v>
      </c>
      <c r="M352" s="19">
        <v>88.9549921786477</v>
      </c>
      <c r="N352" s="19">
        <v>1360</v>
      </c>
      <c r="O352" s="19">
        <v>0.132678037904125</v>
      </c>
      <c r="P352" s="19" t="s">
        <v>870</v>
      </c>
      <c r="Q352" s="19">
        <v>6.7275</v>
      </c>
      <c r="R352">
        <f t="shared" si="20"/>
        <v>13.6</v>
      </c>
      <c r="T352" s="15" t="s">
        <v>69</v>
      </c>
      <c r="U352" s="17"/>
      <c r="V352" s="16" t="str">
        <f t="shared" si="21"/>
        <v>EN_SPV_13_c02_HUN</v>
      </c>
      <c r="W352" s="12">
        <f t="shared" si="22"/>
        <v>1360</v>
      </c>
      <c r="X352" s="11">
        <f t="shared" si="23"/>
        <v>1360</v>
      </c>
      <c r="Y352" s="17">
        <v>3</v>
      </c>
      <c r="Z352" s="17"/>
      <c r="AC352" s="19" t="s">
        <v>867</v>
      </c>
    </row>
    <row r="353" spans="2:29">
      <c r="B353" s="19" t="s">
        <v>26</v>
      </c>
      <c r="C353" s="19" t="s">
        <v>871</v>
      </c>
      <c r="D353" s="19" t="s">
        <v>872</v>
      </c>
      <c r="E353" s="19" t="s">
        <v>29</v>
      </c>
      <c r="F353" s="19" t="s">
        <v>30</v>
      </c>
      <c r="G353" s="19" t="s">
        <v>31</v>
      </c>
      <c r="J353" s="19" t="s">
        <v>871</v>
      </c>
      <c r="K353" s="19" t="s">
        <v>32</v>
      </c>
      <c r="L353" s="19" t="s">
        <v>869</v>
      </c>
      <c r="M353" s="19">
        <v>101.208996203257</v>
      </c>
      <c r="N353" s="19">
        <v>1360</v>
      </c>
      <c r="O353" s="19">
        <v>0.132829536527887</v>
      </c>
      <c r="P353" s="19" t="s">
        <v>870</v>
      </c>
      <c r="Q353" s="19">
        <v>2.86425</v>
      </c>
      <c r="R353">
        <f t="shared" si="20"/>
        <v>13.6</v>
      </c>
      <c r="T353" s="15" t="s">
        <v>69</v>
      </c>
      <c r="U353" s="17"/>
      <c r="V353" s="16" t="str">
        <f t="shared" si="21"/>
        <v>EN_SPV_13_c03_HUN</v>
      </c>
      <c r="W353" s="12">
        <f t="shared" si="22"/>
        <v>1360</v>
      </c>
      <c r="X353" s="11">
        <f t="shared" si="23"/>
        <v>1360</v>
      </c>
      <c r="Y353" s="17">
        <v>3</v>
      </c>
      <c r="Z353" s="17"/>
      <c r="AC353" s="19" t="s">
        <v>871</v>
      </c>
    </row>
    <row r="354" spans="2:29">
      <c r="B354" s="19" t="s">
        <v>26</v>
      </c>
      <c r="C354" s="19" t="s">
        <v>873</v>
      </c>
      <c r="D354" s="19" t="s">
        <v>874</v>
      </c>
      <c r="E354" s="19" t="s">
        <v>29</v>
      </c>
      <c r="F354" s="19" t="s">
        <v>30</v>
      </c>
      <c r="G354" s="19" t="s">
        <v>31</v>
      </c>
      <c r="J354" s="19" t="s">
        <v>873</v>
      </c>
      <c r="K354" s="19" t="s">
        <v>32</v>
      </c>
      <c r="L354" s="19" t="s">
        <v>869</v>
      </c>
      <c r="M354" s="19">
        <v>88.9549921786477</v>
      </c>
      <c r="N354" s="19">
        <v>1360</v>
      </c>
      <c r="O354" s="19">
        <v>0.136693382184566</v>
      </c>
      <c r="P354" s="19" t="s">
        <v>870</v>
      </c>
      <c r="Q354" s="19">
        <v>16.37625</v>
      </c>
      <c r="R354">
        <f t="shared" si="20"/>
        <v>13.6</v>
      </c>
      <c r="T354" s="15" t="s">
        <v>69</v>
      </c>
      <c r="U354" s="17"/>
      <c r="V354" s="16" t="str">
        <f t="shared" si="21"/>
        <v>EN_SPV_14_c02_HUN</v>
      </c>
      <c r="W354" s="12">
        <f t="shared" si="22"/>
        <v>1360</v>
      </c>
      <c r="X354" s="11">
        <f t="shared" si="23"/>
        <v>1360</v>
      </c>
      <c r="Y354" s="17">
        <v>3</v>
      </c>
      <c r="Z354" s="17"/>
      <c r="AC354" s="19" t="s">
        <v>873</v>
      </c>
    </row>
    <row r="355" spans="2:29">
      <c r="B355" s="19" t="s">
        <v>26</v>
      </c>
      <c r="C355" s="19" t="s">
        <v>875</v>
      </c>
      <c r="D355" s="19" t="s">
        <v>876</v>
      </c>
      <c r="E355" s="19" t="s">
        <v>29</v>
      </c>
      <c r="F355" s="19" t="s">
        <v>30</v>
      </c>
      <c r="G355" s="19" t="s">
        <v>31</v>
      </c>
      <c r="J355" s="19" t="s">
        <v>875</v>
      </c>
      <c r="K355" s="19" t="s">
        <v>32</v>
      </c>
      <c r="L355" s="19" t="s">
        <v>869</v>
      </c>
      <c r="M355" s="19">
        <v>101.208996203257</v>
      </c>
      <c r="N355" s="19">
        <v>1360</v>
      </c>
      <c r="O355" s="19">
        <v>0.137711606690319</v>
      </c>
      <c r="P355" s="19" t="s">
        <v>870</v>
      </c>
      <c r="Q355" s="19">
        <v>1.47975</v>
      </c>
      <c r="R355">
        <f t="shared" si="20"/>
        <v>13.6</v>
      </c>
      <c r="T355" s="15" t="s">
        <v>69</v>
      </c>
      <c r="U355" s="17"/>
      <c r="V355" s="16" t="str">
        <f t="shared" si="21"/>
        <v>EN_SPV_14_c03_HUN</v>
      </c>
      <c r="W355" s="12">
        <f t="shared" si="22"/>
        <v>1360</v>
      </c>
      <c r="X355" s="11">
        <f t="shared" si="23"/>
        <v>1360</v>
      </c>
      <c r="Y355" s="17">
        <v>3</v>
      </c>
      <c r="Z355" s="17"/>
      <c r="AC355" s="19" t="s">
        <v>875</v>
      </c>
    </row>
    <row r="356" spans="2:29">
      <c r="B356" s="19" t="s">
        <v>26</v>
      </c>
      <c r="C356" s="19" t="s">
        <v>877</v>
      </c>
      <c r="D356" s="19" t="s">
        <v>878</v>
      </c>
      <c r="E356" s="19" t="s">
        <v>29</v>
      </c>
      <c r="F356" s="19" t="s">
        <v>30</v>
      </c>
      <c r="G356" s="19" t="s">
        <v>31</v>
      </c>
      <c r="J356" s="19" t="s">
        <v>877</v>
      </c>
      <c r="K356" s="19" t="s">
        <v>32</v>
      </c>
      <c r="L356" s="19" t="s">
        <v>879</v>
      </c>
      <c r="M356" s="19">
        <v>88.9549921786477</v>
      </c>
      <c r="N356" s="19">
        <v>1158</v>
      </c>
      <c r="O356" s="19">
        <v>0.142196169238538</v>
      </c>
      <c r="P356" s="19" t="s">
        <v>880</v>
      </c>
      <c r="Q356" s="19">
        <v>458.95575</v>
      </c>
      <c r="R356">
        <f t="shared" si="20"/>
        <v>11.58</v>
      </c>
      <c r="T356" s="15" t="s">
        <v>290</v>
      </c>
      <c r="U356" s="17"/>
      <c r="V356" s="16" t="str">
        <f t="shared" si="21"/>
        <v>EN_SPV_14_c02_IDN</v>
      </c>
      <c r="W356" s="12">
        <f t="shared" si="22"/>
        <v>1158</v>
      </c>
      <c r="X356" s="11">
        <f t="shared" si="23"/>
        <v>1158</v>
      </c>
      <c r="Y356" s="17">
        <v>3</v>
      </c>
      <c r="Z356" s="17"/>
      <c r="AC356" s="19" t="s">
        <v>877</v>
      </c>
    </row>
    <row r="357" spans="2:29">
      <c r="B357" s="19" t="s">
        <v>26</v>
      </c>
      <c r="C357" s="19" t="s">
        <v>881</v>
      </c>
      <c r="D357" s="19" t="s">
        <v>882</v>
      </c>
      <c r="E357" s="19" t="s">
        <v>29</v>
      </c>
      <c r="F357" s="19" t="s">
        <v>30</v>
      </c>
      <c r="G357" s="19" t="s">
        <v>31</v>
      </c>
      <c r="J357" s="19" t="s">
        <v>881</v>
      </c>
      <c r="K357" s="19" t="s">
        <v>32</v>
      </c>
      <c r="L357" s="19" t="s">
        <v>879</v>
      </c>
      <c r="M357" s="19">
        <v>101.208996203257</v>
      </c>
      <c r="N357" s="19">
        <v>1158</v>
      </c>
      <c r="O357" s="19">
        <v>0.140867270156286</v>
      </c>
      <c r="P357" s="19" t="s">
        <v>880</v>
      </c>
      <c r="Q357" s="19">
        <v>607.30125</v>
      </c>
      <c r="R357">
        <f t="shared" si="20"/>
        <v>11.58</v>
      </c>
      <c r="T357" s="15" t="s">
        <v>290</v>
      </c>
      <c r="U357" s="17"/>
      <c r="V357" s="16" t="str">
        <f t="shared" si="21"/>
        <v>EN_SPV_14_c03_IDN</v>
      </c>
      <c r="W357" s="12">
        <f t="shared" si="22"/>
        <v>1158</v>
      </c>
      <c r="X357" s="11">
        <f t="shared" si="23"/>
        <v>1158</v>
      </c>
      <c r="Y357" s="17">
        <v>3</v>
      </c>
      <c r="Z357" s="17"/>
      <c r="AC357" s="19" t="s">
        <v>881</v>
      </c>
    </row>
    <row r="358" spans="2:29">
      <c r="B358" s="19" t="s">
        <v>26</v>
      </c>
      <c r="C358" s="19" t="s">
        <v>883</v>
      </c>
      <c r="D358" s="19" t="s">
        <v>884</v>
      </c>
      <c r="E358" s="19" t="s">
        <v>29</v>
      </c>
      <c r="F358" s="19" t="s">
        <v>30</v>
      </c>
      <c r="G358" s="19" t="s">
        <v>31</v>
      </c>
      <c r="J358" s="19" t="s">
        <v>883</v>
      </c>
      <c r="K358" s="19" t="s">
        <v>32</v>
      </c>
      <c r="L358" s="19" t="s">
        <v>879</v>
      </c>
      <c r="M358" s="19">
        <v>0</v>
      </c>
      <c r="N358" s="19">
        <v>1158</v>
      </c>
      <c r="O358" s="19">
        <v>0.15382658657613</v>
      </c>
      <c r="P358" s="19" t="s">
        <v>880</v>
      </c>
      <c r="Q358" s="19">
        <v>2.87175</v>
      </c>
      <c r="R358">
        <f t="shared" si="20"/>
        <v>11.58</v>
      </c>
      <c r="T358" s="15" t="s">
        <v>290</v>
      </c>
      <c r="U358" s="17"/>
      <c r="V358" s="16" t="str">
        <f t="shared" si="21"/>
        <v>EN_SPV_15_c01_IDN</v>
      </c>
      <c r="W358" s="12">
        <f t="shared" si="22"/>
        <v>1158</v>
      </c>
      <c r="X358" s="11">
        <f t="shared" si="23"/>
        <v>1158</v>
      </c>
      <c r="Y358" s="17">
        <v>3</v>
      </c>
      <c r="Z358" s="17"/>
      <c r="AC358" s="19" t="s">
        <v>883</v>
      </c>
    </row>
    <row r="359" spans="2:29">
      <c r="B359" s="19" t="s">
        <v>26</v>
      </c>
      <c r="C359" s="19" t="s">
        <v>885</v>
      </c>
      <c r="D359" s="19" t="s">
        <v>886</v>
      </c>
      <c r="E359" s="19" t="s">
        <v>29</v>
      </c>
      <c r="F359" s="19" t="s">
        <v>30</v>
      </c>
      <c r="G359" s="19" t="s">
        <v>31</v>
      </c>
      <c r="J359" s="19" t="s">
        <v>885</v>
      </c>
      <c r="K359" s="19" t="s">
        <v>32</v>
      </c>
      <c r="L359" s="19" t="s">
        <v>879</v>
      </c>
      <c r="M359" s="19">
        <v>88.9549921786477</v>
      </c>
      <c r="N359" s="19">
        <v>1158</v>
      </c>
      <c r="O359" s="19">
        <v>0.148606687404824</v>
      </c>
      <c r="P359" s="19" t="s">
        <v>880</v>
      </c>
      <c r="Q359" s="19">
        <v>288.11625</v>
      </c>
      <c r="R359">
        <f t="shared" si="20"/>
        <v>11.58</v>
      </c>
      <c r="T359" s="15" t="s">
        <v>290</v>
      </c>
      <c r="U359" s="17"/>
      <c r="V359" s="16" t="str">
        <f t="shared" si="21"/>
        <v>EN_SPV_15_c02_IDN</v>
      </c>
      <c r="W359" s="12">
        <f t="shared" si="22"/>
        <v>1158</v>
      </c>
      <c r="X359" s="11">
        <f t="shared" si="23"/>
        <v>1158</v>
      </c>
      <c r="Y359" s="17">
        <v>3</v>
      </c>
      <c r="Z359" s="17"/>
      <c r="AC359" s="19" t="s">
        <v>885</v>
      </c>
    </row>
    <row r="360" spans="2:29">
      <c r="B360" s="19" t="s">
        <v>26</v>
      </c>
      <c r="C360" s="19" t="s">
        <v>887</v>
      </c>
      <c r="D360" s="19" t="s">
        <v>888</v>
      </c>
      <c r="E360" s="19" t="s">
        <v>29</v>
      </c>
      <c r="F360" s="19" t="s">
        <v>30</v>
      </c>
      <c r="G360" s="19" t="s">
        <v>31</v>
      </c>
      <c r="J360" s="19" t="s">
        <v>887</v>
      </c>
      <c r="K360" s="19" t="s">
        <v>32</v>
      </c>
      <c r="L360" s="19" t="s">
        <v>879</v>
      </c>
      <c r="M360" s="19">
        <v>101.208996203257</v>
      </c>
      <c r="N360" s="19">
        <v>1158</v>
      </c>
      <c r="O360" s="19">
        <v>0.148202907662083</v>
      </c>
      <c r="P360" s="19" t="s">
        <v>880</v>
      </c>
      <c r="Q360" s="19">
        <v>219.50625</v>
      </c>
      <c r="R360">
        <f t="shared" si="20"/>
        <v>11.58</v>
      </c>
      <c r="T360" s="15" t="s">
        <v>290</v>
      </c>
      <c r="U360" s="17"/>
      <c r="V360" s="16" t="str">
        <f t="shared" si="21"/>
        <v>EN_SPV_15_c03_IDN</v>
      </c>
      <c r="W360" s="12">
        <f t="shared" si="22"/>
        <v>1158</v>
      </c>
      <c r="X360" s="11">
        <f t="shared" si="23"/>
        <v>1158</v>
      </c>
      <c r="Y360" s="17">
        <v>3</v>
      </c>
      <c r="Z360" s="17"/>
      <c r="AC360" s="19" t="s">
        <v>887</v>
      </c>
    </row>
    <row r="361" spans="2:29">
      <c r="B361" s="19" t="s">
        <v>26</v>
      </c>
      <c r="C361" s="19" t="s">
        <v>889</v>
      </c>
      <c r="D361" s="19" t="s">
        <v>890</v>
      </c>
      <c r="E361" s="19" t="s">
        <v>29</v>
      </c>
      <c r="F361" s="19" t="s">
        <v>30</v>
      </c>
      <c r="G361" s="19" t="s">
        <v>31</v>
      </c>
      <c r="J361" s="19" t="s">
        <v>889</v>
      </c>
      <c r="K361" s="19" t="s">
        <v>32</v>
      </c>
      <c r="L361" s="19" t="s">
        <v>879</v>
      </c>
      <c r="M361" s="19">
        <v>138.878712278909</v>
      </c>
      <c r="N361" s="19">
        <v>1158</v>
      </c>
      <c r="O361" s="19">
        <v>0.149825388021526</v>
      </c>
      <c r="P361" s="19" t="s">
        <v>880</v>
      </c>
      <c r="Q361" s="19">
        <v>163.6185</v>
      </c>
      <c r="R361">
        <f t="shared" si="20"/>
        <v>11.58</v>
      </c>
      <c r="T361" s="15" t="s">
        <v>290</v>
      </c>
      <c r="U361" s="17"/>
      <c r="V361" s="16" t="str">
        <f t="shared" si="21"/>
        <v>EN_SPV_15_c04_IDN</v>
      </c>
      <c r="W361" s="12">
        <f t="shared" si="22"/>
        <v>1158</v>
      </c>
      <c r="X361" s="11">
        <f t="shared" si="23"/>
        <v>1158</v>
      </c>
      <c r="Y361" s="17">
        <v>3</v>
      </c>
      <c r="Z361" s="17"/>
      <c r="AC361" s="19" t="s">
        <v>889</v>
      </c>
    </row>
    <row r="362" spans="2:29">
      <c r="B362" s="19" t="s">
        <v>26</v>
      </c>
      <c r="C362" s="19" t="s">
        <v>891</v>
      </c>
      <c r="D362" s="19" t="s">
        <v>892</v>
      </c>
      <c r="E362" s="19" t="s">
        <v>29</v>
      </c>
      <c r="F362" s="19" t="s">
        <v>30</v>
      </c>
      <c r="G362" s="19" t="s">
        <v>31</v>
      </c>
      <c r="J362" s="19" t="s">
        <v>891</v>
      </c>
      <c r="K362" s="19" t="s">
        <v>32</v>
      </c>
      <c r="L362" s="19" t="s">
        <v>879</v>
      </c>
      <c r="M362" s="19">
        <v>0</v>
      </c>
      <c r="N362" s="19">
        <v>1158</v>
      </c>
      <c r="O362" s="19">
        <v>0.161436115843271</v>
      </c>
      <c r="P362" s="19" t="s">
        <v>880</v>
      </c>
      <c r="Q362" s="19">
        <v>76.16325</v>
      </c>
      <c r="R362">
        <f t="shared" si="20"/>
        <v>11.58</v>
      </c>
      <c r="T362" s="15" t="s">
        <v>290</v>
      </c>
      <c r="U362" s="17"/>
      <c r="V362" s="16" t="str">
        <f t="shared" si="21"/>
        <v>EN_SPV_16_c01_IDN</v>
      </c>
      <c r="W362" s="12">
        <f t="shared" si="22"/>
        <v>1158</v>
      </c>
      <c r="X362" s="11">
        <f t="shared" si="23"/>
        <v>1158</v>
      </c>
      <c r="Y362" s="17">
        <v>3</v>
      </c>
      <c r="Z362" s="17"/>
      <c r="AC362" s="19" t="s">
        <v>891</v>
      </c>
    </row>
    <row r="363" spans="2:29">
      <c r="B363" s="19" t="s">
        <v>26</v>
      </c>
      <c r="C363" s="19" t="s">
        <v>893</v>
      </c>
      <c r="D363" s="19" t="s">
        <v>894</v>
      </c>
      <c r="E363" s="19" t="s">
        <v>29</v>
      </c>
      <c r="F363" s="19" t="s">
        <v>30</v>
      </c>
      <c r="G363" s="19" t="s">
        <v>31</v>
      </c>
      <c r="J363" s="19" t="s">
        <v>893</v>
      </c>
      <c r="K363" s="19" t="s">
        <v>32</v>
      </c>
      <c r="L363" s="19" t="s">
        <v>879</v>
      </c>
      <c r="M363" s="19">
        <v>88.9549921786477</v>
      </c>
      <c r="N363" s="19">
        <v>1158</v>
      </c>
      <c r="O363" s="19">
        <v>0.158079002830132</v>
      </c>
      <c r="P363" s="19" t="s">
        <v>880</v>
      </c>
      <c r="Q363" s="19">
        <v>124.5525</v>
      </c>
      <c r="R363">
        <f t="shared" si="20"/>
        <v>11.58</v>
      </c>
      <c r="T363" s="15" t="s">
        <v>290</v>
      </c>
      <c r="U363" s="17"/>
      <c r="V363" s="16" t="str">
        <f t="shared" si="21"/>
        <v>EN_SPV_16_c02_IDN</v>
      </c>
      <c r="W363" s="12">
        <f t="shared" si="22"/>
        <v>1158</v>
      </c>
      <c r="X363" s="11">
        <f t="shared" si="23"/>
        <v>1158</v>
      </c>
      <c r="Y363" s="17">
        <v>3</v>
      </c>
      <c r="Z363" s="17"/>
      <c r="AC363" s="19" t="s">
        <v>893</v>
      </c>
    </row>
    <row r="364" spans="2:29">
      <c r="B364" s="19" t="s">
        <v>26</v>
      </c>
      <c r="C364" s="19" t="s">
        <v>895</v>
      </c>
      <c r="D364" s="19" t="s">
        <v>896</v>
      </c>
      <c r="E364" s="19" t="s">
        <v>29</v>
      </c>
      <c r="F364" s="19" t="s">
        <v>30</v>
      </c>
      <c r="G364" s="19" t="s">
        <v>31</v>
      </c>
      <c r="J364" s="19" t="s">
        <v>895</v>
      </c>
      <c r="K364" s="19" t="s">
        <v>32</v>
      </c>
      <c r="L364" s="19" t="s">
        <v>879</v>
      </c>
      <c r="M364" s="19">
        <v>101.208996203257</v>
      </c>
      <c r="N364" s="19">
        <v>1158</v>
      </c>
      <c r="O364" s="19">
        <v>0.158402158134133</v>
      </c>
      <c r="P364" s="19" t="s">
        <v>880</v>
      </c>
      <c r="Q364" s="19">
        <v>15.4995</v>
      </c>
      <c r="R364">
        <f t="shared" si="20"/>
        <v>11.58</v>
      </c>
      <c r="T364" s="15" t="s">
        <v>290</v>
      </c>
      <c r="U364" s="17"/>
      <c r="V364" s="16" t="str">
        <f t="shared" si="21"/>
        <v>EN_SPV_16_c03_IDN</v>
      </c>
      <c r="W364" s="12">
        <f t="shared" si="22"/>
        <v>1158</v>
      </c>
      <c r="X364" s="11">
        <f t="shared" si="23"/>
        <v>1158</v>
      </c>
      <c r="Y364" s="17">
        <v>3</v>
      </c>
      <c r="Z364" s="17"/>
      <c r="AC364" s="19" t="s">
        <v>895</v>
      </c>
    </row>
    <row r="365" spans="2:29">
      <c r="B365" s="19" t="s">
        <v>26</v>
      </c>
      <c r="C365" s="19" t="s">
        <v>897</v>
      </c>
      <c r="D365" s="19" t="s">
        <v>898</v>
      </c>
      <c r="E365" s="19" t="s">
        <v>29</v>
      </c>
      <c r="F365" s="19" t="s">
        <v>30</v>
      </c>
      <c r="G365" s="19" t="s">
        <v>31</v>
      </c>
      <c r="J365" s="19" t="s">
        <v>897</v>
      </c>
      <c r="K365" s="19" t="s">
        <v>32</v>
      </c>
      <c r="L365" s="19" t="s">
        <v>879</v>
      </c>
      <c r="M365" s="19">
        <v>138.878712278909</v>
      </c>
      <c r="N365" s="19">
        <v>1158</v>
      </c>
      <c r="O365" s="19">
        <v>0.157571826298442</v>
      </c>
      <c r="P365" s="19" t="s">
        <v>880</v>
      </c>
      <c r="Q365" s="19">
        <v>23.43675</v>
      </c>
      <c r="R365">
        <f t="shared" si="20"/>
        <v>11.58</v>
      </c>
      <c r="T365" s="15" t="s">
        <v>290</v>
      </c>
      <c r="U365" s="17"/>
      <c r="V365" s="16" t="str">
        <f t="shared" si="21"/>
        <v>EN_SPV_16_c04_IDN</v>
      </c>
      <c r="W365" s="12">
        <f t="shared" si="22"/>
        <v>1158</v>
      </c>
      <c r="X365" s="11">
        <f t="shared" si="23"/>
        <v>1158</v>
      </c>
      <c r="Y365" s="17">
        <v>3</v>
      </c>
      <c r="Z365" s="17"/>
      <c r="AC365" s="19" t="s">
        <v>897</v>
      </c>
    </row>
    <row r="366" spans="2:29">
      <c r="B366" s="19" t="s">
        <v>26</v>
      </c>
      <c r="C366" s="19" t="s">
        <v>899</v>
      </c>
      <c r="D366" s="19" t="s">
        <v>900</v>
      </c>
      <c r="E366" s="19" t="s">
        <v>29</v>
      </c>
      <c r="F366" s="19" t="s">
        <v>30</v>
      </c>
      <c r="G366" s="19" t="s">
        <v>31</v>
      </c>
      <c r="J366" s="19" t="s">
        <v>899</v>
      </c>
      <c r="K366" s="19" t="s">
        <v>32</v>
      </c>
      <c r="L366" s="19" t="s">
        <v>879</v>
      </c>
      <c r="M366" s="19">
        <v>0</v>
      </c>
      <c r="N366" s="19">
        <v>1158</v>
      </c>
      <c r="O366" s="19">
        <v>0.168362194439261</v>
      </c>
      <c r="P366" s="19" t="s">
        <v>880</v>
      </c>
      <c r="Q366" s="19">
        <v>32.154</v>
      </c>
      <c r="R366">
        <f t="shared" si="20"/>
        <v>11.58</v>
      </c>
      <c r="T366" s="15" t="s">
        <v>290</v>
      </c>
      <c r="U366" s="17"/>
      <c r="V366" s="16" t="str">
        <f t="shared" si="21"/>
        <v>EN_SPV_17_c01_IDN</v>
      </c>
      <c r="W366" s="12">
        <f t="shared" si="22"/>
        <v>1158</v>
      </c>
      <c r="X366" s="11">
        <f t="shared" si="23"/>
        <v>1158</v>
      </c>
      <c r="Y366" s="17">
        <v>3</v>
      </c>
      <c r="Z366" s="17"/>
      <c r="AC366" s="19" t="s">
        <v>899</v>
      </c>
    </row>
    <row r="367" spans="2:29">
      <c r="B367" s="19" t="s">
        <v>26</v>
      </c>
      <c r="C367" s="19" t="s">
        <v>901</v>
      </c>
      <c r="D367" s="19" t="s">
        <v>902</v>
      </c>
      <c r="E367" s="19" t="s">
        <v>29</v>
      </c>
      <c r="F367" s="19" t="s">
        <v>30</v>
      </c>
      <c r="G367" s="19" t="s">
        <v>31</v>
      </c>
      <c r="J367" s="19" t="s">
        <v>901</v>
      </c>
      <c r="K367" s="19" t="s">
        <v>32</v>
      </c>
      <c r="L367" s="19" t="s">
        <v>879</v>
      </c>
      <c r="M367" s="19">
        <v>88.9549921786477</v>
      </c>
      <c r="N367" s="19">
        <v>1158</v>
      </c>
      <c r="O367" s="19">
        <v>0.167309474261931</v>
      </c>
      <c r="P367" s="19" t="s">
        <v>880</v>
      </c>
      <c r="Q367" s="19">
        <v>32.79675</v>
      </c>
      <c r="R367">
        <f t="shared" si="20"/>
        <v>11.58</v>
      </c>
      <c r="T367" s="15" t="s">
        <v>290</v>
      </c>
      <c r="U367" s="17"/>
      <c r="V367" s="16" t="str">
        <f t="shared" si="21"/>
        <v>EN_SPV_17_c02_IDN</v>
      </c>
      <c r="W367" s="12">
        <f t="shared" si="22"/>
        <v>1158</v>
      </c>
      <c r="X367" s="11">
        <f t="shared" si="23"/>
        <v>1158</v>
      </c>
      <c r="Y367" s="17">
        <v>3</v>
      </c>
      <c r="Z367" s="17"/>
      <c r="AC367" s="19" t="s">
        <v>901</v>
      </c>
    </row>
    <row r="368" spans="2:29">
      <c r="B368" s="19" t="s">
        <v>26</v>
      </c>
      <c r="C368" s="19" t="s">
        <v>903</v>
      </c>
      <c r="D368" s="19" t="s">
        <v>904</v>
      </c>
      <c r="E368" s="19" t="s">
        <v>29</v>
      </c>
      <c r="F368" s="19" t="s">
        <v>30</v>
      </c>
      <c r="G368" s="19" t="s">
        <v>31</v>
      </c>
      <c r="J368" s="19" t="s">
        <v>903</v>
      </c>
      <c r="K368" s="19" t="s">
        <v>32</v>
      </c>
      <c r="L368" s="19" t="s">
        <v>879</v>
      </c>
      <c r="M368" s="19">
        <v>101.208996203257</v>
      </c>
      <c r="N368" s="19">
        <v>1158</v>
      </c>
      <c r="O368" s="19">
        <v>0.168408340888486</v>
      </c>
      <c r="P368" s="19" t="s">
        <v>880</v>
      </c>
      <c r="Q368" s="19">
        <v>4.13625</v>
      </c>
      <c r="R368">
        <f t="shared" si="20"/>
        <v>11.58</v>
      </c>
      <c r="T368" s="15" t="s">
        <v>290</v>
      </c>
      <c r="U368" s="17"/>
      <c r="V368" s="16" t="str">
        <f t="shared" si="21"/>
        <v>EN_SPV_17_c03_IDN</v>
      </c>
      <c r="W368" s="12">
        <f t="shared" si="22"/>
        <v>1158</v>
      </c>
      <c r="X368" s="11">
        <f t="shared" si="23"/>
        <v>1158</v>
      </c>
      <c r="Y368" s="17">
        <v>3</v>
      </c>
      <c r="Z368" s="17"/>
      <c r="AC368" s="19" t="s">
        <v>903</v>
      </c>
    </row>
    <row r="369" spans="2:29">
      <c r="B369" s="19" t="s">
        <v>26</v>
      </c>
      <c r="C369" s="19" t="s">
        <v>905</v>
      </c>
      <c r="D369" s="19" t="s">
        <v>906</v>
      </c>
      <c r="E369" s="19" t="s">
        <v>29</v>
      </c>
      <c r="F369" s="19" t="s">
        <v>30</v>
      </c>
      <c r="G369" s="19" t="s">
        <v>31</v>
      </c>
      <c r="J369" s="19" t="s">
        <v>905</v>
      </c>
      <c r="K369" s="19" t="s">
        <v>32</v>
      </c>
      <c r="L369" s="19" t="s">
        <v>879</v>
      </c>
      <c r="M369" s="19">
        <v>138.878712278909</v>
      </c>
      <c r="N369" s="19">
        <v>1158</v>
      </c>
      <c r="O369" s="19">
        <v>0.171895451210565</v>
      </c>
      <c r="P369" s="19" t="s">
        <v>880</v>
      </c>
      <c r="Q369" s="19">
        <v>4.089</v>
      </c>
      <c r="R369">
        <f t="shared" si="20"/>
        <v>11.58</v>
      </c>
      <c r="T369" s="15" t="s">
        <v>290</v>
      </c>
      <c r="U369" s="17"/>
      <c r="V369" s="16" t="str">
        <f t="shared" si="21"/>
        <v>EN_SPV_17_c04_IDN</v>
      </c>
      <c r="W369" s="12">
        <f t="shared" si="22"/>
        <v>1158</v>
      </c>
      <c r="X369" s="11">
        <f t="shared" si="23"/>
        <v>1158</v>
      </c>
      <c r="Y369" s="17">
        <v>3</v>
      </c>
      <c r="Z369" s="17"/>
      <c r="AC369" s="19" t="s">
        <v>905</v>
      </c>
    </row>
    <row r="370" spans="2:29">
      <c r="B370" s="19" t="s">
        <v>26</v>
      </c>
      <c r="C370" s="19" t="s">
        <v>907</v>
      </c>
      <c r="D370" s="19" t="s">
        <v>908</v>
      </c>
      <c r="E370" s="19" t="s">
        <v>29</v>
      </c>
      <c r="F370" s="19" t="s">
        <v>30</v>
      </c>
      <c r="G370" s="19" t="s">
        <v>31</v>
      </c>
      <c r="J370" s="19" t="s">
        <v>907</v>
      </c>
      <c r="K370" s="19" t="s">
        <v>32</v>
      </c>
      <c r="L370" s="19" t="s">
        <v>879</v>
      </c>
      <c r="M370" s="19">
        <v>0</v>
      </c>
      <c r="N370" s="19">
        <v>1158</v>
      </c>
      <c r="O370" s="19">
        <v>0.179389438672853</v>
      </c>
      <c r="P370" s="19" t="s">
        <v>880</v>
      </c>
      <c r="Q370" s="19">
        <v>18.26475</v>
      </c>
      <c r="R370">
        <f t="shared" si="20"/>
        <v>11.58</v>
      </c>
      <c r="T370" s="15" t="s">
        <v>290</v>
      </c>
      <c r="U370" s="17"/>
      <c r="V370" s="16" t="str">
        <f t="shared" si="21"/>
        <v>EN_SPV_18_c01_IDN</v>
      </c>
      <c r="W370" s="12">
        <f t="shared" si="22"/>
        <v>1158</v>
      </c>
      <c r="X370" s="11">
        <f t="shared" si="23"/>
        <v>1158</v>
      </c>
      <c r="Y370" s="17">
        <v>3</v>
      </c>
      <c r="Z370" s="17"/>
      <c r="AC370" s="19" t="s">
        <v>907</v>
      </c>
    </row>
    <row r="371" spans="2:29">
      <c r="B371" s="19" t="s">
        <v>26</v>
      </c>
      <c r="C371" s="19" t="s">
        <v>909</v>
      </c>
      <c r="D371" s="19" t="s">
        <v>910</v>
      </c>
      <c r="E371" s="19" t="s">
        <v>29</v>
      </c>
      <c r="F371" s="19" t="s">
        <v>30</v>
      </c>
      <c r="G371" s="19" t="s">
        <v>31</v>
      </c>
      <c r="J371" s="19" t="s">
        <v>909</v>
      </c>
      <c r="K371" s="19" t="s">
        <v>32</v>
      </c>
      <c r="L371" s="19" t="s">
        <v>879</v>
      </c>
      <c r="M371" s="19">
        <v>88.9549921786477</v>
      </c>
      <c r="N371" s="19">
        <v>1158</v>
      </c>
      <c r="O371" s="19">
        <v>0.178344843253067</v>
      </c>
      <c r="P371" s="19" t="s">
        <v>880</v>
      </c>
      <c r="Q371" s="19">
        <v>1.65075</v>
      </c>
      <c r="R371">
        <f t="shared" si="20"/>
        <v>11.58</v>
      </c>
      <c r="T371" s="15" t="s">
        <v>290</v>
      </c>
      <c r="U371" s="17"/>
      <c r="V371" s="16" t="str">
        <f t="shared" si="21"/>
        <v>EN_SPV_18_c02_IDN</v>
      </c>
      <c r="W371" s="12">
        <f t="shared" si="22"/>
        <v>1158</v>
      </c>
      <c r="X371" s="11">
        <f t="shared" si="23"/>
        <v>1158</v>
      </c>
      <c r="Y371" s="17">
        <v>3</v>
      </c>
      <c r="Z371" s="17"/>
      <c r="AC371" s="19" t="s">
        <v>909</v>
      </c>
    </row>
    <row r="372" spans="2:29">
      <c r="B372" s="19" t="s">
        <v>26</v>
      </c>
      <c r="C372" s="19" t="s">
        <v>911</v>
      </c>
      <c r="D372" s="19" t="s">
        <v>912</v>
      </c>
      <c r="E372" s="19" t="s">
        <v>29</v>
      </c>
      <c r="F372" s="19" t="s">
        <v>30</v>
      </c>
      <c r="G372" s="19" t="s">
        <v>31</v>
      </c>
      <c r="J372" s="19" t="s">
        <v>911</v>
      </c>
      <c r="K372" s="19" t="s">
        <v>32</v>
      </c>
      <c r="L372" s="19" t="s">
        <v>879</v>
      </c>
      <c r="M372" s="19">
        <v>101.208996203257</v>
      </c>
      <c r="N372" s="19">
        <v>1158</v>
      </c>
      <c r="O372" s="19">
        <v>0.17621820774899</v>
      </c>
      <c r="P372" s="19" t="s">
        <v>880</v>
      </c>
      <c r="Q372" s="19">
        <v>3.15525</v>
      </c>
      <c r="R372">
        <f t="shared" si="20"/>
        <v>11.58</v>
      </c>
      <c r="T372" s="15" t="s">
        <v>290</v>
      </c>
      <c r="U372" s="17"/>
      <c r="V372" s="16" t="str">
        <f t="shared" si="21"/>
        <v>EN_SPV_18_c03_IDN</v>
      </c>
      <c r="W372" s="12">
        <f t="shared" si="22"/>
        <v>1158</v>
      </c>
      <c r="X372" s="11">
        <f t="shared" si="23"/>
        <v>1158</v>
      </c>
      <c r="Y372" s="17">
        <v>3</v>
      </c>
      <c r="Z372" s="17"/>
      <c r="AC372" s="19" t="s">
        <v>911</v>
      </c>
    </row>
    <row r="373" spans="2:29">
      <c r="B373" s="19" t="s">
        <v>26</v>
      </c>
      <c r="C373" s="19" t="s">
        <v>913</v>
      </c>
      <c r="D373" s="19" t="s">
        <v>914</v>
      </c>
      <c r="E373" s="19" t="s">
        <v>29</v>
      </c>
      <c r="F373" s="19" t="s">
        <v>30</v>
      </c>
      <c r="G373" s="19" t="s">
        <v>31</v>
      </c>
      <c r="J373" s="19" t="s">
        <v>913</v>
      </c>
      <c r="K373" s="19" t="s">
        <v>32</v>
      </c>
      <c r="L373" s="19" t="s">
        <v>879</v>
      </c>
      <c r="M373" s="19">
        <v>138.878712278909</v>
      </c>
      <c r="N373" s="19">
        <v>1158</v>
      </c>
      <c r="O373" s="19">
        <v>0.177943965517241</v>
      </c>
      <c r="P373" s="19" t="s">
        <v>880</v>
      </c>
      <c r="Q373" s="19">
        <v>0.348</v>
      </c>
      <c r="R373">
        <f t="shared" si="20"/>
        <v>11.58</v>
      </c>
      <c r="T373" s="15" t="s">
        <v>290</v>
      </c>
      <c r="U373" s="17"/>
      <c r="V373" s="16" t="str">
        <f t="shared" si="21"/>
        <v>EN_SPV_18_c04_IDN</v>
      </c>
      <c r="W373" s="12">
        <f t="shared" si="22"/>
        <v>1158</v>
      </c>
      <c r="X373" s="11">
        <f t="shared" si="23"/>
        <v>1158</v>
      </c>
      <c r="Y373" s="17">
        <v>3</v>
      </c>
      <c r="Z373" s="17"/>
      <c r="AC373" s="19" t="s">
        <v>913</v>
      </c>
    </row>
    <row r="374" spans="2:29">
      <c r="B374" s="19" t="s">
        <v>26</v>
      </c>
      <c r="C374" s="19" t="s">
        <v>915</v>
      </c>
      <c r="D374" s="19" t="s">
        <v>916</v>
      </c>
      <c r="E374" s="19" t="s">
        <v>29</v>
      </c>
      <c r="F374" s="19" t="s">
        <v>30</v>
      </c>
      <c r="G374" s="19" t="s">
        <v>31</v>
      </c>
      <c r="J374" s="19" t="s">
        <v>915</v>
      </c>
      <c r="K374" s="19" t="s">
        <v>32</v>
      </c>
      <c r="L374" s="19" t="s">
        <v>879</v>
      </c>
      <c r="M374" s="19">
        <v>0</v>
      </c>
      <c r="N374" s="19">
        <v>1158</v>
      </c>
      <c r="O374" s="19">
        <v>0.189885869565217</v>
      </c>
      <c r="P374" s="19" t="s">
        <v>880</v>
      </c>
      <c r="Q374" s="19">
        <v>0.138</v>
      </c>
      <c r="R374">
        <f t="shared" si="20"/>
        <v>11.58</v>
      </c>
      <c r="T374" s="15" t="s">
        <v>290</v>
      </c>
      <c r="U374" s="17"/>
      <c r="V374" s="16" t="str">
        <f t="shared" si="21"/>
        <v>EN_SPV_19_c01_IDN</v>
      </c>
      <c r="W374" s="12">
        <f t="shared" si="22"/>
        <v>1158</v>
      </c>
      <c r="X374" s="11">
        <f t="shared" si="23"/>
        <v>1158</v>
      </c>
      <c r="Y374" s="17">
        <v>3</v>
      </c>
      <c r="Z374" s="17"/>
      <c r="AC374" s="19" t="s">
        <v>915</v>
      </c>
    </row>
    <row r="375" spans="2:29">
      <c r="B375" s="19" t="s">
        <v>26</v>
      </c>
      <c r="C375" s="19" t="s">
        <v>917</v>
      </c>
      <c r="D375" s="19" t="s">
        <v>918</v>
      </c>
      <c r="E375" s="19" t="s">
        <v>29</v>
      </c>
      <c r="F375" s="19" t="s">
        <v>30</v>
      </c>
      <c r="G375" s="19" t="s">
        <v>31</v>
      </c>
      <c r="J375" s="19" t="s">
        <v>917</v>
      </c>
      <c r="K375" s="19" t="s">
        <v>32</v>
      </c>
      <c r="L375" s="19" t="s">
        <v>879</v>
      </c>
      <c r="M375" s="19">
        <v>88.9549921786477</v>
      </c>
      <c r="N375" s="19">
        <v>1158</v>
      </c>
      <c r="O375" s="19">
        <v>0.186605863192182</v>
      </c>
      <c r="P375" s="19" t="s">
        <v>880</v>
      </c>
      <c r="Q375" s="19">
        <v>0.23025</v>
      </c>
      <c r="R375">
        <f t="shared" si="20"/>
        <v>11.58</v>
      </c>
      <c r="T375" s="15" t="s">
        <v>290</v>
      </c>
      <c r="U375" s="17"/>
      <c r="V375" s="16" t="str">
        <f t="shared" si="21"/>
        <v>EN_SPV_19_c02_IDN</v>
      </c>
      <c r="W375" s="12">
        <f t="shared" si="22"/>
        <v>1158</v>
      </c>
      <c r="X375" s="11">
        <f t="shared" si="23"/>
        <v>1158</v>
      </c>
      <c r="Y375" s="17">
        <v>3</v>
      </c>
      <c r="Z375" s="17"/>
      <c r="AC375" s="19" t="s">
        <v>917</v>
      </c>
    </row>
    <row r="376" spans="2:29">
      <c r="B376" s="19" t="s">
        <v>26</v>
      </c>
      <c r="C376" s="19" t="s">
        <v>919</v>
      </c>
      <c r="D376" s="19" t="s">
        <v>920</v>
      </c>
      <c r="E376" s="19" t="s">
        <v>29</v>
      </c>
      <c r="F376" s="19" t="s">
        <v>30</v>
      </c>
      <c r="G376" s="19" t="s">
        <v>31</v>
      </c>
      <c r="J376" s="19" t="s">
        <v>919</v>
      </c>
      <c r="K376" s="19" t="s">
        <v>32</v>
      </c>
      <c r="L376" s="19" t="s">
        <v>879</v>
      </c>
      <c r="M376" s="19">
        <v>101.208996203257</v>
      </c>
      <c r="N376" s="19">
        <v>1158</v>
      </c>
      <c r="O376" s="19">
        <v>0.189041775456919</v>
      </c>
      <c r="P376" s="19" t="s">
        <v>880</v>
      </c>
      <c r="Q376" s="19">
        <v>0.86175</v>
      </c>
      <c r="R376">
        <f t="shared" si="20"/>
        <v>11.58</v>
      </c>
      <c r="T376" s="15" t="s">
        <v>290</v>
      </c>
      <c r="U376" s="17"/>
      <c r="V376" s="16" t="str">
        <f t="shared" si="21"/>
        <v>EN_SPV_19_c03_IDN</v>
      </c>
      <c r="W376" s="12">
        <f t="shared" si="22"/>
        <v>1158</v>
      </c>
      <c r="X376" s="11">
        <f t="shared" si="23"/>
        <v>1158</v>
      </c>
      <c r="Y376" s="17">
        <v>3</v>
      </c>
      <c r="Z376" s="17"/>
      <c r="AC376" s="19" t="s">
        <v>919</v>
      </c>
    </row>
    <row r="377" spans="2:29">
      <c r="B377" s="19" t="s">
        <v>26</v>
      </c>
      <c r="C377" s="19" t="s">
        <v>921</v>
      </c>
      <c r="D377" s="19" t="s">
        <v>922</v>
      </c>
      <c r="E377" s="19" t="s">
        <v>29</v>
      </c>
      <c r="F377" s="19" t="s">
        <v>30</v>
      </c>
      <c r="G377" s="19" t="s">
        <v>31</v>
      </c>
      <c r="J377" s="19" t="s">
        <v>921</v>
      </c>
      <c r="K377" s="19" t="s">
        <v>32</v>
      </c>
      <c r="L377" s="19" t="s">
        <v>879</v>
      </c>
      <c r="M377" s="19">
        <v>138.878712278909</v>
      </c>
      <c r="N377" s="19">
        <v>1158</v>
      </c>
      <c r="O377" s="19">
        <v>0.185680353200883</v>
      </c>
      <c r="P377" s="19" t="s">
        <v>880</v>
      </c>
      <c r="Q377" s="19">
        <v>1.69875</v>
      </c>
      <c r="R377">
        <f t="shared" si="20"/>
        <v>11.58</v>
      </c>
      <c r="T377" s="15" t="s">
        <v>290</v>
      </c>
      <c r="U377" s="17"/>
      <c r="V377" s="16" t="str">
        <f t="shared" si="21"/>
        <v>EN_SPV_19_c04_IDN</v>
      </c>
      <c r="W377" s="12">
        <f t="shared" si="22"/>
        <v>1158</v>
      </c>
      <c r="X377" s="11">
        <f t="shared" si="23"/>
        <v>1158</v>
      </c>
      <c r="Y377" s="17">
        <v>3</v>
      </c>
      <c r="Z377" s="17"/>
      <c r="AC377" s="19" t="s">
        <v>921</v>
      </c>
    </row>
    <row r="378" spans="2:29">
      <c r="B378" s="19" t="s">
        <v>26</v>
      </c>
      <c r="C378" s="19" t="s">
        <v>923</v>
      </c>
      <c r="D378" s="19" t="s">
        <v>924</v>
      </c>
      <c r="E378" s="19" t="s">
        <v>29</v>
      </c>
      <c r="F378" s="19" t="s">
        <v>30</v>
      </c>
      <c r="G378" s="19" t="s">
        <v>31</v>
      </c>
      <c r="J378" s="19" t="s">
        <v>923</v>
      </c>
      <c r="K378" s="19" t="s">
        <v>32</v>
      </c>
      <c r="L378" s="19" t="s">
        <v>925</v>
      </c>
      <c r="M378" s="19">
        <v>88.9549921786477</v>
      </c>
      <c r="N378" s="19">
        <v>618</v>
      </c>
      <c r="O378" s="19">
        <v>0.132899456521739</v>
      </c>
      <c r="P378" s="19" t="s">
        <v>926</v>
      </c>
      <c r="Q378" s="19">
        <v>0.276</v>
      </c>
      <c r="R378">
        <f t="shared" si="20"/>
        <v>6.18</v>
      </c>
      <c r="T378" s="15" t="s">
        <v>35</v>
      </c>
      <c r="U378" s="17"/>
      <c r="V378" s="16" t="str">
        <f t="shared" si="21"/>
        <v>EN_SPV_13_c02_IND</v>
      </c>
      <c r="W378" s="12">
        <f t="shared" si="22"/>
        <v>618</v>
      </c>
      <c r="X378" s="11">
        <f t="shared" si="23"/>
        <v>618</v>
      </c>
      <c r="Y378" s="17">
        <v>3</v>
      </c>
      <c r="Z378" s="17"/>
      <c r="AC378" s="19" t="s">
        <v>923</v>
      </c>
    </row>
    <row r="379" spans="2:29">
      <c r="B379" s="19" t="s">
        <v>26</v>
      </c>
      <c r="C379" s="19" t="s">
        <v>927</v>
      </c>
      <c r="D379" s="19" t="s">
        <v>928</v>
      </c>
      <c r="E379" s="19" t="s">
        <v>29</v>
      </c>
      <c r="F379" s="19" t="s">
        <v>30</v>
      </c>
      <c r="G379" s="19" t="s">
        <v>31</v>
      </c>
      <c r="J379" s="19" t="s">
        <v>927</v>
      </c>
      <c r="K379" s="19" t="s">
        <v>32</v>
      </c>
      <c r="L379" s="19" t="s">
        <v>925</v>
      </c>
      <c r="M379" s="19">
        <v>101.208996203257</v>
      </c>
      <c r="N379" s="19">
        <v>618</v>
      </c>
      <c r="O379" s="19">
        <v>0.126372881355932</v>
      </c>
      <c r="P379" s="19" t="s">
        <v>926</v>
      </c>
      <c r="Q379" s="19">
        <v>0.13275</v>
      </c>
      <c r="R379">
        <f t="shared" si="20"/>
        <v>6.18</v>
      </c>
      <c r="T379" s="15" t="s">
        <v>35</v>
      </c>
      <c r="U379" s="17"/>
      <c r="V379" s="16" t="str">
        <f t="shared" si="21"/>
        <v>EN_SPV_13_c03_IND</v>
      </c>
      <c r="W379" s="12">
        <f t="shared" si="22"/>
        <v>618</v>
      </c>
      <c r="X379" s="11">
        <f t="shared" si="23"/>
        <v>618</v>
      </c>
      <c r="Y379" s="17">
        <v>3</v>
      </c>
      <c r="Z379" s="17"/>
      <c r="AC379" s="19" t="s">
        <v>927</v>
      </c>
    </row>
    <row r="380" spans="2:29">
      <c r="B380" s="19" t="s">
        <v>26</v>
      </c>
      <c r="C380" s="19" t="s">
        <v>929</v>
      </c>
      <c r="D380" s="19" t="s">
        <v>930</v>
      </c>
      <c r="E380" s="19" t="s">
        <v>29</v>
      </c>
      <c r="F380" s="19" t="s">
        <v>30</v>
      </c>
      <c r="G380" s="19" t="s">
        <v>31</v>
      </c>
      <c r="J380" s="19" t="s">
        <v>929</v>
      </c>
      <c r="K380" s="19" t="s">
        <v>32</v>
      </c>
      <c r="L380" s="19" t="s">
        <v>925</v>
      </c>
      <c r="M380" s="19">
        <v>88.9549921786477</v>
      </c>
      <c r="N380" s="19">
        <v>618</v>
      </c>
      <c r="O380" s="19">
        <v>0.142712947104278</v>
      </c>
      <c r="P380" s="19" t="s">
        <v>926</v>
      </c>
      <c r="Q380" s="19">
        <v>75.318</v>
      </c>
      <c r="R380">
        <f t="shared" si="20"/>
        <v>6.18</v>
      </c>
      <c r="T380" s="15" t="s">
        <v>35</v>
      </c>
      <c r="U380" s="17"/>
      <c r="V380" s="16" t="str">
        <f t="shared" si="21"/>
        <v>EN_SPV_14_c02_IND</v>
      </c>
      <c r="W380" s="12">
        <f t="shared" si="22"/>
        <v>618</v>
      </c>
      <c r="X380" s="11">
        <f t="shared" si="23"/>
        <v>618</v>
      </c>
      <c r="Y380" s="17">
        <v>3</v>
      </c>
      <c r="Z380" s="17"/>
      <c r="AC380" s="19" t="s">
        <v>929</v>
      </c>
    </row>
    <row r="381" spans="2:29">
      <c r="B381" s="19" t="s">
        <v>26</v>
      </c>
      <c r="C381" s="19" t="s">
        <v>931</v>
      </c>
      <c r="D381" s="19" t="s">
        <v>932</v>
      </c>
      <c r="E381" s="19" t="s">
        <v>29</v>
      </c>
      <c r="F381" s="19" t="s">
        <v>30</v>
      </c>
      <c r="G381" s="19" t="s">
        <v>31</v>
      </c>
      <c r="J381" s="19" t="s">
        <v>931</v>
      </c>
      <c r="K381" s="19" t="s">
        <v>32</v>
      </c>
      <c r="L381" s="19" t="s">
        <v>925</v>
      </c>
      <c r="M381" s="19">
        <v>101.208996203257</v>
      </c>
      <c r="N381" s="19">
        <v>618</v>
      </c>
      <c r="O381" s="19">
        <v>0.138799823466364</v>
      </c>
      <c r="P381" s="19" t="s">
        <v>926</v>
      </c>
      <c r="Q381" s="19">
        <v>11.89575</v>
      </c>
      <c r="R381">
        <f t="shared" si="20"/>
        <v>6.18</v>
      </c>
      <c r="T381" s="15" t="s">
        <v>35</v>
      </c>
      <c r="U381" s="17"/>
      <c r="V381" s="16" t="str">
        <f t="shared" si="21"/>
        <v>EN_SPV_14_c03_IND</v>
      </c>
      <c r="W381" s="12">
        <f t="shared" si="22"/>
        <v>618</v>
      </c>
      <c r="X381" s="11">
        <f t="shared" si="23"/>
        <v>618</v>
      </c>
      <c r="Y381" s="17">
        <v>3</v>
      </c>
      <c r="Z381" s="17"/>
      <c r="AC381" s="19" t="s">
        <v>931</v>
      </c>
    </row>
    <row r="382" spans="2:29">
      <c r="B382" s="19" t="s">
        <v>26</v>
      </c>
      <c r="C382" s="19" t="s">
        <v>933</v>
      </c>
      <c r="D382" s="19" t="s">
        <v>934</v>
      </c>
      <c r="E382" s="19" t="s">
        <v>29</v>
      </c>
      <c r="F382" s="19" t="s">
        <v>30</v>
      </c>
      <c r="G382" s="19" t="s">
        <v>31</v>
      </c>
      <c r="J382" s="19" t="s">
        <v>933</v>
      </c>
      <c r="K382" s="19" t="s">
        <v>32</v>
      </c>
      <c r="L382" s="19" t="s">
        <v>925</v>
      </c>
      <c r="M382" s="19">
        <v>0</v>
      </c>
      <c r="N382" s="19">
        <v>618</v>
      </c>
      <c r="O382" s="19">
        <v>0.154</v>
      </c>
      <c r="P382" s="19" t="s">
        <v>926</v>
      </c>
      <c r="Q382" s="19">
        <v>11.41875</v>
      </c>
      <c r="R382">
        <f t="shared" si="20"/>
        <v>6.18</v>
      </c>
      <c r="T382" s="15" t="s">
        <v>35</v>
      </c>
      <c r="U382" s="17"/>
      <c r="V382" s="16" t="str">
        <f t="shared" si="21"/>
        <v>EN_SPV_15_c01_IND</v>
      </c>
      <c r="W382" s="12">
        <f t="shared" si="22"/>
        <v>618</v>
      </c>
      <c r="X382" s="11">
        <f t="shared" si="23"/>
        <v>618</v>
      </c>
      <c r="Y382" s="17">
        <v>3</v>
      </c>
      <c r="Z382" s="17"/>
      <c r="AC382" s="19" t="s">
        <v>933</v>
      </c>
    </row>
    <row r="383" spans="2:29">
      <c r="B383" s="19" t="s">
        <v>26</v>
      </c>
      <c r="C383" s="19" t="s">
        <v>935</v>
      </c>
      <c r="D383" s="19" t="s">
        <v>936</v>
      </c>
      <c r="E383" s="19" t="s">
        <v>29</v>
      </c>
      <c r="F383" s="19" t="s">
        <v>30</v>
      </c>
      <c r="G383" s="19" t="s">
        <v>31</v>
      </c>
      <c r="J383" s="19" t="s">
        <v>935</v>
      </c>
      <c r="K383" s="19" t="s">
        <v>32</v>
      </c>
      <c r="L383" s="19" t="s">
        <v>925</v>
      </c>
      <c r="M383" s="19">
        <v>88.9549921786477</v>
      </c>
      <c r="N383" s="19">
        <v>618</v>
      </c>
      <c r="O383" s="19">
        <v>0.150869903344963</v>
      </c>
      <c r="P383" s="19" t="s">
        <v>926</v>
      </c>
      <c r="Q383" s="19">
        <v>468.2115</v>
      </c>
      <c r="R383">
        <f t="shared" si="20"/>
        <v>6.18</v>
      </c>
      <c r="T383" s="15" t="s">
        <v>35</v>
      </c>
      <c r="U383" s="17"/>
      <c r="V383" s="16" t="str">
        <f t="shared" si="21"/>
        <v>EN_SPV_15_c02_IND</v>
      </c>
      <c r="W383" s="12">
        <f t="shared" si="22"/>
        <v>618</v>
      </c>
      <c r="X383" s="11">
        <f t="shared" si="23"/>
        <v>618</v>
      </c>
      <c r="Y383" s="17">
        <v>3</v>
      </c>
      <c r="Z383" s="17"/>
      <c r="AC383" s="19" t="s">
        <v>935</v>
      </c>
    </row>
    <row r="384" spans="2:29">
      <c r="B384" s="19" t="s">
        <v>26</v>
      </c>
      <c r="C384" s="19" t="s">
        <v>937</v>
      </c>
      <c r="D384" s="19" t="s">
        <v>938</v>
      </c>
      <c r="E384" s="19" t="s">
        <v>29</v>
      </c>
      <c r="F384" s="19" t="s">
        <v>30</v>
      </c>
      <c r="G384" s="19" t="s">
        <v>31</v>
      </c>
      <c r="J384" s="19" t="s">
        <v>937</v>
      </c>
      <c r="K384" s="19" t="s">
        <v>32</v>
      </c>
      <c r="L384" s="19" t="s">
        <v>925</v>
      </c>
      <c r="M384" s="19">
        <v>101.208996203257</v>
      </c>
      <c r="N384" s="19">
        <v>618</v>
      </c>
      <c r="O384" s="19">
        <v>0.153048347826087</v>
      </c>
      <c r="P384" s="19" t="s">
        <v>926</v>
      </c>
      <c r="Q384" s="19">
        <v>6.46875</v>
      </c>
      <c r="R384">
        <f t="shared" si="20"/>
        <v>6.18</v>
      </c>
      <c r="T384" s="15" t="s">
        <v>35</v>
      </c>
      <c r="U384" s="17"/>
      <c r="V384" s="16" t="str">
        <f t="shared" si="21"/>
        <v>EN_SPV_15_c03_IND</v>
      </c>
      <c r="W384" s="12">
        <f t="shared" si="22"/>
        <v>618</v>
      </c>
      <c r="X384" s="11">
        <f t="shared" si="23"/>
        <v>618</v>
      </c>
      <c r="Y384" s="17">
        <v>3</v>
      </c>
      <c r="Z384" s="17"/>
      <c r="AC384" s="19" t="s">
        <v>937</v>
      </c>
    </row>
    <row r="385" spans="2:29">
      <c r="B385" s="19" t="s">
        <v>26</v>
      </c>
      <c r="C385" s="19" t="s">
        <v>939</v>
      </c>
      <c r="D385" s="19" t="s">
        <v>940</v>
      </c>
      <c r="E385" s="19" t="s">
        <v>29</v>
      </c>
      <c r="F385" s="19" t="s">
        <v>30</v>
      </c>
      <c r="G385" s="19" t="s">
        <v>31</v>
      </c>
      <c r="J385" s="19" t="s">
        <v>939</v>
      </c>
      <c r="K385" s="19" t="s">
        <v>32</v>
      </c>
      <c r="L385" s="19" t="s">
        <v>925</v>
      </c>
      <c r="M385" s="19">
        <v>138.878712278909</v>
      </c>
      <c r="N385" s="19">
        <v>618</v>
      </c>
      <c r="O385" s="19">
        <v>0.150376929325751</v>
      </c>
      <c r="P385" s="19" t="s">
        <v>926</v>
      </c>
      <c r="Q385" s="19">
        <v>0.92325</v>
      </c>
      <c r="R385">
        <f t="shared" si="20"/>
        <v>6.18</v>
      </c>
      <c r="T385" s="15" t="s">
        <v>35</v>
      </c>
      <c r="U385" s="17"/>
      <c r="V385" s="16" t="str">
        <f t="shared" si="21"/>
        <v>EN_SPV_15_c04_IND</v>
      </c>
      <c r="W385" s="12">
        <f t="shared" si="22"/>
        <v>618</v>
      </c>
      <c r="X385" s="11">
        <f t="shared" si="23"/>
        <v>618</v>
      </c>
      <c r="Y385" s="17">
        <v>3</v>
      </c>
      <c r="Z385" s="17"/>
      <c r="AC385" s="19" t="s">
        <v>939</v>
      </c>
    </row>
    <row r="386" spans="2:29">
      <c r="B386" s="19" t="s">
        <v>26</v>
      </c>
      <c r="C386" s="19" t="s">
        <v>941</v>
      </c>
      <c r="D386" s="19" t="s">
        <v>942</v>
      </c>
      <c r="E386" s="19" t="s">
        <v>29</v>
      </c>
      <c r="F386" s="19" t="s">
        <v>30</v>
      </c>
      <c r="G386" s="19" t="s">
        <v>31</v>
      </c>
      <c r="J386" s="19" t="s">
        <v>941</v>
      </c>
      <c r="K386" s="19" t="s">
        <v>32</v>
      </c>
      <c r="L386" s="19" t="s">
        <v>925</v>
      </c>
      <c r="M386" s="19">
        <v>0</v>
      </c>
      <c r="N386" s="19">
        <v>618</v>
      </c>
      <c r="O386" s="19">
        <v>0.16183215219473</v>
      </c>
      <c r="P386" s="19" t="s">
        <v>926</v>
      </c>
      <c r="Q386" s="19">
        <v>836.480999999999</v>
      </c>
      <c r="R386">
        <f t="shared" si="20"/>
        <v>6.18</v>
      </c>
      <c r="T386" s="15" t="s">
        <v>35</v>
      </c>
      <c r="U386" s="17"/>
      <c r="V386" s="16" t="str">
        <f t="shared" si="21"/>
        <v>EN_SPV_16_c01_IND</v>
      </c>
      <c r="W386" s="12">
        <f t="shared" si="22"/>
        <v>618</v>
      </c>
      <c r="X386" s="11">
        <f t="shared" si="23"/>
        <v>618</v>
      </c>
      <c r="Y386" s="17">
        <v>3</v>
      </c>
      <c r="Z386" s="17"/>
      <c r="AC386" s="19" t="s">
        <v>941</v>
      </c>
    </row>
    <row r="387" spans="2:29">
      <c r="B387" s="19" t="s">
        <v>26</v>
      </c>
      <c r="C387" s="19" t="s">
        <v>943</v>
      </c>
      <c r="D387" s="19" t="s">
        <v>944</v>
      </c>
      <c r="E387" s="19" t="s">
        <v>29</v>
      </c>
      <c r="F387" s="19" t="s">
        <v>30</v>
      </c>
      <c r="G387" s="19" t="s">
        <v>31</v>
      </c>
      <c r="J387" s="19" t="s">
        <v>943</v>
      </c>
      <c r="K387" s="19" t="s">
        <v>32</v>
      </c>
      <c r="L387" s="19" t="s">
        <v>925</v>
      </c>
      <c r="M387" s="19">
        <v>88.9549921786477</v>
      </c>
      <c r="N387" s="19">
        <v>618</v>
      </c>
      <c r="O387" s="19">
        <v>0.15931628512467</v>
      </c>
      <c r="P387" s="19" t="s">
        <v>926</v>
      </c>
      <c r="Q387" s="19">
        <v>506.98875</v>
      </c>
      <c r="R387">
        <f t="shared" si="20"/>
        <v>6.18</v>
      </c>
      <c r="T387" s="15" t="s">
        <v>35</v>
      </c>
      <c r="U387" s="17"/>
      <c r="V387" s="16" t="str">
        <f t="shared" si="21"/>
        <v>EN_SPV_16_c02_IND</v>
      </c>
      <c r="W387" s="12">
        <f t="shared" si="22"/>
        <v>618</v>
      </c>
      <c r="X387" s="11">
        <f t="shared" si="23"/>
        <v>618</v>
      </c>
      <c r="Y387" s="17">
        <v>3</v>
      </c>
      <c r="Z387" s="17"/>
      <c r="AC387" s="19" t="s">
        <v>943</v>
      </c>
    </row>
    <row r="388" spans="2:29">
      <c r="B388" s="19" t="s">
        <v>26</v>
      </c>
      <c r="C388" s="19" t="s">
        <v>945</v>
      </c>
      <c r="D388" s="19" t="s">
        <v>946</v>
      </c>
      <c r="E388" s="19" t="s">
        <v>29</v>
      </c>
      <c r="F388" s="19" t="s">
        <v>30</v>
      </c>
      <c r="G388" s="19" t="s">
        <v>31</v>
      </c>
      <c r="J388" s="19" t="s">
        <v>945</v>
      </c>
      <c r="K388" s="19" t="s">
        <v>32</v>
      </c>
      <c r="L388" s="19" t="s">
        <v>925</v>
      </c>
      <c r="M388" s="19">
        <v>101.208996203257</v>
      </c>
      <c r="N388" s="19">
        <v>618</v>
      </c>
      <c r="O388" s="19">
        <v>0.158316481228447</v>
      </c>
      <c r="P388" s="19" t="s">
        <v>926</v>
      </c>
      <c r="Q388" s="19">
        <v>11.52675</v>
      </c>
      <c r="R388">
        <f t="shared" si="20"/>
        <v>6.18</v>
      </c>
      <c r="T388" s="15" t="s">
        <v>35</v>
      </c>
      <c r="U388" s="17"/>
      <c r="V388" s="16" t="str">
        <f t="shared" si="21"/>
        <v>EN_SPV_16_c03_IND</v>
      </c>
      <c r="W388" s="12">
        <f t="shared" si="22"/>
        <v>618</v>
      </c>
      <c r="X388" s="11">
        <f t="shared" si="23"/>
        <v>618</v>
      </c>
      <c r="Y388" s="17">
        <v>3</v>
      </c>
      <c r="Z388" s="17"/>
      <c r="AC388" s="19" t="s">
        <v>945</v>
      </c>
    </row>
    <row r="389" spans="2:29">
      <c r="B389" s="19" t="s">
        <v>26</v>
      </c>
      <c r="C389" s="19" t="s">
        <v>947</v>
      </c>
      <c r="D389" s="19" t="s">
        <v>948</v>
      </c>
      <c r="E389" s="19" t="s">
        <v>29</v>
      </c>
      <c r="F389" s="19" t="s">
        <v>30</v>
      </c>
      <c r="G389" s="19" t="s">
        <v>31</v>
      </c>
      <c r="J389" s="19" t="s">
        <v>947</v>
      </c>
      <c r="K389" s="19" t="s">
        <v>32</v>
      </c>
      <c r="L389" s="19" t="s">
        <v>925</v>
      </c>
      <c r="M389" s="19">
        <v>138.878712278909</v>
      </c>
      <c r="N389" s="19">
        <v>618</v>
      </c>
      <c r="O389" s="19">
        <v>0.159289094387755</v>
      </c>
      <c r="P389" s="19" t="s">
        <v>926</v>
      </c>
      <c r="Q389" s="19">
        <v>11.76</v>
      </c>
      <c r="R389">
        <f t="shared" si="20"/>
        <v>6.18</v>
      </c>
      <c r="T389" s="15" t="s">
        <v>35</v>
      </c>
      <c r="U389" s="17"/>
      <c r="V389" s="16" t="str">
        <f t="shared" si="21"/>
        <v>EN_SPV_16_c04_IND</v>
      </c>
      <c r="W389" s="12">
        <f t="shared" si="22"/>
        <v>618</v>
      </c>
      <c r="X389" s="11">
        <f t="shared" si="23"/>
        <v>618</v>
      </c>
      <c r="Y389" s="17">
        <v>3</v>
      </c>
      <c r="Z389" s="17"/>
      <c r="AC389" s="19" t="s">
        <v>947</v>
      </c>
    </row>
    <row r="390" spans="2:29">
      <c r="B390" s="19" t="s">
        <v>26</v>
      </c>
      <c r="C390" s="19" t="s">
        <v>949</v>
      </c>
      <c r="D390" s="19" t="s">
        <v>950</v>
      </c>
      <c r="E390" s="19" t="s">
        <v>29</v>
      </c>
      <c r="F390" s="19" t="s">
        <v>30</v>
      </c>
      <c r="G390" s="19" t="s">
        <v>31</v>
      </c>
      <c r="J390" s="19" t="s">
        <v>949</v>
      </c>
      <c r="K390" s="19" t="s">
        <v>32</v>
      </c>
      <c r="L390" s="19" t="s">
        <v>925</v>
      </c>
      <c r="M390" s="19">
        <v>0</v>
      </c>
      <c r="N390" s="19">
        <v>618</v>
      </c>
      <c r="O390" s="19">
        <v>0.170794039173689</v>
      </c>
      <c r="P390" s="19" t="s">
        <v>926</v>
      </c>
      <c r="Q390" s="19">
        <v>2762.0835</v>
      </c>
      <c r="R390">
        <f t="shared" ref="R390:R453" si="24">N390*0.01</f>
        <v>6.18</v>
      </c>
      <c r="T390" s="15" t="s">
        <v>35</v>
      </c>
      <c r="U390" s="17"/>
      <c r="V390" s="16" t="str">
        <f t="shared" ref="V390:V453" si="25">J390</f>
        <v>EN_SPV_17_c01_IND</v>
      </c>
      <c r="W390" s="12">
        <f t="shared" ref="W390:W453" si="26">N390</f>
        <v>618</v>
      </c>
      <c r="X390" s="11">
        <f t="shared" ref="X390:X453" si="27">W390</f>
        <v>618</v>
      </c>
      <c r="Y390" s="17">
        <v>3</v>
      </c>
      <c r="Z390" s="17"/>
      <c r="AC390" s="19" t="s">
        <v>949</v>
      </c>
    </row>
    <row r="391" spans="2:29">
      <c r="B391" s="19" t="s">
        <v>26</v>
      </c>
      <c r="C391" s="19" t="s">
        <v>951</v>
      </c>
      <c r="D391" s="19" t="s">
        <v>952</v>
      </c>
      <c r="E391" s="19" t="s">
        <v>29</v>
      </c>
      <c r="F391" s="19" t="s">
        <v>30</v>
      </c>
      <c r="G391" s="19" t="s">
        <v>31</v>
      </c>
      <c r="J391" s="19" t="s">
        <v>951</v>
      </c>
      <c r="K391" s="19" t="s">
        <v>32</v>
      </c>
      <c r="L391" s="19" t="s">
        <v>925</v>
      </c>
      <c r="M391" s="19">
        <v>88.9549921786477</v>
      </c>
      <c r="N391" s="19">
        <v>618</v>
      </c>
      <c r="O391" s="19">
        <v>0.167658766262501</v>
      </c>
      <c r="P391" s="19" t="s">
        <v>926</v>
      </c>
      <c r="Q391" s="19">
        <v>42.37125</v>
      </c>
      <c r="R391">
        <f t="shared" si="24"/>
        <v>6.18</v>
      </c>
      <c r="T391" s="15" t="s">
        <v>35</v>
      </c>
      <c r="U391" s="17"/>
      <c r="V391" s="16" t="str">
        <f t="shared" si="25"/>
        <v>EN_SPV_17_c02_IND</v>
      </c>
      <c r="W391" s="12">
        <f t="shared" si="26"/>
        <v>618</v>
      </c>
      <c r="X391" s="11">
        <f t="shared" si="27"/>
        <v>618</v>
      </c>
      <c r="Y391" s="17">
        <v>3</v>
      </c>
      <c r="Z391" s="17"/>
      <c r="AC391" s="19" t="s">
        <v>951</v>
      </c>
    </row>
    <row r="392" spans="2:29">
      <c r="B392" s="19" t="s">
        <v>26</v>
      </c>
      <c r="C392" s="19" t="s">
        <v>953</v>
      </c>
      <c r="D392" s="19" t="s">
        <v>954</v>
      </c>
      <c r="E392" s="19" t="s">
        <v>29</v>
      </c>
      <c r="F392" s="19" t="s">
        <v>30</v>
      </c>
      <c r="G392" s="19" t="s">
        <v>31</v>
      </c>
      <c r="J392" s="19" t="s">
        <v>953</v>
      </c>
      <c r="K392" s="19" t="s">
        <v>32</v>
      </c>
      <c r="L392" s="19" t="s">
        <v>925</v>
      </c>
      <c r="M392" s="19">
        <v>138.878712278909</v>
      </c>
      <c r="N392" s="19">
        <v>618</v>
      </c>
      <c r="O392" s="19">
        <v>0.167839416058394</v>
      </c>
      <c r="P392" s="19" t="s">
        <v>926</v>
      </c>
      <c r="Q392" s="19">
        <v>0.2055</v>
      </c>
      <c r="R392">
        <f t="shared" si="24"/>
        <v>6.18</v>
      </c>
      <c r="T392" s="15" t="s">
        <v>35</v>
      </c>
      <c r="U392" s="17"/>
      <c r="V392" s="16" t="str">
        <f t="shared" si="25"/>
        <v>EN_SPV_17_c04_IND</v>
      </c>
      <c r="W392" s="12">
        <f t="shared" si="26"/>
        <v>618</v>
      </c>
      <c r="X392" s="11">
        <f t="shared" si="27"/>
        <v>618</v>
      </c>
      <c r="Y392" s="17">
        <v>3</v>
      </c>
      <c r="Z392" s="17"/>
      <c r="AC392" s="19" t="s">
        <v>953</v>
      </c>
    </row>
    <row r="393" spans="2:29">
      <c r="B393" s="19" t="s">
        <v>26</v>
      </c>
      <c r="C393" s="19" t="s">
        <v>955</v>
      </c>
      <c r="D393" s="19" t="s">
        <v>956</v>
      </c>
      <c r="E393" s="19" t="s">
        <v>29</v>
      </c>
      <c r="F393" s="19" t="s">
        <v>30</v>
      </c>
      <c r="G393" s="19" t="s">
        <v>31</v>
      </c>
      <c r="J393" s="19" t="s">
        <v>955</v>
      </c>
      <c r="K393" s="19" t="s">
        <v>32</v>
      </c>
      <c r="L393" s="19" t="s">
        <v>925</v>
      </c>
      <c r="M393" s="19">
        <v>0</v>
      </c>
      <c r="N393" s="19">
        <v>618</v>
      </c>
      <c r="O393" s="19">
        <v>0.178175651936174</v>
      </c>
      <c r="P393" s="19" t="s">
        <v>926</v>
      </c>
      <c r="Q393" s="19">
        <v>1141.18725</v>
      </c>
      <c r="R393">
        <f t="shared" si="24"/>
        <v>6.18</v>
      </c>
      <c r="T393" s="15" t="s">
        <v>35</v>
      </c>
      <c r="U393" s="17"/>
      <c r="V393" s="16" t="str">
        <f t="shared" si="25"/>
        <v>EN_SPV_18_c01_IND</v>
      </c>
      <c r="W393" s="12">
        <f t="shared" si="26"/>
        <v>618</v>
      </c>
      <c r="X393" s="11">
        <f t="shared" si="27"/>
        <v>618</v>
      </c>
      <c r="Y393" s="17">
        <v>3</v>
      </c>
      <c r="Z393" s="17"/>
      <c r="AC393" s="19" t="s">
        <v>955</v>
      </c>
    </row>
    <row r="394" spans="2:29">
      <c r="B394" s="19" t="s">
        <v>26</v>
      </c>
      <c r="C394" s="19" t="s">
        <v>957</v>
      </c>
      <c r="D394" s="19" t="s">
        <v>958</v>
      </c>
      <c r="E394" s="19" t="s">
        <v>29</v>
      </c>
      <c r="F394" s="19" t="s">
        <v>30</v>
      </c>
      <c r="G394" s="19" t="s">
        <v>31</v>
      </c>
      <c r="J394" s="19" t="s">
        <v>957</v>
      </c>
      <c r="K394" s="19" t="s">
        <v>32</v>
      </c>
      <c r="L394" s="19" t="s">
        <v>925</v>
      </c>
      <c r="M394" s="19">
        <v>88.9549921786477</v>
      </c>
      <c r="N394" s="19">
        <v>618</v>
      </c>
      <c r="O394" s="19">
        <v>0.181608499678043</v>
      </c>
      <c r="P394" s="19" t="s">
        <v>926</v>
      </c>
      <c r="Q394" s="19">
        <v>43.09575</v>
      </c>
      <c r="R394">
        <f t="shared" si="24"/>
        <v>6.18</v>
      </c>
      <c r="T394" s="15" t="s">
        <v>35</v>
      </c>
      <c r="U394" s="17"/>
      <c r="V394" s="16" t="str">
        <f t="shared" si="25"/>
        <v>EN_SPV_18_c02_IND</v>
      </c>
      <c r="W394" s="12">
        <f t="shared" si="26"/>
        <v>618</v>
      </c>
      <c r="X394" s="11">
        <f t="shared" si="27"/>
        <v>618</v>
      </c>
      <c r="Y394" s="17">
        <v>3</v>
      </c>
      <c r="Z394" s="17"/>
      <c r="AC394" s="19" t="s">
        <v>957</v>
      </c>
    </row>
    <row r="395" spans="2:29">
      <c r="B395" s="19" t="s">
        <v>26</v>
      </c>
      <c r="C395" s="19" t="s">
        <v>959</v>
      </c>
      <c r="D395" s="19" t="s">
        <v>960</v>
      </c>
      <c r="E395" s="19" t="s">
        <v>29</v>
      </c>
      <c r="F395" s="19" t="s">
        <v>30</v>
      </c>
      <c r="G395" s="19" t="s">
        <v>31</v>
      </c>
      <c r="J395" s="19" t="s">
        <v>959</v>
      </c>
      <c r="K395" s="19" t="s">
        <v>32</v>
      </c>
      <c r="L395" s="19" t="s">
        <v>925</v>
      </c>
      <c r="M395" s="19">
        <v>0</v>
      </c>
      <c r="N395" s="19">
        <v>618</v>
      </c>
      <c r="O395" s="19">
        <v>0.187087092528225</v>
      </c>
      <c r="P395" s="19" t="s">
        <v>926</v>
      </c>
      <c r="Q395" s="19">
        <v>593.16225</v>
      </c>
      <c r="R395">
        <f t="shared" si="24"/>
        <v>6.18</v>
      </c>
      <c r="T395" s="15" t="s">
        <v>35</v>
      </c>
      <c r="U395" s="17"/>
      <c r="V395" s="16" t="str">
        <f t="shared" si="25"/>
        <v>EN_SPV_19_c01_IND</v>
      </c>
      <c r="W395" s="12">
        <f t="shared" si="26"/>
        <v>618</v>
      </c>
      <c r="X395" s="11">
        <f t="shared" si="27"/>
        <v>618</v>
      </c>
      <c r="Y395" s="17">
        <v>3</v>
      </c>
      <c r="Z395" s="17"/>
      <c r="AC395" s="19" t="s">
        <v>959</v>
      </c>
    </row>
    <row r="396" spans="2:29">
      <c r="B396" s="19" t="s">
        <v>26</v>
      </c>
      <c r="C396" s="19" t="s">
        <v>961</v>
      </c>
      <c r="D396" s="19" t="s">
        <v>962</v>
      </c>
      <c r="E396" s="19" t="s">
        <v>29</v>
      </c>
      <c r="F396" s="19" t="s">
        <v>30</v>
      </c>
      <c r="G396" s="19" t="s">
        <v>31</v>
      </c>
      <c r="J396" s="19" t="s">
        <v>961</v>
      </c>
      <c r="K396" s="19" t="s">
        <v>32</v>
      </c>
      <c r="L396" s="19" t="s">
        <v>925</v>
      </c>
      <c r="M396" s="19">
        <v>88.9549921786477</v>
      </c>
      <c r="N396" s="19">
        <v>618</v>
      </c>
      <c r="O396" s="19">
        <v>0.185573569074019</v>
      </c>
      <c r="P396" s="19" t="s">
        <v>926</v>
      </c>
      <c r="Q396" s="19">
        <v>10.011</v>
      </c>
      <c r="R396">
        <f t="shared" si="24"/>
        <v>6.18</v>
      </c>
      <c r="T396" s="15" t="s">
        <v>35</v>
      </c>
      <c r="U396" s="17"/>
      <c r="V396" s="16" t="str">
        <f t="shared" si="25"/>
        <v>EN_SPV_19_c02_IND</v>
      </c>
      <c r="W396" s="12">
        <f t="shared" si="26"/>
        <v>618</v>
      </c>
      <c r="X396" s="11">
        <f t="shared" si="27"/>
        <v>618</v>
      </c>
      <c r="Y396" s="17">
        <v>3</v>
      </c>
      <c r="Z396" s="17"/>
      <c r="AC396" s="19" t="s">
        <v>961</v>
      </c>
    </row>
    <row r="397" spans="2:29">
      <c r="B397" s="19" t="s">
        <v>26</v>
      </c>
      <c r="C397" s="19" t="s">
        <v>963</v>
      </c>
      <c r="D397" s="19" t="s">
        <v>964</v>
      </c>
      <c r="E397" s="19" t="s">
        <v>29</v>
      </c>
      <c r="F397" s="19" t="s">
        <v>30</v>
      </c>
      <c r="G397" s="19" t="s">
        <v>31</v>
      </c>
      <c r="J397" s="19" t="s">
        <v>963</v>
      </c>
      <c r="K397" s="19" t="s">
        <v>32</v>
      </c>
      <c r="L397" s="19" t="s">
        <v>965</v>
      </c>
      <c r="M397" s="19">
        <v>101.208996203257</v>
      </c>
      <c r="N397" s="19">
        <v>1045</v>
      </c>
      <c r="O397" s="19">
        <v>0.0989272437875589</v>
      </c>
      <c r="P397" s="19" t="s">
        <v>966</v>
      </c>
      <c r="Q397" s="19">
        <v>115.44375</v>
      </c>
      <c r="R397">
        <f t="shared" si="24"/>
        <v>10.45</v>
      </c>
      <c r="T397" s="15" t="s">
        <v>69</v>
      </c>
      <c r="U397" s="17"/>
      <c r="V397" s="16" t="str">
        <f t="shared" si="25"/>
        <v>EN_SPV_10_c03_IRL</v>
      </c>
      <c r="W397" s="12">
        <f t="shared" si="26"/>
        <v>1045</v>
      </c>
      <c r="X397" s="11">
        <f t="shared" si="27"/>
        <v>1045</v>
      </c>
      <c r="Y397" s="17">
        <v>3</v>
      </c>
      <c r="Z397" s="17"/>
      <c r="AC397" s="19" t="s">
        <v>963</v>
      </c>
    </row>
    <row r="398" spans="2:29">
      <c r="B398" s="19" t="s">
        <v>26</v>
      </c>
      <c r="C398" s="19" t="s">
        <v>967</v>
      </c>
      <c r="D398" s="19" t="s">
        <v>968</v>
      </c>
      <c r="E398" s="19" t="s">
        <v>29</v>
      </c>
      <c r="F398" s="19" t="s">
        <v>30</v>
      </c>
      <c r="G398" s="19" t="s">
        <v>31</v>
      </c>
      <c r="J398" s="19" t="s">
        <v>967</v>
      </c>
      <c r="K398" s="19" t="s">
        <v>32</v>
      </c>
      <c r="L398" s="19" t="s">
        <v>965</v>
      </c>
      <c r="M398" s="19">
        <v>101.208996203257</v>
      </c>
      <c r="N398" s="19">
        <v>1045</v>
      </c>
      <c r="O398" s="19">
        <v>0.106657361074532</v>
      </c>
      <c r="P398" s="19" t="s">
        <v>966</v>
      </c>
      <c r="Q398" s="19">
        <v>2.84775</v>
      </c>
      <c r="R398">
        <f t="shared" si="24"/>
        <v>10.45</v>
      </c>
      <c r="T398" s="15" t="s">
        <v>69</v>
      </c>
      <c r="U398" s="17"/>
      <c r="V398" s="16" t="str">
        <f t="shared" si="25"/>
        <v>EN_SPV_11_c03_IRL</v>
      </c>
      <c r="W398" s="12">
        <f t="shared" si="26"/>
        <v>1045</v>
      </c>
      <c r="X398" s="11">
        <f t="shared" si="27"/>
        <v>1045</v>
      </c>
      <c r="Y398" s="17">
        <v>3</v>
      </c>
      <c r="Z398" s="17"/>
      <c r="AC398" s="19" t="s">
        <v>967</v>
      </c>
    </row>
    <row r="399" spans="2:29">
      <c r="B399" s="19" t="s">
        <v>26</v>
      </c>
      <c r="C399" s="19" t="s">
        <v>969</v>
      </c>
      <c r="D399" s="19" t="s">
        <v>970</v>
      </c>
      <c r="E399" s="19" t="s">
        <v>29</v>
      </c>
      <c r="F399" s="19" t="s">
        <v>30</v>
      </c>
      <c r="G399" s="19" t="s">
        <v>31</v>
      </c>
      <c r="J399" s="19" t="s">
        <v>969</v>
      </c>
      <c r="K399" s="19" t="s">
        <v>32</v>
      </c>
      <c r="L399" s="19" t="s">
        <v>971</v>
      </c>
      <c r="M399" s="19">
        <v>0</v>
      </c>
      <c r="N399" s="19">
        <v>1193</v>
      </c>
      <c r="O399" s="19">
        <v>0.190568749744147</v>
      </c>
      <c r="P399" s="19" t="s">
        <v>972</v>
      </c>
      <c r="Q399" s="19">
        <v>512.991</v>
      </c>
      <c r="R399">
        <f t="shared" si="24"/>
        <v>11.93</v>
      </c>
      <c r="T399" s="15" t="s">
        <v>80</v>
      </c>
      <c r="U399" s="17"/>
      <c r="V399" s="16" t="str">
        <f t="shared" si="25"/>
        <v>EN_SPV_19_c01_IRN</v>
      </c>
      <c r="W399" s="12">
        <f t="shared" si="26"/>
        <v>1193</v>
      </c>
      <c r="X399" s="11">
        <f t="shared" si="27"/>
        <v>1193</v>
      </c>
      <c r="Y399" s="17">
        <v>3</v>
      </c>
      <c r="Z399" s="17"/>
      <c r="AC399" s="19" t="s">
        <v>969</v>
      </c>
    </row>
    <row r="400" spans="2:29">
      <c r="B400" s="19" t="s">
        <v>26</v>
      </c>
      <c r="C400" s="19" t="s">
        <v>973</v>
      </c>
      <c r="D400" s="19" t="s">
        <v>974</v>
      </c>
      <c r="E400" s="19" t="s">
        <v>29</v>
      </c>
      <c r="F400" s="19" t="s">
        <v>30</v>
      </c>
      <c r="G400" s="19" t="s">
        <v>31</v>
      </c>
      <c r="J400" s="19" t="s">
        <v>973</v>
      </c>
      <c r="K400" s="19" t="s">
        <v>32</v>
      </c>
      <c r="L400" s="19" t="s">
        <v>971</v>
      </c>
      <c r="M400" s="19">
        <v>0</v>
      </c>
      <c r="N400" s="19">
        <v>1193</v>
      </c>
      <c r="O400" s="19">
        <v>0.199060776370743</v>
      </c>
      <c r="P400" s="19" t="s">
        <v>972</v>
      </c>
      <c r="Q400" s="19">
        <v>537.6555</v>
      </c>
      <c r="R400">
        <f t="shared" si="24"/>
        <v>11.93</v>
      </c>
      <c r="T400" s="15" t="s">
        <v>80</v>
      </c>
      <c r="U400" s="17"/>
      <c r="V400" s="16" t="str">
        <f t="shared" si="25"/>
        <v>EN_SPV_20_c01_IRN</v>
      </c>
      <c r="W400" s="12">
        <f t="shared" si="26"/>
        <v>1193</v>
      </c>
      <c r="X400" s="11">
        <f t="shared" si="27"/>
        <v>1193</v>
      </c>
      <c r="Y400" s="17">
        <v>3</v>
      </c>
      <c r="Z400" s="17"/>
      <c r="AC400" s="19" t="s">
        <v>973</v>
      </c>
    </row>
    <row r="401" spans="2:29">
      <c r="B401" s="19" t="s">
        <v>26</v>
      </c>
      <c r="C401" s="19" t="s">
        <v>975</v>
      </c>
      <c r="D401" s="19" t="s">
        <v>976</v>
      </c>
      <c r="E401" s="19" t="s">
        <v>29</v>
      </c>
      <c r="F401" s="19" t="s">
        <v>30</v>
      </c>
      <c r="G401" s="19" t="s">
        <v>31</v>
      </c>
      <c r="J401" s="19" t="s">
        <v>975</v>
      </c>
      <c r="K401" s="19" t="s">
        <v>32</v>
      </c>
      <c r="L401" s="19" t="s">
        <v>971</v>
      </c>
      <c r="M401" s="19">
        <v>88.9549921786477</v>
      </c>
      <c r="N401" s="19">
        <v>1193</v>
      </c>
      <c r="O401" s="19">
        <v>0.197926065905138</v>
      </c>
      <c r="P401" s="19" t="s">
        <v>972</v>
      </c>
      <c r="Q401" s="19">
        <v>79.77375</v>
      </c>
      <c r="R401">
        <f t="shared" si="24"/>
        <v>11.93</v>
      </c>
      <c r="T401" s="15" t="s">
        <v>80</v>
      </c>
      <c r="U401" s="17"/>
      <c r="V401" s="16" t="str">
        <f t="shared" si="25"/>
        <v>EN_SPV_20_c02_IRN</v>
      </c>
      <c r="W401" s="12">
        <f t="shared" si="26"/>
        <v>1193</v>
      </c>
      <c r="X401" s="11">
        <f t="shared" si="27"/>
        <v>1193</v>
      </c>
      <c r="Y401" s="17">
        <v>3</v>
      </c>
      <c r="Z401" s="17"/>
      <c r="AC401" s="19" t="s">
        <v>975</v>
      </c>
    </row>
    <row r="402" spans="2:29">
      <c r="B402" s="19" t="s">
        <v>26</v>
      </c>
      <c r="C402" s="19" t="s">
        <v>977</v>
      </c>
      <c r="D402" s="19" t="s">
        <v>978</v>
      </c>
      <c r="E402" s="19" t="s">
        <v>29</v>
      </c>
      <c r="F402" s="19" t="s">
        <v>30</v>
      </c>
      <c r="G402" s="19" t="s">
        <v>31</v>
      </c>
      <c r="J402" s="19" t="s">
        <v>977</v>
      </c>
      <c r="K402" s="19" t="s">
        <v>32</v>
      </c>
      <c r="L402" s="19" t="s">
        <v>971</v>
      </c>
      <c r="M402" s="19">
        <v>101.208996203257</v>
      </c>
      <c r="N402" s="19">
        <v>1193</v>
      </c>
      <c r="O402" s="19">
        <v>0.196</v>
      </c>
      <c r="P402" s="19" t="s">
        <v>972</v>
      </c>
      <c r="Q402" s="19">
        <v>5.79825</v>
      </c>
      <c r="R402">
        <f t="shared" si="24"/>
        <v>11.93</v>
      </c>
      <c r="T402" s="15" t="s">
        <v>80</v>
      </c>
      <c r="U402" s="17"/>
      <c r="V402" s="16" t="str">
        <f t="shared" si="25"/>
        <v>EN_SPV_20_c03_IRN</v>
      </c>
      <c r="W402" s="12">
        <f t="shared" si="26"/>
        <v>1193</v>
      </c>
      <c r="X402" s="11">
        <f t="shared" si="27"/>
        <v>1193</v>
      </c>
      <c r="Y402" s="17">
        <v>3</v>
      </c>
      <c r="Z402" s="17"/>
      <c r="AC402" s="19" t="s">
        <v>977</v>
      </c>
    </row>
    <row r="403" spans="2:29">
      <c r="B403" s="19" t="s">
        <v>26</v>
      </c>
      <c r="C403" s="19" t="s">
        <v>979</v>
      </c>
      <c r="D403" s="19" t="s">
        <v>980</v>
      </c>
      <c r="E403" s="19" t="s">
        <v>29</v>
      </c>
      <c r="F403" s="19" t="s">
        <v>30</v>
      </c>
      <c r="G403" s="19" t="s">
        <v>31</v>
      </c>
      <c r="J403" s="19" t="s">
        <v>979</v>
      </c>
      <c r="K403" s="19" t="s">
        <v>32</v>
      </c>
      <c r="L403" s="19" t="s">
        <v>971</v>
      </c>
      <c r="M403" s="19">
        <v>0</v>
      </c>
      <c r="N403" s="19">
        <v>1193</v>
      </c>
      <c r="O403" s="19">
        <v>0.208252650266295</v>
      </c>
      <c r="P403" s="19" t="s">
        <v>972</v>
      </c>
      <c r="Q403" s="19">
        <v>280.93875</v>
      </c>
      <c r="R403">
        <f t="shared" si="24"/>
        <v>11.93</v>
      </c>
      <c r="T403" s="15" t="s">
        <v>80</v>
      </c>
      <c r="U403" s="17"/>
      <c r="V403" s="16" t="str">
        <f t="shared" si="25"/>
        <v>EN_SPV_21_c01_IRN</v>
      </c>
      <c r="W403" s="12">
        <f t="shared" si="26"/>
        <v>1193</v>
      </c>
      <c r="X403" s="11">
        <f t="shared" si="27"/>
        <v>1193</v>
      </c>
      <c r="Y403" s="17">
        <v>3</v>
      </c>
      <c r="Z403" s="17"/>
      <c r="AC403" s="19" t="s">
        <v>979</v>
      </c>
    </row>
    <row r="404" spans="2:29">
      <c r="B404" s="19" t="s">
        <v>26</v>
      </c>
      <c r="C404" s="19" t="s">
        <v>981</v>
      </c>
      <c r="D404" s="19" t="s">
        <v>982</v>
      </c>
      <c r="E404" s="19" t="s">
        <v>29</v>
      </c>
      <c r="F404" s="19" t="s">
        <v>30</v>
      </c>
      <c r="G404" s="19" t="s">
        <v>31</v>
      </c>
      <c r="J404" s="19" t="s">
        <v>981</v>
      </c>
      <c r="K404" s="19" t="s">
        <v>32</v>
      </c>
      <c r="L404" s="19" t="s">
        <v>971</v>
      </c>
      <c r="M404" s="19">
        <v>88.9549921786477</v>
      </c>
      <c r="N404" s="19">
        <v>1193</v>
      </c>
      <c r="O404" s="19">
        <v>0.205</v>
      </c>
      <c r="P404" s="19" t="s">
        <v>972</v>
      </c>
      <c r="Q404" s="19">
        <v>4.56375</v>
      </c>
      <c r="R404">
        <f t="shared" si="24"/>
        <v>11.93</v>
      </c>
      <c r="T404" s="15" t="s">
        <v>80</v>
      </c>
      <c r="U404" s="17"/>
      <c r="V404" s="16" t="str">
        <f t="shared" si="25"/>
        <v>EN_SPV_21_c02_IRN</v>
      </c>
      <c r="W404" s="12">
        <f t="shared" si="26"/>
        <v>1193</v>
      </c>
      <c r="X404" s="11">
        <f t="shared" si="27"/>
        <v>1193</v>
      </c>
      <c r="Y404" s="17">
        <v>3</v>
      </c>
      <c r="Z404" s="17"/>
      <c r="AC404" s="19" t="s">
        <v>981</v>
      </c>
    </row>
    <row r="405" spans="2:29">
      <c r="B405" s="19" t="s">
        <v>26</v>
      </c>
      <c r="C405" s="19" t="s">
        <v>983</v>
      </c>
      <c r="D405" s="19" t="s">
        <v>984</v>
      </c>
      <c r="E405" s="19" t="s">
        <v>29</v>
      </c>
      <c r="F405" s="19" t="s">
        <v>30</v>
      </c>
      <c r="G405" s="19" t="s">
        <v>31</v>
      </c>
      <c r="J405" s="19" t="s">
        <v>983</v>
      </c>
      <c r="K405" s="19" t="s">
        <v>32</v>
      </c>
      <c r="L405" s="19" t="s">
        <v>971</v>
      </c>
      <c r="M405" s="19">
        <v>0</v>
      </c>
      <c r="N405" s="19">
        <v>1193</v>
      </c>
      <c r="O405" s="19">
        <v>0.216</v>
      </c>
      <c r="P405" s="19" t="s">
        <v>972</v>
      </c>
      <c r="Q405" s="19">
        <v>3.67725</v>
      </c>
      <c r="R405">
        <f t="shared" si="24"/>
        <v>11.93</v>
      </c>
      <c r="T405" s="15" t="s">
        <v>80</v>
      </c>
      <c r="U405" s="17"/>
      <c r="V405" s="16" t="str">
        <f t="shared" si="25"/>
        <v>EN_SPV_22_c01_IRN</v>
      </c>
      <c r="W405" s="12">
        <f t="shared" si="26"/>
        <v>1193</v>
      </c>
      <c r="X405" s="11">
        <f t="shared" si="27"/>
        <v>1193</v>
      </c>
      <c r="Y405" s="17">
        <v>3</v>
      </c>
      <c r="Z405" s="17"/>
      <c r="AC405" s="19" t="s">
        <v>983</v>
      </c>
    </row>
    <row r="406" spans="2:29">
      <c r="B406" s="19" t="s">
        <v>26</v>
      </c>
      <c r="C406" s="19" t="s">
        <v>985</v>
      </c>
      <c r="D406" s="19" t="s">
        <v>986</v>
      </c>
      <c r="E406" s="19" t="s">
        <v>29</v>
      </c>
      <c r="F406" s="19" t="s">
        <v>30</v>
      </c>
      <c r="G406" s="19" t="s">
        <v>31</v>
      </c>
      <c r="J406" s="19" t="s">
        <v>985</v>
      </c>
      <c r="K406" s="19" t="s">
        <v>32</v>
      </c>
      <c r="L406" s="19" t="s">
        <v>987</v>
      </c>
      <c r="M406" s="19">
        <v>0</v>
      </c>
      <c r="N406" s="19">
        <v>859</v>
      </c>
      <c r="O406" s="19">
        <v>0.200911355068076</v>
      </c>
      <c r="P406" s="19" t="s">
        <v>988</v>
      </c>
      <c r="Q406" s="19">
        <v>76.7895</v>
      </c>
      <c r="R406">
        <f t="shared" si="24"/>
        <v>8.59</v>
      </c>
      <c r="T406" s="15" t="s">
        <v>80</v>
      </c>
      <c r="U406" s="17"/>
      <c r="V406" s="16" t="str">
        <f t="shared" si="25"/>
        <v>EN_SPV_20_c01_IRQ</v>
      </c>
      <c r="W406" s="12">
        <f t="shared" si="26"/>
        <v>859</v>
      </c>
      <c r="X406" s="11">
        <f t="shared" si="27"/>
        <v>859</v>
      </c>
      <c r="Y406" s="17">
        <v>3</v>
      </c>
      <c r="Z406" s="17"/>
      <c r="AC406" s="19" t="s">
        <v>985</v>
      </c>
    </row>
    <row r="407" spans="2:29">
      <c r="B407" s="19" t="s">
        <v>26</v>
      </c>
      <c r="C407" s="19" t="s">
        <v>989</v>
      </c>
      <c r="D407" s="19" t="s">
        <v>990</v>
      </c>
      <c r="E407" s="19" t="s">
        <v>29</v>
      </c>
      <c r="F407" s="19" t="s">
        <v>30</v>
      </c>
      <c r="G407" s="19" t="s">
        <v>31</v>
      </c>
      <c r="J407" s="19" t="s">
        <v>989</v>
      </c>
      <c r="K407" s="19" t="s">
        <v>32</v>
      </c>
      <c r="L407" s="19" t="s">
        <v>987</v>
      </c>
      <c r="M407" s="19">
        <v>88.9549921786477</v>
      </c>
      <c r="N407" s="19">
        <v>859</v>
      </c>
      <c r="O407" s="19">
        <v>0.198752096439694</v>
      </c>
      <c r="P407" s="19" t="s">
        <v>988</v>
      </c>
      <c r="Q407" s="19">
        <v>108.12975</v>
      </c>
      <c r="R407">
        <f t="shared" si="24"/>
        <v>8.59</v>
      </c>
      <c r="T407" s="15" t="s">
        <v>80</v>
      </c>
      <c r="U407" s="17"/>
      <c r="V407" s="16" t="str">
        <f t="shared" si="25"/>
        <v>EN_SPV_20_c02_IRQ</v>
      </c>
      <c r="W407" s="12">
        <f t="shared" si="26"/>
        <v>859</v>
      </c>
      <c r="X407" s="11">
        <f t="shared" si="27"/>
        <v>859</v>
      </c>
      <c r="Y407" s="17">
        <v>3</v>
      </c>
      <c r="Z407" s="17"/>
      <c r="AC407" s="19" t="s">
        <v>989</v>
      </c>
    </row>
    <row r="408" spans="2:29">
      <c r="B408" s="19" t="s">
        <v>26</v>
      </c>
      <c r="C408" s="19" t="s">
        <v>991</v>
      </c>
      <c r="D408" s="19" t="s">
        <v>992</v>
      </c>
      <c r="E408" s="19" t="s">
        <v>29</v>
      </c>
      <c r="F408" s="19" t="s">
        <v>30</v>
      </c>
      <c r="G408" s="19" t="s">
        <v>31</v>
      </c>
      <c r="J408" s="19" t="s">
        <v>991</v>
      </c>
      <c r="K408" s="19" t="s">
        <v>32</v>
      </c>
      <c r="L408" s="19" t="s">
        <v>987</v>
      </c>
      <c r="M408" s="19">
        <v>101.208996203257</v>
      </c>
      <c r="N408" s="19">
        <v>859</v>
      </c>
      <c r="O408" s="19">
        <v>0.197496875166356</v>
      </c>
      <c r="P408" s="19" t="s">
        <v>988</v>
      </c>
      <c r="Q408" s="19">
        <v>140.8875</v>
      </c>
      <c r="R408">
        <f t="shared" si="24"/>
        <v>8.59</v>
      </c>
      <c r="T408" s="15" t="s">
        <v>80</v>
      </c>
      <c r="U408" s="17"/>
      <c r="V408" s="16" t="str">
        <f t="shared" si="25"/>
        <v>EN_SPV_20_c03_IRQ</v>
      </c>
      <c r="W408" s="12">
        <f t="shared" si="26"/>
        <v>859</v>
      </c>
      <c r="X408" s="11">
        <f t="shared" si="27"/>
        <v>859</v>
      </c>
      <c r="Y408" s="17">
        <v>3</v>
      </c>
      <c r="Z408" s="17"/>
      <c r="AC408" s="19" t="s">
        <v>991</v>
      </c>
    </row>
    <row r="409" spans="2:29">
      <c r="B409" s="19" t="s">
        <v>26</v>
      </c>
      <c r="C409" s="19" t="s">
        <v>993</v>
      </c>
      <c r="D409" s="19" t="s">
        <v>994</v>
      </c>
      <c r="E409" s="19" t="s">
        <v>29</v>
      </c>
      <c r="F409" s="19" t="s">
        <v>30</v>
      </c>
      <c r="G409" s="19" t="s">
        <v>31</v>
      </c>
      <c r="J409" s="19" t="s">
        <v>993</v>
      </c>
      <c r="K409" s="19" t="s">
        <v>32</v>
      </c>
      <c r="L409" s="19" t="s">
        <v>987</v>
      </c>
      <c r="M409" s="19">
        <v>138.878712278909</v>
      </c>
      <c r="N409" s="19">
        <v>859</v>
      </c>
      <c r="O409" s="19">
        <v>0.198</v>
      </c>
      <c r="P409" s="19" t="s">
        <v>988</v>
      </c>
      <c r="Q409" s="19">
        <v>6.3285</v>
      </c>
      <c r="R409">
        <f t="shared" si="24"/>
        <v>8.59</v>
      </c>
      <c r="T409" s="15" t="s">
        <v>80</v>
      </c>
      <c r="U409" s="17"/>
      <c r="V409" s="16" t="str">
        <f t="shared" si="25"/>
        <v>EN_SPV_20_c04_IRQ</v>
      </c>
      <c r="W409" s="12">
        <f t="shared" si="26"/>
        <v>859</v>
      </c>
      <c r="X409" s="11">
        <f t="shared" si="27"/>
        <v>859</v>
      </c>
      <c r="Y409" s="17">
        <v>3</v>
      </c>
      <c r="Z409" s="17"/>
      <c r="AC409" s="19" t="s">
        <v>993</v>
      </c>
    </row>
    <row r="410" spans="2:29">
      <c r="B410" s="19" t="s">
        <v>26</v>
      </c>
      <c r="C410" s="19" t="s">
        <v>995</v>
      </c>
      <c r="D410" s="19" t="s">
        <v>996</v>
      </c>
      <c r="E410" s="19" t="s">
        <v>29</v>
      </c>
      <c r="F410" s="19" t="s">
        <v>30</v>
      </c>
      <c r="G410" s="19" t="s">
        <v>31</v>
      </c>
      <c r="J410" s="19" t="s">
        <v>995</v>
      </c>
      <c r="K410" s="19" t="s">
        <v>32</v>
      </c>
      <c r="L410" s="19" t="s">
        <v>987</v>
      </c>
      <c r="M410" s="19">
        <v>0</v>
      </c>
      <c r="N410" s="19">
        <v>859</v>
      </c>
      <c r="O410" s="19">
        <v>0.206836682228575</v>
      </c>
      <c r="P410" s="19" t="s">
        <v>988</v>
      </c>
      <c r="Q410" s="19">
        <v>36.46725</v>
      </c>
      <c r="R410">
        <f t="shared" si="24"/>
        <v>8.59</v>
      </c>
      <c r="T410" s="15" t="s">
        <v>80</v>
      </c>
      <c r="U410" s="17"/>
      <c r="V410" s="16" t="str">
        <f t="shared" si="25"/>
        <v>EN_SPV_21_c01_IRQ</v>
      </c>
      <c r="W410" s="12">
        <f t="shared" si="26"/>
        <v>859</v>
      </c>
      <c r="X410" s="11">
        <f t="shared" si="27"/>
        <v>859</v>
      </c>
      <c r="Y410" s="17">
        <v>3</v>
      </c>
      <c r="Z410" s="17"/>
      <c r="AC410" s="19" t="s">
        <v>995</v>
      </c>
    </row>
    <row r="411" spans="2:29">
      <c r="B411" s="19" t="s">
        <v>26</v>
      </c>
      <c r="C411" s="19" t="s">
        <v>997</v>
      </c>
      <c r="D411" s="19" t="s">
        <v>998</v>
      </c>
      <c r="E411" s="19" t="s">
        <v>29</v>
      </c>
      <c r="F411" s="19" t="s">
        <v>30</v>
      </c>
      <c r="G411" s="19" t="s">
        <v>31</v>
      </c>
      <c r="J411" s="19" t="s">
        <v>997</v>
      </c>
      <c r="K411" s="19" t="s">
        <v>32</v>
      </c>
      <c r="L411" s="19" t="s">
        <v>987</v>
      </c>
      <c r="M411" s="19">
        <v>101.208996203257</v>
      </c>
      <c r="N411" s="19">
        <v>859</v>
      </c>
      <c r="O411" s="19">
        <v>0.205</v>
      </c>
      <c r="P411" s="19" t="s">
        <v>988</v>
      </c>
      <c r="Q411" s="19">
        <v>6.495</v>
      </c>
      <c r="R411">
        <f t="shared" si="24"/>
        <v>8.59</v>
      </c>
      <c r="T411" s="15" t="s">
        <v>80</v>
      </c>
      <c r="U411" s="17"/>
      <c r="V411" s="16" t="str">
        <f t="shared" si="25"/>
        <v>EN_SPV_21_c03_IRQ</v>
      </c>
      <c r="W411" s="12">
        <f t="shared" si="26"/>
        <v>859</v>
      </c>
      <c r="X411" s="11">
        <f t="shared" si="27"/>
        <v>859</v>
      </c>
      <c r="Y411" s="17">
        <v>3</v>
      </c>
      <c r="Z411" s="17"/>
      <c r="AC411" s="19" t="s">
        <v>997</v>
      </c>
    </row>
    <row r="412" spans="2:29">
      <c r="B412" s="19" t="s">
        <v>26</v>
      </c>
      <c r="C412" s="19" t="s">
        <v>999</v>
      </c>
      <c r="D412" s="19" t="s">
        <v>1000</v>
      </c>
      <c r="E412" s="19" t="s">
        <v>29</v>
      </c>
      <c r="F412" s="19" t="s">
        <v>30</v>
      </c>
      <c r="G412" s="19" t="s">
        <v>31</v>
      </c>
      <c r="J412" s="19" t="s">
        <v>999</v>
      </c>
      <c r="K412" s="19" t="s">
        <v>32</v>
      </c>
      <c r="L412" s="19" t="s">
        <v>1001</v>
      </c>
      <c r="M412" s="19">
        <v>0</v>
      </c>
      <c r="N412" s="19">
        <v>859</v>
      </c>
      <c r="O412" s="19">
        <v>0.190761977087311</v>
      </c>
      <c r="P412" s="19" t="s">
        <v>1002</v>
      </c>
      <c r="Q412" s="19">
        <v>17.283</v>
      </c>
      <c r="R412">
        <f t="shared" si="24"/>
        <v>8.59</v>
      </c>
      <c r="T412" s="15" t="s">
        <v>80</v>
      </c>
      <c r="U412" s="17"/>
      <c r="V412" s="16" t="str">
        <f t="shared" si="25"/>
        <v>EN_SPV_19_c01_ISR</v>
      </c>
      <c r="W412" s="12">
        <f t="shared" si="26"/>
        <v>859</v>
      </c>
      <c r="X412" s="11">
        <f t="shared" si="27"/>
        <v>859</v>
      </c>
      <c r="Y412" s="17">
        <v>3</v>
      </c>
      <c r="Z412" s="17"/>
      <c r="AC412" s="19" t="s">
        <v>999</v>
      </c>
    </row>
    <row r="413" spans="2:29">
      <c r="B413" s="19" t="s">
        <v>26</v>
      </c>
      <c r="C413" s="19" t="s">
        <v>1003</v>
      </c>
      <c r="D413" s="19" t="s">
        <v>1004</v>
      </c>
      <c r="E413" s="19" t="s">
        <v>29</v>
      </c>
      <c r="F413" s="19" t="s">
        <v>30</v>
      </c>
      <c r="G413" s="19" t="s">
        <v>31</v>
      </c>
      <c r="J413" s="19" t="s">
        <v>1003</v>
      </c>
      <c r="K413" s="19" t="s">
        <v>32</v>
      </c>
      <c r="L413" s="19" t="s">
        <v>1001</v>
      </c>
      <c r="M413" s="19">
        <v>0</v>
      </c>
      <c r="N413" s="19">
        <v>859</v>
      </c>
      <c r="O413" s="19">
        <v>0.19941843938473</v>
      </c>
      <c r="P413" s="19" t="s">
        <v>1002</v>
      </c>
      <c r="Q413" s="19">
        <v>16.04175</v>
      </c>
      <c r="R413">
        <f t="shared" si="24"/>
        <v>8.59</v>
      </c>
      <c r="T413" s="15" t="s">
        <v>80</v>
      </c>
      <c r="U413" s="17"/>
      <c r="V413" s="16" t="str">
        <f t="shared" si="25"/>
        <v>EN_SPV_20_c01_ISR</v>
      </c>
      <c r="W413" s="12">
        <f t="shared" si="26"/>
        <v>859</v>
      </c>
      <c r="X413" s="11">
        <f t="shared" si="27"/>
        <v>859</v>
      </c>
      <c r="Y413" s="17">
        <v>3</v>
      </c>
      <c r="Z413" s="17"/>
      <c r="AC413" s="19" t="s">
        <v>1003</v>
      </c>
    </row>
    <row r="414" spans="2:29">
      <c r="B414" s="19" t="s">
        <v>26</v>
      </c>
      <c r="C414" s="19" t="s">
        <v>1005</v>
      </c>
      <c r="D414" s="19" t="s">
        <v>1006</v>
      </c>
      <c r="E414" s="19" t="s">
        <v>29</v>
      </c>
      <c r="F414" s="19" t="s">
        <v>30</v>
      </c>
      <c r="G414" s="19" t="s">
        <v>31</v>
      </c>
      <c r="J414" s="19" t="s">
        <v>1005</v>
      </c>
      <c r="K414" s="19" t="s">
        <v>32</v>
      </c>
      <c r="L414" s="19" t="s">
        <v>1001</v>
      </c>
      <c r="M414" s="19">
        <v>0</v>
      </c>
      <c r="N414" s="19">
        <v>859</v>
      </c>
      <c r="O414" s="19">
        <v>0.209939208549524</v>
      </c>
      <c r="P414" s="19" t="s">
        <v>1002</v>
      </c>
      <c r="Q414" s="19">
        <v>29.05425</v>
      </c>
      <c r="R414">
        <f t="shared" si="24"/>
        <v>8.59</v>
      </c>
      <c r="T414" s="15" t="s">
        <v>80</v>
      </c>
      <c r="U414" s="17"/>
      <c r="V414" s="16" t="str">
        <f t="shared" si="25"/>
        <v>EN_SPV_21_c01_ISR</v>
      </c>
      <c r="W414" s="12">
        <f t="shared" si="26"/>
        <v>859</v>
      </c>
      <c r="X414" s="11">
        <f t="shared" si="27"/>
        <v>859</v>
      </c>
      <c r="Y414" s="17">
        <v>3</v>
      </c>
      <c r="Z414" s="17"/>
      <c r="AC414" s="19" t="s">
        <v>1005</v>
      </c>
    </row>
    <row r="415" spans="2:29">
      <c r="B415" s="19" t="s">
        <v>26</v>
      </c>
      <c r="C415" s="19" t="s">
        <v>1007</v>
      </c>
      <c r="D415" s="19" t="s">
        <v>1008</v>
      </c>
      <c r="E415" s="19" t="s">
        <v>29</v>
      </c>
      <c r="F415" s="19" t="s">
        <v>30</v>
      </c>
      <c r="G415" s="19" t="s">
        <v>31</v>
      </c>
      <c r="J415" s="19" t="s">
        <v>1007</v>
      </c>
      <c r="K415" s="19" t="s">
        <v>32</v>
      </c>
      <c r="L415" s="19" t="s">
        <v>1009</v>
      </c>
      <c r="M415" s="19">
        <v>88.9549921786477</v>
      </c>
      <c r="N415" s="19">
        <v>830</v>
      </c>
      <c r="O415" s="19">
        <v>0.133595744680851</v>
      </c>
      <c r="P415" s="19" t="s">
        <v>1010</v>
      </c>
      <c r="Q415" s="19">
        <v>0.10575</v>
      </c>
      <c r="R415">
        <f t="shared" si="24"/>
        <v>8.3</v>
      </c>
      <c r="T415" s="15" t="s">
        <v>69</v>
      </c>
      <c r="U415" s="17"/>
      <c r="V415" s="16" t="str">
        <f t="shared" si="25"/>
        <v>EN_SPV_13_c02_ITA</v>
      </c>
      <c r="W415" s="12">
        <f t="shared" si="26"/>
        <v>830</v>
      </c>
      <c r="X415" s="11">
        <f t="shared" si="27"/>
        <v>830</v>
      </c>
      <c r="Y415" s="17">
        <v>3</v>
      </c>
      <c r="Z415" s="17"/>
      <c r="AC415" s="19" t="s">
        <v>1007</v>
      </c>
    </row>
    <row r="416" spans="2:29">
      <c r="B416" s="19" t="s">
        <v>26</v>
      </c>
      <c r="C416" s="19" t="s">
        <v>1011</v>
      </c>
      <c r="D416" s="19" t="s">
        <v>1012</v>
      </c>
      <c r="E416" s="19" t="s">
        <v>29</v>
      </c>
      <c r="F416" s="19" t="s">
        <v>30</v>
      </c>
      <c r="G416" s="19" t="s">
        <v>31</v>
      </c>
      <c r="J416" s="19" t="s">
        <v>1011</v>
      </c>
      <c r="K416" s="19" t="s">
        <v>32</v>
      </c>
      <c r="L416" s="19" t="s">
        <v>1009</v>
      </c>
      <c r="M416" s="19">
        <v>88.9549921786477</v>
      </c>
      <c r="N416" s="19">
        <v>830</v>
      </c>
      <c r="O416" s="19">
        <v>0.143188571428571</v>
      </c>
      <c r="P416" s="19" t="s">
        <v>1010</v>
      </c>
      <c r="Q416" s="19">
        <v>8.925</v>
      </c>
      <c r="R416">
        <f t="shared" si="24"/>
        <v>8.3</v>
      </c>
      <c r="T416" s="15" t="s">
        <v>69</v>
      </c>
      <c r="U416" s="17"/>
      <c r="V416" s="16" t="str">
        <f t="shared" si="25"/>
        <v>EN_SPV_14_c02_ITA</v>
      </c>
      <c r="W416" s="12">
        <f t="shared" si="26"/>
        <v>830</v>
      </c>
      <c r="X416" s="11">
        <f t="shared" si="27"/>
        <v>830</v>
      </c>
      <c r="Y416" s="17">
        <v>3</v>
      </c>
      <c r="Z416" s="17"/>
      <c r="AC416" s="19" t="s">
        <v>1011</v>
      </c>
    </row>
    <row r="417" spans="2:29">
      <c r="B417" s="19" t="s">
        <v>26</v>
      </c>
      <c r="C417" s="19" t="s">
        <v>1013</v>
      </c>
      <c r="D417" s="19" t="s">
        <v>1014</v>
      </c>
      <c r="E417" s="19" t="s">
        <v>29</v>
      </c>
      <c r="F417" s="19" t="s">
        <v>30</v>
      </c>
      <c r="G417" s="19" t="s">
        <v>31</v>
      </c>
      <c r="J417" s="19" t="s">
        <v>1013</v>
      </c>
      <c r="K417" s="19" t="s">
        <v>32</v>
      </c>
      <c r="L417" s="19" t="s">
        <v>1009</v>
      </c>
      <c r="M417" s="19">
        <v>0</v>
      </c>
      <c r="N417" s="19">
        <v>830</v>
      </c>
      <c r="O417" s="19">
        <v>0.153630272952854</v>
      </c>
      <c r="P417" s="19" t="s">
        <v>1010</v>
      </c>
      <c r="Q417" s="19">
        <v>8.76525</v>
      </c>
      <c r="R417">
        <f t="shared" si="24"/>
        <v>8.3</v>
      </c>
      <c r="T417" s="15" t="s">
        <v>69</v>
      </c>
      <c r="U417" s="17"/>
      <c r="V417" s="16" t="str">
        <f t="shared" si="25"/>
        <v>EN_SPV_15_c01_ITA</v>
      </c>
      <c r="W417" s="12">
        <f t="shared" si="26"/>
        <v>830</v>
      </c>
      <c r="X417" s="11">
        <f t="shared" si="27"/>
        <v>830</v>
      </c>
      <c r="Y417" s="17">
        <v>3</v>
      </c>
      <c r="Z417" s="17"/>
      <c r="AC417" s="19" t="s">
        <v>1013</v>
      </c>
    </row>
    <row r="418" spans="2:29">
      <c r="B418" s="19" t="s">
        <v>26</v>
      </c>
      <c r="C418" s="19" t="s">
        <v>1015</v>
      </c>
      <c r="D418" s="19" t="s">
        <v>1016</v>
      </c>
      <c r="E418" s="19" t="s">
        <v>29</v>
      </c>
      <c r="F418" s="19" t="s">
        <v>30</v>
      </c>
      <c r="G418" s="19" t="s">
        <v>31</v>
      </c>
      <c r="J418" s="19" t="s">
        <v>1015</v>
      </c>
      <c r="K418" s="19" t="s">
        <v>32</v>
      </c>
      <c r="L418" s="19" t="s">
        <v>1009</v>
      </c>
      <c r="M418" s="19">
        <v>88.9549921786477</v>
      </c>
      <c r="N418" s="19">
        <v>830</v>
      </c>
      <c r="O418" s="19">
        <v>0.149228042157393</v>
      </c>
      <c r="P418" s="19" t="s">
        <v>1010</v>
      </c>
      <c r="Q418" s="19">
        <v>144.174</v>
      </c>
      <c r="R418">
        <f t="shared" si="24"/>
        <v>8.3</v>
      </c>
      <c r="T418" s="15" t="s">
        <v>69</v>
      </c>
      <c r="U418" s="17"/>
      <c r="V418" s="16" t="str">
        <f t="shared" si="25"/>
        <v>EN_SPV_15_c02_ITA</v>
      </c>
      <c r="W418" s="12">
        <f t="shared" si="26"/>
        <v>830</v>
      </c>
      <c r="X418" s="11">
        <f t="shared" si="27"/>
        <v>830</v>
      </c>
      <c r="Y418" s="17">
        <v>3</v>
      </c>
      <c r="Z418" s="17"/>
      <c r="AC418" s="19" t="s">
        <v>1015</v>
      </c>
    </row>
    <row r="419" spans="2:29">
      <c r="B419" s="19" t="s">
        <v>26</v>
      </c>
      <c r="C419" s="19" t="s">
        <v>1017</v>
      </c>
      <c r="D419" s="19" t="s">
        <v>1018</v>
      </c>
      <c r="E419" s="19" t="s">
        <v>29</v>
      </c>
      <c r="F419" s="19" t="s">
        <v>30</v>
      </c>
      <c r="G419" s="19" t="s">
        <v>31</v>
      </c>
      <c r="J419" s="19" t="s">
        <v>1017</v>
      </c>
      <c r="K419" s="19" t="s">
        <v>32</v>
      </c>
      <c r="L419" s="19" t="s">
        <v>1009</v>
      </c>
      <c r="M419" s="19">
        <v>0</v>
      </c>
      <c r="N419" s="19">
        <v>830</v>
      </c>
      <c r="O419" s="19">
        <v>0.160441219625667</v>
      </c>
      <c r="P419" s="19" t="s">
        <v>1010</v>
      </c>
      <c r="Q419" s="19">
        <v>83.829</v>
      </c>
      <c r="R419">
        <f t="shared" si="24"/>
        <v>8.3</v>
      </c>
      <c r="T419" s="15" t="s">
        <v>69</v>
      </c>
      <c r="U419" s="17"/>
      <c r="V419" s="16" t="str">
        <f t="shared" si="25"/>
        <v>EN_SPV_16_c01_ITA</v>
      </c>
      <c r="W419" s="12">
        <f t="shared" si="26"/>
        <v>830</v>
      </c>
      <c r="X419" s="11">
        <f t="shared" si="27"/>
        <v>830</v>
      </c>
      <c r="Y419" s="17">
        <v>3</v>
      </c>
      <c r="Z419" s="17"/>
      <c r="AC419" s="19" t="s">
        <v>1017</v>
      </c>
    </row>
    <row r="420" spans="2:29">
      <c r="B420" s="19" t="s">
        <v>26</v>
      </c>
      <c r="C420" s="19" t="s">
        <v>1019</v>
      </c>
      <c r="D420" s="19" t="s">
        <v>1020</v>
      </c>
      <c r="E420" s="19" t="s">
        <v>29</v>
      </c>
      <c r="F420" s="19" t="s">
        <v>30</v>
      </c>
      <c r="G420" s="19" t="s">
        <v>31</v>
      </c>
      <c r="J420" s="19" t="s">
        <v>1019</v>
      </c>
      <c r="K420" s="19" t="s">
        <v>32</v>
      </c>
      <c r="L420" s="19" t="s">
        <v>1009</v>
      </c>
      <c r="M420" s="19">
        <v>88.9549921786477</v>
      </c>
      <c r="N420" s="19">
        <v>830</v>
      </c>
      <c r="O420" s="19">
        <v>0.159632152472117</v>
      </c>
      <c r="P420" s="19" t="s">
        <v>1010</v>
      </c>
      <c r="Q420" s="19">
        <v>35.1015</v>
      </c>
      <c r="R420">
        <f t="shared" si="24"/>
        <v>8.3</v>
      </c>
      <c r="T420" s="15" t="s">
        <v>69</v>
      </c>
      <c r="U420" s="17"/>
      <c r="V420" s="16" t="str">
        <f t="shared" si="25"/>
        <v>EN_SPV_16_c02_ITA</v>
      </c>
      <c r="W420" s="12">
        <f t="shared" si="26"/>
        <v>830</v>
      </c>
      <c r="X420" s="11">
        <f t="shared" si="27"/>
        <v>830</v>
      </c>
      <c r="Y420" s="17">
        <v>3</v>
      </c>
      <c r="Z420" s="17"/>
      <c r="AC420" s="19" t="s">
        <v>1019</v>
      </c>
    </row>
    <row r="421" spans="2:29">
      <c r="B421" s="19" t="s">
        <v>26</v>
      </c>
      <c r="C421" s="19" t="s">
        <v>1021</v>
      </c>
      <c r="D421" s="19" t="s">
        <v>1022</v>
      </c>
      <c r="E421" s="19" t="s">
        <v>29</v>
      </c>
      <c r="F421" s="19" t="s">
        <v>30</v>
      </c>
      <c r="G421" s="19" t="s">
        <v>31</v>
      </c>
      <c r="J421" s="19" t="s">
        <v>1021</v>
      </c>
      <c r="K421" s="19" t="s">
        <v>32</v>
      </c>
      <c r="L421" s="19" t="s">
        <v>1009</v>
      </c>
      <c r="M421" s="19">
        <v>0</v>
      </c>
      <c r="N421" s="19">
        <v>830</v>
      </c>
      <c r="O421" s="19">
        <v>0.16821592247683</v>
      </c>
      <c r="P421" s="19" t="s">
        <v>1010</v>
      </c>
      <c r="Q421" s="19">
        <v>67.4895</v>
      </c>
      <c r="R421">
        <f t="shared" si="24"/>
        <v>8.3</v>
      </c>
      <c r="T421" s="15" t="s">
        <v>69</v>
      </c>
      <c r="U421" s="17"/>
      <c r="V421" s="16" t="str">
        <f t="shared" si="25"/>
        <v>EN_SPV_17_c01_ITA</v>
      </c>
      <c r="W421" s="12">
        <f t="shared" si="26"/>
        <v>830</v>
      </c>
      <c r="X421" s="11">
        <f t="shared" si="27"/>
        <v>830</v>
      </c>
      <c r="Y421" s="17">
        <v>3</v>
      </c>
      <c r="Z421" s="17"/>
      <c r="AC421" s="19" t="s">
        <v>1021</v>
      </c>
    </row>
    <row r="422" spans="2:29">
      <c r="B422" s="19" t="s">
        <v>26</v>
      </c>
      <c r="C422" s="19" t="s">
        <v>1023</v>
      </c>
      <c r="D422" s="19" t="s">
        <v>1024</v>
      </c>
      <c r="E422" s="19" t="s">
        <v>29</v>
      </c>
      <c r="F422" s="19" t="s">
        <v>30</v>
      </c>
      <c r="G422" s="19" t="s">
        <v>31</v>
      </c>
      <c r="J422" s="19" t="s">
        <v>1023</v>
      </c>
      <c r="K422" s="19" t="s">
        <v>32</v>
      </c>
      <c r="L422" s="19" t="s">
        <v>1009</v>
      </c>
      <c r="M422" s="19">
        <v>88.9549921786477</v>
      </c>
      <c r="N422" s="19">
        <v>830</v>
      </c>
      <c r="O422" s="19">
        <v>0.165387676999617</v>
      </c>
      <c r="P422" s="19" t="s">
        <v>1010</v>
      </c>
      <c r="Q422" s="19">
        <v>1.95975</v>
      </c>
      <c r="R422">
        <f t="shared" si="24"/>
        <v>8.3</v>
      </c>
      <c r="T422" s="15" t="s">
        <v>69</v>
      </c>
      <c r="U422" s="17"/>
      <c r="V422" s="16" t="str">
        <f t="shared" si="25"/>
        <v>EN_SPV_17_c02_ITA</v>
      </c>
      <c r="W422" s="12">
        <f t="shared" si="26"/>
        <v>830</v>
      </c>
      <c r="X422" s="11">
        <f t="shared" si="27"/>
        <v>830</v>
      </c>
      <c r="Y422" s="17">
        <v>3</v>
      </c>
      <c r="Z422" s="17"/>
      <c r="AC422" s="19" t="s">
        <v>1023</v>
      </c>
    </row>
    <row r="423" spans="2:29">
      <c r="B423" s="19" t="s">
        <v>26</v>
      </c>
      <c r="C423" s="19" t="s">
        <v>1025</v>
      </c>
      <c r="D423" s="19" t="s">
        <v>1026</v>
      </c>
      <c r="E423" s="19" t="s">
        <v>29</v>
      </c>
      <c r="F423" s="19" t="s">
        <v>30</v>
      </c>
      <c r="G423" s="19" t="s">
        <v>31</v>
      </c>
      <c r="J423" s="19" t="s">
        <v>1025</v>
      </c>
      <c r="K423" s="19" t="s">
        <v>32</v>
      </c>
      <c r="L423" s="19" t="s">
        <v>1009</v>
      </c>
      <c r="M423" s="19">
        <v>0</v>
      </c>
      <c r="N423" s="19">
        <v>830</v>
      </c>
      <c r="O423" s="19">
        <v>0.1771631043257</v>
      </c>
      <c r="P423" s="19" t="s">
        <v>1010</v>
      </c>
      <c r="Q423" s="19">
        <v>8.8425</v>
      </c>
      <c r="R423">
        <f t="shared" si="24"/>
        <v>8.3</v>
      </c>
      <c r="T423" s="15" t="s">
        <v>69</v>
      </c>
      <c r="U423" s="17"/>
      <c r="V423" s="16" t="str">
        <f t="shared" si="25"/>
        <v>EN_SPV_18_c01_ITA</v>
      </c>
      <c r="W423" s="12">
        <f t="shared" si="26"/>
        <v>830</v>
      </c>
      <c r="X423" s="11">
        <f t="shared" si="27"/>
        <v>830</v>
      </c>
      <c r="Y423" s="17">
        <v>3</v>
      </c>
      <c r="Z423" s="17"/>
      <c r="AC423" s="19" t="s">
        <v>1025</v>
      </c>
    </row>
    <row r="424" spans="2:29">
      <c r="B424" s="19" t="s">
        <v>26</v>
      </c>
      <c r="C424" s="19" t="s">
        <v>1027</v>
      </c>
      <c r="D424" s="19" t="s">
        <v>1028</v>
      </c>
      <c r="E424" s="19" t="s">
        <v>29</v>
      </c>
      <c r="F424" s="19" t="s">
        <v>30</v>
      </c>
      <c r="G424" s="19" t="s">
        <v>31</v>
      </c>
      <c r="J424" s="19" t="s">
        <v>1027</v>
      </c>
      <c r="K424" s="19" t="s">
        <v>32</v>
      </c>
      <c r="L424" s="19" t="s">
        <v>1029</v>
      </c>
      <c r="M424" s="19">
        <v>0</v>
      </c>
      <c r="N424" s="19">
        <v>1391</v>
      </c>
      <c r="O424" s="19">
        <v>0.171148325358852</v>
      </c>
      <c r="P424" s="19" t="s">
        <v>1030</v>
      </c>
      <c r="Q424" s="19">
        <v>0.3135</v>
      </c>
      <c r="R424">
        <f t="shared" si="24"/>
        <v>13.91</v>
      </c>
      <c r="T424" s="15" t="s">
        <v>89</v>
      </c>
      <c r="U424" s="17"/>
      <c r="V424" s="16" t="str">
        <f t="shared" si="25"/>
        <v>EN_SPV_17_c01_JAM</v>
      </c>
      <c r="W424" s="12">
        <f t="shared" si="26"/>
        <v>1391</v>
      </c>
      <c r="X424" s="11">
        <f t="shared" si="27"/>
        <v>1391</v>
      </c>
      <c r="Y424" s="17">
        <v>3</v>
      </c>
      <c r="Z424" s="17"/>
      <c r="AC424" s="19" t="s">
        <v>1027</v>
      </c>
    </row>
    <row r="425" spans="2:29">
      <c r="B425" s="19" t="s">
        <v>26</v>
      </c>
      <c r="C425" s="19" t="s">
        <v>1031</v>
      </c>
      <c r="D425" s="19" t="s">
        <v>1032</v>
      </c>
      <c r="E425" s="19" t="s">
        <v>29</v>
      </c>
      <c r="F425" s="19" t="s">
        <v>30</v>
      </c>
      <c r="G425" s="19" t="s">
        <v>31</v>
      </c>
      <c r="J425" s="19" t="s">
        <v>1031</v>
      </c>
      <c r="K425" s="19" t="s">
        <v>32</v>
      </c>
      <c r="L425" s="19" t="s">
        <v>1029</v>
      </c>
      <c r="M425" s="19">
        <v>0</v>
      </c>
      <c r="N425" s="19">
        <v>1391</v>
      </c>
      <c r="O425" s="19">
        <v>0.179063222821897</v>
      </c>
      <c r="P425" s="19" t="s">
        <v>1030</v>
      </c>
      <c r="Q425" s="19">
        <v>0.97275</v>
      </c>
      <c r="R425">
        <f t="shared" si="24"/>
        <v>13.91</v>
      </c>
      <c r="T425" s="15" t="s">
        <v>89</v>
      </c>
      <c r="U425" s="17"/>
      <c r="V425" s="16" t="str">
        <f t="shared" si="25"/>
        <v>EN_SPV_18_c01_JAM</v>
      </c>
      <c r="W425" s="12">
        <f t="shared" si="26"/>
        <v>1391</v>
      </c>
      <c r="X425" s="11">
        <f t="shared" si="27"/>
        <v>1391</v>
      </c>
      <c r="Y425" s="17">
        <v>3</v>
      </c>
      <c r="Z425" s="17"/>
      <c r="AC425" s="19" t="s">
        <v>1031</v>
      </c>
    </row>
    <row r="426" spans="2:29">
      <c r="B426" s="19" t="s">
        <v>26</v>
      </c>
      <c r="C426" s="19" t="s">
        <v>1033</v>
      </c>
      <c r="D426" s="19" t="s">
        <v>1034</v>
      </c>
      <c r="E426" s="19" t="s">
        <v>29</v>
      </c>
      <c r="F426" s="19" t="s">
        <v>30</v>
      </c>
      <c r="G426" s="19" t="s">
        <v>31</v>
      </c>
      <c r="J426" s="19" t="s">
        <v>1033</v>
      </c>
      <c r="K426" s="19" t="s">
        <v>32</v>
      </c>
      <c r="L426" s="19" t="s">
        <v>1035</v>
      </c>
      <c r="M426" s="19">
        <v>0</v>
      </c>
      <c r="N426" s="19">
        <v>1276</v>
      </c>
      <c r="O426" s="19">
        <v>0.21722698921347</v>
      </c>
      <c r="P426" s="19" t="s">
        <v>1036</v>
      </c>
      <c r="Q426" s="19">
        <v>52.4265</v>
      </c>
      <c r="R426">
        <f t="shared" si="24"/>
        <v>12.76</v>
      </c>
      <c r="T426" s="15" t="s">
        <v>80</v>
      </c>
      <c r="U426" s="17"/>
      <c r="V426" s="16" t="str">
        <f t="shared" si="25"/>
        <v>EN_SPV_22_c01_JOR</v>
      </c>
      <c r="W426" s="12">
        <f t="shared" si="26"/>
        <v>1276</v>
      </c>
      <c r="X426" s="11">
        <f t="shared" si="27"/>
        <v>1276</v>
      </c>
      <c r="Y426" s="17">
        <v>3</v>
      </c>
      <c r="Z426" s="17"/>
      <c r="AC426" s="19" t="s">
        <v>1033</v>
      </c>
    </row>
    <row r="427" spans="2:29">
      <c r="B427" s="19" t="s">
        <v>26</v>
      </c>
      <c r="C427" s="19" t="s">
        <v>1037</v>
      </c>
      <c r="D427" s="19" t="s">
        <v>1038</v>
      </c>
      <c r="E427" s="19" t="s">
        <v>29</v>
      </c>
      <c r="F427" s="19" t="s">
        <v>30</v>
      </c>
      <c r="G427" s="19" t="s">
        <v>31</v>
      </c>
      <c r="J427" s="19" t="s">
        <v>1037</v>
      </c>
      <c r="K427" s="19" t="s">
        <v>32</v>
      </c>
      <c r="L427" s="19" t="s">
        <v>1035</v>
      </c>
      <c r="M427" s="19">
        <v>88.9549921786477</v>
      </c>
      <c r="N427" s="19">
        <v>1276</v>
      </c>
      <c r="O427" s="19">
        <v>0.217299038524429</v>
      </c>
      <c r="P427" s="19" t="s">
        <v>1036</v>
      </c>
      <c r="Q427" s="19">
        <v>11.46675</v>
      </c>
      <c r="R427">
        <f t="shared" si="24"/>
        <v>12.76</v>
      </c>
      <c r="T427" s="15" t="s">
        <v>80</v>
      </c>
      <c r="U427" s="17"/>
      <c r="V427" s="16" t="str">
        <f t="shared" si="25"/>
        <v>EN_SPV_22_c02_JOR</v>
      </c>
      <c r="W427" s="12">
        <f t="shared" si="26"/>
        <v>1276</v>
      </c>
      <c r="X427" s="11">
        <f t="shared" si="27"/>
        <v>1276</v>
      </c>
      <c r="Y427" s="17">
        <v>3</v>
      </c>
      <c r="Z427" s="17"/>
      <c r="AC427" s="19" t="s">
        <v>1037</v>
      </c>
    </row>
    <row r="428" spans="2:29">
      <c r="B428" s="19" t="s">
        <v>26</v>
      </c>
      <c r="C428" s="19" t="s">
        <v>1039</v>
      </c>
      <c r="D428" s="19" t="s">
        <v>1040</v>
      </c>
      <c r="E428" s="19" t="s">
        <v>29</v>
      </c>
      <c r="F428" s="19" t="s">
        <v>30</v>
      </c>
      <c r="G428" s="19" t="s">
        <v>31</v>
      </c>
      <c r="J428" s="19" t="s">
        <v>1039</v>
      </c>
      <c r="K428" s="19" t="s">
        <v>32</v>
      </c>
      <c r="L428" s="19" t="s">
        <v>1041</v>
      </c>
      <c r="M428" s="19">
        <v>88.9549921786477</v>
      </c>
      <c r="N428" s="19">
        <v>2070</v>
      </c>
      <c r="O428" s="19">
        <v>0.12190322970848</v>
      </c>
      <c r="P428" s="19" t="s">
        <v>1042</v>
      </c>
      <c r="Q428" s="19">
        <v>6.20025</v>
      </c>
      <c r="R428">
        <f t="shared" si="24"/>
        <v>20.7</v>
      </c>
      <c r="T428" s="15" t="s">
        <v>1043</v>
      </c>
      <c r="U428" s="17"/>
      <c r="V428" s="16" t="str">
        <f t="shared" si="25"/>
        <v>EN_SPV_12_c02_JPN</v>
      </c>
      <c r="W428" s="12">
        <f t="shared" si="26"/>
        <v>2070</v>
      </c>
      <c r="X428" s="11">
        <f t="shared" si="27"/>
        <v>2070</v>
      </c>
      <c r="Y428" s="17">
        <v>3</v>
      </c>
      <c r="Z428" s="17"/>
      <c r="AC428" s="19" t="s">
        <v>1039</v>
      </c>
    </row>
    <row r="429" spans="2:29">
      <c r="B429" s="19" t="s">
        <v>26</v>
      </c>
      <c r="C429" s="19" t="s">
        <v>1044</v>
      </c>
      <c r="D429" s="19" t="s">
        <v>1045</v>
      </c>
      <c r="E429" s="19" t="s">
        <v>29</v>
      </c>
      <c r="F429" s="19" t="s">
        <v>30</v>
      </c>
      <c r="G429" s="19" t="s">
        <v>31</v>
      </c>
      <c r="J429" s="19" t="s">
        <v>1044</v>
      </c>
      <c r="K429" s="19" t="s">
        <v>32</v>
      </c>
      <c r="L429" s="19" t="s">
        <v>1041</v>
      </c>
      <c r="M429" s="19">
        <v>101.208996203257</v>
      </c>
      <c r="N429" s="19">
        <v>2070</v>
      </c>
      <c r="O429" s="19">
        <v>0.12038407240112</v>
      </c>
      <c r="P429" s="19" t="s">
        <v>1042</v>
      </c>
      <c r="Q429" s="19">
        <v>46.32525</v>
      </c>
      <c r="R429">
        <f t="shared" si="24"/>
        <v>20.7</v>
      </c>
      <c r="T429" s="15" t="s">
        <v>1043</v>
      </c>
      <c r="U429" s="17"/>
      <c r="V429" s="16" t="str">
        <f t="shared" si="25"/>
        <v>EN_SPV_12_c03_JPN</v>
      </c>
      <c r="W429" s="12">
        <f t="shared" si="26"/>
        <v>2070</v>
      </c>
      <c r="X429" s="11">
        <f t="shared" si="27"/>
        <v>2070</v>
      </c>
      <c r="Y429" s="17">
        <v>3</v>
      </c>
      <c r="Z429" s="17"/>
      <c r="AC429" s="19" t="s">
        <v>1044</v>
      </c>
    </row>
    <row r="430" spans="2:29">
      <c r="B430" s="19" t="s">
        <v>26</v>
      </c>
      <c r="C430" s="19" t="s">
        <v>1046</v>
      </c>
      <c r="D430" s="19" t="s">
        <v>1047</v>
      </c>
      <c r="E430" s="19" t="s">
        <v>29</v>
      </c>
      <c r="F430" s="19" t="s">
        <v>30</v>
      </c>
      <c r="G430" s="19" t="s">
        <v>31</v>
      </c>
      <c r="J430" s="19" t="s">
        <v>1046</v>
      </c>
      <c r="K430" s="19" t="s">
        <v>32</v>
      </c>
      <c r="L430" s="19" t="s">
        <v>1041</v>
      </c>
      <c r="M430" s="19">
        <v>88.9549921786477</v>
      </c>
      <c r="N430" s="19">
        <v>2070</v>
      </c>
      <c r="O430" s="19">
        <v>0.129509934762349</v>
      </c>
      <c r="P430" s="19" t="s">
        <v>1042</v>
      </c>
      <c r="Q430" s="19">
        <v>40.2375</v>
      </c>
      <c r="R430">
        <f t="shared" si="24"/>
        <v>20.7</v>
      </c>
      <c r="T430" s="15" t="s">
        <v>1043</v>
      </c>
      <c r="U430" s="17"/>
      <c r="V430" s="16" t="str">
        <f t="shared" si="25"/>
        <v>EN_SPV_13_c02_JPN</v>
      </c>
      <c r="W430" s="12">
        <f t="shared" si="26"/>
        <v>2070</v>
      </c>
      <c r="X430" s="11">
        <f t="shared" si="27"/>
        <v>2070</v>
      </c>
      <c r="Y430" s="17">
        <v>3</v>
      </c>
      <c r="Z430" s="17"/>
      <c r="AC430" s="19" t="s">
        <v>1046</v>
      </c>
    </row>
    <row r="431" spans="2:29">
      <c r="B431" s="19" t="s">
        <v>26</v>
      </c>
      <c r="C431" s="19" t="s">
        <v>1048</v>
      </c>
      <c r="D431" s="19" t="s">
        <v>1049</v>
      </c>
      <c r="E431" s="19" t="s">
        <v>29</v>
      </c>
      <c r="F431" s="19" t="s">
        <v>30</v>
      </c>
      <c r="G431" s="19" t="s">
        <v>31</v>
      </c>
      <c r="J431" s="19" t="s">
        <v>1048</v>
      </c>
      <c r="K431" s="19" t="s">
        <v>32</v>
      </c>
      <c r="L431" s="19" t="s">
        <v>1041</v>
      </c>
      <c r="M431" s="19">
        <v>101.208996203257</v>
      </c>
      <c r="N431" s="19">
        <v>2070</v>
      </c>
      <c r="O431" s="19">
        <v>0.129454459899922</v>
      </c>
      <c r="P431" s="19" t="s">
        <v>1042</v>
      </c>
      <c r="Q431" s="19">
        <v>32.6745</v>
      </c>
      <c r="R431">
        <f t="shared" si="24"/>
        <v>20.7</v>
      </c>
      <c r="T431" s="15" t="s">
        <v>1043</v>
      </c>
      <c r="U431" s="17"/>
      <c r="V431" s="16" t="str">
        <f t="shared" si="25"/>
        <v>EN_SPV_13_c03_JPN</v>
      </c>
      <c r="W431" s="12">
        <f t="shared" si="26"/>
        <v>2070</v>
      </c>
      <c r="X431" s="11">
        <f t="shared" si="27"/>
        <v>2070</v>
      </c>
      <c r="Y431" s="17">
        <v>3</v>
      </c>
      <c r="Z431" s="17"/>
      <c r="AC431" s="19" t="s">
        <v>1048</v>
      </c>
    </row>
    <row r="432" spans="2:29">
      <c r="B432" s="19" t="s">
        <v>26</v>
      </c>
      <c r="C432" s="19" t="s">
        <v>1050</v>
      </c>
      <c r="D432" s="19" t="s">
        <v>1051</v>
      </c>
      <c r="E432" s="19" t="s">
        <v>29</v>
      </c>
      <c r="F432" s="19" t="s">
        <v>30</v>
      </c>
      <c r="G432" s="19" t="s">
        <v>31</v>
      </c>
      <c r="J432" s="19" t="s">
        <v>1050</v>
      </c>
      <c r="K432" s="19" t="s">
        <v>32</v>
      </c>
      <c r="L432" s="19" t="s">
        <v>1041</v>
      </c>
      <c r="M432" s="19">
        <v>138.878712278909</v>
      </c>
      <c r="N432" s="19">
        <v>2070</v>
      </c>
      <c r="O432" s="19">
        <v>0.131209239130435</v>
      </c>
      <c r="P432" s="19" t="s">
        <v>1042</v>
      </c>
      <c r="Q432" s="19">
        <v>0.276</v>
      </c>
      <c r="R432">
        <f t="shared" si="24"/>
        <v>20.7</v>
      </c>
      <c r="T432" s="15" t="s">
        <v>1043</v>
      </c>
      <c r="U432" s="17"/>
      <c r="V432" s="16" t="str">
        <f t="shared" si="25"/>
        <v>EN_SPV_13_c04_JPN</v>
      </c>
      <c r="W432" s="12">
        <f t="shared" si="26"/>
        <v>2070</v>
      </c>
      <c r="X432" s="11">
        <f t="shared" si="27"/>
        <v>2070</v>
      </c>
      <c r="Y432" s="17">
        <v>3</v>
      </c>
      <c r="Z432" s="17"/>
      <c r="AC432" s="19" t="s">
        <v>1050</v>
      </c>
    </row>
    <row r="433" spans="2:29">
      <c r="B433" s="19" t="s">
        <v>26</v>
      </c>
      <c r="C433" s="19" t="s">
        <v>1052</v>
      </c>
      <c r="D433" s="19" t="s">
        <v>1053</v>
      </c>
      <c r="E433" s="19" t="s">
        <v>29</v>
      </c>
      <c r="F433" s="19" t="s">
        <v>30</v>
      </c>
      <c r="G433" s="19" t="s">
        <v>31</v>
      </c>
      <c r="J433" s="19" t="s">
        <v>1052</v>
      </c>
      <c r="K433" s="19" t="s">
        <v>32</v>
      </c>
      <c r="L433" s="19" t="s">
        <v>1041</v>
      </c>
      <c r="M433" s="19">
        <v>0</v>
      </c>
      <c r="N433" s="19">
        <v>2070</v>
      </c>
      <c r="O433" s="19">
        <v>0.143758580343214</v>
      </c>
      <c r="P433" s="19" t="s">
        <v>1042</v>
      </c>
      <c r="Q433" s="19">
        <v>7.692</v>
      </c>
      <c r="R433">
        <f t="shared" si="24"/>
        <v>20.7</v>
      </c>
      <c r="T433" s="15" t="s">
        <v>1043</v>
      </c>
      <c r="U433" s="17"/>
      <c r="V433" s="16" t="str">
        <f t="shared" si="25"/>
        <v>EN_SPV_14_c01_JPN</v>
      </c>
      <c r="W433" s="12">
        <f t="shared" si="26"/>
        <v>2070</v>
      </c>
      <c r="X433" s="11">
        <f t="shared" si="27"/>
        <v>2070</v>
      </c>
      <c r="Y433" s="17">
        <v>3</v>
      </c>
      <c r="Z433" s="17"/>
      <c r="AC433" s="19" t="s">
        <v>1052</v>
      </c>
    </row>
    <row r="434" spans="2:29">
      <c r="B434" s="19" t="s">
        <v>26</v>
      </c>
      <c r="C434" s="19" t="s">
        <v>1054</v>
      </c>
      <c r="D434" s="19" t="s">
        <v>1055</v>
      </c>
      <c r="E434" s="19" t="s">
        <v>29</v>
      </c>
      <c r="F434" s="19" t="s">
        <v>30</v>
      </c>
      <c r="G434" s="19" t="s">
        <v>31</v>
      </c>
      <c r="J434" s="19" t="s">
        <v>1054</v>
      </c>
      <c r="K434" s="19" t="s">
        <v>32</v>
      </c>
      <c r="L434" s="19" t="s">
        <v>1041</v>
      </c>
      <c r="M434" s="19">
        <v>88.9549921786477</v>
      </c>
      <c r="N434" s="19">
        <v>2070</v>
      </c>
      <c r="O434" s="19">
        <v>0.140466576705988</v>
      </c>
      <c r="P434" s="19" t="s">
        <v>1042</v>
      </c>
      <c r="Q434" s="19">
        <v>103.3785</v>
      </c>
      <c r="R434">
        <f t="shared" si="24"/>
        <v>20.7</v>
      </c>
      <c r="T434" s="15" t="s">
        <v>1043</v>
      </c>
      <c r="U434" s="17"/>
      <c r="V434" s="16" t="str">
        <f t="shared" si="25"/>
        <v>EN_SPV_14_c02_JPN</v>
      </c>
      <c r="W434" s="12">
        <f t="shared" si="26"/>
        <v>2070</v>
      </c>
      <c r="X434" s="11">
        <f t="shared" si="27"/>
        <v>2070</v>
      </c>
      <c r="Y434" s="17">
        <v>3</v>
      </c>
      <c r="Z434" s="17"/>
      <c r="AC434" s="19" t="s">
        <v>1054</v>
      </c>
    </row>
    <row r="435" spans="2:29">
      <c r="B435" s="19" t="s">
        <v>26</v>
      </c>
      <c r="C435" s="19" t="s">
        <v>1056</v>
      </c>
      <c r="D435" s="19" t="s">
        <v>1057</v>
      </c>
      <c r="E435" s="19" t="s">
        <v>29</v>
      </c>
      <c r="F435" s="19" t="s">
        <v>30</v>
      </c>
      <c r="G435" s="19" t="s">
        <v>31</v>
      </c>
      <c r="J435" s="19" t="s">
        <v>1056</v>
      </c>
      <c r="K435" s="19" t="s">
        <v>32</v>
      </c>
      <c r="L435" s="19" t="s">
        <v>1041</v>
      </c>
      <c r="M435" s="19">
        <v>101.208996203257</v>
      </c>
      <c r="N435" s="19">
        <v>2070</v>
      </c>
      <c r="O435" s="19">
        <v>0.140982922326256</v>
      </c>
      <c r="P435" s="19" t="s">
        <v>1042</v>
      </c>
      <c r="Q435" s="19">
        <v>11.3745</v>
      </c>
      <c r="R435">
        <f t="shared" si="24"/>
        <v>20.7</v>
      </c>
      <c r="T435" s="15" t="s">
        <v>1043</v>
      </c>
      <c r="U435" s="17"/>
      <c r="V435" s="16" t="str">
        <f t="shared" si="25"/>
        <v>EN_SPV_14_c03_JPN</v>
      </c>
      <c r="W435" s="12">
        <f t="shared" si="26"/>
        <v>2070</v>
      </c>
      <c r="X435" s="11">
        <f t="shared" si="27"/>
        <v>2070</v>
      </c>
      <c r="Y435" s="17">
        <v>3</v>
      </c>
      <c r="Z435" s="17"/>
      <c r="AC435" s="19" t="s">
        <v>1056</v>
      </c>
    </row>
    <row r="436" spans="2:29">
      <c r="B436" s="19" t="s">
        <v>26</v>
      </c>
      <c r="C436" s="19" t="s">
        <v>1058</v>
      </c>
      <c r="D436" s="19" t="s">
        <v>1059</v>
      </c>
      <c r="E436" s="19" t="s">
        <v>29</v>
      </c>
      <c r="F436" s="19" t="s">
        <v>30</v>
      </c>
      <c r="G436" s="19" t="s">
        <v>31</v>
      </c>
      <c r="J436" s="19" t="s">
        <v>1058</v>
      </c>
      <c r="K436" s="19" t="s">
        <v>32</v>
      </c>
      <c r="L436" s="19" t="s">
        <v>1041</v>
      </c>
      <c r="M436" s="19">
        <v>138.878712278909</v>
      </c>
      <c r="N436" s="19">
        <v>2070</v>
      </c>
      <c r="O436" s="19">
        <v>0.136126168224299</v>
      </c>
      <c r="P436" s="19" t="s">
        <v>1042</v>
      </c>
      <c r="Q436" s="19">
        <v>0.321</v>
      </c>
      <c r="R436">
        <f t="shared" si="24"/>
        <v>20.7</v>
      </c>
      <c r="T436" s="15" t="s">
        <v>1043</v>
      </c>
      <c r="U436" s="17"/>
      <c r="V436" s="16" t="str">
        <f t="shared" si="25"/>
        <v>EN_SPV_14_c04_JPN</v>
      </c>
      <c r="W436" s="12">
        <f t="shared" si="26"/>
        <v>2070</v>
      </c>
      <c r="X436" s="11">
        <f t="shared" si="27"/>
        <v>2070</v>
      </c>
      <c r="Y436" s="17">
        <v>3</v>
      </c>
      <c r="Z436" s="17"/>
      <c r="AC436" s="19" t="s">
        <v>1058</v>
      </c>
    </row>
    <row r="437" spans="2:29">
      <c r="B437" s="19" t="s">
        <v>26</v>
      </c>
      <c r="C437" s="19" t="s">
        <v>1060</v>
      </c>
      <c r="D437" s="19" t="s">
        <v>1061</v>
      </c>
      <c r="E437" s="19" t="s">
        <v>29</v>
      </c>
      <c r="F437" s="19" t="s">
        <v>30</v>
      </c>
      <c r="G437" s="19" t="s">
        <v>31</v>
      </c>
      <c r="J437" s="19" t="s">
        <v>1060</v>
      </c>
      <c r="K437" s="19" t="s">
        <v>32</v>
      </c>
      <c r="L437" s="19" t="s">
        <v>1041</v>
      </c>
      <c r="M437" s="19">
        <v>0</v>
      </c>
      <c r="N437" s="19">
        <v>2070</v>
      </c>
      <c r="O437" s="19">
        <v>0.148500741119346</v>
      </c>
      <c r="P437" s="19" t="s">
        <v>1042</v>
      </c>
      <c r="Q437" s="19">
        <v>14.67375</v>
      </c>
      <c r="R437">
        <f t="shared" si="24"/>
        <v>20.7</v>
      </c>
      <c r="T437" s="15" t="s">
        <v>1043</v>
      </c>
      <c r="U437" s="17"/>
      <c r="V437" s="16" t="str">
        <f t="shared" si="25"/>
        <v>EN_SPV_15_c01_JPN</v>
      </c>
      <c r="W437" s="12">
        <f t="shared" si="26"/>
        <v>2070</v>
      </c>
      <c r="X437" s="11">
        <f t="shared" si="27"/>
        <v>2070</v>
      </c>
      <c r="Y437" s="17">
        <v>3</v>
      </c>
      <c r="Z437" s="17"/>
      <c r="AC437" s="19" t="s">
        <v>1060</v>
      </c>
    </row>
    <row r="438" spans="2:29">
      <c r="B438" s="19" t="s">
        <v>26</v>
      </c>
      <c r="C438" s="19" t="s">
        <v>1062</v>
      </c>
      <c r="D438" s="19" t="s">
        <v>1063</v>
      </c>
      <c r="E438" s="19" t="s">
        <v>29</v>
      </c>
      <c r="F438" s="19" t="s">
        <v>30</v>
      </c>
      <c r="G438" s="19" t="s">
        <v>31</v>
      </c>
      <c r="J438" s="19" t="s">
        <v>1062</v>
      </c>
      <c r="K438" s="19" t="s">
        <v>32</v>
      </c>
      <c r="L438" s="19" t="s">
        <v>1041</v>
      </c>
      <c r="M438" s="19">
        <v>88.9549921786477</v>
      </c>
      <c r="N438" s="19">
        <v>2070</v>
      </c>
      <c r="O438" s="19">
        <v>0.148983866239504</v>
      </c>
      <c r="P438" s="19" t="s">
        <v>1042</v>
      </c>
      <c r="Q438" s="19">
        <v>71.6355</v>
      </c>
      <c r="R438">
        <f t="shared" si="24"/>
        <v>20.7</v>
      </c>
      <c r="T438" s="15" t="s">
        <v>1043</v>
      </c>
      <c r="U438" s="17"/>
      <c r="V438" s="16" t="str">
        <f t="shared" si="25"/>
        <v>EN_SPV_15_c02_JPN</v>
      </c>
      <c r="W438" s="12">
        <f t="shared" si="26"/>
        <v>2070</v>
      </c>
      <c r="X438" s="11">
        <f t="shared" si="27"/>
        <v>2070</v>
      </c>
      <c r="Y438" s="17">
        <v>3</v>
      </c>
      <c r="Z438" s="17"/>
      <c r="AC438" s="19" t="s">
        <v>1062</v>
      </c>
    </row>
    <row r="439" spans="2:29">
      <c r="B439" s="19" t="s">
        <v>26</v>
      </c>
      <c r="C439" s="19" t="s">
        <v>1064</v>
      </c>
      <c r="D439" s="19" t="s">
        <v>1065</v>
      </c>
      <c r="E439" s="19" t="s">
        <v>29</v>
      </c>
      <c r="F439" s="19" t="s">
        <v>30</v>
      </c>
      <c r="G439" s="19" t="s">
        <v>31</v>
      </c>
      <c r="J439" s="19" t="s">
        <v>1064</v>
      </c>
      <c r="K439" s="19" t="s">
        <v>32</v>
      </c>
      <c r="L439" s="19" t="s">
        <v>1041</v>
      </c>
      <c r="M439" s="19">
        <v>0</v>
      </c>
      <c r="N439" s="19">
        <v>2070</v>
      </c>
      <c r="O439" s="19">
        <v>0.15844569864888</v>
      </c>
      <c r="P439" s="19" t="s">
        <v>1042</v>
      </c>
      <c r="Q439" s="19">
        <v>4.38525</v>
      </c>
      <c r="R439">
        <f t="shared" si="24"/>
        <v>20.7</v>
      </c>
      <c r="T439" s="15" t="s">
        <v>1043</v>
      </c>
      <c r="U439" s="17"/>
      <c r="V439" s="16" t="str">
        <f t="shared" si="25"/>
        <v>EN_SPV_16_c01_JPN</v>
      </c>
      <c r="W439" s="12">
        <f t="shared" si="26"/>
        <v>2070</v>
      </c>
      <c r="X439" s="11">
        <f t="shared" si="27"/>
        <v>2070</v>
      </c>
      <c r="Y439" s="17">
        <v>3</v>
      </c>
      <c r="Z439" s="17"/>
      <c r="AC439" s="19" t="s">
        <v>1064</v>
      </c>
    </row>
    <row r="440" spans="2:29">
      <c r="B440" s="19" t="s">
        <v>26</v>
      </c>
      <c r="C440" s="19" t="s">
        <v>1066</v>
      </c>
      <c r="D440" s="19" t="s">
        <v>1067</v>
      </c>
      <c r="E440" s="19" t="s">
        <v>29</v>
      </c>
      <c r="F440" s="19" t="s">
        <v>30</v>
      </c>
      <c r="G440" s="19" t="s">
        <v>31</v>
      </c>
      <c r="J440" s="19" t="s">
        <v>1066</v>
      </c>
      <c r="K440" s="19" t="s">
        <v>32</v>
      </c>
      <c r="L440" s="19" t="s">
        <v>1041</v>
      </c>
      <c r="M440" s="19">
        <v>88.9549921786477</v>
      </c>
      <c r="N440" s="19">
        <v>2070</v>
      </c>
      <c r="O440" s="19">
        <v>0.156126550452565</v>
      </c>
      <c r="P440" s="19" t="s">
        <v>1042</v>
      </c>
      <c r="Q440" s="19">
        <v>4.4745</v>
      </c>
      <c r="R440">
        <f t="shared" si="24"/>
        <v>20.7</v>
      </c>
      <c r="T440" s="15" t="s">
        <v>1043</v>
      </c>
      <c r="U440" s="17"/>
      <c r="V440" s="16" t="str">
        <f t="shared" si="25"/>
        <v>EN_SPV_16_c02_JPN</v>
      </c>
      <c r="W440" s="12">
        <f t="shared" si="26"/>
        <v>2070</v>
      </c>
      <c r="X440" s="11">
        <f t="shared" si="27"/>
        <v>2070</v>
      </c>
      <c r="Y440" s="17">
        <v>3</v>
      </c>
      <c r="Z440" s="17"/>
      <c r="AC440" s="19" t="s">
        <v>1066</v>
      </c>
    </row>
    <row r="441" spans="2:29">
      <c r="B441" s="19" t="s">
        <v>26</v>
      </c>
      <c r="C441" s="19" t="s">
        <v>1068</v>
      </c>
      <c r="D441" s="19" t="s">
        <v>1069</v>
      </c>
      <c r="E441" s="19" t="s">
        <v>29</v>
      </c>
      <c r="F441" s="19" t="s">
        <v>30</v>
      </c>
      <c r="G441" s="19" t="s">
        <v>31</v>
      </c>
      <c r="J441" s="19" t="s">
        <v>1068</v>
      </c>
      <c r="K441" s="19" t="s">
        <v>32</v>
      </c>
      <c r="L441" s="19" t="s">
        <v>1070</v>
      </c>
      <c r="M441" s="19">
        <v>101.208996203257</v>
      </c>
      <c r="N441" s="19">
        <v>909</v>
      </c>
      <c r="O441" s="19">
        <v>0.167199135250254</v>
      </c>
      <c r="P441" s="19" t="s">
        <v>1071</v>
      </c>
      <c r="Q441" s="19">
        <v>256.37475</v>
      </c>
      <c r="R441">
        <f t="shared" si="24"/>
        <v>9.09</v>
      </c>
      <c r="T441" s="15" t="s">
        <v>112</v>
      </c>
      <c r="U441" s="17"/>
      <c r="V441" s="16" t="str">
        <f t="shared" si="25"/>
        <v>EN_SPV_17_c03_KAZ</v>
      </c>
      <c r="W441" s="12">
        <f t="shared" si="26"/>
        <v>909</v>
      </c>
      <c r="X441" s="11">
        <f t="shared" si="27"/>
        <v>909</v>
      </c>
      <c r="Y441" s="17">
        <v>3</v>
      </c>
      <c r="Z441" s="17"/>
      <c r="AC441" s="19" t="s">
        <v>1068</v>
      </c>
    </row>
    <row r="442" spans="2:29">
      <c r="B442" s="19" t="s">
        <v>26</v>
      </c>
      <c r="C442" s="19" t="s">
        <v>1072</v>
      </c>
      <c r="D442" s="19" t="s">
        <v>1073</v>
      </c>
      <c r="E442" s="19" t="s">
        <v>29</v>
      </c>
      <c r="F442" s="19" t="s">
        <v>30</v>
      </c>
      <c r="G442" s="19" t="s">
        <v>31</v>
      </c>
      <c r="J442" s="19" t="s">
        <v>1072</v>
      </c>
      <c r="K442" s="19" t="s">
        <v>32</v>
      </c>
      <c r="L442" s="19" t="s">
        <v>1070</v>
      </c>
      <c r="M442" s="19">
        <v>138.878712278909</v>
      </c>
      <c r="N442" s="19">
        <v>909</v>
      </c>
      <c r="O442" s="19">
        <v>0.167724835927961</v>
      </c>
      <c r="P442" s="19" t="s">
        <v>1071</v>
      </c>
      <c r="Q442" s="19">
        <v>117.936</v>
      </c>
      <c r="R442">
        <f t="shared" si="24"/>
        <v>9.09</v>
      </c>
      <c r="T442" s="15" t="s">
        <v>112</v>
      </c>
      <c r="U442" s="17"/>
      <c r="V442" s="16" t="str">
        <f t="shared" si="25"/>
        <v>EN_SPV_17_c04_KAZ</v>
      </c>
      <c r="W442" s="12">
        <f t="shared" si="26"/>
        <v>909</v>
      </c>
      <c r="X442" s="11">
        <f t="shared" si="27"/>
        <v>909</v>
      </c>
      <c r="Y442" s="17">
        <v>3</v>
      </c>
      <c r="Z442" s="17"/>
      <c r="AC442" s="19" t="s">
        <v>1072</v>
      </c>
    </row>
    <row r="443" spans="2:29">
      <c r="B443" s="19" t="s">
        <v>26</v>
      </c>
      <c r="C443" s="19" t="s">
        <v>1074</v>
      </c>
      <c r="D443" s="19" t="s">
        <v>1075</v>
      </c>
      <c r="E443" s="19" t="s">
        <v>29</v>
      </c>
      <c r="F443" s="19" t="s">
        <v>30</v>
      </c>
      <c r="G443" s="19" t="s">
        <v>31</v>
      </c>
      <c r="J443" s="19" t="s">
        <v>1074</v>
      </c>
      <c r="K443" s="19" t="s">
        <v>32</v>
      </c>
      <c r="L443" s="19" t="s">
        <v>1076</v>
      </c>
      <c r="M443" s="19">
        <v>88.9549921786477</v>
      </c>
      <c r="N443" s="19">
        <v>1420</v>
      </c>
      <c r="O443" s="19">
        <v>0.190350073362678</v>
      </c>
      <c r="P443" s="19" t="s">
        <v>1077</v>
      </c>
      <c r="Q443" s="19">
        <v>33.7365</v>
      </c>
      <c r="R443">
        <f t="shared" si="24"/>
        <v>14.2</v>
      </c>
      <c r="T443" s="15" t="s">
        <v>54</v>
      </c>
      <c r="U443" s="17"/>
      <c r="V443" s="16" t="str">
        <f t="shared" si="25"/>
        <v>EN_SPV_19_c02_KEN</v>
      </c>
      <c r="W443" s="12">
        <f t="shared" si="26"/>
        <v>1420</v>
      </c>
      <c r="X443" s="11">
        <f t="shared" si="27"/>
        <v>1420</v>
      </c>
      <c r="Y443" s="17">
        <v>3</v>
      </c>
      <c r="Z443" s="17"/>
      <c r="AC443" s="19" t="s">
        <v>1074</v>
      </c>
    </row>
    <row r="444" spans="2:29">
      <c r="B444" s="19" t="s">
        <v>26</v>
      </c>
      <c r="C444" s="19" t="s">
        <v>1078</v>
      </c>
      <c r="D444" s="19" t="s">
        <v>1079</v>
      </c>
      <c r="E444" s="19" t="s">
        <v>29</v>
      </c>
      <c r="F444" s="19" t="s">
        <v>30</v>
      </c>
      <c r="G444" s="19" t="s">
        <v>31</v>
      </c>
      <c r="J444" s="19" t="s">
        <v>1078</v>
      </c>
      <c r="K444" s="19" t="s">
        <v>32</v>
      </c>
      <c r="L444" s="19" t="s">
        <v>1076</v>
      </c>
      <c r="M444" s="19">
        <v>101.208996203257</v>
      </c>
      <c r="N444" s="19">
        <v>1420</v>
      </c>
      <c r="O444" s="19">
        <v>0.189766513587238</v>
      </c>
      <c r="P444" s="19" t="s">
        <v>1077</v>
      </c>
      <c r="Q444" s="19">
        <v>43.4415</v>
      </c>
      <c r="R444">
        <f t="shared" si="24"/>
        <v>14.2</v>
      </c>
      <c r="T444" s="15" t="s">
        <v>54</v>
      </c>
      <c r="U444" s="17"/>
      <c r="V444" s="16" t="str">
        <f t="shared" si="25"/>
        <v>EN_SPV_19_c03_KEN</v>
      </c>
      <c r="W444" s="12">
        <f t="shared" si="26"/>
        <v>1420</v>
      </c>
      <c r="X444" s="11">
        <f t="shared" si="27"/>
        <v>1420</v>
      </c>
      <c r="Y444" s="17">
        <v>3</v>
      </c>
      <c r="Z444" s="17"/>
      <c r="AC444" s="19" t="s">
        <v>1078</v>
      </c>
    </row>
    <row r="445" spans="2:29">
      <c r="B445" s="19" t="s">
        <v>26</v>
      </c>
      <c r="C445" s="19" t="s">
        <v>1080</v>
      </c>
      <c r="D445" s="19" t="s">
        <v>1081</v>
      </c>
      <c r="E445" s="19" t="s">
        <v>29</v>
      </c>
      <c r="F445" s="19" t="s">
        <v>30</v>
      </c>
      <c r="G445" s="19" t="s">
        <v>31</v>
      </c>
      <c r="J445" s="19" t="s">
        <v>1080</v>
      </c>
      <c r="K445" s="19" t="s">
        <v>32</v>
      </c>
      <c r="L445" s="19" t="s">
        <v>1076</v>
      </c>
      <c r="M445" s="19">
        <v>0</v>
      </c>
      <c r="N445" s="19">
        <v>1420</v>
      </c>
      <c r="O445" s="19">
        <v>0.196449901892525</v>
      </c>
      <c r="P445" s="19" t="s">
        <v>1077</v>
      </c>
      <c r="Q445" s="19">
        <v>11.84925</v>
      </c>
      <c r="R445">
        <f t="shared" si="24"/>
        <v>14.2</v>
      </c>
      <c r="T445" s="15" t="s">
        <v>54</v>
      </c>
      <c r="U445" s="17"/>
      <c r="V445" s="16" t="str">
        <f t="shared" si="25"/>
        <v>EN_SPV_20_c01_KEN</v>
      </c>
      <c r="W445" s="12">
        <f t="shared" si="26"/>
        <v>1420</v>
      </c>
      <c r="X445" s="11">
        <f t="shared" si="27"/>
        <v>1420</v>
      </c>
      <c r="Y445" s="17">
        <v>3</v>
      </c>
      <c r="Z445" s="17"/>
      <c r="AC445" s="19" t="s">
        <v>1080</v>
      </c>
    </row>
    <row r="446" spans="2:29">
      <c r="B446" s="19" t="s">
        <v>26</v>
      </c>
      <c r="C446" s="19" t="s">
        <v>1082</v>
      </c>
      <c r="D446" s="19" t="s">
        <v>1083</v>
      </c>
      <c r="E446" s="19" t="s">
        <v>29</v>
      </c>
      <c r="F446" s="19" t="s">
        <v>30</v>
      </c>
      <c r="G446" s="19" t="s">
        <v>31</v>
      </c>
      <c r="J446" s="19" t="s">
        <v>1082</v>
      </c>
      <c r="K446" s="19" t="s">
        <v>32</v>
      </c>
      <c r="L446" s="19" t="s">
        <v>1076</v>
      </c>
      <c r="M446" s="19">
        <v>88.9549921786477</v>
      </c>
      <c r="N446" s="19">
        <v>1420</v>
      </c>
      <c r="O446" s="19">
        <v>0.19513987284287</v>
      </c>
      <c r="P446" s="19" t="s">
        <v>1077</v>
      </c>
      <c r="Q446" s="19">
        <v>7.43175</v>
      </c>
      <c r="R446">
        <f t="shared" si="24"/>
        <v>14.2</v>
      </c>
      <c r="T446" s="15" t="s">
        <v>54</v>
      </c>
      <c r="U446" s="17"/>
      <c r="V446" s="16" t="str">
        <f t="shared" si="25"/>
        <v>EN_SPV_20_c02_KEN</v>
      </c>
      <c r="W446" s="12">
        <f t="shared" si="26"/>
        <v>1420</v>
      </c>
      <c r="X446" s="11">
        <f t="shared" si="27"/>
        <v>1420</v>
      </c>
      <c r="Y446" s="17">
        <v>3</v>
      </c>
      <c r="Z446" s="17"/>
      <c r="AC446" s="19" t="s">
        <v>1082</v>
      </c>
    </row>
    <row r="447" spans="2:29">
      <c r="B447" s="19" t="s">
        <v>26</v>
      </c>
      <c r="C447" s="19" t="s">
        <v>1084</v>
      </c>
      <c r="D447" s="19" t="s">
        <v>1085</v>
      </c>
      <c r="E447" s="19" t="s">
        <v>29</v>
      </c>
      <c r="F447" s="19" t="s">
        <v>30</v>
      </c>
      <c r="G447" s="19" t="s">
        <v>31</v>
      </c>
      <c r="J447" s="19" t="s">
        <v>1084</v>
      </c>
      <c r="K447" s="19" t="s">
        <v>32</v>
      </c>
      <c r="L447" s="19" t="s">
        <v>1076</v>
      </c>
      <c r="M447" s="19">
        <v>101.208996203257</v>
      </c>
      <c r="N447" s="19">
        <v>1420</v>
      </c>
      <c r="O447" s="19">
        <v>0.198466254675557</v>
      </c>
      <c r="P447" s="19" t="s">
        <v>1077</v>
      </c>
      <c r="Q447" s="19">
        <v>4.61175</v>
      </c>
      <c r="R447">
        <f t="shared" si="24"/>
        <v>14.2</v>
      </c>
      <c r="T447" s="15" t="s">
        <v>54</v>
      </c>
      <c r="U447" s="17"/>
      <c r="V447" s="16" t="str">
        <f t="shared" si="25"/>
        <v>EN_SPV_20_c03_KEN</v>
      </c>
      <c r="W447" s="12">
        <f t="shared" si="26"/>
        <v>1420</v>
      </c>
      <c r="X447" s="11">
        <f t="shared" si="27"/>
        <v>1420</v>
      </c>
      <c r="Y447" s="17">
        <v>3</v>
      </c>
      <c r="Z447" s="17"/>
      <c r="AC447" s="19" t="s">
        <v>1084</v>
      </c>
    </row>
    <row r="448" spans="2:29">
      <c r="B448" s="19" t="s">
        <v>26</v>
      </c>
      <c r="C448" s="19" t="s">
        <v>1086</v>
      </c>
      <c r="D448" s="19" t="s">
        <v>1087</v>
      </c>
      <c r="E448" s="19" t="s">
        <v>29</v>
      </c>
      <c r="F448" s="19" t="s">
        <v>30</v>
      </c>
      <c r="G448" s="19" t="s">
        <v>31</v>
      </c>
      <c r="J448" s="19" t="s">
        <v>1086</v>
      </c>
      <c r="K448" s="19" t="s">
        <v>32</v>
      </c>
      <c r="L448" s="19" t="s">
        <v>1088</v>
      </c>
      <c r="M448" s="19">
        <v>88.9549921786477</v>
      </c>
      <c r="N448" s="19">
        <v>909</v>
      </c>
      <c r="O448" s="19">
        <v>0.157949377662685</v>
      </c>
      <c r="P448" s="19" t="s">
        <v>1089</v>
      </c>
      <c r="Q448" s="19">
        <v>26.93475</v>
      </c>
      <c r="R448">
        <f t="shared" si="24"/>
        <v>9.09</v>
      </c>
      <c r="T448" s="15" t="s">
        <v>112</v>
      </c>
      <c r="U448" s="17"/>
      <c r="V448" s="16" t="str">
        <f t="shared" si="25"/>
        <v>EN_SPV_16_c02_KGZ</v>
      </c>
      <c r="W448" s="12">
        <f t="shared" si="26"/>
        <v>909</v>
      </c>
      <c r="X448" s="11">
        <f t="shared" si="27"/>
        <v>909</v>
      </c>
      <c r="Y448" s="17">
        <v>3</v>
      </c>
      <c r="Z448" s="17"/>
      <c r="AC448" s="19" t="s">
        <v>1086</v>
      </c>
    </row>
    <row r="449" spans="2:29">
      <c r="B449" s="19" t="s">
        <v>26</v>
      </c>
      <c r="C449" s="19" t="s">
        <v>1090</v>
      </c>
      <c r="D449" s="19" t="s">
        <v>1091</v>
      </c>
      <c r="E449" s="19" t="s">
        <v>29</v>
      </c>
      <c r="F449" s="19" t="s">
        <v>30</v>
      </c>
      <c r="G449" s="19" t="s">
        <v>31</v>
      </c>
      <c r="J449" s="19" t="s">
        <v>1090</v>
      </c>
      <c r="K449" s="19" t="s">
        <v>32</v>
      </c>
      <c r="L449" s="19" t="s">
        <v>1088</v>
      </c>
      <c r="M449" s="19">
        <v>0</v>
      </c>
      <c r="N449" s="19">
        <v>909</v>
      </c>
      <c r="O449" s="19">
        <v>0.169053579037069</v>
      </c>
      <c r="P449" s="19" t="s">
        <v>1089</v>
      </c>
      <c r="Q449" s="19">
        <v>7.041</v>
      </c>
      <c r="R449">
        <f t="shared" si="24"/>
        <v>9.09</v>
      </c>
      <c r="T449" s="15" t="s">
        <v>112</v>
      </c>
      <c r="U449" s="17"/>
      <c r="V449" s="16" t="str">
        <f t="shared" si="25"/>
        <v>EN_SPV_17_c01_KGZ</v>
      </c>
      <c r="W449" s="12">
        <f t="shared" si="26"/>
        <v>909</v>
      </c>
      <c r="X449" s="11">
        <f t="shared" si="27"/>
        <v>909</v>
      </c>
      <c r="Y449" s="17">
        <v>3</v>
      </c>
      <c r="Z449" s="17"/>
      <c r="AC449" s="19" t="s">
        <v>1090</v>
      </c>
    </row>
    <row r="450" spans="2:29">
      <c r="B450" s="19" t="s">
        <v>26</v>
      </c>
      <c r="C450" s="19" t="s">
        <v>1092</v>
      </c>
      <c r="D450" s="19" t="s">
        <v>1093</v>
      </c>
      <c r="E450" s="19" t="s">
        <v>29</v>
      </c>
      <c r="F450" s="19" t="s">
        <v>30</v>
      </c>
      <c r="G450" s="19" t="s">
        <v>31</v>
      </c>
      <c r="J450" s="19" t="s">
        <v>1092</v>
      </c>
      <c r="K450" s="19" t="s">
        <v>32</v>
      </c>
      <c r="L450" s="19" t="s">
        <v>1088</v>
      </c>
      <c r="M450" s="19">
        <v>88.9549921786477</v>
      </c>
      <c r="N450" s="19">
        <v>909</v>
      </c>
      <c r="O450" s="19">
        <v>0.167350746268657</v>
      </c>
      <c r="P450" s="19" t="s">
        <v>1089</v>
      </c>
      <c r="Q450" s="19">
        <v>0.804</v>
      </c>
      <c r="R450">
        <f t="shared" si="24"/>
        <v>9.09</v>
      </c>
      <c r="T450" s="15" t="s">
        <v>112</v>
      </c>
      <c r="U450" s="17"/>
      <c r="V450" s="16" t="str">
        <f t="shared" si="25"/>
        <v>EN_SPV_17_c02_KGZ</v>
      </c>
      <c r="W450" s="12">
        <f t="shared" si="26"/>
        <v>909</v>
      </c>
      <c r="X450" s="11">
        <f t="shared" si="27"/>
        <v>909</v>
      </c>
      <c r="Y450" s="17">
        <v>3</v>
      </c>
      <c r="Z450" s="17"/>
      <c r="AC450" s="19" t="s">
        <v>1092</v>
      </c>
    </row>
    <row r="451" spans="2:29">
      <c r="B451" s="19" t="s">
        <v>26</v>
      </c>
      <c r="C451" s="19" t="s">
        <v>1094</v>
      </c>
      <c r="D451" s="19" t="s">
        <v>1095</v>
      </c>
      <c r="E451" s="19" t="s">
        <v>29</v>
      </c>
      <c r="F451" s="19" t="s">
        <v>30</v>
      </c>
      <c r="G451" s="19" t="s">
        <v>31</v>
      </c>
      <c r="J451" s="19" t="s">
        <v>1094</v>
      </c>
      <c r="K451" s="19" t="s">
        <v>32</v>
      </c>
      <c r="L451" s="19" t="s">
        <v>1088</v>
      </c>
      <c r="M451" s="19">
        <v>0</v>
      </c>
      <c r="N451" s="19">
        <v>909</v>
      </c>
      <c r="O451" s="19">
        <v>0.177260266851499</v>
      </c>
      <c r="P451" s="19" t="s">
        <v>1089</v>
      </c>
      <c r="Q451" s="19">
        <v>4.32825</v>
      </c>
      <c r="R451">
        <f t="shared" si="24"/>
        <v>9.09</v>
      </c>
      <c r="T451" s="15" t="s">
        <v>112</v>
      </c>
      <c r="U451" s="17"/>
      <c r="V451" s="16" t="str">
        <f t="shared" si="25"/>
        <v>EN_SPV_18_c01_KGZ</v>
      </c>
      <c r="W451" s="12">
        <f t="shared" si="26"/>
        <v>909</v>
      </c>
      <c r="X451" s="11">
        <f t="shared" si="27"/>
        <v>909</v>
      </c>
      <c r="Y451" s="17">
        <v>3</v>
      </c>
      <c r="Z451" s="17"/>
      <c r="AC451" s="19" t="s">
        <v>1094</v>
      </c>
    </row>
    <row r="452" spans="2:29">
      <c r="B452" s="19" t="s">
        <v>26</v>
      </c>
      <c r="C452" s="19" t="s">
        <v>1096</v>
      </c>
      <c r="D452" s="19" t="s">
        <v>1097</v>
      </c>
      <c r="E452" s="19" t="s">
        <v>29</v>
      </c>
      <c r="F452" s="19" t="s">
        <v>30</v>
      </c>
      <c r="G452" s="19" t="s">
        <v>31</v>
      </c>
      <c r="J452" s="19" t="s">
        <v>1096</v>
      </c>
      <c r="K452" s="19" t="s">
        <v>32</v>
      </c>
      <c r="L452" s="19" t="s">
        <v>1098</v>
      </c>
      <c r="M452" s="19">
        <v>88.9549921786477</v>
      </c>
      <c r="N452" s="19">
        <v>1113</v>
      </c>
      <c r="O452" s="19">
        <v>0.161871670081967</v>
      </c>
      <c r="P452" s="19" t="s">
        <v>1099</v>
      </c>
      <c r="Q452" s="19">
        <v>76.1279999999999</v>
      </c>
      <c r="R452">
        <f t="shared" si="24"/>
        <v>11.13</v>
      </c>
      <c r="T452" s="15" t="s">
        <v>290</v>
      </c>
      <c r="U452" s="17"/>
      <c r="V452" s="16" t="str">
        <f t="shared" si="25"/>
        <v>EN_SPV_16_c02_KHM</v>
      </c>
      <c r="W452" s="12">
        <f t="shared" si="26"/>
        <v>1113</v>
      </c>
      <c r="X452" s="11">
        <f t="shared" si="27"/>
        <v>1113</v>
      </c>
      <c r="Y452" s="17">
        <v>3</v>
      </c>
      <c r="Z452" s="17"/>
      <c r="AC452" s="19" t="s">
        <v>1096</v>
      </c>
    </row>
    <row r="453" spans="2:29">
      <c r="B453" s="19" t="s">
        <v>26</v>
      </c>
      <c r="C453" s="19" t="s">
        <v>1100</v>
      </c>
      <c r="D453" s="19" t="s">
        <v>1101</v>
      </c>
      <c r="E453" s="19" t="s">
        <v>29</v>
      </c>
      <c r="F453" s="19" t="s">
        <v>30</v>
      </c>
      <c r="G453" s="19" t="s">
        <v>31</v>
      </c>
      <c r="J453" s="19" t="s">
        <v>1100</v>
      </c>
      <c r="K453" s="19" t="s">
        <v>32</v>
      </c>
      <c r="L453" s="19" t="s">
        <v>1098</v>
      </c>
      <c r="M453" s="19">
        <v>0</v>
      </c>
      <c r="N453" s="19">
        <v>1113</v>
      </c>
      <c r="O453" s="19">
        <v>0.166137496557422</v>
      </c>
      <c r="P453" s="19" t="s">
        <v>1099</v>
      </c>
      <c r="Q453" s="19">
        <v>21.786</v>
      </c>
      <c r="R453">
        <f t="shared" si="24"/>
        <v>11.13</v>
      </c>
      <c r="T453" s="15" t="s">
        <v>290</v>
      </c>
      <c r="U453" s="17"/>
      <c r="V453" s="16" t="str">
        <f t="shared" si="25"/>
        <v>EN_SPV_17_c01_KHM</v>
      </c>
      <c r="W453" s="12">
        <f t="shared" si="26"/>
        <v>1113</v>
      </c>
      <c r="X453" s="11">
        <f t="shared" si="27"/>
        <v>1113</v>
      </c>
      <c r="Y453" s="17">
        <v>3</v>
      </c>
      <c r="Z453" s="17"/>
      <c r="AC453" s="19" t="s">
        <v>1100</v>
      </c>
    </row>
    <row r="454" spans="2:29">
      <c r="B454" s="19" t="s">
        <v>26</v>
      </c>
      <c r="C454" s="19" t="s">
        <v>1102</v>
      </c>
      <c r="D454" s="19" t="s">
        <v>1103</v>
      </c>
      <c r="E454" s="19" t="s">
        <v>29</v>
      </c>
      <c r="F454" s="19" t="s">
        <v>30</v>
      </c>
      <c r="G454" s="19" t="s">
        <v>31</v>
      </c>
      <c r="J454" s="19" t="s">
        <v>1102</v>
      </c>
      <c r="K454" s="19" t="s">
        <v>32</v>
      </c>
      <c r="L454" s="19" t="s">
        <v>1098</v>
      </c>
      <c r="M454" s="19">
        <v>88.9549921786477</v>
      </c>
      <c r="N454" s="19">
        <v>1113</v>
      </c>
      <c r="O454" s="19">
        <v>0.167188302550572</v>
      </c>
      <c r="P454" s="19" t="s">
        <v>1099</v>
      </c>
      <c r="Q454" s="19">
        <v>17.055</v>
      </c>
      <c r="R454">
        <f t="shared" ref="R454:R517" si="28">N454*0.01</f>
        <v>11.13</v>
      </c>
      <c r="T454" s="15" t="s">
        <v>290</v>
      </c>
      <c r="U454" s="17"/>
      <c r="V454" s="16" t="str">
        <f t="shared" ref="V454:V517" si="29">J454</f>
        <v>EN_SPV_17_c02_KHM</v>
      </c>
      <c r="W454" s="12">
        <f t="shared" ref="W454:W517" si="30">N454</f>
        <v>1113</v>
      </c>
      <c r="X454" s="11">
        <f t="shared" ref="X454:X517" si="31">W454</f>
        <v>1113</v>
      </c>
      <c r="Y454" s="17">
        <v>3</v>
      </c>
      <c r="Z454" s="17"/>
      <c r="AC454" s="19" t="s">
        <v>1102</v>
      </c>
    </row>
    <row r="455" spans="2:29">
      <c r="B455" s="19" t="s">
        <v>26</v>
      </c>
      <c r="C455" s="19" t="s">
        <v>1104</v>
      </c>
      <c r="D455" s="19" t="s">
        <v>1105</v>
      </c>
      <c r="E455" s="19" t="s">
        <v>29</v>
      </c>
      <c r="F455" s="19" t="s">
        <v>30</v>
      </c>
      <c r="G455" s="19" t="s">
        <v>31</v>
      </c>
      <c r="J455" s="19" t="s">
        <v>1104</v>
      </c>
      <c r="K455" s="19" t="s">
        <v>32</v>
      </c>
      <c r="L455" s="19" t="s">
        <v>1106</v>
      </c>
      <c r="M455" s="19">
        <v>88.9549921786477</v>
      </c>
      <c r="N455" s="19">
        <v>1252</v>
      </c>
      <c r="O455" s="19">
        <v>0.139053735926305</v>
      </c>
      <c r="P455" s="19" t="s">
        <v>1107</v>
      </c>
      <c r="Q455" s="19">
        <v>1.4655</v>
      </c>
      <c r="R455">
        <f t="shared" si="28"/>
        <v>12.52</v>
      </c>
      <c r="T455" s="15" t="s">
        <v>1043</v>
      </c>
      <c r="U455" s="17"/>
      <c r="V455" s="16" t="str">
        <f t="shared" si="29"/>
        <v>EN_SPV_14_c02_KOR</v>
      </c>
      <c r="W455" s="12">
        <f t="shared" si="30"/>
        <v>1252</v>
      </c>
      <c r="X455" s="11">
        <f t="shared" si="31"/>
        <v>1252</v>
      </c>
      <c r="Y455" s="17">
        <v>3</v>
      </c>
      <c r="Z455" s="17"/>
      <c r="AC455" s="19" t="s">
        <v>1104</v>
      </c>
    </row>
    <row r="456" spans="2:29">
      <c r="B456" s="19" t="s">
        <v>26</v>
      </c>
      <c r="C456" s="19" t="s">
        <v>1108</v>
      </c>
      <c r="D456" s="19" t="s">
        <v>1109</v>
      </c>
      <c r="E456" s="19" t="s">
        <v>29</v>
      </c>
      <c r="F456" s="19" t="s">
        <v>30</v>
      </c>
      <c r="G456" s="19" t="s">
        <v>31</v>
      </c>
      <c r="J456" s="19" t="s">
        <v>1108</v>
      </c>
      <c r="K456" s="19" t="s">
        <v>32</v>
      </c>
      <c r="L456" s="19" t="s">
        <v>1106</v>
      </c>
      <c r="M456" s="19">
        <v>101.208996203257</v>
      </c>
      <c r="N456" s="19">
        <v>1252</v>
      </c>
      <c r="O456" s="19">
        <v>0.135009963099631</v>
      </c>
      <c r="P456" s="19" t="s">
        <v>1107</v>
      </c>
      <c r="Q456" s="19">
        <v>2.0325</v>
      </c>
      <c r="R456">
        <f t="shared" si="28"/>
        <v>12.52</v>
      </c>
      <c r="T456" s="15" t="s">
        <v>1043</v>
      </c>
      <c r="U456" s="17"/>
      <c r="V456" s="16" t="str">
        <f t="shared" si="29"/>
        <v>EN_SPV_14_c03_KOR</v>
      </c>
      <c r="W456" s="12">
        <f t="shared" si="30"/>
        <v>1252</v>
      </c>
      <c r="X456" s="11">
        <f t="shared" si="31"/>
        <v>1252</v>
      </c>
      <c r="Y456" s="17">
        <v>3</v>
      </c>
      <c r="Z456" s="17"/>
      <c r="AC456" s="19" t="s">
        <v>1108</v>
      </c>
    </row>
    <row r="457" spans="2:29">
      <c r="B457" s="19" t="s">
        <v>26</v>
      </c>
      <c r="C457" s="19" t="s">
        <v>1110</v>
      </c>
      <c r="D457" s="19" t="s">
        <v>1111</v>
      </c>
      <c r="E457" s="19" t="s">
        <v>29</v>
      </c>
      <c r="F457" s="19" t="s">
        <v>30</v>
      </c>
      <c r="G457" s="19" t="s">
        <v>31</v>
      </c>
      <c r="J457" s="19" t="s">
        <v>1110</v>
      </c>
      <c r="K457" s="19" t="s">
        <v>32</v>
      </c>
      <c r="L457" s="19" t="s">
        <v>1106</v>
      </c>
      <c r="M457" s="19">
        <v>0</v>
      </c>
      <c r="N457" s="19">
        <v>1252</v>
      </c>
      <c r="O457" s="19">
        <v>0.151272984241396</v>
      </c>
      <c r="P457" s="19" t="s">
        <v>1107</v>
      </c>
      <c r="Q457" s="19">
        <v>10.61325</v>
      </c>
      <c r="R457">
        <f t="shared" si="28"/>
        <v>12.52</v>
      </c>
      <c r="T457" s="15" t="s">
        <v>1043</v>
      </c>
      <c r="U457" s="17"/>
      <c r="V457" s="16" t="str">
        <f t="shared" si="29"/>
        <v>EN_SPV_15_c01_KOR</v>
      </c>
      <c r="W457" s="12">
        <f t="shared" si="30"/>
        <v>1252</v>
      </c>
      <c r="X457" s="11">
        <f t="shared" si="31"/>
        <v>1252</v>
      </c>
      <c r="Y457" s="17">
        <v>3</v>
      </c>
      <c r="Z457" s="17"/>
      <c r="AC457" s="19" t="s">
        <v>1110</v>
      </c>
    </row>
    <row r="458" spans="2:29">
      <c r="B458" s="19" t="s">
        <v>26</v>
      </c>
      <c r="C458" s="19" t="s">
        <v>1112</v>
      </c>
      <c r="D458" s="19" t="s">
        <v>1113</v>
      </c>
      <c r="E458" s="19" t="s">
        <v>29</v>
      </c>
      <c r="F458" s="19" t="s">
        <v>30</v>
      </c>
      <c r="G458" s="19" t="s">
        <v>31</v>
      </c>
      <c r="J458" s="19" t="s">
        <v>1112</v>
      </c>
      <c r="K458" s="19" t="s">
        <v>32</v>
      </c>
      <c r="L458" s="19" t="s">
        <v>1106</v>
      </c>
      <c r="M458" s="19">
        <v>88.9549921786477</v>
      </c>
      <c r="N458" s="19">
        <v>1252</v>
      </c>
      <c r="O458" s="19">
        <v>0.150639439929695</v>
      </c>
      <c r="P458" s="19" t="s">
        <v>1107</v>
      </c>
      <c r="Q458" s="19">
        <v>75.95475</v>
      </c>
      <c r="R458">
        <f t="shared" si="28"/>
        <v>12.52</v>
      </c>
      <c r="T458" s="15" t="s">
        <v>1043</v>
      </c>
      <c r="U458" s="17"/>
      <c r="V458" s="16" t="str">
        <f t="shared" si="29"/>
        <v>EN_SPV_15_c02_KOR</v>
      </c>
      <c r="W458" s="12">
        <f t="shared" si="30"/>
        <v>1252</v>
      </c>
      <c r="X458" s="11">
        <f t="shared" si="31"/>
        <v>1252</v>
      </c>
      <c r="Y458" s="17">
        <v>3</v>
      </c>
      <c r="Z458" s="17"/>
      <c r="AC458" s="19" t="s">
        <v>1112</v>
      </c>
    </row>
    <row r="459" spans="2:29">
      <c r="B459" s="19" t="s">
        <v>26</v>
      </c>
      <c r="C459" s="19" t="s">
        <v>1114</v>
      </c>
      <c r="D459" s="19" t="s">
        <v>1115</v>
      </c>
      <c r="E459" s="19" t="s">
        <v>29</v>
      </c>
      <c r="F459" s="19" t="s">
        <v>30</v>
      </c>
      <c r="G459" s="19" t="s">
        <v>31</v>
      </c>
      <c r="J459" s="19" t="s">
        <v>1114</v>
      </c>
      <c r="K459" s="19" t="s">
        <v>32</v>
      </c>
      <c r="L459" s="19" t="s">
        <v>1106</v>
      </c>
      <c r="M459" s="19">
        <v>101.208996203257</v>
      </c>
      <c r="N459" s="19">
        <v>1252</v>
      </c>
      <c r="O459" s="19">
        <v>0.152903052064632</v>
      </c>
      <c r="P459" s="19" t="s">
        <v>1107</v>
      </c>
      <c r="Q459" s="19">
        <v>0.41775</v>
      </c>
      <c r="R459">
        <f t="shared" si="28"/>
        <v>12.52</v>
      </c>
      <c r="T459" s="15" t="s">
        <v>1043</v>
      </c>
      <c r="U459" s="17"/>
      <c r="V459" s="16" t="str">
        <f t="shared" si="29"/>
        <v>EN_SPV_15_c03_KOR</v>
      </c>
      <c r="W459" s="12">
        <f t="shared" si="30"/>
        <v>1252</v>
      </c>
      <c r="X459" s="11">
        <f t="shared" si="31"/>
        <v>1252</v>
      </c>
      <c r="Y459" s="17">
        <v>3</v>
      </c>
      <c r="Z459" s="17"/>
      <c r="AC459" s="19" t="s">
        <v>1114</v>
      </c>
    </row>
    <row r="460" spans="2:29">
      <c r="B460" s="19" t="s">
        <v>26</v>
      </c>
      <c r="C460" s="19" t="s">
        <v>1116</v>
      </c>
      <c r="D460" s="19" t="s">
        <v>1117</v>
      </c>
      <c r="E460" s="19" t="s">
        <v>29</v>
      </c>
      <c r="F460" s="19" t="s">
        <v>30</v>
      </c>
      <c r="G460" s="19" t="s">
        <v>31</v>
      </c>
      <c r="J460" s="19" t="s">
        <v>1116</v>
      </c>
      <c r="K460" s="19" t="s">
        <v>32</v>
      </c>
      <c r="L460" s="19" t="s">
        <v>1106</v>
      </c>
      <c r="M460" s="19">
        <v>0</v>
      </c>
      <c r="N460" s="19">
        <v>1252</v>
      </c>
      <c r="O460" s="19">
        <v>0.155656909332826</v>
      </c>
      <c r="P460" s="19" t="s">
        <v>1107</v>
      </c>
      <c r="Q460" s="19">
        <v>3.94575</v>
      </c>
      <c r="R460">
        <f t="shared" si="28"/>
        <v>12.52</v>
      </c>
      <c r="T460" s="15" t="s">
        <v>1043</v>
      </c>
      <c r="U460" s="17"/>
      <c r="V460" s="16" t="str">
        <f t="shared" si="29"/>
        <v>EN_SPV_16_c01_KOR</v>
      </c>
      <c r="W460" s="12">
        <f t="shared" si="30"/>
        <v>1252</v>
      </c>
      <c r="X460" s="11">
        <f t="shared" si="31"/>
        <v>1252</v>
      </c>
      <c r="Y460" s="17">
        <v>3</v>
      </c>
      <c r="Z460" s="17"/>
      <c r="AC460" s="19" t="s">
        <v>1116</v>
      </c>
    </row>
    <row r="461" spans="2:29">
      <c r="B461" s="19" t="s">
        <v>26</v>
      </c>
      <c r="C461" s="19" t="s">
        <v>1118</v>
      </c>
      <c r="D461" s="19" t="s">
        <v>1119</v>
      </c>
      <c r="E461" s="19" t="s">
        <v>29</v>
      </c>
      <c r="F461" s="19" t="s">
        <v>30</v>
      </c>
      <c r="G461" s="19" t="s">
        <v>31</v>
      </c>
      <c r="J461" s="19" t="s">
        <v>1118</v>
      </c>
      <c r="K461" s="19" t="s">
        <v>32</v>
      </c>
      <c r="L461" s="19" t="s">
        <v>1106</v>
      </c>
      <c r="M461" s="19">
        <v>88.9549921786477</v>
      </c>
      <c r="N461" s="19">
        <v>1252</v>
      </c>
      <c r="O461" s="19">
        <v>0.155388807172375</v>
      </c>
      <c r="P461" s="19" t="s">
        <v>1107</v>
      </c>
      <c r="Q461" s="19">
        <v>10.70775</v>
      </c>
      <c r="R461">
        <f t="shared" si="28"/>
        <v>12.52</v>
      </c>
      <c r="T461" s="15" t="s">
        <v>1043</v>
      </c>
      <c r="U461" s="17"/>
      <c r="V461" s="16" t="str">
        <f t="shared" si="29"/>
        <v>EN_SPV_16_c02_KOR</v>
      </c>
      <c r="W461" s="12">
        <f t="shared" si="30"/>
        <v>1252</v>
      </c>
      <c r="X461" s="11">
        <f t="shared" si="31"/>
        <v>1252</v>
      </c>
      <c r="Y461" s="17">
        <v>3</v>
      </c>
      <c r="Z461" s="17"/>
      <c r="AC461" s="19" t="s">
        <v>1118</v>
      </c>
    </row>
    <row r="462" spans="2:29">
      <c r="B462" s="19" t="s">
        <v>26</v>
      </c>
      <c r="C462" s="19" t="s">
        <v>1120</v>
      </c>
      <c r="D462" s="19" t="s">
        <v>1121</v>
      </c>
      <c r="E462" s="19" t="s">
        <v>29</v>
      </c>
      <c r="F462" s="19" t="s">
        <v>30</v>
      </c>
      <c r="G462" s="19" t="s">
        <v>31</v>
      </c>
      <c r="J462" s="19" t="s">
        <v>1120</v>
      </c>
      <c r="K462" s="19" t="s">
        <v>32</v>
      </c>
      <c r="L462" s="19" t="s">
        <v>1122</v>
      </c>
      <c r="M462" s="19">
        <v>0</v>
      </c>
      <c r="N462" s="19">
        <v>859</v>
      </c>
      <c r="O462" s="19">
        <v>0.190041146828845</v>
      </c>
      <c r="P462" s="19" t="s">
        <v>1123</v>
      </c>
      <c r="Q462" s="19">
        <v>43.1625</v>
      </c>
      <c r="R462">
        <f t="shared" si="28"/>
        <v>8.59</v>
      </c>
      <c r="T462" s="15" t="s">
        <v>80</v>
      </c>
      <c r="U462" s="17"/>
      <c r="V462" s="16" t="str">
        <f t="shared" si="29"/>
        <v>EN_SPV_19_c01_KWT</v>
      </c>
      <c r="W462" s="12">
        <f t="shared" si="30"/>
        <v>859</v>
      </c>
      <c r="X462" s="11">
        <f t="shared" si="31"/>
        <v>859</v>
      </c>
      <c r="Y462" s="17">
        <v>3</v>
      </c>
      <c r="Z462" s="17"/>
      <c r="AC462" s="19" t="s">
        <v>1120</v>
      </c>
    </row>
    <row r="463" spans="2:29">
      <c r="B463" s="19" t="s">
        <v>26</v>
      </c>
      <c r="C463" s="19" t="s">
        <v>1124</v>
      </c>
      <c r="D463" s="19" t="s">
        <v>1125</v>
      </c>
      <c r="E463" s="19" t="s">
        <v>29</v>
      </c>
      <c r="F463" s="19" t="s">
        <v>30</v>
      </c>
      <c r="G463" s="19" t="s">
        <v>31</v>
      </c>
      <c r="J463" s="19" t="s">
        <v>1124</v>
      </c>
      <c r="K463" s="19" t="s">
        <v>32</v>
      </c>
      <c r="L463" s="19" t="s">
        <v>1122</v>
      </c>
      <c r="M463" s="19">
        <v>88.9549921786477</v>
      </c>
      <c r="N463" s="19">
        <v>859</v>
      </c>
      <c r="O463" s="19">
        <v>0.190758637236084</v>
      </c>
      <c r="P463" s="19" t="s">
        <v>1123</v>
      </c>
      <c r="Q463" s="19">
        <v>9.378</v>
      </c>
      <c r="R463">
        <f t="shared" si="28"/>
        <v>8.59</v>
      </c>
      <c r="T463" s="15" t="s">
        <v>80</v>
      </c>
      <c r="U463" s="17"/>
      <c r="V463" s="16" t="str">
        <f t="shared" si="29"/>
        <v>EN_SPV_19_c02_KWT</v>
      </c>
      <c r="W463" s="12">
        <f t="shared" si="30"/>
        <v>859</v>
      </c>
      <c r="X463" s="11">
        <f t="shared" si="31"/>
        <v>859</v>
      </c>
      <c r="Y463" s="17">
        <v>3</v>
      </c>
      <c r="Z463" s="17"/>
      <c r="AC463" s="19" t="s">
        <v>1124</v>
      </c>
    </row>
    <row r="464" spans="2:29">
      <c r="B464" s="19" t="s">
        <v>26</v>
      </c>
      <c r="C464" s="19" t="s">
        <v>1126</v>
      </c>
      <c r="D464" s="19" t="s">
        <v>1127</v>
      </c>
      <c r="E464" s="19" t="s">
        <v>29</v>
      </c>
      <c r="F464" s="19" t="s">
        <v>30</v>
      </c>
      <c r="G464" s="19" t="s">
        <v>31</v>
      </c>
      <c r="J464" s="19" t="s">
        <v>1126</v>
      </c>
      <c r="K464" s="19" t="s">
        <v>32</v>
      </c>
      <c r="L464" s="19" t="s">
        <v>1128</v>
      </c>
      <c r="M464" s="19">
        <v>0</v>
      </c>
      <c r="N464" s="19">
        <v>1113</v>
      </c>
      <c r="O464" s="19">
        <v>0.160314509312028</v>
      </c>
      <c r="P464" s="19" t="s">
        <v>1129</v>
      </c>
      <c r="Q464" s="19">
        <v>27.50475</v>
      </c>
      <c r="R464">
        <f t="shared" si="28"/>
        <v>11.13</v>
      </c>
      <c r="T464" s="15" t="s">
        <v>290</v>
      </c>
      <c r="U464" s="17"/>
      <c r="V464" s="16" t="str">
        <f t="shared" si="29"/>
        <v>EN_SPV_16_c01_LAO</v>
      </c>
      <c r="W464" s="12">
        <f t="shared" si="30"/>
        <v>1113</v>
      </c>
      <c r="X464" s="11">
        <f t="shared" si="31"/>
        <v>1113</v>
      </c>
      <c r="Y464" s="17">
        <v>3</v>
      </c>
      <c r="Z464" s="17"/>
      <c r="AC464" s="19" t="s">
        <v>1126</v>
      </c>
    </row>
    <row r="465" spans="2:29">
      <c r="B465" s="19" t="s">
        <v>26</v>
      </c>
      <c r="C465" s="19" t="s">
        <v>1130</v>
      </c>
      <c r="D465" s="19" t="s">
        <v>1131</v>
      </c>
      <c r="E465" s="19" t="s">
        <v>29</v>
      </c>
      <c r="F465" s="19" t="s">
        <v>30</v>
      </c>
      <c r="G465" s="19" t="s">
        <v>31</v>
      </c>
      <c r="J465" s="19" t="s">
        <v>1130</v>
      </c>
      <c r="K465" s="19" t="s">
        <v>32</v>
      </c>
      <c r="L465" s="19" t="s">
        <v>1128</v>
      </c>
      <c r="M465" s="19">
        <v>88.9549921786477</v>
      </c>
      <c r="N465" s="19">
        <v>1113</v>
      </c>
      <c r="O465" s="19">
        <v>0.158476502090412</v>
      </c>
      <c r="P465" s="19" t="s">
        <v>1129</v>
      </c>
      <c r="Q465" s="19">
        <v>53.63775</v>
      </c>
      <c r="R465">
        <f t="shared" si="28"/>
        <v>11.13</v>
      </c>
      <c r="T465" s="15" t="s">
        <v>290</v>
      </c>
      <c r="U465" s="17"/>
      <c r="V465" s="16" t="str">
        <f t="shared" si="29"/>
        <v>EN_SPV_16_c02_LAO</v>
      </c>
      <c r="W465" s="12">
        <f t="shared" si="30"/>
        <v>1113</v>
      </c>
      <c r="X465" s="11">
        <f t="shared" si="31"/>
        <v>1113</v>
      </c>
      <c r="Y465" s="17">
        <v>3</v>
      </c>
      <c r="Z465" s="17"/>
      <c r="AC465" s="19" t="s">
        <v>1130</v>
      </c>
    </row>
    <row r="466" spans="2:29">
      <c r="B466" s="19" t="s">
        <v>26</v>
      </c>
      <c r="C466" s="19" t="s">
        <v>1132</v>
      </c>
      <c r="D466" s="19" t="s">
        <v>1133</v>
      </c>
      <c r="E466" s="19" t="s">
        <v>29</v>
      </c>
      <c r="F466" s="19" t="s">
        <v>30</v>
      </c>
      <c r="G466" s="19" t="s">
        <v>31</v>
      </c>
      <c r="J466" s="19" t="s">
        <v>1132</v>
      </c>
      <c r="K466" s="19" t="s">
        <v>32</v>
      </c>
      <c r="L466" s="19" t="s">
        <v>1134</v>
      </c>
      <c r="M466" s="19">
        <v>0</v>
      </c>
      <c r="N466" s="19">
        <v>859</v>
      </c>
      <c r="O466" s="19">
        <v>0.181</v>
      </c>
      <c r="P466" s="19" t="s">
        <v>1135</v>
      </c>
      <c r="Q466" s="19">
        <v>0.31125</v>
      </c>
      <c r="R466">
        <f t="shared" si="28"/>
        <v>8.59</v>
      </c>
      <c r="T466" s="15" t="s">
        <v>80</v>
      </c>
      <c r="U466" s="17"/>
      <c r="V466" s="16" t="str">
        <f t="shared" si="29"/>
        <v>EN_SPV_18_c01_LBN</v>
      </c>
      <c r="W466" s="12">
        <f t="shared" si="30"/>
        <v>859</v>
      </c>
      <c r="X466" s="11">
        <f t="shared" si="31"/>
        <v>859</v>
      </c>
      <c r="Y466" s="17">
        <v>3</v>
      </c>
      <c r="Z466" s="17"/>
      <c r="AC466" s="19" t="s">
        <v>1132</v>
      </c>
    </row>
    <row r="467" spans="2:29">
      <c r="B467" s="19" t="s">
        <v>26</v>
      </c>
      <c r="C467" s="19" t="s">
        <v>1136</v>
      </c>
      <c r="D467" s="19" t="s">
        <v>1137</v>
      </c>
      <c r="E467" s="19" t="s">
        <v>29</v>
      </c>
      <c r="F467" s="19" t="s">
        <v>30</v>
      </c>
      <c r="G467" s="19" t="s">
        <v>31</v>
      </c>
      <c r="J467" s="19" t="s">
        <v>1136</v>
      </c>
      <c r="K467" s="19" t="s">
        <v>32</v>
      </c>
      <c r="L467" s="19" t="s">
        <v>1134</v>
      </c>
      <c r="M467" s="19">
        <v>0</v>
      </c>
      <c r="N467" s="19">
        <v>859</v>
      </c>
      <c r="O467" s="19">
        <v>0.189940583265195</v>
      </c>
      <c r="P467" s="19" t="s">
        <v>1135</v>
      </c>
      <c r="Q467" s="19">
        <v>2.75175</v>
      </c>
      <c r="R467">
        <f t="shared" si="28"/>
        <v>8.59</v>
      </c>
      <c r="T467" s="15" t="s">
        <v>80</v>
      </c>
      <c r="U467" s="17"/>
      <c r="V467" s="16" t="str">
        <f t="shared" si="29"/>
        <v>EN_SPV_19_c01_LBN</v>
      </c>
      <c r="W467" s="12">
        <f t="shared" si="30"/>
        <v>859</v>
      </c>
      <c r="X467" s="11">
        <f t="shared" si="31"/>
        <v>859</v>
      </c>
      <c r="Y467" s="17">
        <v>3</v>
      </c>
      <c r="Z467" s="17"/>
      <c r="AC467" s="19" t="s">
        <v>1136</v>
      </c>
    </row>
    <row r="468" spans="2:29">
      <c r="B468" s="19" t="s">
        <v>26</v>
      </c>
      <c r="C468" s="19" t="s">
        <v>1138</v>
      </c>
      <c r="D468" s="19" t="s">
        <v>1139</v>
      </c>
      <c r="E468" s="19" t="s">
        <v>29</v>
      </c>
      <c r="F468" s="19" t="s">
        <v>30</v>
      </c>
      <c r="G468" s="19" t="s">
        <v>31</v>
      </c>
      <c r="J468" s="19" t="s">
        <v>1138</v>
      </c>
      <c r="K468" s="19" t="s">
        <v>32</v>
      </c>
      <c r="L468" s="19" t="s">
        <v>1134</v>
      </c>
      <c r="M468" s="19">
        <v>0</v>
      </c>
      <c r="N468" s="19">
        <v>859</v>
      </c>
      <c r="O468" s="19">
        <v>0.202923856613103</v>
      </c>
      <c r="P468" s="19" t="s">
        <v>1135</v>
      </c>
      <c r="Q468" s="19">
        <v>6.0675</v>
      </c>
      <c r="R468">
        <f t="shared" si="28"/>
        <v>8.59</v>
      </c>
      <c r="T468" s="15" t="s">
        <v>80</v>
      </c>
      <c r="U468" s="17"/>
      <c r="V468" s="16" t="str">
        <f t="shared" si="29"/>
        <v>EN_SPV_20_c01_LBN</v>
      </c>
      <c r="W468" s="12">
        <f t="shared" si="30"/>
        <v>859</v>
      </c>
      <c r="X468" s="11">
        <f t="shared" si="31"/>
        <v>859</v>
      </c>
      <c r="Y468" s="17">
        <v>3</v>
      </c>
      <c r="Z468" s="17"/>
      <c r="AC468" s="19" t="s">
        <v>1138</v>
      </c>
    </row>
    <row r="469" spans="2:29">
      <c r="B469" s="19" t="s">
        <v>26</v>
      </c>
      <c r="C469" s="19" t="s">
        <v>1140</v>
      </c>
      <c r="D469" s="19" t="s">
        <v>1141</v>
      </c>
      <c r="E469" s="19" t="s">
        <v>29</v>
      </c>
      <c r="F469" s="19" t="s">
        <v>30</v>
      </c>
      <c r="G469" s="19" t="s">
        <v>31</v>
      </c>
      <c r="J469" s="19" t="s">
        <v>1140</v>
      </c>
      <c r="K469" s="19" t="s">
        <v>32</v>
      </c>
      <c r="L469" s="19" t="s">
        <v>1142</v>
      </c>
      <c r="M469" s="19">
        <v>88.9549921786477</v>
      </c>
      <c r="N469" s="19">
        <v>1621</v>
      </c>
      <c r="O469" s="19">
        <v>0.157285050528517</v>
      </c>
      <c r="P469" s="19" t="s">
        <v>1143</v>
      </c>
      <c r="Q469" s="19">
        <v>12.9135</v>
      </c>
      <c r="R469">
        <f t="shared" si="28"/>
        <v>16.21</v>
      </c>
      <c r="T469" s="15" t="s">
        <v>54</v>
      </c>
      <c r="U469" s="17"/>
      <c r="V469" s="16" t="str">
        <f t="shared" si="29"/>
        <v>EN_SPV_16_c02_LBR</v>
      </c>
      <c r="W469" s="12">
        <f t="shared" si="30"/>
        <v>1621</v>
      </c>
      <c r="X469" s="11">
        <f t="shared" si="31"/>
        <v>1621</v>
      </c>
      <c r="Y469" s="17">
        <v>3</v>
      </c>
      <c r="Z469" s="17"/>
      <c r="AC469" s="19" t="s">
        <v>1140</v>
      </c>
    </row>
    <row r="470" spans="2:29">
      <c r="B470" s="19" t="s">
        <v>26</v>
      </c>
      <c r="C470" s="19" t="s">
        <v>1144</v>
      </c>
      <c r="D470" s="19" t="s">
        <v>1145</v>
      </c>
      <c r="E470" s="19" t="s">
        <v>29</v>
      </c>
      <c r="F470" s="19" t="s">
        <v>30</v>
      </c>
      <c r="G470" s="19" t="s">
        <v>31</v>
      </c>
      <c r="J470" s="19" t="s">
        <v>1144</v>
      </c>
      <c r="K470" s="19" t="s">
        <v>32</v>
      </c>
      <c r="L470" s="19" t="s">
        <v>1142</v>
      </c>
      <c r="M470" s="19">
        <v>101.208996203257</v>
      </c>
      <c r="N470" s="19">
        <v>1621</v>
      </c>
      <c r="O470" s="19">
        <v>0.159943327239488</v>
      </c>
      <c r="P470" s="19" t="s">
        <v>1143</v>
      </c>
      <c r="Q470" s="19">
        <v>0.41025</v>
      </c>
      <c r="R470">
        <f t="shared" si="28"/>
        <v>16.21</v>
      </c>
      <c r="T470" s="15" t="s">
        <v>54</v>
      </c>
      <c r="U470" s="17"/>
      <c r="V470" s="16" t="str">
        <f t="shared" si="29"/>
        <v>EN_SPV_16_c03_LBR</v>
      </c>
      <c r="W470" s="12">
        <f t="shared" si="30"/>
        <v>1621</v>
      </c>
      <c r="X470" s="11">
        <f t="shared" si="31"/>
        <v>1621</v>
      </c>
      <c r="Y470" s="17">
        <v>3</v>
      </c>
      <c r="Z470" s="17"/>
      <c r="AC470" s="19" t="s">
        <v>1144</v>
      </c>
    </row>
    <row r="471" spans="2:29">
      <c r="B471" s="19" t="s">
        <v>26</v>
      </c>
      <c r="C471" s="19" t="s">
        <v>1146</v>
      </c>
      <c r="D471" s="19" t="s">
        <v>1147</v>
      </c>
      <c r="E471" s="19" t="s">
        <v>29</v>
      </c>
      <c r="F471" s="19" t="s">
        <v>30</v>
      </c>
      <c r="G471" s="19" t="s">
        <v>31</v>
      </c>
      <c r="J471" s="19" t="s">
        <v>1146</v>
      </c>
      <c r="K471" s="19" t="s">
        <v>32</v>
      </c>
      <c r="L471" s="19" t="s">
        <v>1148</v>
      </c>
      <c r="M471" s="19">
        <v>138.878712278909</v>
      </c>
      <c r="N471" s="19">
        <v>1308</v>
      </c>
      <c r="O471" s="19">
        <v>0.216555418972224</v>
      </c>
      <c r="P471" s="19" t="s">
        <v>1149</v>
      </c>
      <c r="Q471" s="19">
        <v>657.108</v>
      </c>
      <c r="R471">
        <f t="shared" si="28"/>
        <v>13.08</v>
      </c>
      <c r="T471" s="15" t="s">
        <v>80</v>
      </c>
      <c r="U471" s="17"/>
      <c r="V471" s="16" t="str">
        <f t="shared" si="29"/>
        <v>EN_SPV_22_c04_LBY</v>
      </c>
      <c r="W471" s="12">
        <f t="shared" si="30"/>
        <v>1308</v>
      </c>
      <c r="X471" s="11">
        <f t="shared" si="31"/>
        <v>1308</v>
      </c>
      <c r="Y471" s="17">
        <v>3</v>
      </c>
      <c r="Z471" s="17"/>
      <c r="AC471" s="19" t="s">
        <v>1146</v>
      </c>
    </row>
    <row r="472" spans="2:29">
      <c r="B472" s="19" t="s">
        <v>26</v>
      </c>
      <c r="C472" s="19" t="s">
        <v>1150</v>
      </c>
      <c r="D472" s="19" t="s">
        <v>1151</v>
      </c>
      <c r="E472" s="19" t="s">
        <v>29</v>
      </c>
      <c r="F472" s="19" t="s">
        <v>30</v>
      </c>
      <c r="G472" s="19" t="s">
        <v>31</v>
      </c>
      <c r="J472" s="19" t="s">
        <v>1150</v>
      </c>
      <c r="K472" s="19" t="s">
        <v>32</v>
      </c>
      <c r="L472" s="19" t="s">
        <v>1148</v>
      </c>
      <c r="M472" s="19">
        <v>138.878712278909</v>
      </c>
      <c r="N472" s="19">
        <v>1308</v>
      </c>
      <c r="O472" s="19">
        <v>0.226</v>
      </c>
      <c r="P472" s="19" t="s">
        <v>1149</v>
      </c>
      <c r="Q472" s="19">
        <v>2.75475</v>
      </c>
      <c r="R472">
        <f t="shared" si="28"/>
        <v>13.08</v>
      </c>
      <c r="T472" s="15" t="s">
        <v>80</v>
      </c>
      <c r="U472" s="17"/>
      <c r="V472" s="16" t="str">
        <f t="shared" si="29"/>
        <v>EN_SPV_23_c04_LBY</v>
      </c>
      <c r="W472" s="12">
        <f t="shared" si="30"/>
        <v>1308</v>
      </c>
      <c r="X472" s="11">
        <f t="shared" si="31"/>
        <v>1308</v>
      </c>
      <c r="Y472" s="17">
        <v>3</v>
      </c>
      <c r="Z472" s="17"/>
      <c r="AC472" s="19" t="s">
        <v>1150</v>
      </c>
    </row>
    <row r="473" spans="2:29">
      <c r="B473" s="19" t="s">
        <v>26</v>
      </c>
      <c r="C473" s="19" t="s">
        <v>1152</v>
      </c>
      <c r="D473" s="19" t="s">
        <v>1153</v>
      </c>
      <c r="E473" s="19" t="s">
        <v>29</v>
      </c>
      <c r="F473" s="19" t="s">
        <v>30</v>
      </c>
      <c r="G473" s="19" t="s">
        <v>31</v>
      </c>
      <c r="J473" s="19" t="s">
        <v>1152</v>
      </c>
      <c r="K473" s="19" t="s">
        <v>32</v>
      </c>
      <c r="L473" s="19" t="s">
        <v>1154</v>
      </c>
      <c r="M473" s="19">
        <v>0</v>
      </c>
      <c r="N473" s="19">
        <v>1443</v>
      </c>
      <c r="O473" s="19">
        <v>0.160645427728614</v>
      </c>
      <c r="P473" s="19" t="s">
        <v>1155</v>
      </c>
      <c r="Q473" s="19">
        <v>1.27125</v>
      </c>
      <c r="R473">
        <f t="shared" si="28"/>
        <v>14.43</v>
      </c>
      <c r="T473" s="15" t="s">
        <v>35</v>
      </c>
      <c r="U473" s="17"/>
      <c r="V473" s="16" t="str">
        <f t="shared" si="29"/>
        <v>EN_SPV_16_c01_LKA</v>
      </c>
      <c r="W473" s="12">
        <f t="shared" si="30"/>
        <v>1443</v>
      </c>
      <c r="X473" s="11">
        <f t="shared" si="31"/>
        <v>1443</v>
      </c>
      <c r="Y473" s="17">
        <v>3</v>
      </c>
      <c r="Z473" s="17"/>
      <c r="AC473" s="19" t="s">
        <v>1152</v>
      </c>
    </row>
    <row r="474" spans="2:29">
      <c r="B474" s="19" t="s">
        <v>26</v>
      </c>
      <c r="C474" s="19" t="s">
        <v>1156</v>
      </c>
      <c r="D474" s="19" t="s">
        <v>1157</v>
      </c>
      <c r="E474" s="19" t="s">
        <v>29</v>
      </c>
      <c r="F474" s="19" t="s">
        <v>30</v>
      </c>
      <c r="G474" s="19" t="s">
        <v>31</v>
      </c>
      <c r="J474" s="19" t="s">
        <v>1156</v>
      </c>
      <c r="K474" s="19" t="s">
        <v>32</v>
      </c>
      <c r="L474" s="19" t="s">
        <v>1154</v>
      </c>
      <c r="M474" s="19">
        <v>88.9549921786477</v>
      </c>
      <c r="N474" s="19">
        <v>1443</v>
      </c>
      <c r="O474" s="19">
        <v>0.159908932714617</v>
      </c>
      <c r="P474" s="19" t="s">
        <v>1155</v>
      </c>
      <c r="Q474" s="19">
        <v>1.293</v>
      </c>
      <c r="R474">
        <f t="shared" si="28"/>
        <v>14.43</v>
      </c>
      <c r="T474" s="15" t="s">
        <v>35</v>
      </c>
      <c r="U474" s="17"/>
      <c r="V474" s="16" t="str">
        <f t="shared" si="29"/>
        <v>EN_SPV_16_c02_LKA</v>
      </c>
      <c r="W474" s="12">
        <f t="shared" si="30"/>
        <v>1443</v>
      </c>
      <c r="X474" s="11">
        <f t="shared" si="31"/>
        <v>1443</v>
      </c>
      <c r="Y474" s="17">
        <v>3</v>
      </c>
      <c r="Z474" s="17"/>
      <c r="AC474" s="19" t="s">
        <v>1156</v>
      </c>
    </row>
    <row r="475" spans="2:29">
      <c r="B475" s="19" t="s">
        <v>26</v>
      </c>
      <c r="C475" s="19" t="s">
        <v>1158</v>
      </c>
      <c r="D475" s="19" t="s">
        <v>1159</v>
      </c>
      <c r="E475" s="19" t="s">
        <v>29</v>
      </c>
      <c r="F475" s="19" t="s">
        <v>30</v>
      </c>
      <c r="G475" s="19" t="s">
        <v>31</v>
      </c>
      <c r="J475" s="19" t="s">
        <v>1158</v>
      </c>
      <c r="K475" s="19" t="s">
        <v>32</v>
      </c>
      <c r="L475" s="19" t="s">
        <v>1154</v>
      </c>
      <c r="M475" s="19">
        <v>0</v>
      </c>
      <c r="N475" s="19">
        <v>1443</v>
      </c>
      <c r="O475" s="19">
        <v>0.167600538096484</v>
      </c>
      <c r="P475" s="19" t="s">
        <v>1155</v>
      </c>
      <c r="Q475" s="19">
        <v>20.07075</v>
      </c>
      <c r="R475">
        <f t="shared" si="28"/>
        <v>14.43</v>
      </c>
      <c r="T475" s="15" t="s">
        <v>35</v>
      </c>
      <c r="U475" s="17"/>
      <c r="V475" s="16" t="str">
        <f t="shared" si="29"/>
        <v>EN_SPV_17_c01_LKA</v>
      </c>
      <c r="W475" s="12">
        <f t="shared" si="30"/>
        <v>1443</v>
      </c>
      <c r="X475" s="11">
        <f t="shared" si="31"/>
        <v>1443</v>
      </c>
      <c r="Y475" s="17">
        <v>3</v>
      </c>
      <c r="Z475" s="17"/>
      <c r="AC475" s="19" t="s">
        <v>1158</v>
      </c>
    </row>
    <row r="476" spans="2:29">
      <c r="B476" s="19" t="s">
        <v>26</v>
      </c>
      <c r="C476" s="19" t="s">
        <v>1160</v>
      </c>
      <c r="D476" s="19" t="s">
        <v>1161</v>
      </c>
      <c r="E476" s="19" t="s">
        <v>29</v>
      </c>
      <c r="F476" s="19" t="s">
        <v>30</v>
      </c>
      <c r="G476" s="19" t="s">
        <v>31</v>
      </c>
      <c r="J476" s="19" t="s">
        <v>1160</v>
      </c>
      <c r="K476" s="19" t="s">
        <v>32</v>
      </c>
      <c r="L476" s="19" t="s">
        <v>1154</v>
      </c>
      <c r="M476" s="19">
        <v>88.9549921786477</v>
      </c>
      <c r="N476" s="19">
        <v>1443</v>
      </c>
      <c r="O476" s="19">
        <v>0.16728596440035</v>
      </c>
      <c r="P476" s="19" t="s">
        <v>1155</v>
      </c>
      <c r="Q476" s="19">
        <v>2.57025</v>
      </c>
      <c r="R476">
        <f t="shared" si="28"/>
        <v>14.43</v>
      </c>
      <c r="T476" s="15" t="s">
        <v>35</v>
      </c>
      <c r="U476" s="17"/>
      <c r="V476" s="16" t="str">
        <f t="shared" si="29"/>
        <v>EN_SPV_17_c02_LKA</v>
      </c>
      <c r="W476" s="12">
        <f t="shared" si="30"/>
        <v>1443</v>
      </c>
      <c r="X476" s="11">
        <f t="shared" si="31"/>
        <v>1443</v>
      </c>
      <c r="Y476" s="17">
        <v>3</v>
      </c>
      <c r="Z476" s="17"/>
      <c r="AC476" s="19" t="s">
        <v>1160</v>
      </c>
    </row>
    <row r="477" spans="2:29">
      <c r="B477" s="19" t="s">
        <v>26</v>
      </c>
      <c r="C477" s="19" t="s">
        <v>1162</v>
      </c>
      <c r="D477" s="19" t="s">
        <v>1163</v>
      </c>
      <c r="E477" s="19" t="s">
        <v>29</v>
      </c>
      <c r="F477" s="19" t="s">
        <v>30</v>
      </c>
      <c r="G477" s="19" t="s">
        <v>31</v>
      </c>
      <c r="J477" s="19" t="s">
        <v>1162</v>
      </c>
      <c r="K477" s="19" t="s">
        <v>32</v>
      </c>
      <c r="L477" s="19" t="s">
        <v>1154</v>
      </c>
      <c r="M477" s="19">
        <v>0</v>
      </c>
      <c r="N477" s="19">
        <v>1443</v>
      </c>
      <c r="O477" s="19">
        <v>0.176</v>
      </c>
      <c r="P477" s="19" t="s">
        <v>1155</v>
      </c>
      <c r="Q477" s="19">
        <v>0.225</v>
      </c>
      <c r="R477">
        <f t="shared" si="28"/>
        <v>14.43</v>
      </c>
      <c r="T477" s="15" t="s">
        <v>35</v>
      </c>
      <c r="U477" s="17"/>
      <c r="V477" s="16" t="str">
        <f t="shared" si="29"/>
        <v>EN_SPV_18_c01_LKA</v>
      </c>
      <c r="W477" s="12">
        <f t="shared" si="30"/>
        <v>1443</v>
      </c>
      <c r="X477" s="11">
        <f t="shared" si="31"/>
        <v>1443</v>
      </c>
      <c r="Y477" s="17">
        <v>3</v>
      </c>
      <c r="Z477" s="17"/>
      <c r="AC477" s="19" t="s">
        <v>1162</v>
      </c>
    </row>
    <row r="478" spans="2:29">
      <c r="B478" s="19" t="s">
        <v>26</v>
      </c>
      <c r="C478" s="19" t="s">
        <v>1164</v>
      </c>
      <c r="D478" s="19" t="s">
        <v>1165</v>
      </c>
      <c r="E478" s="19" t="s">
        <v>29</v>
      </c>
      <c r="F478" s="19" t="s">
        <v>30</v>
      </c>
      <c r="G478" s="19" t="s">
        <v>31</v>
      </c>
      <c r="J478" s="19" t="s">
        <v>1164</v>
      </c>
      <c r="K478" s="19" t="s">
        <v>32</v>
      </c>
      <c r="L478" s="19" t="s">
        <v>1166</v>
      </c>
      <c r="M478" s="19">
        <v>0</v>
      </c>
      <c r="N478" s="19">
        <v>1314</v>
      </c>
      <c r="O478" s="19">
        <v>0.199628703408729</v>
      </c>
      <c r="P478" s="19" t="s">
        <v>1167</v>
      </c>
      <c r="Q478" s="19">
        <v>4.7085</v>
      </c>
      <c r="R478">
        <f t="shared" si="28"/>
        <v>13.14</v>
      </c>
      <c r="T478" s="15" t="s">
        <v>54</v>
      </c>
      <c r="U478" s="17"/>
      <c r="V478" s="16" t="str">
        <f t="shared" si="29"/>
        <v>EN_SPV_20_c01_LSO</v>
      </c>
      <c r="W478" s="12">
        <f t="shared" si="30"/>
        <v>1314</v>
      </c>
      <c r="X478" s="11">
        <f t="shared" si="31"/>
        <v>1314</v>
      </c>
      <c r="Y478" s="17">
        <v>3</v>
      </c>
      <c r="Z478" s="17"/>
      <c r="AC478" s="19" t="s">
        <v>1164</v>
      </c>
    </row>
    <row r="479" spans="2:29">
      <c r="B479" s="19" t="s">
        <v>26</v>
      </c>
      <c r="C479" s="19" t="s">
        <v>1168</v>
      </c>
      <c r="D479" s="19" t="s">
        <v>1169</v>
      </c>
      <c r="E479" s="19" t="s">
        <v>29</v>
      </c>
      <c r="F479" s="19" t="s">
        <v>30</v>
      </c>
      <c r="G479" s="19" t="s">
        <v>31</v>
      </c>
      <c r="J479" s="19" t="s">
        <v>1168</v>
      </c>
      <c r="K479" s="19" t="s">
        <v>32</v>
      </c>
      <c r="L479" s="19" t="s">
        <v>1170</v>
      </c>
      <c r="M479" s="19">
        <v>101.208996203257</v>
      </c>
      <c r="N479" s="19">
        <v>1045</v>
      </c>
      <c r="O479" s="19">
        <v>0.112659772398844</v>
      </c>
      <c r="P479" s="19" t="s">
        <v>1171</v>
      </c>
      <c r="Q479" s="19">
        <v>16.608</v>
      </c>
      <c r="R479">
        <f t="shared" si="28"/>
        <v>10.45</v>
      </c>
      <c r="T479" s="15" t="s">
        <v>69</v>
      </c>
      <c r="U479" s="17"/>
      <c r="V479" s="16" t="str">
        <f t="shared" si="29"/>
        <v>EN_SPV_11_c03_LTU</v>
      </c>
      <c r="W479" s="12">
        <f t="shared" si="30"/>
        <v>1045</v>
      </c>
      <c r="X479" s="11">
        <f t="shared" si="31"/>
        <v>1045</v>
      </c>
      <c r="Y479" s="17">
        <v>3</v>
      </c>
      <c r="Z479" s="17"/>
      <c r="AC479" s="19" t="s">
        <v>1168</v>
      </c>
    </row>
    <row r="480" spans="2:29">
      <c r="B480" s="19" t="s">
        <v>26</v>
      </c>
      <c r="C480" s="19" t="s">
        <v>1172</v>
      </c>
      <c r="D480" s="19" t="s">
        <v>1173</v>
      </c>
      <c r="E480" s="19" t="s">
        <v>29</v>
      </c>
      <c r="F480" s="19" t="s">
        <v>30</v>
      </c>
      <c r="G480" s="19" t="s">
        <v>31</v>
      </c>
      <c r="J480" s="19" t="s">
        <v>1172</v>
      </c>
      <c r="K480" s="19" t="s">
        <v>32</v>
      </c>
      <c r="L480" s="19" t="s">
        <v>1170</v>
      </c>
      <c r="M480" s="19">
        <v>101.208996203257</v>
      </c>
      <c r="N480" s="19">
        <v>1045</v>
      </c>
      <c r="O480" s="19">
        <v>0.115</v>
      </c>
      <c r="P480" s="19" t="s">
        <v>1171</v>
      </c>
      <c r="Q480" s="19">
        <v>8.268</v>
      </c>
      <c r="R480">
        <f t="shared" si="28"/>
        <v>10.45</v>
      </c>
      <c r="T480" s="15" t="s">
        <v>69</v>
      </c>
      <c r="U480" s="17"/>
      <c r="V480" s="16" t="str">
        <f t="shared" si="29"/>
        <v>EN_SPV_12_c03_LTU</v>
      </c>
      <c r="W480" s="12">
        <f t="shared" si="30"/>
        <v>1045</v>
      </c>
      <c r="X480" s="11">
        <f t="shared" si="31"/>
        <v>1045</v>
      </c>
      <c r="Y480" s="17">
        <v>3</v>
      </c>
      <c r="Z480" s="17"/>
      <c r="AC480" s="19" t="s">
        <v>1172</v>
      </c>
    </row>
    <row r="481" spans="2:29">
      <c r="B481" s="19" t="s">
        <v>26</v>
      </c>
      <c r="C481" s="19" t="s">
        <v>1174</v>
      </c>
      <c r="D481" s="19" t="s">
        <v>1175</v>
      </c>
      <c r="E481" s="19" t="s">
        <v>29</v>
      </c>
      <c r="F481" s="19" t="s">
        <v>30</v>
      </c>
      <c r="G481" s="19" t="s">
        <v>31</v>
      </c>
      <c r="J481" s="19" t="s">
        <v>1174</v>
      </c>
      <c r="K481" s="19" t="s">
        <v>32</v>
      </c>
      <c r="L481" s="19" t="s">
        <v>1176</v>
      </c>
      <c r="M481" s="19">
        <v>101.208996203257</v>
      </c>
      <c r="N481" s="19">
        <v>958</v>
      </c>
      <c r="O481" s="19">
        <v>0.116</v>
      </c>
      <c r="P481" s="19" t="s">
        <v>1177</v>
      </c>
      <c r="Q481" s="19">
        <v>5.54475</v>
      </c>
      <c r="R481">
        <f t="shared" si="28"/>
        <v>9.58</v>
      </c>
      <c r="T481" s="15" t="s">
        <v>69</v>
      </c>
      <c r="U481" s="17"/>
      <c r="V481" s="16" t="str">
        <f t="shared" si="29"/>
        <v>EN_SPV_12_c03_LUX</v>
      </c>
      <c r="W481" s="12">
        <f t="shared" si="30"/>
        <v>958</v>
      </c>
      <c r="X481" s="11">
        <f t="shared" si="31"/>
        <v>958</v>
      </c>
      <c r="Y481" s="17">
        <v>3</v>
      </c>
      <c r="Z481" s="17"/>
      <c r="AC481" s="19" t="s">
        <v>1174</v>
      </c>
    </row>
    <row r="482" spans="2:29">
      <c r="B482" s="19" t="s">
        <v>26</v>
      </c>
      <c r="C482" s="19" t="s">
        <v>1178</v>
      </c>
      <c r="D482" s="19" t="s">
        <v>1179</v>
      </c>
      <c r="E482" s="19" t="s">
        <v>29</v>
      </c>
      <c r="F482" s="19" t="s">
        <v>30</v>
      </c>
      <c r="G482" s="19" t="s">
        <v>31</v>
      </c>
      <c r="J482" s="19" t="s">
        <v>1178</v>
      </c>
      <c r="K482" s="19" t="s">
        <v>32</v>
      </c>
      <c r="L482" s="19" t="s">
        <v>1180</v>
      </c>
      <c r="M482" s="19">
        <v>101.208996203257</v>
      </c>
      <c r="N482" s="19">
        <v>1045</v>
      </c>
      <c r="O482" s="19">
        <v>0.111931135574967</v>
      </c>
      <c r="P482" s="19" t="s">
        <v>1181</v>
      </c>
      <c r="Q482" s="19">
        <v>12.5355</v>
      </c>
      <c r="R482">
        <f t="shared" si="28"/>
        <v>10.45</v>
      </c>
      <c r="T482" s="15" t="s">
        <v>69</v>
      </c>
      <c r="U482" s="17"/>
      <c r="V482" s="16" t="str">
        <f t="shared" si="29"/>
        <v>EN_SPV_11_c03_LVA</v>
      </c>
      <c r="W482" s="12">
        <f t="shared" si="30"/>
        <v>1045</v>
      </c>
      <c r="X482" s="11">
        <f t="shared" si="31"/>
        <v>1045</v>
      </c>
      <c r="Y482" s="17">
        <v>3</v>
      </c>
      <c r="Z482" s="17"/>
      <c r="AC482" s="19" t="s">
        <v>1178</v>
      </c>
    </row>
    <row r="483" spans="2:29">
      <c r="B483" s="19" t="s">
        <v>26</v>
      </c>
      <c r="C483" s="19" t="s">
        <v>1182</v>
      </c>
      <c r="D483" s="19" t="s">
        <v>1183</v>
      </c>
      <c r="E483" s="19" t="s">
        <v>29</v>
      </c>
      <c r="F483" s="19" t="s">
        <v>30</v>
      </c>
      <c r="G483" s="19" t="s">
        <v>31</v>
      </c>
      <c r="J483" s="19" t="s">
        <v>1182</v>
      </c>
      <c r="K483" s="19" t="s">
        <v>32</v>
      </c>
      <c r="L483" s="19" t="s">
        <v>1180</v>
      </c>
      <c r="M483" s="19">
        <v>101.208996203257</v>
      </c>
      <c r="N483" s="19">
        <v>1045</v>
      </c>
      <c r="O483" s="19">
        <v>0.115519230769231</v>
      </c>
      <c r="P483" s="19" t="s">
        <v>1181</v>
      </c>
      <c r="Q483" s="19">
        <v>0.936</v>
      </c>
      <c r="R483">
        <f t="shared" si="28"/>
        <v>10.45</v>
      </c>
      <c r="T483" s="15" t="s">
        <v>69</v>
      </c>
      <c r="U483" s="17"/>
      <c r="V483" s="16" t="str">
        <f t="shared" si="29"/>
        <v>EN_SPV_12_c03_LVA</v>
      </c>
      <c r="W483" s="12">
        <f t="shared" si="30"/>
        <v>1045</v>
      </c>
      <c r="X483" s="11">
        <f t="shared" si="31"/>
        <v>1045</v>
      </c>
      <c r="Y483" s="17">
        <v>3</v>
      </c>
      <c r="Z483" s="17"/>
      <c r="AC483" s="19" t="s">
        <v>1182</v>
      </c>
    </row>
    <row r="484" spans="2:29">
      <c r="B484" s="19" t="s">
        <v>26</v>
      </c>
      <c r="C484" s="19" t="s">
        <v>1184</v>
      </c>
      <c r="D484" s="19" t="s">
        <v>1185</v>
      </c>
      <c r="E484" s="19" t="s">
        <v>29</v>
      </c>
      <c r="F484" s="19" t="s">
        <v>30</v>
      </c>
      <c r="G484" s="19" t="s">
        <v>31</v>
      </c>
      <c r="J484" s="19" t="s">
        <v>1184</v>
      </c>
      <c r="K484" s="19" t="s">
        <v>32</v>
      </c>
      <c r="L484" s="19" t="s">
        <v>1186</v>
      </c>
      <c r="M484" s="19">
        <v>101.208996203257</v>
      </c>
      <c r="N484" s="19">
        <v>1308</v>
      </c>
      <c r="O484" s="19">
        <v>0.203318120076066</v>
      </c>
      <c r="P484" s="19" t="s">
        <v>1187</v>
      </c>
      <c r="Q484" s="19">
        <v>16.5645</v>
      </c>
      <c r="R484">
        <f t="shared" si="28"/>
        <v>13.08</v>
      </c>
      <c r="T484" s="15" t="s">
        <v>80</v>
      </c>
      <c r="U484" s="17"/>
      <c r="V484" s="16" t="str">
        <f t="shared" si="29"/>
        <v>EN_SPV_20_c03_MAR</v>
      </c>
      <c r="W484" s="12">
        <f t="shared" si="30"/>
        <v>1308</v>
      </c>
      <c r="X484" s="11">
        <f t="shared" si="31"/>
        <v>1308</v>
      </c>
      <c r="Y484" s="17">
        <v>3</v>
      </c>
      <c r="Z484" s="17"/>
      <c r="AC484" s="19" t="s">
        <v>1184</v>
      </c>
    </row>
    <row r="485" spans="2:29">
      <c r="B485" s="19" t="s">
        <v>26</v>
      </c>
      <c r="C485" s="19" t="s">
        <v>1188</v>
      </c>
      <c r="D485" s="19" t="s">
        <v>1189</v>
      </c>
      <c r="E485" s="19" t="s">
        <v>29</v>
      </c>
      <c r="F485" s="19" t="s">
        <v>30</v>
      </c>
      <c r="G485" s="19" t="s">
        <v>31</v>
      </c>
      <c r="J485" s="19" t="s">
        <v>1188</v>
      </c>
      <c r="K485" s="19" t="s">
        <v>32</v>
      </c>
      <c r="L485" s="19" t="s">
        <v>1186</v>
      </c>
      <c r="M485" s="19">
        <v>0</v>
      </c>
      <c r="N485" s="19">
        <v>1308</v>
      </c>
      <c r="O485" s="19">
        <v>0.207098428629792</v>
      </c>
      <c r="P485" s="19" t="s">
        <v>1187</v>
      </c>
      <c r="Q485" s="19">
        <v>122.99775</v>
      </c>
      <c r="R485">
        <f t="shared" si="28"/>
        <v>13.08</v>
      </c>
      <c r="T485" s="15" t="s">
        <v>80</v>
      </c>
      <c r="U485" s="17"/>
      <c r="V485" s="16" t="str">
        <f t="shared" si="29"/>
        <v>EN_SPV_21_c01_MAR</v>
      </c>
      <c r="W485" s="12">
        <f t="shared" si="30"/>
        <v>1308</v>
      </c>
      <c r="X485" s="11">
        <f t="shared" si="31"/>
        <v>1308</v>
      </c>
      <c r="Y485" s="17">
        <v>3</v>
      </c>
      <c r="Z485" s="17"/>
      <c r="AC485" s="19" t="s">
        <v>1188</v>
      </c>
    </row>
    <row r="486" spans="2:29">
      <c r="B486" s="19" t="s">
        <v>26</v>
      </c>
      <c r="C486" s="19" t="s">
        <v>1190</v>
      </c>
      <c r="D486" s="19" t="s">
        <v>1191</v>
      </c>
      <c r="E486" s="19" t="s">
        <v>29</v>
      </c>
      <c r="F486" s="19" t="s">
        <v>30</v>
      </c>
      <c r="G486" s="19" t="s">
        <v>31</v>
      </c>
      <c r="J486" s="19" t="s">
        <v>1190</v>
      </c>
      <c r="K486" s="19" t="s">
        <v>32</v>
      </c>
      <c r="L486" s="19" t="s">
        <v>1186</v>
      </c>
      <c r="M486" s="19">
        <v>88.9549921786477</v>
      </c>
      <c r="N486" s="19">
        <v>1308</v>
      </c>
      <c r="O486" s="19">
        <v>0.206026093860647</v>
      </c>
      <c r="P486" s="19" t="s">
        <v>1187</v>
      </c>
      <c r="Q486" s="19">
        <v>34.95075</v>
      </c>
      <c r="R486">
        <f t="shared" si="28"/>
        <v>13.08</v>
      </c>
      <c r="T486" s="15" t="s">
        <v>80</v>
      </c>
      <c r="U486" s="17"/>
      <c r="V486" s="16" t="str">
        <f t="shared" si="29"/>
        <v>EN_SPV_21_c02_MAR</v>
      </c>
      <c r="W486" s="12">
        <f t="shared" si="30"/>
        <v>1308</v>
      </c>
      <c r="X486" s="11">
        <f t="shared" si="31"/>
        <v>1308</v>
      </c>
      <c r="Y486" s="17">
        <v>3</v>
      </c>
      <c r="Z486" s="17"/>
      <c r="AC486" s="19" t="s">
        <v>1190</v>
      </c>
    </row>
    <row r="487" spans="2:29">
      <c r="B487" s="19" t="s">
        <v>26</v>
      </c>
      <c r="C487" s="19" t="s">
        <v>1192</v>
      </c>
      <c r="D487" s="19" t="s">
        <v>1193</v>
      </c>
      <c r="E487" s="19" t="s">
        <v>29</v>
      </c>
      <c r="F487" s="19" t="s">
        <v>30</v>
      </c>
      <c r="G487" s="19" t="s">
        <v>31</v>
      </c>
      <c r="J487" s="19" t="s">
        <v>1192</v>
      </c>
      <c r="K487" s="19" t="s">
        <v>32</v>
      </c>
      <c r="L487" s="19" t="s">
        <v>1186</v>
      </c>
      <c r="M487" s="19">
        <v>101.208996203257</v>
      </c>
      <c r="N487" s="19">
        <v>1308</v>
      </c>
      <c r="O487" s="19">
        <v>0.207412416356877</v>
      </c>
      <c r="P487" s="19" t="s">
        <v>1187</v>
      </c>
      <c r="Q487" s="19">
        <v>30.2625</v>
      </c>
      <c r="R487">
        <f t="shared" si="28"/>
        <v>13.08</v>
      </c>
      <c r="T487" s="15" t="s">
        <v>80</v>
      </c>
      <c r="U487" s="17"/>
      <c r="V487" s="16" t="str">
        <f t="shared" si="29"/>
        <v>EN_SPV_21_c03_MAR</v>
      </c>
      <c r="W487" s="12">
        <f t="shared" si="30"/>
        <v>1308</v>
      </c>
      <c r="X487" s="11">
        <f t="shared" si="31"/>
        <v>1308</v>
      </c>
      <c r="Y487" s="17">
        <v>3</v>
      </c>
      <c r="Z487" s="17"/>
      <c r="AC487" s="19" t="s">
        <v>1192</v>
      </c>
    </row>
    <row r="488" spans="2:29">
      <c r="B488" s="19" t="s">
        <v>26</v>
      </c>
      <c r="C488" s="19" t="s">
        <v>1194</v>
      </c>
      <c r="D488" s="19" t="s">
        <v>1195</v>
      </c>
      <c r="E488" s="19" t="s">
        <v>29</v>
      </c>
      <c r="F488" s="19" t="s">
        <v>30</v>
      </c>
      <c r="G488" s="19" t="s">
        <v>31</v>
      </c>
      <c r="J488" s="19" t="s">
        <v>1194</v>
      </c>
      <c r="K488" s="19" t="s">
        <v>32</v>
      </c>
      <c r="L488" s="19" t="s">
        <v>1186</v>
      </c>
      <c r="M488" s="19">
        <v>0</v>
      </c>
      <c r="N488" s="19">
        <v>1308</v>
      </c>
      <c r="O488" s="19">
        <v>0.215435404742437</v>
      </c>
      <c r="P488" s="19" t="s">
        <v>1187</v>
      </c>
      <c r="Q488" s="19">
        <v>1.8345</v>
      </c>
      <c r="R488">
        <f t="shared" si="28"/>
        <v>13.08</v>
      </c>
      <c r="T488" s="15" t="s">
        <v>80</v>
      </c>
      <c r="U488" s="17"/>
      <c r="V488" s="16" t="str">
        <f t="shared" si="29"/>
        <v>EN_SPV_22_c01_MAR</v>
      </c>
      <c r="W488" s="12">
        <f t="shared" si="30"/>
        <v>1308</v>
      </c>
      <c r="X488" s="11">
        <f t="shared" si="31"/>
        <v>1308</v>
      </c>
      <c r="Y488" s="17">
        <v>3</v>
      </c>
      <c r="Z488" s="17"/>
      <c r="AC488" s="19" t="s">
        <v>1194</v>
      </c>
    </row>
    <row r="489" spans="2:29">
      <c r="B489" s="19" t="s">
        <v>26</v>
      </c>
      <c r="C489" s="19" t="s">
        <v>1196</v>
      </c>
      <c r="D489" s="19" t="s">
        <v>1197</v>
      </c>
      <c r="E489" s="19" t="s">
        <v>29</v>
      </c>
      <c r="F489" s="19" t="s">
        <v>30</v>
      </c>
      <c r="G489" s="19" t="s">
        <v>31</v>
      </c>
      <c r="J489" s="19" t="s">
        <v>1196</v>
      </c>
      <c r="K489" s="19" t="s">
        <v>32</v>
      </c>
      <c r="L489" s="19" t="s">
        <v>1198</v>
      </c>
      <c r="M489" s="19">
        <v>88.9549921786477</v>
      </c>
      <c r="N489" s="19">
        <v>974</v>
      </c>
      <c r="O489" s="19">
        <v>0.138654823664185</v>
      </c>
      <c r="P489" s="19" t="s">
        <v>1199</v>
      </c>
      <c r="Q489" s="19">
        <v>45.82875</v>
      </c>
      <c r="R489">
        <f t="shared" si="28"/>
        <v>9.74</v>
      </c>
      <c r="T489" s="15" t="s">
        <v>112</v>
      </c>
      <c r="U489" s="17"/>
      <c r="V489" s="16" t="str">
        <f t="shared" si="29"/>
        <v>EN_SPV_14_c02_MDA</v>
      </c>
      <c r="W489" s="12">
        <f t="shared" si="30"/>
        <v>974</v>
      </c>
      <c r="X489" s="11">
        <f t="shared" si="31"/>
        <v>974</v>
      </c>
      <c r="Y489" s="17">
        <v>3</v>
      </c>
      <c r="Z489" s="17"/>
      <c r="AC489" s="19" t="s">
        <v>1196</v>
      </c>
    </row>
    <row r="490" spans="2:29">
      <c r="B490" s="19" t="s">
        <v>26</v>
      </c>
      <c r="C490" s="19" t="s">
        <v>1200</v>
      </c>
      <c r="D490" s="19" t="s">
        <v>1201</v>
      </c>
      <c r="E490" s="19" t="s">
        <v>29</v>
      </c>
      <c r="F490" s="19" t="s">
        <v>30</v>
      </c>
      <c r="G490" s="19" t="s">
        <v>31</v>
      </c>
      <c r="J490" s="19" t="s">
        <v>1200</v>
      </c>
      <c r="K490" s="19" t="s">
        <v>32</v>
      </c>
      <c r="L490" s="19" t="s">
        <v>1202</v>
      </c>
      <c r="M490" s="19">
        <v>138.878712278909</v>
      </c>
      <c r="N490" s="19">
        <v>1420</v>
      </c>
      <c r="O490" s="19">
        <v>0.201425483121986</v>
      </c>
      <c r="P490" s="19" t="s">
        <v>1203</v>
      </c>
      <c r="Q490" s="19">
        <v>104.98125</v>
      </c>
      <c r="R490">
        <f t="shared" si="28"/>
        <v>14.2</v>
      </c>
      <c r="T490" s="15" t="s">
        <v>54</v>
      </c>
      <c r="U490" s="17"/>
      <c r="V490" s="16" t="str">
        <f t="shared" si="29"/>
        <v>EN_SPV_20_c04_MDG</v>
      </c>
      <c r="W490" s="12">
        <f t="shared" si="30"/>
        <v>1420</v>
      </c>
      <c r="X490" s="11">
        <f t="shared" si="31"/>
        <v>1420</v>
      </c>
      <c r="Y490" s="17">
        <v>3</v>
      </c>
      <c r="Z490" s="17"/>
      <c r="AC490" s="19" t="s">
        <v>1200</v>
      </c>
    </row>
    <row r="491" spans="2:29">
      <c r="B491" s="19" t="s">
        <v>26</v>
      </c>
      <c r="C491" s="19" t="s">
        <v>1204</v>
      </c>
      <c r="D491" s="19" t="s">
        <v>1205</v>
      </c>
      <c r="E491" s="19" t="s">
        <v>29</v>
      </c>
      <c r="F491" s="19" t="s">
        <v>30</v>
      </c>
      <c r="G491" s="19" t="s">
        <v>31</v>
      </c>
      <c r="J491" s="19" t="s">
        <v>1204</v>
      </c>
      <c r="K491" s="19" t="s">
        <v>32</v>
      </c>
      <c r="L491" s="19" t="s">
        <v>1202</v>
      </c>
      <c r="M491" s="19">
        <v>101.208996203257</v>
      </c>
      <c r="N491" s="19">
        <v>1420</v>
      </c>
      <c r="O491" s="19">
        <v>0.20520950778292</v>
      </c>
      <c r="P491" s="19" t="s">
        <v>1203</v>
      </c>
      <c r="Q491" s="19">
        <v>1.78275</v>
      </c>
      <c r="R491">
        <f t="shared" si="28"/>
        <v>14.2</v>
      </c>
      <c r="T491" s="15" t="s">
        <v>54</v>
      </c>
      <c r="U491" s="17"/>
      <c r="V491" s="16" t="str">
        <f t="shared" si="29"/>
        <v>EN_SPV_21_c03_MDG</v>
      </c>
      <c r="W491" s="12">
        <f t="shared" si="30"/>
        <v>1420</v>
      </c>
      <c r="X491" s="11">
        <f t="shared" si="31"/>
        <v>1420</v>
      </c>
      <c r="Y491" s="17">
        <v>3</v>
      </c>
      <c r="Z491" s="17"/>
      <c r="AC491" s="19" t="s">
        <v>1204</v>
      </c>
    </row>
    <row r="492" spans="2:29">
      <c r="B492" s="19" t="s">
        <v>26</v>
      </c>
      <c r="C492" s="19" t="s">
        <v>1206</v>
      </c>
      <c r="D492" s="19" t="s">
        <v>1207</v>
      </c>
      <c r="E492" s="19" t="s">
        <v>29</v>
      </c>
      <c r="F492" s="19" t="s">
        <v>30</v>
      </c>
      <c r="G492" s="19" t="s">
        <v>31</v>
      </c>
      <c r="J492" s="19" t="s">
        <v>1206</v>
      </c>
      <c r="K492" s="19" t="s">
        <v>32</v>
      </c>
      <c r="L492" s="19" t="s">
        <v>1202</v>
      </c>
      <c r="M492" s="19">
        <v>138.878712278909</v>
      </c>
      <c r="N492" s="19">
        <v>1420</v>
      </c>
      <c r="O492" s="19">
        <v>0.205419349117673</v>
      </c>
      <c r="P492" s="19" t="s">
        <v>1203</v>
      </c>
      <c r="Q492" s="19">
        <v>16.9155</v>
      </c>
      <c r="R492">
        <f t="shared" si="28"/>
        <v>14.2</v>
      </c>
      <c r="T492" s="15" t="s">
        <v>54</v>
      </c>
      <c r="U492" s="17"/>
      <c r="V492" s="16" t="str">
        <f t="shared" si="29"/>
        <v>EN_SPV_21_c04_MDG</v>
      </c>
      <c r="W492" s="12">
        <f t="shared" si="30"/>
        <v>1420</v>
      </c>
      <c r="X492" s="11">
        <f t="shared" si="31"/>
        <v>1420</v>
      </c>
      <c r="Y492" s="17">
        <v>3</v>
      </c>
      <c r="Z492" s="17"/>
      <c r="AC492" s="19" t="s">
        <v>1206</v>
      </c>
    </row>
    <row r="493" spans="2:29">
      <c r="B493" s="19" t="s">
        <v>26</v>
      </c>
      <c r="C493" s="19" t="s">
        <v>1208</v>
      </c>
      <c r="D493" s="19" t="s">
        <v>1209</v>
      </c>
      <c r="E493" s="19" t="s">
        <v>29</v>
      </c>
      <c r="F493" s="19" t="s">
        <v>30</v>
      </c>
      <c r="G493" s="19" t="s">
        <v>31</v>
      </c>
      <c r="J493" s="19" t="s">
        <v>1208</v>
      </c>
      <c r="K493" s="19" t="s">
        <v>32</v>
      </c>
      <c r="L493" s="19" t="s">
        <v>1210</v>
      </c>
      <c r="M493" s="19">
        <v>0</v>
      </c>
      <c r="N493" s="19">
        <v>1238</v>
      </c>
      <c r="O493" s="19">
        <v>0.208552502696589</v>
      </c>
      <c r="P493" s="19" t="s">
        <v>1211</v>
      </c>
      <c r="Q493" s="19">
        <v>686.979</v>
      </c>
      <c r="R493">
        <f t="shared" si="28"/>
        <v>12.38</v>
      </c>
      <c r="T493" s="15" t="s">
        <v>89</v>
      </c>
      <c r="U493" s="17"/>
      <c r="V493" s="16" t="str">
        <f t="shared" si="29"/>
        <v>EN_SPV_21_c01_MEX</v>
      </c>
      <c r="W493" s="12">
        <f t="shared" si="30"/>
        <v>1238</v>
      </c>
      <c r="X493" s="11">
        <f t="shared" si="31"/>
        <v>1238</v>
      </c>
      <c r="Y493" s="17">
        <v>3</v>
      </c>
      <c r="Z493" s="17"/>
      <c r="AC493" s="19" t="s">
        <v>1208</v>
      </c>
    </row>
    <row r="494" spans="2:29">
      <c r="B494" s="19" t="s">
        <v>26</v>
      </c>
      <c r="C494" s="19" t="s">
        <v>1212</v>
      </c>
      <c r="D494" s="19" t="s">
        <v>1213</v>
      </c>
      <c r="E494" s="19" t="s">
        <v>29</v>
      </c>
      <c r="F494" s="19" t="s">
        <v>30</v>
      </c>
      <c r="G494" s="19" t="s">
        <v>31</v>
      </c>
      <c r="J494" s="19" t="s">
        <v>1212</v>
      </c>
      <c r="K494" s="19" t="s">
        <v>32</v>
      </c>
      <c r="L494" s="19" t="s">
        <v>1210</v>
      </c>
      <c r="M494" s="19">
        <v>88.9549921786477</v>
      </c>
      <c r="N494" s="19">
        <v>1238</v>
      </c>
      <c r="O494" s="19">
        <v>0.209073976629775</v>
      </c>
      <c r="P494" s="19" t="s">
        <v>1211</v>
      </c>
      <c r="Q494" s="19">
        <v>111.74475</v>
      </c>
      <c r="R494">
        <f t="shared" si="28"/>
        <v>12.38</v>
      </c>
      <c r="T494" s="15" t="s">
        <v>89</v>
      </c>
      <c r="U494" s="17"/>
      <c r="V494" s="16" t="str">
        <f t="shared" si="29"/>
        <v>EN_SPV_21_c02_MEX</v>
      </c>
      <c r="W494" s="12">
        <f t="shared" si="30"/>
        <v>1238</v>
      </c>
      <c r="X494" s="11">
        <f t="shared" si="31"/>
        <v>1238</v>
      </c>
      <c r="Y494" s="17">
        <v>3</v>
      </c>
      <c r="Z494" s="17"/>
      <c r="AC494" s="19" t="s">
        <v>1212</v>
      </c>
    </row>
    <row r="495" spans="2:29">
      <c r="B495" s="19" t="s">
        <v>26</v>
      </c>
      <c r="C495" s="19" t="s">
        <v>1214</v>
      </c>
      <c r="D495" s="19" t="s">
        <v>1215</v>
      </c>
      <c r="E495" s="19" t="s">
        <v>29</v>
      </c>
      <c r="F495" s="19" t="s">
        <v>30</v>
      </c>
      <c r="G495" s="19" t="s">
        <v>31</v>
      </c>
      <c r="J495" s="19" t="s">
        <v>1214</v>
      </c>
      <c r="K495" s="19" t="s">
        <v>32</v>
      </c>
      <c r="L495" s="19" t="s">
        <v>1210</v>
      </c>
      <c r="M495" s="19">
        <v>101.208996203257</v>
      </c>
      <c r="N495" s="19">
        <v>1238</v>
      </c>
      <c r="O495" s="19">
        <v>0.21013962406015</v>
      </c>
      <c r="P495" s="19" t="s">
        <v>1211</v>
      </c>
      <c r="Q495" s="19">
        <v>29.925</v>
      </c>
      <c r="R495">
        <f t="shared" si="28"/>
        <v>12.38</v>
      </c>
      <c r="T495" s="15" t="s">
        <v>89</v>
      </c>
      <c r="U495" s="17"/>
      <c r="V495" s="16" t="str">
        <f t="shared" si="29"/>
        <v>EN_SPV_21_c03_MEX</v>
      </c>
      <c r="W495" s="12">
        <f t="shared" si="30"/>
        <v>1238</v>
      </c>
      <c r="X495" s="11">
        <f t="shared" si="31"/>
        <v>1238</v>
      </c>
      <c r="Y495" s="17">
        <v>3</v>
      </c>
      <c r="Z495" s="17"/>
      <c r="AC495" s="19" t="s">
        <v>1214</v>
      </c>
    </row>
    <row r="496" spans="2:29">
      <c r="B496" s="19" t="s">
        <v>26</v>
      </c>
      <c r="C496" s="19" t="s">
        <v>1216</v>
      </c>
      <c r="D496" s="19" t="s">
        <v>1217</v>
      </c>
      <c r="E496" s="19" t="s">
        <v>29</v>
      </c>
      <c r="F496" s="19" t="s">
        <v>30</v>
      </c>
      <c r="G496" s="19" t="s">
        <v>31</v>
      </c>
      <c r="J496" s="19" t="s">
        <v>1216</v>
      </c>
      <c r="K496" s="19" t="s">
        <v>32</v>
      </c>
      <c r="L496" s="19" t="s">
        <v>1210</v>
      </c>
      <c r="M496" s="19">
        <v>0</v>
      </c>
      <c r="N496" s="19">
        <v>1238</v>
      </c>
      <c r="O496" s="19">
        <v>0.215275803722504</v>
      </c>
      <c r="P496" s="19" t="s">
        <v>1211</v>
      </c>
      <c r="Q496" s="19">
        <v>18.6165</v>
      </c>
      <c r="R496">
        <f t="shared" si="28"/>
        <v>12.38</v>
      </c>
      <c r="T496" s="15" t="s">
        <v>89</v>
      </c>
      <c r="U496" s="17"/>
      <c r="V496" s="16" t="str">
        <f t="shared" si="29"/>
        <v>EN_SPV_22_c01_MEX</v>
      </c>
      <c r="W496" s="12">
        <f t="shared" si="30"/>
        <v>1238</v>
      </c>
      <c r="X496" s="11">
        <f t="shared" si="31"/>
        <v>1238</v>
      </c>
      <c r="Y496" s="17">
        <v>3</v>
      </c>
      <c r="Z496" s="17"/>
      <c r="AC496" s="19" t="s">
        <v>1216</v>
      </c>
    </row>
    <row r="497" spans="2:29">
      <c r="B497" s="19" t="s">
        <v>26</v>
      </c>
      <c r="C497" s="19" t="s">
        <v>1218</v>
      </c>
      <c r="D497" s="19" t="s">
        <v>1219</v>
      </c>
      <c r="E497" s="19" t="s">
        <v>29</v>
      </c>
      <c r="F497" s="19" t="s">
        <v>30</v>
      </c>
      <c r="G497" s="19" t="s">
        <v>31</v>
      </c>
      <c r="J497" s="19" t="s">
        <v>1218</v>
      </c>
      <c r="K497" s="19" t="s">
        <v>32</v>
      </c>
      <c r="L497" s="19" t="s">
        <v>1210</v>
      </c>
      <c r="M497" s="19">
        <v>88.9549921786477</v>
      </c>
      <c r="N497" s="19">
        <v>1238</v>
      </c>
      <c r="O497" s="19">
        <v>0.21663525062416</v>
      </c>
      <c r="P497" s="19" t="s">
        <v>1211</v>
      </c>
      <c r="Q497" s="19">
        <v>15.621</v>
      </c>
      <c r="R497">
        <f t="shared" si="28"/>
        <v>12.38</v>
      </c>
      <c r="T497" s="15" t="s">
        <v>89</v>
      </c>
      <c r="U497" s="17"/>
      <c r="V497" s="16" t="str">
        <f t="shared" si="29"/>
        <v>EN_SPV_22_c02_MEX</v>
      </c>
      <c r="W497" s="12">
        <f t="shared" si="30"/>
        <v>1238</v>
      </c>
      <c r="X497" s="11">
        <f t="shared" si="31"/>
        <v>1238</v>
      </c>
      <c r="Y497" s="17">
        <v>3</v>
      </c>
      <c r="Z497" s="17"/>
      <c r="AC497" s="19" t="s">
        <v>1218</v>
      </c>
    </row>
    <row r="498" spans="2:29">
      <c r="B498" s="19" t="s">
        <v>26</v>
      </c>
      <c r="C498" s="19" t="s">
        <v>1220</v>
      </c>
      <c r="D498" s="19" t="s">
        <v>1221</v>
      </c>
      <c r="E498" s="19" t="s">
        <v>29</v>
      </c>
      <c r="F498" s="19" t="s">
        <v>30</v>
      </c>
      <c r="G498" s="19" t="s">
        <v>31</v>
      </c>
      <c r="J498" s="19" t="s">
        <v>1220</v>
      </c>
      <c r="K498" s="19" t="s">
        <v>32</v>
      </c>
      <c r="L498" s="19" t="s">
        <v>1210</v>
      </c>
      <c r="M498" s="19">
        <v>101.208996203257</v>
      </c>
      <c r="N498" s="19">
        <v>1238</v>
      </c>
      <c r="O498" s="19">
        <v>0.215719505971216</v>
      </c>
      <c r="P498" s="19" t="s">
        <v>1211</v>
      </c>
      <c r="Q498" s="19">
        <v>22.04325</v>
      </c>
      <c r="R498">
        <f t="shared" si="28"/>
        <v>12.38</v>
      </c>
      <c r="T498" s="15" t="s">
        <v>89</v>
      </c>
      <c r="U498" s="17"/>
      <c r="V498" s="16" t="str">
        <f t="shared" si="29"/>
        <v>EN_SPV_22_c03_MEX</v>
      </c>
      <c r="W498" s="12">
        <f t="shared" si="30"/>
        <v>1238</v>
      </c>
      <c r="X498" s="11">
        <f t="shared" si="31"/>
        <v>1238</v>
      </c>
      <c r="Y498" s="17">
        <v>3</v>
      </c>
      <c r="Z498" s="17"/>
      <c r="AC498" s="19" t="s">
        <v>1220</v>
      </c>
    </row>
    <row r="499" spans="2:29">
      <c r="B499" s="19" t="s">
        <v>26</v>
      </c>
      <c r="C499" s="19" t="s">
        <v>1222</v>
      </c>
      <c r="D499" s="19" t="s">
        <v>1223</v>
      </c>
      <c r="E499" s="19" t="s">
        <v>29</v>
      </c>
      <c r="F499" s="19" t="s">
        <v>30</v>
      </c>
      <c r="G499" s="19" t="s">
        <v>31</v>
      </c>
      <c r="J499" s="19" t="s">
        <v>1222</v>
      </c>
      <c r="K499" s="19" t="s">
        <v>32</v>
      </c>
      <c r="L499" s="19" t="s">
        <v>1224</v>
      </c>
      <c r="M499" s="19">
        <v>88.9549921786477</v>
      </c>
      <c r="N499" s="19">
        <v>769</v>
      </c>
      <c r="O499" s="19">
        <v>0.156508633093525</v>
      </c>
      <c r="P499" s="19" t="s">
        <v>1225</v>
      </c>
      <c r="Q499" s="19">
        <v>6.255</v>
      </c>
      <c r="R499">
        <f t="shared" si="28"/>
        <v>7.69</v>
      </c>
      <c r="T499" s="15" t="s">
        <v>69</v>
      </c>
      <c r="U499" s="17"/>
      <c r="V499" s="16" t="str">
        <f t="shared" si="29"/>
        <v>EN_SPV_16_c02_MKD</v>
      </c>
      <c r="W499" s="12">
        <f t="shared" si="30"/>
        <v>769</v>
      </c>
      <c r="X499" s="11">
        <f t="shared" si="31"/>
        <v>769</v>
      </c>
      <c r="Y499" s="17">
        <v>3</v>
      </c>
      <c r="Z499" s="17"/>
      <c r="AC499" s="19" t="s">
        <v>1222</v>
      </c>
    </row>
    <row r="500" spans="2:29">
      <c r="B500" s="19" t="s">
        <v>26</v>
      </c>
      <c r="C500" s="19" t="s">
        <v>1226</v>
      </c>
      <c r="D500" s="19" t="s">
        <v>1227</v>
      </c>
      <c r="E500" s="19" t="s">
        <v>29</v>
      </c>
      <c r="F500" s="19" t="s">
        <v>30</v>
      </c>
      <c r="G500" s="19" t="s">
        <v>31</v>
      </c>
      <c r="J500" s="19" t="s">
        <v>1226</v>
      </c>
      <c r="K500" s="19" t="s">
        <v>32</v>
      </c>
      <c r="L500" s="19" t="s">
        <v>1228</v>
      </c>
      <c r="M500" s="19">
        <v>88.9549921786477</v>
      </c>
      <c r="N500" s="19">
        <v>1621</v>
      </c>
      <c r="O500" s="19">
        <v>0.19849263847451</v>
      </c>
      <c r="P500" s="19" t="s">
        <v>1229</v>
      </c>
      <c r="Q500" s="19">
        <v>23.127</v>
      </c>
      <c r="R500">
        <f t="shared" si="28"/>
        <v>16.21</v>
      </c>
      <c r="T500" s="15" t="s">
        <v>54</v>
      </c>
      <c r="U500" s="17"/>
      <c r="V500" s="16" t="str">
        <f t="shared" si="29"/>
        <v>EN_SPV_20_c02_MLI</v>
      </c>
      <c r="W500" s="12">
        <f t="shared" si="30"/>
        <v>1621</v>
      </c>
      <c r="X500" s="11">
        <f t="shared" si="31"/>
        <v>1621</v>
      </c>
      <c r="Y500" s="17">
        <v>3</v>
      </c>
      <c r="Z500" s="17"/>
      <c r="AC500" s="19" t="s">
        <v>1226</v>
      </c>
    </row>
    <row r="501" spans="2:29">
      <c r="B501" s="19" t="s">
        <v>26</v>
      </c>
      <c r="C501" s="19" t="s">
        <v>1230</v>
      </c>
      <c r="D501" s="19" t="s">
        <v>1231</v>
      </c>
      <c r="E501" s="19" t="s">
        <v>29</v>
      </c>
      <c r="F501" s="19" t="s">
        <v>30</v>
      </c>
      <c r="G501" s="19" t="s">
        <v>31</v>
      </c>
      <c r="J501" s="19" t="s">
        <v>1230</v>
      </c>
      <c r="K501" s="19" t="s">
        <v>32</v>
      </c>
      <c r="L501" s="19" t="s">
        <v>1228</v>
      </c>
      <c r="M501" s="19">
        <v>101.208996203257</v>
      </c>
      <c r="N501" s="19">
        <v>1621</v>
      </c>
      <c r="O501" s="19">
        <v>0.197303615950007</v>
      </c>
      <c r="P501" s="19" t="s">
        <v>1229</v>
      </c>
      <c r="Q501" s="19">
        <v>185.304</v>
      </c>
      <c r="R501">
        <f t="shared" si="28"/>
        <v>16.21</v>
      </c>
      <c r="T501" s="15" t="s">
        <v>54</v>
      </c>
      <c r="U501" s="17"/>
      <c r="V501" s="16" t="str">
        <f t="shared" si="29"/>
        <v>EN_SPV_20_c03_MLI</v>
      </c>
      <c r="W501" s="12">
        <f t="shared" si="30"/>
        <v>1621</v>
      </c>
      <c r="X501" s="11">
        <f t="shared" si="31"/>
        <v>1621</v>
      </c>
      <c r="Y501" s="17">
        <v>3</v>
      </c>
      <c r="Z501" s="17"/>
      <c r="AC501" s="19" t="s">
        <v>1230</v>
      </c>
    </row>
    <row r="502" spans="2:29">
      <c r="B502" s="19" t="s">
        <v>26</v>
      </c>
      <c r="C502" s="19" t="s">
        <v>1232</v>
      </c>
      <c r="D502" s="19" t="s">
        <v>1233</v>
      </c>
      <c r="E502" s="19" t="s">
        <v>29</v>
      </c>
      <c r="F502" s="19" t="s">
        <v>30</v>
      </c>
      <c r="G502" s="19" t="s">
        <v>31</v>
      </c>
      <c r="J502" s="19" t="s">
        <v>1232</v>
      </c>
      <c r="K502" s="19" t="s">
        <v>32</v>
      </c>
      <c r="L502" s="19" t="s">
        <v>1234</v>
      </c>
      <c r="M502" s="19">
        <v>0</v>
      </c>
      <c r="N502" s="19">
        <v>1113</v>
      </c>
      <c r="O502" s="19">
        <v>0.169613062680714</v>
      </c>
      <c r="P502" s="19" t="s">
        <v>1235</v>
      </c>
      <c r="Q502" s="19">
        <v>165.23025</v>
      </c>
      <c r="R502">
        <f t="shared" si="28"/>
        <v>11.13</v>
      </c>
      <c r="T502" s="15" t="s">
        <v>35</v>
      </c>
      <c r="U502" s="17"/>
      <c r="V502" s="16" t="str">
        <f t="shared" si="29"/>
        <v>EN_SPV_17_c01_MMR</v>
      </c>
      <c r="W502" s="12">
        <f t="shared" si="30"/>
        <v>1113</v>
      </c>
      <c r="X502" s="11">
        <f t="shared" si="31"/>
        <v>1113</v>
      </c>
      <c r="Y502" s="17">
        <v>3</v>
      </c>
      <c r="Z502" s="17"/>
      <c r="AC502" s="19" t="s">
        <v>1232</v>
      </c>
    </row>
    <row r="503" spans="2:29">
      <c r="B503" s="19" t="s">
        <v>26</v>
      </c>
      <c r="C503" s="19" t="s">
        <v>1236</v>
      </c>
      <c r="D503" s="19" t="s">
        <v>1237</v>
      </c>
      <c r="E503" s="19" t="s">
        <v>29</v>
      </c>
      <c r="F503" s="19" t="s">
        <v>30</v>
      </c>
      <c r="G503" s="19" t="s">
        <v>31</v>
      </c>
      <c r="J503" s="19" t="s">
        <v>1236</v>
      </c>
      <c r="K503" s="19" t="s">
        <v>32</v>
      </c>
      <c r="L503" s="19" t="s">
        <v>1238</v>
      </c>
      <c r="M503" s="19">
        <v>88.9549921786477</v>
      </c>
      <c r="N503" s="19">
        <v>769</v>
      </c>
      <c r="O503" s="19">
        <v>0.151222463768116</v>
      </c>
      <c r="P503" s="19" t="s">
        <v>1239</v>
      </c>
      <c r="Q503" s="19">
        <v>1.035</v>
      </c>
      <c r="R503">
        <f t="shared" si="28"/>
        <v>7.69</v>
      </c>
      <c r="T503" s="15" t="s">
        <v>69</v>
      </c>
      <c r="U503" s="17"/>
      <c r="V503" s="16" t="str">
        <f t="shared" si="29"/>
        <v>EN_SPV_15_c02_MNE</v>
      </c>
      <c r="W503" s="12">
        <f t="shared" si="30"/>
        <v>769</v>
      </c>
      <c r="X503" s="11">
        <f t="shared" si="31"/>
        <v>769</v>
      </c>
      <c r="Y503" s="17">
        <v>3</v>
      </c>
      <c r="Z503" s="17"/>
      <c r="AC503" s="19" t="s">
        <v>1236</v>
      </c>
    </row>
    <row r="504" spans="2:29">
      <c r="B504" s="19" t="s">
        <v>26</v>
      </c>
      <c r="C504" s="19" t="s">
        <v>1240</v>
      </c>
      <c r="D504" s="19" t="s">
        <v>1241</v>
      </c>
      <c r="E504" s="19" t="s">
        <v>29</v>
      </c>
      <c r="F504" s="19" t="s">
        <v>30</v>
      </c>
      <c r="G504" s="19" t="s">
        <v>31</v>
      </c>
      <c r="J504" s="19" t="s">
        <v>1240</v>
      </c>
      <c r="K504" s="19" t="s">
        <v>32</v>
      </c>
      <c r="L504" s="19" t="s">
        <v>1238</v>
      </c>
      <c r="M504" s="19">
        <v>0</v>
      </c>
      <c r="N504" s="19">
        <v>769</v>
      </c>
      <c r="O504" s="19">
        <v>0.158768250289687</v>
      </c>
      <c r="P504" s="19" t="s">
        <v>1239</v>
      </c>
      <c r="Q504" s="19">
        <v>0.64725</v>
      </c>
      <c r="R504">
        <f t="shared" si="28"/>
        <v>7.69</v>
      </c>
      <c r="T504" s="15" t="s">
        <v>69</v>
      </c>
      <c r="U504" s="17"/>
      <c r="V504" s="16" t="str">
        <f t="shared" si="29"/>
        <v>EN_SPV_16_c01_MNE</v>
      </c>
      <c r="W504" s="12">
        <f t="shared" si="30"/>
        <v>769</v>
      </c>
      <c r="X504" s="11">
        <f t="shared" si="31"/>
        <v>769</v>
      </c>
      <c r="Y504" s="17">
        <v>3</v>
      </c>
      <c r="Z504" s="17"/>
      <c r="AC504" s="19" t="s">
        <v>1240</v>
      </c>
    </row>
    <row r="505" spans="2:29">
      <c r="B505" s="19" t="s">
        <v>26</v>
      </c>
      <c r="C505" s="19" t="s">
        <v>1242</v>
      </c>
      <c r="D505" s="19" t="s">
        <v>1243</v>
      </c>
      <c r="E505" s="19" t="s">
        <v>29</v>
      </c>
      <c r="F505" s="19" t="s">
        <v>30</v>
      </c>
      <c r="G505" s="19" t="s">
        <v>31</v>
      </c>
      <c r="J505" s="19" t="s">
        <v>1242</v>
      </c>
      <c r="K505" s="19" t="s">
        <v>32</v>
      </c>
      <c r="L505" s="19" t="s">
        <v>1238</v>
      </c>
      <c r="M505" s="19">
        <v>88.9549921786477</v>
      </c>
      <c r="N505" s="19">
        <v>769</v>
      </c>
      <c r="O505" s="19">
        <v>0.156671649619722</v>
      </c>
      <c r="P505" s="19" t="s">
        <v>1239</v>
      </c>
      <c r="Q505" s="19">
        <v>2.85975</v>
      </c>
      <c r="R505">
        <f t="shared" si="28"/>
        <v>7.69</v>
      </c>
      <c r="T505" s="15" t="s">
        <v>69</v>
      </c>
      <c r="U505" s="17"/>
      <c r="V505" s="16" t="str">
        <f t="shared" si="29"/>
        <v>EN_SPV_16_c02_MNE</v>
      </c>
      <c r="W505" s="12">
        <f t="shared" si="30"/>
        <v>769</v>
      </c>
      <c r="X505" s="11">
        <f t="shared" si="31"/>
        <v>769</v>
      </c>
      <c r="Y505" s="17">
        <v>3</v>
      </c>
      <c r="Z505" s="17"/>
      <c r="AC505" s="19" t="s">
        <v>1242</v>
      </c>
    </row>
    <row r="506" spans="2:29">
      <c r="B506" s="19" t="s">
        <v>26</v>
      </c>
      <c r="C506" s="19" t="s">
        <v>1244</v>
      </c>
      <c r="D506" s="19" t="s">
        <v>1245</v>
      </c>
      <c r="E506" s="19" t="s">
        <v>29</v>
      </c>
      <c r="F506" s="19" t="s">
        <v>30</v>
      </c>
      <c r="G506" s="19" t="s">
        <v>31</v>
      </c>
      <c r="J506" s="19" t="s">
        <v>1244</v>
      </c>
      <c r="K506" s="19" t="s">
        <v>32</v>
      </c>
      <c r="L506" s="19" t="s">
        <v>1246</v>
      </c>
      <c r="M506" s="19">
        <v>0</v>
      </c>
      <c r="N506" s="19">
        <v>1893</v>
      </c>
      <c r="O506" s="19">
        <v>0.205</v>
      </c>
      <c r="P506" s="19" t="s">
        <v>1247</v>
      </c>
      <c r="Q506" s="19">
        <v>14.553</v>
      </c>
      <c r="R506">
        <f t="shared" si="28"/>
        <v>18.93</v>
      </c>
      <c r="T506" s="15" t="s">
        <v>290</v>
      </c>
      <c r="U506" s="17"/>
      <c r="V506" s="16" t="str">
        <f t="shared" si="29"/>
        <v>EN_SPV_21_c01_MNG</v>
      </c>
      <c r="W506" s="12">
        <f t="shared" si="30"/>
        <v>1893</v>
      </c>
      <c r="X506" s="11">
        <f t="shared" si="31"/>
        <v>1893</v>
      </c>
      <c r="Y506" s="17">
        <v>3</v>
      </c>
      <c r="Z506" s="17"/>
      <c r="AC506" s="19" t="s">
        <v>1244</v>
      </c>
    </row>
    <row r="507" spans="2:29">
      <c r="B507" s="19" t="s">
        <v>26</v>
      </c>
      <c r="C507" s="19" t="s">
        <v>1248</v>
      </c>
      <c r="D507" s="19" t="s">
        <v>1249</v>
      </c>
      <c r="E507" s="19" t="s">
        <v>29</v>
      </c>
      <c r="F507" s="19" t="s">
        <v>30</v>
      </c>
      <c r="G507" s="19" t="s">
        <v>31</v>
      </c>
      <c r="J507" s="19" t="s">
        <v>1248</v>
      </c>
      <c r="K507" s="19" t="s">
        <v>32</v>
      </c>
      <c r="L507" s="19" t="s">
        <v>1246</v>
      </c>
      <c r="M507" s="19">
        <v>88.9549921786477</v>
      </c>
      <c r="N507" s="19">
        <v>1893</v>
      </c>
      <c r="O507" s="19">
        <v>0.205</v>
      </c>
      <c r="P507" s="19" t="s">
        <v>1247</v>
      </c>
      <c r="Q507" s="19">
        <v>14.8215</v>
      </c>
      <c r="R507">
        <f t="shared" si="28"/>
        <v>18.93</v>
      </c>
      <c r="T507" s="15" t="s">
        <v>290</v>
      </c>
      <c r="U507" s="17"/>
      <c r="V507" s="16" t="str">
        <f t="shared" si="29"/>
        <v>EN_SPV_21_c02_MNG</v>
      </c>
      <c r="W507" s="12">
        <f t="shared" si="30"/>
        <v>1893</v>
      </c>
      <c r="X507" s="11">
        <f t="shared" si="31"/>
        <v>1893</v>
      </c>
      <c r="Y507" s="17">
        <v>3</v>
      </c>
      <c r="Z507" s="17"/>
      <c r="AC507" s="19" t="s">
        <v>1248</v>
      </c>
    </row>
    <row r="508" spans="2:29">
      <c r="B508" s="19" t="s">
        <v>26</v>
      </c>
      <c r="C508" s="19" t="s">
        <v>1250</v>
      </c>
      <c r="D508" s="19" t="s">
        <v>1251</v>
      </c>
      <c r="E508" s="19" t="s">
        <v>29</v>
      </c>
      <c r="F508" s="19" t="s">
        <v>30</v>
      </c>
      <c r="G508" s="19" t="s">
        <v>31</v>
      </c>
      <c r="J508" s="19" t="s">
        <v>1250</v>
      </c>
      <c r="K508" s="19" t="s">
        <v>32</v>
      </c>
      <c r="L508" s="19" t="s">
        <v>1252</v>
      </c>
      <c r="M508" s="19">
        <v>88.9549921786477</v>
      </c>
      <c r="N508" s="19">
        <v>1420</v>
      </c>
      <c r="O508" s="19">
        <v>0.171596425774953</v>
      </c>
      <c r="P508" s="19" t="s">
        <v>1253</v>
      </c>
      <c r="Q508" s="19">
        <v>65.133</v>
      </c>
      <c r="R508">
        <f t="shared" si="28"/>
        <v>14.2</v>
      </c>
      <c r="T508" s="15" t="s">
        <v>54</v>
      </c>
      <c r="U508" s="17"/>
      <c r="V508" s="16" t="str">
        <f t="shared" si="29"/>
        <v>EN_SPV_17_c02_MOZ</v>
      </c>
      <c r="W508" s="12">
        <f t="shared" si="30"/>
        <v>1420</v>
      </c>
      <c r="X508" s="11">
        <f t="shared" si="31"/>
        <v>1420</v>
      </c>
      <c r="Y508" s="17">
        <v>3</v>
      </c>
      <c r="Z508" s="17"/>
      <c r="AC508" s="19" t="s">
        <v>1250</v>
      </c>
    </row>
    <row r="509" spans="2:29">
      <c r="B509" s="19" t="s">
        <v>26</v>
      </c>
      <c r="C509" s="19" t="s">
        <v>1254</v>
      </c>
      <c r="D509" s="19" t="s">
        <v>1255</v>
      </c>
      <c r="E509" s="19" t="s">
        <v>29</v>
      </c>
      <c r="F509" s="19" t="s">
        <v>30</v>
      </c>
      <c r="G509" s="19" t="s">
        <v>31</v>
      </c>
      <c r="J509" s="19" t="s">
        <v>1254</v>
      </c>
      <c r="K509" s="19" t="s">
        <v>32</v>
      </c>
      <c r="L509" s="19" t="s">
        <v>1252</v>
      </c>
      <c r="M509" s="19">
        <v>101.208996203257</v>
      </c>
      <c r="N509" s="19">
        <v>1420</v>
      </c>
      <c r="O509" s="19">
        <v>0.172073589343518</v>
      </c>
      <c r="P509" s="19" t="s">
        <v>1253</v>
      </c>
      <c r="Q509" s="19">
        <v>32.20575</v>
      </c>
      <c r="R509">
        <f t="shared" si="28"/>
        <v>14.2</v>
      </c>
      <c r="T509" s="15" t="s">
        <v>54</v>
      </c>
      <c r="U509" s="17"/>
      <c r="V509" s="16" t="str">
        <f t="shared" si="29"/>
        <v>EN_SPV_17_c03_MOZ</v>
      </c>
      <c r="W509" s="12">
        <f t="shared" si="30"/>
        <v>1420</v>
      </c>
      <c r="X509" s="11">
        <f t="shared" si="31"/>
        <v>1420</v>
      </c>
      <c r="Y509" s="17">
        <v>3</v>
      </c>
      <c r="Z509" s="17"/>
      <c r="AC509" s="19" t="s">
        <v>1254</v>
      </c>
    </row>
    <row r="510" spans="2:29">
      <c r="B510" s="19" t="s">
        <v>26</v>
      </c>
      <c r="C510" s="19" t="s">
        <v>1256</v>
      </c>
      <c r="D510" s="19" t="s">
        <v>1257</v>
      </c>
      <c r="E510" s="19" t="s">
        <v>29</v>
      </c>
      <c r="F510" s="19" t="s">
        <v>30</v>
      </c>
      <c r="G510" s="19" t="s">
        <v>31</v>
      </c>
      <c r="J510" s="19" t="s">
        <v>1256</v>
      </c>
      <c r="K510" s="19" t="s">
        <v>32</v>
      </c>
      <c r="L510" s="19" t="s">
        <v>1252</v>
      </c>
      <c r="M510" s="19">
        <v>138.878712278909</v>
      </c>
      <c r="N510" s="19">
        <v>1420</v>
      </c>
      <c r="O510" s="19">
        <v>0.173579829890644</v>
      </c>
      <c r="P510" s="19" t="s">
        <v>1253</v>
      </c>
      <c r="Q510" s="19">
        <v>3.08625</v>
      </c>
      <c r="R510">
        <f t="shared" si="28"/>
        <v>14.2</v>
      </c>
      <c r="T510" s="15" t="s">
        <v>54</v>
      </c>
      <c r="U510" s="17"/>
      <c r="V510" s="16" t="str">
        <f t="shared" si="29"/>
        <v>EN_SPV_17_c04_MOZ</v>
      </c>
      <c r="W510" s="12">
        <f t="shared" si="30"/>
        <v>1420</v>
      </c>
      <c r="X510" s="11">
        <f t="shared" si="31"/>
        <v>1420</v>
      </c>
      <c r="Y510" s="17">
        <v>3</v>
      </c>
      <c r="Z510" s="17"/>
      <c r="AC510" s="19" t="s">
        <v>1256</v>
      </c>
    </row>
    <row r="511" spans="2:29">
      <c r="B511" s="19" t="s">
        <v>26</v>
      </c>
      <c r="C511" s="19" t="s">
        <v>1258</v>
      </c>
      <c r="D511" s="19" t="s">
        <v>1259</v>
      </c>
      <c r="E511" s="19" t="s">
        <v>29</v>
      </c>
      <c r="F511" s="19" t="s">
        <v>30</v>
      </c>
      <c r="G511" s="19" t="s">
        <v>31</v>
      </c>
      <c r="J511" s="19" t="s">
        <v>1258</v>
      </c>
      <c r="K511" s="19" t="s">
        <v>32</v>
      </c>
      <c r="L511" s="19" t="s">
        <v>1252</v>
      </c>
      <c r="M511" s="19">
        <v>0</v>
      </c>
      <c r="N511" s="19">
        <v>1420</v>
      </c>
      <c r="O511" s="19">
        <v>0.178264289556597</v>
      </c>
      <c r="P511" s="19" t="s">
        <v>1253</v>
      </c>
      <c r="Q511" s="19">
        <v>48.79875</v>
      </c>
      <c r="R511">
        <f t="shared" si="28"/>
        <v>14.2</v>
      </c>
      <c r="T511" s="15" t="s">
        <v>54</v>
      </c>
      <c r="U511" s="17"/>
      <c r="V511" s="16" t="str">
        <f t="shared" si="29"/>
        <v>EN_SPV_18_c01_MOZ</v>
      </c>
      <c r="W511" s="12">
        <f t="shared" si="30"/>
        <v>1420</v>
      </c>
      <c r="X511" s="11">
        <f t="shared" si="31"/>
        <v>1420</v>
      </c>
      <c r="Y511" s="17">
        <v>3</v>
      </c>
      <c r="Z511" s="17"/>
      <c r="AC511" s="19" t="s">
        <v>1258</v>
      </c>
    </row>
    <row r="512" spans="2:29">
      <c r="B512" s="19" t="s">
        <v>26</v>
      </c>
      <c r="C512" s="19" t="s">
        <v>1260</v>
      </c>
      <c r="D512" s="19" t="s">
        <v>1261</v>
      </c>
      <c r="E512" s="19" t="s">
        <v>29</v>
      </c>
      <c r="F512" s="19" t="s">
        <v>30</v>
      </c>
      <c r="G512" s="19" t="s">
        <v>31</v>
      </c>
      <c r="J512" s="19" t="s">
        <v>1260</v>
      </c>
      <c r="K512" s="19" t="s">
        <v>32</v>
      </c>
      <c r="L512" s="19" t="s">
        <v>1252</v>
      </c>
      <c r="M512" s="19">
        <v>88.9549921786477</v>
      </c>
      <c r="N512" s="19">
        <v>1420</v>
      </c>
      <c r="O512" s="19">
        <v>0.178307368373388</v>
      </c>
      <c r="P512" s="19" t="s">
        <v>1253</v>
      </c>
      <c r="Q512" s="19">
        <v>66.25275</v>
      </c>
      <c r="R512">
        <f t="shared" si="28"/>
        <v>14.2</v>
      </c>
      <c r="T512" s="15" t="s">
        <v>54</v>
      </c>
      <c r="U512" s="17"/>
      <c r="V512" s="16" t="str">
        <f t="shared" si="29"/>
        <v>EN_SPV_18_c02_MOZ</v>
      </c>
      <c r="W512" s="12">
        <f t="shared" si="30"/>
        <v>1420</v>
      </c>
      <c r="X512" s="11">
        <f t="shared" si="31"/>
        <v>1420</v>
      </c>
      <c r="Y512" s="17">
        <v>3</v>
      </c>
      <c r="Z512" s="17"/>
      <c r="AC512" s="19" t="s">
        <v>1260</v>
      </c>
    </row>
    <row r="513" spans="2:29">
      <c r="B513" s="19" t="s">
        <v>26</v>
      </c>
      <c r="C513" s="19" t="s">
        <v>1262</v>
      </c>
      <c r="D513" s="19" t="s">
        <v>1263</v>
      </c>
      <c r="E513" s="19" t="s">
        <v>29</v>
      </c>
      <c r="F513" s="19" t="s">
        <v>30</v>
      </c>
      <c r="G513" s="19" t="s">
        <v>31</v>
      </c>
      <c r="J513" s="19" t="s">
        <v>1262</v>
      </c>
      <c r="K513" s="19" t="s">
        <v>32</v>
      </c>
      <c r="L513" s="19" t="s">
        <v>1252</v>
      </c>
      <c r="M513" s="19">
        <v>101.208996203257</v>
      </c>
      <c r="N513" s="19">
        <v>1420</v>
      </c>
      <c r="O513" s="19">
        <v>0.176724356894554</v>
      </c>
      <c r="P513" s="19" t="s">
        <v>1253</v>
      </c>
      <c r="Q513" s="19">
        <v>48.54375</v>
      </c>
      <c r="R513">
        <f t="shared" si="28"/>
        <v>14.2</v>
      </c>
      <c r="T513" s="15" t="s">
        <v>54</v>
      </c>
      <c r="U513" s="17"/>
      <c r="V513" s="16" t="str">
        <f t="shared" si="29"/>
        <v>EN_SPV_18_c03_MOZ</v>
      </c>
      <c r="W513" s="12">
        <f t="shared" si="30"/>
        <v>1420</v>
      </c>
      <c r="X513" s="11">
        <f t="shared" si="31"/>
        <v>1420</v>
      </c>
      <c r="Y513" s="17">
        <v>3</v>
      </c>
      <c r="Z513" s="17"/>
      <c r="AC513" s="19" t="s">
        <v>1262</v>
      </c>
    </row>
    <row r="514" spans="2:29">
      <c r="B514" s="19" t="s">
        <v>26</v>
      </c>
      <c r="C514" s="19" t="s">
        <v>1264</v>
      </c>
      <c r="D514" s="19" t="s">
        <v>1265</v>
      </c>
      <c r="E514" s="19" t="s">
        <v>29</v>
      </c>
      <c r="F514" s="19" t="s">
        <v>30</v>
      </c>
      <c r="G514" s="19" t="s">
        <v>31</v>
      </c>
      <c r="J514" s="19" t="s">
        <v>1264</v>
      </c>
      <c r="K514" s="19" t="s">
        <v>32</v>
      </c>
      <c r="L514" s="19" t="s">
        <v>1252</v>
      </c>
      <c r="M514" s="19">
        <v>138.878712278909</v>
      </c>
      <c r="N514" s="19">
        <v>1420</v>
      </c>
      <c r="O514" s="19">
        <v>0.175</v>
      </c>
      <c r="P514" s="19" t="s">
        <v>1253</v>
      </c>
      <c r="Q514" s="19">
        <v>1.41</v>
      </c>
      <c r="R514">
        <f t="shared" si="28"/>
        <v>14.2</v>
      </c>
      <c r="T514" s="15" t="s">
        <v>54</v>
      </c>
      <c r="U514" s="17"/>
      <c r="V514" s="16" t="str">
        <f t="shared" si="29"/>
        <v>EN_SPV_18_c04_MOZ</v>
      </c>
      <c r="W514" s="12">
        <f t="shared" si="30"/>
        <v>1420</v>
      </c>
      <c r="X514" s="11">
        <f t="shared" si="31"/>
        <v>1420</v>
      </c>
      <c r="Y514" s="17">
        <v>3</v>
      </c>
      <c r="Z514" s="17"/>
      <c r="AC514" s="19" t="s">
        <v>1264</v>
      </c>
    </row>
    <row r="515" spans="2:29">
      <c r="B515" s="19" t="s">
        <v>26</v>
      </c>
      <c r="C515" s="19" t="s">
        <v>1266</v>
      </c>
      <c r="D515" s="19" t="s">
        <v>1267</v>
      </c>
      <c r="E515" s="19" t="s">
        <v>29</v>
      </c>
      <c r="F515" s="19" t="s">
        <v>30</v>
      </c>
      <c r="G515" s="19" t="s">
        <v>31</v>
      </c>
      <c r="J515" s="19" t="s">
        <v>1266</v>
      </c>
      <c r="K515" s="19" t="s">
        <v>32</v>
      </c>
      <c r="L515" s="19" t="s">
        <v>1252</v>
      </c>
      <c r="M515" s="19">
        <v>0</v>
      </c>
      <c r="N515" s="19">
        <v>1420</v>
      </c>
      <c r="O515" s="19">
        <v>0.187124991112691</v>
      </c>
      <c r="P515" s="19" t="s">
        <v>1253</v>
      </c>
      <c r="Q515" s="19">
        <v>10.54875</v>
      </c>
      <c r="R515">
        <f t="shared" si="28"/>
        <v>14.2</v>
      </c>
      <c r="T515" s="15" t="s">
        <v>54</v>
      </c>
      <c r="U515" s="17"/>
      <c r="V515" s="16" t="str">
        <f t="shared" si="29"/>
        <v>EN_SPV_19_c01_MOZ</v>
      </c>
      <c r="W515" s="12">
        <f t="shared" si="30"/>
        <v>1420</v>
      </c>
      <c r="X515" s="11">
        <f t="shared" si="31"/>
        <v>1420</v>
      </c>
      <c r="Y515" s="17">
        <v>3</v>
      </c>
      <c r="Z515" s="17"/>
      <c r="AC515" s="19" t="s">
        <v>1266</v>
      </c>
    </row>
    <row r="516" spans="2:29">
      <c r="B516" s="19" t="s">
        <v>26</v>
      </c>
      <c r="C516" s="19" t="s">
        <v>1268</v>
      </c>
      <c r="D516" s="19" t="s">
        <v>1269</v>
      </c>
      <c r="E516" s="19" t="s">
        <v>29</v>
      </c>
      <c r="F516" s="19" t="s">
        <v>30</v>
      </c>
      <c r="G516" s="19" t="s">
        <v>31</v>
      </c>
      <c r="J516" s="19" t="s">
        <v>1268</v>
      </c>
      <c r="K516" s="19" t="s">
        <v>32</v>
      </c>
      <c r="L516" s="19" t="s">
        <v>1252</v>
      </c>
      <c r="M516" s="19">
        <v>88.9549921786477</v>
      </c>
      <c r="N516" s="19">
        <v>1420</v>
      </c>
      <c r="O516" s="19">
        <v>0.187329039812646</v>
      </c>
      <c r="P516" s="19" t="s">
        <v>1253</v>
      </c>
      <c r="Q516" s="19">
        <v>6.405</v>
      </c>
      <c r="R516">
        <f t="shared" si="28"/>
        <v>14.2</v>
      </c>
      <c r="T516" s="15" t="s">
        <v>54</v>
      </c>
      <c r="U516" s="17"/>
      <c r="V516" s="16" t="str">
        <f t="shared" si="29"/>
        <v>EN_SPV_19_c02_MOZ</v>
      </c>
      <c r="W516" s="12">
        <f t="shared" si="30"/>
        <v>1420</v>
      </c>
      <c r="X516" s="11">
        <f t="shared" si="31"/>
        <v>1420</v>
      </c>
      <c r="Y516" s="17">
        <v>3</v>
      </c>
      <c r="Z516" s="17"/>
      <c r="AC516" s="19" t="s">
        <v>1268</v>
      </c>
    </row>
    <row r="517" spans="2:29">
      <c r="B517" s="19" t="s">
        <v>26</v>
      </c>
      <c r="C517" s="19" t="s">
        <v>1270</v>
      </c>
      <c r="D517" s="19" t="s">
        <v>1271</v>
      </c>
      <c r="E517" s="19" t="s">
        <v>29</v>
      </c>
      <c r="F517" s="19" t="s">
        <v>30</v>
      </c>
      <c r="G517" s="19" t="s">
        <v>31</v>
      </c>
      <c r="J517" s="19" t="s">
        <v>1270</v>
      </c>
      <c r="K517" s="19" t="s">
        <v>32</v>
      </c>
      <c r="L517" s="19" t="s">
        <v>1272</v>
      </c>
      <c r="M517" s="19">
        <v>88.9549921786477</v>
      </c>
      <c r="N517" s="19">
        <v>1621</v>
      </c>
      <c r="O517" s="19">
        <v>0.208391999787087</v>
      </c>
      <c r="P517" s="19" t="s">
        <v>1273</v>
      </c>
      <c r="Q517" s="19">
        <v>28.1805</v>
      </c>
      <c r="R517">
        <f t="shared" si="28"/>
        <v>16.21</v>
      </c>
      <c r="T517" s="15" t="s">
        <v>54</v>
      </c>
      <c r="U517" s="17"/>
      <c r="V517" s="16" t="str">
        <f t="shared" si="29"/>
        <v>EN_SPV_21_c02_MRT</v>
      </c>
      <c r="W517" s="12">
        <f t="shared" si="30"/>
        <v>1621</v>
      </c>
      <c r="X517" s="11">
        <f t="shared" si="31"/>
        <v>1621</v>
      </c>
      <c r="Y517" s="17">
        <v>3</v>
      </c>
      <c r="Z517" s="17"/>
      <c r="AC517" s="19" t="s">
        <v>1270</v>
      </c>
    </row>
    <row r="518" spans="2:29">
      <c r="B518" s="19" t="s">
        <v>26</v>
      </c>
      <c r="C518" s="19" t="s">
        <v>1274</v>
      </c>
      <c r="D518" s="19" t="s">
        <v>1275</v>
      </c>
      <c r="E518" s="19" t="s">
        <v>29</v>
      </c>
      <c r="F518" s="19" t="s">
        <v>30</v>
      </c>
      <c r="G518" s="19" t="s">
        <v>31</v>
      </c>
      <c r="J518" s="19" t="s">
        <v>1274</v>
      </c>
      <c r="K518" s="19" t="s">
        <v>32</v>
      </c>
      <c r="L518" s="19" t="s">
        <v>1276</v>
      </c>
      <c r="M518" s="19">
        <v>0</v>
      </c>
      <c r="N518" s="19">
        <v>1420</v>
      </c>
      <c r="O518" s="19">
        <v>0.173738968633705</v>
      </c>
      <c r="P518" s="19" t="s">
        <v>1277</v>
      </c>
      <c r="Q518" s="19">
        <v>1.41075</v>
      </c>
      <c r="R518">
        <f t="shared" ref="R518:R581" si="32">N518*0.01</f>
        <v>14.2</v>
      </c>
      <c r="T518" s="15" t="s">
        <v>54</v>
      </c>
      <c r="U518" s="17"/>
      <c r="V518" s="16" t="str">
        <f t="shared" ref="V518:V581" si="33">J518</f>
        <v>EN_SPV_17_c01_MWI</v>
      </c>
      <c r="W518" s="12">
        <f t="shared" ref="W518:W581" si="34">N518</f>
        <v>1420</v>
      </c>
      <c r="X518" s="11">
        <f t="shared" ref="X518:X581" si="35">W518</f>
        <v>1420</v>
      </c>
      <c r="Y518" s="17">
        <v>3</v>
      </c>
      <c r="Z518" s="17"/>
      <c r="AC518" s="19" t="s">
        <v>1274</v>
      </c>
    </row>
    <row r="519" spans="2:29">
      <c r="B519" s="19" t="s">
        <v>26</v>
      </c>
      <c r="C519" s="19" t="s">
        <v>1278</v>
      </c>
      <c r="D519" s="19" t="s">
        <v>1279</v>
      </c>
      <c r="E519" s="19" t="s">
        <v>29</v>
      </c>
      <c r="F519" s="19" t="s">
        <v>30</v>
      </c>
      <c r="G519" s="19" t="s">
        <v>31</v>
      </c>
      <c r="J519" s="19" t="s">
        <v>1278</v>
      </c>
      <c r="K519" s="19" t="s">
        <v>32</v>
      </c>
      <c r="L519" s="19" t="s">
        <v>1276</v>
      </c>
      <c r="M519" s="19">
        <v>88.9549921786477</v>
      </c>
      <c r="N519" s="19">
        <v>1420</v>
      </c>
      <c r="O519" s="19">
        <v>0.173894630601534</v>
      </c>
      <c r="P519" s="19" t="s">
        <v>1277</v>
      </c>
      <c r="Q519" s="19">
        <v>3.7155</v>
      </c>
      <c r="R519">
        <f t="shared" si="32"/>
        <v>14.2</v>
      </c>
      <c r="T519" s="15" t="s">
        <v>54</v>
      </c>
      <c r="U519" s="17"/>
      <c r="V519" s="16" t="str">
        <f t="shared" si="33"/>
        <v>EN_SPV_17_c02_MWI</v>
      </c>
      <c r="W519" s="12">
        <f t="shared" si="34"/>
        <v>1420</v>
      </c>
      <c r="X519" s="11">
        <f t="shared" si="35"/>
        <v>1420</v>
      </c>
      <c r="Y519" s="17">
        <v>3</v>
      </c>
      <c r="Z519" s="17"/>
      <c r="AC519" s="19" t="s">
        <v>1278</v>
      </c>
    </row>
    <row r="520" spans="2:29">
      <c r="B520" s="19" t="s">
        <v>26</v>
      </c>
      <c r="C520" s="19" t="s">
        <v>1280</v>
      </c>
      <c r="D520" s="19" t="s">
        <v>1281</v>
      </c>
      <c r="E520" s="19" t="s">
        <v>29</v>
      </c>
      <c r="F520" s="19" t="s">
        <v>30</v>
      </c>
      <c r="G520" s="19" t="s">
        <v>31</v>
      </c>
      <c r="J520" s="19" t="s">
        <v>1280</v>
      </c>
      <c r="K520" s="19" t="s">
        <v>32</v>
      </c>
      <c r="L520" s="19" t="s">
        <v>1276</v>
      </c>
      <c r="M520" s="19">
        <v>0</v>
      </c>
      <c r="N520" s="19">
        <v>1420</v>
      </c>
      <c r="O520" s="19">
        <v>0.181270951156812</v>
      </c>
      <c r="P520" s="19" t="s">
        <v>1277</v>
      </c>
      <c r="Q520" s="19">
        <v>5.835</v>
      </c>
      <c r="R520">
        <f t="shared" si="32"/>
        <v>14.2</v>
      </c>
      <c r="T520" s="15" t="s">
        <v>54</v>
      </c>
      <c r="U520" s="17"/>
      <c r="V520" s="16" t="str">
        <f t="shared" si="33"/>
        <v>EN_SPV_18_c01_MWI</v>
      </c>
      <c r="W520" s="12">
        <f t="shared" si="34"/>
        <v>1420</v>
      </c>
      <c r="X520" s="11">
        <f t="shared" si="35"/>
        <v>1420</v>
      </c>
      <c r="Y520" s="17">
        <v>3</v>
      </c>
      <c r="Z520" s="17"/>
      <c r="AC520" s="19" t="s">
        <v>1280</v>
      </c>
    </row>
    <row r="521" spans="2:29">
      <c r="B521" s="19" t="s">
        <v>26</v>
      </c>
      <c r="C521" s="19" t="s">
        <v>1282</v>
      </c>
      <c r="D521" s="19" t="s">
        <v>1283</v>
      </c>
      <c r="E521" s="19" t="s">
        <v>29</v>
      </c>
      <c r="F521" s="19" t="s">
        <v>30</v>
      </c>
      <c r="G521" s="19" t="s">
        <v>31</v>
      </c>
      <c r="J521" s="19" t="s">
        <v>1282</v>
      </c>
      <c r="K521" s="19" t="s">
        <v>32</v>
      </c>
      <c r="L521" s="19" t="s">
        <v>1276</v>
      </c>
      <c r="M521" s="19">
        <v>88.9549921786477</v>
      </c>
      <c r="N521" s="19">
        <v>1420</v>
      </c>
      <c r="O521" s="19">
        <v>0.176528503126149</v>
      </c>
      <c r="P521" s="19" t="s">
        <v>1277</v>
      </c>
      <c r="Q521" s="19">
        <v>2.03925</v>
      </c>
      <c r="R521">
        <f t="shared" si="32"/>
        <v>14.2</v>
      </c>
      <c r="T521" s="15" t="s">
        <v>54</v>
      </c>
      <c r="U521" s="17"/>
      <c r="V521" s="16" t="str">
        <f t="shared" si="33"/>
        <v>EN_SPV_18_c02_MWI</v>
      </c>
      <c r="W521" s="12">
        <f t="shared" si="34"/>
        <v>1420</v>
      </c>
      <c r="X521" s="11">
        <f t="shared" si="35"/>
        <v>1420</v>
      </c>
      <c r="Y521" s="17">
        <v>3</v>
      </c>
      <c r="Z521" s="17"/>
      <c r="AC521" s="19" t="s">
        <v>1282</v>
      </c>
    </row>
    <row r="522" spans="2:29">
      <c r="B522" s="19" t="s">
        <v>26</v>
      </c>
      <c r="C522" s="19" t="s">
        <v>1284</v>
      </c>
      <c r="D522" s="19" t="s">
        <v>1285</v>
      </c>
      <c r="E522" s="19" t="s">
        <v>29</v>
      </c>
      <c r="F522" s="19" t="s">
        <v>30</v>
      </c>
      <c r="G522" s="19" t="s">
        <v>31</v>
      </c>
      <c r="J522" s="19" t="s">
        <v>1284</v>
      </c>
      <c r="K522" s="19" t="s">
        <v>32</v>
      </c>
      <c r="L522" s="19" t="s">
        <v>1276</v>
      </c>
      <c r="M522" s="19">
        <v>0</v>
      </c>
      <c r="N522" s="19">
        <v>1420</v>
      </c>
      <c r="O522" s="19">
        <v>0.186790995139422</v>
      </c>
      <c r="P522" s="19" t="s">
        <v>1277</v>
      </c>
      <c r="Q522" s="19">
        <v>2.93175</v>
      </c>
      <c r="R522">
        <f t="shared" si="32"/>
        <v>14.2</v>
      </c>
      <c r="T522" s="15" t="s">
        <v>54</v>
      </c>
      <c r="U522" s="17"/>
      <c r="V522" s="16" t="str">
        <f t="shared" si="33"/>
        <v>EN_SPV_19_c01_MWI</v>
      </c>
      <c r="W522" s="12">
        <f t="shared" si="34"/>
        <v>1420</v>
      </c>
      <c r="X522" s="11">
        <f t="shared" si="35"/>
        <v>1420</v>
      </c>
      <c r="Y522" s="17">
        <v>3</v>
      </c>
      <c r="Z522" s="17"/>
      <c r="AC522" s="19" t="s">
        <v>1284</v>
      </c>
    </row>
    <row r="523" spans="2:29">
      <c r="B523" s="19" t="s">
        <v>26</v>
      </c>
      <c r="C523" s="19" t="s">
        <v>1286</v>
      </c>
      <c r="D523" s="19" t="s">
        <v>1287</v>
      </c>
      <c r="E523" s="19" t="s">
        <v>29</v>
      </c>
      <c r="F523" s="19" t="s">
        <v>30</v>
      </c>
      <c r="G523" s="19" t="s">
        <v>31</v>
      </c>
      <c r="J523" s="19" t="s">
        <v>1286</v>
      </c>
      <c r="K523" s="19" t="s">
        <v>32</v>
      </c>
      <c r="L523" s="19" t="s">
        <v>1276</v>
      </c>
      <c r="M523" s="19">
        <v>88.9549921786477</v>
      </c>
      <c r="N523" s="19">
        <v>1420</v>
      </c>
      <c r="O523" s="19">
        <v>0.185220611916264</v>
      </c>
      <c r="P523" s="19" t="s">
        <v>1277</v>
      </c>
      <c r="Q523" s="19">
        <v>0.46575</v>
      </c>
      <c r="R523">
        <f t="shared" si="32"/>
        <v>14.2</v>
      </c>
      <c r="T523" s="15" t="s">
        <v>54</v>
      </c>
      <c r="U523" s="17"/>
      <c r="V523" s="16" t="str">
        <f t="shared" si="33"/>
        <v>EN_SPV_19_c02_MWI</v>
      </c>
      <c r="W523" s="12">
        <f t="shared" si="34"/>
        <v>1420</v>
      </c>
      <c r="X523" s="11">
        <f t="shared" si="35"/>
        <v>1420</v>
      </c>
      <c r="Y523" s="17">
        <v>3</v>
      </c>
      <c r="Z523" s="17"/>
      <c r="AC523" s="19" t="s">
        <v>1286</v>
      </c>
    </row>
    <row r="524" spans="2:29">
      <c r="B524" s="19" t="s">
        <v>26</v>
      </c>
      <c r="C524" s="19" t="s">
        <v>1288</v>
      </c>
      <c r="D524" s="19" t="s">
        <v>1289</v>
      </c>
      <c r="E524" s="19" t="s">
        <v>29</v>
      </c>
      <c r="F524" s="19" t="s">
        <v>30</v>
      </c>
      <c r="G524" s="19" t="s">
        <v>31</v>
      </c>
      <c r="J524" s="19" t="s">
        <v>1288</v>
      </c>
      <c r="K524" s="19" t="s">
        <v>32</v>
      </c>
      <c r="L524" s="19" t="s">
        <v>1290</v>
      </c>
      <c r="M524" s="19">
        <v>88.9549921786477</v>
      </c>
      <c r="N524" s="19">
        <v>2221</v>
      </c>
      <c r="O524" s="19">
        <v>0.142515227619</v>
      </c>
      <c r="P524" s="19" t="s">
        <v>1291</v>
      </c>
      <c r="Q524" s="19">
        <v>89.5905</v>
      </c>
      <c r="R524">
        <f t="shared" si="32"/>
        <v>22.21</v>
      </c>
      <c r="T524" s="15" t="s">
        <v>290</v>
      </c>
      <c r="U524" s="17"/>
      <c r="V524" s="16" t="str">
        <f t="shared" si="33"/>
        <v>EN_SPV_14_c02_MYS</v>
      </c>
      <c r="W524" s="12">
        <f t="shared" si="34"/>
        <v>2221</v>
      </c>
      <c r="X524" s="11">
        <f t="shared" si="35"/>
        <v>2221</v>
      </c>
      <c r="Y524" s="17">
        <v>3</v>
      </c>
      <c r="Z524" s="17"/>
      <c r="AC524" s="19" t="s">
        <v>1288</v>
      </c>
    </row>
    <row r="525" spans="2:29">
      <c r="B525" s="19" t="s">
        <v>26</v>
      </c>
      <c r="C525" s="19" t="s">
        <v>1292</v>
      </c>
      <c r="D525" s="19" t="s">
        <v>1293</v>
      </c>
      <c r="E525" s="19" t="s">
        <v>29</v>
      </c>
      <c r="F525" s="19" t="s">
        <v>30</v>
      </c>
      <c r="G525" s="19" t="s">
        <v>31</v>
      </c>
      <c r="J525" s="19" t="s">
        <v>1292</v>
      </c>
      <c r="K525" s="19" t="s">
        <v>32</v>
      </c>
      <c r="L525" s="19" t="s">
        <v>1290</v>
      </c>
      <c r="M525" s="19">
        <v>101.208996203257</v>
      </c>
      <c r="N525" s="19">
        <v>2221</v>
      </c>
      <c r="O525" s="19">
        <v>0.140951363788559</v>
      </c>
      <c r="P525" s="19" t="s">
        <v>1291</v>
      </c>
      <c r="Q525" s="19">
        <v>87.35775</v>
      </c>
      <c r="R525">
        <f t="shared" si="32"/>
        <v>22.21</v>
      </c>
      <c r="T525" s="15" t="s">
        <v>290</v>
      </c>
      <c r="U525" s="17"/>
      <c r="V525" s="16" t="str">
        <f t="shared" si="33"/>
        <v>EN_SPV_14_c03_MYS</v>
      </c>
      <c r="W525" s="12">
        <f t="shared" si="34"/>
        <v>2221</v>
      </c>
      <c r="X525" s="11">
        <f t="shared" si="35"/>
        <v>2221</v>
      </c>
      <c r="Y525" s="17">
        <v>3</v>
      </c>
      <c r="Z525" s="17"/>
      <c r="AC525" s="19" t="s">
        <v>1292</v>
      </c>
    </row>
    <row r="526" spans="2:29">
      <c r="B526" s="19" t="s">
        <v>26</v>
      </c>
      <c r="C526" s="19" t="s">
        <v>1294</v>
      </c>
      <c r="D526" s="19" t="s">
        <v>1295</v>
      </c>
      <c r="E526" s="19" t="s">
        <v>29</v>
      </c>
      <c r="F526" s="19" t="s">
        <v>30</v>
      </c>
      <c r="G526" s="19" t="s">
        <v>31</v>
      </c>
      <c r="J526" s="19" t="s">
        <v>1294</v>
      </c>
      <c r="K526" s="19" t="s">
        <v>32</v>
      </c>
      <c r="L526" s="19" t="s">
        <v>1290</v>
      </c>
      <c r="M526" s="19">
        <v>138.878712278909</v>
      </c>
      <c r="N526" s="19">
        <v>2221</v>
      </c>
      <c r="O526" s="19">
        <v>0.143399700224831</v>
      </c>
      <c r="P526" s="19" t="s">
        <v>1291</v>
      </c>
      <c r="Q526" s="19">
        <v>3.00225</v>
      </c>
      <c r="R526">
        <f t="shared" si="32"/>
        <v>22.21</v>
      </c>
      <c r="T526" s="15" t="s">
        <v>290</v>
      </c>
      <c r="U526" s="17"/>
      <c r="V526" s="16" t="str">
        <f t="shared" si="33"/>
        <v>EN_SPV_14_c04_MYS</v>
      </c>
      <c r="W526" s="12">
        <f t="shared" si="34"/>
        <v>2221</v>
      </c>
      <c r="X526" s="11">
        <f t="shared" si="35"/>
        <v>2221</v>
      </c>
      <c r="Y526" s="17">
        <v>3</v>
      </c>
      <c r="Z526" s="17"/>
      <c r="AC526" s="19" t="s">
        <v>1294</v>
      </c>
    </row>
    <row r="527" spans="2:29">
      <c r="B527" s="19" t="s">
        <v>26</v>
      </c>
      <c r="C527" s="19" t="s">
        <v>1296</v>
      </c>
      <c r="D527" s="19" t="s">
        <v>1297</v>
      </c>
      <c r="E527" s="19" t="s">
        <v>29</v>
      </c>
      <c r="F527" s="19" t="s">
        <v>30</v>
      </c>
      <c r="G527" s="19" t="s">
        <v>31</v>
      </c>
      <c r="J527" s="19" t="s">
        <v>1296</v>
      </c>
      <c r="K527" s="19" t="s">
        <v>32</v>
      </c>
      <c r="L527" s="19" t="s">
        <v>1290</v>
      </c>
      <c r="M527" s="19">
        <v>0</v>
      </c>
      <c r="N527" s="19">
        <v>2221</v>
      </c>
      <c r="O527" s="19">
        <v>0.15143209576472</v>
      </c>
      <c r="P527" s="19" t="s">
        <v>1291</v>
      </c>
      <c r="Q527" s="19">
        <v>12.34275</v>
      </c>
      <c r="R527">
        <f t="shared" si="32"/>
        <v>22.21</v>
      </c>
      <c r="T527" s="15" t="s">
        <v>290</v>
      </c>
      <c r="U527" s="17"/>
      <c r="V527" s="16" t="str">
        <f t="shared" si="33"/>
        <v>EN_SPV_15_c01_MYS</v>
      </c>
      <c r="W527" s="12">
        <f t="shared" si="34"/>
        <v>2221</v>
      </c>
      <c r="X527" s="11">
        <f t="shared" si="35"/>
        <v>2221</v>
      </c>
      <c r="Y527" s="17">
        <v>3</v>
      </c>
      <c r="Z527" s="17"/>
      <c r="AC527" s="19" t="s">
        <v>1296</v>
      </c>
    </row>
    <row r="528" spans="2:29">
      <c r="B528" s="19" t="s">
        <v>26</v>
      </c>
      <c r="C528" s="19" t="s">
        <v>1298</v>
      </c>
      <c r="D528" s="19" t="s">
        <v>1299</v>
      </c>
      <c r="E528" s="19" t="s">
        <v>29</v>
      </c>
      <c r="F528" s="19" t="s">
        <v>30</v>
      </c>
      <c r="G528" s="19" t="s">
        <v>31</v>
      </c>
      <c r="J528" s="19" t="s">
        <v>1298</v>
      </c>
      <c r="K528" s="19" t="s">
        <v>32</v>
      </c>
      <c r="L528" s="19" t="s">
        <v>1290</v>
      </c>
      <c r="M528" s="19">
        <v>88.9549921786477</v>
      </c>
      <c r="N528" s="19">
        <v>2221</v>
      </c>
      <c r="O528" s="19">
        <v>0.149596503388786</v>
      </c>
      <c r="P528" s="19" t="s">
        <v>1291</v>
      </c>
      <c r="Q528" s="19">
        <v>146.07</v>
      </c>
      <c r="R528">
        <f t="shared" si="32"/>
        <v>22.21</v>
      </c>
      <c r="T528" s="15" t="s">
        <v>290</v>
      </c>
      <c r="U528" s="17"/>
      <c r="V528" s="16" t="str">
        <f t="shared" si="33"/>
        <v>EN_SPV_15_c02_MYS</v>
      </c>
      <c r="W528" s="12">
        <f t="shared" si="34"/>
        <v>2221</v>
      </c>
      <c r="X528" s="11">
        <f t="shared" si="35"/>
        <v>2221</v>
      </c>
      <c r="Y528" s="17">
        <v>3</v>
      </c>
      <c r="Z528" s="17"/>
      <c r="AC528" s="19" t="s">
        <v>1298</v>
      </c>
    </row>
    <row r="529" spans="2:29">
      <c r="B529" s="19" t="s">
        <v>26</v>
      </c>
      <c r="C529" s="19" t="s">
        <v>1300</v>
      </c>
      <c r="D529" s="19" t="s">
        <v>1301</v>
      </c>
      <c r="E529" s="19" t="s">
        <v>29</v>
      </c>
      <c r="F529" s="19" t="s">
        <v>30</v>
      </c>
      <c r="G529" s="19" t="s">
        <v>31</v>
      </c>
      <c r="J529" s="19" t="s">
        <v>1300</v>
      </c>
      <c r="K529" s="19" t="s">
        <v>32</v>
      </c>
      <c r="L529" s="19" t="s">
        <v>1290</v>
      </c>
      <c r="M529" s="19">
        <v>101.208996203257</v>
      </c>
      <c r="N529" s="19">
        <v>2221</v>
      </c>
      <c r="O529" s="19">
        <v>0.149308151188317</v>
      </c>
      <c r="P529" s="19" t="s">
        <v>1291</v>
      </c>
      <c r="Q529" s="19">
        <v>62.862</v>
      </c>
      <c r="R529">
        <f t="shared" si="32"/>
        <v>22.21</v>
      </c>
      <c r="T529" s="15" t="s">
        <v>290</v>
      </c>
      <c r="U529" s="17"/>
      <c r="V529" s="16" t="str">
        <f t="shared" si="33"/>
        <v>EN_SPV_15_c03_MYS</v>
      </c>
      <c r="W529" s="12">
        <f t="shared" si="34"/>
        <v>2221</v>
      </c>
      <c r="X529" s="11">
        <f t="shared" si="35"/>
        <v>2221</v>
      </c>
      <c r="Y529" s="17">
        <v>3</v>
      </c>
      <c r="Z529" s="17"/>
      <c r="AC529" s="19" t="s">
        <v>1300</v>
      </c>
    </row>
    <row r="530" spans="2:29">
      <c r="B530" s="19" t="s">
        <v>26</v>
      </c>
      <c r="C530" s="19" t="s">
        <v>1302</v>
      </c>
      <c r="D530" s="19" t="s">
        <v>1303</v>
      </c>
      <c r="E530" s="19" t="s">
        <v>29</v>
      </c>
      <c r="F530" s="19" t="s">
        <v>30</v>
      </c>
      <c r="G530" s="19" t="s">
        <v>31</v>
      </c>
      <c r="J530" s="19" t="s">
        <v>1302</v>
      </c>
      <c r="K530" s="19" t="s">
        <v>32</v>
      </c>
      <c r="L530" s="19" t="s">
        <v>1290</v>
      </c>
      <c r="M530" s="19">
        <v>138.878712278909</v>
      </c>
      <c r="N530" s="19">
        <v>2221</v>
      </c>
      <c r="O530" s="19">
        <v>0.147001547388781</v>
      </c>
      <c r="P530" s="19" t="s">
        <v>1291</v>
      </c>
      <c r="Q530" s="19">
        <v>1.93875</v>
      </c>
      <c r="R530">
        <f t="shared" si="32"/>
        <v>22.21</v>
      </c>
      <c r="T530" s="15" t="s">
        <v>290</v>
      </c>
      <c r="U530" s="17"/>
      <c r="V530" s="16" t="str">
        <f t="shared" si="33"/>
        <v>EN_SPV_15_c04_MYS</v>
      </c>
      <c r="W530" s="12">
        <f t="shared" si="34"/>
        <v>2221</v>
      </c>
      <c r="X530" s="11">
        <f t="shared" si="35"/>
        <v>2221</v>
      </c>
      <c r="Y530" s="17">
        <v>3</v>
      </c>
      <c r="Z530" s="17"/>
      <c r="AC530" s="19" t="s">
        <v>1302</v>
      </c>
    </row>
    <row r="531" spans="2:29">
      <c r="B531" s="19" t="s">
        <v>26</v>
      </c>
      <c r="C531" s="19" t="s">
        <v>1304</v>
      </c>
      <c r="D531" s="19" t="s">
        <v>1305</v>
      </c>
      <c r="E531" s="19" t="s">
        <v>29</v>
      </c>
      <c r="F531" s="19" t="s">
        <v>30</v>
      </c>
      <c r="G531" s="19" t="s">
        <v>31</v>
      </c>
      <c r="J531" s="19" t="s">
        <v>1304</v>
      </c>
      <c r="K531" s="19" t="s">
        <v>32</v>
      </c>
      <c r="L531" s="19" t="s">
        <v>1290</v>
      </c>
      <c r="M531" s="19">
        <v>0</v>
      </c>
      <c r="N531" s="19">
        <v>2221</v>
      </c>
      <c r="O531" s="19">
        <v>0.156888683846306</v>
      </c>
      <c r="P531" s="19" t="s">
        <v>1291</v>
      </c>
      <c r="Q531" s="19">
        <v>11.37975</v>
      </c>
      <c r="R531">
        <f t="shared" si="32"/>
        <v>22.21</v>
      </c>
      <c r="T531" s="15" t="s">
        <v>290</v>
      </c>
      <c r="U531" s="17"/>
      <c r="V531" s="16" t="str">
        <f t="shared" si="33"/>
        <v>EN_SPV_16_c01_MYS</v>
      </c>
      <c r="W531" s="12">
        <f t="shared" si="34"/>
        <v>2221</v>
      </c>
      <c r="X531" s="11">
        <f t="shared" si="35"/>
        <v>2221</v>
      </c>
      <c r="Y531" s="17">
        <v>3</v>
      </c>
      <c r="Z531" s="17"/>
      <c r="AC531" s="19" t="s">
        <v>1304</v>
      </c>
    </row>
    <row r="532" spans="2:29">
      <c r="B532" s="19" t="s">
        <v>26</v>
      </c>
      <c r="C532" s="19" t="s">
        <v>1306</v>
      </c>
      <c r="D532" s="19" t="s">
        <v>1307</v>
      </c>
      <c r="E532" s="19" t="s">
        <v>29</v>
      </c>
      <c r="F532" s="19" t="s">
        <v>30</v>
      </c>
      <c r="G532" s="19" t="s">
        <v>31</v>
      </c>
      <c r="J532" s="19" t="s">
        <v>1306</v>
      </c>
      <c r="K532" s="19" t="s">
        <v>32</v>
      </c>
      <c r="L532" s="19" t="s">
        <v>1290</v>
      </c>
      <c r="M532" s="19">
        <v>88.9549921786477</v>
      </c>
      <c r="N532" s="19">
        <v>2221</v>
      </c>
      <c r="O532" s="19">
        <v>0.156341760166643</v>
      </c>
      <c r="P532" s="19" t="s">
        <v>1291</v>
      </c>
      <c r="Q532" s="19">
        <v>15.84225</v>
      </c>
      <c r="R532">
        <f t="shared" si="32"/>
        <v>22.21</v>
      </c>
      <c r="T532" s="15" t="s">
        <v>290</v>
      </c>
      <c r="U532" s="17"/>
      <c r="V532" s="16" t="str">
        <f t="shared" si="33"/>
        <v>EN_SPV_16_c02_MYS</v>
      </c>
      <c r="W532" s="12">
        <f t="shared" si="34"/>
        <v>2221</v>
      </c>
      <c r="X532" s="11">
        <f t="shared" si="35"/>
        <v>2221</v>
      </c>
      <c r="Y532" s="17">
        <v>3</v>
      </c>
      <c r="Z532" s="17"/>
      <c r="AC532" s="19" t="s">
        <v>1306</v>
      </c>
    </row>
    <row r="533" spans="2:29">
      <c r="B533" s="19" t="s">
        <v>26</v>
      </c>
      <c r="C533" s="19" t="s">
        <v>1308</v>
      </c>
      <c r="D533" s="19" t="s">
        <v>1309</v>
      </c>
      <c r="E533" s="19" t="s">
        <v>29</v>
      </c>
      <c r="F533" s="19" t="s">
        <v>30</v>
      </c>
      <c r="G533" s="19" t="s">
        <v>31</v>
      </c>
      <c r="J533" s="19" t="s">
        <v>1308</v>
      </c>
      <c r="K533" s="19" t="s">
        <v>32</v>
      </c>
      <c r="L533" s="19" t="s">
        <v>1290</v>
      </c>
      <c r="M533" s="19">
        <v>101.208996203257</v>
      </c>
      <c r="N533" s="19">
        <v>2221</v>
      </c>
      <c r="O533" s="19">
        <v>0.155812459144986</v>
      </c>
      <c r="P533" s="19" t="s">
        <v>1291</v>
      </c>
      <c r="Q533" s="19">
        <v>11.4735</v>
      </c>
      <c r="R533">
        <f t="shared" si="32"/>
        <v>22.21</v>
      </c>
      <c r="T533" s="15" t="s">
        <v>290</v>
      </c>
      <c r="U533" s="17"/>
      <c r="V533" s="16" t="str">
        <f t="shared" si="33"/>
        <v>EN_SPV_16_c03_MYS</v>
      </c>
      <c r="W533" s="12">
        <f t="shared" si="34"/>
        <v>2221</v>
      </c>
      <c r="X533" s="11">
        <f t="shared" si="35"/>
        <v>2221</v>
      </c>
      <c r="Y533" s="17">
        <v>3</v>
      </c>
      <c r="Z533" s="17"/>
      <c r="AC533" s="19" t="s">
        <v>1308</v>
      </c>
    </row>
    <row r="534" spans="2:29">
      <c r="B534" s="19" t="s">
        <v>26</v>
      </c>
      <c r="C534" s="19" t="s">
        <v>1310</v>
      </c>
      <c r="D534" s="19" t="s">
        <v>1311</v>
      </c>
      <c r="E534" s="19" t="s">
        <v>29</v>
      </c>
      <c r="F534" s="19" t="s">
        <v>30</v>
      </c>
      <c r="G534" s="19" t="s">
        <v>31</v>
      </c>
      <c r="J534" s="19" t="s">
        <v>1310</v>
      </c>
      <c r="K534" s="19" t="s">
        <v>32</v>
      </c>
      <c r="L534" s="19" t="s">
        <v>1312</v>
      </c>
      <c r="M534" s="19">
        <v>0</v>
      </c>
      <c r="N534" s="19">
        <v>1288</v>
      </c>
      <c r="O534" s="19">
        <v>0.226</v>
      </c>
      <c r="P534" s="19" t="s">
        <v>1313</v>
      </c>
      <c r="Q534" s="19">
        <v>8.0415</v>
      </c>
      <c r="R534">
        <f t="shared" si="32"/>
        <v>12.88</v>
      </c>
      <c r="T534" s="15" t="s">
        <v>54</v>
      </c>
      <c r="U534" s="17"/>
      <c r="V534" s="16" t="str">
        <f t="shared" si="33"/>
        <v>EN_SPV_23_c01_NAM</v>
      </c>
      <c r="W534" s="12">
        <f t="shared" si="34"/>
        <v>1288</v>
      </c>
      <c r="X534" s="11">
        <f t="shared" si="35"/>
        <v>1288</v>
      </c>
      <c r="Y534" s="17">
        <v>3</v>
      </c>
      <c r="Z534" s="17"/>
      <c r="AC534" s="19" t="s">
        <v>1310</v>
      </c>
    </row>
    <row r="535" spans="2:29">
      <c r="B535" s="19" t="s">
        <v>26</v>
      </c>
      <c r="C535" s="19" t="s">
        <v>1314</v>
      </c>
      <c r="D535" s="19" t="s">
        <v>1315</v>
      </c>
      <c r="E535" s="19" t="s">
        <v>29</v>
      </c>
      <c r="F535" s="19" t="s">
        <v>30</v>
      </c>
      <c r="G535" s="19" t="s">
        <v>31</v>
      </c>
      <c r="J535" s="19" t="s">
        <v>1314</v>
      </c>
      <c r="K535" s="19" t="s">
        <v>32</v>
      </c>
      <c r="L535" s="19" t="s">
        <v>1316</v>
      </c>
      <c r="M535" s="19">
        <v>101.208996203257</v>
      </c>
      <c r="N535" s="19">
        <v>1621</v>
      </c>
      <c r="O535" s="19">
        <v>0.216</v>
      </c>
      <c r="P535" s="19" t="s">
        <v>1317</v>
      </c>
      <c r="Q535" s="19">
        <v>5.2275</v>
      </c>
      <c r="R535">
        <f t="shared" si="32"/>
        <v>16.21</v>
      </c>
      <c r="T535" s="15" t="s">
        <v>54</v>
      </c>
      <c r="U535" s="17"/>
      <c r="V535" s="16" t="str">
        <f t="shared" si="33"/>
        <v>EN_SPV_22_c03_NER</v>
      </c>
      <c r="W535" s="12">
        <f t="shared" si="34"/>
        <v>1621</v>
      </c>
      <c r="X535" s="11">
        <f t="shared" si="35"/>
        <v>1621</v>
      </c>
      <c r="Y535" s="17">
        <v>3</v>
      </c>
      <c r="Z535" s="17"/>
      <c r="AC535" s="19" t="s">
        <v>1314</v>
      </c>
    </row>
    <row r="536" spans="2:29">
      <c r="B536" s="19" t="s">
        <v>26</v>
      </c>
      <c r="C536" s="19" t="s">
        <v>1318</v>
      </c>
      <c r="D536" s="19" t="s">
        <v>1319</v>
      </c>
      <c r="E536" s="19" t="s">
        <v>29</v>
      </c>
      <c r="F536" s="19" t="s">
        <v>30</v>
      </c>
      <c r="G536" s="19" t="s">
        <v>31</v>
      </c>
      <c r="J536" s="19" t="s">
        <v>1318</v>
      </c>
      <c r="K536" s="19" t="s">
        <v>32</v>
      </c>
      <c r="L536" s="19" t="s">
        <v>1316</v>
      </c>
      <c r="M536" s="19">
        <v>138.878712278909</v>
      </c>
      <c r="N536" s="19">
        <v>1621</v>
      </c>
      <c r="O536" s="19">
        <v>0.215703846368559</v>
      </c>
      <c r="P536" s="19" t="s">
        <v>1317</v>
      </c>
      <c r="Q536" s="19">
        <v>53.739</v>
      </c>
      <c r="R536">
        <f t="shared" si="32"/>
        <v>16.21</v>
      </c>
      <c r="T536" s="15" t="s">
        <v>54</v>
      </c>
      <c r="U536" s="17"/>
      <c r="V536" s="16" t="str">
        <f t="shared" si="33"/>
        <v>EN_SPV_22_c04_NER</v>
      </c>
      <c r="W536" s="12">
        <f t="shared" si="34"/>
        <v>1621</v>
      </c>
      <c r="X536" s="11">
        <f t="shared" si="35"/>
        <v>1621</v>
      </c>
      <c r="Y536" s="17">
        <v>3</v>
      </c>
      <c r="Z536" s="17"/>
      <c r="AC536" s="19" t="s">
        <v>1318</v>
      </c>
    </row>
    <row r="537" spans="2:29">
      <c r="B537" s="19" t="s">
        <v>26</v>
      </c>
      <c r="C537" s="19" t="s">
        <v>1320</v>
      </c>
      <c r="D537" s="19" t="s">
        <v>1321</v>
      </c>
      <c r="E537" s="19" t="s">
        <v>29</v>
      </c>
      <c r="F537" s="19" t="s">
        <v>30</v>
      </c>
      <c r="G537" s="19" t="s">
        <v>31</v>
      </c>
      <c r="J537" s="19" t="s">
        <v>1320</v>
      </c>
      <c r="K537" s="19" t="s">
        <v>32</v>
      </c>
      <c r="L537" s="19" t="s">
        <v>1322</v>
      </c>
      <c r="M537" s="19">
        <v>0</v>
      </c>
      <c r="N537" s="19">
        <v>1621</v>
      </c>
      <c r="O537" s="19">
        <v>0.180768603392965</v>
      </c>
      <c r="P537" s="19" t="s">
        <v>1323</v>
      </c>
      <c r="Q537" s="19">
        <v>157.34025</v>
      </c>
      <c r="R537">
        <f t="shared" si="32"/>
        <v>16.21</v>
      </c>
      <c r="T537" s="15" t="s">
        <v>54</v>
      </c>
      <c r="U537" s="17"/>
      <c r="V537" s="16" t="str">
        <f t="shared" si="33"/>
        <v>EN_SPV_18_c01_NGA</v>
      </c>
      <c r="W537" s="12">
        <f t="shared" si="34"/>
        <v>1621</v>
      </c>
      <c r="X537" s="11">
        <f t="shared" si="35"/>
        <v>1621</v>
      </c>
      <c r="Y537" s="17">
        <v>3</v>
      </c>
      <c r="Z537" s="17"/>
      <c r="AC537" s="19" t="s">
        <v>1320</v>
      </c>
    </row>
    <row r="538" spans="2:29">
      <c r="B538" s="19" t="s">
        <v>26</v>
      </c>
      <c r="C538" s="19" t="s">
        <v>1324</v>
      </c>
      <c r="D538" s="19" t="s">
        <v>1325</v>
      </c>
      <c r="E538" s="19" t="s">
        <v>29</v>
      </c>
      <c r="F538" s="19" t="s">
        <v>30</v>
      </c>
      <c r="G538" s="19" t="s">
        <v>31</v>
      </c>
      <c r="J538" s="19" t="s">
        <v>1324</v>
      </c>
      <c r="K538" s="19" t="s">
        <v>32</v>
      </c>
      <c r="L538" s="19" t="s">
        <v>1322</v>
      </c>
      <c r="M538" s="19">
        <v>101.208996203257</v>
      </c>
      <c r="N538" s="19">
        <v>1621</v>
      </c>
      <c r="O538" s="19">
        <v>0.18344425454911</v>
      </c>
      <c r="P538" s="19" t="s">
        <v>1323</v>
      </c>
      <c r="Q538" s="19">
        <v>7.46025</v>
      </c>
      <c r="R538">
        <f t="shared" si="32"/>
        <v>16.21</v>
      </c>
      <c r="T538" s="15" t="s">
        <v>54</v>
      </c>
      <c r="U538" s="17"/>
      <c r="V538" s="16" t="str">
        <f t="shared" si="33"/>
        <v>EN_SPV_18_c03_NGA</v>
      </c>
      <c r="W538" s="12">
        <f t="shared" si="34"/>
        <v>1621</v>
      </c>
      <c r="X538" s="11">
        <f t="shared" si="35"/>
        <v>1621</v>
      </c>
      <c r="Y538" s="17">
        <v>3</v>
      </c>
      <c r="Z538" s="17"/>
      <c r="AC538" s="19" t="s">
        <v>1324</v>
      </c>
    </row>
    <row r="539" spans="2:29">
      <c r="B539" s="19" t="s">
        <v>26</v>
      </c>
      <c r="C539" s="19" t="s">
        <v>1326</v>
      </c>
      <c r="D539" s="19" t="s">
        <v>1327</v>
      </c>
      <c r="E539" s="19" t="s">
        <v>29</v>
      </c>
      <c r="F539" s="19" t="s">
        <v>30</v>
      </c>
      <c r="G539" s="19" t="s">
        <v>31</v>
      </c>
      <c r="J539" s="19" t="s">
        <v>1326</v>
      </c>
      <c r="K539" s="19" t="s">
        <v>32</v>
      </c>
      <c r="L539" s="19" t="s">
        <v>1322</v>
      </c>
      <c r="M539" s="19">
        <v>0</v>
      </c>
      <c r="N539" s="19">
        <v>1621</v>
      </c>
      <c r="O539" s="19">
        <v>0.186033231423634</v>
      </c>
      <c r="P539" s="19" t="s">
        <v>1323</v>
      </c>
      <c r="Q539" s="19">
        <v>118.48725</v>
      </c>
      <c r="R539">
        <f t="shared" si="32"/>
        <v>16.21</v>
      </c>
      <c r="T539" s="15" t="s">
        <v>54</v>
      </c>
      <c r="U539" s="17"/>
      <c r="V539" s="16" t="str">
        <f t="shared" si="33"/>
        <v>EN_SPV_19_c01_NGA</v>
      </c>
      <c r="W539" s="12">
        <f t="shared" si="34"/>
        <v>1621</v>
      </c>
      <c r="X539" s="11">
        <f t="shared" si="35"/>
        <v>1621</v>
      </c>
      <c r="Y539" s="17">
        <v>3</v>
      </c>
      <c r="Z539" s="17"/>
      <c r="AC539" s="19" t="s">
        <v>1326</v>
      </c>
    </row>
    <row r="540" spans="2:29">
      <c r="B540" s="19" t="s">
        <v>26</v>
      </c>
      <c r="C540" s="19" t="s">
        <v>1328</v>
      </c>
      <c r="D540" s="19" t="s">
        <v>1329</v>
      </c>
      <c r="E540" s="19" t="s">
        <v>29</v>
      </c>
      <c r="F540" s="19" t="s">
        <v>30</v>
      </c>
      <c r="G540" s="19" t="s">
        <v>31</v>
      </c>
      <c r="J540" s="19" t="s">
        <v>1328</v>
      </c>
      <c r="K540" s="19" t="s">
        <v>32</v>
      </c>
      <c r="L540" s="19" t="s">
        <v>1322</v>
      </c>
      <c r="M540" s="19">
        <v>88.9549921786477</v>
      </c>
      <c r="N540" s="19">
        <v>1621</v>
      </c>
      <c r="O540" s="19">
        <v>0.186176861560873</v>
      </c>
      <c r="P540" s="19" t="s">
        <v>1323</v>
      </c>
      <c r="Q540" s="19">
        <v>49.42425</v>
      </c>
      <c r="R540">
        <f t="shared" si="32"/>
        <v>16.21</v>
      </c>
      <c r="T540" s="15" t="s">
        <v>54</v>
      </c>
      <c r="U540" s="17"/>
      <c r="V540" s="16" t="str">
        <f t="shared" si="33"/>
        <v>EN_SPV_19_c02_NGA</v>
      </c>
      <c r="W540" s="12">
        <f t="shared" si="34"/>
        <v>1621</v>
      </c>
      <c r="X540" s="11">
        <f t="shared" si="35"/>
        <v>1621</v>
      </c>
      <c r="Y540" s="17">
        <v>3</v>
      </c>
      <c r="Z540" s="17"/>
      <c r="AC540" s="19" t="s">
        <v>1328</v>
      </c>
    </row>
    <row r="541" spans="2:29">
      <c r="B541" s="19" t="s">
        <v>26</v>
      </c>
      <c r="C541" s="19" t="s">
        <v>1330</v>
      </c>
      <c r="D541" s="19" t="s">
        <v>1331</v>
      </c>
      <c r="E541" s="19" t="s">
        <v>29</v>
      </c>
      <c r="F541" s="19" t="s">
        <v>30</v>
      </c>
      <c r="G541" s="19" t="s">
        <v>31</v>
      </c>
      <c r="J541" s="19" t="s">
        <v>1330</v>
      </c>
      <c r="K541" s="19" t="s">
        <v>32</v>
      </c>
      <c r="L541" s="19" t="s">
        <v>1322</v>
      </c>
      <c r="M541" s="19">
        <v>101.208996203257</v>
      </c>
      <c r="N541" s="19">
        <v>1621</v>
      </c>
      <c r="O541" s="19">
        <v>0.185907592798583</v>
      </c>
      <c r="P541" s="19" t="s">
        <v>1323</v>
      </c>
      <c r="Q541" s="19">
        <v>18.20475</v>
      </c>
      <c r="R541">
        <f t="shared" si="32"/>
        <v>16.21</v>
      </c>
      <c r="T541" s="15" t="s">
        <v>54</v>
      </c>
      <c r="U541" s="17"/>
      <c r="V541" s="16" t="str">
        <f t="shared" si="33"/>
        <v>EN_SPV_19_c03_NGA</v>
      </c>
      <c r="W541" s="12">
        <f t="shared" si="34"/>
        <v>1621</v>
      </c>
      <c r="X541" s="11">
        <f t="shared" si="35"/>
        <v>1621</v>
      </c>
      <c r="Y541" s="17">
        <v>3</v>
      </c>
      <c r="Z541" s="17"/>
      <c r="AC541" s="19" t="s">
        <v>1330</v>
      </c>
    </row>
    <row r="542" spans="2:29">
      <c r="B542" s="19" t="s">
        <v>26</v>
      </c>
      <c r="C542" s="19" t="s">
        <v>1332</v>
      </c>
      <c r="D542" s="19" t="s">
        <v>1333</v>
      </c>
      <c r="E542" s="19" t="s">
        <v>29</v>
      </c>
      <c r="F542" s="19" t="s">
        <v>30</v>
      </c>
      <c r="G542" s="19" t="s">
        <v>31</v>
      </c>
      <c r="J542" s="19" t="s">
        <v>1332</v>
      </c>
      <c r="K542" s="19" t="s">
        <v>32</v>
      </c>
      <c r="L542" s="19" t="s">
        <v>1322</v>
      </c>
      <c r="M542" s="19">
        <v>138.878712278909</v>
      </c>
      <c r="N542" s="19">
        <v>1621</v>
      </c>
      <c r="O542" s="19">
        <v>0.186</v>
      </c>
      <c r="P542" s="19" t="s">
        <v>1323</v>
      </c>
      <c r="Q542" s="19">
        <v>3.59925</v>
      </c>
      <c r="R542">
        <f t="shared" si="32"/>
        <v>16.21</v>
      </c>
      <c r="T542" s="15" t="s">
        <v>54</v>
      </c>
      <c r="U542" s="17"/>
      <c r="V542" s="16" t="str">
        <f t="shared" si="33"/>
        <v>EN_SPV_19_c04_NGA</v>
      </c>
      <c r="W542" s="12">
        <f t="shared" si="34"/>
        <v>1621</v>
      </c>
      <c r="X542" s="11">
        <f t="shared" si="35"/>
        <v>1621</v>
      </c>
      <c r="Y542" s="17">
        <v>3</v>
      </c>
      <c r="Z542" s="17"/>
      <c r="AC542" s="19" t="s">
        <v>1332</v>
      </c>
    </row>
    <row r="543" spans="2:29">
      <c r="B543" s="19" t="s">
        <v>26</v>
      </c>
      <c r="C543" s="19" t="s">
        <v>1334</v>
      </c>
      <c r="D543" s="19" t="s">
        <v>1335</v>
      </c>
      <c r="E543" s="19" t="s">
        <v>29</v>
      </c>
      <c r="F543" s="19" t="s">
        <v>30</v>
      </c>
      <c r="G543" s="19" t="s">
        <v>31</v>
      </c>
      <c r="J543" s="19" t="s">
        <v>1334</v>
      </c>
      <c r="K543" s="19" t="s">
        <v>32</v>
      </c>
      <c r="L543" s="19" t="s">
        <v>1336</v>
      </c>
      <c r="M543" s="19">
        <v>0</v>
      </c>
      <c r="N543" s="19">
        <v>1285</v>
      </c>
      <c r="O543" s="19">
        <v>0.157620424484774</v>
      </c>
      <c r="P543" s="19" t="s">
        <v>1337</v>
      </c>
      <c r="Q543" s="19">
        <v>2.43825</v>
      </c>
      <c r="R543">
        <f t="shared" si="32"/>
        <v>12.85</v>
      </c>
      <c r="T543" s="15" t="s">
        <v>89</v>
      </c>
      <c r="U543" s="17"/>
      <c r="V543" s="16" t="str">
        <f t="shared" si="33"/>
        <v>EN_SPV_16_c01_NIC</v>
      </c>
      <c r="W543" s="12">
        <f t="shared" si="34"/>
        <v>1285</v>
      </c>
      <c r="X543" s="11">
        <f t="shared" si="35"/>
        <v>1285</v>
      </c>
      <c r="Y543" s="17">
        <v>3</v>
      </c>
      <c r="Z543" s="17"/>
      <c r="AC543" s="19" t="s">
        <v>1334</v>
      </c>
    </row>
    <row r="544" spans="2:29">
      <c r="B544" s="19" t="s">
        <v>26</v>
      </c>
      <c r="C544" s="19" t="s">
        <v>1338</v>
      </c>
      <c r="D544" s="19" t="s">
        <v>1339</v>
      </c>
      <c r="E544" s="19" t="s">
        <v>29</v>
      </c>
      <c r="F544" s="19" t="s">
        <v>30</v>
      </c>
      <c r="G544" s="19" t="s">
        <v>31</v>
      </c>
      <c r="J544" s="19" t="s">
        <v>1338</v>
      </c>
      <c r="K544" s="19" t="s">
        <v>32</v>
      </c>
      <c r="L544" s="19" t="s">
        <v>1336</v>
      </c>
      <c r="M544" s="19">
        <v>88.9549921786477</v>
      </c>
      <c r="N544" s="19">
        <v>1285</v>
      </c>
      <c r="O544" s="19">
        <v>0.159930397289806</v>
      </c>
      <c r="P544" s="19" t="s">
        <v>1337</v>
      </c>
      <c r="Q544" s="19">
        <v>4.8705</v>
      </c>
      <c r="R544">
        <f t="shared" si="32"/>
        <v>12.85</v>
      </c>
      <c r="T544" s="15" t="s">
        <v>89</v>
      </c>
      <c r="U544" s="17"/>
      <c r="V544" s="16" t="str">
        <f t="shared" si="33"/>
        <v>EN_SPV_16_c02_NIC</v>
      </c>
      <c r="W544" s="12">
        <f t="shared" si="34"/>
        <v>1285</v>
      </c>
      <c r="X544" s="11">
        <f t="shared" si="35"/>
        <v>1285</v>
      </c>
      <c r="Y544" s="17">
        <v>3</v>
      </c>
      <c r="Z544" s="17"/>
      <c r="AC544" s="19" t="s">
        <v>1338</v>
      </c>
    </row>
    <row r="545" spans="2:29">
      <c r="B545" s="19" t="s">
        <v>26</v>
      </c>
      <c r="C545" s="19" t="s">
        <v>1340</v>
      </c>
      <c r="D545" s="19" t="s">
        <v>1341</v>
      </c>
      <c r="E545" s="19" t="s">
        <v>29</v>
      </c>
      <c r="F545" s="19" t="s">
        <v>30</v>
      </c>
      <c r="G545" s="19" t="s">
        <v>31</v>
      </c>
      <c r="J545" s="19" t="s">
        <v>1340</v>
      </c>
      <c r="K545" s="19" t="s">
        <v>32</v>
      </c>
      <c r="L545" s="19" t="s">
        <v>1336</v>
      </c>
      <c r="M545" s="19">
        <v>138.878712278909</v>
      </c>
      <c r="N545" s="19">
        <v>1285</v>
      </c>
      <c r="O545" s="19">
        <v>0.158012620638456</v>
      </c>
      <c r="P545" s="19" t="s">
        <v>1337</v>
      </c>
      <c r="Q545" s="19">
        <v>2.0205</v>
      </c>
      <c r="R545">
        <f t="shared" si="32"/>
        <v>12.85</v>
      </c>
      <c r="T545" s="15" t="s">
        <v>89</v>
      </c>
      <c r="U545" s="17"/>
      <c r="V545" s="16" t="str">
        <f t="shared" si="33"/>
        <v>EN_SPV_16_c04_NIC</v>
      </c>
      <c r="W545" s="12">
        <f t="shared" si="34"/>
        <v>1285</v>
      </c>
      <c r="X545" s="11">
        <f t="shared" si="35"/>
        <v>1285</v>
      </c>
      <c r="Y545" s="17">
        <v>3</v>
      </c>
      <c r="Z545" s="17"/>
      <c r="AC545" s="19" t="s">
        <v>1340</v>
      </c>
    </row>
    <row r="546" spans="2:29">
      <c r="B546" s="19" t="s">
        <v>26</v>
      </c>
      <c r="C546" s="19" t="s">
        <v>1342</v>
      </c>
      <c r="D546" s="19" t="s">
        <v>1343</v>
      </c>
      <c r="E546" s="19" t="s">
        <v>29</v>
      </c>
      <c r="F546" s="19" t="s">
        <v>30</v>
      </c>
      <c r="G546" s="19" t="s">
        <v>31</v>
      </c>
      <c r="J546" s="19" t="s">
        <v>1342</v>
      </c>
      <c r="K546" s="19" t="s">
        <v>32</v>
      </c>
      <c r="L546" s="19" t="s">
        <v>1336</v>
      </c>
      <c r="M546" s="19">
        <v>0</v>
      </c>
      <c r="N546" s="19">
        <v>1285</v>
      </c>
      <c r="O546" s="19">
        <v>0.169824548736462</v>
      </c>
      <c r="P546" s="19" t="s">
        <v>1337</v>
      </c>
      <c r="Q546" s="19">
        <v>1.03875</v>
      </c>
      <c r="R546">
        <f t="shared" si="32"/>
        <v>12.85</v>
      </c>
      <c r="T546" s="15" t="s">
        <v>89</v>
      </c>
      <c r="U546" s="17"/>
      <c r="V546" s="16" t="str">
        <f t="shared" si="33"/>
        <v>EN_SPV_17_c01_NIC</v>
      </c>
      <c r="W546" s="12">
        <f t="shared" si="34"/>
        <v>1285</v>
      </c>
      <c r="X546" s="11">
        <f t="shared" si="35"/>
        <v>1285</v>
      </c>
      <c r="Y546" s="17">
        <v>3</v>
      </c>
      <c r="Z546" s="17"/>
      <c r="AC546" s="19" t="s">
        <v>1342</v>
      </c>
    </row>
    <row r="547" spans="2:29">
      <c r="B547" s="19" t="s">
        <v>26</v>
      </c>
      <c r="C547" s="19" t="s">
        <v>1344</v>
      </c>
      <c r="D547" s="19" t="s">
        <v>1345</v>
      </c>
      <c r="E547" s="19" t="s">
        <v>29</v>
      </c>
      <c r="F547" s="19" t="s">
        <v>30</v>
      </c>
      <c r="G547" s="19" t="s">
        <v>31</v>
      </c>
      <c r="J547" s="19" t="s">
        <v>1344</v>
      </c>
      <c r="K547" s="19" t="s">
        <v>32</v>
      </c>
      <c r="L547" s="19" t="s">
        <v>1336</v>
      </c>
      <c r="M547" s="19">
        <v>101.208996203257</v>
      </c>
      <c r="N547" s="19">
        <v>1285</v>
      </c>
      <c r="O547" s="19">
        <v>0.165</v>
      </c>
      <c r="P547" s="19" t="s">
        <v>1337</v>
      </c>
      <c r="Q547" s="19">
        <v>0.58425</v>
      </c>
      <c r="R547">
        <f t="shared" si="32"/>
        <v>12.85</v>
      </c>
      <c r="T547" s="15" t="s">
        <v>89</v>
      </c>
      <c r="U547" s="17"/>
      <c r="V547" s="16" t="str">
        <f t="shared" si="33"/>
        <v>EN_SPV_17_c03_NIC</v>
      </c>
      <c r="W547" s="12">
        <f t="shared" si="34"/>
        <v>1285</v>
      </c>
      <c r="X547" s="11">
        <f t="shared" si="35"/>
        <v>1285</v>
      </c>
      <c r="Y547" s="17">
        <v>3</v>
      </c>
      <c r="Z547" s="17"/>
      <c r="AC547" s="19" t="s">
        <v>1344</v>
      </c>
    </row>
    <row r="548" spans="2:29">
      <c r="B548" s="19" t="s">
        <v>26</v>
      </c>
      <c r="C548" s="19" t="s">
        <v>1346</v>
      </c>
      <c r="D548" s="19" t="s">
        <v>1347</v>
      </c>
      <c r="E548" s="19" t="s">
        <v>29</v>
      </c>
      <c r="F548" s="19" t="s">
        <v>30</v>
      </c>
      <c r="G548" s="19" t="s">
        <v>31</v>
      </c>
      <c r="J548" s="19" t="s">
        <v>1346</v>
      </c>
      <c r="K548" s="19" t="s">
        <v>32</v>
      </c>
      <c r="L548" s="19" t="s">
        <v>1336</v>
      </c>
      <c r="M548" s="19">
        <v>138.878712278909</v>
      </c>
      <c r="N548" s="19">
        <v>1285</v>
      </c>
      <c r="O548" s="19">
        <v>0.165</v>
      </c>
      <c r="P548" s="19" t="s">
        <v>1337</v>
      </c>
      <c r="Q548" s="19">
        <v>0.3045</v>
      </c>
      <c r="R548">
        <f t="shared" si="32"/>
        <v>12.85</v>
      </c>
      <c r="T548" s="15" t="s">
        <v>89</v>
      </c>
      <c r="U548" s="17"/>
      <c r="V548" s="16" t="str">
        <f t="shared" si="33"/>
        <v>EN_SPV_17_c04_NIC</v>
      </c>
      <c r="W548" s="12">
        <f t="shared" si="34"/>
        <v>1285</v>
      </c>
      <c r="X548" s="11">
        <f t="shared" si="35"/>
        <v>1285</v>
      </c>
      <c r="Y548" s="17">
        <v>3</v>
      </c>
      <c r="Z548" s="17"/>
      <c r="AC548" s="19" t="s">
        <v>1346</v>
      </c>
    </row>
    <row r="549" spans="2:29">
      <c r="B549" s="19" t="s">
        <v>26</v>
      </c>
      <c r="C549" s="19" t="s">
        <v>1348</v>
      </c>
      <c r="D549" s="19" t="s">
        <v>1349</v>
      </c>
      <c r="E549" s="19" t="s">
        <v>29</v>
      </c>
      <c r="F549" s="19" t="s">
        <v>30</v>
      </c>
      <c r="G549" s="19" t="s">
        <v>31</v>
      </c>
      <c r="J549" s="19" t="s">
        <v>1348</v>
      </c>
      <c r="K549" s="19" t="s">
        <v>32</v>
      </c>
      <c r="L549" s="19" t="s">
        <v>1336</v>
      </c>
      <c r="M549" s="19">
        <v>0</v>
      </c>
      <c r="N549" s="19">
        <v>1285</v>
      </c>
      <c r="O549" s="19">
        <v>0.180693313953488</v>
      </c>
      <c r="P549" s="19" t="s">
        <v>1337</v>
      </c>
      <c r="Q549" s="19">
        <v>1.032</v>
      </c>
      <c r="R549">
        <f t="shared" si="32"/>
        <v>12.85</v>
      </c>
      <c r="T549" s="15" t="s">
        <v>89</v>
      </c>
      <c r="U549" s="17"/>
      <c r="V549" s="16" t="str">
        <f t="shared" si="33"/>
        <v>EN_SPV_18_c01_NIC</v>
      </c>
      <c r="W549" s="12">
        <f t="shared" si="34"/>
        <v>1285</v>
      </c>
      <c r="X549" s="11">
        <f t="shared" si="35"/>
        <v>1285</v>
      </c>
      <c r="Y549" s="17">
        <v>3</v>
      </c>
      <c r="Z549" s="17"/>
      <c r="AC549" s="19" t="s">
        <v>1348</v>
      </c>
    </row>
    <row r="550" spans="2:29">
      <c r="B550" s="19" t="s">
        <v>26</v>
      </c>
      <c r="C550" s="19" t="s">
        <v>1350</v>
      </c>
      <c r="D550" s="19" t="s">
        <v>1351</v>
      </c>
      <c r="E550" s="19" t="s">
        <v>29</v>
      </c>
      <c r="F550" s="19" t="s">
        <v>30</v>
      </c>
      <c r="G550" s="19" t="s">
        <v>31</v>
      </c>
      <c r="J550" s="19" t="s">
        <v>1350</v>
      </c>
      <c r="K550" s="19" t="s">
        <v>32</v>
      </c>
      <c r="L550" s="19" t="s">
        <v>1336</v>
      </c>
      <c r="M550" s="19">
        <v>0</v>
      </c>
      <c r="N550" s="19">
        <v>1285</v>
      </c>
      <c r="O550" s="19">
        <v>0.185636885768985</v>
      </c>
      <c r="P550" s="19" t="s">
        <v>1337</v>
      </c>
      <c r="Q550" s="19">
        <v>1.17525</v>
      </c>
      <c r="R550">
        <f t="shared" si="32"/>
        <v>12.85</v>
      </c>
      <c r="T550" s="15" t="s">
        <v>89</v>
      </c>
      <c r="U550" s="17"/>
      <c r="V550" s="16" t="str">
        <f t="shared" si="33"/>
        <v>EN_SPV_19_c01_NIC</v>
      </c>
      <c r="W550" s="12">
        <f t="shared" si="34"/>
        <v>1285</v>
      </c>
      <c r="X550" s="11">
        <f t="shared" si="35"/>
        <v>1285</v>
      </c>
      <c r="Y550" s="17">
        <v>3</v>
      </c>
      <c r="Z550" s="17"/>
      <c r="AC550" s="19" t="s">
        <v>1350</v>
      </c>
    </row>
    <row r="551" spans="2:29">
      <c r="B551" s="19" t="s">
        <v>26</v>
      </c>
      <c r="C551" s="19" t="s">
        <v>1352</v>
      </c>
      <c r="D551" s="19" t="s">
        <v>1353</v>
      </c>
      <c r="E551" s="19" t="s">
        <v>29</v>
      </c>
      <c r="F551" s="19" t="s">
        <v>30</v>
      </c>
      <c r="G551" s="19" t="s">
        <v>31</v>
      </c>
      <c r="J551" s="19" t="s">
        <v>1352</v>
      </c>
      <c r="K551" s="19" t="s">
        <v>32</v>
      </c>
      <c r="L551" s="19" t="s">
        <v>1354</v>
      </c>
      <c r="M551" s="19">
        <v>101.208996203257</v>
      </c>
      <c r="N551" s="19">
        <v>1130</v>
      </c>
      <c r="O551" s="19">
        <v>0.111858776018237</v>
      </c>
      <c r="P551" s="19" t="s">
        <v>1355</v>
      </c>
      <c r="Q551" s="19">
        <v>110.87175</v>
      </c>
      <c r="R551">
        <f t="shared" si="32"/>
        <v>11.3</v>
      </c>
      <c r="T551" s="15" t="s">
        <v>69</v>
      </c>
      <c r="U551" s="17"/>
      <c r="V551" s="16" t="str">
        <f t="shared" si="33"/>
        <v>EN_SPV_11_c03_NLD</v>
      </c>
      <c r="W551" s="12">
        <f t="shared" si="34"/>
        <v>1130</v>
      </c>
      <c r="X551" s="11">
        <f t="shared" si="35"/>
        <v>1130</v>
      </c>
      <c r="Y551" s="17">
        <v>3</v>
      </c>
      <c r="Z551" s="17"/>
      <c r="AC551" s="19" t="s">
        <v>1352</v>
      </c>
    </row>
    <row r="552" spans="2:29">
      <c r="B552" s="19" t="s">
        <v>26</v>
      </c>
      <c r="C552" s="19" t="s">
        <v>1356</v>
      </c>
      <c r="D552" s="19" t="s">
        <v>1357</v>
      </c>
      <c r="E552" s="19" t="s">
        <v>29</v>
      </c>
      <c r="F552" s="19" t="s">
        <v>30</v>
      </c>
      <c r="G552" s="19" t="s">
        <v>31</v>
      </c>
      <c r="J552" s="19" t="s">
        <v>1356</v>
      </c>
      <c r="K552" s="19" t="s">
        <v>32</v>
      </c>
      <c r="L552" s="19" t="s">
        <v>1354</v>
      </c>
      <c r="M552" s="19">
        <v>101.208996203257</v>
      </c>
      <c r="N552" s="19">
        <v>1130</v>
      </c>
      <c r="O552" s="19">
        <v>0.116039706517048</v>
      </c>
      <c r="P552" s="19" t="s">
        <v>1355</v>
      </c>
      <c r="Q552" s="19">
        <v>17.3775</v>
      </c>
      <c r="R552">
        <f t="shared" si="32"/>
        <v>11.3</v>
      </c>
      <c r="T552" s="15" t="s">
        <v>69</v>
      </c>
      <c r="U552" s="17"/>
      <c r="V552" s="16" t="str">
        <f t="shared" si="33"/>
        <v>EN_SPV_12_c03_NLD</v>
      </c>
      <c r="W552" s="12">
        <f t="shared" si="34"/>
        <v>1130</v>
      </c>
      <c r="X552" s="11">
        <f t="shared" si="35"/>
        <v>1130</v>
      </c>
      <c r="Y552" s="17">
        <v>3</v>
      </c>
      <c r="Z552" s="17"/>
      <c r="AC552" s="19" t="s">
        <v>1356</v>
      </c>
    </row>
    <row r="553" spans="2:29">
      <c r="B553" s="19" t="s">
        <v>26</v>
      </c>
      <c r="C553" s="19" t="s">
        <v>1358</v>
      </c>
      <c r="D553" s="19" t="s">
        <v>1359</v>
      </c>
      <c r="E553" s="19" t="s">
        <v>29</v>
      </c>
      <c r="F553" s="19" t="s">
        <v>30</v>
      </c>
      <c r="G553" s="19" t="s">
        <v>31</v>
      </c>
      <c r="J553" s="19" t="s">
        <v>1358</v>
      </c>
      <c r="K553" s="19" t="s">
        <v>32</v>
      </c>
      <c r="L553" s="19" t="s">
        <v>1360</v>
      </c>
      <c r="M553" s="19">
        <v>101.208996203257</v>
      </c>
      <c r="N553" s="19">
        <v>1045</v>
      </c>
      <c r="O553" s="19">
        <v>0.10270882740448</v>
      </c>
      <c r="P553" s="19" t="s">
        <v>1361</v>
      </c>
      <c r="Q553" s="19">
        <v>5.6925</v>
      </c>
      <c r="R553">
        <f t="shared" si="32"/>
        <v>10.45</v>
      </c>
      <c r="T553" s="15" t="s">
        <v>69</v>
      </c>
      <c r="U553" s="17"/>
      <c r="V553" s="16" t="str">
        <f t="shared" si="33"/>
        <v>EN_SPV_10_c03_NOR</v>
      </c>
      <c r="W553" s="12">
        <f t="shared" si="34"/>
        <v>1045</v>
      </c>
      <c r="X553" s="11">
        <f t="shared" si="35"/>
        <v>1045</v>
      </c>
      <c r="Y553" s="17">
        <v>3</v>
      </c>
      <c r="Z553" s="17"/>
      <c r="AC553" s="19" t="s">
        <v>1358</v>
      </c>
    </row>
    <row r="554" spans="2:29">
      <c r="B554" s="19" t="s">
        <v>26</v>
      </c>
      <c r="C554" s="19" t="s">
        <v>1362</v>
      </c>
      <c r="D554" s="19" t="s">
        <v>1363</v>
      </c>
      <c r="E554" s="19" t="s">
        <v>29</v>
      </c>
      <c r="F554" s="19" t="s">
        <v>30</v>
      </c>
      <c r="G554" s="19" t="s">
        <v>31</v>
      </c>
      <c r="J554" s="19" t="s">
        <v>1362</v>
      </c>
      <c r="K554" s="19" t="s">
        <v>32</v>
      </c>
      <c r="L554" s="19" t="s">
        <v>1360</v>
      </c>
      <c r="M554" s="19">
        <v>101.208996203257</v>
      </c>
      <c r="N554" s="19">
        <v>1045</v>
      </c>
      <c r="O554" s="19">
        <v>0.110800146279027</v>
      </c>
      <c r="P554" s="19" t="s">
        <v>1361</v>
      </c>
      <c r="Q554" s="19">
        <v>69.72975</v>
      </c>
      <c r="R554">
        <f t="shared" si="32"/>
        <v>10.45</v>
      </c>
      <c r="T554" s="15" t="s">
        <v>69</v>
      </c>
      <c r="U554" s="17"/>
      <c r="V554" s="16" t="str">
        <f t="shared" si="33"/>
        <v>EN_SPV_11_c03_NOR</v>
      </c>
      <c r="W554" s="12">
        <f t="shared" si="34"/>
        <v>1045</v>
      </c>
      <c r="X554" s="11">
        <f t="shared" si="35"/>
        <v>1045</v>
      </c>
      <c r="Y554" s="17">
        <v>3</v>
      </c>
      <c r="Z554" s="17"/>
      <c r="AC554" s="19" t="s">
        <v>1362</v>
      </c>
    </row>
    <row r="555" spans="2:29">
      <c r="B555" s="19" t="s">
        <v>26</v>
      </c>
      <c r="C555" s="19" t="s">
        <v>1364</v>
      </c>
      <c r="D555" s="19" t="s">
        <v>1365</v>
      </c>
      <c r="E555" s="19" t="s">
        <v>29</v>
      </c>
      <c r="F555" s="19" t="s">
        <v>30</v>
      </c>
      <c r="G555" s="19" t="s">
        <v>31</v>
      </c>
      <c r="J555" s="19" t="s">
        <v>1364</v>
      </c>
      <c r="K555" s="19" t="s">
        <v>32</v>
      </c>
      <c r="L555" s="19" t="s">
        <v>1360</v>
      </c>
      <c r="M555" s="19">
        <v>101.208996203257</v>
      </c>
      <c r="N555" s="19">
        <v>1045</v>
      </c>
      <c r="O555" s="19">
        <v>0.115838605348269</v>
      </c>
      <c r="P555" s="19" t="s">
        <v>1361</v>
      </c>
      <c r="Q555" s="19">
        <v>19.0155</v>
      </c>
      <c r="R555">
        <f t="shared" si="32"/>
        <v>10.45</v>
      </c>
      <c r="T555" s="15" t="s">
        <v>69</v>
      </c>
      <c r="U555" s="17"/>
      <c r="V555" s="16" t="str">
        <f t="shared" si="33"/>
        <v>EN_SPV_12_c03_NOR</v>
      </c>
      <c r="W555" s="12">
        <f t="shared" si="34"/>
        <v>1045</v>
      </c>
      <c r="X555" s="11">
        <f t="shared" si="35"/>
        <v>1045</v>
      </c>
      <c r="Y555" s="17">
        <v>3</v>
      </c>
      <c r="Z555" s="17"/>
      <c r="AC555" s="19" t="s">
        <v>1364</v>
      </c>
    </row>
    <row r="556" spans="2:29">
      <c r="B556" s="19" t="s">
        <v>26</v>
      </c>
      <c r="C556" s="19" t="s">
        <v>1366</v>
      </c>
      <c r="D556" s="19" t="s">
        <v>1367</v>
      </c>
      <c r="E556" s="19" t="s">
        <v>29</v>
      </c>
      <c r="F556" s="19" t="s">
        <v>30</v>
      </c>
      <c r="G556" s="19" t="s">
        <v>31</v>
      </c>
      <c r="J556" s="19" t="s">
        <v>1366</v>
      </c>
      <c r="K556" s="19" t="s">
        <v>32</v>
      </c>
      <c r="L556" s="19" t="s">
        <v>1368</v>
      </c>
      <c r="M556" s="19">
        <v>88.9549921786477</v>
      </c>
      <c r="N556" s="19">
        <v>1443</v>
      </c>
      <c r="O556" s="19">
        <v>0.145</v>
      </c>
      <c r="P556" s="19" t="s">
        <v>1369</v>
      </c>
      <c r="Q556" s="19">
        <v>2.694</v>
      </c>
      <c r="R556">
        <f t="shared" si="32"/>
        <v>14.43</v>
      </c>
      <c r="T556" s="15" t="s">
        <v>35</v>
      </c>
      <c r="U556" s="17"/>
      <c r="V556" s="16" t="str">
        <f t="shared" si="33"/>
        <v>EN_SPV_14_c02_NPL</v>
      </c>
      <c r="W556" s="12">
        <f t="shared" si="34"/>
        <v>1443</v>
      </c>
      <c r="X556" s="11">
        <f t="shared" si="35"/>
        <v>1443</v>
      </c>
      <c r="Y556" s="17">
        <v>3</v>
      </c>
      <c r="Z556" s="17"/>
      <c r="AC556" s="19" t="s">
        <v>1366</v>
      </c>
    </row>
    <row r="557" spans="2:29">
      <c r="B557" s="19" t="s">
        <v>26</v>
      </c>
      <c r="C557" s="19" t="s">
        <v>1370</v>
      </c>
      <c r="D557" s="19" t="s">
        <v>1371</v>
      </c>
      <c r="E557" s="19" t="s">
        <v>29</v>
      </c>
      <c r="F557" s="19" t="s">
        <v>30</v>
      </c>
      <c r="G557" s="19" t="s">
        <v>31</v>
      </c>
      <c r="J557" s="19" t="s">
        <v>1370</v>
      </c>
      <c r="K557" s="19" t="s">
        <v>32</v>
      </c>
      <c r="L557" s="19" t="s">
        <v>1368</v>
      </c>
      <c r="M557" s="19">
        <v>0</v>
      </c>
      <c r="N557" s="19">
        <v>1443</v>
      </c>
      <c r="O557" s="19">
        <v>0.15</v>
      </c>
      <c r="P557" s="19" t="s">
        <v>1369</v>
      </c>
      <c r="Q557" s="19">
        <v>3.861</v>
      </c>
      <c r="R557">
        <f t="shared" si="32"/>
        <v>14.43</v>
      </c>
      <c r="T557" s="15" t="s">
        <v>35</v>
      </c>
      <c r="U557" s="17"/>
      <c r="V557" s="16" t="str">
        <f t="shared" si="33"/>
        <v>EN_SPV_15_c01_NPL</v>
      </c>
      <c r="W557" s="12">
        <f t="shared" si="34"/>
        <v>1443</v>
      </c>
      <c r="X557" s="11">
        <f t="shared" si="35"/>
        <v>1443</v>
      </c>
      <c r="Y557" s="17">
        <v>3</v>
      </c>
      <c r="Z557" s="17"/>
      <c r="AC557" s="19" t="s">
        <v>1370</v>
      </c>
    </row>
    <row r="558" spans="2:29">
      <c r="B558" s="19" t="s">
        <v>26</v>
      </c>
      <c r="C558" s="19" t="s">
        <v>1372</v>
      </c>
      <c r="D558" s="19" t="s">
        <v>1373</v>
      </c>
      <c r="E558" s="19" t="s">
        <v>29</v>
      </c>
      <c r="F558" s="19" t="s">
        <v>30</v>
      </c>
      <c r="G558" s="19" t="s">
        <v>31</v>
      </c>
      <c r="J558" s="19" t="s">
        <v>1372</v>
      </c>
      <c r="K558" s="19" t="s">
        <v>32</v>
      </c>
      <c r="L558" s="19" t="s">
        <v>1368</v>
      </c>
      <c r="M558" s="19">
        <v>88.9549921786477</v>
      </c>
      <c r="N558" s="19">
        <v>1443</v>
      </c>
      <c r="O558" s="19">
        <v>0.150546874491556</v>
      </c>
      <c r="P558" s="19" t="s">
        <v>1369</v>
      </c>
      <c r="Q558" s="19">
        <v>23.04825</v>
      </c>
      <c r="R558">
        <f t="shared" si="32"/>
        <v>14.43</v>
      </c>
      <c r="T558" s="15" t="s">
        <v>35</v>
      </c>
      <c r="U558" s="17"/>
      <c r="V558" s="16" t="str">
        <f t="shared" si="33"/>
        <v>EN_SPV_15_c02_NPL</v>
      </c>
      <c r="W558" s="12">
        <f t="shared" si="34"/>
        <v>1443</v>
      </c>
      <c r="X558" s="11">
        <f t="shared" si="35"/>
        <v>1443</v>
      </c>
      <c r="Y558" s="17">
        <v>3</v>
      </c>
      <c r="Z558" s="17"/>
      <c r="AC558" s="19" t="s">
        <v>1372</v>
      </c>
    </row>
    <row r="559" spans="2:29">
      <c r="B559" s="19" t="s">
        <v>26</v>
      </c>
      <c r="C559" s="19" t="s">
        <v>1374</v>
      </c>
      <c r="D559" s="19" t="s">
        <v>1375</v>
      </c>
      <c r="E559" s="19" t="s">
        <v>29</v>
      </c>
      <c r="F559" s="19" t="s">
        <v>30</v>
      </c>
      <c r="G559" s="19" t="s">
        <v>31</v>
      </c>
      <c r="J559" s="19" t="s">
        <v>1374</v>
      </c>
      <c r="K559" s="19" t="s">
        <v>32</v>
      </c>
      <c r="L559" s="19" t="s">
        <v>1368</v>
      </c>
      <c r="M559" s="19">
        <v>0</v>
      </c>
      <c r="N559" s="19">
        <v>1443</v>
      </c>
      <c r="O559" s="19">
        <v>0.157599131895828</v>
      </c>
      <c r="P559" s="19" t="s">
        <v>1369</v>
      </c>
      <c r="Q559" s="19">
        <v>10.713</v>
      </c>
      <c r="R559">
        <f t="shared" si="32"/>
        <v>14.43</v>
      </c>
      <c r="T559" s="15" t="s">
        <v>35</v>
      </c>
      <c r="U559" s="17"/>
      <c r="V559" s="16" t="str">
        <f t="shared" si="33"/>
        <v>EN_SPV_16_c01_NPL</v>
      </c>
      <c r="W559" s="12">
        <f t="shared" si="34"/>
        <v>1443</v>
      </c>
      <c r="X559" s="11">
        <f t="shared" si="35"/>
        <v>1443</v>
      </c>
      <c r="Y559" s="17">
        <v>3</v>
      </c>
      <c r="Z559" s="17"/>
      <c r="AC559" s="19" t="s">
        <v>1374</v>
      </c>
    </row>
    <row r="560" spans="2:29">
      <c r="B560" s="19" t="s">
        <v>26</v>
      </c>
      <c r="C560" s="19" t="s">
        <v>1376</v>
      </c>
      <c r="D560" s="19" t="s">
        <v>1377</v>
      </c>
      <c r="E560" s="19" t="s">
        <v>29</v>
      </c>
      <c r="F560" s="19" t="s">
        <v>30</v>
      </c>
      <c r="G560" s="19" t="s">
        <v>31</v>
      </c>
      <c r="J560" s="19" t="s">
        <v>1376</v>
      </c>
      <c r="K560" s="19" t="s">
        <v>32</v>
      </c>
      <c r="L560" s="19" t="s">
        <v>1368</v>
      </c>
      <c r="M560" s="19">
        <v>88.9549921786477</v>
      </c>
      <c r="N560" s="19">
        <v>1443</v>
      </c>
      <c r="O560" s="19">
        <v>0.159243050872855</v>
      </c>
      <c r="P560" s="19" t="s">
        <v>1369</v>
      </c>
      <c r="Q560" s="19">
        <v>20.0205</v>
      </c>
      <c r="R560">
        <f t="shared" si="32"/>
        <v>14.43</v>
      </c>
      <c r="T560" s="15" t="s">
        <v>35</v>
      </c>
      <c r="U560" s="17"/>
      <c r="V560" s="16" t="str">
        <f t="shared" si="33"/>
        <v>EN_SPV_16_c02_NPL</v>
      </c>
      <c r="W560" s="12">
        <f t="shared" si="34"/>
        <v>1443</v>
      </c>
      <c r="X560" s="11">
        <f t="shared" si="35"/>
        <v>1443</v>
      </c>
      <c r="Y560" s="17">
        <v>3</v>
      </c>
      <c r="Z560" s="17"/>
      <c r="AC560" s="19" t="s">
        <v>1376</v>
      </c>
    </row>
    <row r="561" spans="2:29">
      <c r="B561" s="19" t="s">
        <v>26</v>
      </c>
      <c r="C561" s="19" t="s">
        <v>1378</v>
      </c>
      <c r="D561" s="19" t="s">
        <v>1379</v>
      </c>
      <c r="E561" s="19" t="s">
        <v>29</v>
      </c>
      <c r="F561" s="19" t="s">
        <v>30</v>
      </c>
      <c r="G561" s="19" t="s">
        <v>31</v>
      </c>
      <c r="J561" s="19" t="s">
        <v>1378</v>
      </c>
      <c r="K561" s="19" t="s">
        <v>32</v>
      </c>
      <c r="L561" s="19" t="s">
        <v>1368</v>
      </c>
      <c r="M561" s="19">
        <v>0</v>
      </c>
      <c r="N561" s="19">
        <v>1443</v>
      </c>
      <c r="O561" s="19">
        <v>0.168687074829932</v>
      </c>
      <c r="P561" s="19" t="s">
        <v>1369</v>
      </c>
      <c r="Q561" s="19">
        <v>0.11025</v>
      </c>
      <c r="R561">
        <f t="shared" si="32"/>
        <v>14.43</v>
      </c>
      <c r="T561" s="15" t="s">
        <v>35</v>
      </c>
      <c r="U561" s="17"/>
      <c r="V561" s="16" t="str">
        <f t="shared" si="33"/>
        <v>EN_SPV_17_c01_NPL</v>
      </c>
      <c r="W561" s="12">
        <f t="shared" si="34"/>
        <v>1443</v>
      </c>
      <c r="X561" s="11">
        <f t="shared" si="35"/>
        <v>1443</v>
      </c>
      <c r="Y561" s="17">
        <v>3</v>
      </c>
      <c r="Z561" s="17"/>
      <c r="AC561" s="19" t="s">
        <v>1378</v>
      </c>
    </row>
    <row r="562" spans="2:29">
      <c r="B562" s="19" t="s">
        <v>26</v>
      </c>
      <c r="C562" s="19" t="s">
        <v>1380</v>
      </c>
      <c r="D562" s="19" t="s">
        <v>1381</v>
      </c>
      <c r="E562" s="19" t="s">
        <v>29</v>
      </c>
      <c r="F562" s="19" t="s">
        <v>30</v>
      </c>
      <c r="G562" s="19" t="s">
        <v>31</v>
      </c>
      <c r="J562" s="19" t="s">
        <v>1380</v>
      </c>
      <c r="K562" s="19" t="s">
        <v>32</v>
      </c>
      <c r="L562" s="19" t="s">
        <v>1368</v>
      </c>
      <c r="M562" s="19">
        <v>88.9549921786477</v>
      </c>
      <c r="N562" s="19">
        <v>1443</v>
      </c>
      <c r="O562" s="19">
        <v>0.166</v>
      </c>
      <c r="P562" s="19" t="s">
        <v>1369</v>
      </c>
      <c r="Q562" s="19">
        <v>0.75</v>
      </c>
      <c r="R562">
        <f t="shared" si="32"/>
        <v>14.43</v>
      </c>
      <c r="T562" s="15" t="s">
        <v>35</v>
      </c>
      <c r="U562" s="17"/>
      <c r="V562" s="16" t="str">
        <f t="shared" si="33"/>
        <v>EN_SPV_17_c02_NPL</v>
      </c>
      <c r="W562" s="12">
        <f t="shared" si="34"/>
        <v>1443</v>
      </c>
      <c r="X562" s="11">
        <f t="shared" si="35"/>
        <v>1443</v>
      </c>
      <c r="Y562" s="17">
        <v>3</v>
      </c>
      <c r="Z562" s="17"/>
      <c r="AC562" s="19" t="s">
        <v>1380</v>
      </c>
    </row>
    <row r="563" spans="2:29">
      <c r="B563" s="19" t="s">
        <v>26</v>
      </c>
      <c r="C563" s="19" t="s">
        <v>1382</v>
      </c>
      <c r="D563" s="19" t="s">
        <v>1383</v>
      </c>
      <c r="E563" s="19" t="s">
        <v>29</v>
      </c>
      <c r="F563" s="19" t="s">
        <v>30</v>
      </c>
      <c r="G563" s="19" t="s">
        <v>31</v>
      </c>
      <c r="J563" s="19" t="s">
        <v>1382</v>
      </c>
      <c r="K563" s="19" t="s">
        <v>32</v>
      </c>
      <c r="L563" s="19" t="s">
        <v>1384</v>
      </c>
      <c r="M563" s="19">
        <v>0</v>
      </c>
      <c r="N563" s="19">
        <v>859</v>
      </c>
      <c r="O563" s="19">
        <v>0.208010498787971</v>
      </c>
      <c r="P563" s="19" t="s">
        <v>1385</v>
      </c>
      <c r="Q563" s="19">
        <v>137.373</v>
      </c>
      <c r="R563">
        <f t="shared" si="32"/>
        <v>8.59</v>
      </c>
      <c r="T563" s="15" t="s">
        <v>80</v>
      </c>
      <c r="U563" s="17"/>
      <c r="V563" s="16" t="str">
        <f t="shared" si="33"/>
        <v>EN_SPV_21_c01_OMN</v>
      </c>
      <c r="W563" s="12">
        <f t="shared" si="34"/>
        <v>859</v>
      </c>
      <c r="X563" s="11">
        <f t="shared" si="35"/>
        <v>859</v>
      </c>
      <c r="Y563" s="17">
        <v>3</v>
      </c>
      <c r="Z563" s="17"/>
      <c r="AC563" s="19" t="s">
        <v>1382</v>
      </c>
    </row>
    <row r="564" spans="2:29">
      <c r="B564" s="19" t="s">
        <v>26</v>
      </c>
      <c r="C564" s="19" t="s">
        <v>1386</v>
      </c>
      <c r="D564" s="19" t="s">
        <v>1387</v>
      </c>
      <c r="E564" s="19" t="s">
        <v>29</v>
      </c>
      <c r="F564" s="19" t="s">
        <v>30</v>
      </c>
      <c r="G564" s="19" t="s">
        <v>31</v>
      </c>
      <c r="J564" s="19" t="s">
        <v>1386</v>
      </c>
      <c r="K564" s="19" t="s">
        <v>32</v>
      </c>
      <c r="L564" s="19" t="s">
        <v>1384</v>
      </c>
      <c r="M564" s="19">
        <v>0</v>
      </c>
      <c r="N564" s="19">
        <v>859</v>
      </c>
      <c r="O564" s="19">
        <v>0.217175153991584</v>
      </c>
      <c r="P564" s="19" t="s">
        <v>1385</v>
      </c>
      <c r="Q564" s="19">
        <v>12.29775</v>
      </c>
      <c r="R564">
        <f t="shared" si="32"/>
        <v>8.59</v>
      </c>
      <c r="T564" s="15" t="s">
        <v>80</v>
      </c>
      <c r="U564" s="17"/>
      <c r="V564" s="16" t="str">
        <f t="shared" si="33"/>
        <v>EN_SPV_22_c01_OMN</v>
      </c>
      <c r="W564" s="12">
        <f t="shared" si="34"/>
        <v>859</v>
      </c>
      <c r="X564" s="11">
        <f t="shared" si="35"/>
        <v>859</v>
      </c>
      <c r="Y564" s="17">
        <v>3</v>
      </c>
      <c r="Z564" s="17"/>
      <c r="AC564" s="19" t="s">
        <v>1386</v>
      </c>
    </row>
    <row r="565" spans="2:29">
      <c r="B565" s="19" t="s">
        <v>26</v>
      </c>
      <c r="C565" s="19" t="s">
        <v>1388</v>
      </c>
      <c r="D565" s="19" t="s">
        <v>1389</v>
      </c>
      <c r="E565" s="19" t="s">
        <v>29</v>
      </c>
      <c r="F565" s="19" t="s">
        <v>30</v>
      </c>
      <c r="G565" s="19" t="s">
        <v>31</v>
      </c>
      <c r="J565" s="19" t="s">
        <v>1388</v>
      </c>
      <c r="K565" s="19" t="s">
        <v>32</v>
      </c>
      <c r="L565" s="19" t="s">
        <v>1384</v>
      </c>
      <c r="M565" s="19">
        <v>88.9549921786477</v>
      </c>
      <c r="N565" s="19">
        <v>859</v>
      </c>
      <c r="O565" s="19">
        <v>0.216299048512463</v>
      </c>
      <c r="P565" s="19" t="s">
        <v>1385</v>
      </c>
      <c r="Q565" s="19">
        <v>11.193</v>
      </c>
      <c r="R565">
        <f t="shared" si="32"/>
        <v>8.59</v>
      </c>
      <c r="T565" s="15" t="s">
        <v>80</v>
      </c>
      <c r="U565" s="17"/>
      <c r="V565" s="16" t="str">
        <f t="shared" si="33"/>
        <v>EN_SPV_22_c02_OMN</v>
      </c>
      <c r="W565" s="12">
        <f t="shared" si="34"/>
        <v>859</v>
      </c>
      <c r="X565" s="11">
        <f t="shared" si="35"/>
        <v>859</v>
      </c>
      <c r="Y565" s="17">
        <v>3</v>
      </c>
      <c r="Z565" s="17"/>
      <c r="AC565" s="19" t="s">
        <v>1388</v>
      </c>
    </row>
    <row r="566" spans="2:29">
      <c r="B566" s="19" t="s">
        <v>26</v>
      </c>
      <c r="C566" s="19" t="s">
        <v>1390</v>
      </c>
      <c r="D566" s="19" t="s">
        <v>1391</v>
      </c>
      <c r="E566" s="19" t="s">
        <v>29</v>
      </c>
      <c r="F566" s="19" t="s">
        <v>30</v>
      </c>
      <c r="G566" s="19" t="s">
        <v>31</v>
      </c>
      <c r="J566" s="19" t="s">
        <v>1390</v>
      </c>
      <c r="K566" s="19" t="s">
        <v>32</v>
      </c>
      <c r="L566" s="19" t="s">
        <v>1392</v>
      </c>
      <c r="M566" s="19">
        <v>0</v>
      </c>
      <c r="N566" s="19">
        <v>1443</v>
      </c>
      <c r="O566" s="19">
        <v>0.18088900707726</v>
      </c>
      <c r="P566" s="19" t="s">
        <v>1393</v>
      </c>
      <c r="Q566" s="19">
        <v>213.642</v>
      </c>
      <c r="R566">
        <f t="shared" si="32"/>
        <v>14.43</v>
      </c>
      <c r="T566" s="15" t="s">
        <v>35</v>
      </c>
      <c r="U566" s="17"/>
      <c r="V566" s="16" t="str">
        <f t="shared" si="33"/>
        <v>EN_SPV_18_c01_PAK</v>
      </c>
      <c r="W566" s="12">
        <f t="shared" si="34"/>
        <v>1443</v>
      </c>
      <c r="X566" s="11">
        <f t="shared" si="35"/>
        <v>1443</v>
      </c>
      <c r="Y566" s="17">
        <v>3</v>
      </c>
      <c r="Z566" s="17"/>
      <c r="AC566" s="19" t="s">
        <v>1390</v>
      </c>
    </row>
    <row r="567" spans="2:29">
      <c r="B567" s="19" t="s">
        <v>26</v>
      </c>
      <c r="C567" s="19" t="s">
        <v>1394</v>
      </c>
      <c r="D567" s="19" t="s">
        <v>1395</v>
      </c>
      <c r="E567" s="19" t="s">
        <v>29</v>
      </c>
      <c r="F567" s="19" t="s">
        <v>30</v>
      </c>
      <c r="G567" s="19" t="s">
        <v>31</v>
      </c>
      <c r="J567" s="19" t="s">
        <v>1394</v>
      </c>
      <c r="K567" s="19" t="s">
        <v>32</v>
      </c>
      <c r="L567" s="19" t="s">
        <v>1392</v>
      </c>
      <c r="M567" s="19">
        <v>88.9549921786477</v>
      </c>
      <c r="N567" s="19">
        <v>1443</v>
      </c>
      <c r="O567" s="19">
        <v>0.181943067175197</v>
      </c>
      <c r="P567" s="19" t="s">
        <v>1393</v>
      </c>
      <c r="Q567" s="19">
        <v>24.384</v>
      </c>
      <c r="R567">
        <f t="shared" si="32"/>
        <v>14.43</v>
      </c>
      <c r="T567" s="15" t="s">
        <v>35</v>
      </c>
      <c r="U567" s="17"/>
      <c r="V567" s="16" t="str">
        <f t="shared" si="33"/>
        <v>EN_SPV_18_c02_PAK</v>
      </c>
      <c r="W567" s="12">
        <f t="shared" si="34"/>
        <v>1443</v>
      </c>
      <c r="X567" s="11">
        <f t="shared" si="35"/>
        <v>1443</v>
      </c>
      <c r="Y567" s="17">
        <v>3</v>
      </c>
      <c r="Z567" s="17"/>
      <c r="AC567" s="19" t="s">
        <v>1394</v>
      </c>
    </row>
    <row r="568" spans="2:29">
      <c r="B568" s="19" t="s">
        <v>26</v>
      </c>
      <c r="C568" s="19" t="s">
        <v>1396</v>
      </c>
      <c r="D568" s="19" t="s">
        <v>1397</v>
      </c>
      <c r="E568" s="19" t="s">
        <v>29</v>
      </c>
      <c r="F568" s="19" t="s">
        <v>30</v>
      </c>
      <c r="G568" s="19" t="s">
        <v>31</v>
      </c>
      <c r="J568" s="19" t="s">
        <v>1396</v>
      </c>
      <c r="K568" s="19" t="s">
        <v>32</v>
      </c>
      <c r="L568" s="19" t="s">
        <v>1392</v>
      </c>
      <c r="M568" s="19">
        <v>138.878712278909</v>
      </c>
      <c r="N568" s="19">
        <v>1443</v>
      </c>
      <c r="O568" s="19">
        <v>0.181</v>
      </c>
      <c r="P568" s="19" t="s">
        <v>1393</v>
      </c>
      <c r="Q568" s="19">
        <v>0.618</v>
      </c>
      <c r="R568">
        <f t="shared" si="32"/>
        <v>14.43</v>
      </c>
      <c r="T568" s="15" t="s">
        <v>35</v>
      </c>
      <c r="U568" s="17"/>
      <c r="V568" s="16" t="str">
        <f t="shared" si="33"/>
        <v>EN_SPV_18_c04_PAK</v>
      </c>
      <c r="W568" s="12">
        <f t="shared" si="34"/>
        <v>1443</v>
      </c>
      <c r="X568" s="11">
        <f t="shared" si="35"/>
        <v>1443</v>
      </c>
      <c r="Y568" s="17">
        <v>3</v>
      </c>
      <c r="Z568" s="17"/>
      <c r="AC568" s="19" t="s">
        <v>1396</v>
      </c>
    </row>
    <row r="569" spans="2:29">
      <c r="B569" s="19" t="s">
        <v>26</v>
      </c>
      <c r="C569" s="19" t="s">
        <v>1398</v>
      </c>
      <c r="D569" s="19" t="s">
        <v>1399</v>
      </c>
      <c r="E569" s="19" t="s">
        <v>29</v>
      </c>
      <c r="F569" s="19" t="s">
        <v>30</v>
      </c>
      <c r="G569" s="19" t="s">
        <v>31</v>
      </c>
      <c r="J569" s="19" t="s">
        <v>1398</v>
      </c>
      <c r="K569" s="19" t="s">
        <v>32</v>
      </c>
      <c r="L569" s="19" t="s">
        <v>1392</v>
      </c>
      <c r="M569" s="19">
        <v>0</v>
      </c>
      <c r="N569" s="19">
        <v>1443</v>
      </c>
      <c r="O569" s="19">
        <v>0.189330176030161</v>
      </c>
      <c r="P569" s="19" t="s">
        <v>1393</v>
      </c>
      <c r="Q569" s="19">
        <v>112.992</v>
      </c>
      <c r="R569">
        <f t="shared" si="32"/>
        <v>14.43</v>
      </c>
      <c r="T569" s="15" t="s">
        <v>35</v>
      </c>
      <c r="U569" s="17"/>
      <c r="V569" s="16" t="str">
        <f t="shared" si="33"/>
        <v>EN_SPV_19_c01_PAK</v>
      </c>
      <c r="W569" s="12">
        <f t="shared" si="34"/>
        <v>1443</v>
      </c>
      <c r="X569" s="11">
        <f t="shared" si="35"/>
        <v>1443</v>
      </c>
      <c r="Y569" s="17">
        <v>3</v>
      </c>
      <c r="Z569" s="17"/>
      <c r="AC569" s="19" t="s">
        <v>1398</v>
      </c>
    </row>
    <row r="570" spans="2:29">
      <c r="B570" s="19" t="s">
        <v>26</v>
      </c>
      <c r="C570" s="19" t="s">
        <v>1400</v>
      </c>
      <c r="D570" s="19" t="s">
        <v>1401</v>
      </c>
      <c r="E570" s="19" t="s">
        <v>29</v>
      </c>
      <c r="F570" s="19" t="s">
        <v>30</v>
      </c>
      <c r="G570" s="19" t="s">
        <v>31</v>
      </c>
      <c r="J570" s="19" t="s">
        <v>1400</v>
      </c>
      <c r="K570" s="19" t="s">
        <v>32</v>
      </c>
      <c r="L570" s="19" t="s">
        <v>1392</v>
      </c>
      <c r="M570" s="19">
        <v>88.9549921786477</v>
      </c>
      <c r="N570" s="19">
        <v>1443</v>
      </c>
      <c r="O570" s="19">
        <v>0.190160397751837</v>
      </c>
      <c r="P570" s="19" t="s">
        <v>1393</v>
      </c>
      <c r="Q570" s="19">
        <v>24.2865</v>
      </c>
      <c r="R570">
        <f t="shared" si="32"/>
        <v>14.43</v>
      </c>
      <c r="T570" s="15" t="s">
        <v>35</v>
      </c>
      <c r="U570" s="17"/>
      <c r="V570" s="16" t="str">
        <f t="shared" si="33"/>
        <v>EN_SPV_19_c02_PAK</v>
      </c>
      <c r="W570" s="12">
        <f t="shared" si="34"/>
        <v>1443</v>
      </c>
      <c r="X570" s="11">
        <f t="shared" si="35"/>
        <v>1443</v>
      </c>
      <c r="Y570" s="17">
        <v>3</v>
      </c>
      <c r="Z570" s="17"/>
      <c r="AC570" s="19" t="s">
        <v>1400</v>
      </c>
    </row>
    <row r="571" spans="2:29">
      <c r="B571" s="19" t="s">
        <v>26</v>
      </c>
      <c r="C571" s="19" t="s">
        <v>1402</v>
      </c>
      <c r="D571" s="19" t="s">
        <v>1403</v>
      </c>
      <c r="E571" s="19" t="s">
        <v>29</v>
      </c>
      <c r="F571" s="19" t="s">
        <v>30</v>
      </c>
      <c r="G571" s="19" t="s">
        <v>31</v>
      </c>
      <c r="J571" s="19" t="s">
        <v>1402</v>
      </c>
      <c r="K571" s="19" t="s">
        <v>32</v>
      </c>
      <c r="L571" s="19" t="s">
        <v>1392</v>
      </c>
      <c r="M571" s="19">
        <v>101.208996203257</v>
      </c>
      <c r="N571" s="19">
        <v>1443</v>
      </c>
      <c r="O571" s="19">
        <v>0.191626464563703</v>
      </c>
      <c r="P571" s="19" t="s">
        <v>1393</v>
      </c>
      <c r="Q571" s="19">
        <v>9.15375</v>
      </c>
      <c r="R571">
        <f t="shared" si="32"/>
        <v>14.43</v>
      </c>
      <c r="T571" s="15" t="s">
        <v>35</v>
      </c>
      <c r="U571" s="17"/>
      <c r="V571" s="16" t="str">
        <f t="shared" si="33"/>
        <v>EN_SPV_19_c03_PAK</v>
      </c>
      <c r="W571" s="12">
        <f t="shared" si="34"/>
        <v>1443</v>
      </c>
      <c r="X571" s="11">
        <f t="shared" si="35"/>
        <v>1443</v>
      </c>
      <c r="Y571" s="17">
        <v>3</v>
      </c>
      <c r="Z571" s="17"/>
      <c r="AC571" s="19" t="s">
        <v>1402</v>
      </c>
    </row>
    <row r="572" spans="2:29">
      <c r="B572" s="19" t="s">
        <v>26</v>
      </c>
      <c r="C572" s="19" t="s">
        <v>1404</v>
      </c>
      <c r="D572" s="19" t="s">
        <v>1405</v>
      </c>
      <c r="E572" s="19" t="s">
        <v>29</v>
      </c>
      <c r="F572" s="19" t="s">
        <v>30</v>
      </c>
      <c r="G572" s="19" t="s">
        <v>31</v>
      </c>
      <c r="J572" s="19" t="s">
        <v>1404</v>
      </c>
      <c r="K572" s="19" t="s">
        <v>32</v>
      </c>
      <c r="L572" s="19" t="s">
        <v>1392</v>
      </c>
      <c r="M572" s="19">
        <v>0</v>
      </c>
      <c r="N572" s="19">
        <v>1443</v>
      </c>
      <c r="O572" s="19">
        <v>0.200611130360617</v>
      </c>
      <c r="P572" s="19" t="s">
        <v>1393</v>
      </c>
      <c r="Q572" s="19">
        <v>112.557</v>
      </c>
      <c r="R572">
        <f t="shared" si="32"/>
        <v>14.43</v>
      </c>
      <c r="T572" s="15" t="s">
        <v>35</v>
      </c>
      <c r="U572" s="17"/>
      <c r="V572" s="16" t="str">
        <f t="shared" si="33"/>
        <v>EN_SPV_20_c01_PAK</v>
      </c>
      <c r="W572" s="12">
        <f t="shared" si="34"/>
        <v>1443</v>
      </c>
      <c r="X572" s="11">
        <f t="shared" si="35"/>
        <v>1443</v>
      </c>
      <c r="Y572" s="17">
        <v>3</v>
      </c>
      <c r="Z572" s="17"/>
      <c r="AC572" s="19" t="s">
        <v>1404</v>
      </c>
    </row>
    <row r="573" spans="2:29">
      <c r="B573" s="19" t="s">
        <v>26</v>
      </c>
      <c r="C573" s="19" t="s">
        <v>1406</v>
      </c>
      <c r="D573" s="19" t="s">
        <v>1407</v>
      </c>
      <c r="E573" s="19" t="s">
        <v>29</v>
      </c>
      <c r="F573" s="19" t="s">
        <v>30</v>
      </c>
      <c r="G573" s="19" t="s">
        <v>31</v>
      </c>
      <c r="J573" s="19" t="s">
        <v>1406</v>
      </c>
      <c r="K573" s="19" t="s">
        <v>32</v>
      </c>
      <c r="L573" s="19" t="s">
        <v>1392</v>
      </c>
      <c r="M573" s="19">
        <v>88.9549921786477</v>
      </c>
      <c r="N573" s="19">
        <v>1443</v>
      </c>
      <c r="O573" s="19">
        <v>0.200622197092413</v>
      </c>
      <c r="P573" s="19" t="s">
        <v>1393</v>
      </c>
      <c r="Q573" s="19">
        <v>73.61775</v>
      </c>
      <c r="R573">
        <f t="shared" si="32"/>
        <v>14.43</v>
      </c>
      <c r="T573" s="15" t="s">
        <v>35</v>
      </c>
      <c r="U573" s="17"/>
      <c r="V573" s="16" t="str">
        <f t="shared" si="33"/>
        <v>EN_SPV_20_c02_PAK</v>
      </c>
      <c r="W573" s="12">
        <f t="shared" si="34"/>
        <v>1443</v>
      </c>
      <c r="X573" s="11">
        <f t="shared" si="35"/>
        <v>1443</v>
      </c>
      <c r="Y573" s="17">
        <v>3</v>
      </c>
      <c r="Z573" s="17"/>
      <c r="AC573" s="19" t="s">
        <v>1406</v>
      </c>
    </row>
    <row r="574" spans="2:29">
      <c r="B574" s="19" t="s">
        <v>26</v>
      </c>
      <c r="C574" s="19" t="s">
        <v>1408</v>
      </c>
      <c r="D574" s="19" t="s">
        <v>1409</v>
      </c>
      <c r="E574" s="19" t="s">
        <v>29</v>
      </c>
      <c r="F574" s="19" t="s">
        <v>30</v>
      </c>
      <c r="G574" s="19" t="s">
        <v>31</v>
      </c>
      <c r="J574" s="19" t="s">
        <v>1408</v>
      </c>
      <c r="K574" s="19" t="s">
        <v>32</v>
      </c>
      <c r="L574" s="19" t="s">
        <v>1392</v>
      </c>
      <c r="M574" s="19">
        <v>101.208996203257</v>
      </c>
      <c r="N574" s="19">
        <v>1443</v>
      </c>
      <c r="O574" s="19">
        <v>0.200912267887743</v>
      </c>
      <c r="P574" s="19" t="s">
        <v>1393</v>
      </c>
      <c r="Q574" s="19">
        <v>53.3955</v>
      </c>
      <c r="R574">
        <f t="shared" si="32"/>
        <v>14.43</v>
      </c>
      <c r="T574" s="15" t="s">
        <v>35</v>
      </c>
      <c r="U574" s="17"/>
      <c r="V574" s="16" t="str">
        <f t="shared" si="33"/>
        <v>EN_SPV_20_c03_PAK</v>
      </c>
      <c r="W574" s="12">
        <f t="shared" si="34"/>
        <v>1443</v>
      </c>
      <c r="X574" s="11">
        <f t="shared" si="35"/>
        <v>1443</v>
      </c>
      <c r="Y574" s="17">
        <v>3</v>
      </c>
      <c r="Z574" s="17"/>
      <c r="AC574" s="19" t="s">
        <v>1408</v>
      </c>
    </row>
    <row r="575" spans="2:29">
      <c r="B575" s="19" t="s">
        <v>26</v>
      </c>
      <c r="C575" s="19" t="s">
        <v>1410</v>
      </c>
      <c r="D575" s="19" t="s">
        <v>1411</v>
      </c>
      <c r="E575" s="19" t="s">
        <v>29</v>
      </c>
      <c r="F575" s="19" t="s">
        <v>30</v>
      </c>
      <c r="G575" s="19" t="s">
        <v>31</v>
      </c>
      <c r="J575" s="19" t="s">
        <v>1410</v>
      </c>
      <c r="K575" s="19" t="s">
        <v>32</v>
      </c>
      <c r="L575" s="19" t="s">
        <v>1392</v>
      </c>
      <c r="M575" s="19">
        <v>0</v>
      </c>
      <c r="N575" s="19">
        <v>1443</v>
      </c>
      <c r="O575" s="19">
        <v>0.208542224577928</v>
      </c>
      <c r="P575" s="19" t="s">
        <v>1393</v>
      </c>
      <c r="Q575" s="19">
        <v>86.31525</v>
      </c>
      <c r="R575">
        <f t="shared" si="32"/>
        <v>14.43</v>
      </c>
      <c r="T575" s="15" t="s">
        <v>35</v>
      </c>
      <c r="U575" s="17"/>
      <c r="V575" s="16" t="str">
        <f t="shared" si="33"/>
        <v>EN_SPV_21_c01_PAK</v>
      </c>
      <c r="W575" s="12">
        <f t="shared" si="34"/>
        <v>1443</v>
      </c>
      <c r="X575" s="11">
        <f t="shared" si="35"/>
        <v>1443</v>
      </c>
      <c r="Y575" s="17">
        <v>3</v>
      </c>
      <c r="Z575" s="17"/>
      <c r="AC575" s="19" t="s">
        <v>1410</v>
      </c>
    </row>
    <row r="576" spans="2:29">
      <c r="B576" s="19" t="s">
        <v>26</v>
      </c>
      <c r="C576" s="19" t="s">
        <v>1412</v>
      </c>
      <c r="D576" s="19" t="s">
        <v>1413</v>
      </c>
      <c r="E576" s="19" t="s">
        <v>29</v>
      </c>
      <c r="F576" s="19" t="s">
        <v>30</v>
      </c>
      <c r="G576" s="19" t="s">
        <v>31</v>
      </c>
      <c r="J576" s="19" t="s">
        <v>1412</v>
      </c>
      <c r="K576" s="19" t="s">
        <v>32</v>
      </c>
      <c r="L576" s="19" t="s">
        <v>1392</v>
      </c>
      <c r="M576" s="19">
        <v>88.9549921786477</v>
      </c>
      <c r="N576" s="19">
        <v>1443</v>
      </c>
      <c r="O576" s="19">
        <v>0.208399506724371</v>
      </c>
      <c r="P576" s="19" t="s">
        <v>1393</v>
      </c>
      <c r="Q576" s="19">
        <v>16.11675</v>
      </c>
      <c r="R576">
        <f t="shared" si="32"/>
        <v>14.43</v>
      </c>
      <c r="T576" s="15" t="s">
        <v>35</v>
      </c>
      <c r="U576" s="17"/>
      <c r="V576" s="16" t="str">
        <f t="shared" si="33"/>
        <v>EN_SPV_21_c02_PAK</v>
      </c>
      <c r="W576" s="12">
        <f t="shared" si="34"/>
        <v>1443</v>
      </c>
      <c r="X576" s="11">
        <f t="shared" si="35"/>
        <v>1443</v>
      </c>
      <c r="Y576" s="17">
        <v>3</v>
      </c>
      <c r="Z576" s="17"/>
      <c r="AC576" s="19" t="s">
        <v>1412</v>
      </c>
    </row>
    <row r="577" spans="2:29">
      <c r="B577" s="19" t="s">
        <v>26</v>
      </c>
      <c r="C577" s="19" t="s">
        <v>1414</v>
      </c>
      <c r="D577" s="19" t="s">
        <v>1415</v>
      </c>
      <c r="E577" s="19" t="s">
        <v>29</v>
      </c>
      <c r="F577" s="19" t="s">
        <v>30</v>
      </c>
      <c r="G577" s="19" t="s">
        <v>31</v>
      </c>
      <c r="J577" s="19" t="s">
        <v>1414</v>
      </c>
      <c r="K577" s="19" t="s">
        <v>32</v>
      </c>
      <c r="L577" s="19" t="s">
        <v>1392</v>
      </c>
      <c r="M577" s="19">
        <v>101.208996203257</v>
      </c>
      <c r="N577" s="19">
        <v>1443</v>
      </c>
      <c r="O577" s="19">
        <v>0.209</v>
      </c>
      <c r="P577" s="19" t="s">
        <v>1393</v>
      </c>
      <c r="Q577" s="19">
        <v>2.92875</v>
      </c>
      <c r="R577">
        <f t="shared" si="32"/>
        <v>14.43</v>
      </c>
      <c r="T577" s="15" t="s">
        <v>35</v>
      </c>
      <c r="U577" s="17"/>
      <c r="V577" s="16" t="str">
        <f t="shared" si="33"/>
        <v>EN_SPV_21_c03_PAK</v>
      </c>
      <c r="W577" s="12">
        <f t="shared" si="34"/>
        <v>1443</v>
      </c>
      <c r="X577" s="11">
        <f t="shared" si="35"/>
        <v>1443</v>
      </c>
      <c r="Y577" s="17">
        <v>3</v>
      </c>
      <c r="Z577" s="17"/>
      <c r="AC577" s="19" t="s">
        <v>1414</v>
      </c>
    </row>
    <row r="578" spans="2:29">
      <c r="B578" s="19" t="s">
        <v>26</v>
      </c>
      <c r="C578" s="19" t="s">
        <v>1416</v>
      </c>
      <c r="D578" s="19" t="s">
        <v>1417</v>
      </c>
      <c r="E578" s="19" t="s">
        <v>29</v>
      </c>
      <c r="F578" s="19" t="s">
        <v>30</v>
      </c>
      <c r="G578" s="19" t="s">
        <v>31</v>
      </c>
      <c r="J578" s="19" t="s">
        <v>1416</v>
      </c>
      <c r="K578" s="19" t="s">
        <v>32</v>
      </c>
      <c r="L578" s="19" t="s">
        <v>1392</v>
      </c>
      <c r="M578" s="19">
        <v>0</v>
      </c>
      <c r="N578" s="19">
        <v>1443</v>
      </c>
      <c r="O578" s="19">
        <v>0.215575023498248</v>
      </c>
      <c r="P578" s="19" t="s">
        <v>1393</v>
      </c>
      <c r="Q578" s="19">
        <v>17.5545</v>
      </c>
      <c r="R578">
        <f t="shared" si="32"/>
        <v>14.43</v>
      </c>
      <c r="T578" s="15" t="s">
        <v>35</v>
      </c>
      <c r="U578" s="17"/>
      <c r="V578" s="16" t="str">
        <f t="shared" si="33"/>
        <v>EN_SPV_22_c01_PAK</v>
      </c>
      <c r="W578" s="12">
        <f t="shared" si="34"/>
        <v>1443</v>
      </c>
      <c r="X578" s="11">
        <f t="shared" si="35"/>
        <v>1443</v>
      </c>
      <c r="Y578" s="17">
        <v>3</v>
      </c>
      <c r="Z578" s="17"/>
      <c r="AC578" s="19" t="s">
        <v>1416</v>
      </c>
    </row>
    <row r="579" spans="2:29">
      <c r="B579" s="19" t="s">
        <v>26</v>
      </c>
      <c r="C579" s="19" t="s">
        <v>1418</v>
      </c>
      <c r="D579" s="19" t="s">
        <v>1419</v>
      </c>
      <c r="E579" s="19" t="s">
        <v>29</v>
      </c>
      <c r="F579" s="19" t="s">
        <v>30</v>
      </c>
      <c r="G579" s="19" t="s">
        <v>31</v>
      </c>
      <c r="J579" s="19" t="s">
        <v>1418</v>
      </c>
      <c r="K579" s="19" t="s">
        <v>32</v>
      </c>
      <c r="L579" s="19" t="s">
        <v>1392</v>
      </c>
      <c r="M579" s="19">
        <v>88.9549921786477</v>
      </c>
      <c r="N579" s="19">
        <v>1443</v>
      </c>
      <c r="O579" s="19">
        <v>0.216612287160607</v>
      </c>
      <c r="P579" s="19" t="s">
        <v>1393</v>
      </c>
      <c r="Q579" s="19">
        <v>3.2595</v>
      </c>
      <c r="R579">
        <f t="shared" si="32"/>
        <v>14.43</v>
      </c>
      <c r="T579" s="15" t="s">
        <v>35</v>
      </c>
      <c r="U579" s="17"/>
      <c r="V579" s="16" t="str">
        <f t="shared" si="33"/>
        <v>EN_SPV_22_c02_PAK</v>
      </c>
      <c r="W579" s="12">
        <f t="shared" si="34"/>
        <v>1443</v>
      </c>
      <c r="X579" s="11">
        <f t="shared" si="35"/>
        <v>1443</v>
      </c>
      <c r="Y579" s="17">
        <v>3</v>
      </c>
      <c r="Z579" s="17"/>
      <c r="AC579" s="19" t="s">
        <v>1418</v>
      </c>
    </row>
    <row r="580" spans="2:29">
      <c r="B580" s="19" t="s">
        <v>26</v>
      </c>
      <c r="C580" s="19" t="s">
        <v>1420</v>
      </c>
      <c r="D580" s="19" t="s">
        <v>1421</v>
      </c>
      <c r="E580" s="19" t="s">
        <v>29</v>
      </c>
      <c r="F580" s="19" t="s">
        <v>30</v>
      </c>
      <c r="G580" s="19" t="s">
        <v>31</v>
      </c>
      <c r="J580" s="19" t="s">
        <v>1420</v>
      </c>
      <c r="K580" s="19" t="s">
        <v>32</v>
      </c>
      <c r="L580" s="19" t="s">
        <v>1422</v>
      </c>
      <c r="M580" s="19">
        <v>88.9549921786477</v>
      </c>
      <c r="N580" s="19">
        <v>2290</v>
      </c>
      <c r="O580" s="19">
        <v>0.15980974513905</v>
      </c>
      <c r="P580" s="19" t="s">
        <v>1423</v>
      </c>
      <c r="Q580" s="19">
        <v>9.68175</v>
      </c>
      <c r="R580">
        <f t="shared" si="32"/>
        <v>22.9</v>
      </c>
      <c r="T580" s="15" t="s">
        <v>89</v>
      </c>
      <c r="U580" s="17"/>
      <c r="V580" s="16" t="str">
        <f t="shared" si="33"/>
        <v>EN_SPV_16_c02_PAN</v>
      </c>
      <c r="W580" s="12">
        <f t="shared" si="34"/>
        <v>2290</v>
      </c>
      <c r="X580" s="11">
        <f t="shared" si="35"/>
        <v>2290</v>
      </c>
      <c r="Y580" s="17">
        <v>3</v>
      </c>
      <c r="Z580" s="17"/>
      <c r="AC580" s="19" t="s">
        <v>1420</v>
      </c>
    </row>
    <row r="581" spans="2:29">
      <c r="B581" s="19" t="s">
        <v>26</v>
      </c>
      <c r="C581" s="19" t="s">
        <v>1424</v>
      </c>
      <c r="D581" s="19" t="s">
        <v>1425</v>
      </c>
      <c r="E581" s="19" t="s">
        <v>29</v>
      </c>
      <c r="F581" s="19" t="s">
        <v>30</v>
      </c>
      <c r="G581" s="19" t="s">
        <v>31</v>
      </c>
      <c r="J581" s="19" t="s">
        <v>1424</v>
      </c>
      <c r="K581" s="19" t="s">
        <v>32</v>
      </c>
      <c r="L581" s="19" t="s">
        <v>1422</v>
      </c>
      <c r="M581" s="19">
        <v>138.878712278909</v>
      </c>
      <c r="N581" s="19">
        <v>2290</v>
      </c>
      <c r="O581" s="19">
        <v>0.16</v>
      </c>
      <c r="P581" s="19" t="s">
        <v>1423</v>
      </c>
      <c r="Q581" s="19">
        <v>0.42075</v>
      </c>
      <c r="R581">
        <f t="shared" si="32"/>
        <v>22.9</v>
      </c>
      <c r="T581" s="15" t="s">
        <v>89</v>
      </c>
      <c r="U581" s="17"/>
      <c r="V581" s="16" t="str">
        <f t="shared" si="33"/>
        <v>EN_SPV_16_c04_PAN</v>
      </c>
      <c r="W581" s="12">
        <f t="shared" si="34"/>
        <v>2290</v>
      </c>
      <c r="X581" s="11">
        <f t="shared" si="35"/>
        <v>2290</v>
      </c>
      <c r="Y581" s="17">
        <v>3</v>
      </c>
      <c r="Z581" s="17"/>
      <c r="AC581" s="19" t="s">
        <v>1424</v>
      </c>
    </row>
    <row r="582" spans="2:29">
      <c r="B582" s="19" t="s">
        <v>26</v>
      </c>
      <c r="C582" s="19" t="s">
        <v>1426</v>
      </c>
      <c r="D582" s="19" t="s">
        <v>1427</v>
      </c>
      <c r="E582" s="19" t="s">
        <v>29</v>
      </c>
      <c r="F582" s="19" t="s">
        <v>30</v>
      </c>
      <c r="G582" s="19" t="s">
        <v>31</v>
      </c>
      <c r="J582" s="19" t="s">
        <v>1426</v>
      </c>
      <c r="K582" s="19" t="s">
        <v>32</v>
      </c>
      <c r="L582" s="19" t="s">
        <v>1422</v>
      </c>
      <c r="M582" s="19">
        <v>0</v>
      </c>
      <c r="N582" s="19">
        <v>2290</v>
      </c>
      <c r="O582" s="19">
        <v>0.167183022802179</v>
      </c>
      <c r="P582" s="19" t="s">
        <v>1423</v>
      </c>
      <c r="Q582" s="19">
        <v>11.15025</v>
      </c>
      <c r="R582">
        <f t="shared" ref="R582:R645" si="36">N582*0.01</f>
        <v>22.9</v>
      </c>
      <c r="T582" s="15" t="s">
        <v>89</v>
      </c>
      <c r="U582" s="17"/>
      <c r="V582" s="16" t="str">
        <f t="shared" ref="V582:V645" si="37">J582</f>
        <v>EN_SPV_17_c01_PAN</v>
      </c>
      <c r="W582" s="12">
        <f t="shared" ref="W582:W645" si="38">N582</f>
        <v>2290</v>
      </c>
      <c r="X582" s="11">
        <f t="shared" ref="X582:X645" si="39">W582</f>
        <v>2290</v>
      </c>
      <c r="Y582" s="17">
        <v>3</v>
      </c>
      <c r="Z582" s="17"/>
      <c r="AC582" s="19" t="s">
        <v>1426</v>
      </c>
    </row>
    <row r="583" spans="2:29">
      <c r="B583" s="19" t="s">
        <v>26</v>
      </c>
      <c r="C583" s="19" t="s">
        <v>1428</v>
      </c>
      <c r="D583" s="19" t="s">
        <v>1429</v>
      </c>
      <c r="E583" s="19" t="s">
        <v>29</v>
      </c>
      <c r="F583" s="19" t="s">
        <v>30</v>
      </c>
      <c r="G583" s="19" t="s">
        <v>31</v>
      </c>
      <c r="J583" s="19" t="s">
        <v>1428</v>
      </c>
      <c r="K583" s="19" t="s">
        <v>32</v>
      </c>
      <c r="L583" s="19" t="s">
        <v>1422</v>
      </c>
      <c r="M583" s="19">
        <v>88.9549921786477</v>
      </c>
      <c r="N583" s="19">
        <v>2290</v>
      </c>
      <c r="O583" s="19">
        <v>0.168431424570713</v>
      </c>
      <c r="P583" s="19" t="s">
        <v>1423</v>
      </c>
      <c r="Q583" s="19">
        <v>10.17675</v>
      </c>
      <c r="R583">
        <f t="shared" si="36"/>
        <v>22.9</v>
      </c>
      <c r="T583" s="15" t="s">
        <v>89</v>
      </c>
      <c r="U583" s="17"/>
      <c r="V583" s="16" t="str">
        <f t="shared" si="37"/>
        <v>EN_SPV_17_c02_PAN</v>
      </c>
      <c r="W583" s="12">
        <f t="shared" si="38"/>
        <v>2290</v>
      </c>
      <c r="X583" s="11">
        <f t="shared" si="39"/>
        <v>2290</v>
      </c>
      <c r="Y583" s="17">
        <v>3</v>
      </c>
      <c r="Z583" s="17"/>
      <c r="AC583" s="19" t="s">
        <v>1428</v>
      </c>
    </row>
    <row r="584" spans="2:29">
      <c r="B584" s="19" t="s">
        <v>26</v>
      </c>
      <c r="C584" s="19" t="s">
        <v>1430</v>
      </c>
      <c r="D584" s="19" t="s">
        <v>1431</v>
      </c>
      <c r="E584" s="19" t="s">
        <v>29</v>
      </c>
      <c r="F584" s="19" t="s">
        <v>30</v>
      </c>
      <c r="G584" s="19" t="s">
        <v>31</v>
      </c>
      <c r="J584" s="19" t="s">
        <v>1430</v>
      </c>
      <c r="K584" s="19" t="s">
        <v>32</v>
      </c>
      <c r="L584" s="19" t="s">
        <v>1432</v>
      </c>
      <c r="M584" s="19">
        <v>0</v>
      </c>
      <c r="N584" s="19">
        <v>1344</v>
      </c>
      <c r="O584" s="19">
        <v>0.15907580507267</v>
      </c>
      <c r="P584" s="19" t="s">
        <v>1433</v>
      </c>
      <c r="Q584" s="19">
        <v>2.63175</v>
      </c>
      <c r="R584">
        <f t="shared" si="36"/>
        <v>13.44</v>
      </c>
      <c r="T584" s="15" t="s">
        <v>89</v>
      </c>
      <c r="U584" s="17"/>
      <c r="V584" s="16" t="str">
        <f t="shared" si="37"/>
        <v>EN_SPV_16_c01_PER</v>
      </c>
      <c r="W584" s="12">
        <f t="shared" si="38"/>
        <v>1344</v>
      </c>
      <c r="X584" s="11">
        <f t="shared" si="39"/>
        <v>1344</v>
      </c>
      <c r="Y584" s="17">
        <v>3</v>
      </c>
      <c r="Z584" s="17"/>
      <c r="AC584" s="19" t="s">
        <v>1430</v>
      </c>
    </row>
    <row r="585" spans="2:29">
      <c r="B585" s="19" t="s">
        <v>26</v>
      </c>
      <c r="C585" s="19" t="s">
        <v>1434</v>
      </c>
      <c r="D585" s="19" t="s">
        <v>1435</v>
      </c>
      <c r="E585" s="19" t="s">
        <v>29</v>
      </c>
      <c r="F585" s="19" t="s">
        <v>30</v>
      </c>
      <c r="G585" s="19" t="s">
        <v>31</v>
      </c>
      <c r="J585" s="19" t="s">
        <v>1434</v>
      </c>
      <c r="K585" s="19" t="s">
        <v>32</v>
      </c>
      <c r="L585" s="19" t="s">
        <v>1432</v>
      </c>
      <c r="M585" s="19">
        <v>88.9549921786477</v>
      </c>
      <c r="N585" s="19">
        <v>1344</v>
      </c>
      <c r="O585" s="19">
        <v>0.158943175103408</v>
      </c>
      <c r="P585" s="19" t="s">
        <v>1433</v>
      </c>
      <c r="Q585" s="19">
        <v>45.693</v>
      </c>
      <c r="R585">
        <f t="shared" si="36"/>
        <v>13.44</v>
      </c>
      <c r="T585" s="15" t="s">
        <v>89</v>
      </c>
      <c r="U585" s="17"/>
      <c r="V585" s="16" t="str">
        <f t="shared" si="37"/>
        <v>EN_SPV_16_c02_PER</v>
      </c>
      <c r="W585" s="12">
        <f t="shared" si="38"/>
        <v>1344</v>
      </c>
      <c r="X585" s="11">
        <f t="shared" si="39"/>
        <v>1344</v>
      </c>
      <c r="Y585" s="17">
        <v>3</v>
      </c>
      <c r="Z585" s="17"/>
      <c r="AC585" s="19" t="s">
        <v>1434</v>
      </c>
    </row>
    <row r="586" spans="2:29">
      <c r="B586" s="19" t="s">
        <v>26</v>
      </c>
      <c r="C586" s="19" t="s">
        <v>1436</v>
      </c>
      <c r="D586" s="19" t="s">
        <v>1437</v>
      </c>
      <c r="E586" s="19" t="s">
        <v>29</v>
      </c>
      <c r="F586" s="19" t="s">
        <v>30</v>
      </c>
      <c r="G586" s="19" t="s">
        <v>31</v>
      </c>
      <c r="J586" s="19" t="s">
        <v>1436</v>
      </c>
      <c r="K586" s="19" t="s">
        <v>32</v>
      </c>
      <c r="L586" s="19" t="s">
        <v>1432</v>
      </c>
      <c r="M586" s="19">
        <v>101.208996203257</v>
      </c>
      <c r="N586" s="19">
        <v>1344</v>
      </c>
      <c r="O586" s="19">
        <v>0.158231879488796</v>
      </c>
      <c r="P586" s="19" t="s">
        <v>1433</v>
      </c>
      <c r="Q586" s="19">
        <v>97.5345</v>
      </c>
      <c r="R586">
        <f t="shared" si="36"/>
        <v>13.44</v>
      </c>
      <c r="T586" s="15" t="s">
        <v>89</v>
      </c>
      <c r="U586" s="17"/>
      <c r="V586" s="16" t="str">
        <f t="shared" si="37"/>
        <v>EN_SPV_16_c03_PER</v>
      </c>
      <c r="W586" s="12">
        <f t="shared" si="38"/>
        <v>1344</v>
      </c>
      <c r="X586" s="11">
        <f t="shared" si="39"/>
        <v>1344</v>
      </c>
      <c r="Y586" s="17">
        <v>3</v>
      </c>
      <c r="Z586" s="17"/>
      <c r="AC586" s="19" t="s">
        <v>1436</v>
      </c>
    </row>
    <row r="587" spans="2:29">
      <c r="B587" s="19" t="s">
        <v>26</v>
      </c>
      <c r="C587" s="19" t="s">
        <v>1438</v>
      </c>
      <c r="D587" s="19" t="s">
        <v>1439</v>
      </c>
      <c r="E587" s="19" t="s">
        <v>29</v>
      </c>
      <c r="F587" s="19" t="s">
        <v>30</v>
      </c>
      <c r="G587" s="19" t="s">
        <v>31</v>
      </c>
      <c r="J587" s="19" t="s">
        <v>1438</v>
      </c>
      <c r="K587" s="19" t="s">
        <v>32</v>
      </c>
      <c r="L587" s="19" t="s">
        <v>1432</v>
      </c>
      <c r="M587" s="19">
        <v>0</v>
      </c>
      <c r="N587" s="19">
        <v>1344</v>
      </c>
      <c r="O587" s="19">
        <v>0.170301426220516</v>
      </c>
      <c r="P587" s="19" t="s">
        <v>1433</v>
      </c>
      <c r="Q587" s="19">
        <v>13.6725</v>
      </c>
      <c r="R587">
        <f t="shared" si="36"/>
        <v>13.44</v>
      </c>
      <c r="T587" s="15" t="s">
        <v>89</v>
      </c>
      <c r="U587" s="17"/>
      <c r="V587" s="16" t="str">
        <f t="shared" si="37"/>
        <v>EN_SPV_17_c01_PER</v>
      </c>
      <c r="W587" s="12">
        <f t="shared" si="38"/>
        <v>1344</v>
      </c>
      <c r="X587" s="11">
        <f t="shared" si="39"/>
        <v>1344</v>
      </c>
      <c r="Y587" s="17">
        <v>3</v>
      </c>
      <c r="Z587" s="17"/>
      <c r="AC587" s="19" t="s">
        <v>1438</v>
      </c>
    </row>
    <row r="588" spans="2:29">
      <c r="B588" s="19" t="s">
        <v>26</v>
      </c>
      <c r="C588" s="19" t="s">
        <v>1440</v>
      </c>
      <c r="D588" s="19" t="s">
        <v>1441</v>
      </c>
      <c r="E588" s="19" t="s">
        <v>29</v>
      </c>
      <c r="F588" s="19" t="s">
        <v>30</v>
      </c>
      <c r="G588" s="19" t="s">
        <v>31</v>
      </c>
      <c r="J588" s="19" t="s">
        <v>1440</v>
      </c>
      <c r="K588" s="19" t="s">
        <v>32</v>
      </c>
      <c r="L588" s="19" t="s">
        <v>1432</v>
      </c>
      <c r="M588" s="19">
        <v>88.9549921786477</v>
      </c>
      <c r="N588" s="19">
        <v>1344</v>
      </c>
      <c r="O588" s="19">
        <v>0.167534592168395</v>
      </c>
      <c r="P588" s="19" t="s">
        <v>1433</v>
      </c>
      <c r="Q588" s="19">
        <v>4.84575</v>
      </c>
      <c r="R588">
        <f t="shared" si="36"/>
        <v>13.44</v>
      </c>
      <c r="T588" s="15" t="s">
        <v>89</v>
      </c>
      <c r="U588" s="17"/>
      <c r="V588" s="16" t="str">
        <f t="shared" si="37"/>
        <v>EN_SPV_17_c02_PER</v>
      </c>
      <c r="W588" s="12">
        <f t="shared" si="38"/>
        <v>1344</v>
      </c>
      <c r="X588" s="11">
        <f t="shared" si="39"/>
        <v>1344</v>
      </c>
      <c r="Y588" s="17">
        <v>3</v>
      </c>
      <c r="Z588" s="17"/>
      <c r="AC588" s="19" t="s">
        <v>1440</v>
      </c>
    </row>
    <row r="589" spans="2:29">
      <c r="B589" s="19" t="s">
        <v>26</v>
      </c>
      <c r="C589" s="19" t="s">
        <v>1442</v>
      </c>
      <c r="D589" s="19" t="s">
        <v>1443</v>
      </c>
      <c r="E589" s="19" t="s">
        <v>29</v>
      </c>
      <c r="F589" s="19" t="s">
        <v>30</v>
      </c>
      <c r="G589" s="19" t="s">
        <v>31</v>
      </c>
      <c r="J589" s="19" t="s">
        <v>1442</v>
      </c>
      <c r="K589" s="19" t="s">
        <v>32</v>
      </c>
      <c r="L589" s="19" t="s">
        <v>1432</v>
      </c>
      <c r="M589" s="19">
        <v>0</v>
      </c>
      <c r="N589" s="19">
        <v>1344</v>
      </c>
      <c r="O589" s="19">
        <v>0.179573062443735</v>
      </c>
      <c r="P589" s="19" t="s">
        <v>1433</v>
      </c>
      <c r="Q589" s="19">
        <v>36.657</v>
      </c>
      <c r="R589">
        <f t="shared" si="36"/>
        <v>13.44</v>
      </c>
      <c r="T589" s="15" t="s">
        <v>89</v>
      </c>
      <c r="U589" s="17"/>
      <c r="V589" s="16" t="str">
        <f t="shared" si="37"/>
        <v>EN_SPV_18_c01_PER</v>
      </c>
      <c r="W589" s="12">
        <f t="shared" si="38"/>
        <v>1344</v>
      </c>
      <c r="X589" s="11">
        <f t="shared" si="39"/>
        <v>1344</v>
      </c>
      <c r="Y589" s="17">
        <v>3</v>
      </c>
      <c r="Z589" s="17"/>
      <c r="AC589" s="19" t="s">
        <v>1442</v>
      </c>
    </row>
    <row r="590" spans="2:29">
      <c r="B590" s="19" t="s">
        <v>26</v>
      </c>
      <c r="C590" s="19" t="s">
        <v>1444</v>
      </c>
      <c r="D590" s="19" t="s">
        <v>1445</v>
      </c>
      <c r="E590" s="19" t="s">
        <v>29</v>
      </c>
      <c r="F590" s="19" t="s">
        <v>30</v>
      </c>
      <c r="G590" s="19" t="s">
        <v>31</v>
      </c>
      <c r="J590" s="19" t="s">
        <v>1444</v>
      </c>
      <c r="K590" s="19" t="s">
        <v>32</v>
      </c>
      <c r="L590" s="19" t="s">
        <v>1432</v>
      </c>
      <c r="M590" s="19">
        <v>88.9549921786477</v>
      </c>
      <c r="N590" s="19">
        <v>1344</v>
      </c>
      <c r="O590" s="19">
        <v>0.180524070890094</v>
      </c>
      <c r="P590" s="19" t="s">
        <v>1433</v>
      </c>
      <c r="Q590" s="19">
        <v>11.3415</v>
      </c>
      <c r="R590">
        <f t="shared" si="36"/>
        <v>13.44</v>
      </c>
      <c r="T590" s="15" t="s">
        <v>89</v>
      </c>
      <c r="U590" s="17"/>
      <c r="V590" s="16" t="str">
        <f t="shared" si="37"/>
        <v>EN_SPV_18_c02_PER</v>
      </c>
      <c r="W590" s="12">
        <f t="shared" si="38"/>
        <v>1344</v>
      </c>
      <c r="X590" s="11">
        <f t="shared" si="39"/>
        <v>1344</v>
      </c>
      <c r="Y590" s="17">
        <v>3</v>
      </c>
      <c r="Z590" s="17"/>
      <c r="AC590" s="19" t="s">
        <v>1444</v>
      </c>
    </row>
    <row r="591" spans="2:29">
      <c r="B591" s="19" t="s">
        <v>26</v>
      </c>
      <c r="C591" s="19" t="s">
        <v>1446</v>
      </c>
      <c r="D591" s="19" t="s">
        <v>1447</v>
      </c>
      <c r="E591" s="19" t="s">
        <v>29</v>
      </c>
      <c r="F591" s="19" t="s">
        <v>30</v>
      </c>
      <c r="G591" s="19" t="s">
        <v>31</v>
      </c>
      <c r="J591" s="19" t="s">
        <v>1446</v>
      </c>
      <c r="K591" s="19" t="s">
        <v>32</v>
      </c>
      <c r="L591" s="19" t="s">
        <v>1432</v>
      </c>
      <c r="M591" s="19">
        <v>101.208996203257</v>
      </c>
      <c r="N591" s="19">
        <v>1344</v>
      </c>
      <c r="O591" s="19">
        <v>0.182</v>
      </c>
      <c r="P591" s="19" t="s">
        <v>1433</v>
      </c>
      <c r="Q591" s="19">
        <v>1.3455</v>
      </c>
      <c r="R591">
        <f t="shared" si="36"/>
        <v>13.44</v>
      </c>
      <c r="T591" s="15" t="s">
        <v>89</v>
      </c>
      <c r="U591" s="17"/>
      <c r="V591" s="16" t="str">
        <f t="shared" si="37"/>
        <v>EN_SPV_18_c03_PER</v>
      </c>
      <c r="W591" s="12">
        <f t="shared" si="38"/>
        <v>1344</v>
      </c>
      <c r="X591" s="11">
        <f t="shared" si="39"/>
        <v>1344</v>
      </c>
      <c r="Y591" s="17">
        <v>3</v>
      </c>
      <c r="Z591" s="17"/>
      <c r="AC591" s="19" t="s">
        <v>1446</v>
      </c>
    </row>
    <row r="592" spans="2:29">
      <c r="B592" s="19" t="s">
        <v>26</v>
      </c>
      <c r="C592" s="19" t="s">
        <v>1448</v>
      </c>
      <c r="D592" s="19" t="s">
        <v>1449</v>
      </c>
      <c r="E592" s="19" t="s">
        <v>29</v>
      </c>
      <c r="F592" s="19" t="s">
        <v>30</v>
      </c>
      <c r="G592" s="19" t="s">
        <v>31</v>
      </c>
      <c r="J592" s="19" t="s">
        <v>1448</v>
      </c>
      <c r="K592" s="19" t="s">
        <v>32</v>
      </c>
      <c r="L592" s="19" t="s">
        <v>1432</v>
      </c>
      <c r="M592" s="19">
        <v>0</v>
      </c>
      <c r="N592" s="19">
        <v>1344</v>
      </c>
      <c r="O592" s="19">
        <v>0.188932316491897</v>
      </c>
      <c r="P592" s="19" t="s">
        <v>1433</v>
      </c>
      <c r="Q592" s="19">
        <v>28.323</v>
      </c>
      <c r="R592">
        <f t="shared" si="36"/>
        <v>13.44</v>
      </c>
      <c r="T592" s="15" t="s">
        <v>89</v>
      </c>
      <c r="U592" s="17"/>
      <c r="V592" s="16" t="str">
        <f t="shared" si="37"/>
        <v>EN_SPV_19_c01_PER</v>
      </c>
      <c r="W592" s="12">
        <f t="shared" si="38"/>
        <v>1344</v>
      </c>
      <c r="X592" s="11">
        <f t="shared" si="39"/>
        <v>1344</v>
      </c>
      <c r="Y592" s="17">
        <v>3</v>
      </c>
      <c r="Z592" s="17"/>
      <c r="AC592" s="19" t="s">
        <v>1448</v>
      </c>
    </row>
    <row r="593" spans="2:29">
      <c r="B593" s="19" t="s">
        <v>26</v>
      </c>
      <c r="C593" s="19" t="s">
        <v>1450</v>
      </c>
      <c r="D593" s="19" t="s">
        <v>1451</v>
      </c>
      <c r="E593" s="19" t="s">
        <v>29</v>
      </c>
      <c r="F593" s="19" t="s">
        <v>30</v>
      </c>
      <c r="G593" s="19" t="s">
        <v>31</v>
      </c>
      <c r="J593" s="19" t="s">
        <v>1450</v>
      </c>
      <c r="K593" s="19" t="s">
        <v>32</v>
      </c>
      <c r="L593" s="19" t="s">
        <v>1432</v>
      </c>
      <c r="M593" s="19">
        <v>88.9549921786477</v>
      </c>
      <c r="N593" s="19">
        <v>1344</v>
      </c>
      <c r="O593" s="19">
        <v>0.192899812734082</v>
      </c>
      <c r="P593" s="19" t="s">
        <v>1433</v>
      </c>
      <c r="Q593" s="19">
        <v>0.801</v>
      </c>
      <c r="R593">
        <f t="shared" si="36"/>
        <v>13.44</v>
      </c>
      <c r="T593" s="15" t="s">
        <v>89</v>
      </c>
      <c r="U593" s="17"/>
      <c r="V593" s="16" t="str">
        <f t="shared" si="37"/>
        <v>EN_SPV_19_c02_PER</v>
      </c>
      <c r="W593" s="12">
        <f t="shared" si="38"/>
        <v>1344</v>
      </c>
      <c r="X593" s="11">
        <f t="shared" si="39"/>
        <v>1344</v>
      </c>
      <c r="Y593" s="17">
        <v>3</v>
      </c>
      <c r="Z593" s="17"/>
      <c r="AC593" s="19" t="s">
        <v>1450</v>
      </c>
    </row>
    <row r="594" spans="2:29">
      <c r="B594" s="19" t="s">
        <v>26</v>
      </c>
      <c r="C594" s="19" t="s">
        <v>1452</v>
      </c>
      <c r="D594" s="19" t="s">
        <v>1453</v>
      </c>
      <c r="E594" s="19" t="s">
        <v>29</v>
      </c>
      <c r="F594" s="19" t="s">
        <v>30</v>
      </c>
      <c r="G594" s="19" t="s">
        <v>31</v>
      </c>
      <c r="J594" s="19" t="s">
        <v>1452</v>
      </c>
      <c r="K594" s="19" t="s">
        <v>32</v>
      </c>
      <c r="L594" s="19" t="s">
        <v>1432</v>
      </c>
      <c r="M594" s="19">
        <v>0</v>
      </c>
      <c r="N594" s="19">
        <v>1344</v>
      </c>
      <c r="O594" s="19">
        <v>0.198924832547755</v>
      </c>
      <c r="P594" s="19" t="s">
        <v>1433</v>
      </c>
      <c r="Q594" s="19">
        <v>9.06975</v>
      </c>
      <c r="R594">
        <f t="shared" si="36"/>
        <v>13.44</v>
      </c>
      <c r="T594" s="15" t="s">
        <v>89</v>
      </c>
      <c r="U594" s="17"/>
      <c r="V594" s="16" t="str">
        <f t="shared" si="37"/>
        <v>EN_SPV_20_c01_PER</v>
      </c>
      <c r="W594" s="12">
        <f t="shared" si="38"/>
        <v>1344</v>
      </c>
      <c r="X594" s="11">
        <f t="shared" si="39"/>
        <v>1344</v>
      </c>
      <c r="Y594" s="17">
        <v>3</v>
      </c>
      <c r="Z594" s="17"/>
      <c r="AC594" s="19" t="s">
        <v>1452</v>
      </c>
    </row>
    <row r="595" spans="2:29">
      <c r="B595" s="19" t="s">
        <v>26</v>
      </c>
      <c r="C595" s="19" t="s">
        <v>1454</v>
      </c>
      <c r="D595" s="19" t="s">
        <v>1455</v>
      </c>
      <c r="E595" s="19" t="s">
        <v>29</v>
      </c>
      <c r="F595" s="19" t="s">
        <v>30</v>
      </c>
      <c r="G595" s="19" t="s">
        <v>31</v>
      </c>
      <c r="J595" s="19" t="s">
        <v>1454</v>
      </c>
      <c r="K595" s="19" t="s">
        <v>32</v>
      </c>
      <c r="L595" s="19" t="s">
        <v>1432</v>
      </c>
      <c r="M595" s="19">
        <v>88.9549921786477</v>
      </c>
      <c r="N595" s="19">
        <v>1344</v>
      </c>
      <c r="O595" s="19">
        <v>0.197</v>
      </c>
      <c r="P595" s="19" t="s">
        <v>1433</v>
      </c>
      <c r="Q595" s="19">
        <v>1.269</v>
      </c>
      <c r="R595">
        <f t="shared" si="36"/>
        <v>13.44</v>
      </c>
      <c r="T595" s="15" t="s">
        <v>89</v>
      </c>
      <c r="U595" s="17"/>
      <c r="V595" s="16" t="str">
        <f t="shared" si="37"/>
        <v>EN_SPV_20_c02_PER</v>
      </c>
      <c r="W595" s="12">
        <f t="shared" si="38"/>
        <v>1344</v>
      </c>
      <c r="X595" s="11">
        <f t="shared" si="39"/>
        <v>1344</v>
      </c>
      <c r="Y595" s="17">
        <v>3</v>
      </c>
      <c r="Z595" s="17"/>
      <c r="AC595" s="19" t="s">
        <v>1454</v>
      </c>
    </row>
    <row r="596" spans="2:29">
      <c r="B596" s="19" t="s">
        <v>26</v>
      </c>
      <c r="C596" s="19" t="s">
        <v>1456</v>
      </c>
      <c r="D596" s="19" t="s">
        <v>1457</v>
      </c>
      <c r="E596" s="19" t="s">
        <v>29</v>
      </c>
      <c r="F596" s="19" t="s">
        <v>30</v>
      </c>
      <c r="G596" s="19" t="s">
        <v>31</v>
      </c>
      <c r="J596" s="19" t="s">
        <v>1456</v>
      </c>
      <c r="K596" s="19" t="s">
        <v>32</v>
      </c>
      <c r="L596" s="19" t="s">
        <v>1432</v>
      </c>
      <c r="M596" s="19">
        <v>0</v>
      </c>
      <c r="N596" s="19">
        <v>1344</v>
      </c>
      <c r="O596" s="19">
        <v>0.207420857522557</v>
      </c>
      <c r="P596" s="19" t="s">
        <v>1433</v>
      </c>
      <c r="Q596" s="19">
        <v>10.72275</v>
      </c>
      <c r="R596">
        <f t="shared" si="36"/>
        <v>13.44</v>
      </c>
      <c r="T596" s="15" t="s">
        <v>89</v>
      </c>
      <c r="U596" s="17"/>
      <c r="V596" s="16" t="str">
        <f t="shared" si="37"/>
        <v>EN_SPV_21_c01_PER</v>
      </c>
      <c r="W596" s="12">
        <f t="shared" si="38"/>
        <v>1344</v>
      </c>
      <c r="X596" s="11">
        <f t="shared" si="39"/>
        <v>1344</v>
      </c>
      <c r="Y596" s="17">
        <v>3</v>
      </c>
      <c r="Z596" s="17"/>
      <c r="AC596" s="19" t="s">
        <v>1456</v>
      </c>
    </row>
    <row r="597" spans="2:29">
      <c r="B597" s="19" t="s">
        <v>26</v>
      </c>
      <c r="C597" s="19" t="s">
        <v>1458</v>
      </c>
      <c r="D597" s="19" t="s">
        <v>1459</v>
      </c>
      <c r="E597" s="19" t="s">
        <v>29</v>
      </c>
      <c r="F597" s="19" t="s">
        <v>30</v>
      </c>
      <c r="G597" s="19" t="s">
        <v>31</v>
      </c>
      <c r="J597" s="19" t="s">
        <v>1458</v>
      </c>
      <c r="K597" s="19" t="s">
        <v>32</v>
      </c>
      <c r="L597" s="19" t="s">
        <v>1432</v>
      </c>
      <c r="M597" s="19">
        <v>88.9549921786477</v>
      </c>
      <c r="N597" s="19">
        <v>1344</v>
      </c>
      <c r="O597" s="19">
        <v>0.208995762711864</v>
      </c>
      <c r="P597" s="19" t="s">
        <v>1433</v>
      </c>
      <c r="Q597" s="19">
        <v>1.77</v>
      </c>
      <c r="R597">
        <f t="shared" si="36"/>
        <v>13.44</v>
      </c>
      <c r="T597" s="15" t="s">
        <v>89</v>
      </c>
      <c r="U597" s="17"/>
      <c r="V597" s="16" t="str">
        <f t="shared" si="37"/>
        <v>EN_SPV_21_c02_PER</v>
      </c>
      <c r="W597" s="12">
        <f t="shared" si="38"/>
        <v>1344</v>
      </c>
      <c r="X597" s="11">
        <f t="shared" si="39"/>
        <v>1344</v>
      </c>
      <c r="Y597" s="17">
        <v>3</v>
      </c>
      <c r="Z597" s="17"/>
      <c r="AC597" s="19" t="s">
        <v>1458</v>
      </c>
    </row>
    <row r="598" spans="2:29">
      <c r="B598" s="19" t="s">
        <v>26</v>
      </c>
      <c r="C598" s="19" t="s">
        <v>1460</v>
      </c>
      <c r="D598" s="19" t="s">
        <v>1461</v>
      </c>
      <c r="E598" s="19" t="s">
        <v>29</v>
      </c>
      <c r="F598" s="19" t="s">
        <v>30</v>
      </c>
      <c r="G598" s="19" t="s">
        <v>31</v>
      </c>
      <c r="J598" s="19" t="s">
        <v>1460</v>
      </c>
      <c r="K598" s="19" t="s">
        <v>32</v>
      </c>
      <c r="L598" s="19" t="s">
        <v>1432</v>
      </c>
      <c r="M598" s="19">
        <v>0</v>
      </c>
      <c r="N598" s="19">
        <v>1344</v>
      </c>
      <c r="O598" s="19">
        <v>0.219187547150832</v>
      </c>
      <c r="P598" s="19" t="s">
        <v>1433</v>
      </c>
      <c r="Q598" s="19">
        <v>14.91225</v>
      </c>
      <c r="R598">
        <f t="shared" si="36"/>
        <v>13.44</v>
      </c>
      <c r="T598" s="15" t="s">
        <v>89</v>
      </c>
      <c r="U598" s="17"/>
      <c r="V598" s="16" t="str">
        <f t="shared" si="37"/>
        <v>EN_SPV_22_c01_PER</v>
      </c>
      <c r="W598" s="12">
        <f t="shared" si="38"/>
        <v>1344</v>
      </c>
      <c r="X598" s="11">
        <f t="shared" si="39"/>
        <v>1344</v>
      </c>
      <c r="Y598" s="17">
        <v>3</v>
      </c>
      <c r="Z598" s="17"/>
      <c r="AC598" s="19" t="s">
        <v>1460</v>
      </c>
    </row>
    <row r="599" spans="2:29">
      <c r="B599" s="19" t="s">
        <v>26</v>
      </c>
      <c r="C599" s="19" t="s">
        <v>1462</v>
      </c>
      <c r="D599" s="19" t="s">
        <v>1463</v>
      </c>
      <c r="E599" s="19" t="s">
        <v>29</v>
      </c>
      <c r="F599" s="19" t="s">
        <v>30</v>
      </c>
      <c r="G599" s="19" t="s">
        <v>31</v>
      </c>
      <c r="J599" s="19" t="s">
        <v>1462</v>
      </c>
      <c r="K599" s="19" t="s">
        <v>32</v>
      </c>
      <c r="L599" s="19" t="s">
        <v>1432</v>
      </c>
      <c r="M599" s="19">
        <v>0</v>
      </c>
      <c r="N599" s="19">
        <v>1344</v>
      </c>
      <c r="O599" s="19">
        <v>0.226801445326383</v>
      </c>
      <c r="P599" s="19" t="s">
        <v>1433</v>
      </c>
      <c r="Q599" s="19">
        <v>6.33075</v>
      </c>
      <c r="R599">
        <f t="shared" si="36"/>
        <v>13.44</v>
      </c>
      <c r="T599" s="15" t="s">
        <v>89</v>
      </c>
      <c r="U599" s="17"/>
      <c r="V599" s="16" t="str">
        <f t="shared" si="37"/>
        <v>EN_SPV_23_c01_PER</v>
      </c>
      <c r="W599" s="12">
        <f t="shared" si="38"/>
        <v>1344</v>
      </c>
      <c r="X599" s="11">
        <f t="shared" si="39"/>
        <v>1344</v>
      </c>
      <c r="Y599" s="17">
        <v>3</v>
      </c>
      <c r="Z599" s="17"/>
      <c r="AC599" s="19" t="s">
        <v>1462</v>
      </c>
    </row>
    <row r="600" spans="2:29">
      <c r="B600" s="19" t="s">
        <v>26</v>
      </c>
      <c r="C600" s="19" t="s">
        <v>1464</v>
      </c>
      <c r="D600" s="19" t="s">
        <v>1465</v>
      </c>
      <c r="E600" s="19" t="s">
        <v>29</v>
      </c>
      <c r="F600" s="19" t="s">
        <v>30</v>
      </c>
      <c r="G600" s="19" t="s">
        <v>31</v>
      </c>
      <c r="J600" s="19" t="s">
        <v>1464</v>
      </c>
      <c r="K600" s="19" t="s">
        <v>32</v>
      </c>
      <c r="L600" s="19" t="s">
        <v>1466</v>
      </c>
      <c r="M600" s="19">
        <v>88.9549921786477</v>
      </c>
      <c r="N600" s="19">
        <v>1129</v>
      </c>
      <c r="O600" s="19">
        <v>0.150076797194623</v>
      </c>
      <c r="P600" s="19" t="s">
        <v>1467</v>
      </c>
      <c r="Q600" s="19">
        <v>141.1575</v>
      </c>
      <c r="R600">
        <f t="shared" si="36"/>
        <v>11.29</v>
      </c>
      <c r="T600" s="15" t="s">
        <v>290</v>
      </c>
      <c r="U600" s="17"/>
      <c r="V600" s="16" t="str">
        <f t="shared" si="37"/>
        <v>EN_SPV_15_c02_PHL</v>
      </c>
      <c r="W600" s="12">
        <f t="shared" si="38"/>
        <v>1129</v>
      </c>
      <c r="X600" s="11">
        <f t="shared" si="39"/>
        <v>1129</v>
      </c>
      <c r="Y600" s="17">
        <v>3</v>
      </c>
      <c r="Z600" s="17"/>
      <c r="AC600" s="19" t="s">
        <v>1464</v>
      </c>
    </row>
    <row r="601" spans="2:29">
      <c r="B601" s="19" t="s">
        <v>26</v>
      </c>
      <c r="C601" s="19" t="s">
        <v>1468</v>
      </c>
      <c r="D601" s="19" t="s">
        <v>1469</v>
      </c>
      <c r="E601" s="19" t="s">
        <v>29</v>
      </c>
      <c r="F601" s="19" t="s">
        <v>30</v>
      </c>
      <c r="G601" s="19" t="s">
        <v>31</v>
      </c>
      <c r="J601" s="19" t="s">
        <v>1468</v>
      </c>
      <c r="K601" s="19" t="s">
        <v>32</v>
      </c>
      <c r="L601" s="19" t="s">
        <v>1466</v>
      </c>
      <c r="M601" s="19">
        <v>101.208996203257</v>
      </c>
      <c r="N601" s="19">
        <v>1129</v>
      </c>
      <c r="O601" s="19">
        <v>0.151031513448414</v>
      </c>
      <c r="P601" s="19" t="s">
        <v>1467</v>
      </c>
      <c r="Q601" s="19">
        <v>3.7365</v>
      </c>
      <c r="R601">
        <f t="shared" si="36"/>
        <v>11.29</v>
      </c>
      <c r="T601" s="15" t="s">
        <v>290</v>
      </c>
      <c r="U601" s="17"/>
      <c r="V601" s="16" t="str">
        <f t="shared" si="37"/>
        <v>EN_SPV_15_c03_PHL</v>
      </c>
      <c r="W601" s="12">
        <f t="shared" si="38"/>
        <v>1129</v>
      </c>
      <c r="X601" s="11">
        <f t="shared" si="39"/>
        <v>1129</v>
      </c>
      <c r="Y601" s="17">
        <v>3</v>
      </c>
      <c r="Z601" s="17"/>
      <c r="AC601" s="19" t="s">
        <v>1468</v>
      </c>
    </row>
    <row r="602" spans="2:29">
      <c r="B602" s="19" t="s">
        <v>26</v>
      </c>
      <c r="C602" s="19" t="s">
        <v>1470</v>
      </c>
      <c r="D602" s="19" t="s">
        <v>1471</v>
      </c>
      <c r="E602" s="19" t="s">
        <v>29</v>
      </c>
      <c r="F602" s="19" t="s">
        <v>30</v>
      </c>
      <c r="G602" s="19" t="s">
        <v>31</v>
      </c>
      <c r="J602" s="19" t="s">
        <v>1470</v>
      </c>
      <c r="K602" s="19" t="s">
        <v>32</v>
      </c>
      <c r="L602" s="19" t="s">
        <v>1466</v>
      </c>
      <c r="M602" s="19">
        <v>0</v>
      </c>
      <c r="N602" s="19">
        <v>1129</v>
      </c>
      <c r="O602" s="19">
        <v>0.160245298019262</v>
      </c>
      <c r="P602" s="19" t="s">
        <v>1467</v>
      </c>
      <c r="Q602" s="19">
        <v>33.018</v>
      </c>
      <c r="R602">
        <f t="shared" si="36"/>
        <v>11.29</v>
      </c>
      <c r="T602" s="15" t="s">
        <v>290</v>
      </c>
      <c r="U602" s="17"/>
      <c r="V602" s="16" t="str">
        <f t="shared" si="37"/>
        <v>EN_SPV_16_c01_PHL</v>
      </c>
      <c r="W602" s="12">
        <f t="shared" si="38"/>
        <v>1129</v>
      </c>
      <c r="X602" s="11">
        <f t="shared" si="39"/>
        <v>1129</v>
      </c>
      <c r="Y602" s="17">
        <v>3</v>
      </c>
      <c r="Z602" s="17"/>
      <c r="AC602" s="19" t="s">
        <v>1470</v>
      </c>
    </row>
    <row r="603" spans="2:29">
      <c r="B603" s="19" t="s">
        <v>26</v>
      </c>
      <c r="C603" s="19" t="s">
        <v>1472</v>
      </c>
      <c r="D603" s="19" t="s">
        <v>1473</v>
      </c>
      <c r="E603" s="19" t="s">
        <v>29</v>
      </c>
      <c r="F603" s="19" t="s">
        <v>30</v>
      </c>
      <c r="G603" s="19" t="s">
        <v>31</v>
      </c>
      <c r="J603" s="19" t="s">
        <v>1472</v>
      </c>
      <c r="K603" s="19" t="s">
        <v>32</v>
      </c>
      <c r="L603" s="19" t="s">
        <v>1466</v>
      </c>
      <c r="M603" s="19">
        <v>88.9549921786477</v>
      </c>
      <c r="N603" s="19">
        <v>1129</v>
      </c>
      <c r="O603" s="19">
        <v>0.157700342349287</v>
      </c>
      <c r="P603" s="19" t="s">
        <v>1467</v>
      </c>
      <c r="Q603" s="19">
        <v>66.1605</v>
      </c>
      <c r="R603">
        <f t="shared" si="36"/>
        <v>11.29</v>
      </c>
      <c r="T603" s="15" t="s">
        <v>290</v>
      </c>
      <c r="U603" s="17"/>
      <c r="V603" s="16" t="str">
        <f t="shared" si="37"/>
        <v>EN_SPV_16_c02_PHL</v>
      </c>
      <c r="W603" s="12">
        <f t="shared" si="38"/>
        <v>1129</v>
      </c>
      <c r="X603" s="11">
        <f t="shared" si="39"/>
        <v>1129</v>
      </c>
      <c r="Y603" s="17">
        <v>3</v>
      </c>
      <c r="Z603" s="17"/>
      <c r="AC603" s="19" t="s">
        <v>1472</v>
      </c>
    </row>
    <row r="604" spans="2:29">
      <c r="B604" s="19" t="s">
        <v>26</v>
      </c>
      <c r="C604" s="19" t="s">
        <v>1474</v>
      </c>
      <c r="D604" s="19" t="s">
        <v>1475</v>
      </c>
      <c r="E604" s="19" t="s">
        <v>29</v>
      </c>
      <c r="F604" s="19" t="s">
        <v>30</v>
      </c>
      <c r="G604" s="19" t="s">
        <v>31</v>
      </c>
      <c r="J604" s="19" t="s">
        <v>1474</v>
      </c>
      <c r="K604" s="19" t="s">
        <v>32</v>
      </c>
      <c r="L604" s="19" t="s">
        <v>1466</v>
      </c>
      <c r="M604" s="19">
        <v>101.208996203257</v>
      </c>
      <c r="N604" s="19">
        <v>1129</v>
      </c>
      <c r="O604" s="19">
        <v>0.159237474262183</v>
      </c>
      <c r="P604" s="19" t="s">
        <v>1467</v>
      </c>
      <c r="Q604" s="19">
        <v>2.1855</v>
      </c>
      <c r="R604">
        <f t="shared" si="36"/>
        <v>11.29</v>
      </c>
      <c r="T604" s="15" t="s">
        <v>290</v>
      </c>
      <c r="U604" s="17"/>
      <c r="V604" s="16" t="str">
        <f t="shared" si="37"/>
        <v>EN_SPV_16_c03_PHL</v>
      </c>
      <c r="W604" s="12">
        <f t="shared" si="38"/>
        <v>1129</v>
      </c>
      <c r="X604" s="11">
        <f t="shared" si="39"/>
        <v>1129</v>
      </c>
      <c r="Y604" s="17">
        <v>3</v>
      </c>
      <c r="Z604" s="17"/>
      <c r="AC604" s="19" t="s">
        <v>1474</v>
      </c>
    </row>
    <row r="605" spans="2:29">
      <c r="B605" s="19" t="s">
        <v>26</v>
      </c>
      <c r="C605" s="19" t="s">
        <v>1476</v>
      </c>
      <c r="D605" s="19" t="s">
        <v>1477</v>
      </c>
      <c r="E605" s="19" t="s">
        <v>29</v>
      </c>
      <c r="F605" s="19" t="s">
        <v>30</v>
      </c>
      <c r="G605" s="19" t="s">
        <v>31</v>
      </c>
      <c r="J605" s="19" t="s">
        <v>1476</v>
      </c>
      <c r="K605" s="19" t="s">
        <v>32</v>
      </c>
      <c r="L605" s="19" t="s">
        <v>1466</v>
      </c>
      <c r="M605" s="19">
        <v>138.878712278909</v>
      </c>
      <c r="N605" s="19">
        <v>1129</v>
      </c>
      <c r="O605" s="19">
        <v>0.158731889662284</v>
      </c>
      <c r="P605" s="19" t="s">
        <v>1467</v>
      </c>
      <c r="Q605" s="19">
        <v>2.90925</v>
      </c>
      <c r="R605">
        <f t="shared" si="36"/>
        <v>11.29</v>
      </c>
      <c r="T605" s="15" t="s">
        <v>290</v>
      </c>
      <c r="U605" s="17"/>
      <c r="V605" s="16" t="str">
        <f t="shared" si="37"/>
        <v>EN_SPV_16_c04_PHL</v>
      </c>
      <c r="W605" s="12">
        <f t="shared" si="38"/>
        <v>1129</v>
      </c>
      <c r="X605" s="11">
        <f t="shared" si="39"/>
        <v>1129</v>
      </c>
      <c r="Y605" s="17">
        <v>3</v>
      </c>
      <c r="Z605" s="17"/>
      <c r="AC605" s="19" t="s">
        <v>1476</v>
      </c>
    </row>
    <row r="606" spans="2:29">
      <c r="B606" s="19" t="s">
        <v>26</v>
      </c>
      <c r="C606" s="19" t="s">
        <v>1478</v>
      </c>
      <c r="D606" s="19" t="s">
        <v>1479</v>
      </c>
      <c r="E606" s="19" t="s">
        <v>29</v>
      </c>
      <c r="F606" s="19" t="s">
        <v>30</v>
      </c>
      <c r="G606" s="19" t="s">
        <v>31</v>
      </c>
      <c r="J606" s="19" t="s">
        <v>1478</v>
      </c>
      <c r="K606" s="19" t="s">
        <v>32</v>
      </c>
      <c r="L606" s="19" t="s">
        <v>1466</v>
      </c>
      <c r="M606" s="19">
        <v>0</v>
      </c>
      <c r="N606" s="19">
        <v>1129</v>
      </c>
      <c r="O606" s="19">
        <v>0.168928316147176</v>
      </c>
      <c r="P606" s="19" t="s">
        <v>1467</v>
      </c>
      <c r="Q606" s="19">
        <v>25.602</v>
      </c>
      <c r="R606">
        <f t="shared" si="36"/>
        <v>11.29</v>
      </c>
      <c r="T606" s="15" t="s">
        <v>290</v>
      </c>
      <c r="U606" s="17"/>
      <c r="V606" s="16" t="str">
        <f t="shared" si="37"/>
        <v>EN_SPV_17_c01_PHL</v>
      </c>
      <c r="W606" s="12">
        <f t="shared" si="38"/>
        <v>1129</v>
      </c>
      <c r="X606" s="11">
        <f t="shared" si="39"/>
        <v>1129</v>
      </c>
      <c r="Y606" s="17">
        <v>3</v>
      </c>
      <c r="Z606" s="17"/>
      <c r="AC606" s="19" t="s">
        <v>1478</v>
      </c>
    </row>
    <row r="607" spans="2:29">
      <c r="B607" s="19" t="s">
        <v>26</v>
      </c>
      <c r="C607" s="19" t="s">
        <v>1480</v>
      </c>
      <c r="D607" s="19" t="s">
        <v>1481</v>
      </c>
      <c r="E607" s="19" t="s">
        <v>29</v>
      </c>
      <c r="F607" s="19" t="s">
        <v>30</v>
      </c>
      <c r="G607" s="19" t="s">
        <v>31</v>
      </c>
      <c r="J607" s="19" t="s">
        <v>1480</v>
      </c>
      <c r="K607" s="19" t="s">
        <v>32</v>
      </c>
      <c r="L607" s="19" t="s">
        <v>1466</v>
      </c>
      <c r="M607" s="19">
        <v>88.9549921786477</v>
      </c>
      <c r="N607" s="19">
        <v>1129</v>
      </c>
      <c r="O607" s="19">
        <v>0.166045267489712</v>
      </c>
      <c r="P607" s="19" t="s">
        <v>1467</v>
      </c>
      <c r="Q607" s="19">
        <v>0.3645</v>
      </c>
      <c r="R607">
        <f t="shared" si="36"/>
        <v>11.29</v>
      </c>
      <c r="T607" s="15" t="s">
        <v>290</v>
      </c>
      <c r="U607" s="17"/>
      <c r="V607" s="16" t="str">
        <f t="shared" si="37"/>
        <v>EN_SPV_17_c02_PHL</v>
      </c>
      <c r="W607" s="12">
        <f t="shared" si="38"/>
        <v>1129</v>
      </c>
      <c r="X607" s="11">
        <f t="shared" si="39"/>
        <v>1129</v>
      </c>
      <c r="Y607" s="17">
        <v>3</v>
      </c>
      <c r="Z607" s="17"/>
      <c r="AC607" s="19" t="s">
        <v>1480</v>
      </c>
    </row>
    <row r="608" spans="2:29">
      <c r="B608" s="19" t="s">
        <v>26</v>
      </c>
      <c r="C608" s="19" t="s">
        <v>1482</v>
      </c>
      <c r="D608" s="19" t="s">
        <v>1483</v>
      </c>
      <c r="E608" s="19" t="s">
        <v>29</v>
      </c>
      <c r="F608" s="19" t="s">
        <v>30</v>
      </c>
      <c r="G608" s="19" t="s">
        <v>31</v>
      </c>
      <c r="J608" s="19" t="s">
        <v>1482</v>
      </c>
      <c r="K608" s="19" t="s">
        <v>32</v>
      </c>
      <c r="L608" s="19" t="s">
        <v>1466</v>
      </c>
      <c r="M608" s="19">
        <v>138.878712278909</v>
      </c>
      <c r="N608" s="19">
        <v>1129</v>
      </c>
      <c r="O608" s="19">
        <v>0.167707516339869</v>
      </c>
      <c r="P608" s="19" t="s">
        <v>1467</v>
      </c>
      <c r="Q608" s="19">
        <v>0.918</v>
      </c>
      <c r="R608">
        <f t="shared" si="36"/>
        <v>11.29</v>
      </c>
      <c r="T608" s="15" t="s">
        <v>290</v>
      </c>
      <c r="U608" s="17"/>
      <c r="V608" s="16" t="str">
        <f t="shared" si="37"/>
        <v>EN_SPV_17_c04_PHL</v>
      </c>
      <c r="W608" s="12">
        <f t="shared" si="38"/>
        <v>1129</v>
      </c>
      <c r="X608" s="11">
        <f t="shared" si="39"/>
        <v>1129</v>
      </c>
      <c r="Y608" s="17">
        <v>3</v>
      </c>
      <c r="Z608" s="17"/>
      <c r="AC608" s="19" t="s">
        <v>1482</v>
      </c>
    </row>
    <row r="609" spans="2:29">
      <c r="B609" s="19" t="s">
        <v>26</v>
      </c>
      <c r="C609" s="19" t="s">
        <v>1484</v>
      </c>
      <c r="D609" s="19" t="s">
        <v>1485</v>
      </c>
      <c r="E609" s="19" t="s">
        <v>29</v>
      </c>
      <c r="F609" s="19" t="s">
        <v>30</v>
      </c>
      <c r="G609" s="19" t="s">
        <v>31</v>
      </c>
      <c r="J609" s="19" t="s">
        <v>1484</v>
      </c>
      <c r="K609" s="19" t="s">
        <v>32</v>
      </c>
      <c r="L609" s="19" t="s">
        <v>1466</v>
      </c>
      <c r="M609" s="19">
        <v>0</v>
      </c>
      <c r="N609" s="19">
        <v>1129</v>
      </c>
      <c r="O609" s="19">
        <v>0.176965566205183</v>
      </c>
      <c r="P609" s="19" t="s">
        <v>1467</v>
      </c>
      <c r="Q609" s="19">
        <v>4.2255</v>
      </c>
      <c r="R609">
        <f t="shared" si="36"/>
        <v>11.29</v>
      </c>
      <c r="T609" s="15" t="s">
        <v>290</v>
      </c>
      <c r="U609" s="17"/>
      <c r="V609" s="16" t="str">
        <f t="shared" si="37"/>
        <v>EN_SPV_18_c01_PHL</v>
      </c>
      <c r="W609" s="12">
        <f t="shared" si="38"/>
        <v>1129</v>
      </c>
      <c r="X609" s="11">
        <f t="shared" si="39"/>
        <v>1129</v>
      </c>
      <c r="Y609" s="17">
        <v>3</v>
      </c>
      <c r="Z609" s="17"/>
      <c r="AC609" s="19" t="s">
        <v>1484</v>
      </c>
    </row>
    <row r="610" spans="2:29">
      <c r="B610" s="19" t="s">
        <v>26</v>
      </c>
      <c r="C610" s="19" t="s">
        <v>1486</v>
      </c>
      <c r="D610" s="19" t="s">
        <v>1487</v>
      </c>
      <c r="E610" s="19" t="s">
        <v>29</v>
      </c>
      <c r="F610" s="19" t="s">
        <v>30</v>
      </c>
      <c r="G610" s="19" t="s">
        <v>31</v>
      </c>
      <c r="J610" s="19" t="s">
        <v>1486</v>
      </c>
      <c r="K610" s="19" t="s">
        <v>32</v>
      </c>
      <c r="L610" s="19" t="s">
        <v>1488</v>
      </c>
      <c r="M610" s="19">
        <v>138.878712278909</v>
      </c>
      <c r="N610" s="19">
        <v>1236</v>
      </c>
      <c r="O610" s="19">
        <v>0.132167707404103</v>
      </c>
      <c r="P610" s="19" t="s">
        <v>1489</v>
      </c>
      <c r="Q610" s="19">
        <v>0.84075</v>
      </c>
      <c r="R610">
        <f t="shared" si="36"/>
        <v>12.36</v>
      </c>
      <c r="T610" s="15" t="s">
        <v>290</v>
      </c>
      <c r="U610" s="17"/>
      <c r="V610" s="16" t="str">
        <f t="shared" si="37"/>
        <v>EN_SPV_13_c04_PNG</v>
      </c>
      <c r="W610" s="12">
        <f t="shared" si="38"/>
        <v>1236</v>
      </c>
      <c r="X610" s="11">
        <f t="shared" si="39"/>
        <v>1236</v>
      </c>
      <c r="Y610" s="17">
        <v>3</v>
      </c>
      <c r="Z610" s="17"/>
      <c r="AC610" s="19" t="s">
        <v>1486</v>
      </c>
    </row>
    <row r="611" spans="2:29">
      <c r="B611" s="19" t="s">
        <v>26</v>
      </c>
      <c r="C611" s="19" t="s">
        <v>1490</v>
      </c>
      <c r="D611" s="19" t="s">
        <v>1491</v>
      </c>
      <c r="E611" s="19" t="s">
        <v>29</v>
      </c>
      <c r="F611" s="19" t="s">
        <v>30</v>
      </c>
      <c r="G611" s="19" t="s">
        <v>31</v>
      </c>
      <c r="J611" s="19" t="s">
        <v>1490</v>
      </c>
      <c r="K611" s="19" t="s">
        <v>32</v>
      </c>
      <c r="L611" s="19" t="s">
        <v>1488</v>
      </c>
      <c r="M611" s="19">
        <v>101.208996203257</v>
      </c>
      <c r="N611" s="19">
        <v>1236</v>
      </c>
      <c r="O611" s="19">
        <v>0.144493150684931</v>
      </c>
      <c r="P611" s="19" t="s">
        <v>1489</v>
      </c>
      <c r="Q611" s="19">
        <v>0.16425</v>
      </c>
      <c r="R611">
        <f t="shared" si="36"/>
        <v>12.36</v>
      </c>
      <c r="T611" s="15" t="s">
        <v>290</v>
      </c>
      <c r="U611" s="17"/>
      <c r="V611" s="16" t="str">
        <f t="shared" si="37"/>
        <v>EN_SPV_14_c03_PNG</v>
      </c>
      <c r="W611" s="12">
        <f t="shared" si="38"/>
        <v>1236</v>
      </c>
      <c r="X611" s="11">
        <f t="shared" si="39"/>
        <v>1236</v>
      </c>
      <c r="Y611" s="17">
        <v>3</v>
      </c>
      <c r="Z611" s="17"/>
      <c r="AC611" s="19" t="s">
        <v>1490</v>
      </c>
    </row>
    <row r="612" spans="2:29">
      <c r="B612" s="19" t="s">
        <v>26</v>
      </c>
      <c r="C612" s="19" t="s">
        <v>1492</v>
      </c>
      <c r="D612" s="19" t="s">
        <v>1493</v>
      </c>
      <c r="E612" s="19" t="s">
        <v>29</v>
      </c>
      <c r="F612" s="19" t="s">
        <v>30</v>
      </c>
      <c r="G612" s="19" t="s">
        <v>31</v>
      </c>
      <c r="J612" s="19" t="s">
        <v>1492</v>
      </c>
      <c r="K612" s="19" t="s">
        <v>32</v>
      </c>
      <c r="L612" s="19" t="s">
        <v>1488</v>
      </c>
      <c r="M612" s="19">
        <v>138.878712278909</v>
      </c>
      <c r="N612" s="19">
        <v>1236</v>
      </c>
      <c r="O612" s="19">
        <v>0.141608279869265</v>
      </c>
      <c r="P612" s="19" t="s">
        <v>1489</v>
      </c>
      <c r="Q612" s="19">
        <v>6.19575</v>
      </c>
      <c r="R612">
        <f t="shared" si="36"/>
        <v>12.36</v>
      </c>
      <c r="T612" s="15" t="s">
        <v>290</v>
      </c>
      <c r="U612" s="17"/>
      <c r="V612" s="16" t="str">
        <f t="shared" si="37"/>
        <v>EN_SPV_14_c04_PNG</v>
      </c>
      <c r="W612" s="12">
        <f t="shared" si="38"/>
        <v>1236</v>
      </c>
      <c r="X612" s="11">
        <f t="shared" si="39"/>
        <v>1236</v>
      </c>
      <c r="Y612" s="17">
        <v>3</v>
      </c>
      <c r="Z612" s="17"/>
      <c r="AC612" s="19" t="s">
        <v>1492</v>
      </c>
    </row>
    <row r="613" spans="2:29">
      <c r="B613" s="19" t="s">
        <v>26</v>
      </c>
      <c r="C613" s="19" t="s">
        <v>1494</v>
      </c>
      <c r="D613" s="19" t="s">
        <v>1495</v>
      </c>
      <c r="E613" s="19" t="s">
        <v>29</v>
      </c>
      <c r="F613" s="19" t="s">
        <v>30</v>
      </c>
      <c r="G613" s="19" t="s">
        <v>31</v>
      </c>
      <c r="J613" s="19" t="s">
        <v>1494</v>
      </c>
      <c r="K613" s="19" t="s">
        <v>32</v>
      </c>
      <c r="L613" s="19" t="s">
        <v>1488</v>
      </c>
      <c r="M613" s="19">
        <v>88.9549921786477</v>
      </c>
      <c r="N613" s="19">
        <v>1236</v>
      </c>
      <c r="O613" s="19">
        <v>0.152046559538525</v>
      </c>
      <c r="P613" s="19" t="s">
        <v>1489</v>
      </c>
      <c r="Q613" s="19">
        <v>1.82025</v>
      </c>
      <c r="R613">
        <f t="shared" si="36"/>
        <v>12.36</v>
      </c>
      <c r="T613" s="15" t="s">
        <v>290</v>
      </c>
      <c r="U613" s="17"/>
      <c r="V613" s="16" t="str">
        <f t="shared" si="37"/>
        <v>EN_SPV_15_c02_PNG</v>
      </c>
      <c r="W613" s="12">
        <f t="shared" si="38"/>
        <v>1236</v>
      </c>
      <c r="X613" s="11">
        <f t="shared" si="39"/>
        <v>1236</v>
      </c>
      <c r="Y613" s="17">
        <v>3</v>
      </c>
      <c r="Z613" s="17"/>
      <c r="AC613" s="19" t="s">
        <v>1494</v>
      </c>
    </row>
    <row r="614" spans="2:29">
      <c r="B614" s="19" t="s">
        <v>26</v>
      </c>
      <c r="C614" s="19" t="s">
        <v>1496</v>
      </c>
      <c r="D614" s="19" t="s">
        <v>1497</v>
      </c>
      <c r="E614" s="19" t="s">
        <v>29</v>
      </c>
      <c r="F614" s="19" t="s">
        <v>30</v>
      </c>
      <c r="G614" s="19" t="s">
        <v>31</v>
      </c>
      <c r="J614" s="19" t="s">
        <v>1496</v>
      </c>
      <c r="K614" s="19" t="s">
        <v>32</v>
      </c>
      <c r="L614" s="19" t="s">
        <v>1488</v>
      </c>
      <c r="M614" s="19">
        <v>101.208996203257</v>
      </c>
      <c r="N614" s="19">
        <v>1236</v>
      </c>
      <c r="O614" s="19">
        <v>0.149875150060024</v>
      </c>
      <c r="P614" s="19" t="s">
        <v>1489</v>
      </c>
      <c r="Q614" s="19">
        <v>1.2495</v>
      </c>
      <c r="R614">
        <f t="shared" si="36"/>
        <v>12.36</v>
      </c>
      <c r="T614" s="15" t="s">
        <v>290</v>
      </c>
      <c r="U614" s="17"/>
      <c r="V614" s="16" t="str">
        <f t="shared" si="37"/>
        <v>EN_SPV_15_c03_PNG</v>
      </c>
      <c r="W614" s="12">
        <f t="shared" si="38"/>
        <v>1236</v>
      </c>
      <c r="X614" s="11">
        <f t="shared" si="39"/>
        <v>1236</v>
      </c>
      <c r="Y614" s="17">
        <v>3</v>
      </c>
      <c r="Z614" s="17"/>
      <c r="AC614" s="19" t="s">
        <v>1496</v>
      </c>
    </row>
    <row r="615" spans="2:29">
      <c r="B615" s="19" t="s">
        <v>26</v>
      </c>
      <c r="C615" s="19" t="s">
        <v>1498</v>
      </c>
      <c r="D615" s="19" t="s">
        <v>1499</v>
      </c>
      <c r="E615" s="19" t="s">
        <v>29</v>
      </c>
      <c r="F615" s="19" t="s">
        <v>30</v>
      </c>
      <c r="G615" s="19" t="s">
        <v>31</v>
      </c>
      <c r="J615" s="19" t="s">
        <v>1498</v>
      </c>
      <c r="K615" s="19" t="s">
        <v>32</v>
      </c>
      <c r="L615" s="19" t="s">
        <v>1488</v>
      </c>
      <c r="M615" s="19">
        <v>138.878712278909</v>
      </c>
      <c r="N615" s="19">
        <v>1236</v>
      </c>
      <c r="O615" s="19">
        <v>0.15029397896264</v>
      </c>
      <c r="P615" s="19" t="s">
        <v>1489</v>
      </c>
      <c r="Q615" s="19">
        <v>4.1355</v>
      </c>
      <c r="R615">
        <f t="shared" si="36"/>
        <v>12.36</v>
      </c>
      <c r="T615" s="15" t="s">
        <v>290</v>
      </c>
      <c r="U615" s="17"/>
      <c r="V615" s="16" t="str">
        <f t="shared" si="37"/>
        <v>EN_SPV_15_c04_PNG</v>
      </c>
      <c r="W615" s="12">
        <f t="shared" si="38"/>
        <v>1236</v>
      </c>
      <c r="X615" s="11">
        <f t="shared" si="39"/>
        <v>1236</v>
      </c>
      <c r="Y615" s="17">
        <v>3</v>
      </c>
      <c r="Z615" s="17"/>
      <c r="AC615" s="19" t="s">
        <v>1498</v>
      </c>
    </row>
    <row r="616" spans="2:29">
      <c r="B616" s="19" t="s">
        <v>26</v>
      </c>
      <c r="C616" s="19" t="s">
        <v>1500</v>
      </c>
      <c r="D616" s="19" t="s">
        <v>1501</v>
      </c>
      <c r="E616" s="19" t="s">
        <v>29</v>
      </c>
      <c r="F616" s="19" t="s">
        <v>30</v>
      </c>
      <c r="G616" s="19" t="s">
        <v>31</v>
      </c>
      <c r="J616" s="19" t="s">
        <v>1500</v>
      </c>
      <c r="K616" s="19" t="s">
        <v>32</v>
      </c>
      <c r="L616" s="19" t="s">
        <v>1488</v>
      </c>
      <c r="M616" s="19">
        <v>0</v>
      </c>
      <c r="N616" s="19">
        <v>1236</v>
      </c>
      <c r="O616" s="19">
        <v>0.163767749699158</v>
      </c>
      <c r="P616" s="19" t="s">
        <v>1489</v>
      </c>
      <c r="Q616" s="19">
        <v>0.62325</v>
      </c>
      <c r="R616">
        <f t="shared" si="36"/>
        <v>12.36</v>
      </c>
      <c r="T616" s="15" t="s">
        <v>290</v>
      </c>
      <c r="U616" s="17"/>
      <c r="V616" s="16" t="str">
        <f t="shared" si="37"/>
        <v>EN_SPV_16_c01_PNG</v>
      </c>
      <c r="W616" s="12">
        <f t="shared" si="38"/>
        <v>1236</v>
      </c>
      <c r="X616" s="11">
        <f t="shared" si="39"/>
        <v>1236</v>
      </c>
      <c r="Y616" s="17">
        <v>3</v>
      </c>
      <c r="Z616" s="17"/>
      <c r="AC616" s="19" t="s">
        <v>1500</v>
      </c>
    </row>
    <row r="617" spans="2:29">
      <c r="B617" s="19" t="s">
        <v>26</v>
      </c>
      <c r="C617" s="19" t="s">
        <v>1502</v>
      </c>
      <c r="D617" s="19" t="s">
        <v>1503</v>
      </c>
      <c r="E617" s="19" t="s">
        <v>29</v>
      </c>
      <c r="F617" s="19" t="s">
        <v>30</v>
      </c>
      <c r="G617" s="19" t="s">
        <v>31</v>
      </c>
      <c r="J617" s="19" t="s">
        <v>1502</v>
      </c>
      <c r="K617" s="19" t="s">
        <v>32</v>
      </c>
      <c r="L617" s="19" t="s">
        <v>1488</v>
      </c>
      <c r="M617" s="19">
        <v>88.9549921786477</v>
      </c>
      <c r="N617" s="19">
        <v>1236</v>
      </c>
      <c r="O617" s="19">
        <v>0.158392725598527</v>
      </c>
      <c r="P617" s="19" t="s">
        <v>1489</v>
      </c>
      <c r="Q617" s="19">
        <v>1.629</v>
      </c>
      <c r="R617">
        <f t="shared" si="36"/>
        <v>12.36</v>
      </c>
      <c r="T617" s="15" t="s">
        <v>290</v>
      </c>
      <c r="U617" s="17"/>
      <c r="V617" s="16" t="str">
        <f t="shared" si="37"/>
        <v>EN_SPV_16_c02_PNG</v>
      </c>
      <c r="W617" s="12">
        <f t="shared" si="38"/>
        <v>1236</v>
      </c>
      <c r="X617" s="11">
        <f t="shared" si="39"/>
        <v>1236</v>
      </c>
      <c r="Y617" s="17">
        <v>3</v>
      </c>
      <c r="Z617" s="17"/>
      <c r="AC617" s="19" t="s">
        <v>1502</v>
      </c>
    </row>
    <row r="618" spans="2:29">
      <c r="B618" s="19" t="s">
        <v>26</v>
      </c>
      <c r="C618" s="19" t="s">
        <v>1504</v>
      </c>
      <c r="D618" s="19" t="s">
        <v>1505</v>
      </c>
      <c r="E618" s="19" t="s">
        <v>29</v>
      </c>
      <c r="F618" s="19" t="s">
        <v>30</v>
      </c>
      <c r="G618" s="19" t="s">
        <v>31</v>
      </c>
      <c r="J618" s="19" t="s">
        <v>1504</v>
      </c>
      <c r="K618" s="19" t="s">
        <v>32</v>
      </c>
      <c r="L618" s="19" t="s">
        <v>1488</v>
      </c>
      <c r="M618" s="19">
        <v>101.208996203257</v>
      </c>
      <c r="N618" s="19">
        <v>1236</v>
      </c>
      <c r="O618" s="19">
        <v>0.159063739376771</v>
      </c>
      <c r="P618" s="19" t="s">
        <v>1489</v>
      </c>
      <c r="Q618" s="19">
        <v>0.5295</v>
      </c>
      <c r="R618">
        <f t="shared" si="36"/>
        <v>12.36</v>
      </c>
      <c r="T618" s="15" t="s">
        <v>290</v>
      </c>
      <c r="U618" s="17"/>
      <c r="V618" s="16" t="str">
        <f t="shared" si="37"/>
        <v>EN_SPV_16_c03_PNG</v>
      </c>
      <c r="W618" s="12">
        <f t="shared" si="38"/>
        <v>1236</v>
      </c>
      <c r="X618" s="11">
        <f t="shared" si="39"/>
        <v>1236</v>
      </c>
      <c r="Y618" s="17">
        <v>3</v>
      </c>
      <c r="Z618" s="17"/>
      <c r="AC618" s="19" t="s">
        <v>1504</v>
      </c>
    </row>
    <row r="619" spans="2:29">
      <c r="B619" s="19" t="s">
        <v>26</v>
      </c>
      <c r="C619" s="19" t="s">
        <v>1506</v>
      </c>
      <c r="D619" s="19" t="s">
        <v>1507</v>
      </c>
      <c r="E619" s="19" t="s">
        <v>29</v>
      </c>
      <c r="F619" s="19" t="s">
        <v>30</v>
      </c>
      <c r="G619" s="19" t="s">
        <v>31</v>
      </c>
      <c r="J619" s="19" t="s">
        <v>1506</v>
      </c>
      <c r="K619" s="19" t="s">
        <v>32</v>
      </c>
      <c r="L619" s="19" t="s">
        <v>1488</v>
      </c>
      <c r="M619" s="19">
        <v>138.878712278909</v>
      </c>
      <c r="N619" s="19">
        <v>1236</v>
      </c>
      <c r="O619" s="19">
        <v>0.158416666666667</v>
      </c>
      <c r="P619" s="19" t="s">
        <v>1489</v>
      </c>
      <c r="Q619" s="19">
        <v>0.36</v>
      </c>
      <c r="R619">
        <f t="shared" si="36"/>
        <v>12.36</v>
      </c>
      <c r="T619" s="15" t="s">
        <v>290</v>
      </c>
      <c r="U619" s="17"/>
      <c r="V619" s="16" t="str">
        <f t="shared" si="37"/>
        <v>EN_SPV_16_c04_PNG</v>
      </c>
      <c r="W619" s="12">
        <f t="shared" si="38"/>
        <v>1236</v>
      </c>
      <c r="X619" s="11">
        <f t="shared" si="39"/>
        <v>1236</v>
      </c>
      <c r="Y619" s="17">
        <v>3</v>
      </c>
      <c r="Z619" s="17"/>
      <c r="AC619" s="19" t="s">
        <v>1506</v>
      </c>
    </row>
    <row r="620" spans="2:29">
      <c r="B620" s="19" t="s">
        <v>26</v>
      </c>
      <c r="C620" s="19" t="s">
        <v>1508</v>
      </c>
      <c r="D620" s="19" t="s">
        <v>1509</v>
      </c>
      <c r="E620" s="19" t="s">
        <v>29</v>
      </c>
      <c r="F620" s="19" t="s">
        <v>30</v>
      </c>
      <c r="G620" s="19" t="s">
        <v>31</v>
      </c>
      <c r="J620" s="19" t="s">
        <v>1508</v>
      </c>
      <c r="K620" s="19" t="s">
        <v>32</v>
      </c>
      <c r="L620" s="19" t="s">
        <v>1488</v>
      </c>
      <c r="M620" s="19">
        <v>0</v>
      </c>
      <c r="N620" s="19">
        <v>1236</v>
      </c>
      <c r="O620" s="19">
        <v>0.166789115646258</v>
      </c>
      <c r="P620" s="19" t="s">
        <v>1489</v>
      </c>
      <c r="Q620" s="19">
        <v>0.882</v>
      </c>
      <c r="R620">
        <f t="shared" si="36"/>
        <v>12.36</v>
      </c>
      <c r="T620" s="15" t="s">
        <v>290</v>
      </c>
      <c r="U620" s="17"/>
      <c r="V620" s="16" t="str">
        <f t="shared" si="37"/>
        <v>EN_SPV_17_c01_PNG</v>
      </c>
      <c r="W620" s="12">
        <f t="shared" si="38"/>
        <v>1236</v>
      </c>
      <c r="X620" s="11">
        <f t="shared" si="39"/>
        <v>1236</v>
      </c>
      <c r="Y620" s="17">
        <v>3</v>
      </c>
      <c r="Z620" s="17"/>
      <c r="AC620" s="19" t="s">
        <v>1508</v>
      </c>
    </row>
    <row r="621" spans="2:29">
      <c r="B621" s="19" t="s">
        <v>26</v>
      </c>
      <c r="C621" s="19" t="s">
        <v>1510</v>
      </c>
      <c r="D621" s="19" t="s">
        <v>1511</v>
      </c>
      <c r="E621" s="19" t="s">
        <v>29</v>
      </c>
      <c r="F621" s="19" t="s">
        <v>30</v>
      </c>
      <c r="G621" s="19" t="s">
        <v>31</v>
      </c>
      <c r="J621" s="19" t="s">
        <v>1510</v>
      </c>
      <c r="K621" s="19" t="s">
        <v>32</v>
      </c>
      <c r="L621" s="19" t="s">
        <v>1488</v>
      </c>
      <c r="M621" s="19">
        <v>88.9549921786477</v>
      </c>
      <c r="N621" s="19">
        <v>1236</v>
      </c>
      <c r="O621" s="19">
        <v>0.165190045248869</v>
      </c>
      <c r="P621" s="19" t="s">
        <v>1489</v>
      </c>
      <c r="Q621" s="19">
        <v>0.16575</v>
      </c>
      <c r="R621">
        <f t="shared" si="36"/>
        <v>12.36</v>
      </c>
      <c r="T621" s="15" t="s">
        <v>290</v>
      </c>
      <c r="U621" s="17"/>
      <c r="V621" s="16" t="str">
        <f t="shared" si="37"/>
        <v>EN_SPV_17_c02_PNG</v>
      </c>
      <c r="W621" s="12">
        <f t="shared" si="38"/>
        <v>1236</v>
      </c>
      <c r="X621" s="11">
        <f t="shared" si="39"/>
        <v>1236</v>
      </c>
      <c r="Y621" s="17">
        <v>3</v>
      </c>
      <c r="Z621" s="17"/>
      <c r="AC621" s="19" t="s">
        <v>1510</v>
      </c>
    </row>
    <row r="622" spans="2:29">
      <c r="B622" s="19" t="s">
        <v>26</v>
      </c>
      <c r="C622" s="19" t="s">
        <v>1512</v>
      </c>
      <c r="D622" s="19" t="s">
        <v>1513</v>
      </c>
      <c r="E622" s="19" t="s">
        <v>29</v>
      </c>
      <c r="F622" s="19" t="s">
        <v>30</v>
      </c>
      <c r="G622" s="19" t="s">
        <v>31</v>
      </c>
      <c r="J622" s="19" t="s">
        <v>1512</v>
      </c>
      <c r="K622" s="19" t="s">
        <v>32</v>
      </c>
      <c r="L622" s="19" t="s">
        <v>1514</v>
      </c>
      <c r="M622" s="19">
        <v>101.208996203257</v>
      </c>
      <c r="N622" s="19">
        <v>974</v>
      </c>
      <c r="O622" s="19">
        <v>0.113484428223844</v>
      </c>
      <c r="P622" s="19" t="s">
        <v>1515</v>
      </c>
      <c r="Q622" s="19">
        <v>3.0825</v>
      </c>
      <c r="R622">
        <f t="shared" si="36"/>
        <v>9.74</v>
      </c>
      <c r="T622" s="15" t="s">
        <v>69</v>
      </c>
      <c r="U622" s="17"/>
      <c r="V622" s="16" t="str">
        <f t="shared" si="37"/>
        <v>EN_SPV_11_c03_POL</v>
      </c>
      <c r="W622" s="12">
        <f t="shared" si="38"/>
        <v>974</v>
      </c>
      <c r="X622" s="11">
        <f t="shared" si="39"/>
        <v>974</v>
      </c>
      <c r="Y622" s="17">
        <v>3</v>
      </c>
      <c r="Z622" s="17"/>
      <c r="AC622" s="19" t="s">
        <v>1512</v>
      </c>
    </row>
    <row r="623" spans="2:29">
      <c r="B623" s="19" t="s">
        <v>26</v>
      </c>
      <c r="C623" s="19" t="s">
        <v>1516</v>
      </c>
      <c r="D623" s="19" t="s">
        <v>1517</v>
      </c>
      <c r="E623" s="19" t="s">
        <v>29</v>
      </c>
      <c r="F623" s="19" t="s">
        <v>30</v>
      </c>
      <c r="G623" s="19" t="s">
        <v>31</v>
      </c>
      <c r="J623" s="19" t="s">
        <v>1516</v>
      </c>
      <c r="K623" s="19" t="s">
        <v>32</v>
      </c>
      <c r="L623" s="19" t="s">
        <v>1514</v>
      </c>
      <c r="M623" s="19">
        <v>88.9549921786477</v>
      </c>
      <c r="N623" s="19">
        <v>974</v>
      </c>
      <c r="O623" s="19">
        <v>0.121461139896373</v>
      </c>
      <c r="P623" s="19" t="s">
        <v>1515</v>
      </c>
      <c r="Q623" s="19">
        <v>0.2895</v>
      </c>
      <c r="R623">
        <f t="shared" si="36"/>
        <v>9.74</v>
      </c>
      <c r="T623" s="15" t="s">
        <v>69</v>
      </c>
      <c r="U623" s="17"/>
      <c r="V623" s="16" t="str">
        <f t="shared" si="37"/>
        <v>EN_SPV_12_c02_POL</v>
      </c>
      <c r="W623" s="12">
        <f t="shared" si="38"/>
        <v>974</v>
      </c>
      <c r="X623" s="11">
        <f t="shared" si="39"/>
        <v>974</v>
      </c>
      <c r="Y623" s="17">
        <v>3</v>
      </c>
      <c r="Z623" s="17"/>
      <c r="AC623" s="19" t="s">
        <v>1516</v>
      </c>
    </row>
    <row r="624" spans="2:29">
      <c r="B624" s="19" t="s">
        <v>26</v>
      </c>
      <c r="C624" s="19" t="s">
        <v>1518</v>
      </c>
      <c r="D624" s="19" t="s">
        <v>1519</v>
      </c>
      <c r="E624" s="19" t="s">
        <v>29</v>
      </c>
      <c r="F624" s="19" t="s">
        <v>30</v>
      </c>
      <c r="G624" s="19" t="s">
        <v>31</v>
      </c>
      <c r="J624" s="19" t="s">
        <v>1518</v>
      </c>
      <c r="K624" s="19" t="s">
        <v>32</v>
      </c>
      <c r="L624" s="19" t="s">
        <v>1514</v>
      </c>
      <c r="M624" s="19">
        <v>101.208996203257</v>
      </c>
      <c r="N624" s="19">
        <v>974</v>
      </c>
      <c r="O624" s="19">
        <v>0.117176609119736</v>
      </c>
      <c r="P624" s="19" t="s">
        <v>1515</v>
      </c>
      <c r="Q624" s="19">
        <v>40.44525</v>
      </c>
      <c r="R624">
        <f t="shared" si="36"/>
        <v>9.74</v>
      </c>
      <c r="T624" s="15" t="s">
        <v>69</v>
      </c>
      <c r="U624" s="17"/>
      <c r="V624" s="16" t="str">
        <f t="shared" si="37"/>
        <v>EN_SPV_12_c03_POL</v>
      </c>
      <c r="W624" s="12">
        <f t="shared" si="38"/>
        <v>974</v>
      </c>
      <c r="X624" s="11">
        <f t="shared" si="39"/>
        <v>974</v>
      </c>
      <c r="Y624" s="17">
        <v>3</v>
      </c>
      <c r="Z624" s="17"/>
      <c r="AC624" s="19" t="s">
        <v>1518</v>
      </c>
    </row>
    <row r="625" spans="2:29">
      <c r="B625" s="19" t="s">
        <v>26</v>
      </c>
      <c r="C625" s="19" t="s">
        <v>1520</v>
      </c>
      <c r="D625" s="19" t="s">
        <v>1521</v>
      </c>
      <c r="E625" s="19" t="s">
        <v>29</v>
      </c>
      <c r="F625" s="19" t="s">
        <v>30</v>
      </c>
      <c r="G625" s="19" t="s">
        <v>31</v>
      </c>
      <c r="J625" s="19" t="s">
        <v>1520</v>
      </c>
      <c r="K625" s="19" t="s">
        <v>32</v>
      </c>
      <c r="L625" s="19" t="s">
        <v>1522</v>
      </c>
      <c r="M625" s="19">
        <v>88.9549921786477</v>
      </c>
      <c r="N625" s="19">
        <v>1893</v>
      </c>
      <c r="O625" s="19">
        <v>0.152757246664024</v>
      </c>
      <c r="P625" s="19" t="s">
        <v>1523</v>
      </c>
      <c r="Q625" s="19">
        <v>56.7675</v>
      </c>
      <c r="R625">
        <f t="shared" si="36"/>
        <v>18.93</v>
      </c>
      <c r="T625" s="15" t="s">
        <v>290</v>
      </c>
      <c r="U625" s="17"/>
      <c r="V625" s="16" t="str">
        <f t="shared" si="37"/>
        <v>EN_SPV_15_c02_PRK</v>
      </c>
      <c r="W625" s="12">
        <f t="shared" si="38"/>
        <v>1893</v>
      </c>
      <c r="X625" s="11">
        <f t="shared" si="39"/>
        <v>1893</v>
      </c>
      <c r="Y625" s="17">
        <v>3</v>
      </c>
      <c r="Z625" s="17"/>
      <c r="AC625" s="19" t="s">
        <v>1520</v>
      </c>
    </row>
    <row r="626" spans="2:29">
      <c r="B626" s="19" t="s">
        <v>26</v>
      </c>
      <c r="C626" s="19" t="s">
        <v>1524</v>
      </c>
      <c r="D626" s="19" t="s">
        <v>1525</v>
      </c>
      <c r="E626" s="19" t="s">
        <v>29</v>
      </c>
      <c r="F626" s="19" t="s">
        <v>30</v>
      </c>
      <c r="G626" s="19" t="s">
        <v>31</v>
      </c>
      <c r="J626" s="19" t="s">
        <v>1524</v>
      </c>
      <c r="K626" s="19" t="s">
        <v>32</v>
      </c>
      <c r="L626" s="19" t="s">
        <v>1522</v>
      </c>
      <c r="M626" s="19">
        <v>0</v>
      </c>
      <c r="N626" s="19">
        <v>1893</v>
      </c>
      <c r="O626" s="19">
        <v>0.155888956734124</v>
      </c>
      <c r="P626" s="19" t="s">
        <v>1523</v>
      </c>
      <c r="Q626" s="19">
        <v>8.598</v>
      </c>
      <c r="R626">
        <f t="shared" si="36"/>
        <v>18.93</v>
      </c>
      <c r="T626" s="15" t="s">
        <v>290</v>
      </c>
      <c r="U626" s="17"/>
      <c r="V626" s="16" t="str">
        <f t="shared" si="37"/>
        <v>EN_SPV_16_c01_PRK</v>
      </c>
      <c r="W626" s="12">
        <f t="shared" si="38"/>
        <v>1893</v>
      </c>
      <c r="X626" s="11">
        <f t="shared" si="39"/>
        <v>1893</v>
      </c>
      <c r="Y626" s="17">
        <v>3</v>
      </c>
      <c r="Z626" s="17"/>
      <c r="AC626" s="19" t="s">
        <v>1524</v>
      </c>
    </row>
    <row r="627" spans="2:29">
      <c r="B627" s="19" t="s">
        <v>26</v>
      </c>
      <c r="C627" s="19" t="s">
        <v>1526</v>
      </c>
      <c r="D627" s="19" t="s">
        <v>1527</v>
      </c>
      <c r="E627" s="19" t="s">
        <v>29</v>
      </c>
      <c r="F627" s="19" t="s">
        <v>30</v>
      </c>
      <c r="G627" s="19" t="s">
        <v>31</v>
      </c>
      <c r="J627" s="19" t="s">
        <v>1526</v>
      </c>
      <c r="K627" s="19" t="s">
        <v>32</v>
      </c>
      <c r="L627" s="19" t="s">
        <v>1522</v>
      </c>
      <c r="M627" s="19">
        <v>88.9549921786477</v>
      </c>
      <c r="N627" s="19">
        <v>1893</v>
      </c>
      <c r="O627" s="19">
        <v>0.15592871807506</v>
      </c>
      <c r="P627" s="19" t="s">
        <v>1523</v>
      </c>
      <c r="Q627" s="19">
        <v>18.2655</v>
      </c>
      <c r="R627">
        <f t="shared" si="36"/>
        <v>18.93</v>
      </c>
      <c r="T627" s="15" t="s">
        <v>290</v>
      </c>
      <c r="U627" s="17"/>
      <c r="V627" s="16" t="str">
        <f t="shared" si="37"/>
        <v>EN_SPV_16_c02_PRK</v>
      </c>
      <c r="W627" s="12">
        <f t="shared" si="38"/>
        <v>1893</v>
      </c>
      <c r="X627" s="11">
        <f t="shared" si="39"/>
        <v>1893</v>
      </c>
      <c r="Y627" s="17">
        <v>3</v>
      </c>
      <c r="Z627" s="17"/>
      <c r="AC627" s="19" t="s">
        <v>1526</v>
      </c>
    </row>
    <row r="628" spans="2:29">
      <c r="B628" s="19" t="s">
        <v>26</v>
      </c>
      <c r="C628" s="19" t="s">
        <v>1528</v>
      </c>
      <c r="D628" s="19" t="s">
        <v>1529</v>
      </c>
      <c r="E628" s="19" t="s">
        <v>29</v>
      </c>
      <c r="F628" s="19" t="s">
        <v>30</v>
      </c>
      <c r="G628" s="19" t="s">
        <v>31</v>
      </c>
      <c r="J628" s="19" t="s">
        <v>1528</v>
      </c>
      <c r="K628" s="19" t="s">
        <v>32</v>
      </c>
      <c r="L628" s="19" t="s">
        <v>1522</v>
      </c>
      <c r="M628" s="19">
        <v>101.208996203257</v>
      </c>
      <c r="N628" s="19">
        <v>1893</v>
      </c>
      <c r="O628" s="19">
        <v>0.156068825910931</v>
      </c>
      <c r="P628" s="19" t="s">
        <v>1523</v>
      </c>
      <c r="Q628" s="19">
        <v>2.77875</v>
      </c>
      <c r="R628">
        <f t="shared" si="36"/>
        <v>18.93</v>
      </c>
      <c r="T628" s="15" t="s">
        <v>290</v>
      </c>
      <c r="U628" s="17"/>
      <c r="V628" s="16" t="str">
        <f t="shared" si="37"/>
        <v>EN_SPV_16_c03_PRK</v>
      </c>
      <c r="W628" s="12">
        <f t="shared" si="38"/>
        <v>1893</v>
      </c>
      <c r="X628" s="11">
        <f t="shared" si="39"/>
        <v>1893</v>
      </c>
      <c r="Y628" s="17">
        <v>3</v>
      </c>
      <c r="Z628" s="17"/>
      <c r="AC628" s="19" t="s">
        <v>1528</v>
      </c>
    </row>
    <row r="629" spans="2:29">
      <c r="B629" s="19" t="s">
        <v>26</v>
      </c>
      <c r="C629" s="19" t="s">
        <v>1530</v>
      </c>
      <c r="D629" s="19" t="s">
        <v>1531</v>
      </c>
      <c r="E629" s="19" t="s">
        <v>29</v>
      </c>
      <c r="F629" s="19" t="s">
        <v>30</v>
      </c>
      <c r="G629" s="19" t="s">
        <v>31</v>
      </c>
      <c r="J629" s="19" t="s">
        <v>1530</v>
      </c>
      <c r="K629" s="19" t="s">
        <v>32</v>
      </c>
      <c r="L629" s="19" t="s">
        <v>1522</v>
      </c>
      <c r="M629" s="19">
        <v>0</v>
      </c>
      <c r="N629" s="19">
        <v>1893</v>
      </c>
      <c r="O629" s="19">
        <v>0.170240211640212</v>
      </c>
      <c r="P629" s="19" t="s">
        <v>1523</v>
      </c>
      <c r="Q629" s="19">
        <v>0.70875</v>
      </c>
      <c r="R629">
        <f t="shared" si="36"/>
        <v>18.93</v>
      </c>
      <c r="T629" s="15" t="s">
        <v>290</v>
      </c>
      <c r="U629" s="17"/>
      <c r="V629" s="16" t="str">
        <f t="shared" si="37"/>
        <v>EN_SPV_17_c01_PRK</v>
      </c>
      <c r="W629" s="12">
        <f t="shared" si="38"/>
        <v>1893</v>
      </c>
      <c r="X629" s="11">
        <f t="shared" si="39"/>
        <v>1893</v>
      </c>
      <c r="Y629" s="17">
        <v>3</v>
      </c>
      <c r="Z629" s="17"/>
      <c r="AC629" s="19" t="s">
        <v>1530</v>
      </c>
    </row>
    <row r="630" spans="2:29">
      <c r="B630" s="19" t="s">
        <v>26</v>
      </c>
      <c r="C630" s="19" t="s">
        <v>1532</v>
      </c>
      <c r="D630" s="19" t="s">
        <v>1533</v>
      </c>
      <c r="E630" s="19" t="s">
        <v>29</v>
      </c>
      <c r="F630" s="19" t="s">
        <v>30</v>
      </c>
      <c r="G630" s="19" t="s">
        <v>31</v>
      </c>
      <c r="J630" s="19" t="s">
        <v>1532</v>
      </c>
      <c r="K630" s="19" t="s">
        <v>32</v>
      </c>
      <c r="L630" s="19" t="s">
        <v>1522</v>
      </c>
      <c r="M630" s="19">
        <v>88.9549921786477</v>
      </c>
      <c r="N630" s="19">
        <v>1893</v>
      </c>
      <c r="O630" s="19">
        <v>0.167517046848173</v>
      </c>
      <c r="P630" s="19" t="s">
        <v>1523</v>
      </c>
      <c r="Q630" s="19">
        <v>6.1155</v>
      </c>
      <c r="R630">
        <f t="shared" si="36"/>
        <v>18.93</v>
      </c>
      <c r="T630" s="15" t="s">
        <v>290</v>
      </c>
      <c r="U630" s="17"/>
      <c r="V630" s="16" t="str">
        <f t="shared" si="37"/>
        <v>EN_SPV_17_c02_PRK</v>
      </c>
      <c r="W630" s="12">
        <f t="shared" si="38"/>
        <v>1893</v>
      </c>
      <c r="X630" s="11">
        <f t="shared" si="39"/>
        <v>1893</v>
      </c>
      <c r="Y630" s="17">
        <v>3</v>
      </c>
      <c r="Z630" s="17"/>
      <c r="AC630" s="19" t="s">
        <v>1532</v>
      </c>
    </row>
    <row r="631" spans="2:29">
      <c r="B631" s="19" t="s">
        <v>26</v>
      </c>
      <c r="C631" s="19" t="s">
        <v>1534</v>
      </c>
      <c r="D631" s="19" t="s">
        <v>1535</v>
      </c>
      <c r="E631" s="19" t="s">
        <v>29</v>
      </c>
      <c r="F631" s="19" t="s">
        <v>30</v>
      </c>
      <c r="G631" s="19" t="s">
        <v>31</v>
      </c>
      <c r="J631" s="19" t="s">
        <v>1534</v>
      </c>
      <c r="K631" s="19" t="s">
        <v>32</v>
      </c>
      <c r="L631" s="19" t="s">
        <v>1536</v>
      </c>
      <c r="M631" s="19">
        <v>0</v>
      </c>
      <c r="N631" s="19">
        <v>769</v>
      </c>
      <c r="O631" s="19">
        <v>0.170237122271212</v>
      </c>
      <c r="P631" s="19" t="s">
        <v>1537</v>
      </c>
      <c r="Q631" s="19">
        <v>20.92275</v>
      </c>
      <c r="R631">
        <f t="shared" si="36"/>
        <v>7.69</v>
      </c>
      <c r="T631" s="15" t="s">
        <v>69</v>
      </c>
      <c r="U631" s="17"/>
      <c r="V631" s="16" t="str">
        <f t="shared" si="37"/>
        <v>EN_SPV_17_c01_PRT</v>
      </c>
      <c r="W631" s="12">
        <f t="shared" si="38"/>
        <v>769</v>
      </c>
      <c r="X631" s="11">
        <f t="shared" si="39"/>
        <v>769</v>
      </c>
      <c r="Y631" s="17">
        <v>3</v>
      </c>
      <c r="Z631" s="17"/>
      <c r="AC631" s="19" t="s">
        <v>1534</v>
      </c>
    </row>
    <row r="632" spans="2:29">
      <c r="B632" s="19" t="s">
        <v>26</v>
      </c>
      <c r="C632" s="19" t="s">
        <v>1538</v>
      </c>
      <c r="D632" s="19" t="s">
        <v>1539</v>
      </c>
      <c r="E632" s="19" t="s">
        <v>29</v>
      </c>
      <c r="F632" s="19" t="s">
        <v>30</v>
      </c>
      <c r="G632" s="19" t="s">
        <v>31</v>
      </c>
      <c r="J632" s="19" t="s">
        <v>1538</v>
      </c>
      <c r="K632" s="19" t="s">
        <v>32</v>
      </c>
      <c r="L632" s="19" t="s">
        <v>1536</v>
      </c>
      <c r="M632" s="19">
        <v>0</v>
      </c>
      <c r="N632" s="19">
        <v>769</v>
      </c>
      <c r="O632" s="19">
        <v>0.177996384756712</v>
      </c>
      <c r="P632" s="19" t="s">
        <v>1537</v>
      </c>
      <c r="Q632" s="19">
        <v>37.96425</v>
      </c>
      <c r="R632">
        <f t="shared" si="36"/>
        <v>7.69</v>
      </c>
      <c r="T632" s="15" t="s">
        <v>69</v>
      </c>
      <c r="U632" s="17"/>
      <c r="V632" s="16" t="str">
        <f t="shared" si="37"/>
        <v>EN_SPV_18_c01_PRT</v>
      </c>
      <c r="W632" s="12">
        <f t="shared" si="38"/>
        <v>769</v>
      </c>
      <c r="X632" s="11">
        <f t="shared" si="39"/>
        <v>769</v>
      </c>
      <c r="Y632" s="17">
        <v>3</v>
      </c>
      <c r="Z632" s="17"/>
      <c r="AC632" s="19" t="s">
        <v>1538</v>
      </c>
    </row>
    <row r="633" spans="2:29">
      <c r="B633" s="19" t="s">
        <v>26</v>
      </c>
      <c r="C633" s="19" t="s">
        <v>1540</v>
      </c>
      <c r="D633" s="19" t="s">
        <v>1541</v>
      </c>
      <c r="E633" s="19" t="s">
        <v>29</v>
      </c>
      <c r="F633" s="19" t="s">
        <v>30</v>
      </c>
      <c r="G633" s="19" t="s">
        <v>31</v>
      </c>
      <c r="J633" s="19" t="s">
        <v>1540</v>
      </c>
      <c r="K633" s="19" t="s">
        <v>32</v>
      </c>
      <c r="L633" s="19" t="s">
        <v>1536</v>
      </c>
      <c r="M633" s="19">
        <v>0</v>
      </c>
      <c r="N633" s="19">
        <v>769</v>
      </c>
      <c r="O633" s="19">
        <v>0.185969696969697</v>
      </c>
      <c r="P633" s="19" t="s">
        <v>1537</v>
      </c>
      <c r="Q633" s="19">
        <v>0.1485</v>
      </c>
      <c r="R633">
        <f t="shared" si="36"/>
        <v>7.69</v>
      </c>
      <c r="T633" s="15" t="s">
        <v>69</v>
      </c>
      <c r="U633" s="17"/>
      <c r="V633" s="16" t="str">
        <f t="shared" si="37"/>
        <v>EN_SPV_19_c01_PRT</v>
      </c>
      <c r="W633" s="12">
        <f t="shared" si="38"/>
        <v>769</v>
      </c>
      <c r="X633" s="11">
        <f t="shared" si="39"/>
        <v>769</v>
      </c>
      <c r="Y633" s="17">
        <v>3</v>
      </c>
      <c r="Z633" s="17"/>
      <c r="AC633" s="19" t="s">
        <v>1540</v>
      </c>
    </row>
    <row r="634" spans="2:29">
      <c r="B634" s="19" t="s">
        <v>26</v>
      </c>
      <c r="C634" s="19" t="s">
        <v>1542</v>
      </c>
      <c r="D634" s="19" t="s">
        <v>1543</v>
      </c>
      <c r="E634" s="19" t="s">
        <v>29</v>
      </c>
      <c r="F634" s="19" t="s">
        <v>30</v>
      </c>
      <c r="G634" s="19" t="s">
        <v>31</v>
      </c>
      <c r="J634" s="19" t="s">
        <v>1542</v>
      </c>
      <c r="K634" s="19" t="s">
        <v>32</v>
      </c>
      <c r="L634" s="19" t="s">
        <v>1544</v>
      </c>
      <c r="M634" s="19">
        <v>88.9549921786477</v>
      </c>
      <c r="N634" s="19">
        <v>1344</v>
      </c>
      <c r="O634" s="19">
        <v>0.169376859165043</v>
      </c>
      <c r="P634" s="19" t="s">
        <v>1545</v>
      </c>
      <c r="Q634" s="19">
        <v>87.741</v>
      </c>
      <c r="R634">
        <f t="shared" si="36"/>
        <v>13.44</v>
      </c>
      <c r="T634" s="15" t="s">
        <v>89</v>
      </c>
      <c r="U634" s="17"/>
      <c r="V634" s="16" t="str">
        <f t="shared" si="37"/>
        <v>EN_SPV_17_c02_PRY</v>
      </c>
      <c r="W634" s="12">
        <f t="shared" si="38"/>
        <v>1344</v>
      </c>
      <c r="X634" s="11">
        <f t="shared" si="39"/>
        <v>1344</v>
      </c>
      <c r="Y634" s="17">
        <v>3</v>
      </c>
      <c r="Z634" s="17"/>
      <c r="AC634" s="19" t="s">
        <v>1542</v>
      </c>
    </row>
    <row r="635" spans="2:29">
      <c r="B635" s="19" t="s">
        <v>26</v>
      </c>
      <c r="C635" s="19" t="s">
        <v>1546</v>
      </c>
      <c r="D635" s="19" t="s">
        <v>1547</v>
      </c>
      <c r="E635" s="19" t="s">
        <v>29</v>
      </c>
      <c r="F635" s="19" t="s">
        <v>30</v>
      </c>
      <c r="G635" s="19" t="s">
        <v>31</v>
      </c>
      <c r="J635" s="19" t="s">
        <v>1546</v>
      </c>
      <c r="K635" s="19" t="s">
        <v>32</v>
      </c>
      <c r="L635" s="19" t="s">
        <v>1548</v>
      </c>
      <c r="M635" s="19">
        <v>0</v>
      </c>
      <c r="N635" s="19">
        <v>859</v>
      </c>
      <c r="O635" s="19">
        <v>0.193265529841657</v>
      </c>
      <c r="P635" s="19" t="s">
        <v>1549</v>
      </c>
      <c r="Q635" s="19">
        <v>1.2315</v>
      </c>
      <c r="R635">
        <f t="shared" si="36"/>
        <v>8.59</v>
      </c>
      <c r="T635" s="15" t="s">
        <v>80</v>
      </c>
      <c r="U635" s="17"/>
      <c r="V635" s="16" t="str">
        <f t="shared" si="37"/>
        <v>EN_SPV_19_c01_PSE</v>
      </c>
      <c r="W635" s="12">
        <f t="shared" si="38"/>
        <v>859</v>
      </c>
      <c r="X635" s="11">
        <f t="shared" si="39"/>
        <v>859</v>
      </c>
      <c r="Y635" s="17">
        <v>3</v>
      </c>
      <c r="Z635" s="17"/>
      <c r="AC635" s="19" t="s">
        <v>1546</v>
      </c>
    </row>
    <row r="636" spans="2:29">
      <c r="B636" s="19" t="s">
        <v>26</v>
      </c>
      <c r="C636" s="19" t="s">
        <v>1550</v>
      </c>
      <c r="D636" s="19" t="s">
        <v>1551</v>
      </c>
      <c r="E636" s="19" t="s">
        <v>29</v>
      </c>
      <c r="F636" s="19" t="s">
        <v>30</v>
      </c>
      <c r="G636" s="19" t="s">
        <v>31</v>
      </c>
      <c r="J636" s="19" t="s">
        <v>1550</v>
      </c>
      <c r="K636" s="19" t="s">
        <v>32</v>
      </c>
      <c r="L636" s="19" t="s">
        <v>1548</v>
      </c>
      <c r="M636" s="19">
        <v>0</v>
      </c>
      <c r="N636" s="19">
        <v>859</v>
      </c>
      <c r="O636" s="19">
        <v>0.198</v>
      </c>
      <c r="P636" s="19" t="s">
        <v>1549</v>
      </c>
      <c r="Q636" s="19">
        <v>0.77775</v>
      </c>
      <c r="R636">
        <f t="shared" si="36"/>
        <v>8.59</v>
      </c>
      <c r="T636" s="15" t="s">
        <v>80</v>
      </c>
      <c r="U636" s="17"/>
      <c r="V636" s="16" t="str">
        <f t="shared" si="37"/>
        <v>EN_SPV_20_c01_PSE</v>
      </c>
      <c r="W636" s="12">
        <f t="shared" si="38"/>
        <v>859</v>
      </c>
      <c r="X636" s="11">
        <f t="shared" si="39"/>
        <v>859</v>
      </c>
      <c r="Y636" s="17">
        <v>3</v>
      </c>
      <c r="Z636" s="17"/>
      <c r="AC636" s="19" t="s">
        <v>1550</v>
      </c>
    </row>
    <row r="637" spans="2:29">
      <c r="B637" s="19" t="s">
        <v>26</v>
      </c>
      <c r="C637" s="19" t="s">
        <v>1552</v>
      </c>
      <c r="D637" s="19" t="s">
        <v>1553</v>
      </c>
      <c r="E637" s="19" t="s">
        <v>29</v>
      </c>
      <c r="F637" s="19" t="s">
        <v>30</v>
      </c>
      <c r="G637" s="19" t="s">
        <v>31</v>
      </c>
      <c r="J637" s="19" t="s">
        <v>1552</v>
      </c>
      <c r="K637" s="19" t="s">
        <v>32</v>
      </c>
      <c r="L637" s="19" t="s">
        <v>1554</v>
      </c>
      <c r="M637" s="19">
        <v>0</v>
      </c>
      <c r="N637" s="19">
        <v>859</v>
      </c>
      <c r="O637" s="19">
        <v>0.194</v>
      </c>
      <c r="P637" s="19" t="s">
        <v>1555</v>
      </c>
      <c r="Q637" s="19">
        <v>16.2195</v>
      </c>
      <c r="R637">
        <f t="shared" si="36"/>
        <v>8.59</v>
      </c>
      <c r="T637" s="15" t="s">
        <v>80</v>
      </c>
      <c r="U637" s="17"/>
      <c r="V637" s="16" t="str">
        <f t="shared" si="37"/>
        <v>EN_SPV_19_c01_QAT</v>
      </c>
      <c r="W637" s="12">
        <f t="shared" si="38"/>
        <v>859</v>
      </c>
      <c r="X637" s="11">
        <f t="shared" si="39"/>
        <v>859</v>
      </c>
      <c r="Y637" s="17">
        <v>3</v>
      </c>
      <c r="Z637" s="17"/>
      <c r="AC637" s="19" t="s">
        <v>1552</v>
      </c>
    </row>
    <row r="638" spans="2:29">
      <c r="B638" s="19" t="s">
        <v>26</v>
      </c>
      <c r="C638" s="19" t="s">
        <v>1556</v>
      </c>
      <c r="D638" s="19" t="s">
        <v>1557</v>
      </c>
      <c r="E638" s="19" t="s">
        <v>29</v>
      </c>
      <c r="F638" s="19" t="s">
        <v>30</v>
      </c>
      <c r="G638" s="19" t="s">
        <v>31</v>
      </c>
      <c r="J638" s="19" t="s">
        <v>1556</v>
      </c>
      <c r="K638" s="19" t="s">
        <v>32</v>
      </c>
      <c r="L638" s="19" t="s">
        <v>1558</v>
      </c>
      <c r="M638" s="19">
        <v>88.9549921786477</v>
      </c>
      <c r="N638" s="19">
        <v>974</v>
      </c>
      <c r="O638" s="19">
        <v>0.140910953782028</v>
      </c>
      <c r="P638" s="19" t="s">
        <v>1559</v>
      </c>
      <c r="Q638" s="19">
        <v>122.355</v>
      </c>
      <c r="R638">
        <f t="shared" si="36"/>
        <v>9.74</v>
      </c>
      <c r="T638" s="15" t="s">
        <v>69</v>
      </c>
      <c r="U638" s="17"/>
      <c r="V638" s="16" t="str">
        <f t="shared" si="37"/>
        <v>EN_SPV_14_c02_ROU</v>
      </c>
      <c r="W638" s="12">
        <f t="shared" si="38"/>
        <v>974</v>
      </c>
      <c r="X638" s="11">
        <f t="shared" si="39"/>
        <v>974</v>
      </c>
      <c r="Y638" s="17">
        <v>3</v>
      </c>
      <c r="Z638" s="17"/>
      <c r="AC638" s="19" t="s">
        <v>1556</v>
      </c>
    </row>
    <row r="639" spans="2:29">
      <c r="B639" s="19" t="s">
        <v>26</v>
      </c>
      <c r="C639" s="19" t="s">
        <v>1560</v>
      </c>
      <c r="D639" s="19" t="s">
        <v>1561</v>
      </c>
      <c r="E639" s="19" t="s">
        <v>29</v>
      </c>
      <c r="F639" s="19" t="s">
        <v>30</v>
      </c>
      <c r="G639" s="19" t="s">
        <v>31</v>
      </c>
      <c r="J639" s="19" t="s">
        <v>1560</v>
      </c>
      <c r="K639" s="19" t="s">
        <v>32</v>
      </c>
      <c r="L639" s="19" t="s">
        <v>1558</v>
      </c>
      <c r="M639" s="19">
        <v>101.208996203257</v>
      </c>
      <c r="N639" s="19">
        <v>974</v>
      </c>
      <c r="O639" s="19">
        <v>0.147</v>
      </c>
      <c r="P639" s="19" t="s">
        <v>1559</v>
      </c>
      <c r="Q639" s="19">
        <v>1.61775</v>
      </c>
      <c r="R639">
        <f t="shared" si="36"/>
        <v>9.74</v>
      </c>
      <c r="T639" s="15" t="s">
        <v>69</v>
      </c>
      <c r="U639" s="17"/>
      <c r="V639" s="16" t="str">
        <f t="shared" si="37"/>
        <v>EN_SPV_15_c03_ROU</v>
      </c>
      <c r="W639" s="12">
        <f t="shared" si="38"/>
        <v>974</v>
      </c>
      <c r="X639" s="11">
        <f t="shared" si="39"/>
        <v>974</v>
      </c>
      <c r="Y639" s="17">
        <v>3</v>
      </c>
      <c r="Z639" s="17"/>
      <c r="AC639" s="19" t="s">
        <v>1560</v>
      </c>
    </row>
    <row r="640" spans="2:29">
      <c r="B640" s="19" t="s">
        <v>26</v>
      </c>
      <c r="C640" s="19" t="s">
        <v>1562</v>
      </c>
      <c r="D640" s="19" t="s">
        <v>1563</v>
      </c>
      <c r="E640" s="19" t="s">
        <v>29</v>
      </c>
      <c r="F640" s="19" t="s">
        <v>30</v>
      </c>
      <c r="G640" s="19" t="s">
        <v>31</v>
      </c>
      <c r="J640" s="19" t="s">
        <v>1562</v>
      </c>
      <c r="K640" s="19" t="s">
        <v>32</v>
      </c>
      <c r="L640" s="19" t="s">
        <v>1564</v>
      </c>
      <c r="M640" s="19">
        <v>0</v>
      </c>
      <c r="N640" s="19">
        <v>2117</v>
      </c>
      <c r="O640" s="19">
        <v>0.153421139417924</v>
      </c>
      <c r="P640" s="19" t="s">
        <v>1565</v>
      </c>
      <c r="Q640" s="19">
        <v>9.09675</v>
      </c>
      <c r="R640">
        <f t="shared" si="36"/>
        <v>21.17</v>
      </c>
      <c r="T640" s="15" t="s">
        <v>112</v>
      </c>
      <c r="U640" s="17"/>
      <c r="V640" s="16" t="str">
        <f t="shared" si="37"/>
        <v>EN_SPV_15_c01_RUS</v>
      </c>
      <c r="W640" s="12">
        <f t="shared" si="38"/>
        <v>2117</v>
      </c>
      <c r="X640" s="11">
        <f t="shared" si="39"/>
        <v>2117</v>
      </c>
      <c r="Y640" s="17">
        <v>3</v>
      </c>
      <c r="Z640" s="17"/>
      <c r="AC640" s="19" t="s">
        <v>1562</v>
      </c>
    </row>
    <row r="641" spans="2:29">
      <c r="B641" s="19" t="s">
        <v>26</v>
      </c>
      <c r="C641" s="19" t="s">
        <v>1566</v>
      </c>
      <c r="D641" s="19" t="s">
        <v>1567</v>
      </c>
      <c r="E641" s="19" t="s">
        <v>29</v>
      </c>
      <c r="F641" s="19" t="s">
        <v>30</v>
      </c>
      <c r="G641" s="19" t="s">
        <v>31</v>
      </c>
      <c r="J641" s="19" t="s">
        <v>1566</v>
      </c>
      <c r="K641" s="19" t="s">
        <v>32</v>
      </c>
      <c r="L641" s="19" t="s">
        <v>1564</v>
      </c>
      <c r="M641" s="19">
        <v>88.9549921786477</v>
      </c>
      <c r="N641" s="19">
        <v>2117</v>
      </c>
      <c r="O641" s="19">
        <v>0.150892308630951</v>
      </c>
      <c r="P641" s="19" t="s">
        <v>1565</v>
      </c>
      <c r="Q641" s="19">
        <v>135.21975</v>
      </c>
      <c r="R641">
        <f t="shared" si="36"/>
        <v>21.17</v>
      </c>
      <c r="T641" s="15" t="s">
        <v>112</v>
      </c>
      <c r="U641" s="17"/>
      <c r="V641" s="16" t="str">
        <f t="shared" si="37"/>
        <v>EN_SPV_15_c02_RUS</v>
      </c>
      <c r="W641" s="12">
        <f t="shared" si="38"/>
        <v>2117</v>
      </c>
      <c r="X641" s="11">
        <f t="shared" si="39"/>
        <v>2117</v>
      </c>
      <c r="Y641" s="17">
        <v>3</v>
      </c>
      <c r="Z641" s="17"/>
      <c r="AC641" s="19" t="s">
        <v>1566</v>
      </c>
    </row>
    <row r="642" spans="2:29">
      <c r="B642" s="19" t="s">
        <v>26</v>
      </c>
      <c r="C642" s="19" t="s">
        <v>1568</v>
      </c>
      <c r="D642" s="19" t="s">
        <v>1569</v>
      </c>
      <c r="E642" s="19" t="s">
        <v>29</v>
      </c>
      <c r="F642" s="19" t="s">
        <v>30</v>
      </c>
      <c r="G642" s="19" t="s">
        <v>31</v>
      </c>
      <c r="J642" s="19" t="s">
        <v>1568</v>
      </c>
      <c r="K642" s="19" t="s">
        <v>32</v>
      </c>
      <c r="L642" s="19" t="s">
        <v>1564</v>
      </c>
      <c r="M642" s="19">
        <v>101.208996203257</v>
      </c>
      <c r="N642" s="19">
        <v>2117</v>
      </c>
      <c r="O642" s="19">
        <v>0.15011327487378</v>
      </c>
      <c r="P642" s="19" t="s">
        <v>1565</v>
      </c>
      <c r="Q642" s="19">
        <v>296.35875</v>
      </c>
      <c r="R642">
        <f t="shared" si="36"/>
        <v>21.17</v>
      </c>
      <c r="T642" s="15" t="s">
        <v>112</v>
      </c>
      <c r="U642" s="17"/>
      <c r="V642" s="16" t="str">
        <f t="shared" si="37"/>
        <v>EN_SPV_15_c03_RUS</v>
      </c>
      <c r="W642" s="12">
        <f t="shared" si="38"/>
        <v>2117</v>
      </c>
      <c r="X642" s="11">
        <f t="shared" si="39"/>
        <v>2117</v>
      </c>
      <c r="Y642" s="17">
        <v>3</v>
      </c>
      <c r="Z642" s="17"/>
      <c r="AC642" s="19" t="s">
        <v>1568</v>
      </c>
    </row>
    <row r="643" spans="2:29">
      <c r="B643" s="19" t="s">
        <v>26</v>
      </c>
      <c r="C643" s="19" t="s">
        <v>1570</v>
      </c>
      <c r="D643" s="19" t="s">
        <v>1571</v>
      </c>
      <c r="E643" s="19" t="s">
        <v>29</v>
      </c>
      <c r="F643" s="19" t="s">
        <v>30</v>
      </c>
      <c r="G643" s="19" t="s">
        <v>31</v>
      </c>
      <c r="J643" s="19" t="s">
        <v>1570</v>
      </c>
      <c r="K643" s="19" t="s">
        <v>32</v>
      </c>
      <c r="L643" s="19" t="s">
        <v>1564</v>
      </c>
      <c r="M643" s="19">
        <v>138.878712278909</v>
      </c>
      <c r="N643" s="19">
        <v>2117</v>
      </c>
      <c r="O643" s="19">
        <v>0.150443293141848</v>
      </c>
      <c r="P643" s="19" t="s">
        <v>1565</v>
      </c>
      <c r="Q643" s="19">
        <v>244.14375</v>
      </c>
      <c r="R643">
        <f t="shared" si="36"/>
        <v>21.17</v>
      </c>
      <c r="T643" s="15" t="s">
        <v>112</v>
      </c>
      <c r="U643" s="17"/>
      <c r="V643" s="16" t="str">
        <f t="shared" si="37"/>
        <v>EN_SPV_15_c04_RUS</v>
      </c>
      <c r="W643" s="12">
        <f t="shared" si="38"/>
        <v>2117</v>
      </c>
      <c r="X643" s="11">
        <f t="shared" si="39"/>
        <v>2117</v>
      </c>
      <c r="Y643" s="17">
        <v>3</v>
      </c>
      <c r="Z643" s="17"/>
      <c r="AC643" s="19" t="s">
        <v>1570</v>
      </c>
    </row>
    <row r="644" spans="2:29">
      <c r="B644" s="19" t="s">
        <v>26</v>
      </c>
      <c r="C644" s="19" t="s">
        <v>1572</v>
      </c>
      <c r="D644" s="19" t="s">
        <v>1573</v>
      </c>
      <c r="E644" s="19" t="s">
        <v>29</v>
      </c>
      <c r="F644" s="19" t="s">
        <v>30</v>
      </c>
      <c r="G644" s="19" t="s">
        <v>31</v>
      </c>
      <c r="J644" s="19" t="s">
        <v>1572</v>
      </c>
      <c r="K644" s="19" t="s">
        <v>32</v>
      </c>
      <c r="L644" s="19" t="s">
        <v>1564</v>
      </c>
      <c r="M644" s="19">
        <v>0</v>
      </c>
      <c r="N644" s="19">
        <v>2117</v>
      </c>
      <c r="O644" s="19">
        <v>0.159618564129438</v>
      </c>
      <c r="P644" s="19" t="s">
        <v>1565</v>
      </c>
      <c r="Q644" s="19">
        <v>11.4495</v>
      </c>
      <c r="R644">
        <f t="shared" si="36"/>
        <v>21.17</v>
      </c>
      <c r="T644" s="15" t="s">
        <v>112</v>
      </c>
      <c r="U644" s="17"/>
      <c r="V644" s="16" t="str">
        <f t="shared" si="37"/>
        <v>EN_SPV_16_c01_RUS</v>
      </c>
      <c r="W644" s="12">
        <f t="shared" si="38"/>
        <v>2117</v>
      </c>
      <c r="X644" s="11">
        <f t="shared" si="39"/>
        <v>2117</v>
      </c>
      <c r="Y644" s="17">
        <v>3</v>
      </c>
      <c r="Z644" s="17"/>
      <c r="AC644" s="19" t="s">
        <v>1572</v>
      </c>
    </row>
    <row r="645" spans="2:29">
      <c r="B645" s="19" t="s">
        <v>26</v>
      </c>
      <c r="C645" s="19" t="s">
        <v>1574</v>
      </c>
      <c r="D645" s="19" t="s">
        <v>1575</v>
      </c>
      <c r="E645" s="19" t="s">
        <v>29</v>
      </c>
      <c r="F645" s="19" t="s">
        <v>30</v>
      </c>
      <c r="G645" s="19" t="s">
        <v>31</v>
      </c>
      <c r="J645" s="19" t="s">
        <v>1574</v>
      </c>
      <c r="K645" s="19" t="s">
        <v>32</v>
      </c>
      <c r="L645" s="19" t="s">
        <v>1564</v>
      </c>
      <c r="M645" s="19">
        <v>88.9549921786477</v>
      </c>
      <c r="N645" s="19">
        <v>2117</v>
      </c>
      <c r="O645" s="19">
        <v>0.159847758256647</v>
      </c>
      <c r="P645" s="19" t="s">
        <v>1565</v>
      </c>
      <c r="Q645" s="19">
        <v>303.3465</v>
      </c>
      <c r="R645">
        <f t="shared" si="36"/>
        <v>21.17</v>
      </c>
      <c r="T645" s="15" t="s">
        <v>112</v>
      </c>
      <c r="U645" s="17"/>
      <c r="V645" s="16" t="str">
        <f t="shared" si="37"/>
        <v>EN_SPV_16_c02_RUS</v>
      </c>
      <c r="W645" s="12">
        <f t="shared" si="38"/>
        <v>2117</v>
      </c>
      <c r="X645" s="11">
        <f t="shared" si="39"/>
        <v>2117</v>
      </c>
      <c r="Y645" s="17">
        <v>3</v>
      </c>
      <c r="Z645" s="17"/>
      <c r="AC645" s="19" t="s">
        <v>1574</v>
      </c>
    </row>
    <row r="646" spans="2:29">
      <c r="B646" s="19" t="s">
        <v>26</v>
      </c>
      <c r="C646" s="19" t="s">
        <v>1576</v>
      </c>
      <c r="D646" s="19" t="s">
        <v>1577</v>
      </c>
      <c r="E646" s="19" t="s">
        <v>29</v>
      </c>
      <c r="F646" s="19" t="s">
        <v>30</v>
      </c>
      <c r="G646" s="19" t="s">
        <v>31</v>
      </c>
      <c r="J646" s="19" t="s">
        <v>1576</v>
      </c>
      <c r="K646" s="19" t="s">
        <v>32</v>
      </c>
      <c r="L646" s="19" t="s">
        <v>1564</v>
      </c>
      <c r="M646" s="19">
        <v>101.208996203257</v>
      </c>
      <c r="N646" s="19">
        <v>2117</v>
      </c>
      <c r="O646" s="19">
        <v>0.159485761761539</v>
      </c>
      <c r="P646" s="19" t="s">
        <v>1565</v>
      </c>
      <c r="Q646" s="19">
        <v>403.965</v>
      </c>
      <c r="R646">
        <f t="shared" ref="R646:R709" si="40">N646*0.01</f>
        <v>21.17</v>
      </c>
      <c r="T646" s="15" t="s">
        <v>112</v>
      </c>
      <c r="U646" s="17"/>
      <c r="V646" s="16" t="str">
        <f t="shared" ref="V646:V709" si="41">J646</f>
        <v>EN_SPV_16_c03_RUS</v>
      </c>
      <c r="W646" s="12">
        <f t="shared" ref="W646:W709" si="42">N646</f>
        <v>2117</v>
      </c>
      <c r="X646" s="11">
        <f t="shared" ref="X646:X709" si="43">W646</f>
        <v>2117</v>
      </c>
      <c r="Y646" s="17">
        <v>3</v>
      </c>
      <c r="Z646" s="17"/>
      <c r="AC646" s="19" t="s">
        <v>1576</v>
      </c>
    </row>
    <row r="647" spans="2:29">
      <c r="B647" s="19" t="s">
        <v>26</v>
      </c>
      <c r="C647" s="19" t="s">
        <v>1578</v>
      </c>
      <c r="D647" s="19" t="s">
        <v>1579</v>
      </c>
      <c r="E647" s="19" t="s">
        <v>29</v>
      </c>
      <c r="F647" s="19" t="s">
        <v>30</v>
      </c>
      <c r="G647" s="19" t="s">
        <v>31</v>
      </c>
      <c r="J647" s="19" t="s">
        <v>1578</v>
      </c>
      <c r="K647" s="19" t="s">
        <v>32</v>
      </c>
      <c r="L647" s="19" t="s">
        <v>1564</v>
      </c>
      <c r="M647" s="19">
        <v>138.878712278909</v>
      </c>
      <c r="N647" s="19">
        <v>2117</v>
      </c>
      <c r="O647" s="19">
        <v>0.158487853169186</v>
      </c>
      <c r="P647" s="19" t="s">
        <v>1565</v>
      </c>
      <c r="Q647" s="19">
        <v>232.962</v>
      </c>
      <c r="R647">
        <f t="shared" si="40"/>
        <v>21.17</v>
      </c>
      <c r="T647" s="15" t="s">
        <v>112</v>
      </c>
      <c r="U647" s="17"/>
      <c r="V647" s="16" t="str">
        <f t="shared" si="41"/>
        <v>EN_SPV_16_c04_RUS</v>
      </c>
      <c r="W647" s="12">
        <f t="shared" si="42"/>
        <v>2117</v>
      </c>
      <c r="X647" s="11">
        <f t="shared" si="43"/>
        <v>2117</v>
      </c>
      <c r="Y647" s="17">
        <v>3</v>
      </c>
      <c r="Z647" s="17"/>
      <c r="AC647" s="19" t="s">
        <v>1578</v>
      </c>
    </row>
    <row r="648" spans="2:29">
      <c r="B648" s="19" t="s">
        <v>26</v>
      </c>
      <c r="C648" s="19" t="s">
        <v>1580</v>
      </c>
      <c r="D648" s="19" t="s">
        <v>1581</v>
      </c>
      <c r="E648" s="19" t="s">
        <v>29</v>
      </c>
      <c r="F648" s="19" t="s">
        <v>30</v>
      </c>
      <c r="G648" s="19" t="s">
        <v>31</v>
      </c>
      <c r="J648" s="19" t="s">
        <v>1580</v>
      </c>
      <c r="K648" s="19" t="s">
        <v>32</v>
      </c>
      <c r="L648" s="19" t="s">
        <v>1564</v>
      </c>
      <c r="M648" s="19">
        <v>0</v>
      </c>
      <c r="N648" s="19">
        <v>2117</v>
      </c>
      <c r="O648" s="19">
        <v>0.170563137459434</v>
      </c>
      <c r="P648" s="19" t="s">
        <v>1565</v>
      </c>
      <c r="Q648" s="19">
        <v>25.884</v>
      </c>
      <c r="R648">
        <f t="shared" si="40"/>
        <v>21.17</v>
      </c>
      <c r="T648" s="15" t="s">
        <v>112</v>
      </c>
      <c r="U648" s="17"/>
      <c r="V648" s="16" t="str">
        <f t="shared" si="41"/>
        <v>EN_SPV_17_c01_RUS</v>
      </c>
      <c r="W648" s="12">
        <f t="shared" si="42"/>
        <v>2117</v>
      </c>
      <c r="X648" s="11">
        <f t="shared" si="43"/>
        <v>2117</v>
      </c>
      <c r="Y648" s="17">
        <v>3</v>
      </c>
      <c r="Z648" s="17"/>
      <c r="AC648" s="19" t="s">
        <v>1580</v>
      </c>
    </row>
    <row r="649" spans="2:29">
      <c r="B649" s="19" t="s">
        <v>26</v>
      </c>
      <c r="C649" s="19" t="s">
        <v>1582</v>
      </c>
      <c r="D649" s="19" t="s">
        <v>1583</v>
      </c>
      <c r="E649" s="19" t="s">
        <v>29</v>
      </c>
      <c r="F649" s="19" t="s">
        <v>30</v>
      </c>
      <c r="G649" s="19" t="s">
        <v>31</v>
      </c>
      <c r="J649" s="19" t="s">
        <v>1582</v>
      </c>
      <c r="K649" s="19" t="s">
        <v>32</v>
      </c>
      <c r="L649" s="19" t="s">
        <v>1564</v>
      </c>
      <c r="M649" s="19">
        <v>88.9549921786477</v>
      </c>
      <c r="N649" s="19">
        <v>2117</v>
      </c>
      <c r="O649" s="19">
        <v>0.169215810089687</v>
      </c>
      <c r="P649" s="19" t="s">
        <v>1565</v>
      </c>
      <c r="Q649" s="19">
        <v>187.06725</v>
      </c>
      <c r="R649">
        <f t="shared" si="40"/>
        <v>21.17</v>
      </c>
      <c r="T649" s="15" t="s">
        <v>112</v>
      </c>
      <c r="U649" s="17"/>
      <c r="V649" s="16" t="str">
        <f t="shared" si="41"/>
        <v>EN_SPV_17_c02_RUS</v>
      </c>
      <c r="W649" s="12">
        <f t="shared" si="42"/>
        <v>2117</v>
      </c>
      <c r="X649" s="11">
        <f t="shared" si="43"/>
        <v>2117</v>
      </c>
      <c r="Y649" s="17">
        <v>3</v>
      </c>
      <c r="Z649" s="17"/>
      <c r="AC649" s="19" t="s">
        <v>1582</v>
      </c>
    </row>
    <row r="650" spans="2:29">
      <c r="B650" s="19" t="s">
        <v>26</v>
      </c>
      <c r="C650" s="19" t="s">
        <v>1584</v>
      </c>
      <c r="D650" s="19" t="s">
        <v>1585</v>
      </c>
      <c r="E650" s="19" t="s">
        <v>29</v>
      </c>
      <c r="F650" s="19" t="s">
        <v>30</v>
      </c>
      <c r="G650" s="19" t="s">
        <v>31</v>
      </c>
      <c r="J650" s="19" t="s">
        <v>1584</v>
      </c>
      <c r="K650" s="19" t="s">
        <v>32</v>
      </c>
      <c r="L650" s="19" t="s">
        <v>1564</v>
      </c>
      <c r="M650" s="19">
        <v>101.208996203257</v>
      </c>
      <c r="N650" s="19">
        <v>2117</v>
      </c>
      <c r="O650" s="19">
        <v>0.168723568286565</v>
      </c>
      <c r="P650" s="19" t="s">
        <v>1565</v>
      </c>
      <c r="Q650" s="19">
        <v>178.51425</v>
      </c>
      <c r="R650">
        <f t="shared" si="40"/>
        <v>21.17</v>
      </c>
      <c r="T650" s="15" t="s">
        <v>112</v>
      </c>
      <c r="U650" s="17"/>
      <c r="V650" s="16" t="str">
        <f t="shared" si="41"/>
        <v>EN_SPV_17_c03_RUS</v>
      </c>
      <c r="W650" s="12">
        <f t="shared" si="42"/>
        <v>2117</v>
      </c>
      <c r="X650" s="11">
        <f t="shared" si="43"/>
        <v>2117</v>
      </c>
      <c r="Y650" s="17">
        <v>3</v>
      </c>
      <c r="Z650" s="17"/>
      <c r="AC650" s="19" t="s">
        <v>1584</v>
      </c>
    </row>
    <row r="651" spans="2:29">
      <c r="B651" s="19" t="s">
        <v>26</v>
      </c>
      <c r="C651" s="19" t="s">
        <v>1586</v>
      </c>
      <c r="D651" s="19" t="s">
        <v>1587</v>
      </c>
      <c r="E651" s="19" t="s">
        <v>29</v>
      </c>
      <c r="F651" s="19" t="s">
        <v>30</v>
      </c>
      <c r="G651" s="19" t="s">
        <v>31</v>
      </c>
      <c r="J651" s="19" t="s">
        <v>1586</v>
      </c>
      <c r="K651" s="19" t="s">
        <v>32</v>
      </c>
      <c r="L651" s="19" t="s">
        <v>1564</v>
      </c>
      <c r="M651" s="19">
        <v>138.878712278909</v>
      </c>
      <c r="N651" s="19">
        <v>2117</v>
      </c>
      <c r="O651" s="19">
        <v>0.167310472504897</v>
      </c>
      <c r="P651" s="19" t="s">
        <v>1565</v>
      </c>
      <c r="Q651" s="19">
        <v>62.793</v>
      </c>
      <c r="R651">
        <f t="shared" si="40"/>
        <v>21.17</v>
      </c>
      <c r="T651" s="15" t="s">
        <v>112</v>
      </c>
      <c r="U651" s="17"/>
      <c r="V651" s="16" t="str">
        <f t="shared" si="41"/>
        <v>EN_SPV_17_c04_RUS</v>
      </c>
      <c r="W651" s="12">
        <f t="shared" si="42"/>
        <v>2117</v>
      </c>
      <c r="X651" s="11">
        <f t="shared" si="43"/>
        <v>2117</v>
      </c>
      <c r="Y651" s="17">
        <v>3</v>
      </c>
      <c r="Z651" s="17"/>
      <c r="AC651" s="19" t="s">
        <v>1586</v>
      </c>
    </row>
    <row r="652" spans="2:29">
      <c r="B652" s="19" t="s">
        <v>26</v>
      </c>
      <c r="C652" s="19" t="s">
        <v>1588</v>
      </c>
      <c r="D652" s="19" t="s">
        <v>1589</v>
      </c>
      <c r="E652" s="19" t="s">
        <v>29</v>
      </c>
      <c r="F652" s="19" t="s">
        <v>30</v>
      </c>
      <c r="G652" s="19" t="s">
        <v>31</v>
      </c>
      <c r="J652" s="19" t="s">
        <v>1588</v>
      </c>
      <c r="K652" s="19" t="s">
        <v>32</v>
      </c>
      <c r="L652" s="19" t="s">
        <v>1564</v>
      </c>
      <c r="M652" s="19">
        <v>0</v>
      </c>
      <c r="N652" s="19">
        <v>2117</v>
      </c>
      <c r="O652" s="19">
        <v>0.179846213856727</v>
      </c>
      <c r="P652" s="19" t="s">
        <v>1565</v>
      </c>
      <c r="Q652" s="19">
        <v>60.56625</v>
      </c>
      <c r="R652">
        <f t="shared" si="40"/>
        <v>21.17</v>
      </c>
      <c r="T652" s="15" t="s">
        <v>112</v>
      </c>
      <c r="U652" s="17"/>
      <c r="V652" s="16" t="str">
        <f t="shared" si="41"/>
        <v>EN_SPV_18_c01_RUS</v>
      </c>
      <c r="W652" s="12">
        <f t="shared" si="42"/>
        <v>2117</v>
      </c>
      <c r="X652" s="11">
        <f t="shared" si="43"/>
        <v>2117</v>
      </c>
      <c r="Y652" s="17">
        <v>3</v>
      </c>
      <c r="Z652" s="17"/>
      <c r="AC652" s="19" t="s">
        <v>1588</v>
      </c>
    </row>
    <row r="653" spans="2:29">
      <c r="B653" s="19" t="s">
        <v>26</v>
      </c>
      <c r="C653" s="19" t="s">
        <v>1590</v>
      </c>
      <c r="D653" s="19" t="s">
        <v>1591</v>
      </c>
      <c r="E653" s="19" t="s">
        <v>29</v>
      </c>
      <c r="F653" s="19" t="s">
        <v>30</v>
      </c>
      <c r="G653" s="19" t="s">
        <v>31</v>
      </c>
      <c r="J653" s="19" t="s">
        <v>1590</v>
      </c>
      <c r="K653" s="19" t="s">
        <v>32</v>
      </c>
      <c r="L653" s="19" t="s">
        <v>1564</v>
      </c>
      <c r="M653" s="19">
        <v>88.9549921786477</v>
      </c>
      <c r="N653" s="19">
        <v>2117</v>
      </c>
      <c r="O653" s="19">
        <v>0.178351037025657</v>
      </c>
      <c r="P653" s="19" t="s">
        <v>1565</v>
      </c>
      <c r="Q653" s="19">
        <v>48.8175</v>
      </c>
      <c r="R653">
        <f t="shared" si="40"/>
        <v>21.17</v>
      </c>
      <c r="T653" s="15" t="s">
        <v>112</v>
      </c>
      <c r="U653" s="17"/>
      <c r="V653" s="16" t="str">
        <f t="shared" si="41"/>
        <v>EN_SPV_18_c02_RUS</v>
      </c>
      <c r="W653" s="12">
        <f t="shared" si="42"/>
        <v>2117</v>
      </c>
      <c r="X653" s="11">
        <f t="shared" si="43"/>
        <v>2117</v>
      </c>
      <c r="Y653" s="17">
        <v>3</v>
      </c>
      <c r="Z653" s="17"/>
      <c r="AC653" s="19" t="s">
        <v>1590</v>
      </c>
    </row>
    <row r="654" spans="2:29">
      <c r="B654" s="19" t="s">
        <v>26</v>
      </c>
      <c r="C654" s="19" t="s">
        <v>1592</v>
      </c>
      <c r="D654" s="19" t="s">
        <v>1593</v>
      </c>
      <c r="E654" s="19" t="s">
        <v>29</v>
      </c>
      <c r="F654" s="19" t="s">
        <v>30</v>
      </c>
      <c r="G654" s="19" t="s">
        <v>31</v>
      </c>
      <c r="J654" s="19" t="s">
        <v>1592</v>
      </c>
      <c r="K654" s="19" t="s">
        <v>32</v>
      </c>
      <c r="L654" s="19" t="s">
        <v>1564</v>
      </c>
      <c r="M654" s="19">
        <v>101.208996203257</v>
      </c>
      <c r="N654" s="19">
        <v>2117</v>
      </c>
      <c r="O654" s="19">
        <v>0.178157447076613</v>
      </c>
      <c r="P654" s="19" t="s">
        <v>1565</v>
      </c>
      <c r="Q654" s="19">
        <v>11.904</v>
      </c>
      <c r="R654">
        <f t="shared" si="40"/>
        <v>21.17</v>
      </c>
      <c r="T654" s="15" t="s">
        <v>112</v>
      </c>
      <c r="U654" s="17"/>
      <c r="V654" s="16" t="str">
        <f t="shared" si="41"/>
        <v>EN_SPV_18_c03_RUS</v>
      </c>
      <c r="W654" s="12">
        <f t="shared" si="42"/>
        <v>2117</v>
      </c>
      <c r="X654" s="11">
        <f t="shared" si="43"/>
        <v>2117</v>
      </c>
      <c r="Y654" s="17">
        <v>3</v>
      </c>
      <c r="Z654" s="17"/>
      <c r="AC654" s="19" t="s">
        <v>1592</v>
      </c>
    </row>
    <row r="655" spans="2:29">
      <c r="B655" s="19" t="s">
        <v>26</v>
      </c>
      <c r="C655" s="19" t="s">
        <v>1594</v>
      </c>
      <c r="D655" s="19" t="s">
        <v>1595</v>
      </c>
      <c r="E655" s="19" t="s">
        <v>29</v>
      </c>
      <c r="F655" s="19" t="s">
        <v>30</v>
      </c>
      <c r="G655" s="19" t="s">
        <v>31</v>
      </c>
      <c r="J655" s="19" t="s">
        <v>1594</v>
      </c>
      <c r="K655" s="19" t="s">
        <v>32</v>
      </c>
      <c r="L655" s="19" t="s">
        <v>1596</v>
      </c>
      <c r="M655" s="19">
        <v>88.9549921786477</v>
      </c>
      <c r="N655" s="19">
        <v>1420</v>
      </c>
      <c r="O655" s="19">
        <v>0.148637638376384</v>
      </c>
      <c r="P655" s="19" t="s">
        <v>1597</v>
      </c>
      <c r="Q655" s="19">
        <v>1.01625</v>
      </c>
      <c r="R655">
        <f t="shared" si="40"/>
        <v>14.2</v>
      </c>
      <c r="T655" s="15" t="s">
        <v>54</v>
      </c>
      <c r="U655" s="17"/>
      <c r="V655" s="16" t="str">
        <f t="shared" si="41"/>
        <v>EN_SPV_15_c02_RWA</v>
      </c>
      <c r="W655" s="12">
        <f t="shared" si="42"/>
        <v>1420</v>
      </c>
      <c r="X655" s="11">
        <f t="shared" si="43"/>
        <v>1420</v>
      </c>
      <c r="Y655" s="17">
        <v>3</v>
      </c>
      <c r="Z655" s="17"/>
      <c r="AC655" s="19" t="s">
        <v>1594</v>
      </c>
    </row>
    <row r="656" spans="2:29">
      <c r="B656" s="19" t="s">
        <v>26</v>
      </c>
      <c r="C656" s="19" t="s">
        <v>1598</v>
      </c>
      <c r="D656" s="19" t="s">
        <v>1599</v>
      </c>
      <c r="E656" s="19" t="s">
        <v>29</v>
      </c>
      <c r="F656" s="19" t="s">
        <v>30</v>
      </c>
      <c r="G656" s="19" t="s">
        <v>31</v>
      </c>
      <c r="J656" s="19" t="s">
        <v>1598</v>
      </c>
      <c r="K656" s="19" t="s">
        <v>32</v>
      </c>
      <c r="L656" s="19" t="s">
        <v>1596</v>
      </c>
      <c r="M656" s="19">
        <v>88.9549921786477</v>
      </c>
      <c r="N656" s="19">
        <v>1420</v>
      </c>
      <c r="O656" s="19">
        <v>0.162419721511793</v>
      </c>
      <c r="P656" s="19" t="s">
        <v>1597</v>
      </c>
      <c r="Q656" s="19">
        <v>5.2785</v>
      </c>
      <c r="R656">
        <f t="shared" si="40"/>
        <v>14.2</v>
      </c>
      <c r="T656" s="15" t="s">
        <v>54</v>
      </c>
      <c r="U656" s="17"/>
      <c r="V656" s="16" t="str">
        <f t="shared" si="41"/>
        <v>EN_SPV_16_c02_RWA</v>
      </c>
      <c r="W656" s="12">
        <f t="shared" si="42"/>
        <v>1420</v>
      </c>
      <c r="X656" s="11">
        <f t="shared" si="43"/>
        <v>1420</v>
      </c>
      <c r="Y656" s="17">
        <v>3</v>
      </c>
      <c r="Z656" s="17"/>
      <c r="AC656" s="19" t="s">
        <v>1598</v>
      </c>
    </row>
    <row r="657" spans="2:29">
      <c r="B657" s="19" t="s">
        <v>26</v>
      </c>
      <c r="C657" s="19" t="s">
        <v>1600</v>
      </c>
      <c r="D657" s="19" t="s">
        <v>1601</v>
      </c>
      <c r="E657" s="19" t="s">
        <v>29</v>
      </c>
      <c r="F657" s="19" t="s">
        <v>30</v>
      </c>
      <c r="G657" s="19" t="s">
        <v>31</v>
      </c>
      <c r="J657" s="19" t="s">
        <v>1600</v>
      </c>
      <c r="K657" s="19" t="s">
        <v>32</v>
      </c>
      <c r="L657" s="19" t="s">
        <v>1596</v>
      </c>
      <c r="M657" s="19">
        <v>0</v>
      </c>
      <c r="N657" s="19">
        <v>1420</v>
      </c>
      <c r="O657" s="19">
        <v>0.166</v>
      </c>
      <c r="P657" s="19" t="s">
        <v>1597</v>
      </c>
      <c r="Q657" s="19">
        <v>1.03575</v>
      </c>
      <c r="R657">
        <f t="shared" si="40"/>
        <v>14.2</v>
      </c>
      <c r="T657" s="15" t="s">
        <v>54</v>
      </c>
      <c r="U657" s="17"/>
      <c r="V657" s="16" t="str">
        <f t="shared" si="41"/>
        <v>EN_SPV_17_c01_RWA</v>
      </c>
      <c r="W657" s="12">
        <f t="shared" si="42"/>
        <v>1420</v>
      </c>
      <c r="X657" s="11">
        <f t="shared" si="43"/>
        <v>1420</v>
      </c>
      <c r="Y657" s="17">
        <v>3</v>
      </c>
      <c r="Z657" s="17"/>
      <c r="AC657" s="19" t="s">
        <v>1600</v>
      </c>
    </row>
    <row r="658" spans="2:29">
      <c r="B658" s="19" t="s">
        <v>26</v>
      </c>
      <c r="C658" s="19" t="s">
        <v>1602</v>
      </c>
      <c r="D658" s="19" t="s">
        <v>1603</v>
      </c>
      <c r="E658" s="19" t="s">
        <v>29</v>
      </c>
      <c r="F658" s="19" t="s">
        <v>30</v>
      </c>
      <c r="G658" s="19" t="s">
        <v>31</v>
      </c>
      <c r="J658" s="19" t="s">
        <v>1602</v>
      </c>
      <c r="K658" s="19" t="s">
        <v>32</v>
      </c>
      <c r="L658" s="19" t="s">
        <v>1596</v>
      </c>
      <c r="M658" s="19">
        <v>88.9549921786477</v>
      </c>
      <c r="N658" s="19">
        <v>1420</v>
      </c>
      <c r="O658" s="19">
        <v>0.166471664698937</v>
      </c>
      <c r="P658" s="19" t="s">
        <v>1597</v>
      </c>
      <c r="Q658" s="19">
        <v>1.2705</v>
      </c>
      <c r="R658">
        <f t="shared" si="40"/>
        <v>14.2</v>
      </c>
      <c r="T658" s="15" t="s">
        <v>54</v>
      </c>
      <c r="U658" s="17"/>
      <c r="V658" s="16" t="str">
        <f t="shared" si="41"/>
        <v>EN_SPV_17_c02_RWA</v>
      </c>
      <c r="W658" s="12">
        <f t="shared" si="42"/>
        <v>1420</v>
      </c>
      <c r="X658" s="11">
        <f t="shared" si="43"/>
        <v>1420</v>
      </c>
      <c r="Y658" s="17">
        <v>3</v>
      </c>
      <c r="Z658" s="17"/>
      <c r="AC658" s="19" t="s">
        <v>1602</v>
      </c>
    </row>
    <row r="659" spans="2:29">
      <c r="B659" s="19" t="s">
        <v>26</v>
      </c>
      <c r="C659" s="19" t="s">
        <v>1604</v>
      </c>
      <c r="D659" s="19" t="s">
        <v>1605</v>
      </c>
      <c r="E659" s="19" t="s">
        <v>29</v>
      </c>
      <c r="F659" s="19" t="s">
        <v>30</v>
      </c>
      <c r="G659" s="19" t="s">
        <v>31</v>
      </c>
      <c r="J659" s="19" t="s">
        <v>1604</v>
      </c>
      <c r="K659" s="19" t="s">
        <v>32</v>
      </c>
      <c r="L659" s="19" t="s">
        <v>1606</v>
      </c>
      <c r="M659" s="19">
        <v>0</v>
      </c>
      <c r="N659" s="19">
        <v>996</v>
      </c>
      <c r="O659" s="19">
        <v>0.208095008011675</v>
      </c>
      <c r="P659" s="19" t="s">
        <v>1607</v>
      </c>
      <c r="Q659" s="19">
        <v>818.181</v>
      </c>
      <c r="R659">
        <f t="shared" si="40"/>
        <v>9.96</v>
      </c>
      <c r="T659" s="15" t="s">
        <v>80</v>
      </c>
      <c r="U659" s="17"/>
      <c r="V659" s="16" t="str">
        <f t="shared" si="41"/>
        <v>EN_SPV_21_c01_SAU</v>
      </c>
      <c r="W659" s="12">
        <f t="shared" si="42"/>
        <v>996</v>
      </c>
      <c r="X659" s="11">
        <f t="shared" si="43"/>
        <v>996</v>
      </c>
      <c r="Y659" s="17">
        <v>3</v>
      </c>
      <c r="Z659" s="17"/>
      <c r="AC659" s="19" t="s">
        <v>1604</v>
      </c>
    </row>
    <row r="660" spans="2:29">
      <c r="B660" s="19" t="s">
        <v>26</v>
      </c>
      <c r="C660" s="19" t="s">
        <v>1608</v>
      </c>
      <c r="D660" s="19" t="s">
        <v>1609</v>
      </c>
      <c r="E660" s="19" t="s">
        <v>29</v>
      </c>
      <c r="F660" s="19" t="s">
        <v>30</v>
      </c>
      <c r="G660" s="19" t="s">
        <v>31</v>
      </c>
      <c r="J660" s="19" t="s">
        <v>1608</v>
      </c>
      <c r="K660" s="19" t="s">
        <v>32</v>
      </c>
      <c r="L660" s="19" t="s">
        <v>1606</v>
      </c>
      <c r="M660" s="19">
        <v>0</v>
      </c>
      <c r="N660" s="19">
        <v>996</v>
      </c>
      <c r="O660" s="19">
        <v>0.21845537920618</v>
      </c>
      <c r="P660" s="19" t="s">
        <v>1607</v>
      </c>
      <c r="Q660" s="19">
        <v>151.45125</v>
      </c>
      <c r="R660">
        <f t="shared" si="40"/>
        <v>9.96</v>
      </c>
      <c r="T660" s="15" t="s">
        <v>80</v>
      </c>
      <c r="U660" s="17"/>
      <c r="V660" s="16" t="str">
        <f t="shared" si="41"/>
        <v>EN_SPV_22_c01_SAU</v>
      </c>
      <c r="W660" s="12">
        <f t="shared" si="42"/>
        <v>996</v>
      </c>
      <c r="X660" s="11">
        <f t="shared" si="43"/>
        <v>996</v>
      </c>
      <c r="Y660" s="17">
        <v>3</v>
      </c>
      <c r="Z660" s="17"/>
      <c r="AC660" s="19" t="s">
        <v>1608</v>
      </c>
    </row>
    <row r="661" spans="2:29">
      <c r="B661" s="19" t="s">
        <v>26</v>
      </c>
      <c r="C661" s="19" t="s">
        <v>1610</v>
      </c>
      <c r="D661" s="19" t="s">
        <v>1611</v>
      </c>
      <c r="E661" s="19" t="s">
        <v>29</v>
      </c>
      <c r="F661" s="19" t="s">
        <v>30</v>
      </c>
      <c r="G661" s="19" t="s">
        <v>31</v>
      </c>
      <c r="J661" s="19" t="s">
        <v>1610</v>
      </c>
      <c r="K661" s="19" t="s">
        <v>32</v>
      </c>
      <c r="L661" s="19" t="s">
        <v>1606</v>
      </c>
      <c r="M661" s="19">
        <v>88.9549921786477</v>
      </c>
      <c r="N661" s="19">
        <v>996</v>
      </c>
      <c r="O661" s="19">
        <v>0.21682017663939</v>
      </c>
      <c r="P661" s="19" t="s">
        <v>1607</v>
      </c>
      <c r="Q661" s="19">
        <v>73.96425</v>
      </c>
      <c r="R661">
        <f t="shared" si="40"/>
        <v>9.96</v>
      </c>
      <c r="T661" s="15" t="s">
        <v>80</v>
      </c>
      <c r="U661" s="17"/>
      <c r="V661" s="16" t="str">
        <f t="shared" si="41"/>
        <v>EN_SPV_22_c02_SAU</v>
      </c>
      <c r="W661" s="12">
        <f t="shared" si="42"/>
        <v>996</v>
      </c>
      <c r="X661" s="11">
        <f t="shared" si="43"/>
        <v>996</v>
      </c>
      <c r="Y661" s="17">
        <v>3</v>
      </c>
      <c r="Z661" s="17"/>
      <c r="AC661" s="19" t="s">
        <v>1610</v>
      </c>
    </row>
    <row r="662" spans="2:29">
      <c r="B662" s="19" t="s">
        <v>26</v>
      </c>
      <c r="C662" s="19" t="s">
        <v>1612</v>
      </c>
      <c r="D662" s="19" t="s">
        <v>1613</v>
      </c>
      <c r="E662" s="19" t="s">
        <v>29</v>
      </c>
      <c r="F662" s="19" t="s">
        <v>30</v>
      </c>
      <c r="G662" s="19" t="s">
        <v>31</v>
      </c>
      <c r="J662" s="19" t="s">
        <v>1612</v>
      </c>
      <c r="K662" s="19" t="s">
        <v>32</v>
      </c>
      <c r="L662" s="19" t="s">
        <v>1606</v>
      </c>
      <c r="M662" s="19">
        <v>101.208996203257</v>
      </c>
      <c r="N662" s="19">
        <v>996</v>
      </c>
      <c r="O662" s="19">
        <v>0.216815627461548</v>
      </c>
      <c r="P662" s="19" t="s">
        <v>1607</v>
      </c>
      <c r="Q662" s="19">
        <v>72.363</v>
      </c>
      <c r="R662">
        <f t="shared" si="40"/>
        <v>9.96</v>
      </c>
      <c r="T662" s="15" t="s">
        <v>80</v>
      </c>
      <c r="U662" s="17"/>
      <c r="V662" s="16" t="str">
        <f t="shared" si="41"/>
        <v>EN_SPV_22_c03_SAU</v>
      </c>
      <c r="W662" s="12">
        <f t="shared" si="42"/>
        <v>996</v>
      </c>
      <c r="X662" s="11">
        <f t="shared" si="43"/>
        <v>996</v>
      </c>
      <c r="Y662" s="17">
        <v>3</v>
      </c>
      <c r="Z662" s="17"/>
      <c r="AC662" s="19" t="s">
        <v>1612</v>
      </c>
    </row>
    <row r="663" spans="2:29">
      <c r="B663" s="19" t="s">
        <v>26</v>
      </c>
      <c r="C663" s="19" t="s">
        <v>1614</v>
      </c>
      <c r="D663" s="19" t="s">
        <v>1615</v>
      </c>
      <c r="E663" s="19" t="s">
        <v>29</v>
      </c>
      <c r="F663" s="19" t="s">
        <v>30</v>
      </c>
      <c r="G663" s="19" t="s">
        <v>31</v>
      </c>
      <c r="J663" s="19" t="s">
        <v>1614</v>
      </c>
      <c r="K663" s="19" t="s">
        <v>32</v>
      </c>
      <c r="L663" s="19" t="s">
        <v>1606</v>
      </c>
      <c r="M663" s="19">
        <v>0</v>
      </c>
      <c r="N663" s="19">
        <v>996</v>
      </c>
      <c r="O663" s="19">
        <v>0.225</v>
      </c>
      <c r="P663" s="19" t="s">
        <v>1607</v>
      </c>
      <c r="Q663" s="19">
        <v>2.92275</v>
      </c>
      <c r="R663">
        <f t="shared" si="40"/>
        <v>9.96</v>
      </c>
      <c r="T663" s="15" t="s">
        <v>80</v>
      </c>
      <c r="U663" s="17"/>
      <c r="V663" s="16" t="str">
        <f t="shared" si="41"/>
        <v>EN_SPV_23_c01_SAU</v>
      </c>
      <c r="W663" s="12">
        <f t="shared" si="42"/>
        <v>996</v>
      </c>
      <c r="X663" s="11">
        <f t="shared" si="43"/>
        <v>996</v>
      </c>
      <c r="Y663" s="17">
        <v>3</v>
      </c>
      <c r="Z663" s="17"/>
      <c r="AC663" s="19" t="s">
        <v>1614</v>
      </c>
    </row>
    <row r="664" spans="2:29">
      <c r="B664" s="19" t="s">
        <v>26</v>
      </c>
      <c r="C664" s="19" t="s">
        <v>1616</v>
      </c>
      <c r="D664" s="19" t="s">
        <v>1617</v>
      </c>
      <c r="E664" s="19" t="s">
        <v>29</v>
      </c>
      <c r="F664" s="19" t="s">
        <v>30</v>
      </c>
      <c r="G664" s="19" t="s">
        <v>31</v>
      </c>
      <c r="J664" s="19" t="s">
        <v>1616</v>
      </c>
      <c r="K664" s="19" t="s">
        <v>32</v>
      </c>
      <c r="L664" s="19" t="s">
        <v>1618</v>
      </c>
      <c r="M664" s="19">
        <v>0</v>
      </c>
      <c r="N664" s="19">
        <v>1621</v>
      </c>
      <c r="O664" s="19">
        <v>0.181792226403663</v>
      </c>
      <c r="P664" s="19" t="s">
        <v>1619</v>
      </c>
      <c r="Q664" s="19">
        <v>64.37175</v>
      </c>
      <c r="R664">
        <f t="shared" si="40"/>
        <v>16.21</v>
      </c>
      <c r="T664" s="15" t="s">
        <v>54</v>
      </c>
      <c r="U664" s="17"/>
      <c r="V664" s="16" t="str">
        <f t="shared" si="41"/>
        <v>EN_SPV_18_c01_SEN</v>
      </c>
      <c r="W664" s="12">
        <f t="shared" si="42"/>
        <v>1621</v>
      </c>
      <c r="X664" s="11">
        <f t="shared" si="43"/>
        <v>1621</v>
      </c>
      <c r="Y664" s="17">
        <v>3</v>
      </c>
      <c r="Z664" s="17"/>
      <c r="AC664" s="19" t="s">
        <v>1616</v>
      </c>
    </row>
    <row r="665" spans="2:29">
      <c r="B665" s="19" t="s">
        <v>26</v>
      </c>
      <c r="C665" s="19" t="s">
        <v>1620</v>
      </c>
      <c r="D665" s="19" t="s">
        <v>1621</v>
      </c>
      <c r="E665" s="19" t="s">
        <v>29</v>
      </c>
      <c r="F665" s="19" t="s">
        <v>30</v>
      </c>
      <c r="G665" s="19" t="s">
        <v>31</v>
      </c>
      <c r="J665" s="19" t="s">
        <v>1620</v>
      </c>
      <c r="K665" s="19" t="s">
        <v>32</v>
      </c>
      <c r="L665" s="19" t="s">
        <v>1618</v>
      </c>
      <c r="M665" s="19">
        <v>0</v>
      </c>
      <c r="N665" s="19">
        <v>1621</v>
      </c>
      <c r="O665" s="19">
        <v>0.186222824033254</v>
      </c>
      <c r="P665" s="19" t="s">
        <v>1619</v>
      </c>
      <c r="Q665" s="19">
        <v>11.9085</v>
      </c>
      <c r="R665">
        <f t="shared" si="40"/>
        <v>16.21</v>
      </c>
      <c r="T665" s="15" t="s">
        <v>54</v>
      </c>
      <c r="U665" s="17"/>
      <c r="V665" s="16" t="str">
        <f t="shared" si="41"/>
        <v>EN_SPV_19_c01_SEN</v>
      </c>
      <c r="W665" s="12">
        <f t="shared" si="42"/>
        <v>1621</v>
      </c>
      <c r="X665" s="11">
        <f t="shared" si="43"/>
        <v>1621</v>
      </c>
      <c r="Y665" s="17">
        <v>3</v>
      </c>
      <c r="Z665" s="17"/>
      <c r="AC665" s="19" t="s">
        <v>1620</v>
      </c>
    </row>
    <row r="666" spans="2:29">
      <c r="B666" s="19" t="s">
        <v>26</v>
      </c>
      <c r="C666" s="19" t="s">
        <v>1622</v>
      </c>
      <c r="D666" s="19" t="s">
        <v>1623</v>
      </c>
      <c r="E666" s="19" t="s">
        <v>29</v>
      </c>
      <c r="F666" s="19" t="s">
        <v>30</v>
      </c>
      <c r="G666" s="19" t="s">
        <v>31</v>
      </c>
      <c r="J666" s="19" t="s">
        <v>1622</v>
      </c>
      <c r="K666" s="19" t="s">
        <v>32</v>
      </c>
      <c r="L666" s="19" t="s">
        <v>1624</v>
      </c>
      <c r="M666" s="19">
        <v>0</v>
      </c>
      <c r="N666" s="19">
        <v>1621</v>
      </c>
      <c r="O666" s="19">
        <v>0.162693715194909</v>
      </c>
      <c r="P666" s="19" t="s">
        <v>1625</v>
      </c>
      <c r="Q666" s="19">
        <v>0.94275</v>
      </c>
      <c r="R666">
        <f t="shared" si="40"/>
        <v>16.21</v>
      </c>
      <c r="T666" s="15" t="s">
        <v>54</v>
      </c>
      <c r="U666" s="17"/>
      <c r="V666" s="16" t="str">
        <f t="shared" si="41"/>
        <v>EN_SPV_16_c01_SLE</v>
      </c>
      <c r="W666" s="12">
        <f t="shared" si="42"/>
        <v>1621</v>
      </c>
      <c r="X666" s="11">
        <f t="shared" si="43"/>
        <v>1621</v>
      </c>
      <c r="Y666" s="17">
        <v>3</v>
      </c>
      <c r="Z666" s="17"/>
      <c r="AC666" s="19" t="s">
        <v>1622</v>
      </c>
    </row>
    <row r="667" spans="2:29">
      <c r="B667" s="19" t="s">
        <v>26</v>
      </c>
      <c r="C667" s="19" t="s">
        <v>1626</v>
      </c>
      <c r="D667" s="19" t="s">
        <v>1627</v>
      </c>
      <c r="E667" s="19" t="s">
        <v>29</v>
      </c>
      <c r="F667" s="19" t="s">
        <v>30</v>
      </c>
      <c r="G667" s="19" t="s">
        <v>31</v>
      </c>
      <c r="J667" s="19" t="s">
        <v>1626</v>
      </c>
      <c r="K667" s="19" t="s">
        <v>32</v>
      </c>
      <c r="L667" s="19" t="s">
        <v>1624</v>
      </c>
      <c r="M667" s="19">
        <v>88.9549921786477</v>
      </c>
      <c r="N667" s="19">
        <v>1621</v>
      </c>
      <c r="O667" s="19">
        <v>0.158261893457411</v>
      </c>
      <c r="P667" s="19" t="s">
        <v>1625</v>
      </c>
      <c r="Q667" s="19">
        <v>15.7965</v>
      </c>
      <c r="R667">
        <f t="shared" si="40"/>
        <v>16.21</v>
      </c>
      <c r="T667" s="15" t="s">
        <v>54</v>
      </c>
      <c r="U667" s="17"/>
      <c r="V667" s="16" t="str">
        <f t="shared" si="41"/>
        <v>EN_SPV_16_c02_SLE</v>
      </c>
      <c r="W667" s="12">
        <f t="shared" si="42"/>
        <v>1621</v>
      </c>
      <c r="X667" s="11">
        <f t="shared" si="43"/>
        <v>1621</v>
      </c>
      <c r="Y667" s="17">
        <v>3</v>
      </c>
      <c r="Z667" s="17"/>
      <c r="AC667" s="19" t="s">
        <v>1626</v>
      </c>
    </row>
    <row r="668" spans="2:29">
      <c r="B668" s="19" t="s">
        <v>26</v>
      </c>
      <c r="C668" s="19" t="s">
        <v>1628</v>
      </c>
      <c r="D668" s="19" t="s">
        <v>1629</v>
      </c>
      <c r="E668" s="19" t="s">
        <v>29</v>
      </c>
      <c r="F668" s="19" t="s">
        <v>30</v>
      </c>
      <c r="G668" s="19" t="s">
        <v>31</v>
      </c>
      <c r="J668" s="19" t="s">
        <v>1628</v>
      </c>
      <c r="K668" s="19" t="s">
        <v>32</v>
      </c>
      <c r="L668" s="19" t="s">
        <v>1624</v>
      </c>
      <c r="M668" s="19">
        <v>0</v>
      </c>
      <c r="N668" s="19">
        <v>1621</v>
      </c>
      <c r="O668" s="19">
        <v>0.167785440613027</v>
      </c>
      <c r="P668" s="19" t="s">
        <v>1625</v>
      </c>
      <c r="Q668" s="19">
        <v>0.58725</v>
      </c>
      <c r="R668">
        <f t="shared" si="40"/>
        <v>16.21</v>
      </c>
      <c r="T668" s="15" t="s">
        <v>54</v>
      </c>
      <c r="U668" s="17"/>
      <c r="V668" s="16" t="str">
        <f t="shared" si="41"/>
        <v>EN_SPV_17_c01_SLE</v>
      </c>
      <c r="W668" s="12">
        <f t="shared" si="42"/>
        <v>1621</v>
      </c>
      <c r="X668" s="11">
        <f t="shared" si="43"/>
        <v>1621</v>
      </c>
      <c r="Y668" s="17">
        <v>3</v>
      </c>
      <c r="Z668" s="17"/>
      <c r="AC668" s="19" t="s">
        <v>1628</v>
      </c>
    </row>
    <row r="669" spans="2:29">
      <c r="B669" s="19" t="s">
        <v>26</v>
      </c>
      <c r="C669" s="19" t="s">
        <v>1630</v>
      </c>
      <c r="D669" s="19" t="s">
        <v>1631</v>
      </c>
      <c r="E669" s="19" t="s">
        <v>29</v>
      </c>
      <c r="F669" s="19" t="s">
        <v>30</v>
      </c>
      <c r="G669" s="19" t="s">
        <v>31</v>
      </c>
      <c r="J669" s="19" t="s">
        <v>1630</v>
      </c>
      <c r="K669" s="19" t="s">
        <v>32</v>
      </c>
      <c r="L669" s="19" t="s">
        <v>1624</v>
      </c>
      <c r="M669" s="19">
        <v>88.9549921786477</v>
      </c>
      <c r="N669" s="19">
        <v>1621</v>
      </c>
      <c r="O669" s="19">
        <v>0.16508826125331</v>
      </c>
      <c r="P669" s="19" t="s">
        <v>1625</v>
      </c>
      <c r="Q669" s="19">
        <v>1.6995</v>
      </c>
      <c r="R669">
        <f t="shared" si="40"/>
        <v>16.21</v>
      </c>
      <c r="T669" s="15" t="s">
        <v>54</v>
      </c>
      <c r="U669" s="17"/>
      <c r="V669" s="16" t="str">
        <f t="shared" si="41"/>
        <v>EN_SPV_17_c02_SLE</v>
      </c>
      <c r="W669" s="12">
        <f t="shared" si="42"/>
        <v>1621</v>
      </c>
      <c r="X669" s="11">
        <f t="shared" si="43"/>
        <v>1621</v>
      </c>
      <c r="Y669" s="17">
        <v>3</v>
      </c>
      <c r="Z669" s="17"/>
      <c r="AC669" s="19" t="s">
        <v>1630</v>
      </c>
    </row>
    <row r="670" spans="2:29">
      <c r="B670" s="19" t="s">
        <v>26</v>
      </c>
      <c r="C670" s="19" t="s">
        <v>1632</v>
      </c>
      <c r="D670" s="19" t="s">
        <v>1633</v>
      </c>
      <c r="E670" s="19" t="s">
        <v>29</v>
      </c>
      <c r="F670" s="19" t="s">
        <v>30</v>
      </c>
      <c r="G670" s="19" t="s">
        <v>31</v>
      </c>
      <c r="J670" s="19" t="s">
        <v>1632</v>
      </c>
      <c r="K670" s="19" t="s">
        <v>32</v>
      </c>
      <c r="L670" s="19" t="s">
        <v>1634</v>
      </c>
      <c r="M670" s="19">
        <v>0</v>
      </c>
      <c r="N670" s="19">
        <v>2042</v>
      </c>
      <c r="O670" s="19">
        <v>0.1911359085963</v>
      </c>
      <c r="P670" s="19" t="s">
        <v>1635</v>
      </c>
      <c r="Q670" s="19">
        <v>20.6775</v>
      </c>
      <c r="R670">
        <f t="shared" si="40"/>
        <v>20.42</v>
      </c>
      <c r="T670" s="15" t="s">
        <v>89</v>
      </c>
      <c r="U670" s="17"/>
      <c r="V670" s="16" t="str">
        <f t="shared" si="41"/>
        <v>EN_SPV_19_c01_SLV</v>
      </c>
      <c r="W670" s="12">
        <f t="shared" si="42"/>
        <v>2042</v>
      </c>
      <c r="X670" s="11">
        <f t="shared" si="43"/>
        <v>2042</v>
      </c>
      <c r="Y670" s="17">
        <v>3</v>
      </c>
      <c r="Z670" s="17"/>
      <c r="AC670" s="19" t="s">
        <v>1632</v>
      </c>
    </row>
    <row r="671" spans="2:29">
      <c r="B671" s="19" t="s">
        <v>26</v>
      </c>
      <c r="C671" s="19" t="s">
        <v>1636</v>
      </c>
      <c r="D671" s="19" t="s">
        <v>1637</v>
      </c>
      <c r="E671" s="19" t="s">
        <v>29</v>
      </c>
      <c r="F671" s="19" t="s">
        <v>30</v>
      </c>
      <c r="G671" s="19" t="s">
        <v>31</v>
      </c>
      <c r="J671" s="19" t="s">
        <v>1636</v>
      </c>
      <c r="K671" s="19" t="s">
        <v>32</v>
      </c>
      <c r="L671" s="19" t="s">
        <v>1638</v>
      </c>
      <c r="M671" s="19">
        <v>0</v>
      </c>
      <c r="N671" s="19">
        <v>1420</v>
      </c>
      <c r="O671" s="19">
        <v>0.209839243052936</v>
      </c>
      <c r="P671" s="19" t="s">
        <v>1639</v>
      </c>
      <c r="Q671" s="19">
        <v>23.859</v>
      </c>
      <c r="R671">
        <f t="shared" si="40"/>
        <v>14.2</v>
      </c>
      <c r="T671" s="15" t="s">
        <v>54</v>
      </c>
      <c r="U671" s="17"/>
      <c r="V671" s="16" t="str">
        <f t="shared" si="41"/>
        <v>EN_SPV_21_c01_SOM</v>
      </c>
      <c r="W671" s="12">
        <f t="shared" si="42"/>
        <v>1420</v>
      </c>
      <c r="X671" s="11">
        <f t="shared" si="43"/>
        <v>1420</v>
      </c>
      <c r="Y671" s="17">
        <v>3</v>
      </c>
      <c r="Z671" s="17"/>
      <c r="AC671" s="19" t="s">
        <v>1636</v>
      </c>
    </row>
    <row r="672" spans="2:29">
      <c r="B672" s="19" t="s">
        <v>26</v>
      </c>
      <c r="C672" s="19" t="s">
        <v>1640</v>
      </c>
      <c r="D672" s="19" t="s">
        <v>1641</v>
      </c>
      <c r="E672" s="19" t="s">
        <v>29</v>
      </c>
      <c r="F672" s="19" t="s">
        <v>30</v>
      </c>
      <c r="G672" s="19" t="s">
        <v>31</v>
      </c>
      <c r="J672" s="19" t="s">
        <v>1640</v>
      </c>
      <c r="K672" s="19" t="s">
        <v>32</v>
      </c>
      <c r="L672" s="19" t="s">
        <v>1642</v>
      </c>
      <c r="M672" s="19">
        <v>88.9549921786477</v>
      </c>
      <c r="N672" s="19">
        <v>769</v>
      </c>
      <c r="O672" s="19">
        <v>0.138612342694137</v>
      </c>
      <c r="P672" s="19" t="s">
        <v>1643</v>
      </c>
      <c r="Q672" s="19">
        <v>86.23725</v>
      </c>
      <c r="R672">
        <f t="shared" si="40"/>
        <v>7.69</v>
      </c>
      <c r="T672" s="15" t="s">
        <v>69</v>
      </c>
      <c r="U672" s="17"/>
      <c r="V672" s="16" t="str">
        <f t="shared" si="41"/>
        <v>EN_SPV_14_c02_SRB</v>
      </c>
      <c r="W672" s="12">
        <f t="shared" si="42"/>
        <v>769</v>
      </c>
      <c r="X672" s="11">
        <f t="shared" si="43"/>
        <v>769</v>
      </c>
      <c r="Y672" s="17">
        <v>3</v>
      </c>
      <c r="Z672" s="17"/>
      <c r="AC672" s="19" t="s">
        <v>1640</v>
      </c>
    </row>
    <row r="673" spans="2:29">
      <c r="B673" s="19" t="s">
        <v>26</v>
      </c>
      <c r="C673" s="19" t="s">
        <v>1644</v>
      </c>
      <c r="D673" s="19" t="s">
        <v>1645</v>
      </c>
      <c r="E673" s="19" t="s">
        <v>29</v>
      </c>
      <c r="F673" s="19" t="s">
        <v>30</v>
      </c>
      <c r="G673" s="19" t="s">
        <v>31</v>
      </c>
      <c r="J673" s="19" t="s">
        <v>1644</v>
      </c>
      <c r="K673" s="19" t="s">
        <v>32</v>
      </c>
      <c r="L673" s="19" t="s">
        <v>1642</v>
      </c>
      <c r="M673" s="19">
        <v>88.9549921786477</v>
      </c>
      <c r="N673" s="19">
        <v>769</v>
      </c>
      <c r="O673" s="19">
        <v>0.147404777704048</v>
      </c>
      <c r="P673" s="19" t="s">
        <v>1643</v>
      </c>
      <c r="Q673" s="19">
        <v>1.13025</v>
      </c>
      <c r="R673">
        <f t="shared" si="40"/>
        <v>7.69</v>
      </c>
      <c r="T673" s="15" t="s">
        <v>69</v>
      </c>
      <c r="U673" s="17"/>
      <c r="V673" s="16" t="str">
        <f t="shared" si="41"/>
        <v>EN_SPV_15_c02_SRB</v>
      </c>
      <c r="W673" s="12">
        <f t="shared" si="42"/>
        <v>769</v>
      </c>
      <c r="X673" s="11">
        <f t="shared" si="43"/>
        <v>769</v>
      </c>
      <c r="Y673" s="17">
        <v>3</v>
      </c>
      <c r="Z673" s="17"/>
      <c r="AC673" s="19" t="s">
        <v>1644</v>
      </c>
    </row>
    <row r="674" spans="2:29">
      <c r="B674" s="19" t="s">
        <v>26</v>
      </c>
      <c r="C674" s="19" t="s">
        <v>1646</v>
      </c>
      <c r="D674" s="19" t="s">
        <v>1647</v>
      </c>
      <c r="E674" s="19" t="s">
        <v>29</v>
      </c>
      <c r="F674" s="19" t="s">
        <v>30</v>
      </c>
      <c r="G674" s="19" t="s">
        <v>31</v>
      </c>
      <c r="J674" s="19" t="s">
        <v>1646</v>
      </c>
      <c r="K674" s="19" t="s">
        <v>32</v>
      </c>
      <c r="L674" s="19" t="s">
        <v>1648</v>
      </c>
      <c r="M674" s="19">
        <v>0</v>
      </c>
      <c r="N674" s="19">
        <v>1420</v>
      </c>
      <c r="O674" s="19">
        <v>0.172958777956439</v>
      </c>
      <c r="P674" s="19" t="s">
        <v>1649</v>
      </c>
      <c r="Q674" s="19">
        <v>5.13075</v>
      </c>
      <c r="R674">
        <f t="shared" si="40"/>
        <v>14.2</v>
      </c>
      <c r="T674" s="15" t="s">
        <v>54</v>
      </c>
      <c r="U674" s="17"/>
      <c r="V674" s="16" t="str">
        <f t="shared" si="41"/>
        <v>EN_SPV_17_c01_SSD</v>
      </c>
      <c r="W674" s="12">
        <f t="shared" si="42"/>
        <v>1420</v>
      </c>
      <c r="X674" s="11">
        <f t="shared" si="43"/>
        <v>1420</v>
      </c>
      <c r="Y674" s="17">
        <v>3</v>
      </c>
      <c r="Z674" s="17"/>
      <c r="AC674" s="19" t="s">
        <v>1646</v>
      </c>
    </row>
    <row r="675" spans="2:29">
      <c r="B675" s="19" t="s">
        <v>26</v>
      </c>
      <c r="C675" s="19" t="s">
        <v>1650</v>
      </c>
      <c r="D675" s="19" t="s">
        <v>1651</v>
      </c>
      <c r="E675" s="19" t="s">
        <v>29</v>
      </c>
      <c r="F675" s="19" t="s">
        <v>30</v>
      </c>
      <c r="G675" s="19" t="s">
        <v>31</v>
      </c>
      <c r="J675" s="19" t="s">
        <v>1650</v>
      </c>
      <c r="K675" s="19" t="s">
        <v>32</v>
      </c>
      <c r="L675" s="19" t="s">
        <v>1648</v>
      </c>
      <c r="M675" s="19">
        <v>101.208996203257</v>
      </c>
      <c r="N675" s="19">
        <v>1420</v>
      </c>
      <c r="O675" s="19">
        <v>0.170042769281523</v>
      </c>
      <c r="P675" s="19" t="s">
        <v>1649</v>
      </c>
      <c r="Q675" s="19">
        <v>95.48325</v>
      </c>
      <c r="R675">
        <f t="shared" si="40"/>
        <v>14.2</v>
      </c>
      <c r="T675" s="15" t="s">
        <v>54</v>
      </c>
      <c r="U675" s="17"/>
      <c r="V675" s="16" t="str">
        <f t="shared" si="41"/>
        <v>EN_SPV_17_c03_SSD</v>
      </c>
      <c r="W675" s="12">
        <f t="shared" si="42"/>
        <v>1420</v>
      </c>
      <c r="X675" s="11">
        <f t="shared" si="43"/>
        <v>1420</v>
      </c>
      <c r="Y675" s="17">
        <v>3</v>
      </c>
      <c r="Z675" s="17"/>
      <c r="AC675" s="19" t="s">
        <v>1650</v>
      </c>
    </row>
    <row r="676" spans="2:29">
      <c r="B676" s="19" t="s">
        <v>26</v>
      </c>
      <c r="C676" s="19" t="s">
        <v>1652</v>
      </c>
      <c r="D676" s="19" t="s">
        <v>1653</v>
      </c>
      <c r="E676" s="19" t="s">
        <v>29</v>
      </c>
      <c r="F676" s="19" t="s">
        <v>30</v>
      </c>
      <c r="G676" s="19" t="s">
        <v>31</v>
      </c>
      <c r="J676" s="19" t="s">
        <v>1652</v>
      </c>
      <c r="K676" s="19" t="s">
        <v>32</v>
      </c>
      <c r="L676" s="19" t="s">
        <v>1648</v>
      </c>
      <c r="M676" s="19">
        <v>0</v>
      </c>
      <c r="N676" s="19">
        <v>1420</v>
      </c>
      <c r="O676" s="19">
        <v>0.178584152575698</v>
      </c>
      <c r="P676" s="19" t="s">
        <v>1649</v>
      </c>
      <c r="Q676" s="19">
        <v>15.258</v>
      </c>
      <c r="R676">
        <f t="shared" si="40"/>
        <v>14.2</v>
      </c>
      <c r="T676" s="15" t="s">
        <v>54</v>
      </c>
      <c r="U676" s="17"/>
      <c r="V676" s="16" t="str">
        <f t="shared" si="41"/>
        <v>EN_SPV_18_c01_SSD</v>
      </c>
      <c r="W676" s="12">
        <f t="shared" si="42"/>
        <v>1420</v>
      </c>
      <c r="X676" s="11">
        <f t="shared" si="43"/>
        <v>1420</v>
      </c>
      <c r="Y676" s="17">
        <v>3</v>
      </c>
      <c r="Z676" s="17"/>
      <c r="AC676" s="19" t="s">
        <v>1652</v>
      </c>
    </row>
    <row r="677" spans="2:29">
      <c r="B677" s="19" t="s">
        <v>26</v>
      </c>
      <c r="C677" s="19" t="s">
        <v>1654</v>
      </c>
      <c r="D677" s="19" t="s">
        <v>1655</v>
      </c>
      <c r="E677" s="19" t="s">
        <v>29</v>
      </c>
      <c r="F677" s="19" t="s">
        <v>30</v>
      </c>
      <c r="G677" s="19" t="s">
        <v>31</v>
      </c>
      <c r="J677" s="19" t="s">
        <v>1654</v>
      </c>
      <c r="K677" s="19" t="s">
        <v>32</v>
      </c>
      <c r="L677" s="19" t="s">
        <v>1648</v>
      </c>
      <c r="M677" s="19">
        <v>88.9549921786477</v>
      </c>
      <c r="N677" s="19">
        <v>1420</v>
      </c>
      <c r="O677" s="19">
        <v>0.179075836569665</v>
      </c>
      <c r="P677" s="19" t="s">
        <v>1649</v>
      </c>
      <c r="Q677" s="19">
        <v>56.391</v>
      </c>
      <c r="R677">
        <f t="shared" si="40"/>
        <v>14.2</v>
      </c>
      <c r="T677" s="15" t="s">
        <v>54</v>
      </c>
      <c r="U677" s="17"/>
      <c r="V677" s="16" t="str">
        <f t="shared" si="41"/>
        <v>EN_SPV_18_c02_SSD</v>
      </c>
      <c r="W677" s="12">
        <f t="shared" si="42"/>
        <v>1420</v>
      </c>
      <c r="X677" s="11">
        <f t="shared" si="43"/>
        <v>1420</v>
      </c>
      <c r="Y677" s="17">
        <v>3</v>
      </c>
      <c r="Z677" s="17"/>
      <c r="AC677" s="19" t="s">
        <v>1654</v>
      </c>
    </row>
    <row r="678" spans="2:29">
      <c r="B678" s="19" t="s">
        <v>26</v>
      </c>
      <c r="C678" s="19" t="s">
        <v>1656</v>
      </c>
      <c r="D678" s="19" t="s">
        <v>1657</v>
      </c>
      <c r="E678" s="19" t="s">
        <v>29</v>
      </c>
      <c r="F678" s="19" t="s">
        <v>30</v>
      </c>
      <c r="G678" s="19" t="s">
        <v>31</v>
      </c>
      <c r="J678" s="19" t="s">
        <v>1656</v>
      </c>
      <c r="K678" s="19" t="s">
        <v>32</v>
      </c>
      <c r="L678" s="19" t="s">
        <v>1648</v>
      </c>
      <c r="M678" s="19">
        <v>101.208996203257</v>
      </c>
      <c r="N678" s="19">
        <v>1420</v>
      </c>
      <c r="O678" s="19">
        <v>0.178640757478389</v>
      </c>
      <c r="P678" s="19" t="s">
        <v>1649</v>
      </c>
      <c r="Q678" s="19">
        <v>72.3585</v>
      </c>
      <c r="R678">
        <f t="shared" si="40"/>
        <v>14.2</v>
      </c>
      <c r="T678" s="15" t="s">
        <v>54</v>
      </c>
      <c r="U678" s="17"/>
      <c r="V678" s="16" t="str">
        <f t="shared" si="41"/>
        <v>EN_SPV_18_c03_SSD</v>
      </c>
      <c r="W678" s="12">
        <f t="shared" si="42"/>
        <v>1420</v>
      </c>
      <c r="X678" s="11">
        <f t="shared" si="43"/>
        <v>1420</v>
      </c>
      <c r="Y678" s="17">
        <v>3</v>
      </c>
      <c r="Z678" s="17"/>
      <c r="AC678" s="19" t="s">
        <v>1656</v>
      </c>
    </row>
    <row r="679" spans="2:29">
      <c r="B679" s="19" t="s">
        <v>26</v>
      </c>
      <c r="C679" s="19" t="s">
        <v>1658</v>
      </c>
      <c r="D679" s="19" t="s">
        <v>1659</v>
      </c>
      <c r="E679" s="19" t="s">
        <v>29</v>
      </c>
      <c r="F679" s="19" t="s">
        <v>30</v>
      </c>
      <c r="G679" s="19" t="s">
        <v>31</v>
      </c>
      <c r="J679" s="19" t="s">
        <v>1658</v>
      </c>
      <c r="K679" s="19" t="s">
        <v>32</v>
      </c>
      <c r="L679" s="19" t="s">
        <v>1648</v>
      </c>
      <c r="M679" s="19">
        <v>138.878712278909</v>
      </c>
      <c r="N679" s="19">
        <v>1420</v>
      </c>
      <c r="O679" s="19">
        <v>0.177264190886258</v>
      </c>
      <c r="P679" s="19" t="s">
        <v>1649</v>
      </c>
      <c r="Q679" s="19">
        <v>20.9025</v>
      </c>
      <c r="R679">
        <f t="shared" si="40"/>
        <v>14.2</v>
      </c>
      <c r="T679" s="15" t="s">
        <v>54</v>
      </c>
      <c r="U679" s="17"/>
      <c r="V679" s="16" t="str">
        <f t="shared" si="41"/>
        <v>EN_SPV_18_c04_SSD</v>
      </c>
      <c r="W679" s="12">
        <f t="shared" si="42"/>
        <v>1420</v>
      </c>
      <c r="X679" s="11">
        <f t="shared" si="43"/>
        <v>1420</v>
      </c>
      <c r="Y679" s="17">
        <v>3</v>
      </c>
      <c r="Z679" s="17"/>
      <c r="AC679" s="19" t="s">
        <v>1658</v>
      </c>
    </row>
    <row r="680" spans="2:29">
      <c r="B680" s="19" t="s">
        <v>26</v>
      </c>
      <c r="C680" s="19" t="s">
        <v>1660</v>
      </c>
      <c r="D680" s="19" t="s">
        <v>1661</v>
      </c>
      <c r="E680" s="19" t="s">
        <v>29</v>
      </c>
      <c r="F680" s="19" t="s">
        <v>30</v>
      </c>
      <c r="G680" s="19" t="s">
        <v>31</v>
      </c>
      <c r="J680" s="19" t="s">
        <v>1660</v>
      </c>
      <c r="K680" s="19" t="s">
        <v>32</v>
      </c>
      <c r="L680" s="19" t="s">
        <v>1648</v>
      </c>
      <c r="M680" s="19">
        <v>101.208996203257</v>
      </c>
      <c r="N680" s="19">
        <v>1420</v>
      </c>
      <c r="O680" s="19">
        <v>0.185</v>
      </c>
      <c r="P680" s="19" t="s">
        <v>1649</v>
      </c>
      <c r="Q680" s="19">
        <v>1.767</v>
      </c>
      <c r="R680">
        <f t="shared" si="40"/>
        <v>14.2</v>
      </c>
      <c r="T680" s="15" t="s">
        <v>54</v>
      </c>
      <c r="U680" s="17"/>
      <c r="V680" s="16" t="str">
        <f t="shared" si="41"/>
        <v>EN_SPV_19_c03_SSD</v>
      </c>
      <c r="W680" s="12">
        <f t="shared" si="42"/>
        <v>1420</v>
      </c>
      <c r="X680" s="11">
        <f t="shared" si="43"/>
        <v>1420</v>
      </c>
      <c r="Y680" s="17">
        <v>3</v>
      </c>
      <c r="Z680" s="17"/>
      <c r="AC680" s="19" t="s">
        <v>1660</v>
      </c>
    </row>
    <row r="681" spans="2:29">
      <c r="B681" s="19" t="s">
        <v>26</v>
      </c>
      <c r="C681" s="19" t="s">
        <v>1662</v>
      </c>
      <c r="D681" s="19" t="s">
        <v>1663</v>
      </c>
      <c r="E681" s="19" t="s">
        <v>29</v>
      </c>
      <c r="F681" s="19" t="s">
        <v>30</v>
      </c>
      <c r="G681" s="19" t="s">
        <v>31</v>
      </c>
      <c r="J681" s="19" t="s">
        <v>1662</v>
      </c>
      <c r="K681" s="19" t="s">
        <v>32</v>
      </c>
      <c r="L681" s="19" t="s">
        <v>1648</v>
      </c>
      <c r="M681" s="19">
        <v>138.878712278909</v>
      </c>
      <c r="N681" s="19">
        <v>1420</v>
      </c>
      <c r="O681" s="19">
        <v>0.187838870715403</v>
      </c>
      <c r="P681" s="19" t="s">
        <v>1649</v>
      </c>
      <c r="Q681" s="19">
        <v>52.7325</v>
      </c>
      <c r="R681">
        <f t="shared" si="40"/>
        <v>14.2</v>
      </c>
      <c r="T681" s="15" t="s">
        <v>54</v>
      </c>
      <c r="U681" s="17"/>
      <c r="V681" s="16" t="str">
        <f t="shared" si="41"/>
        <v>EN_SPV_19_c04_SSD</v>
      </c>
      <c r="W681" s="12">
        <f t="shared" si="42"/>
        <v>1420</v>
      </c>
      <c r="X681" s="11">
        <f t="shared" si="43"/>
        <v>1420</v>
      </c>
      <c r="Y681" s="17">
        <v>3</v>
      </c>
      <c r="Z681" s="17"/>
      <c r="AC681" s="19" t="s">
        <v>1662</v>
      </c>
    </row>
    <row r="682" spans="2:29">
      <c r="B682" s="19" t="s">
        <v>26</v>
      </c>
      <c r="C682" s="19" t="s">
        <v>1664</v>
      </c>
      <c r="D682" s="19" t="s">
        <v>1665</v>
      </c>
      <c r="E682" s="19" t="s">
        <v>29</v>
      </c>
      <c r="F682" s="19" t="s">
        <v>30</v>
      </c>
      <c r="G682" s="19" t="s">
        <v>31</v>
      </c>
      <c r="J682" s="19" t="s">
        <v>1664</v>
      </c>
      <c r="K682" s="19" t="s">
        <v>32</v>
      </c>
      <c r="L682" s="19" t="s">
        <v>1666</v>
      </c>
      <c r="M682" s="19">
        <v>138.878712278909</v>
      </c>
      <c r="N682" s="19">
        <v>1344</v>
      </c>
      <c r="O682" s="19">
        <v>0.164</v>
      </c>
      <c r="P682" s="19" t="s">
        <v>1667</v>
      </c>
      <c r="Q682" s="19">
        <v>2.229</v>
      </c>
      <c r="R682">
        <f t="shared" si="40"/>
        <v>13.44</v>
      </c>
      <c r="T682" s="15" t="s">
        <v>89</v>
      </c>
      <c r="U682" s="17"/>
      <c r="V682" s="16" t="str">
        <f t="shared" si="41"/>
        <v>EN_SPV_16_c04_SUR</v>
      </c>
      <c r="W682" s="12">
        <f t="shared" si="42"/>
        <v>1344</v>
      </c>
      <c r="X682" s="11">
        <f t="shared" si="43"/>
        <v>1344</v>
      </c>
      <c r="Y682" s="17">
        <v>3</v>
      </c>
      <c r="Z682" s="17"/>
      <c r="AC682" s="19" t="s">
        <v>1664</v>
      </c>
    </row>
    <row r="683" spans="2:29">
      <c r="B683" s="19" t="s">
        <v>26</v>
      </c>
      <c r="C683" s="19" t="s">
        <v>1668</v>
      </c>
      <c r="D683" s="19" t="s">
        <v>1669</v>
      </c>
      <c r="E683" s="19" t="s">
        <v>29</v>
      </c>
      <c r="F683" s="19" t="s">
        <v>30</v>
      </c>
      <c r="G683" s="19" t="s">
        <v>31</v>
      </c>
      <c r="J683" s="19" t="s">
        <v>1668</v>
      </c>
      <c r="K683" s="19" t="s">
        <v>32</v>
      </c>
      <c r="L683" s="19" t="s">
        <v>1666</v>
      </c>
      <c r="M683" s="19">
        <v>0</v>
      </c>
      <c r="N683" s="19">
        <v>1344</v>
      </c>
      <c r="O683" s="19">
        <v>0.167842610364683</v>
      </c>
      <c r="P683" s="19" t="s">
        <v>1667</v>
      </c>
      <c r="Q683" s="19">
        <v>0.39075</v>
      </c>
      <c r="R683">
        <f t="shared" si="40"/>
        <v>13.44</v>
      </c>
      <c r="T683" s="15" t="s">
        <v>89</v>
      </c>
      <c r="U683" s="17"/>
      <c r="V683" s="16" t="str">
        <f t="shared" si="41"/>
        <v>EN_SPV_17_c01_SUR</v>
      </c>
      <c r="W683" s="12">
        <f t="shared" si="42"/>
        <v>1344</v>
      </c>
      <c r="X683" s="11">
        <f t="shared" si="43"/>
        <v>1344</v>
      </c>
      <c r="Y683" s="17">
        <v>3</v>
      </c>
      <c r="Z683" s="17"/>
      <c r="AC683" s="19" t="s">
        <v>1668</v>
      </c>
    </row>
    <row r="684" spans="2:29">
      <c r="B684" s="19" t="s">
        <v>26</v>
      </c>
      <c r="C684" s="19" t="s">
        <v>1670</v>
      </c>
      <c r="D684" s="19" t="s">
        <v>1671</v>
      </c>
      <c r="E684" s="19" t="s">
        <v>29</v>
      </c>
      <c r="F684" s="19" t="s">
        <v>30</v>
      </c>
      <c r="G684" s="19" t="s">
        <v>31</v>
      </c>
      <c r="J684" s="19" t="s">
        <v>1670</v>
      </c>
      <c r="K684" s="19" t="s">
        <v>32</v>
      </c>
      <c r="L684" s="19" t="s">
        <v>1666</v>
      </c>
      <c r="M684" s="19">
        <v>88.9549921786477</v>
      </c>
      <c r="N684" s="19">
        <v>1344</v>
      </c>
      <c r="O684" s="19">
        <v>0.169191532258065</v>
      </c>
      <c r="P684" s="19" t="s">
        <v>1667</v>
      </c>
      <c r="Q684" s="19">
        <v>1.116</v>
      </c>
      <c r="R684">
        <f t="shared" si="40"/>
        <v>13.44</v>
      </c>
      <c r="T684" s="15" t="s">
        <v>89</v>
      </c>
      <c r="U684" s="17"/>
      <c r="V684" s="16" t="str">
        <f t="shared" si="41"/>
        <v>EN_SPV_17_c02_SUR</v>
      </c>
      <c r="W684" s="12">
        <f t="shared" si="42"/>
        <v>1344</v>
      </c>
      <c r="X684" s="11">
        <f t="shared" si="43"/>
        <v>1344</v>
      </c>
      <c r="Y684" s="17">
        <v>3</v>
      </c>
      <c r="Z684" s="17"/>
      <c r="AC684" s="19" t="s">
        <v>1670</v>
      </c>
    </row>
    <row r="685" spans="2:29">
      <c r="B685" s="19" t="s">
        <v>26</v>
      </c>
      <c r="C685" s="19" t="s">
        <v>1672</v>
      </c>
      <c r="D685" s="19" t="s">
        <v>1673</v>
      </c>
      <c r="E685" s="19" t="s">
        <v>29</v>
      </c>
      <c r="F685" s="19" t="s">
        <v>30</v>
      </c>
      <c r="G685" s="19" t="s">
        <v>31</v>
      </c>
      <c r="J685" s="19" t="s">
        <v>1672</v>
      </c>
      <c r="K685" s="19" t="s">
        <v>32</v>
      </c>
      <c r="L685" s="19" t="s">
        <v>1666</v>
      </c>
      <c r="M685" s="19">
        <v>101.208996203257</v>
      </c>
      <c r="N685" s="19">
        <v>1344</v>
      </c>
      <c r="O685" s="19">
        <v>0.166193650793651</v>
      </c>
      <c r="P685" s="19" t="s">
        <v>1667</v>
      </c>
      <c r="Q685" s="19">
        <v>0.70875</v>
      </c>
      <c r="R685">
        <f t="shared" si="40"/>
        <v>13.44</v>
      </c>
      <c r="T685" s="15" t="s">
        <v>89</v>
      </c>
      <c r="U685" s="17"/>
      <c r="V685" s="16" t="str">
        <f t="shared" si="41"/>
        <v>EN_SPV_17_c03_SUR</v>
      </c>
      <c r="W685" s="12">
        <f t="shared" si="42"/>
        <v>1344</v>
      </c>
      <c r="X685" s="11">
        <f t="shared" si="43"/>
        <v>1344</v>
      </c>
      <c r="Y685" s="17">
        <v>3</v>
      </c>
      <c r="Z685" s="17"/>
      <c r="AC685" s="19" t="s">
        <v>1672</v>
      </c>
    </row>
    <row r="686" spans="2:29">
      <c r="B686" s="19" t="s">
        <v>26</v>
      </c>
      <c r="C686" s="19" t="s">
        <v>1674</v>
      </c>
      <c r="D686" s="19" t="s">
        <v>1675</v>
      </c>
      <c r="E686" s="19" t="s">
        <v>29</v>
      </c>
      <c r="F686" s="19" t="s">
        <v>30</v>
      </c>
      <c r="G686" s="19" t="s">
        <v>31</v>
      </c>
      <c r="J686" s="19" t="s">
        <v>1674</v>
      </c>
      <c r="K686" s="19" t="s">
        <v>32</v>
      </c>
      <c r="L686" s="19" t="s">
        <v>1676</v>
      </c>
      <c r="M686" s="19">
        <v>88.9549921786477</v>
      </c>
      <c r="N686" s="19">
        <v>974</v>
      </c>
      <c r="O686" s="19">
        <v>0.130957324514087</v>
      </c>
      <c r="P686" s="19" t="s">
        <v>1677</v>
      </c>
      <c r="Q686" s="19">
        <v>84.8145</v>
      </c>
      <c r="R686">
        <f t="shared" si="40"/>
        <v>9.74</v>
      </c>
      <c r="T686" s="15" t="s">
        <v>69</v>
      </c>
      <c r="U686" s="17"/>
      <c r="V686" s="16" t="str">
        <f t="shared" si="41"/>
        <v>EN_SPV_13_c02_SVK</v>
      </c>
      <c r="W686" s="12">
        <f t="shared" si="42"/>
        <v>974</v>
      </c>
      <c r="X686" s="11">
        <f t="shared" si="43"/>
        <v>974</v>
      </c>
      <c r="Y686" s="17">
        <v>3</v>
      </c>
      <c r="Z686" s="17"/>
      <c r="AC686" s="19" t="s">
        <v>1674</v>
      </c>
    </row>
    <row r="687" spans="2:29">
      <c r="B687" s="19" t="s">
        <v>26</v>
      </c>
      <c r="C687" s="19" t="s">
        <v>1678</v>
      </c>
      <c r="D687" s="19" t="s">
        <v>1679</v>
      </c>
      <c r="E687" s="19" t="s">
        <v>29</v>
      </c>
      <c r="F687" s="19" t="s">
        <v>30</v>
      </c>
      <c r="G687" s="19" t="s">
        <v>31</v>
      </c>
      <c r="J687" s="19" t="s">
        <v>1678</v>
      </c>
      <c r="K687" s="19" t="s">
        <v>32</v>
      </c>
      <c r="L687" s="19" t="s">
        <v>1680</v>
      </c>
      <c r="M687" s="19">
        <v>88.9549921786477</v>
      </c>
      <c r="N687" s="19">
        <v>769</v>
      </c>
      <c r="O687" s="19">
        <v>0.137007217925838</v>
      </c>
      <c r="P687" s="19" t="s">
        <v>1681</v>
      </c>
      <c r="Q687" s="19">
        <v>18.91125</v>
      </c>
      <c r="R687">
        <f t="shared" si="40"/>
        <v>7.69</v>
      </c>
      <c r="T687" s="15" t="s">
        <v>69</v>
      </c>
      <c r="U687" s="17"/>
      <c r="V687" s="16" t="str">
        <f t="shared" si="41"/>
        <v>EN_SPV_14_c02_SVN</v>
      </c>
      <c r="W687" s="12">
        <f t="shared" si="42"/>
        <v>769</v>
      </c>
      <c r="X687" s="11">
        <f t="shared" si="43"/>
        <v>769</v>
      </c>
      <c r="Y687" s="17">
        <v>3</v>
      </c>
      <c r="Z687" s="17"/>
      <c r="AC687" s="19" t="s">
        <v>1678</v>
      </c>
    </row>
    <row r="688" spans="2:29">
      <c r="B688" s="19" t="s">
        <v>26</v>
      </c>
      <c r="C688" s="19" t="s">
        <v>1682</v>
      </c>
      <c r="D688" s="19" t="s">
        <v>1683</v>
      </c>
      <c r="E688" s="19" t="s">
        <v>29</v>
      </c>
      <c r="F688" s="19" t="s">
        <v>30</v>
      </c>
      <c r="G688" s="19" t="s">
        <v>31</v>
      </c>
      <c r="J688" s="19" t="s">
        <v>1682</v>
      </c>
      <c r="K688" s="19" t="s">
        <v>32</v>
      </c>
      <c r="L688" s="19" t="s">
        <v>1684</v>
      </c>
      <c r="M688" s="19">
        <v>101.208996203257</v>
      </c>
      <c r="N688" s="19">
        <v>1045</v>
      </c>
      <c r="O688" s="19">
        <v>0.111891299193931</v>
      </c>
      <c r="P688" s="19" t="s">
        <v>1685</v>
      </c>
      <c r="Q688" s="19">
        <v>44.289</v>
      </c>
      <c r="R688">
        <f t="shared" si="40"/>
        <v>10.45</v>
      </c>
      <c r="T688" s="15" t="s">
        <v>69</v>
      </c>
      <c r="U688" s="17"/>
      <c r="V688" s="16" t="str">
        <f t="shared" si="41"/>
        <v>EN_SPV_11_c03_SWE</v>
      </c>
      <c r="W688" s="12">
        <f t="shared" si="42"/>
        <v>1045</v>
      </c>
      <c r="X688" s="11">
        <f t="shared" si="43"/>
        <v>1045</v>
      </c>
      <c r="Y688" s="17">
        <v>3</v>
      </c>
      <c r="Z688" s="17"/>
      <c r="AC688" s="19" t="s">
        <v>1682</v>
      </c>
    </row>
    <row r="689" spans="2:29">
      <c r="B689" s="19" t="s">
        <v>26</v>
      </c>
      <c r="C689" s="19" t="s">
        <v>1686</v>
      </c>
      <c r="D689" s="19" t="s">
        <v>1687</v>
      </c>
      <c r="E689" s="19" t="s">
        <v>29</v>
      </c>
      <c r="F689" s="19" t="s">
        <v>30</v>
      </c>
      <c r="G689" s="19" t="s">
        <v>31</v>
      </c>
      <c r="J689" s="19" t="s">
        <v>1686</v>
      </c>
      <c r="K689" s="19" t="s">
        <v>32</v>
      </c>
      <c r="L689" s="19" t="s">
        <v>1684</v>
      </c>
      <c r="M689" s="19">
        <v>88.9549921786477</v>
      </c>
      <c r="N689" s="19">
        <v>1045</v>
      </c>
      <c r="O689" s="19">
        <v>0.122217821782178</v>
      </c>
      <c r="P689" s="19" t="s">
        <v>1685</v>
      </c>
      <c r="Q689" s="19">
        <v>0.22725</v>
      </c>
      <c r="R689">
        <f t="shared" si="40"/>
        <v>10.45</v>
      </c>
      <c r="T689" s="15" t="s">
        <v>69</v>
      </c>
      <c r="U689" s="17"/>
      <c r="V689" s="16" t="str">
        <f t="shared" si="41"/>
        <v>EN_SPV_12_c02_SWE</v>
      </c>
      <c r="W689" s="12">
        <f t="shared" si="42"/>
        <v>1045</v>
      </c>
      <c r="X689" s="11">
        <f t="shared" si="43"/>
        <v>1045</v>
      </c>
      <c r="Y689" s="17">
        <v>3</v>
      </c>
      <c r="Z689" s="17"/>
      <c r="AC689" s="19" t="s">
        <v>1686</v>
      </c>
    </row>
    <row r="690" spans="2:29">
      <c r="B690" s="19" t="s">
        <v>26</v>
      </c>
      <c r="C690" s="19" t="s">
        <v>1688</v>
      </c>
      <c r="D690" s="19" t="s">
        <v>1689</v>
      </c>
      <c r="E690" s="19" t="s">
        <v>29</v>
      </c>
      <c r="F690" s="19" t="s">
        <v>30</v>
      </c>
      <c r="G690" s="19" t="s">
        <v>31</v>
      </c>
      <c r="J690" s="19" t="s">
        <v>1688</v>
      </c>
      <c r="K690" s="19" t="s">
        <v>32</v>
      </c>
      <c r="L690" s="19" t="s">
        <v>1684</v>
      </c>
      <c r="M690" s="19">
        <v>101.208996203257</v>
      </c>
      <c r="N690" s="19">
        <v>1045</v>
      </c>
      <c r="O690" s="19">
        <v>0.116491678784941</v>
      </c>
      <c r="P690" s="19" t="s">
        <v>1685</v>
      </c>
      <c r="Q690" s="19">
        <v>4.64175</v>
      </c>
      <c r="R690">
        <f t="shared" si="40"/>
        <v>10.45</v>
      </c>
      <c r="T690" s="15" t="s">
        <v>69</v>
      </c>
      <c r="U690" s="17"/>
      <c r="V690" s="16" t="str">
        <f t="shared" si="41"/>
        <v>EN_SPV_12_c03_SWE</v>
      </c>
      <c r="W690" s="12">
        <f t="shared" si="42"/>
        <v>1045</v>
      </c>
      <c r="X690" s="11">
        <f t="shared" si="43"/>
        <v>1045</v>
      </c>
      <c r="Y690" s="17">
        <v>3</v>
      </c>
      <c r="Z690" s="17"/>
      <c r="AC690" s="19" t="s">
        <v>1688</v>
      </c>
    </row>
    <row r="691" spans="2:29">
      <c r="B691" s="19" t="s">
        <v>26</v>
      </c>
      <c r="C691" s="19" t="s">
        <v>1690</v>
      </c>
      <c r="D691" s="19" t="s">
        <v>1691</v>
      </c>
      <c r="E691" s="19" t="s">
        <v>29</v>
      </c>
      <c r="F691" s="19" t="s">
        <v>30</v>
      </c>
      <c r="G691" s="19" t="s">
        <v>31</v>
      </c>
      <c r="J691" s="19" t="s">
        <v>1690</v>
      </c>
      <c r="K691" s="19" t="s">
        <v>32</v>
      </c>
      <c r="L691" s="19" t="s">
        <v>1684</v>
      </c>
      <c r="M691" s="19">
        <v>101.208996203257</v>
      </c>
      <c r="N691" s="19">
        <v>1045</v>
      </c>
      <c r="O691" s="19">
        <v>0.125</v>
      </c>
      <c r="P691" s="19" t="s">
        <v>1685</v>
      </c>
      <c r="Q691" s="19">
        <v>0.147</v>
      </c>
      <c r="R691">
        <f t="shared" si="40"/>
        <v>10.45</v>
      </c>
      <c r="T691" s="15" t="s">
        <v>69</v>
      </c>
      <c r="U691" s="17"/>
      <c r="V691" s="16" t="str">
        <f t="shared" si="41"/>
        <v>EN_SPV_13_c03_SWE</v>
      </c>
      <c r="W691" s="12">
        <f t="shared" si="42"/>
        <v>1045</v>
      </c>
      <c r="X691" s="11">
        <f t="shared" si="43"/>
        <v>1045</v>
      </c>
      <c r="Y691" s="17">
        <v>3</v>
      </c>
      <c r="Z691" s="17"/>
      <c r="AC691" s="19" t="s">
        <v>1690</v>
      </c>
    </row>
    <row r="692" spans="2:29">
      <c r="B692" s="19" t="s">
        <v>26</v>
      </c>
      <c r="C692" s="19" t="s">
        <v>1692</v>
      </c>
      <c r="D692" s="19" t="s">
        <v>1693</v>
      </c>
      <c r="E692" s="19" t="s">
        <v>29</v>
      </c>
      <c r="F692" s="19" t="s">
        <v>30</v>
      </c>
      <c r="G692" s="19" t="s">
        <v>31</v>
      </c>
      <c r="J692" s="19" t="s">
        <v>1692</v>
      </c>
      <c r="K692" s="19" t="s">
        <v>32</v>
      </c>
      <c r="L692" s="19" t="s">
        <v>1694</v>
      </c>
      <c r="M692" s="19">
        <v>0</v>
      </c>
      <c r="N692" s="19">
        <v>1314</v>
      </c>
      <c r="O692" s="19">
        <v>0.169352380952381</v>
      </c>
      <c r="P692" s="19" t="s">
        <v>1695</v>
      </c>
      <c r="Q692" s="19">
        <v>1.33875</v>
      </c>
      <c r="R692">
        <f t="shared" si="40"/>
        <v>13.14</v>
      </c>
      <c r="T692" s="15" t="s">
        <v>54</v>
      </c>
      <c r="U692" s="17"/>
      <c r="V692" s="16" t="str">
        <f t="shared" si="41"/>
        <v>EN_SPV_17_c01_SWZ</v>
      </c>
      <c r="W692" s="12">
        <f t="shared" si="42"/>
        <v>1314</v>
      </c>
      <c r="X692" s="11">
        <f t="shared" si="43"/>
        <v>1314</v>
      </c>
      <c r="Y692" s="17">
        <v>3</v>
      </c>
      <c r="Z692" s="17"/>
      <c r="AC692" s="19" t="s">
        <v>1692</v>
      </c>
    </row>
    <row r="693" spans="2:29">
      <c r="B693" s="19" t="s">
        <v>26</v>
      </c>
      <c r="C693" s="19" t="s">
        <v>1696</v>
      </c>
      <c r="D693" s="19" t="s">
        <v>1697</v>
      </c>
      <c r="E693" s="19" t="s">
        <v>29</v>
      </c>
      <c r="F693" s="19" t="s">
        <v>30</v>
      </c>
      <c r="G693" s="19" t="s">
        <v>31</v>
      </c>
      <c r="J693" s="19" t="s">
        <v>1696</v>
      </c>
      <c r="K693" s="19" t="s">
        <v>32</v>
      </c>
      <c r="L693" s="19" t="s">
        <v>1694</v>
      </c>
      <c r="M693" s="19">
        <v>88.9549921786477</v>
      </c>
      <c r="N693" s="19">
        <v>1314</v>
      </c>
      <c r="O693" s="19">
        <v>0.168</v>
      </c>
      <c r="P693" s="19" t="s">
        <v>1695</v>
      </c>
      <c r="Q693" s="19">
        <v>0.72075</v>
      </c>
      <c r="R693">
        <f t="shared" si="40"/>
        <v>13.14</v>
      </c>
      <c r="T693" s="15" t="s">
        <v>54</v>
      </c>
      <c r="U693" s="17"/>
      <c r="V693" s="16" t="str">
        <f t="shared" si="41"/>
        <v>EN_SPV_17_c02_SWZ</v>
      </c>
      <c r="W693" s="12">
        <f t="shared" si="42"/>
        <v>1314</v>
      </c>
      <c r="X693" s="11">
        <f t="shared" si="43"/>
        <v>1314</v>
      </c>
      <c r="Y693" s="17">
        <v>3</v>
      </c>
      <c r="Z693" s="17"/>
      <c r="AC693" s="19" t="s">
        <v>1696</v>
      </c>
    </row>
    <row r="694" spans="2:29">
      <c r="B694" s="19" t="s">
        <v>26</v>
      </c>
      <c r="C694" s="19" t="s">
        <v>1698</v>
      </c>
      <c r="D694" s="19" t="s">
        <v>1699</v>
      </c>
      <c r="E694" s="19" t="s">
        <v>29</v>
      </c>
      <c r="F694" s="19" t="s">
        <v>30</v>
      </c>
      <c r="G694" s="19" t="s">
        <v>31</v>
      </c>
      <c r="J694" s="19" t="s">
        <v>1698</v>
      </c>
      <c r="K694" s="19" t="s">
        <v>32</v>
      </c>
      <c r="L694" s="19" t="s">
        <v>1694</v>
      </c>
      <c r="M694" s="19">
        <v>0</v>
      </c>
      <c r="N694" s="19">
        <v>1314</v>
      </c>
      <c r="O694" s="19">
        <v>0.175</v>
      </c>
      <c r="P694" s="19" t="s">
        <v>1695</v>
      </c>
      <c r="Q694" s="19">
        <v>0.501</v>
      </c>
      <c r="R694">
        <f t="shared" si="40"/>
        <v>13.14</v>
      </c>
      <c r="T694" s="15" t="s">
        <v>54</v>
      </c>
      <c r="U694" s="17"/>
      <c r="V694" s="16" t="str">
        <f t="shared" si="41"/>
        <v>EN_SPV_18_c01_SWZ</v>
      </c>
      <c r="W694" s="12">
        <f t="shared" si="42"/>
        <v>1314</v>
      </c>
      <c r="X694" s="11">
        <f t="shared" si="43"/>
        <v>1314</v>
      </c>
      <c r="Y694" s="17">
        <v>3</v>
      </c>
      <c r="Z694" s="17"/>
      <c r="AC694" s="19" t="s">
        <v>1698</v>
      </c>
    </row>
    <row r="695" spans="2:29">
      <c r="B695" s="19" t="s">
        <v>26</v>
      </c>
      <c r="C695" s="19" t="s">
        <v>1700</v>
      </c>
      <c r="D695" s="19" t="s">
        <v>1701</v>
      </c>
      <c r="E695" s="19" t="s">
        <v>29</v>
      </c>
      <c r="F695" s="19" t="s">
        <v>30</v>
      </c>
      <c r="G695" s="19" t="s">
        <v>31</v>
      </c>
      <c r="J695" s="19" t="s">
        <v>1700</v>
      </c>
      <c r="K695" s="19" t="s">
        <v>32</v>
      </c>
      <c r="L695" s="19" t="s">
        <v>1702</v>
      </c>
      <c r="M695" s="19">
        <v>88.9549921786477</v>
      </c>
      <c r="N695" s="19">
        <v>859</v>
      </c>
      <c r="O695" s="19">
        <v>0.201154850177755</v>
      </c>
      <c r="P695" s="19" t="s">
        <v>1703</v>
      </c>
      <c r="Q695" s="19">
        <v>44.3025</v>
      </c>
      <c r="R695">
        <f t="shared" si="40"/>
        <v>8.59</v>
      </c>
      <c r="T695" s="15" t="s">
        <v>80</v>
      </c>
      <c r="U695" s="17"/>
      <c r="V695" s="16" t="str">
        <f t="shared" si="41"/>
        <v>EN_SPV_20_c02_SYR</v>
      </c>
      <c r="W695" s="12">
        <f t="shared" si="42"/>
        <v>859</v>
      </c>
      <c r="X695" s="11">
        <f t="shared" si="43"/>
        <v>859</v>
      </c>
      <c r="Y695" s="17">
        <v>3</v>
      </c>
      <c r="Z695" s="17"/>
      <c r="AC695" s="19" t="s">
        <v>1700</v>
      </c>
    </row>
    <row r="696" spans="2:29">
      <c r="B696" s="19" t="s">
        <v>26</v>
      </c>
      <c r="C696" s="19" t="s">
        <v>1704</v>
      </c>
      <c r="D696" s="19" t="s">
        <v>1705</v>
      </c>
      <c r="E696" s="19" t="s">
        <v>29</v>
      </c>
      <c r="F696" s="19" t="s">
        <v>30</v>
      </c>
      <c r="G696" s="19" t="s">
        <v>31</v>
      </c>
      <c r="J696" s="19" t="s">
        <v>1704</v>
      </c>
      <c r="K696" s="19" t="s">
        <v>32</v>
      </c>
      <c r="L696" s="19" t="s">
        <v>1702</v>
      </c>
      <c r="M696" s="19">
        <v>101.208996203257</v>
      </c>
      <c r="N696" s="19">
        <v>859</v>
      </c>
      <c r="O696" s="19">
        <v>0.201504648377346</v>
      </c>
      <c r="P696" s="19" t="s">
        <v>1703</v>
      </c>
      <c r="Q696" s="19">
        <v>13.14975</v>
      </c>
      <c r="R696">
        <f t="shared" si="40"/>
        <v>8.59</v>
      </c>
      <c r="T696" s="15" t="s">
        <v>80</v>
      </c>
      <c r="U696" s="17"/>
      <c r="V696" s="16" t="str">
        <f t="shared" si="41"/>
        <v>EN_SPV_20_c03_SYR</v>
      </c>
      <c r="W696" s="12">
        <f t="shared" si="42"/>
        <v>859</v>
      </c>
      <c r="X696" s="11">
        <f t="shared" si="43"/>
        <v>859</v>
      </c>
      <c r="Y696" s="17">
        <v>3</v>
      </c>
      <c r="Z696" s="17"/>
      <c r="AC696" s="19" t="s">
        <v>1704</v>
      </c>
    </row>
    <row r="697" spans="2:29">
      <c r="B697" s="19" t="s">
        <v>26</v>
      </c>
      <c r="C697" s="19" t="s">
        <v>1706</v>
      </c>
      <c r="D697" s="19" t="s">
        <v>1707</v>
      </c>
      <c r="E697" s="19" t="s">
        <v>29</v>
      </c>
      <c r="F697" s="19" t="s">
        <v>30</v>
      </c>
      <c r="G697" s="19" t="s">
        <v>31</v>
      </c>
      <c r="J697" s="19" t="s">
        <v>1706</v>
      </c>
      <c r="K697" s="19" t="s">
        <v>32</v>
      </c>
      <c r="L697" s="19" t="s">
        <v>1702</v>
      </c>
      <c r="M697" s="19">
        <v>0</v>
      </c>
      <c r="N697" s="19">
        <v>859</v>
      </c>
      <c r="O697" s="19">
        <v>0.205641848806016</v>
      </c>
      <c r="P697" s="19" t="s">
        <v>1703</v>
      </c>
      <c r="Q697" s="19">
        <v>17.05425</v>
      </c>
      <c r="R697">
        <f t="shared" si="40"/>
        <v>8.59</v>
      </c>
      <c r="T697" s="15" t="s">
        <v>80</v>
      </c>
      <c r="U697" s="17"/>
      <c r="V697" s="16" t="str">
        <f t="shared" si="41"/>
        <v>EN_SPV_21_c01_SYR</v>
      </c>
      <c r="W697" s="12">
        <f t="shared" si="42"/>
        <v>859</v>
      </c>
      <c r="X697" s="11">
        <f t="shared" si="43"/>
        <v>859</v>
      </c>
      <c r="Y697" s="17">
        <v>3</v>
      </c>
      <c r="Z697" s="17"/>
      <c r="AC697" s="19" t="s">
        <v>1706</v>
      </c>
    </row>
    <row r="698" spans="2:29">
      <c r="B698" s="19" t="s">
        <v>26</v>
      </c>
      <c r="C698" s="19" t="s">
        <v>1708</v>
      </c>
      <c r="D698" s="19" t="s">
        <v>1709</v>
      </c>
      <c r="E698" s="19" t="s">
        <v>29</v>
      </c>
      <c r="F698" s="19" t="s">
        <v>30</v>
      </c>
      <c r="G698" s="19" t="s">
        <v>31</v>
      </c>
      <c r="J698" s="19" t="s">
        <v>1708</v>
      </c>
      <c r="K698" s="19" t="s">
        <v>32</v>
      </c>
      <c r="L698" s="19" t="s">
        <v>1702</v>
      </c>
      <c r="M698" s="19">
        <v>88.9549921786477</v>
      </c>
      <c r="N698" s="19">
        <v>859</v>
      </c>
      <c r="O698" s="19">
        <v>0.205</v>
      </c>
      <c r="P698" s="19" t="s">
        <v>1703</v>
      </c>
      <c r="Q698" s="19">
        <v>19.42575</v>
      </c>
      <c r="R698">
        <f t="shared" si="40"/>
        <v>8.59</v>
      </c>
      <c r="T698" s="15" t="s">
        <v>80</v>
      </c>
      <c r="U698" s="17"/>
      <c r="V698" s="16" t="str">
        <f t="shared" si="41"/>
        <v>EN_SPV_21_c02_SYR</v>
      </c>
      <c r="W698" s="12">
        <f t="shared" si="42"/>
        <v>859</v>
      </c>
      <c r="X698" s="11">
        <f t="shared" si="43"/>
        <v>859</v>
      </c>
      <c r="Y698" s="17">
        <v>3</v>
      </c>
      <c r="Z698" s="17"/>
      <c r="AC698" s="19" t="s">
        <v>1708</v>
      </c>
    </row>
    <row r="699" spans="2:29">
      <c r="B699" s="19" t="s">
        <v>26</v>
      </c>
      <c r="C699" s="19" t="s">
        <v>1710</v>
      </c>
      <c r="D699" s="19" t="s">
        <v>1711</v>
      </c>
      <c r="E699" s="19" t="s">
        <v>29</v>
      </c>
      <c r="F699" s="19" t="s">
        <v>30</v>
      </c>
      <c r="G699" s="19" t="s">
        <v>31</v>
      </c>
      <c r="J699" s="19" t="s">
        <v>1710</v>
      </c>
      <c r="K699" s="19" t="s">
        <v>32</v>
      </c>
      <c r="L699" s="19" t="s">
        <v>1702</v>
      </c>
      <c r="M699" s="19">
        <v>101.208996203257</v>
      </c>
      <c r="N699" s="19">
        <v>859</v>
      </c>
      <c r="O699" s="19">
        <v>0.205</v>
      </c>
      <c r="P699" s="19" t="s">
        <v>1703</v>
      </c>
      <c r="Q699" s="19">
        <v>13.06275</v>
      </c>
      <c r="R699">
        <f t="shared" si="40"/>
        <v>8.59</v>
      </c>
      <c r="T699" s="15" t="s">
        <v>80</v>
      </c>
      <c r="U699" s="17"/>
      <c r="V699" s="16" t="str">
        <f t="shared" si="41"/>
        <v>EN_SPV_21_c03_SYR</v>
      </c>
      <c r="W699" s="12">
        <f t="shared" si="42"/>
        <v>859</v>
      </c>
      <c r="X699" s="11">
        <f t="shared" si="43"/>
        <v>859</v>
      </c>
      <c r="Y699" s="17">
        <v>3</v>
      </c>
      <c r="Z699" s="17"/>
      <c r="AC699" s="19" t="s">
        <v>1710</v>
      </c>
    </row>
    <row r="700" spans="2:29">
      <c r="B700" s="19" t="s">
        <v>26</v>
      </c>
      <c r="C700" s="19" t="s">
        <v>1712</v>
      </c>
      <c r="D700" s="19" t="s">
        <v>1713</v>
      </c>
      <c r="E700" s="19" t="s">
        <v>29</v>
      </c>
      <c r="F700" s="19" t="s">
        <v>30</v>
      </c>
      <c r="G700" s="19" t="s">
        <v>31</v>
      </c>
      <c r="J700" s="19" t="s">
        <v>1712</v>
      </c>
      <c r="K700" s="19" t="s">
        <v>32</v>
      </c>
      <c r="L700" s="19" t="s">
        <v>1714</v>
      </c>
      <c r="M700" s="19">
        <v>101.208996203257</v>
      </c>
      <c r="N700" s="19">
        <v>1321</v>
      </c>
      <c r="O700" s="19">
        <v>0.216652373520466</v>
      </c>
      <c r="P700" s="19" t="s">
        <v>1715</v>
      </c>
      <c r="Q700" s="19">
        <v>65.83575</v>
      </c>
      <c r="R700">
        <f t="shared" si="40"/>
        <v>13.21</v>
      </c>
      <c r="T700" s="15" t="s">
        <v>54</v>
      </c>
      <c r="U700" s="17"/>
      <c r="V700" s="16" t="str">
        <f t="shared" si="41"/>
        <v>EN_SPV_22_c03_TCD</v>
      </c>
      <c r="W700" s="12">
        <f t="shared" si="42"/>
        <v>1321</v>
      </c>
      <c r="X700" s="11">
        <f t="shared" si="43"/>
        <v>1321</v>
      </c>
      <c r="Y700" s="17">
        <v>3</v>
      </c>
      <c r="Z700" s="17"/>
      <c r="AC700" s="19" t="s">
        <v>1712</v>
      </c>
    </row>
    <row r="701" spans="2:29">
      <c r="B701" s="19" t="s">
        <v>26</v>
      </c>
      <c r="C701" s="19" t="s">
        <v>1716</v>
      </c>
      <c r="D701" s="19" t="s">
        <v>1717</v>
      </c>
      <c r="E701" s="19" t="s">
        <v>29</v>
      </c>
      <c r="F701" s="19" t="s">
        <v>30</v>
      </c>
      <c r="G701" s="19" t="s">
        <v>31</v>
      </c>
      <c r="J701" s="19" t="s">
        <v>1716</v>
      </c>
      <c r="K701" s="19" t="s">
        <v>32</v>
      </c>
      <c r="L701" s="19" t="s">
        <v>1714</v>
      </c>
      <c r="M701" s="19">
        <v>138.878712278909</v>
      </c>
      <c r="N701" s="19">
        <v>1321</v>
      </c>
      <c r="O701" s="19">
        <v>0.225</v>
      </c>
      <c r="P701" s="19" t="s">
        <v>1715</v>
      </c>
      <c r="Q701" s="19">
        <v>5.736</v>
      </c>
      <c r="R701">
        <f t="shared" si="40"/>
        <v>13.21</v>
      </c>
      <c r="T701" s="15" t="s">
        <v>54</v>
      </c>
      <c r="U701" s="17"/>
      <c r="V701" s="16" t="str">
        <f t="shared" si="41"/>
        <v>EN_SPV_23_c04_TCD</v>
      </c>
      <c r="W701" s="12">
        <f t="shared" si="42"/>
        <v>1321</v>
      </c>
      <c r="X701" s="11">
        <f t="shared" si="43"/>
        <v>1321</v>
      </c>
      <c r="Y701" s="17">
        <v>3</v>
      </c>
      <c r="Z701" s="17"/>
      <c r="AC701" s="19" t="s">
        <v>1716</v>
      </c>
    </row>
    <row r="702" spans="2:29">
      <c r="B702" s="19" t="s">
        <v>26</v>
      </c>
      <c r="C702" s="19" t="s">
        <v>1718</v>
      </c>
      <c r="D702" s="19" t="s">
        <v>1719</v>
      </c>
      <c r="E702" s="19" t="s">
        <v>29</v>
      </c>
      <c r="F702" s="19" t="s">
        <v>30</v>
      </c>
      <c r="G702" s="19" t="s">
        <v>31</v>
      </c>
      <c r="J702" s="19" t="s">
        <v>1718</v>
      </c>
      <c r="K702" s="19" t="s">
        <v>32</v>
      </c>
      <c r="L702" s="19" t="s">
        <v>1720</v>
      </c>
      <c r="M702" s="19">
        <v>88.9549921786477</v>
      </c>
      <c r="N702" s="19">
        <v>1621</v>
      </c>
      <c r="O702" s="19">
        <v>0.168779341950646</v>
      </c>
      <c r="P702" s="19" t="s">
        <v>1721</v>
      </c>
      <c r="Q702" s="19">
        <v>31.9125</v>
      </c>
      <c r="R702">
        <f t="shared" si="40"/>
        <v>16.21</v>
      </c>
      <c r="T702" s="15" t="s">
        <v>54</v>
      </c>
      <c r="U702" s="17"/>
      <c r="V702" s="16" t="str">
        <f t="shared" si="41"/>
        <v>EN_SPV_17_c02_TGO</v>
      </c>
      <c r="W702" s="12">
        <f t="shared" si="42"/>
        <v>1621</v>
      </c>
      <c r="X702" s="11">
        <f t="shared" si="43"/>
        <v>1621</v>
      </c>
      <c r="Y702" s="17">
        <v>3</v>
      </c>
      <c r="Z702" s="17"/>
      <c r="AC702" s="19" t="s">
        <v>1718</v>
      </c>
    </row>
    <row r="703" spans="2:29">
      <c r="B703" s="19" t="s">
        <v>26</v>
      </c>
      <c r="C703" s="19" t="s">
        <v>1722</v>
      </c>
      <c r="D703" s="19" t="s">
        <v>1723</v>
      </c>
      <c r="E703" s="19" t="s">
        <v>29</v>
      </c>
      <c r="F703" s="19" t="s">
        <v>30</v>
      </c>
      <c r="G703" s="19" t="s">
        <v>31</v>
      </c>
      <c r="J703" s="19" t="s">
        <v>1722</v>
      </c>
      <c r="K703" s="19" t="s">
        <v>32</v>
      </c>
      <c r="L703" s="19" t="s">
        <v>1724</v>
      </c>
      <c r="M703" s="19">
        <v>0</v>
      </c>
      <c r="N703" s="19">
        <v>1113</v>
      </c>
      <c r="O703" s="19">
        <v>0.161121169161752</v>
      </c>
      <c r="P703" s="19" t="s">
        <v>1725</v>
      </c>
      <c r="Q703" s="19">
        <v>119.034</v>
      </c>
      <c r="R703">
        <f t="shared" si="40"/>
        <v>11.13</v>
      </c>
      <c r="T703" s="15" t="s">
        <v>290</v>
      </c>
      <c r="U703" s="17"/>
      <c r="V703" s="16" t="str">
        <f t="shared" si="41"/>
        <v>EN_SPV_16_c01_THA</v>
      </c>
      <c r="W703" s="12">
        <f t="shared" si="42"/>
        <v>1113</v>
      </c>
      <c r="X703" s="11">
        <f t="shared" si="43"/>
        <v>1113</v>
      </c>
      <c r="Y703" s="17">
        <v>3</v>
      </c>
      <c r="Z703" s="17"/>
      <c r="AC703" s="19" t="s">
        <v>1722</v>
      </c>
    </row>
    <row r="704" spans="2:29">
      <c r="B704" s="19" t="s">
        <v>26</v>
      </c>
      <c r="C704" s="19" t="s">
        <v>1726</v>
      </c>
      <c r="D704" s="19" t="s">
        <v>1727</v>
      </c>
      <c r="E704" s="19" t="s">
        <v>29</v>
      </c>
      <c r="F704" s="19" t="s">
        <v>30</v>
      </c>
      <c r="G704" s="19" t="s">
        <v>31</v>
      </c>
      <c r="J704" s="19" t="s">
        <v>1726</v>
      </c>
      <c r="K704" s="19" t="s">
        <v>32</v>
      </c>
      <c r="L704" s="19" t="s">
        <v>1724</v>
      </c>
      <c r="M704" s="19">
        <v>0</v>
      </c>
      <c r="N704" s="19">
        <v>1113</v>
      </c>
      <c r="O704" s="19">
        <v>0.165930168514929</v>
      </c>
      <c r="P704" s="19" t="s">
        <v>1725</v>
      </c>
      <c r="Q704" s="19">
        <v>70.80975</v>
      </c>
      <c r="R704">
        <f t="shared" si="40"/>
        <v>11.13</v>
      </c>
      <c r="T704" s="15" t="s">
        <v>290</v>
      </c>
      <c r="U704" s="17"/>
      <c r="V704" s="16" t="str">
        <f t="shared" si="41"/>
        <v>EN_SPV_17_c01_THA</v>
      </c>
      <c r="W704" s="12">
        <f t="shared" si="42"/>
        <v>1113</v>
      </c>
      <c r="X704" s="11">
        <f t="shared" si="43"/>
        <v>1113</v>
      </c>
      <c r="Y704" s="17">
        <v>3</v>
      </c>
      <c r="Z704" s="17"/>
      <c r="AC704" s="19" t="s">
        <v>1726</v>
      </c>
    </row>
    <row r="705" spans="2:29">
      <c r="B705" s="19" t="s">
        <v>26</v>
      </c>
      <c r="C705" s="19" t="s">
        <v>1728</v>
      </c>
      <c r="D705" s="19" t="s">
        <v>1729</v>
      </c>
      <c r="E705" s="19" t="s">
        <v>29</v>
      </c>
      <c r="F705" s="19" t="s">
        <v>30</v>
      </c>
      <c r="G705" s="19" t="s">
        <v>31</v>
      </c>
      <c r="J705" s="19" t="s">
        <v>1728</v>
      </c>
      <c r="K705" s="19" t="s">
        <v>32</v>
      </c>
      <c r="L705" s="19" t="s">
        <v>1724</v>
      </c>
      <c r="M705" s="19">
        <v>88.9549921786477</v>
      </c>
      <c r="N705" s="19">
        <v>1113</v>
      </c>
      <c r="O705" s="19">
        <v>0.165594701710471</v>
      </c>
      <c r="P705" s="19" t="s">
        <v>1725</v>
      </c>
      <c r="Q705" s="19">
        <v>28.764</v>
      </c>
      <c r="R705">
        <f t="shared" si="40"/>
        <v>11.13</v>
      </c>
      <c r="T705" s="15" t="s">
        <v>290</v>
      </c>
      <c r="U705" s="17"/>
      <c r="V705" s="16" t="str">
        <f t="shared" si="41"/>
        <v>EN_SPV_17_c02_THA</v>
      </c>
      <c r="W705" s="12">
        <f t="shared" si="42"/>
        <v>1113</v>
      </c>
      <c r="X705" s="11">
        <f t="shared" si="43"/>
        <v>1113</v>
      </c>
      <c r="Y705" s="17">
        <v>3</v>
      </c>
      <c r="Z705" s="17"/>
      <c r="AC705" s="19" t="s">
        <v>1728</v>
      </c>
    </row>
    <row r="706" spans="2:29">
      <c r="B706" s="19" t="s">
        <v>26</v>
      </c>
      <c r="C706" s="19" t="s">
        <v>1730</v>
      </c>
      <c r="D706" s="19" t="s">
        <v>1731</v>
      </c>
      <c r="E706" s="19" t="s">
        <v>29</v>
      </c>
      <c r="F706" s="19" t="s">
        <v>30</v>
      </c>
      <c r="G706" s="19" t="s">
        <v>31</v>
      </c>
      <c r="J706" s="19" t="s">
        <v>1730</v>
      </c>
      <c r="K706" s="19" t="s">
        <v>32</v>
      </c>
      <c r="L706" s="19" t="s">
        <v>1732</v>
      </c>
      <c r="M706" s="19">
        <v>88.9549921786477</v>
      </c>
      <c r="N706" s="19">
        <v>909</v>
      </c>
      <c r="O706" s="19">
        <v>0.15114170984456</v>
      </c>
      <c r="P706" s="19" t="s">
        <v>1733</v>
      </c>
      <c r="Q706" s="19">
        <v>8.685</v>
      </c>
      <c r="R706">
        <f t="shared" si="40"/>
        <v>9.09</v>
      </c>
      <c r="T706" s="15" t="s">
        <v>112</v>
      </c>
      <c r="U706" s="17"/>
      <c r="V706" s="16" t="str">
        <f t="shared" si="41"/>
        <v>EN_SPV_15_c02_TJK</v>
      </c>
      <c r="W706" s="12">
        <f t="shared" si="42"/>
        <v>909</v>
      </c>
      <c r="X706" s="11">
        <f t="shared" si="43"/>
        <v>909</v>
      </c>
      <c r="Y706" s="17">
        <v>3</v>
      </c>
      <c r="Z706" s="17"/>
      <c r="AC706" s="19" t="s">
        <v>1730</v>
      </c>
    </row>
    <row r="707" spans="2:29">
      <c r="B707" s="19" t="s">
        <v>26</v>
      </c>
      <c r="C707" s="19" t="s">
        <v>1734</v>
      </c>
      <c r="D707" s="19" t="s">
        <v>1735</v>
      </c>
      <c r="E707" s="19" t="s">
        <v>29</v>
      </c>
      <c r="F707" s="19" t="s">
        <v>30</v>
      </c>
      <c r="G707" s="19" t="s">
        <v>31</v>
      </c>
      <c r="J707" s="19" t="s">
        <v>1734</v>
      </c>
      <c r="K707" s="19" t="s">
        <v>32</v>
      </c>
      <c r="L707" s="19" t="s">
        <v>1732</v>
      </c>
      <c r="M707" s="19">
        <v>0</v>
      </c>
      <c r="N707" s="19">
        <v>909</v>
      </c>
      <c r="O707" s="19">
        <v>0.15961064172594</v>
      </c>
      <c r="P707" s="19" t="s">
        <v>1733</v>
      </c>
      <c r="Q707" s="19">
        <v>19.08525</v>
      </c>
      <c r="R707">
        <f t="shared" si="40"/>
        <v>9.09</v>
      </c>
      <c r="T707" s="15" t="s">
        <v>112</v>
      </c>
      <c r="U707" s="17"/>
      <c r="V707" s="16" t="str">
        <f t="shared" si="41"/>
        <v>EN_SPV_16_c01_TJK</v>
      </c>
      <c r="W707" s="12">
        <f t="shared" si="42"/>
        <v>909</v>
      </c>
      <c r="X707" s="11">
        <f t="shared" si="43"/>
        <v>909</v>
      </c>
      <c r="Y707" s="17">
        <v>3</v>
      </c>
      <c r="Z707" s="17"/>
      <c r="AC707" s="19" t="s">
        <v>1734</v>
      </c>
    </row>
    <row r="708" spans="2:29">
      <c r="B708" s="19" t="s">
        <v>26</v>
      </c>
      <c r="C708" s="19" t="s">
        <v>1736</v>
      </c>
      <c r="D708" s="19" t="s">
        <v>1737</v>
      </c>
      <c r="E708" s="19" t="s">
        <v>29</v>
      </c>
      <c r="F708" s="19" t="s">
        <v>30</v>
      </c>
      <c r="G708" s="19" t="s">
        <v>31</v>
      </c>
      <c r="J708" s="19" t="s">
        <v>1736</v>
      </c>
      <c r="K708" s="19" t="s">
        <v>32</v>
      </c>
      <c r="L708" s="19" t="s">
        <v>1732</v>
      </c>
      <c r="M708" s="19">
        <v>88.9549921786477</v>
      </c>
      <c r="N708" s="19">
        <v>909</v>
      </c>
      <c r="O708" s="19">
        <v>0.157356</v>
      </c>
      <c r="P708" s="19" t="s">
        <v>1733</v>
      </c>
      <c r="Q708" s="19">
        <v>6.75</v>
      </c>
      <c r="R708">
        <f t="shared" si="40"/>
        <v>9.09</v>
      </c>
      <c r="T708" s="15" t="s">
        <v>112</v>
      </c>
      <c r="U708" s="17"/>
      <c r="V708" s="16" t="str">
        <f t="shared" si="41"/>
        <v>EN_SPV_16_c02_TJK</v>
      </c>
      <c r="W708" s="12">
        <f t="shared" si="42"/>
        <v>909</v>
      </c>
      <c r="X708" s="11">
        <f t="shared" si="43"/>
        <v>909</v>
      </c>
      <c r="Y708" s="17">
        <v>3</v>
      </c>
      <c r="Z708" s="17"/>
      <c r="AC708" s="19" t="s">
        <v>1736</v>
      </c>
    </row>
    <row r="709" spans="2:29">
      <c r="B709" s="19" t="s">
        <v>26</v>
      </c>
      <c r="C709" s="19" t="s">
        <v>1738</v>
      </c>
      <c r="D709" s="19" t="s">
        <v>1739</v>
      </c>
      <c r="E709" s="19" t="s">
        <v>29</v>
      </c>
      <c r="F709" s="19" t="s">
        <v>30</v>
      </c>
      <c r="G709" s="19" t="s">
        <v>31</v>
      </c>
      <c r="J709" s="19" t="s">
        <v>1738</v>
      </c>
      <c r="K709" s="19" t="s">
        <v>32</v>
      </c>
      <c r="L709" s="19" t="s">
        <v>1732</v>
      </c>
      <c r="M709" s="19">
        <v>0</v>
      </c>
      <c r="N709" s="19">
        <v>909</v>
      </c>
      <c r="O709" s="19">
        <v>0.168132837363092</v>
      </c>
      <c r="P709" s="19" t="s">
        <v>1733</v>
      </c>
      <c r="Q709" s="19">
        <v>18.14625</v>
      </c>
      <c r="R709">
        <f t="shared" si="40"/>
        <v>9.09</v>
      </c>
      <c r="T709" s="15" t="s">
        <v>112</v>
      </c>
      <c r="U709" s="17"/>
      <c r="V709" s="16" t="str">
        <f t="shared" si="41"/>
        <v>EN_SPV_17_c01_TJK</v>
      </c>
      <c r="W709" s="12">
        <f t="shared" si="42"/>
        <v>909</v>
      </c>
      <c r="X709" s="11">
        <f t="shared" si="43"/>
        <v>909</v>
      </c>
      <c r="Y709" s="17">
        <v>3</v>
      </c>
      <c r="Z709" s="17"/>
      <c r="AC709" s="19" t="s">
        <v>1738</v>
      </c>
    </row>
    <row r="710" spans="2:29">
      <c r="B710" s="19" t="s">
        <v>26</v>
      </c>
      <c r="C710" s="19" t="s">
        <v>1740</v>
      </c>
      <c r="D710" s="19" t="s">
        <v>1741</v>
      </c>
      <c r="E710" s="19" t="s">
        <v>29</v>
      </c>
      <c r="F710" s="19" t="s">
        <v>30</v>
      </c>
      <c r="G710" s="19" t="s">
        <v>31</v>
      </c>
      <c r="J710" s="19" t="s">
        <v>1740</v>
      </c>
      <c r="K710" s="19" t="s">
        <v>32</v>
      </c>
      <c r="L710" s="19" t="s">
        <v>1732</v>
      </c>
      <c r="M710" s="19">
        <v>88.9549921786477</v>
      </c>
      <c r="N710" s="19">
        <v>909</v>
      </c>
      <c r="O710" s="19">
        <v>0.168152844261383</v>
      </c>
      <c r="P710" s="19" t="s">
        <v>1733</v>
      </c>
      <c r="Q710" s="19">
        <v>13.4745</v>
      </c>
      <c r="R710">
        <f t="shared" ref="R710:R773" si="44">N710*0.01</f>
        <v>9.09</v>
      </c>
      <c r="T710" s="15" t="s">
        <v>112</v>
      </c>
      <c r="U710" s="17"/>
      <c r="V710" s="16" t="str">
        <f t="shared" ref="V710:V773" si="45">J710</f>
        <v>EN_SPV_17_c02_TJK</v>
      </c>
      <c r="W710" s="12">
        <f t="shared" ref="W710:W773" si="46">N710</f>
        <v>909</v>
      </c>
      <c r="X710" s="11">
        <f t="shared" ref="X710:X773" si="47">W710</f>
        <v>909</v>
      </c>
      <c r="Y710" s="17">
        <v>3</v>
      </c>
      <c r="Z710" s="17"/>
      <c r="AC710" s="19" t="s">
        <v>1740</v>
      </c>
    </row>
    <row r="711" spans="2:29">
      <c r="B711" s="19" t="s">
        <v>26</v>
      </c>
      <c r="C711" s="19" t="s">
        <v>1742</v>
      </c>
      <c r="D711" s="19" t="s">
        <v>1743</v>
      </c>
      <c r="E711" s="19" t="s">
        <v>29</v>
      </c>
      <c r="F711" s="19" t="s">
        <v>30</v>
      </c>
      <c r="G711" s="19" t="s">
        <v>31</v>
      </c>
      <c r="J711" s="19" t="s">
        <v>1742</v>
      </c>
      <c r="K711" s="19" t="s">
        <v>32</v>
      </c>
      <c r="L711" s="19" t="s">
        <v>1744</v>
      </c>
      <c r="M711" s="19">
        <v>101.208996203257</v>
      </c>
      <c r="N711" s="19">
        <v>909</v>
      </c>
      <c r="O711" s="19">
        <v>0.177606350564178</v>
      </c>
      <c r="P711" s="19" t="s">
        <v>1745</v>
      </c>
      <c r="Q711" s="19">
        <v>184.1175</v>
      </c>
      <c r="R711">
        <f t="shared" si="44"/>
        <v>9.09</v>
      </c>
      <c r="T711" s="15" t="s">
        <v>112</v>
      </c>
      <c r="U711" s="17"/>
      <c r="V711" s="16" t="str">
        <f t="shared" si="45"/>
        <v>EN_SPV_18_c03_TKM</v>
      </c>
      <c r="W711" s="12">
        <f t="shared" si="46"/>
        <v>909</v>
      </c>
      <c r="X711" s="11">
        <f t="shared" si="47"/>
        <v>909</v>
      </c>
      <c r="Y711" s="17">
        <v>3</v>
      </c>
      <c r="Z711" s="17"/>
      <c r="AC711" s="19" t="s">
        <v>1742</v>
      </c>
    </row>
    <row r="712" spans="2:29">
      <c r="B712" s="19" t="s">
        <v>26</v>
      </c>
      <c r="C712" s="19" t="s">
        <v>1746</v>
      </c>
      <c r="D712" s="19" t="s">
        <v>1747</v>
      </c>
      <c r="E712" s="19" t="s">
        <v>29</v>
      </c>
      <c r="F712" s="19" t="s">
        <v>30</v>
      </c>
      <c r="G712" s="19" t="s">
        <v>31</v>
      </c>
      <c r="J712" s="19" t="s">
        <v>1746</v>
      </c>
      <c r="K712" s="19" t="s">
        <v>32</v>
      </c>
      <c r="L712" s="19" t="s">
        <v>1744</v>
      </c>
      <c r="M712" s="19">
        <v>0</v>
      </c>
      <c r="N712" s="19">
        <v>909</v>
      </c>
      <c r="O712" s="19">
        <v>0.185</v>
      </c>
      <c r="P712" s="19" t="s">
        <v>1745</v>
      </c>
      <c r="Q712" s="19">
        <v>1.764</v>
      </c>
      <c r="R712">
        <f t="shared" si="44"/>
        <v>9.09</v>
      </c>
      <c r="T712" s="15" t="s">
        <v>112</v>
      </c>
      <c r="U712" s="17"/>
      <c r="V712" s="16" t="str">
        <f t="shared" si="45"/>
        <v>EN_SPV_19_c01_TKM</v>
      </c>
      <c r="W712" s="12">
        <f t="shared" si="46"/>
        <v>909</v>
      </c>
      <c r="X712" s="11">
        <f t="shared" si="47"/>
        <v>909</v>
      </c>
      <c r="Y712" s="17">
        <v>3</v>
      </c>
      <c r="Z712" s="17"/>
      <c r="AC712" s="19" t="s">
        <v>1746</v>
      </c>
    </row>
    <row r="713" spans="2:29">
      <c r="B713" s="19" t="s">
        <v>26</v>
      </c>
      <c r="C713" s="19" t="s">
        <v>1748</v>
      </c>
      <c r="D713" s="19" t="s">
        <v>1749</v>
      </c>
      <c r="E713" s="19" t="s">
        <v>29</v>
      </c>
      <c r="F713" s="19" t="s">
        <v>30</v>
      </c>
      <c r="G713" s="19" t="s">
        <v>31</v>
      </c>
      <c r="J713" s="19" t="s">
        <v>1748</v>
      </c>
      <c r="K713" s="19" t="s">
        <v>32</v>
      </c>
      <c r="L713" s="19" t="s">
        <v>1750</v>
      </c>
      <c r="M713" s="19">
        <v>88.9549921786477</v>
      </c>
      <c r="N713" s="19">
        <v>1391</v>
      </c>
      <c r="O713" s="19">
        <v>0.171</v>
      </c>
      <c r="P713" s="19" t="s">
        <v>1751</v>
      </c>
      <c r="Q713" s="19">
        <v>5.09325</v>
      </c>
      <c r="R713">
        <f t="shared" si="44"/>
        <v>13.91</v>
      </c>
      <c r="T713" s="15" t="s">
        <v>89</v>
      </c>
      <c r="U713" s="17"/>
      <c r="V713" s="16" t="str">
        <f t="shared" si="45"/>
        <v>EN_SPV_17_c02_TTO</v>
      </c>
      <c r="W713" s="12">
        <f t="shared" si="46"/>
        <v>1391</v>
      </c>
      <c r="X713" s="11">
        <f t="shared" si="47"/>
        <v>1391</v>
      </c>
      <c r="Y713" s="17">
        <v>3</v>
      </c>
      <c r="Z713" s="17"/>
      <c r="AC713" s="19" t="s">
        <v>1748</v>
      </c>
    </row>
    <row r="714" spans="2:29">
      <c r="B714" s="19" t="s">
        <v>26</v>
      </c>
      <c r="C714" s="19" t="s">
        <v>1752</v>
      </c>
      <c r="D714" s="19" t="s">
        <v>1753</v>
      </c>
      <c r="E714" s="19" t="s">
        <v>29</v>
      </c>
      <c r="F714" s="19" t="s">
        <v>30</v>
      </c>
      <c r="G714" s="19" t="s">
        <v>31</v>
      </c>
      <c r="J714" s="19" t="s">
        <v>1752</v>
      </c>
      <c r="K714" s="19" t="s">
        <v>32</v>
      </c>
      <c r="L714" s="19" t="s">
        <v>1754</v>
      </c>
      <c r="M714" s="19">
        <v>88.9549921786477</v>
      </c>
      <c r="N714" s="19">
        <v>1308</v>
      </c>
      <c r="O714" s="19">
        <v>0.200115188560584</v>
      </c>
      <c r="P714" s="19" t="s">
        <v>1755</v>
      </c>
      <c r="Q714" s="19">
        <v>67.9755</v>
      </c>
      <c r="R714">
        <f t="shared" si="44"/>
        <v>13.08</v>
      </c>
      <c r="T714" s="15" t="s">
        <v>80</v>
      </c>
      <c r="U714" s="17"/>
      <c r="V714" s="16" t="str">
        <f t="shared" si="45"/>
        <v>EN_SPV_20_c02_TUN</v>
      </c>
      <c r="W714" s="12">
        <f t="shared" si="46"/>
        <v>1308</v>
      </c>
      <c r="X714" s="11">
        <f t="shared" si="47"/>
        <v>1308</v>
      </c>
      <c r="Y714" s="17">
        <v>3</v>
      </c>
      <c r="Z714" s="17"/>
      <c r="AC714" s="19" t="s">
        <v>1752</v>
      </c>
    </row>
    <row r="715" spans="2:29">
      <c r="B715" s="19" t="s">
        <v>26</v>
      </c>
      <c r="C715" s="19" t="s">
        <v>1756</v>
      </c>
      <c r="D715" s="19" t="s">
        <v>1757</v>
      </c>
      <c r="E715" s="19" t="s">
        <v>29</v>
      </c>
      <c r="F715" s="19" t="s">
        <v>30</v>
      </c>
      <c r="G715" s="19" t="s">
        <v>31</v>
      </c>
      <c r="J715" s="19" t="s">
        <v>1756</v>
      </c>
      <c r="K715" s="19" t="s">
        <v>32</v>
      </c>
      <c r="L715" s="19" t="s">
        <v>1754</v>
      </c>
      <c r="M715" s="19">
        <v>101.208996203257</v>
      </c>
      <c r="N715" s="19">
        <v>1308</v>
      </c>
      <c r="O715" s="19">
        <v>0.201154587111241</v>
      </c>
      <c r="P715" s="19" t="s">
        <v>1755</v>
      </c>
      <c r="Q715" s="19">
        <v>38.46375</v>
      </c>
      <c r="R715">
        <f t="shared" si="44"/>
        <v>13.08</v>
      </c>
      <c r="T715" s="15" t="s">
        <v>80</v>
      </c>
      <c r="U715" s="17"/>
      <c r="V715" s="16" t="str">
        <f t="shared" si="45"/>
        <v>EN_SPV_20_c03_TUN</v>
      </c>
      <c r="W715" s="12">
        <f t="shared" si="46"/>
        <v>1308</v>
      </c>
      <c r="X715" s="11">
        <f t="shared" si="47"/>
        <v>1308</v>
      </c>
      <c r="Y715" s="17">
        <v>3</v>
      </c>
      <c r="Z715" s="17"/>
      <c r="AC715" s="19" t="s">
        <v>1756</v>
      </c>
    </row>
    <row r="716" spans="2:29">
      <c r="B716" s="19" t="s">
        <v>26</v>
      </c>
      <c r="C716" s="19" t="s">
        <v>1758</v>
      </c>
      <c r="D716" s="19" t="s">
        <v>1759</v>
      </c>
      <c r="E716" s="19" t="s">
        <v>29</v>
      </c>
      <c r="F716" s="19" t="s">
        <v>30</v>
      </c>
      <c r="G716" s="19" t="s">
        <v>31</v>
      </c>
      <c r="J716" s="19" t="s">
        <v>1758</v>
      </c>
      <c r="K716" s="19" t="s">
        <v>32</v>
      </c>
      <c r="L716" s="19" t="s">
        <v>1760</v>
      </c>
      <c r="M716" s="19">
        <v>88.9549921786477</v>
      </c>
      <c r="N716" s="19">
        <v>921</v>
      </c>
      <c r="O716" s="19">
        <v>0.142088677508438</v>
      </c>
      <c r="P716" s="19" t="s">
        <v>1761</v>
      </c>
      <c r="Q716" s="19">
        <v>2.44425</v>
      </c>
      <c r="R716">
        <f t="shared" si="44"/>
        <v>9.21</v>
      </c>
      <c r="T716" s="15" t="s">
        <v>80</v>
      </c>
      <c r="U716" s="17"/>
      <c r="V716" s="16" t="str">
        <f t="shared" si="45"/>
        <v>EN_SPV_14_c02_TUR</v>
      </c>
      <c r="W716" s="12">
        <f t="shared" si="46"/>
        <v>921</v>
      </c>
      <c r="X716" s="11">
        <f t="shared" si="47"/>
        <v>921</v>
      </c>
      <c r="Y716" s="17">
        <v>3</v>
      </c>
      <c r="Z716" s="17"/>
      <c r="AC716" s="19" t="s">
        <v>1758</v>
      </c>
    </row>
    <row r="717" spans="2:29">
      <c r="B717" s="19" t="s">
        <v>26</v>
      </c>
      <c r="C717" s="19" t="s">
        <v>1762</v>
      </c>
      <c r="D717" s="19" t="s">
        <v>1763</v>
      </c>
      <c r="E717" s="19" t="s">
        <v>29</v>
      </c>
      <c r="F717" s="19" t="s">
        <v>30</v>
      </c>
      <c r="G717" s="19" t="s">
        <v>31</v>
      </c>
      <c r="J717" s="19" t="s">
        <v>1762</v>
      </c>
      <c r="K717" s="19" t="s">
        <v>32</v>
      </c>
      <c r="L717" s="19" t="s">
        <v>1760</v>
      </c>
      <c r="M717" s="19">
        <v>0</v>
      </c>
      <c r="N717" s="19">
        <v>921</v>
      </c>
      <c r="O717" s="19">
        <v>0.150332947976879</v>
      </c>
      <c r="P717" s="19" t="s">
        <v>1761</v>
      </c>
      <c r="Q717" s="19">
        <v>0.64875</v>
      </c>
      <c r="R717">
        <f t="shared" si="44"/>
        <v>9.21</v>
      </c>
      <c r="T717" s="15" t="s">
        <v>80</v>
      </c>
      <c r="U717" s="17"/>
      <c r="V717" s="16" t="str">
        <f t="shared" si="45"/>
        <v>EN_SPV_15_c01_TUR</v>
      </c>
      <c r="W717" s="12">
        <f t="shared" si="46"/>
        <v>921</v>
      </c>
      <c r="X717" s="11">
        <f t="shared" si="47"/>
        <v>921</v>
      </c>
      <c r="Y717" s="17">
        <v>3</v>
      </c>
      <c r="Z717" s="17"/>
      <c r="AC717" s="19" t="s">
        <v>1762</v>
      </c>
    </row>
    <row r="718" spans="2:29">
      <c r="B718" s="19" t="s">
        <v>26</v>
      </c>
      <c r="C718" s="19" t="s">
        <v>1764</v>
      </c>
      <c r="D718" s="19" t="s">
        <v>1765</v>
      </c>
      <c r="E718" s="19" t="s">
        <v>29</v>
      </c>
      <c r="F718" s="19" t="s">
        <v>30</v>
      </c>
      <c r="G718" s="19" t="s">
        <v>31</v>
      </c>
      <c r="J718" s="19" t="s">
        <v>1764</v>
      </c>
      <c r="K718" s="19" t="s">
        <v>32</v>
      </c>
      <c r="L718" s="19" t="s">
        <v>1760</v>
      </c>
      <c r="M718" s="19">
        <v>88.9549921786477</v>
      </c>
      <c r="N718" s="19">
        <v>921</v>
      </c>
      <c r="O718" s="19">
        <v>0.151708058124174</v>
      </c>
      <c r="P718" s="19" t="s">
        <v>1761</v>
      </c>
      <c r="Q718" s="19">
        <v>8.51625</v>
      </c>
      <c r="R718">
        <f t="shared" si="44"/>
        <v>9.21</v>
      </c>
      <c r="T718" s="15" t="s">
        <v>80</v>
      </c>
      <c r="U718" s="17"/>
      <c r="V718" s="16" t="str">
        <f t="shared" si="45"/>
        <v>EN_SPV_15_c02_TUR</v>
      </c>
      <c r="W718" s="12">
        <f t="shared" si="46"/>
        <v>921</v>
      </c>
      <c r="X718" s="11">
        <f t="shared" si="47"/>
        <v>921</v>
      </c>
      <c r="Y718" s="17">
        <v>3</v>
      </c>
      <c r="Z718" s="17"/>
      <c r="AC718" s="19" t="s">
        <v>1764</v>
      </c>
    </row>
    <row r="719" spans="2:29">
      <c r="B719" s="19" t="s">
        <v>26</v>
      </c>
      <c r="C719" s="19" t="s">
        <v>1766</v>
      </c>
      <c r="D719" s="19" t="s">
        <v>1767</v>
      </c>
      <c r="E719" s="19" t="s">
        <v>29</v>
      </c>
      <c r="F719" s="19" t="s">
        <v>30</v>
      </c>
      <c r="G719" s="19" t="s">
        <v>31</v>
      </c>
      <c r="J719" s="19" t="s">
        <v>1766</v>
      </c>
      <c r="K719" s="19" t="s">
        <v>32</v>
      </c>
      <c r="L719" s="19" t="s">
        <v>1760</v>
      </c>
      <c r="M719" s="19">
        <v>0</v>
      </c>
      <c r="N719" s="19">
        <v>921</v>
      </c>
      <c r="O719" s="19">
        <v>0.159673576981503</v>
      </c>
      <c r="P719" s="19" t="s">
        <v>1761</v>
      </c>
      <c r="Q719" s="19">
        <v>8.39325</v>
      </c>
      <c r="R719">
        <f t="shared" si="44"/>
        <v>9.21</v>
      </c>
      <c r="T719" s="15" t="s">
        <v>80</v>
      </c>
      <c r="U719" s="17"/>
      <c r="V719" s="16" t="str">
        <f t="shared" si="45"/>
        <v>EN_SPV_16_c01_TUR</v>
      </c>
      <c r="W719" s="12">
        <f t="shared" si="46"/>
        <v>921</v>
      </c>
      <c r="X719" s="11">
        <f t="shared" si="47"/>
        <v>921</v>
      </c>
      <c r="Y719" s="17">
        <v>3</v>
      </c>
      <c r="Z719" s="17"/>
      <c r="AC719" s="19" t="s">
        <v>1766</v>
      </c>
    </row>
    <row r="720" spans="2:29">
      <c r="B720" s="19" t="s">
        <v>26</v>
      </c>
      <c r="C720" s="19" t="s">
        <v>1768</v>
      </c>
      <c r="D720" s="19" t="s">
        <v>1769</v>
      </c>
      <c r="E720" s="19" t="s">
        <v>29</v>
      </c>
      <c r="F720" s="19" t="s">
        <v>30</v>
      </c>
      <c r="G720" s="19" t="s">
        <v>31</v>
      </c>
      <c r="J720" s="19" t="s">
        <v>1768</v>
      </c>
      <c r="K720" s="19" t="s">
        <v>32</v>
      </c>
      <c r="L720" s="19" t="s">
        <v>1760</v>
      </c>
      <c r="M720" s="19">
        <v>88.9549921786477</v>
      </c>
      <c r="N720" s="19">
        <v>921</v>
      </c>
      <c r="O720" s="19">
        <v>0.160815610510046</v>
      </c>
      <c r="P720" s="19" t="s">
        <v>1761</v>
      </c>
      <c r="Q720" s="19">
        <v>4.8525</v>
      </c>
      <c r="R720">
        <f t="shared" si="44"/>
        <v>9.21</v>
      </c>
      <c r="T720" s="15" t="s">
        <v>80</v>
      </c>
      <c r="U720" s="17"/>
      <c r="V720" s="16" t="str">
        <f t="shared" si="45"/>
        <v>EN_SPV_16_c02_TUR</v>
      </c>
      <c r="W720" s="12">
        <f t="shared" si="46"/>
        <v>921</v>
      </c>
      <c r="X720" s="11">
        <f t="shared" si="47"/>
        <v>921</v>
      </c>
      <c r="Y720" s="17">
        <v>3</v>
      </c>
      <c r="Z720" s="17"/>
      <c r="AC720" s="19" t="s">
        <v>1768</v>
      </c>
    </row>
    <row r="721" spans="2:29">
      <c r="B721" s="19" t="s">
        <v>26</v>
      </c>
      <c r="C721" s="19" t="s">
        <v>1770</v>
      </c>
      <c r="D721" s="19" t="s">
        <v>1771</v>
      </c>
      <c r="E721" s="19" t="s">
        <v>29</v>
      </c>
      <c r="F721" s="19" t="s">
        <v>30</v>
      </c>
      <c r="G721" s="19" t="s">
        <v>31</v>
      </c>
      <c r="J721" s="19" t="s">
        <v>1770</v>
      </c>
      <c r="K721" s="19" t="s">
        <v>32</v>
      </c>
      <c r="L721" s="19" t="s">
        <v>1760</v>
      </c>
      <c r="M721" s="19">
        <v>0</v>
      </c>
      <c r="N721" s="19">
        <v>921</v>
      </c>
      <c r="O721" s="19">
        <v>0.169945053656248</v>
      </c>
      <c r="P721" s="19" t="s">
        <v>1761</v>
      </c>
      <c r="Q721" s="19">
        <v>38.36925</v>
      </c>
      <c r="R721">
        <f t="shared" si="44"/>
        <v>9.21</v>
      </c>
      <c r="T721" s="15" t="s">
        <v>80</v>
      </c>
      <c r="U721" s="17"/>
      <c r="V721" s="16" t="str">
        <f t="shared" si="45"/>
        <v>EN_SPV_17_c01_TUR</v>
      </c>
      <c r="W721" s="12">
        <f t="shared" si="46"/>
        <v>921</v>
      </c>
      <c r="X721" s="11">
        <f t="shared" si="47"/>
        <v>921</v>
      </c>
      <c r="Y721" s="17">
        <v>3</v>
      </c>
      <c r="Z721" s="17"/>
      <c r="AC721" s="19" t="s">
        <v>1770</v>
      </c>
    </row>
    <row r="722" spans="2:29">
      <c r="B722" s="19" t="s">
        <v>26</v>
      </c>
      <c r="C722" s="19" t="s">
        <v>1772</v>
      </c>
      <c r="D722" s="19" t="s">
        <v>1773</v>
      </c>
      <c r="E722" s="19" t="s">
        <v>29</v>
      </c>
      <c r="F722" s="19" t="s">
        <v>30</v>
      </c>
      <c r="G722" s="19" t="s">
        <v>31</v>
      </c>
      <c r="J722" s="19" t="s">
        <v>1772</v>
      </c>
      <c r="K722" s="19" t="s">
        <v>32</v>
      </c>
      <c r="L722" s="19" t="s">
        <v>1760</v>
      </c>
      <c r="M722" s="19">
        <v>88.9549921786477</v>
      </c>
      <c r="N722" s="19">
        <v>921</v>
      </c>
      <c r="O722" s="19">
        <v>0.169457907542579</v>
      </c>
      <c r="P722" s="19" t="s">
        <v>1761</v>
      </c>
      <c r="Q722" s="19">
        <v>1.54125</v>
      </c>
      <c r="R722">
        <f t="shared" si="44"/>
        <v>9.21</v>
      </c>
      <c r="T722" s="15" t="s">
        <v>80</v>
      </c>
      <c r="U722" s="17"/>
      <c r="V722" s="16" t="str">
        <f t="shared" si="45"/>
        <v>EN_SPV_17_c02_TUR</v>
      </c>
      <c r="W722" s="12">
        <f t="shared" si="46"/>
        <v>921</v>
      </c>
      <c r="X722" s="11">
        <f t="shared" si="47"/>
        <v>921</v>
      </c>
      <c r="Y722" s="17">
        <v>3</v>
      </c>
      <c r="Z722" s="17"/>
      <c r="AC722" s="19" t="s">
        <v>1772</v>
      </c>
    </row>
    <row r="723" spans="2:29">
      <c r="B723" s="19" t="s">
        <v>26</v>
      </c>
      <c r="C723" s="19" t="s">
        <v>1774</v>
      </c>
      <c r="D723" s="19" t="s">
        <v>1775</v>
      </c>
      <c r="E723" s="19" t="s">
        <v>29</v>
      </c>
      <c r="F723" s="19" t="s">
        <v>30</v>
      </c>
      <c r="G723" s="19" t="s">
        <v>31</v>
      </c>
      <c r="J723" s="19" t="s">
        <v>1774</v>
      </c>
      <c r="K723" s="19" t="s">
        <v>32</v>
      </c>
      <c r="L723" s="19" t="s">
        <v>1760</v>
      </c>
      <c r="M723" s="19">
        <v>0</v>
      </c>
      <c r="N723" s="19">
        <v>921</v>
      </c>
      <c r="O723" s="19">
        <v>0.180081705776174</v>
      </c>
      <c r="P723" s="19" t="s">
        <v>1761</v>
      </c>
      <c r="Q723" s="19">
        <v>83.1</v>
      </c>
      <c r="R723">
        <f t="shared" si="44"/>
        <v>9.21</v>
      </c>
      <c r="T723" s="15" t="s">
        <v>80</v>
      </c>
      <c r="U723" s="17"/>
      <c r="V723" s="16" t="str">
        <f t="shared" si="45"/>
        <v>EN_SPV_18_c01_TUR</v>
      </c>
      <c r="W723" s="12">
        <f t="shared" si="46"/>
        <v>921</v>
      </c>
      <c r="X723" s="11">
        <f t="shared" si="47"/>
        <v>921</v>
      </c>
      <c r="Y723" s="17">
        <v>3</v>
      </c>
      <c r="Z723" s="17"/>
      <c r="AC723" s="19" t="s">
        <v>1774</v>
      </c>
    </row>
    <row r="724" spans="2:29">
      <c r="B724" s="19" t="s">
        <v>26</v>
      </c>
      <c r="C724" s="19" t="s">
        <v>1776</v>
      </c>
      <c r="D724" s="19" t="s">
        <v>1777</v>
      </c>
      <c r="E724" s="19" t="s">
        <v>29</v>
      </c>
      <c r="F724" s="19" t="s">
        <v>30</v>
      </c>
      <c r="G724" s="19" t="s">
        <v>31</v>
      </c>
      <c r="J724" s="19" t="s">
        <v>1776</v>
      </c>
      <c r="K724" s="19" t="s">
        <v>32</v>
      </c>
      <c r="L724" s="19" t="s">
        <v>1760</v>
      </c>
      <c r="M724" s="19">
        <v>88.9549921786477</v>
      </c>
      <c r="N724" s="19">
        <v>921</v>
      </c>
      <c r="O724" s="19">
        <v>0.179</v>
      </c>
      <c r="P724" s="19" t="s">
        <v>1761</v>
      </c>
      <c r="Q724" s="19">
        <v>2.8545</v>
      </c>
      <c r="R724">
        <f t="shared" si="44"/>
        <v>9.21</v>
      </c>
      <c r="T724" s="15" t="s">
        <v>80</v>
      </c>
      <c r="U724" s="17"/>
      <c r="V724" s="16" t="str">
        <f t="shared" si="45"/>
        <v>EN_SPV_18_c02_TUR</v>
      </c>
      <c r="W724" s="12">
        <f t="shared" si="46"/>
        <v>921</v>
      </c>
      <c r="X724" s="11">
        <f t="shared" si="47"/>
        <v>921</v>
      </c>
      <c r="Y724" s="17">
        <v>3</v>
      </c>
      <c r="Z724" s="17"/>
      <c r="AC724" s="19" t="s">
        <v>1776</v>
      </c>
    </row>
    <row r="725" spans="2:29">
      <c r="B725" s="19" t="s">
        <v>26</v>
      </c>
      <c r="C725" s="19" t="s">
        <v>1778</v>
      </c>
      <c r="D725" s="19" t="s">
        <v>1779</v>
      </c>
      <c r="E725" s="19" t="s">
        <v>29</v>
      </c>
      <c r="F725" s="19" t="s">
        <v>30</v>
      </c>
      <c r="G725" s="19" t="s">
        <v>31</v>
      </c>
      <c r="J725" s="19" t="s">
        <v>1778</v>
      </c>
      <c r="K725" s="19" t="s">
        <v>32</v>
      </c>
      <c r="L725" s="19" t="s">
        <v>1760</v>
      </c>
      <c r="M725" s="19">
        <v>0</v>
      </c>
      <c r="N725" s="19">
        <v>921</v>
      </c>
      <c r="O725" s="19">
        <v>0.186110517333035</v>
      </c>
      <c r="P725" s="19" t="s">
        <v>1761</v>
      </c>
      <c r="Q725" s="19">
        <v>26.80575</v>
      </c>
      <c r="R725">
        <f t="shared" si="44"/>
        <v>9.21</v>
      </c>
      <c r="T725" s="15" t="s">
        <v>80</v>
      </c>
      <c r="U725" s="17"/>
      <c r="V725" s="16" t="str">
        <f t="shared" si="45"/>
        <v>EN_SPV_19_c01_TUR</v>
      </c>
      <c r="W725" s="12">
        <f t="shared" si="46"/>
        <v>921</v>
      </c>
      <c r="X725" s="11">
        <f t="shared" si="47"/>
        <v>921</v>
      </c>
      <c r="Y725" s="17">
        <v>3</v>
      </c>
      <c r="Z725" s="17"/>
      <c r="AC725" s="19" t="s">
        <v>1778</v>
      </c>
    </row>
    <row r="726" spans="2:29">
      <c r="B726" s="19" t="s">
        <v>26</v>
      </c>
      <c r="C726" s="19" t="s">
        <v>1780</v>
      </c>
      <c r="D726" s="19" t="s">
        <v>1781</v>
      </c>
      <c r="E726" s="19" t="s">
        <v>29</v>
      </c>
      <c r="F726" s="19" t="s">
        <v>30</v>
      </c>
      <c r="G726" s="19" t="s">
        <v>31</v>
      </c>
      <c r="J726" s="19" t="s">
        <v>1780</v>
      </c>
      <c r="K726" s="19" t="s">
        <v>32</v>
      </c>
      <c r="L726" s="19" t="s">
        <v>1782</v>
      </c>
      <c r="M726" s="19">
        <v>101.208996203257</v>
      </c>
      <c r="N726" s="19">
        <v>1420</v>
      </c>
      <c r="O726" s="19">
        <v>0.190964467501958</v>
      </c>
      <c r="P726" s="19" t="s">
        <v>1783</v>
      </c>
      <c r="Q726" s="19">
        <v>38.31</v>
      </c>
      <c r="R726">
        <f t="shared" si="44"/>
        <v>14.2</v>
      </c>
      <c r="T726" s="15" t="s">
        <v>54</v>
      </c>
      <c r="U726" s="17"/>
      <c r="V726" s="16" t="str">
        <f t="shared" si="45"/>
        <v>EN_SPV_19_c03_TZA</v>
      </c>
      <c r="W726" s="12">
        <f t="shared" si="46"/>
        <v>1420</v>
      </c>
      <c r="X726" s="11">
        <f t="shared" si="47"/>
        <v>1420</v>
      </c>
      <c r="Y726" s="17">
        <v>3</v>
      </c>
      <c r="Z726" s="17"/>
      <c r="AC726" s="19" t="s">
        <v>1780</v>
      </c>
    </row>
    <row r="727" spans="2:29">
      <c r="B727" s="19" t="s">
        <v>26</v>
      </c>
      <c r="C727" s="19" t="s">
        <v>1784</v>
      </c>
      <c r="D727" s="19" t="s">
        <v>1785</v>
      </c>
      <c r="E727" s="19" t="s">
        <v>29</v>
      </c>
      <c r="F727" s="19" t="s">
        <v>30</v>
      </c>
      <c r="G727" s="19" t="s">
        <v>31</v>
      </c>
      <c r="J727" s="19" t="s">
        <v>1784</v>
      </c>
      <c r="K727" s="19" t="s">
        <v>32</v>
      </c>
      <c r="L727" s="19" t="s">
        <v>1782</v>
      </c>
      <c r="M727" s="19">
        <v>0</v>
      </c>
      <c r="N727" s="19">
        <v>1420</v>
      </c>
      <c r="O727" s="19">
        <v>0.197082606858942</v>
      </c>
      <c r="P727" s="19" t="s">
        <v>1783</v>
      </c>
      <c r="Q727" s="19">
        <v>19.52925</v>
      </c>
      <c r="R727">
        <f t="shared" si="44"/>
        <v>14.2</v>
      </c>
      <c r="T727" s="15" t="s">
        <v>54</v>
      </c>
      <c r="U727" s="17"/>
      <c r="V727" s="16" t="str">
        <f t="shared" si="45"/>
        <v>EN_SPV_20_c01_TZA</v>
      </c>
      <c r="W727" s="12">
        <f t="shared" si="46"/>
        <v>1420</v>
      </c>
      <c r="X727" s="11">
        <f t="shared" si="47"/>
        <v>1420</v>
      </c>
      <c r="Y727" s="17">
        <v>3</v>
      </c>
      <c r="Z727" s="17"/>
      <c r="AC727" s="19" t="s">
        <v>1784</v>
      </c>
    </row>
    <row r="728" spans="2:29">
      <c r="B728" s="19" t="s">
        <v>26</v>
      </c>
      <c r="C728" s="19" t="s">
        <v>1786</v>
      </c>
      <c r="D728" s="19" t="s">
        <v>1787</v>
      </c>
      <c r="E728" s="19" t="s">
        <v>29</v>
      </c>
      <c r="F728" s="19" t="s">
        <v>30</v>
      </c>
      <c r="G728" s="19" t="s">
        <v>31</v>
      </c>
      <c r="J728" s="19" t="s">
        <v>1786</v>
      </c>
      <c r="K728" s="19" t="s">
        <v>32</v>
      </c>
      <c r="L728" s="19" t="s">
        <v>1782</v>
      </c>
      <c r="M728" s="19">
        <v>88.9549921786477</v>
      </c>
      <c r="N728" s="19">
        <v>1420</v>
      </c>
      <c r="O728" s="19">
        <v>0.199666260162602</v>
      </c>
      <c r="P728" s="19" t="s">
        <v>1783</v>
      </c>
      <c r="Q728" s="19">
        <v>3.69</v>
      </c>
      <c r="R728">
        <f t="shared" si="44"/>
        <v>14.2</v>
      </c>
      <c r="T728" s="15" t="s">
        <v>54</v>
      </c>
      <c r="U728" s="17"/>
      <c r="V728" s="16" t="str">
        <f t="shared" si="45"/>
        <v>EN_SPV_20_c02_TZA</v>
      </c>
      <c r="W728" s="12">
        <f t="shared" si="46"/>
        <v>1420</v>
      </c>
      <c r="X728" s="11">
        <f t="shared" si="47"/>
        <v>1420</v>
      </c>
      <c r="Y728" s="17">
        <v>3</v>
      </c>
      <c r="Z728" s="17"/>
      <c r="AC728" s="19" t="s">
        <v>1786</v>
      </c>
    </row>
    <row r="729" spans="2:29">
      <c r="B729" s="19" t="s">
        <v>26</v>
      </c>
      <c r="C729" s="19" t="s">
        <v>1788</v>
      </c>
      <c r="D729" s="19" t="s">
        <v>1789</v>
      </c>
      <c r="E729" s="19" t="s">
        <v>29</v>
      </c>
      <c r="F729" s="19" t="s">
        <v>30</v>
      </c>
      <c r="G729" s="19" t="s">
        <v>31</v>
      </c>
      <c r="J729" s="19" t="s">
        <v>1788</v>
      </c>
      <c r="K729" s="19" t="s">
        <v>32</v>
      </c>
      <c r="L729" s="19" t="s">
        <v>1790</v>
      </c>
      <c r="M729" s="19">
        <v>0</v>
      </c>
      <c r="N729" s="19">
        <v>1420</v>
      </c>
      <c r="O729" s="19">
        <v>0.187062818682439</v>
      </c>
      <c r="P729" s="19" t="s">
        <v>1791</v>
      </c>
      <c r="Q729" s="19">
        <v>29.418</v>
      </c>
      <c r="R729">
        <f t="shared" si="44"/>
        <v>14.2</v>
      </c>
      <c r="T729" s="15" t="s">
        <v>54</v>
      </c>
      <c r="U729" s="17"/>
      <c r="V729" s="16" t="str">
        <f t="shared" si="45"/>
        <v>EN_SPV_19_c01_UGA</v>
      </c>
      <c r="W729" s="12">
        <f t="shared" si="46"/>
        <v>1420</v>
      </c>
      <c r="X729" s="11">
        <f t="shared" si="47"/>
        <v>1420</v>
      </c>
      <c r="Y729" s="17">
        <v>3</v>
      </c>
      <c r="Z729" s="17"/>
      <c r="AC729" s="19" t="s">
        <v>1788</v>
      </c>
    </row>
    <row r="730" spans="2:29">
      <c r="B730" s="19" t="s">
        <v>26</v>
      </c>
      <c r="C730" s="19" t="s">
        <v>1792</v>
      </c>
      <c r="D730" s="19" t="s">
        <v>1793</v>
      </c>
      <c r="E730" s="19" t="s">
        <v>29</v>
      </c>
      <c r="F730" s="19" t="s">
        <v>30</v>
      </c>
      <c r="G730" s="19" t="s">
        <v>31</v>
      </c>
      <c r="J730" s="19" t="s">
        <v>1792</v>
      </c>
      <c r="K730" s="19" t="s">
        <v>32</v>
      </c>
      <c r="L730" s="19" t="s">
        <v>1790</v>
      </c>
      <c r="M730" s="19">
        <v>88.9549921786477</v>
      </c>
      <c r="N730" s="19">
        <v>1420</v>
      </c>
      <c r="O730" s="19">
        <v>0.187081980261063</v>
      </c>
      <c r="P730" s="19" t="s">
        <v>1791</v>
      </c>
      <c r="Q730" s="19">
        <v>9.423</v>
      </c>
      <c r="R730">
        <f t="shared" si="44"/>
        <v>14.2</v>
      </c>
      <c r="T730" s="15" t="s">
        <v>54</v>
      </c>
      <c r="U730" s="17"/>
      <c r="V730" s="16" t="str">
        <f t="shared" si="45"/>
        <v>EN_SPV_19_c02_UGA</v>
      </c>
      <c r="W730" s="12">
        <f t="shared" si="46"/>
        <v>1420</v>
      </c>
      <c r="X730" s="11">
        <f t="shared" si="47"/>
        <v>1420</v>
      </c>
      <c r="Y730" s="17">
        <v>3</v>
      </c>
      <c r="Z730" s="17"/>
      <c r="AC730" s="19" t="s">
        <v>1792</v>
      </c>
    </row>
    <row r="731" spans="2:29">
      <c r="B731" s="19" t="s">
        <v>26</v>
      </c>
      <c r="C731" s="19" t="s">
        <v>1794</v>
      </c>
      <c r="D731" s="19" t="s">
        <v>1795</v>
      </c>
      <c r="E731" s="19" t="s">
        <v>29</v>
      </c>
      <c r="F731" s="19" t="s">
        <v>30</v>
      </c>
      <c r="G731" s="19" t="s">
        <v>31</v>
      </c>
      <c r="J731" s="19" t="s">
        <v>1794</v>
      </c>
      <c r="K731" s="19" t="s">
        <v>32</v>
      </c>
      <c r="L731" s="19" t="s">
        <v>1790</v>
      </c>
      <c r="M731" s="19">
        <v>101.208996203257</v>
      </c>
      <c r="N731" s="19">
        <v>1420</v>
      </c>
      <c r="O731" s="19">
        <v>0.188463250168577</v>
      </c>
      <c r="P731" s="19" t="s">
        <v>1791</v>
      </c>
      <c r="Q731" s="19">
        <v>1.11225</v>
      </c>
      <c r="R731">
        <f t="shared" si="44"/>
        <v>14.2</v>
      </c>
      <c r="T731" s="15" t="s">
        <v>54</v>
      </c>
      <c r="U731" s="17"/>
      <c r="V731" s="16" t="str">
        <f t="shared" si="45"/>
        <v>EN_SPV_19_c03_UGA</v>
      </c>
      <c r="W731" s="12">
        <f t="shared" si="46"/>
        <v>1420</v>
      </c>
      <c r="X731" s="11">
        <f t="shared" si="47"/>
        <v>1420</v>
      </c>
      <c r="Y731" s="17">
        <v>3</v>
      </c>
      <c r="Z731" s="17"/>
      <c r="AC731" s="19" t="s">
        <v>1794</v>
      </c>
    </row>
    <row r="732" spans="2:29">
      <c r="B732" s="19" t="s">
        <v>26</v>
      </c>
      <c r="C732" s="19" t="s">
        <v>1796</v>
      </c>
      <c r="D732" s="19" t="s">
        <v>1797</v>
      </c>
      <c r="E732" s="19" t="s">
        <v>29</v>
      </c>
      <c r="F732" s="19" t="s">
        <v>30</v>
      </c>
      <c r="G732" s="19" t="s">
        <v>31</v>
      </c>
      <c r="J732" s="19" t="s">
        <v>1796</v>
      </c>
      <c r="K732" s="19" t="s">
        <v>32</v>
      </c>
      <c r="L732" s="19" t="s">
        <v>1798</v>
      </c>
      <c r="M732" s="19">
        <v>88.9549921786477</v>
      </c>
      <c r="N732" s="19">
        <v>874</v>
      </c>
      <c r="O732" s="19">
        <v>0.138804166996969</v>
      </c>
      <c r="P732" s="19" t="s">
        <v>1799</v>
      </c>
      <c r="Q732" s="19">
        <v>274.37025</v>
      </c>
      <c r="R732">
        <f t="shared" si="44"/>
        <v>8.74</v>
      </c>
      <c r="T732" s="15" t="s">
        <v>112</v>
      </c>
      <c r="U732" s="17"/>
      <c r="V732" s="16" t="str">
        <f t="shared" si="45"/>
        <v>EN_SPV_14_c02_UKR</v>
      </c>
      <c r="W732" s="12">
        <f t="shared" si="46"/>
        <v>874</v>
      </c>
      <c r="X732" s="11">
        <f t="shared" si="47"/>
        <v>874</v>
      </c>
      <c r="Y732" s="17">
        <v>3</v>
      </c>
      <c r="Z732" s="17"/>
      <c r="AC732" s="19" t="s">
        <v>1796</v>
      </c>
    </row>
    <row r="733" spans="2:29">
      <c r="B733" s="19" t="s">
        <v>26</v>
      </c>
      <c r="C733" s="19" t="s">
        <v>1800</v>
      </c>
      <c r="D733" s="19" t="s">
        <v>1801</v>
      </c>
      <c r="E733" s="19" t="s">
        <v>29</v>
      </c>
      <c r="F733" s="19" t="s">
        <v>30</v>
      </c>
      <c r="G733" s="19" t="s">
        <v>31</v>
      </c>
      <c r="J733" s="19" t="s">
        <v>1800</v>
      </c>
      <c r="K733" s="19" t="s">
        <v>32</v>
      </c>
      <c r="L733" s="19" t="s">
        <v>1798</v>
      </c>
      <c r="M733" s="19">
        <v>88.9549921786477</v>
      </c>
      <c r="N733" s="19">
        <v>874</v>
      </c>
      <c r="O733" s="19">
        <v>0.147623785208368</v>
      </c>
      <c r="P733" s="19" t="s">
        <v>1799</v>
      </c>
      <c r="Q733" s="19">
        <v>4.55325</v>
      </c>
      <c r="R733">
        <f t="shared" si="44"/>
        <v>8.74</v>
      </c>
      <c r="T733" s="15" t="s">
        <v>112</v>
      </c>
      <c r="U733" s="17"/>
      <c r="V733" s="16" t="str">
        <f t="shared" si="45"/>
        <v>EN_SPV_15_c02_UKR</v>
      </c>
      <c r="W733" s="12">
        <f t="shared" si="46"/>
        <v>874</v>
      </c>
      <c r="X733" s="11">
        <f t="shared" si="47"/>
        <v>874</v>
      </c>
      <c r="Y733" s="17">
        <v>3</v>
      </c>
      <c r="Z733" s="17"/>
      <c r="AC733" s="19" t="s">
        <v>1800</v>
      </c>
    </row>
    <row r="734" spans="2:29">
      <c r="B734" s="19" t="s">
        <v>26</v>
      </c>
      <c r="C734" s="19" t="s">
        <v>1802</v>
      </c>
      <c r="D734" s="19" t="s">
        <v>1803</v>
      </c>
      <c r="E734" s="19" t="s">
        <v>29</v>
      </c>
      <c r="F734" s="19" t="s">
        <v>30</v>
      </c>
      <c r="G734" s="19" t="s">
        <v>31</v>
      </c>
      <c r="J734" s="19" t="s">
        <v>1802</v>
      </c>
      <c r="K734" s="19" t="s">
        <v>32</v>
      </c>
      <c r="L734" s="19" t="s">
        <v>1804</v>
      </c>
      <c r="M734" s="19">
        <v>0</v>
      </c>
      <c r="N734" s="19">
        <v>1344</v>
      </c>
      <c r="O734" s="19">
        <v>0.170457980645631</v>
      </c>
      <c r="P734" s="19" t="s">
        <v>1805</v>
      </c>
      <c r="Q734" s="19">
        <v>61.8465</v>
      </c>
      <c r="R734">
        <f t="shared" si="44"/>
        <v>13.44</v>
      </c>
      <c r="T734" s="15" t="s">
        <v>89</v>
      </c>
      <c r="U734" s="17"/>
      <c r="V734" s="16" t="str">
        <f t="shared" si="45"/>
        <v>EN_SPV_17_c01_URY</v>
      </c>
      <c r="W734" s="12">
        <f t="shared" si="46"/>
        <v>1344</v>
      </c>
      <c r="X734" s="11">
        <f t="shared" si="47"/>
        <v>1344</v>
      </c>
      <c r="Y734" s="17">
        <v>3</v>
      </c>
      <c r="Z734" s="17"/>
      <c r="AC734" s="19" t="s">
        <v>1802</v>
      </c>
    </row>
    <row r="735" spans="2:29">
      <c r="B735" s="19" t="s">
        <v>26</v>
      </c>
      <c r="C735" s="19" t="s">
        <v>1806</v>
      </c>
      <c r="D735" s="19" t="s">
        <v>1807</v>
      </c>
      <c r="E735" s="19" t="s">
        <v>29</v>
      </c>
      <c r="F735" s="19" t="s">
        <v>30</v>
      </c>
      <c r="G735" s="19" t="s">
        <v>31</v>
      </c>
      <c r="J735" s="19" t="s">
        <v>1806</v>
      </c>
      <c r="K735" s="19" t="s">
        <v>32</v>
      </c>
      <c r="L735" s="19" t="s">
        <v>1808</v>
      </c>
      <c r="M735" s="19">
        <v>88.9549921786477</v>
      </c>
      <c r="N735" s="19">
        <v>1221</v>
      </c>
      <c r="O735" s="19">
        <v>0.141761992654441</v>
      </c>
      <c r="P735" s="19" t="s">
        <v>119</v>
      </c>
      <c r="Q735" s="19">
        <v>360.83025</v>
      </c>
      <c r="R735">
        <f t="shared" si="44"/>
        <v>12.21</v>
      </c>
      <c r="T735" s="15" t="s">
        <v>119</v>
      </c>
      <c r="U735" s="17"/>
      <c r="V735" s="16" t="str">
        <f t="shared" si="45"/>
        <v>EN_SPV_14_c02_USA</v>
      </c>
      <c r="W735" s="12">
        <f t="shared" si="46"/>
        <v>1221</v>
      </c>
      <c r="X735" s="11">
        <f t="shared" si="47"/>
        <v>1221</v>
      </c>
      <c r="Y735" s="17">
        <v>3</v>
      </c>
      <c r="Z735" s="17"/>
      <c r="AC735" s="19" t="s">
        <v>1806</v>
      </c>
    </row>
    <row r="736" spans="2:29">
      <c r="B736" s="19" t="s">
        <v>26</v>
      </c>
      <c r="C736" s="19" t="s">
        <v>1809</v>
      </c>
      <c r="D736" s="19" t="s">
        <v>1810</v>
      </c>
      <c r="E736" s="19" t="s">
        <v>29</v>
      </c>
      <c r="F736" s="19" t="s">
        <v>30</v>
      </c>
      <c r="G736" s="19" t="s">
        <v>31</v>
      </c>
      <c r="J736" s="19" t="s">
        <v>1809</v>
      </c>
      <c r="K736" s="19" t="s">
        <v>32</v>
      </c>
      <c r="L736" s="19" t="s">
        <v>1808</v>
      </c>
      <c r="M736" s="19">
        <v>101.208996203257</v>
      </c>
      <c r="N736" s="19">
        <v>1221</v>
      </c>
      <c r="O736" s="19">
        <v>0.141008103433623</v>
      </c>
      <c r="P736" s="19" t="s">
        <v>119</v>
      </c>
      <c r="Q736" s="19">
        <v>326.52825</v>
      </c>
      <c r="R736">
        <f t="shared" si="44"/>
        <v>12.21</v>
      </c>
      <c r="T736" s="15" t="s">
        <v>119</v>
      </c>
      <c r="U736" s="17"/>
      <c r="V736" s="16" t="str">
        <f t="shared" si="45"/>
        <v>EN_SPV_14_c03_USA</v>
      </c>
      <c r="W736" s="12">
        <f t="shared" si="46"/>
        <v>1221</v>
      </c>
      <c r="X736" s="11">
        <f t="shared" si="47"/>
        <v>1221</v>
      </c>
      <c r="Y736" s="17">
        <v>3</v>
      </c>
      <c r="Z736" s="17"/>
      <c r="AC736" s="19" t="s">
        <v>1809</v>
      </c>
    </row>
    <row r="737" spans="2:29">
      <c r="B737" s="19" t="s">
        <v>26</v>
      </c>
      <c r="C737" s="19" t="s">
        <v>1811</v>
      </c>
      <c r="D737" s="19" t="s">
        <v>1812</v>
      </c>
      <c r="E737" s="19" t="s">
        <v>29</v>
      </c>
      <c r="F737" s="19" t="s">
        <v>30</v>
      </c>
      <c r="G737" s="19" t="s">
        <v>31</v>
      </c>
      <c r="J737" s="19" t="s">
        <v>1811</v>
      </c>
      <c r="K737" s="19" t="s">
        <v>32</v>
      </c>
      <c r="L737" s="19" t="s">
        <v>1808</v>
      </c>
      <c r="M737" s="19">
        <v>0</v>
      </c>
      <c r="N737" s="19">
        <v>1221</v>
      </c>
      <c r="O737" s="19">
        <v>0.152731523086458</v>
      </c>
      <c r="P737" s="19" t="s">
        <v>119</v>
      </c>
      <c r="Q737" s="19">
        <v>58.086</v>
      </c>
      <c r="R737">
        <f t="shared" si="44"/>
        <v>12.21</v>
      </c>
      <c r="T737" s="15" t="s">
        <v>119</v>
      </c>
      <c r="U737" s="17"/>
      <c r="V737" s="16" t="str">
        <f t="shared" si="45"/>
        <v>EN_SPV_15_c01_USA</v>
      </c>
      <c r="W737" s="12">
        <f t="shared" si="46"/>
        <v>1221</v>
      </c>
      <c r="X737" s="11">
        <f t="shared" si="47"/>
        <v>1221</v>
      </c>
      <c r="Y737" s="17">
        <v>3</v>
      </c>
      <c r="Z737" s="17"/>
      <c r="AC737" s="19" t="s">
        <v>1811</v>
      </c>
    </row>
    <row r="738" spans="2:29">
      <c r="B738" s="19" t="s">
        <v>26</v>
      </c>
      <c r="C738" s="19" t="s">
        <v>1813</v>
      </c>
      <c r="D738" s="19" t="s">
        <v>1814</v>
      </c>
      <c r="E738" s="19" t="s">
        <v>29</v>
      </c>
      <c r="F738" s="19" t="s">
        <v>30</v>
      </c>
      <c r="G738" s="19" t="s">
        <v>31</v>
      </c>
      <c r="J738" s="19" t="s">
        <v>1813</v>
      </c>
      <c r="K738" s="19" t="s">
        <v>32</v>
      </c>
      <c r="L738" s="19" t="s">
        <v>1808</v>
      </c>
      <c r="M738" s="19">
        <v>88.9549921786477</v>
      </c>
      <c r="N738" s="19">
        <v>1221</v>
      </c>
      <c r="O738" s="19">
        <v>0.15032312075221</v>
      </c>
      <c r="P738" s="19" t="s">
        <v>119</v>
      </c>
      <c r="Q738" s="19">
        <v>587.07</v>
      </c>
      <c r="R738">
        <f t="shared" si="44"/>
        <v>12.21</v>
      </c>
      <c r="T738" s="15" t="s">
        <v>119</v>
      </c>
      <c r="U738" s="17"/>
      <c r="V738" s="16" t="str">
        <f t="shared" si="45"/>
        <v>EN_SPV_15_c02_USA</v>
      </c>
      <c r="W738" s="12">
        <f t="shared" si="46"/>
        <v>1221</v>
      </c>
      <c r="X738" s="11">
        <f t="shared" si="47"/>
        <v>1221</v>
      </c>
      <c r="Y738" s="17">
        <v>3</v>
      </c>
      <c r="Z738" s="17"/>
      <c r="AC738" s="19" t="s">
        <v>1813</v>
      </c>
    </row>
    <row r="739" spans="2:29">
      <c r="B739" s="19" t="s">
        <v>26</v>
      </c>
      <c r="C739" s="19" t="s">
        <v>1815</v>
      </c>
      <c r="D739" s="19" t="s">
        <v>1816</v>
      </c>
      <c r="E739" s="19" t="s">
        <v>29</v>
      </c>
      <c r="F739" s="19" t="s">
        <v>30</v>
      </c>
      <c r="G739" s="19" t="s">
        <v>31</v>
      </c>
      <c r="J739" s="19" t="s">
        <v>1815</v>
      </c>
      <c r="K739" s="19" t="s">
        <v>32</v>
      </c>
      <c r="L739" s="19" t="s">
        <v>1808</v>
      </c>
      <c r="M739" s="19">
        <v>101.208996203257</v>
      </c>
      <c r="N739" s="19">
        <v>1221</v>
      </c>
      <c r="O739" s="19">
        <v>0.148251208098425</v>
      </c>
      <c r="P739" s="19" t="s">
        <v>119</v>
      </c>
      <c r="Q739" s="19">
        <v>108.021</v>
      </c>
      <c r="R739">
        <f t="shared" si="44"/>
        <v>12.21</v>
      </c>
      <c r="T739" s="15" t="s">
        <v>119</v>
      </c>
      <c r="U739" s="17"/>
      <c r="V739" s="16" t="str">
        <f t="shared" si="45"/>
        <v>EN_SPV_15_c03_USA</v>
      </c>
      <c r="W739" s="12">
        <f t="shared" si="46"/>
        <v>1221</v>
      </c>
      <c r="X739" s="11">
        <f t="shared" si="47"/>
        <v>1221</v>
      </c>
      <c r="Y739" s="17">
        <v>3</v>
      </c>
      <c r="Z739" s="17"/>
      <c r="AC739" s="19" t="s">
        <v>1815</v>
      </c>
    </row>
    <row r="740" spans="2:29">
      <c r="B740" s="19" t="s">
        <v>26</v>
      </c>
      <c r="C740" s="19" t="s">
        <v>1817</v>
      </c>
      <c r="D740" s="19" t="s">
        <v>1818</v>
      </c>
      <c r="E740" s="19" t="s">
        <v>29</v>
      </c>
      <c r="F740" s="19" t="s">
        <v>30</v>
      </c>
      <c r="G740" s="19" t="s">
        <v>31</v>
      </c>
      <c r="J740" s="19" t="s">
        <v>1817</v>
      </c>
      <c r="K740" s="19" t="s">
        <v>32</v>
      </c>
      <c r="L740" s="19" t="s">
        <v>1808</v>
      </c>
      <c r="M740" s="19">
        <v>138.878712278909</v>
      </c>
      <c r="N740" s="19">
        <v>1221</v>
      </c>
      <c r="O740" s="19">
        <v>0.14625249608307</v>
      </c>
      <c r="P740" s="19" t="s">
        <v>119</v>
      </c>
      <c r="Q740" s="19">
        <v>24.41325</v>
      </c>
      <c r="R740">
        <f t="shared" si="44"/>
        <v>12.21</v>
      </c>
      <c r="T740" s="15" t="s">
        <v>119</v>
      </c>
      <c r="U740" s="17"/>
      <c r="V740" s="16" t="str">
        <f t="shared" si="45"/>
        <v>EN_SPV_15_c04_USA</v>
      </c>
      <c r="W740" s="12">
        <f t="shared" si="46"/>
        <v>1221</v>
      </c>
      <c r="X740" s="11">
        <f t="shared" si="47"/>
        <v>1221</v>
      </c>
      <c r="Y740" s="17">
        <v>3</v>
      </c>
      <c r="Z740" s="17"/>
      <c r="AC740" s="19" t="s">
        <v>1817</v>
      </c>
    </row>
    <row r="741" spans="2:29">
      <c r="B741" s="19" t="s">
        <v>26</v>
      </c>
      <c r="C741" s="19" t="s">
        <v>1819</v>
      </c>
      <c r="D741" s="19" t="s">
        <v>1820</v>
      </c>
      <c r="E741" s="19" t="s">
        <v>29</v>
      </c>
      <c r="F741" s="19" t="s">
        <v>30</v>
      </c>
      <c r="G741" s="19" t="s">
        <v>31</v>
      </c>
      <c r="J741" s="19" t="s">
        <v>1819</v>
      </c>
      <c r="K741" s="19" t="s">
        <v>32</v>
      </c>
      <c r="L741" s="19" t="s">
        <v>1808</v>
      </c>
      <c r="M741" s="19">
        <v>0</v>
      </c>
      <c r="N741" s="19">
        <v>1221</v>
      </c>
      <c r="O741" s="19">
        <v>0.160908293044677</v>
      </c>
      <c r="P741" s="19" t="s">
        <v>119</v>
      </c>
      <c r="Q741" s="19">
        <v>471.2865</v>
      </c>
      <c r="R741">
        <f t="shared" si="44"/>
        <v>12.21</v>
      </c>
      <c r="T741" s="15" t="s">
        <v>119</v>
      </c>
      <c r="U741" s="17"/>
      <c r="V741" s="16" t="str">
        <f t="shared" si="45"/>
        <v>EN_SPV_16_c01_USA</v>
      </c>
      <c r="W741" s="12">
        <f t="shared" si="46"/>
        <v>1221</v>
      </c>
      <c r="X741" s="11">
        <f t="shared" si="47"/>
        <v>1221</v>
      </c>
      <c r="Y741" s="17">
        <v>3</v>
      </c>
      <c r="Z741" s="17"/>
      <c r="AC741" s="19" t="s">
        <v>1819</v>
      </c>
    </row>
    <row r="742" spans="2:29">
      <c r="B742" s="19" t="s">
        <v>26</v>
      </c>
      <c r="C742" s="19" t="s">
        <v>1821</v>
      </c>
      <c r="D742" s="19" t="s">
        <v>1822</v>
      </c>
      <c r="E742" s="19" t="s">
        <v>29</v>
      </c>
      <c r="F742" s="19" t="s">
        <v>30</v>
      </c>
      <c r="G742" s="19" t="s">
        <v>31</v>
      </c>
      <c r="J742" s="19" t="s">
        <v>1821</v>
      </c>
      <c r="K742" s="19" t="s">
        <v>32</v>
      </c>
      <c r="L742" s="19" t="s">
        <v>1808</v>
      </c>
      <c r="M742" s="19">
        <v>88.9549921786477</v>
      </c>
      <c r="N742" s="19">
        <v>1221</v>
      </c>
      <c r="O742" s="19">
        <v>0.160807849593516</v>
      </c>
      <c r="P742" s="19" t="s">
        <v>119</v>
      </c>
      <c r="Q742" s="19">
        <v>609.987</v>
      </c>
      <c r="R742">
        <f t="shared" si="44"/>
        <v>12.21</v>
      </c>
      <c r="T742" s="15" t="s">
        <v>119</v>
      </c>
      <c r="U742" s="17"/>
      <c r="V742" s="16" t="str">
        <f t="shared" si="45"/>
        <v>EN_SPV_16_c02_USA</v>
      </c>
      <c r="W742" s="12">
        <f t="shared" si="46"/>
        <v>1221</v>
      </c>
      <c r="X742" s="11">
        <f t="shared" si="47"/>
        <v>1221</v>
      </c>
      <c r="Y742" s="17">
        <v>3</v>
      </c>
      <c r="Z742" s="17"/>
      <c r="AC742" s="19" t="s">
        <v>1821</v>
      </c>
    </row>
    <row r="743" spans="2:29">
      <c r="B743" s="19" t="s">
        <v>26</v>
      </c>
      <c r="C743" s="19" t="s">
        <v>1823</v>
      </c>
      <c r="D743" s="19" t="s">
        <v>1824</v>
      </c>
      <c r="E743" s="19" t="s">
        <v>29</v>
      </c>
      <c r="F743" s="19" t="s">
        <v>30</v>
      </c>
      <c r="G743" s="19" t="s">
        <v>31</v>
      </c>
      <c r="J743" s="19" t="s">
        <v>1823</v>
      </c>
      <c r="K743" s="19" t="s">
        <v>32</v>
      </c>
      <c r="L743" s="19" t="s">
        <v>1808</v>
      </c>
      <c r="M743" s="19">
        <v>101.208996203257</v>
      </c>
      <c r="N743" s="19">
        <v>1221</v>
      </c>
      <c r="O743" s="19">
        <v>0.163233894639271</v>
      </c>
      <c r="P743" s="19" t="s">
        <v>119</v>
      </c>
      <c r="Q743" s="19">
        <v>14.56425</v>
      </c>
      <c r="R743">
        <f t="shared" si="44"/>
        <v>12.21</v>
      </c>
      <c r="T743" s="15" t="s">
        <v>119</v>
      </c>
      <c r="U743" s="17"/>
      <c r="V743" s="16" t="str">
        <f t="shared" si="45"/>
        <v>EN_SPV_16_c03_USA</v>
      </c>
      <c r="W743" s="12">
        <f t="shared" si="46"/>
        <v>1221</v>
      </c>
      <c r="X743" s="11">
        <f t="shared" si="47"/>
        <v>1221</v>
      </c>
      <c r="Y743" s="17">
        <v>3</v>
      </c>
      <c r="Z743" s="17"/>
      <c r="AC743" s="19" t="s">
        <v>1823</v>
      </c>
    </row>
    <row r="744" spans="2:29">
      <c r="B744" s="19" t="s">
        <v>26</v>
      </c>
      <c r="C744" s="19" t="s">
        <v>1825</v>
      </c>
      <c r="D744" s="19" t="s">
        <v>1826</v>
      </c>
      <c r="E744" s="19" t="s">
        <v>29</v>
      </c>
      <c r="F744" s="19" t="s">
        <v>30</v>
      </c>
      <c r="G744" s="19" t="s">
        <v>31</v>
      </c>
      <c r="J744" s="19" t="s">
        <v>1825</v>
      </c>
      <c r="K744" s="19" t="s">
        <v>32</v>
      </c>
      <c r="L744" s="19" t="s">
        <v>1808</v>
      </c>
      <c r="M744" s="19">
        <v>138.878712278909</v>
      </c>
      <c r="N744" s="19">
        <v>1221</v>
      </c>
      <c r="O744" s="19">
        <v>0.162926878034847</v>
      </c>
      <c r="P744" s="19" t="s">
        <v>119</v>
      </c>
      <c r="Q744" s="19">
        <v>2.62575</v>
      </c>
      <c r="R744">
        <f t="shared" si="44"/>
        <v>12.21</v>
      </c>
      <c r="T744" s="15" t="s">
        <v>119</v>
      </c>
      <c r="U744" s="17"/>
      <c r="V744" s="16" t="str">
        <f t="shared" si="45"/>
        <v>EN_SPV_16_c04_USA</v>
      </c>
      <c r="W744" s="12">
        <f t="shared" si="46"/>
        <v>1221</v>
      </c>
      <c r="X744" s="11">
        <f t="shared" si="47"/>
        <v>1221</v>
      </c>
      <c r="Y744" s="17">
        <v>3</v>
      </c>
      <c r="Z744" s="17"/>
      <c r="AC744" s="19" t="s">
        <v>1825</v>
      </c>
    </row>
    <row r="745" spans="2:29">
      <c r="B745" s="19" t="s">
        <v>26</v>
      </c>
      <c r="C745" s="19" t="s">
        <v>1827</v>
      </c>
      <c r="D745" s="19" t="s">
        <v>1828</v>
      </c>
      <c r="E745" s="19" t="s">
        <v>29</v>
      </c>
      <c r="F745" s="19" t="s">
        <v>30</v>
      </c>
      <c r="G745" s="19" t="s">
        <v>31</v>
      </c>
      <c r="J745" s="19" t="s">
        <v>1827</v>
      </c>
      <c r="K745" s="19" t="s">
        <v>32</v>
      </c>
      <c r="L745" s="19" t="s">
        <v>1808</v>
      </c>
      <c r="M745" s="19">
        <v>0</v>
      </c>
      <c r="N745" s="19">
        <v>1221</v>
      </c>
      <c r="O745" s="19">
        <v>0.168826527003374</v>
      </c>
      <c r="P745" s="19" t="s">
        <v>119</v>
      </c>
      <c r="Q745" s="19">
        <v>831.285</v>
      </c>
      <c r="R745">
        <f t="shared" si="44"/>
        <v>12.21</v>
      </c>
      <c r="T745" s="15" t="s">
        <v>119</v>
      </c>
      <c r="U745" s="17"/>
      <c r="V745" s="16" t="str">
        <f t="shared" si="45"/>
        <v>EN_SPV_17_c01_USA</v>
      </c>
      <c r="W745" s="12">
        <f t="shared" si="46"/>
        <v>1221</v>
      </c>
      <c r="X745" s="11">
        <f t="shared" si="47"/>
        <v>1221</v>
      </c>
      <c r="Y745" s="17">
        <v>3</v>
      </c>
      <c r="Z745" s="17"/>
      <c r="AC745" s="19" t="s">
        <v>1827</v>
      </c>
    </row>
    <row r="746" spans="2:29">
      <c r="B746" s="19" t="s">
        <v>26</v>
      </c>
      <c r="C746" s="19" t="s">
        <v>1829</v>
      </c>
      <c r="D746" s="19" t="s">
        <v>1830</v>
      </c>
      <c r="E746" s="19" t="s">
        <v>29</v>
      </c>
      <c r="F746" s="19" t="s">
        <v>30</v>
      </c>
      <c r="G746" s="19" t="s">
        <v>31</v>
      </c>
      <c r="J746" s="19" t="s">
        <v>1829</v>
      </c>
      <c r="K746" s="19" t="s">
        <v>32</v>
      </c>
      <c r="L746" s="19" t="s">
        <v>1808</v>
      </c>
      <c r="M746" s="19">
        <v>88.9549921786477</v>
      </c>
      <c r="N746" s="19">
        <v>1221</v>
      </c>
      <c r="O746" s="19">
        <v>0.168353141567347</v>
      </c>
      <c r="P746" s="19" t="s">
        <v>119</v>
      </c>
      <c r="Q746" s="19">
        <v>931.7085</v>
      </c>
      <c r="R746">
        <f t="shared" si="44"/>
        <v>12.21</v>
      </c>
      <c r="T746" s="15" t="s">
        <v>119</v>
      </c>
      <c r="U746" s="17"/>
      <c r="V746" s="16" t="str">
        <f t="shared" si="45"/>
        <v>EN_SPV_17_c02_USA</v>
      </c>
      <c r="W746" s="12">
        <f t="shared" si="46"/>
        <v>1221</v>
      </c>
      <c r="X746" s="11">
        <f t="shared" si="47"/>
        <v>1221</v>
      </c>
      <c r="Y746" s="17">
        <v>3</v>
      </c>
      <c r="Z746" s="17"/>
      <c r="AC746" s="19" t="s">
        <v>1829</v>
      </c>
    </row>
    <row r="747" spans="2:29">
      <c r="B747" s="19" t="s">
        <v>26</v>
      </c>
      <c r="C747" s="19" t="s">
        <v>1831</v>
      </c>
      <c r="D747" s="19" t="s">
        <v>1832</v>
      </c>
      <c r="E747" s="19" t="s">
        <v>29</v>
      </c>
      <c r="F747" s="19" t="s">
        <v>30</v>
      </c>
      <c r="G747" s="19" t="s">
        <v>31</v>
      </c>
      <c r="J747" s="19" t="s">
        <v>1831</v>
      </c>
      <c r="K747" s="19" t="s">
        <v>32</v>
      </c>
      <c r="L747" s="19" t="s">
        <v>1808</v>
      </c>
      <c r="M747" s="19">
        <v>101.208996203257</v>
      </c>
      <c r="N747" s="19">
        <v>1221</v>
      </c>
      <c r="O747" s="19">
        <v>0.167990182091866</v>
      </c>
      <c r="P747" s="19" t="s">
        <v>119</v>
      </c>
      <c r="Q747" s="19">
        <v>133.5315</v>
      </c>
      <c r="R747">
        <f t="shared" si="44"/>
        <v>12.21</v>
      </c>
      <c r="T747" s="15" t="s">
        <v>119</v>
      </c>
      <c r="U747" s="17"/>
      <c r="V747" s="16" t="str">
        <f t="shared" si="45"/>
        <v>EN_SPV_17_c03_USA</v>
      </c>
      <c r="W747" s="12">
        <f t="shared" si="46"/>
        <v>1221</v>
      </c>
      <c r="X747" s="11">
        <f t="shared" si="47"/>
        <v>1221</v>
      </c>
      <c r="Y747" s="17">
        <v>3</v>
      </c>
      <c r="Z747" s="17"/>
      <c r="AC747" s="19" t="s">
        <v>1831</v>
      </c>
    </row>
    <row r="748" spans="2:29">
      <c r="B748" s="19" t="s">
        <v>26</v>
      </c>
      <c r="C748" s="19" t="s">
        <v>1833</v>
      </c>
      <c r="D748" s="19" t="s">
        <v>1834</v>
      </c>
      <c r="E748" s="19" t="s">
        <v>29</v>
      </c>
      <c r="F748" s="19" t="s">
        <v>30</v>
      </c>
      <c r="G748" s="19" t="s">
        <v>31</v>
      </c>
      <c r="J748" s="19" t="s">
        <v>1833</v>
      </c>
      <c r="K748" s="19" t="s">
        <v>32</v>
      </c>
      <c r="L748" s="19" t="s">
        <v>1808</v>
      </c>
      <c r="M748" s="19">
        <v>138.878712278909</v>
      </c>
      <c r="N748" s="19">
        <v>1221</v>
      </c>
      <c r="O748" s="19">
        <v>0.168</v>
      </c>
      <c r="P748" s="19" t="s">
        <v>119</v>
      </c>
      <c r="Q748" s="19">
        <v>1.44075</v>
      </c>
      <c r="R748">
        <f t="shared" si="44"/>
        <v>12.21</v>
      </c>
      <c r="T748" s="15" t="s">
        <v>119</v>
      </c>
      <c r="U748" s="17"/>
      <c r="V748" s="16" t="str">
        <f t="shared" si="45"/>
        <v>EN_SPV_17_c04_USA</v>
      </c>
      <c r="W748" s="12">
        <f t="shared" si="46"/>
        <v>1221</v>
      </c>
      <c r="X748" s="11">
        <f t="shared" si="47"/>
        <v>1221</v>
      </c>
      <c r="Y748" s="17">
        <v>3</v>
      </c>
      <c r="Z748" s="17"/>
      <c r="AC748" s="19" t="s">
        <v>1833</v>
      </c>
    </row>
    <row r="749" spans="2:29">
      <c r="B749" s="19" t="s">
        <v>26</v>
      </c>
      <c r="C749" s="19" t="s">
        <v>1835</v>
      </c>
      <c r="D749" s="19" t="s">
        <v>1836</v>
      </c>
      <c r="E749" s="19" t="s">
        <v>29</v>
      </c>
      <c r="F749" s="19" t="s">
        <v>30</v>
      </c>
      <c r="G749" s="19" t="s">
        <v>31</v>
      </c>
      <c r="J749" s="19" t="s">
        <v>1835</v>
      </c>
      <c r="K749" s="19" t="s">
        <v>32</v>
      </c>
      <c r="L749" s="19" t="s">
        <v>1808</v>
      </c>
      <c r="M749" s="19">
        <v>0</v>
      </c>
      <c r="N749" s="19">
        <v>1221</v>
      </c>
      <c r="O749" s="19">
        <v>0.179336598599139</v>
      </c>
      <c r="P749" s="19" t="s">
        <v>119</v>
      </c>
      <c r="Q749" s="19">
        <v>572.0055</v>
      </c>
      <c r="R749">
        <f t="shared" si="44"/>
        <v>12.21</v>
      </c>
      <c r="T749" s="15" t="s">
        <v>119</v>
      </c>
      <c r="U749" s="17"/>
      <c r="V749" s="16" t="str">
        <f t="shared" si="45"/>
        <v>EN_SPV_18_c01_USA</v>
      </c>
      <c r="W749" s="12">
        <f t="shared" si="46"/>
        <v>1221</v>
      </c>
      <c r="X749" s="11">
        <f t="shared" si="47"/>
        <v>1221</v>
      </c>
      <c r="Y749" s="17">
        <v>3</v>
      </c>
      <c r="Z749" s="17"/>
      <c r="AC749" s="19" t="s">
        <v>1835</v>
      </c>
    </row>
    <row r="750" spans="2:29">
      <c r="B750" s="19" t="s">
        <v>26</v>
      </c>
      <c r="C750" s="19" t="s">
        <v>1837</v>
      </c>
      <c r="D750" s="19" t="s">
        <v>1838</v>
      </c>
      <c r="E750" s="19" t="s">
        <v>29</v>
      </c>
      <c r="F750" s="19" t="s">
        <v>30</v>
      </c>
      <c r="G750" s="19" t="s">
        <v>31</v>
      </c>
      <c r="J750" s="19" t="s">
        <v>1837</v>
      </c>
      <c r="K750" s="19" t="s">
        <v>32</v>
      </c>
      <c r="L750" s="19" t="s">
        <v>1808</v>
      </c>
      <c r="M750" s="19">
        <v>88.9549921786477</v>
      </c>
      <c r="N750" s="19">
        <v>1221</v>
      </c>
      <c r="O750" s="19">
        <v>0.179189728626268</v>
      </c>
      <c r="P750" s="19" t="s">
        <v>119</v>
      </c>
      <c r="Q750" s="19">
        <v>405.603</v>
      </c>
      <c r="R750">
        <f t="shared" si="44"/>
        <v>12.21</v>
      </c>
      <c r="T750" s="15" t="s">
        <v>119</v>
      </c>
      <c r="U750" s="17"/>
      <c r="V750" s="16" t="str">
        <f t="shared" si="45"/>
        <v>EN_SPV_18_c02_USA</v>
      </c>
      <c r="W750" s="12">
        <f t="shared" si="46"/>
        <v>1221</v>
      </c>
      <c r="X750" s="11">
        <f t="shared" si="47"/>
        <v>1221</v>
      </c>
      <c r="Y750" s="17">
        <v>3</v>
      </c>
      <c r="Z750" s="17"/>
      <c r="AC750" s="19" t="s">
        <v>1837</v>
      </c>
    </row>
    <row r="751" spans="2:29">
      <c r="B751" s="19" t="s">
        <v>26</v>
      </c>
      <c r="C751" s="19" t="s">
        <v>1839</v>
      </c>
      <c r="D751" s="19" t="s">
        <v>1840</v>
      </c>
      <c r="E751" s="19" t="s">
        <v>29</v>
      </c>
      <c r="F751" s="19" t="s">
        <v>30</v>
      </c>
      <c r="G751" s="19" t="s">
        <v>31</v>
      </c>
      <c r="J751" s="19" t="s">
        <v>1839</v>
      </c>
      <c r="K751" s="19" t="s">
        <v>32</v>
      </c>
      <c r="L751" s="19" t="s">
        <v>1808</v>
      </c>
      <c r="M751" s="19">
        <v>101.208996203257</v>
      </c>
      <c r="N751" s="19">
        <v>1221</v>
      </c>
      <c r="O751" s="19">
        <v>0.178029006045359</v>
      </c>
      <c r="P751" s="19" t="s">
        <v>119</v>
      </c>
      <c r="Q751" s="19">
        <v>141.30675</v>
      </c>
      <c r="R751">
        <f t="shared" si="44"/>
        <v>12.21</v>
      </c>
      <c r="T751" s="15" t="s">
        <v>119</v>
      </c>
      <c r="U751" s="17"/>
      <c r="V751" s="16" t="str">
        <f t="shared" si="45"/>
        <v>EN_SPV_18_c03_USA</v>
      </c>
      <c r="W751" s="12">
        <f t="shared" si="46"/>
        <v>1221</v>
      </c>
      <c r="X751" s="11">
        <f t="shared" si="47"/>
        <v>1221</v>
      </c>
      <c r="Y751" s="17">
        <v>3</v>
      </c>
      <c r="Z751" s="17"/>
      <c r="AC751" s="19" t="s">
        <v>1839</v>
      </c>
    </row>
    <row r="752" spans="2:29">
      <c r="B752" s="19" t="s">
        <v>26</v>
      </c>
      <c r="C752" s="19" t="s">
        <v>1841</v>
      </c>
      <c r="D752" s="19" t="s">
        <v>1842</v>
      </c>
      <c r="E752" s="19" t="s">
        <v>29</v>
      </c>
      <c r="F752" s="19" t="s">
        <v>30</v>
      </c>
      <c r="G752" s="19" t="s">
        <v>31</v>
      </c>
      <c r="J752" s="19" t="s">
        <v>1841</v>
      </c>
      <c r="K752" s="19" t="s">
        <v>32</v>
      </c>
      <c r="L752" s="19" t="s">
        <v>1808</v>
      </c>
      <c r="M752" s="19">
        <v>138.878712278909</v>
      </c>
      <c r="N752" s="19">
        <v>1221</v>
      </c>
      <c r="O752" s="19">
        <v>0.18</v>
      </c>
      <c r="P752" s="19" t="s">
        <v>119</v>
      </c>
      <c r="Q752" s="19">
        <v>5.90475</v>
      </c>
      <c r="R752">
        <f t="shared" si="44"/>
        <v>12.21</v>
      </c>
      <c r="T752" s="15" t="s">
        <v>119</v>
      </c>
      <c r="U752" s="17"/>
      <c r="V752" s="16" t="str">
        <f t="shared" si="45"/>
        <v>EN_SPV_18_c04_USA</v>
      </c>
      <c r="W752" s="12">
        <f t="shared" si="46"/>
        <v>1221</v>
      </c>
      <c r="X752" s="11">
        <f t="shared" si="47"/>
        <v>1221</v>
      </c>
      <c r="Y752" s="17">
        <v>3</v>
      </c>
      <c r="Z752" s="17"/>
      <c r="AC752" s="19" t="s">
        <v>1841</v>
      </c>
    </row>
    <row r="753" spans="2:29">
      <c r="B753" s="19" t="s">
        <v>26</v>
      </c>
      <c r="C753" s="19" t="s">
        <v>1843</v>
      </c>
      <c r="D753" s="19" t="s">
        <v>1844</v>
      </c>
      <c r="E753" s="19" t="s">
        <v>29</v>
      </c>
      <c r="F753" s="19" t="s">
        <v>30</v>
      </c>
      <c r="G753" s="19" t="s">
        <v>31</v>
      </c>
      <c r="J753" s="19" t="s">
        <v>1843</v>
      </c>
      <c r="K753" s="19" t="s">
        <v>32</v>
      </c>
      <c r="L753" s="19" t="s">
        <v>1808</v>
      </c>
      <c r="M753" s="19">
        <v>0</v>
      </c>
      <c r="N753" s="19">
        <v>1221</v>
      </c>
      <c r="O753" s="19">
        <v>0.189388443868456</v>
      </c>
      <c r="P753" s="19" t="s">
        <v>119</v>
      </c>
      <c r="Q753" s="19">
        <v>553.25175</v>
      </c>
      <c r="R753">
        <f t="shared" si="44"/>
        <v>12.21</v>
      </c>
      <c r="T753" s="15" t="s">
        <v>119</v>
      </c>
      <c r="U753" s="17"/>
      <c r="V753" s="16" t="str">
        <f t="shared" si="45"/>
        <v>EN_SPV_19_c01_USA</v>
      </c>
      <c r="W753" s="12">
        <f t="shared" si="46"/>
        <v>1221</v>
      </c>
      <c r="X753" s="11">
        <f t="shared" si="47"/>
        <v>1221</v>
      </c>
      <c r="Y753" s="17">
        <v>3</v>
      </c>
      <c r="Z753" s="17"/>
      <c r="AC753" s="19" t="s">
        <v>1843</v>
      </c>
    </row>
    <row r="754" spans="2:29">
      <c r="B754" s="19" t="s">
        <v>26</v>
      </c>
      <c r="C754" s="19" t="s">
        <v>1845</v>
      </c>
      <c r="D754" s="19" t="s">
        <v>1846</v>
      </c>
      <c r="E754" s="19" t="s">
        <v>29</v>
      </c>
      <c r="F754" s="19" t="s">
        <v>30</v>
      </c>
      <c r="G754" s="19" t="s">
        <v>31</v>
      </c>
      <c r="J754" s="19" t="s">
        <v>1845</v>
      </c>
      <c r="K754" s="19" t="s">
        <v>32</v>
      </c>
      <c r="L754" s="19" t="s">
        <v>1808</v>
      </c>
      <c r="M754" s="19">
        <v>88.9549921786477</v>
      </c>
      <c r="N754" s="19">
        <v>1221</v>
      </c>
      <c r="O754" s="19">
        <v>0.189181429861519</v>
      </c>
      <c r="P754" s="19" t="s">
        <v>119</v>
      </c>
      <c r="Q754" s="19">
        <v>218.42325</v>
      </c>
      <c r="R754">
        <f t="shared" si="44"/>
        <v>12.21</v>
      </c>
      <c r="T754" s="15" t="s">
        <v>119</v>
      </c>
      <c r="U754" s="17"/>
      <c r="V754" s="16" t="str">
        <f t="shared" si="45"/>
        <v>EN_SPV_19_c02_USA</v>
      </c>
      <c r="W754" s="12">
        <f t="shared" si="46"/>
        <v>1221</v>
      </c>
      <c r="X754" s="11">
        <f t="shared" si="47"/>
        <v>1221</v>
      </c>
      <c r="Y754" s="17">
        <v>3</v>
      </c>
      <c r="Z754" s="17"/>
      <c r="AC754" s="19" t="s">
        <v>1845</v>
      </c>
    </row>
    <row r="755" spans="2:29">
      <c r="B755" s="19" t="s">
        <v>26</v>
      </c>
      <c r="C755" s="19" t="s">
        <v>1847</v>
      </c>
      <c r="D755" s="19" t="s">
        <v>1848</v>
      </c>
      <c r="E755" s="19" t="s">
        <v>29</v>
      </c>
      <c r="F755" s="19" t="s">
        <v>30</v>
      </c>
      <c r="G755" s="19" t="s">
        <v>31</v>
      </c>
      <c r="J755" s="19" t="s">
        <v>1847</v>
      </c>
      <c r="K755" s="19" t="s">
        <v>32</v>
      </c>
      <c r="L755" s="19" t="s">
        <v>1808</v>
      </c>
      <c r="M755" s="19">
        <v>101.208996203257</v>
      </c>
      <c r="N755" s="19">
        <v>1221</v>
      </c>
      <c r="O755" s="19">
        <v>0.189501443244414</v>
      </c>
      <c r="P755" s="19" t="s">
        <v>119</v>
      </c>
      <c r="Q755" s="19">
        <v>124.719</v>
      </c>
      <c r="R755">
        <f t="shared" si="44"/>
        <v>12.21</v>
      </c>
      <c r="T755" s="15" t="s">
        <v>119</v>
      </c>
      <c r="U755" s="17"/>
      <c r="V755" s="16" t="str">
        <f t="shared" si="45"/>
        <v>EN_SPV_19_c03_USA</v>
      </c>
      <c r="W755" s="12">
        <f t="shared" si="46"/>
        <v>1221</v>
      </c>
      <c r="X755" s="11">
        <f t="shared" si="47"/>
        <v>1221</v>
      </c>
      <c r="Y755" s="17">
        <v>3</v>
      </c>
      <c r="Z755" s="17"/>
      <c r="AC755" s="19" t="s">
        <v>1847</v>
      </c>
    </row>
    <row r="756" spans="2:29">
      <c r="B756" s="19" t="s">
        <v>26</v>
      </c>
      <c r="C756" s="19" t="s">
        <v>1849</v>
      </c>
      <c r="D756" s="19" t="s">
        <v>1850</v>
      </c>
      <c r="E756" s="19" t="s">
        <v>29</v>
      </c>
      <c r="F756" s="19" t="s">
        <v>30</v>
      </c>
      <c r="G756" s="19" t="s">
        <v>31</v>
      </c>
      <c r="J756" s="19" t="s">
        <v>1849</v>
      </c>
      <c r="K756" s="19" t="s">
        <v>32</v>
      </c>
      <c r="L756" s="19" t="s">
        <v>1808</v>
      </c>
      <c r="M756" s="19">
        <v>0</v>
      </c>
      <c r="N756" s="19">
        <v>1221</v>
      </c>
      <c r="O756" s="19">
        <v>0.20040062004492</v>
      </c>
      <c r="P756" s="19" t="s">
        <v>119</v>
      </c>
      <c r="Q756" s="19">
        <v>781.395</v>
      </c>
      <c r="R756">
        <f t="shared" si="44"/>
        <v>12.21</v>
      </c>
      <c r="T756" s="15" t="s">
        <v>119</v>
      </c>
      <c r="U756" s="17"/>
      <c r="V756" s="16" t="str">
        <f t="shared" si="45"/>
        <v>EN_SPV_20_c01_USA</v>
      </c>
      <c r="W756" s="12">
        <f t="shared" si="46"/>
        <v>1221</v>
      </c>
      <c r="X756" s="11">
        <f t="shared" si="47"/>
        <v>1221</v>
      </c>
      <c r="Y756" s="17">
        <v>3</v>
      </c>
      <c r="Z756" s="17"/>
      <c r="AC756" s="19" t="s">
        <v>1849</v>
      </c>
    </row>
    <row r="757" spans="2:29">
      <c r="B757" s="19" t="s">
        <v>26</v>
      </c>
      <c r="C757" s="19" t="s">
        <v>1851</v>
      </c>
      <c r="D757" s="19" t="s">
        <v>1852</v>
      </c>
      <c r="E757" s="19" t="s">
        <v>29</v>
      </c>
      <c r="F757" s="19" t="s">
        <v>30</v>
      </c>
      <c r="G757" s="19" t="s">
        <v>31</v>
      </c>
      <c r="J757" s="19" t="s">
        <v>1851</v>
      </c>
      <c r="K757" s="19" t="s">
        <v>32</v>
      </c>
      <c r="L757" s="19" t="s">
        <v>1808</v>
      </c>
      <c r="M757" s="19">
        <v>88.9549921786477</v>
      </c>
      <c r="N757" s="19">
        <v>1221</v>
      </c>
      <c r="O757" s="19">
        <v>0.200023377313001</v>
      </c>
      <c r="P757" s="19" t="s">
        <v>119</v>
      </c>
      <c r="Q757" s="19">
        <v>175.13775</v>
      </c>
      <c r="R757">
        <f t="shared" si="44"/>
        <v>12.21</v>
      </c>
      <c r="T757" s="15" t="s">
        <v>119</v>
      </c>
      <c r="U757" s="17"/>
      <c r="V757" s="16" t="str">
        <f t="shared" si="45"/>
        <v>EN_SPV_20_c02_USA</v>
      </c>
      <c r="W757" s="12">
        <f t="shared" si="46"/>
        <v>1221</v>
      </c>
      <c r="X757" s="11">
        <f t="shared" si="47"/>
        <v>1221</v>
      </c>
      <c r="Y757" s="17">
        <v>3</v>
      </c>
      <c r="Z757" s="17"/>
      <c r="AC757" s="19" t="s">
        <v>1851</v>
      </c>
    </row>
    <row r="758" spans="2:29">
      <c r="B758" s="19" t="s">
        <v>26</v>
      </c>
      <c r="C758" s="19" t="s">
        <v>1853</v>
      </c>
      <c r="D758" s="19" t="s">
        <v>1854</v>
      </c>
      <c r="E758" s="19" t="s">
        <v>29</v>
      </c>
      <c r="F758" s="19" t="s">
        <v>30</v>
      </c>
      <c r="G758" s="19" t="s">
        <v>31</v>
      </c>
      <c r="J758" s="19" t="s">
        <v>1853</v>
      </c>
      <c r="K758" s="19" t="s">
        <v>32</v>
      </c>
      <c r="L758" s="19" t="s">
        <v>1808</v>
      </c>
      <c r="M758" s="19">
        <v>101.208996203257</v>
      </c>
      <c r="N758" s="19">
        <v>1221</v>
      </c>
      <c r="O758" s="19">
        <v>0.199423955870764</v>
      </c>
      <c r="P758" s="19" t="s">
        <v>119</v>
      </c>
      <c r="Q758" s="19">
        <v>42.82875</v>
      </c>
      <c r="R758">
        <f t="shared" si="44"/>
        <v>12.21</v>
      </c>
      <c r="T758" s="15" t="s">
        <v>119</v>
      </c>
      <c r="U758" s="17"/>
      <c r="V758" s="16" t="str">
        <f t="shared" si="45"/>
        <v>EN_SPV_20_c03_USA</v>
      </c>
      <c r="W758" s="12">
        <f t="shared" si="46"/>
        <v>1221</v>
      </c>
      <c r="X758" s="11">
        <f t="shared" si="47"/>
        <v>1221</v>
      </c>
      <c r="Y758" s="17">
        <v>3</v>
      </c>
      <c r="Z758" s="17"/>
      <c r="AC758" s="19" t="s">
        <v>1853</v>
      </c>
    </row>
    <row r="759" spans="2:29">
      <c r="B759" s="19" t="s">
        <v>26</v>
      </c>
      <c r="C759" s="19" t="s">
        <v>1855</v>
      </c>
      <c r="D759" s="19" t="s">
        <v>1856</v>
      </c>
      <c r="E759" s="19" t="s">
        <v>29</v>
      </c>
      <c r="F759" s="19" t="s">
        <v>30</v>
      </c>
      <c r="G759" s="19" t="s">
        <v>31</v>
      </c>
      <c r="J759" s="19" t="s">
        <v>1855</v>
      </c>
      <c r="K759" s="19" t="s">
        <v>32</v>
      </c>
      <c r="L759" s="19" t="s">
        <v>1808</v>
      </c>
      <c r="M759" s="19">
        <v>0</v>
      </c>
      <c r="N759" s="19">
        <v>1221</v>
      </c>
      <c r="O759" s="19">
        <v>0.208279315053428</v>
      </c>
      <c r="P759" s="19" t="s">
        <v>119</v>
      </c>
      <c r="Q759" s="19">
        <v>770.60025</v>
      </c>
      <c r="R759">
        <f t="shared" si="44"/>
        <v>12.21</v>
      </c>
      <c r="T759" s="15" t="s">
        <v>119</v>
      </c>
      <c r="U759" s="17"/>
      <c r="V759" s="16" t="str">
        <f t="shared" si="45"/>
        <v>EN_SPV_21_c01_USA</v>
      </c>
      <c r="W759" s="12">
        <f t="shared" si="46"/>
        <v>1221</v>
      </c>
      <c r="X759" s="11">
        <f t="shared" si="47"/>
        <v>1221</v>
      </c>
      <c r="Y759" s="17">
        <v>3</v>
      </c>
      <c r="Z759" s="17"/>
      <c r="AC759" s="19" t="s">
        <v>1855</v>
      </c>
    </row>
    <row r="760" spans="2:29">
      <c r="B760" s="19" t="s">
        <v>26</v>
      </c>
      <c r="C760" s="19" t="s">
        <v>1857</v>
      </c>
      <c r="D760" s="19" t="s">
        <v>1858</v>
      </c>
      <c r="E760" s="19" t="s">
        <v>29</v>
      </c>
      <c r="F760" s="19" t="s">
        <v>30</v>
      </c>
      <c r="G760" s="19" t="s">
        <v>31</v>
      </c>
      <c r="J760" s="19" t="s">
        <v>1857</v>
      </c>
      <c r="K760" s="19" t="s">
        <v>32</v>
      </c>
      <c r="L760" s="19" t="s">
        <v>1808</v>
      </c>
      <c r="M760" s="19">
        <v>88.9549921786477</v>
      </c>
      <c r="N760" s="19">
        <v>1221</v>
      </c>
      <c r="O760" s="19">
        <v>0.208148890782996</v>
      </c>
      <c r="P760" s="19" t="s">
        <v>119</v>
      </c>
      <c r="Q760" s="19">
        <v>161.02575</v>
      </c>
      <c r="R760">
        <f t="shared" si="44"/>
        <v>12.21</v>
      </c>
      <c r="T760" s="15" t="s">
        <v>119</v>
      </c>
      <c r="U760" s="17"/>
      <c r="V760" s="16" t="str">
        <f t="shared" si="45"/>
        <v>EN_SPV_21_c02_USA</v>
      </c>
      <c r="W760" s="12">
        <f t="shared" si="46"/>
        <v>1221</v>
      </c>
      <c r="X760" s="11">
        <f t="shared" si="47"/>
        <v>1221</v>
      </c>
      <c r="Y760" s="17">
        <v>3</v>
      </c>
      <c r="Z760" s="17"/>
      <c r="AC760" s="19" t="s">
        <v>1857</v>
      </c>
    </row>
    <row r="761" spans="2:29">
      <c r="B761" s="19" t="s">
        <v>26</v>
      </c>
      <c r="C761" s="19" t="s">
        <v>1859</v>
      </c>
      <c r="D761" s="19" t="s">
        <v>1860</v>
      </c>
      <c r="E761" s="19" t="s">
        <v>29</v>
      </c>
      <c r="F761" s="19" t="s">
        <v>30</v>
      </c>
      <c r="G761" s="19" t="s">
        <v>31</v>
      </c>
      <c r="J761" s="19" t="s">
        <v>1859</v>
      </c>
      <c r="K761" s="19" t="s">
        <v>32</v>
      </c>
      <c r="L761" s="19" t="s">
        <v>1808</v>
      </c>
      <c r="M761" s="19">
        <v>101.208996203257</v>
      </c>
      <c r="N761" s="19">
        <v>1221</v>
      </c>
      <c r="O761" s="19">
        <v>0.209505393392033</v>
      </c>
      <c r="P761" s="19" t="s">
        <v>119</v>
      </c>
      <c r="Q761" s="19">
        <v>26.49075</v>
      </c>
      <c r="R761">
        <f t="shared" si="44"/>
        <v>12.21</v>
      </c>
      <c r="T761" s="15" t="s">
        <v>119</v>
      </c>
      <c r="U761" s="17"/>
      <c r="V761" s="16" t="str">
        <f t="shared" si="45"/>
        <v>EN_SPV_21_c03_USA</v>
      </c>
      <c r="W761" s="12">
        <f t="shared" si="46"/>
        <v>1221</v>
      </c>
      <c r="X761" s="11">
        <f t="shared" si="47"/>
        <v>1221</v>
      </c>
      <c r="Y761" s="17">
        <v>3</v>
      </c>
      <c r="Z761" s="17"/>
      <c r="AC761" s="19" t="s">
        <v>1859</v>
      </c>
    </row>
    <row r="762" spans="2:29">
      <c r="B762" s="19" t="s">
        <v>26</v>
      </c>
      <c r="C762" s="19" t="s">
        <v>1861</v>
      </c>
      <c r="D762" s="19" t="s">
        <v>1862</v>
      </c>
      <c r="E762" s="19" t="s">
        <v>29</v>
      </c>
      <c r="F762" s="19" t="s">
        <v>30</v>
      </c>
      <c r="G762" s="19" t="s">
        <v>31</v>
      </c>
      <c r="J762" s="19" t="s">
        <v>1861</v>
      </c>
      <c r="K762" s="19" t="s">
        <v>32</v>
      </c>
      <c r="L762" s="19" t="s">
        <v>1808</v>
      </c>
      <c r="M762" s="19">
        <v>0</v>
      </c>
      <c r="N762" s="19">
        <v>1221</v>
      </c>
      <c r="O762" s="19">
        <v>0.217501813691441</v>
      </c>
      <c r="P762" s="19" t="s">
        <v>119</v>
      </c>
      <c r="Q762" s="19">
        <v>48.58875</v>
      </c>
      <c r="R762">
        <f t="shared" si="44"/>
        <v>12.21</v>
      </c>
      <c r="T762" s="15" t="s">
        <v>119</v>
      </c>
      <c r="U762" s="17"/>
      <c r="V762" s="16" t="str">
        <f t="shared" si="45"/>
        <v>EN_SPV_22_c01_USA</v>
      </c>
      <c r="W762" s="12">
        <f t="shared" si="46"/>
        <v>1221</v>
      </c>
      <c r="X762" s="11">
        <f t="shared" si="47"/>
        <v>1221</v>
      </c>
      <c r="Y762" s="17">
        <v>3</v>
      </c>
      <c r="Z762" s="17"/>
      <c r="AC762" s="19" t="s">
        <v>1861</v>
      </c>
    </row>
    <row r="763" spans="2:29">
      <c r="B763" s="19" t="s">
        <v>26</v>
      </c>
      <c r="C763" s="19" t="s">
        <v>1863</v>
      </c>
      <c r="D763" s="19" t="s">
        <v>1864</v>
      </c>
      <c r="E763" s="19" t="s">
        <v>29</v>
      </c>
      <c r="F763" s="19" t="s">
        <v>30</v>
      </c>
      <c r="G763" s="19" t="s">
        <v>31</v>
      </c>
      <c r="J763" s="19" t="s">
        <v>1863</v>
      </c>
      <c r="K763" s="19" t="s">
        <v>32</v>
      </c>
      <c r="L763" s="19" t="s">
        <v>1808</v>
      </c>
      <c r="M763" s="19">
        <v>88.9549921786477</v>
      </c>
      <c r="N763" s="19">
        <v>1221</v>
      </c>
      <c r="O763" s="19">
        <v>0.216095948211086</v>
      </c>
      <c r="P763" s="19" t="s">
        <v>119</v>
      </c>
      <c r="Q763" s="19">
        <v>12.97575</v>
      </c>
      <c r="R763">
        <f t="shared" si="44"/>
        <v>12.21</v>
      </c>
      <c r="T763" s="15" t="s">
        <v>119</v>
      </c>
      <c r="U763" s="17"/>
      <c r="V763" s="16" t="str">
        <f t="shared" si="45"/>
        <v>EN_SPV_22_c02_USA</v>
      </c>
      <c r="W763" s="12">
        <f t="shared" si="46"/>
        <v>1221</v>
      </c>
      <c r="X763" s="11">
        <f t="shared" si="47"/>
        <v>1221</v>
      </c>
      <c r="Y763" s="17">
        <v>3</v>
      </c>
      <c r="Z763" s="17"/>
      <c r="AC763" s="19" t="s">
        <v>1863</v>
      </c>
    </row>
    <row r="764" spans="2:29">
      <c r="B764" s="19" t="s">
        <v>26</v>
      </c>
      <c r="C764" s="19" t="s">
        <v>1865</v>
      </c>
      <c r="D764" s="19" t="s">
        <v>1866</v>
      </c>
      <c r="E764" s="19" t="s">
        <v>29</v>
      </c>
      <c r="F764" s="19" t="s">
        <v>30</v>
      </c>
      <c r="G764" s="19" t="s">
        <v>31</v>
      </c>
      <c r="J764" s="19" t="s">
        <v>1865</v>
      </c>
      <c r="K764" s="19" t="s">
        <v>32</v>
      </c>
      <c r="L764" s="19" t="s">
        <v>1867</v>
      </c>
      <c r="M764" s="19">
        <v>0</v>
      </c>
      <c r="N764" s="19">
        <v>909</v>
      </c>
      <c r="O764" s="19">
        <v>0.175712527042341</v>
      </c>
      <c r="P764" s="19" t="s">
        <v>1868</v>
      </c>
      <c r="Q764" s="19">
        <v>72.8025</v>
      </c>
      <c r="R764">
        <f t="shared" si="44"/>
        <v>9.09</v>
      </c>
      <c r="T764" s="15" t="s">
        <v>112</v>
      </c>
      <c r="U764" s="17"/>
      <c r="V764" s="16" t="str">
        <f t="shared" si="45"/>
        <v>EN_SPV_18_c01_UZB</v>
      </c>
      <c r="W764" s="12">
        <f t="shared" si="46"/>
        <v>909</v>
      </c>
      <c r="X764" s="11">
        <f t="shared" si="47"/>
        <v>909</v>
      </c>
      <c r="Y764" s="17">
        <v>3</v>
      </c>
      <c r="Z764" s="17"/>
      <c r="AC764" s="19" t="s">
        <v>1865</v>
      </c>
    </row>
    <row r="765" spans="2:29">
      <c r="B765" s="19" t="s">
        <v>26</v>
      </c>
      <c r="C765" s="19" t="s">
        <v>1869</v>
      </c>
      <c r="D765" s="19" t="s">
        <v>1870</v>
      </c>
      <c r="E765" s="19" t="s">
        <v>29</v>
      </c>
      <c r="F765" s="19" t="s">
        <v>30</v>
      </c>
      <c r="G765" s="19" t="s">
        <v>31</v>
      </c>
      <c r="J765" s="19" t="s">
        <v>1869</v>
      </c>
      <c r="K765" s="19" t="s">
        <v>32</v>
      </c>
      <c r="L765" s="19" t="s">
        <v>1867</v>
      </c>
      <c r="M765" s="19">
        <v>88.9549921786477</v>
      </c>
      <c r="N765" s="19">
        <v>909</v>
      </c>
      <c r="O765" s="19">
        <v>0.176088596298275</v>
      </c>
      <c r="P765" s="19" t="s">
        <v>1868</v>
      </c>
      <c r="Q765" s="19">
        <v>119.33625</v>
      </c>
      <c r="R765">
        <f t="shared" si="44"/>
        <v>9.09</v>
      </c>
      <c r="T765" s="15" t="s">
        <v>112</v>
      </c>
      <c r="U765" s="17"/>
      <c r="V765" s="16" t="str">
        <f t="shared" si="45"/>
        <v>EN_SPV_18_c02_UZB</v>
      </c>
      <c r="W765" s="12">
        <f t="shared" si="46"/>
        <v>909</v>
      </c>
      <c r="X765" s="11">
        <f t="shared" si="47"/>
        <v>909</v>
      </c>
      <c r="Y765" s="17">
        <v>3</v>
      </c>
      <c r="Z765" s="17"/>
      <c r="AC765" s="19" t="s">
        <v>1869</v>
      </c>
    </row>
    <row r="766" spans="2:29">
      <c r="B766" s="19" t="s">
        <v>26</v>
      </c>
      <c r="C766" s="19" t="s">
        <v>1871</v>
      </c>
      <c r="D766" s="19" t="s">
        <v>1872</v>
      </c>
      <c r="E766" s="19" t="s">
        <v>29</v>
      </c>
      <c r="F766" s="19" t="s">
        <v>30</v>
      </c>
      <c r="G766" s="19" t="s">
        <v>31</v>
      </c>
      <c r="J766" s="19" t="s">
        <v>1871</v>
      </c>
      <c r="K766" s="19" t="s">
        <v>32</v>
      </c>
      <c r="L766" s="19" t="s">
        <v>1873</v>
      </c>
      <c r="M766" s="19">
        <v>0</v>
      </c>
      <c r="N766" s="19">
        <v>1344</v>
      </c>
      <c r="O766" s="19">
        <v>0.170904281079556</v>
      </c>
      <c r="P766" s="19" t="s">
        <v>1874</v>
      </c>
      <c r="Q766" s="19">
        <v>63.804</v>
      </c>
      <c r="R766">
        <f t="shared" si="44"/>
        <v>13.44</v>
      </c>
      <c r="T766" s="15" t="s">
        <v>89</v>
      </c>
      <c r="U766" s="17"/>
      <c r="V766" s="16" t="str">
        <f t="shared" si="45"/>
        <v>EN_SPV_17_c01_VEN</v>
      </c>
      <c r="W766" s="12">
        <f t="shared" si="46"/>
        <v>1344</v>
      </c>
      <c r="X766" s="11">
        <f t="shared" si="47"/>
        <v>1344</v>
      </c>
      <c r="Y766" s="17">
        <v>3</v>
      </c>
      <c r="Z766" s="17"/>
      <c r="AC766" s="19" t="s">
        <v>1871</v>
      </c>
    </row>
    <row r="767" spans="2:29">
      <c r="B767" s="19" t="s">
        <v>26</v>
      </c>
      <c r="C767" s="19" t="s">
        <v>1875</v>
      </c>
      <c r="D767" s="19" t="s">
        <v>1876</v>
      </c>
      <c r="E767" s="19" t="s">
        <v>29</v>
      </c>
      <c r="F767" s="19" t="s">
        <v>30</v>
      </c>
      <c r="G767" s="19" t="s">
        <v>31</v>
      </c>
      <c r="J767" s="19" t="s">
        <v>1875</v>
      </c>
      <c r="K767" s="19" t="s">
        <v>32</v>
      </c>
      <c r="L767" s="19" t="s">
        <v>1873</v>
      </c>
      <c r="M767" s="19">
        <v>88.9549921786477</v>
      </c>
      <c r="N767" s="19">
        <v>1344</v>
      </c>
      <c r="O767" s="19">
        <v>0.170636356638377</v>
      </c>
      <c r="P767" s="19" t="s">
        <v>1874</v>
      </c>
      <c r="Q767" s="19">
        <v>116.91675</v>
      </c>
      <c r="R767">
        <f t="shared" si="44"/>
        <v>13.44</v>
      </c>
      <c r="T767" s="15" t="s">
        <v>89</v>
      </c>
      <c r="U767" s="17"/>
      <c r="V767" s="16" t="str">
        <f t="shared" si="45"/>
        <v>EN_SPV_17_c02_VEN</v>
      </c>
      <c r="W767" s="12">
        <f t="shared" si="46"/>
        <v>1344</v>
      </c>
      <c r="X767" s="11">
        <f t="shared" si="47"/>
        <v>1344</v>
      </c>
      <c r="Y767" s="17">
        <v>3</v>
      </c>
      <c r="Z767" s="17"/>
      <c r="AC767" s="19" t="s">
        <v>1875</v>
      </c>
    </row>
    <row r="768" spans="2:29">
      <c r="B768" s="19" t="s">
        <v>26</v>
      </c>
      <c r="C768" s="19" t="s">
        <v>1877</v>
      </c>
      <c r="D768" s="19" t="s">
        <v>1878</v>
      </c>
      <c r="E768" s="19" t="s">
        <v>29</v>
      </c>
      <c r="F768" s="19" t="s">
        <v>30</v>
      </c>
      <c r="G768" s="19" t="s">
        <v>31</v>
      </c>
      <c r="J768" s="19" t="s">
        <v>1877</v>
      </c>
      <c r="K768" s="19" t="s">
        <v>32</v>
      </c>
      <c r="L768" s="19" t="s">
        <v>1873</v>
      </c>
      <c r="M768" s="19">
        <v>101.208996203257</v>
      </c>
      <c r="N768" s="19">
        <v>1344</v>
      </c>
      <c r="O768" s="19">
        <v>0.171438646206491</v>
      </c>
      <c r="P768" s="19" t="s">
        <v>1874</v>
      </c>
      <c r="Q768" s="19">
        <v>28.0545</v>
      </c>
      <c r="R768">
        <f t="shared" si="44"/>
        <v>13.44</v>
      </c>
      <c r="T768" s="15" t="s">
        <v>89</v>
      </c>
      <c r="U768" s="17"/>
      <c r="V768" s="16" t="str">
        <f t="shared" si="45"/>
        <v>EN_SPV_17_c03_VEN</v>
      </c>
      <c r="W768" s="12">
        <f t="shared" si="46"/>
        <v>1344</v>
      </c>
      <c r="X768" s="11">
        <f t="shared" si="47"/>
        <v>1344</v>
      </c>
      <c r="Y768" s="17">
        <v>3</v>
      </c>
      <c r="Z768" s="17"/>
      <c r="AC768" s="19" t="s">
        <v>1877</v>
      </c>
    </row>
    <row r="769" spans="2:29">
      <c r="B769" s="19" t="s">
        <v>26</v>
      </c>
      <c r="C769" s="19" t="s">
        <v>1879</v>
      </c>
      <c r="D769" s="19" t="s">
        <v>1880</v>
      </c>
      <c r="E769" s="19" t="s">
        <v>29</v>
      </c>
      <c r="F769" s="19" t="s">
        <v>30</v>
      </c>
      <c r="G769" s="19" t="s">
        <v>31</v>
      </c>
      <c r="J769" s="19" t="s">
        <v>1879</v>
      </c>
      <c r="K769" s="19" t="s">
        <v>32</v>
      </c>
      <c r="L769" s="19" t="s">
        <v>1873</v>
      </c>
      <c r="M769" s="19">
        <v>0</v>
      </c>
      <c r="N769" s="19">
        <v>1344</v>
      </c>
      <c r="O769" s="19">
        <v>0.17692158175875</v>
      </c>
      <c r="P769" s="19" t="s">
        <v>1874</v>
      </c>
      <c r="Q769" s="19">
        <v>47.03625</v>
      </c>
      <c r="R769">
        <f t="shared" si="44"/>
        <v>13.44</v>
      </c>
      <c r="T769" s="15" t="s">
        <v>89</v>
      </c>
      <c r="U769" s="17"/>
      <c r="V769" s="16" t="str">
        <f t="shared" si="45"/>
        <v>EN_SPV_18_c01_VEN</v>
      </c>
      <c r="W769" s="12">
        <f t="shared" si="46"/>
        <v>1344</v>
      </c>
      <c r="X769" s="11">
        <f t="shared" si="47"/>
        <v>1344</v>
      </c>
      <c r="Y769" s="17">
        <v>3</v>
      </c>
      <c r="Z769" s="17"/>
      <c r="AC769" s="19" t="s">
        <v>1879</v>
      </c>
    </row>
    <row r="770" spans="2:29">
      <c r="B770" s="19" t="s">
        <v>26</v>
      </c>
      <c r="C770" s="19" t="s">
        <v>1881</v>
      </c>
      <c r="D770" s="19" t="s">
        <v>1882</v>
      </c>
      <c r="E770" s="19" t="s">
        <v>29</v>
      </c>
      <c r="F770" s="19" t="s">
        <v>30</v>
      </c>
      <c r="G770" s="19" t="s">
        <v>31</v>
      </c>
      <c r="J770" s="19" t="s">
        <v>1881</v>
      </c>
      <c r="K770" s="19" t="s">
        <v>32</v>
      </c>
      <c r="L770" s="19" t="s">
        <v>1873</v>
      </c>
      <c r="M770" s="19">
        <v>88.9549921786477</v>
      </c>
      <c r="N770" s="19">
        <v>1344</v>
      </c>
      <c r="O770" s="19">
        <v>0.176759224924565</v>
      </c>
      <c r="P770" s="19" t="s">
        <v>1874</v>
      </c>
      <c r="Q770" s="19">
        <v>20.63025</v>
      </c>
      <c r="R770">
        <f t="shared" si="44"/>
        <v>13.44</v>
      </c>
      <c r="T770" s="15" t="s">
        <v>89</v>
      </c>
      <c r="U770" s="17"/>
      <c r="V770" s="16" t="str">
        <f t="shared" si="45"/>
        <v>EN_SPV_18_c02_VEN</v>
      </c>
      <c r="W770" s="12">
        <f t="shared" si="46"/>
        <v>1344</v>
      </c>
      <c r="X770" s="11">
        <f t="shared" si="47"/>
        <v>1344</v>
      </c>
      <c r="Y770" s="17">
        <v>3</v>
      </c>
      <c r="Z770" s="17"/>
      <c r="AC770" s="19" t="s">
        <v>1881</v>
      </c>
    </row>
    <row r="771" spans="2:29">
      <c r="B771" s="19" t="s">
        <v>26</v>
      </c>
      <c r="C771" s="19" t="s">
        <v>1883</v>
      </c>
      <c r="D771" s="19" t="s">
        <v>1884</v>
      </c>
      <c r="E771" s="19" t="s">
        <v>29</v>
      </c>
      <c r="F771" s="19" t="s">
        <v>30</v>
      </c>
      <c r="G771" s="19" t="s">
        <v>31</v>
      </c>
      <c r="J771" s="19" t="s">
        <v>1883</v>
      </c>
      <c r="K771" s="19" t="s">
        <v>32</v>
      </c>
      <c r="L771" s="19" t="s">
        <v>1873</v>
      </c>
      <c r="M771" s="19">
        <v>101.208996203257</v>
      </c>
      <c r="N771" s="19">
        <v>1344</v>
      </c>
      <c r="O771" s="19">
        <v>0.175384475714934</v>
      </c>
      <c r="P771" s="19" t="s">
        <v>1874</v>
      </c>
      <c r="Q771" s="19">
        <v>8.26125</v>
      </c>
      <c r="R771">
        <f t="shared" si="44"/>
        <v>13.44</v>
      </c>
      <c r="T771" s="15" t="s">
        <v>89</v>
      </c>
      <c r="U771" s="17"/>
      <c r="V771" s="16" t="str">
        <f t="shared" si="45"/>
        <v>EN_SPV_18_c03_VEN</v>
      </c>
      <c r="W771" s="12">
        <f t="shared" si="46"/>
        <v>1344</v>
      </c>
      <c r="X771" s="11">
        <f t="shared" si="47"/>
        <v>1344</v>
      </c>
      <c r="Y771" s="17">
        <v>3</v>
      </c>
      <c r="Z771" s="17"/>
      <c r="AC771" s="19" t="s">
        <v>1883</v>
      </c>
    </row>
    <row r="772" spans="2:29">
      <c r="B772" s="19" t="s">
        <v>26</v>
      </c>
      <c r="C772" s="19" t="s">
        <v>1885</v>
      </c>
      <c r="D772" s="19" t="s">
        <v>1886</v>
      </c>
      <c r="E772" s="19" t="s">
        <v>29</v>
      </c>
      <c r="F772" s="19" t="s">
        <v>30</v>
      </c>
      <c r="G772" s="19" t="s">
        <v>31</v>
      </c>
      <c r="J772" s="19" t="s">
        <v>1885</v>
      </c>
      <c r="K772" s="19" t="s">
        <v>32</v>
      </c>
      <c r="L772" s="19" t="s">
        <v>1873</v>
      </c>
      <c r="M772" s="19">
        <v>138.878712278909</v>
      </c>
      <c r="N772" s="19">
        <v>1344</v>
      </c>
      <c r="O772" s="19">
        <v>0.177464882943144</v>
      </c>
      <c r="P772" s="19" t="s">
        <v>1874</v>
      </c>
      <c r="Q772" s="19">
        <v>0.897</v>
      </c>
      <c r="R772">
        <f t="shared" si="44"/>
        <v>13.44</v>
      </c>
      <c r="T772" s="15" t="s">
        <v>89</v>
      </c>
      <c r="U772" s="17"/>
      <c r="V772" s="16" t="str">
        <f t="shared" si="45"/>
        <v>EN_SPV_18_c04_VEN</v>
      </c>
      <c r="W772" s="12">
        <f t="shared" si="46"/>
        <v>1344</v>
      </c>
      <c r="X772" s="11">
        <f t="shared" si="47"/>
        <v>1344</v>
      </c>
      <c r="Y772" s="17">
        <v>3</v>
      </c>
      <c r="Z772" s="17"/>
      <c r="AC772" s="19" t="s">
        <v>1885</v>
      </c>
    </row>
    <row r="773" spans="2:29">
      <c r="B773" s="19" t="s">
        <v>26</v>
      </c>
      <c r="C773" s="19" t="s">
        <v>1887</v>
      </c>
      <c r="D773" s="19" t="s">
        <v>1888</v>
      </c>
      <c r="E773" s="19" t="s">
        <v>29</v>
      </c>
      <c r="F773" s="19" t="s">
        <v>30</v>
      </c>
      <c r="G773" s="19" t="s">
        <v>31</v>
      </c>
      <c r="J773" s="19" t="s">
        <v>1887</v>
      </c>
      <c r="K773" s="19" t="s">
        <v>32</v>
      </c>
      <c r="L773" s="19" t="s">
        <v>1873</v>
      </c>
      <c r="M773" s="19">
        <v>0</v>
      </c>
      <c r="N773" s="19">
        <v>1344</v>
      </c>
      <c r="O773" s="19">
        <v>0.187418193146417</v>
      </c>
      <c r="P773" s="19" t="s">
        <v>1874</v>
      </c>
      <c r="Q773" s="19">
        <v>6.01875</v>
      </c>
      <c r="R773">
        <f t="shared" si="44"/>
        <v>13.44</v>
      </c>
      <c r="T773" s="15" t="s">
        <v>89</v>
      </c>
      <c r="U773" s="17"/>
      <c r="V773" s="16" t="str">
        <f t="shared" si="45"/>
        <v>EN_SPV_19_c01_VEN</v>
      </c>
      <c r="W773" s="12">
        <f t="shared" si="46"/>
        <v>1344</v>
      </c>
      <c r="X773" s="11">
        <f t="shared" si="47"/>
        <v>1344</v>
      </c>
      <c r="Y773" s="17">
        <v>3</v>
      </c>
      <c r="Z773" s="17"/>
      <c r="AC773" s="19" t="s">
        <v>1887</v>
      </c>
    </row>
    <row r="774" spans="2:29">
      <c r="B774" s="19" t="s">
        <v>26</v>
      </c>
      <c r="C774" s="19" t="s">
        <v>1889</v>
      </c>
      <c r="D774" s="19" t="s">
        <v>1890</v>
      </c>
      <c r="E774" s="19" t="s">
        <v>29</v>
      </c>
      <c r="F774" s="19" t="s">
        <v>30</v>
      </c>
      <c r="G774" s="19" t="s">
        <v>31</v>
      </c>
      <c r="J774" s="19" t="s">
        <v>1889</v>
      </c>
      <c r="K774" s="19" t="s">
        <v>32</v>
      </c>
      <c r="L774" s="19" t="s">
        <v>1873</v>
      </c>
      <c r="M774" s="19">
        <v>88.9549921786477</v>
      </c>
      <c r="N774" s="19">
        <v>1344</v>
      </c>
      <c r="O774" s="19">
        <v>0.191</v>
      </c>
      <c r="P774" s="19" t="s">
        <v>1874</v>
      </c>
      <c r="Q774" s="19">
        <v>1.824</v>
      </c>
      <c r="R774">
        <f t="shared" ref="R774:R803" si="48">N774*0.01</f>
        <v>13.44</v>
      </c>
      <c r="T774" s="15" t="s">
        <v>89</v>
      </c>
      <c r="U774" s="17"/>
      <c r="V774" s="16" t="str">
        <f t="shared" ref="V774:V803" si="49">J774</f>
        <v>EN_SPV_19_c02_VEN</v>
      </c>
      <c r="W774" s="12">
        <f t="shared" ref="W774:W803" si="50">N774</f>
        <v>1344</v>
      </c>
      <c r="X774" s="11">
        <f t="shared" ref="X774:X803" si="51">W774</f>
        <v>1344</v>
      </c>
      <c r="Y774" s="17">
        <v>3</v>
      </c>
      <c r="Z774" s="17"/>
      <c r="AC774" s="19" t="s">
        <v>1889</v>
      </c>
    </row>
    <row r="775" spans="2:29">
      <c r="B775" s="19" t="s">
        <v>26</v>
      </c>
      <c r="C775" s="19" t="s">
        <v>1891</v>
      </c>
      <c r="D775" s="19" t="s">
        <v>1892</v>
      </c>
      <c r="E775" s="19" t="s">
        <v>29</v>
      </c>
      <c r="F775" s="19" t="s">
        <v>30</v>
      </c>
      <c r="G775" s="19" t="s">
        <v>31</v>
      </c>
      <c r="J775" s="19" t="s">
        <v>1891</v>
      </c>
      <c r="K775" s="19" t="s">
        <v>32</v>
      </c>
      <c r="L775" s="19" t="s">
        <v>1873</v>
      </c>
      <c r="M775" s="19">
        <v>0</v>
      </c>
      <c r="N775" s="19">
        <v>1344</v>
      </c>
      <c r="O775" s="19">
        <v>0.196871478873239</v>
      </c>
      <c r="P775" s="19" t="s">
        <v>1874</v>
      </c>
      <c r="Q775" s="19">
        <v>1.704</v>
      </c>
      <c r="R775">
        <f t="shared" si="48"/>
        <v>13.44</v>
      </c>
      <c r="T775" s="15" t="s">
        <v>89</v>
      </c>
      <c r="U775" s="17"/>
      <c r="V775" s="16" t="str">
        <f t="shared" si="49"/>
        <v>EN_SPV_20_c01_VEN</v>
      </c>
      <c r="W775" s="12">
        <f t="shared" si="50"/>
        <v>1344</v>
      </c>
      <c r="X775" s="11">
        <f t="shared" si="51"/>
        <v>1344</v>
      </c>
      <c r="Y775" s="17">
        <v>3</v>
      </c>
      <c r="Z775" s="17"/>
      <c r="AC775" s="19" t="s">
        <v>1891</v>
      </c>
    </row>
    <row r="776" spans="2:29">
      <c r="B776" s="19" t="s">
        <v>26</v>
      </c>
      <c r="C776" s="19" t="s">
        <v>1893</v>
      </c>
      <c r="D776" s="19" t="s">
        <v>1894</v>
      </c>
      <c r="E776" s="19" t="s">
        <v>29</v>
      </c>
      <c r="F776" s="19" t="s">
        <v>30</v>
      </c>
      <c r="G776" s="19" t="s">
        <v>31</v>
      </c>
      <c r="J776" s="19" t="s">
        <v>1893</v>
      </c>
      <c r="K776" s="19" t="s">
        <v>32</v>
      </c>
      <c r="L776" s="19" t="s">
        <v>1873</v>
      </c>
      <c r="M776" s="19">
        <v>101.208996203257</v>
      </c>
      <c r="N776" s="19">
        <v>1344</v>
      </c>
      <c r="O776" s="19">
        <v>0.198</v>
      </c>
      <c r="P776" s="19" t="s">
        <v>1874</v>
      </c>
      <c r="Q776" s="19">
        <v>1.27425</v>
      </c>
      <c r="R776">
        <f t="shared" si="48"/>
        <v>13.44</v>
      </c>
      <c r="T776" s="15" t="s">
        <v>89</v>
      </c>
      <c r="U776" s="17"/>
      <c r="V776" s="16" t="str">
        <f t="shared" si="49"/>
        <v>EN_SPV_20_c03_VEN</v>
      </c>
      <c r="W776" s="12">
        <f t="shared" si="50"/>
        <v>1344</v>
      </c>
      <c r="X776" s="11">
        <f t="shared" si="51"/>
        <v>1344</v>
      </c>
      <c r="Y776" s="17">
        <v>3</v>
      </c>
      <c r="Z776" s="17"/>
      <c r="AC776" s="19" t="s">
        <v>1893</v>
      </c>
    </row>
    <row r="777" spans="2:29">
      <c r="B777" s="19" t="s">
        <v>26</v>
      </c>
      <c r="C777" s="19" t="s">
        <v>1895</v>
      </c>
      <c r="D777" s="19" t="s">
        <v>1896</v>
      </c>
      <c r="E777" s="19" t="s">
        <v>29</v>
      </c>
      <c r="F777" s="19" t="s">
        <v>30</v>
      </c>
      <c r="G777" s="19" t="s">
        <v>31</v>
      </c>
      <c r="J777" s="19" t="s">
        <v>1895</v>
      </c>
      <c r="K777" s="19" t="s">
        <v>32</v>
      </c>
      <c r="L777" s="19" t="s">
        <v>1873</v>
      </c>
      <c r="M777" s="19">
        <v>138.878712278909</v>
      </c>
      <c r="N777" s="19">
        <v>1344</v>
      </c>
      <c r="O777" s="19">
        <v>0.202</v>
      </c>
      <c r="P777" s="19" t="s">
        <v>1874</v>
      </c>
      <c r="Q777" s="19">
        <v>0.19875</v>
      </c>
      <c r="R777">
        <f t="shared" si="48"/>
        <v>13.44</v>
      </c>
      <c r="T777" s="15" t="s">
        <v>89</v>
      </c>
      <c r="U777" s="17"/>
      <c r="V777" s="16" t="str">
        <f t="shared" si="49"/>
        <v>EN_SPV_20_c04_VEN</v>
      </c>
      <c r="W777" s="12">
        <f t="shared" si="50"/>
        <v>1344</v>
      </c>
      <c r="X777" s="11">
        <f t="shared" si="51"/>
        <v>1344</v>
      </c>
      <c r="Y777" s="17">
        <v>3</v>
      </c>
      <c r="Z777" s="17"/>
      <c r="AC777" s="19" t="s">
        <v>1895</v>
      </c>
    </row>
    <row r="778" spans="2:29">
      <c r="B778" s="19" t="s">
        <v>26</v>
      </c>
      <c r="C778" s="19" t="s">
        <v>1897</v>
      </c>
      <c r="D778" s="19" t="s">
        <v>1898</v>
      </c>
      <c r="E778" s="19" t="s">
        <v>29</v>
      </c>
      <c r="F778" s="19" t="s">
        <v>30</v>
      </c>
      <c r="G778" s="19" t="s">
        <v>31</v>
      </c>
      <c r="J778" s="19" t="s">
        <v>1897</v>
      </c>
      <c r="K778" s="19" t="s">
        <v>32</v>
      </c>
      <c r="L778" s="19" t="s">
        <v>1899</v>
      </c>
      <c r="M778" s="19">
        <v>101.208996203257</v>
      </c>
      <c r="N778" s="19">
        <v>1054</v>
      </c>
      <c r="O778" s="19">
        <v>0.11796265151854</v>
      </c>
      <c r="P778" s="19" t="s">
        <v>1900</v>
      </c>
      <c r="Q778" s="19">
        <v>83.83875</v>
      </c>
      <c r="R778">
        <f t="shared" si="48"/>
        <v>10.54</v>
      </c>
      <c r="T778" s="15" t="s">
        <v>290</v>
      </c>
      <c r="U778" s="17"/>
      <c r="V778" s="16" t="str">
        <f t="shared" si="49"/>
        <v>EN_SPV_12_c03_VNM</v>
      </c>
      <c r="W778" s="12">
        <f t="shared" si="50"/>
        <v>1054</v>
      </c>
      <c r="X778" s="11">
        <f t="shared" si="51"/>
        <v>1054</v>
      </c>
      <c r="Y778" s="17">
        <v>3</v>
      </c>
      <c r="Z778" s="17"/>
      <c r="AC778" s="19" t="s">
        <v>1897</v>
      </c>
    </row>
    <row r="779" spans="2:29">
      <c r="B779" s="19" t="s">
        <v>26</v>
      </c>
      <c r="C779" s="19" t="s">
        <v>1901</v>
      </c>
      <c r="D779" s="19" t="s">
        <v>1902</v>
      </c>
      <c r="E779" s="19" t="s">
        <v>29</v>
      </c>
      <c r="F779" s="19" t="s">
        <v>30</v>
      </c>
      <c r="G779" s="19" t="s">
        <v>31</v>
      </c>
      <c r="J779" s="19" t="s">
        <v>1901</v>
      </c>
      <c r="K779" s="19" t="s">
        <v>32</v>
      </c>
      <c r="L779" s="19" t="s">
        <v>1899</v>
      </c>
      <c r="M779" s="19">
        <v>88.9549921786477</v>
      </c>
      <c r="N779" s="19">
        <v>1054</v>
      </c>
      <c r="O779" s="19">
        <v>0.132817999196464</v>
      </c>
      <c r="P779" s="19" t="s">
        <v>1900</v>
      </c>
      <c r="Q779" s="19">
        <v>1.86675</v>
      </c>
      <c r="R779">
        <f t="shared" si="48"/>
        <v>10.54</v>
      </c>
      <c r="T779" s="15" t="s">
        <v>290</v>
      </c>
      <c r="U779" s="17"/>
      <c r="V779" s="16" t="str">
        <f t="shared" si="49"/>
        <v>EN_SPV_13_c02_VNM</v>
      </c>
      <c r="W779" s="12">
        <f t="shared" si="50"/>
        <v>1054</v>
      </c>
      <c r="X779" s="11">
        <f t="shared" si="51"/>
        <v>1054</v>
      </c>
      <c r="Y779" s="17">
        <v>3</v>
      </c>
      <c r="Z779" s="17"/>
      <c r="AC779" s="19" t="s">
        <v>1901</v>
      </c>
    </row>
    <row r="780" spans="2:29">
      <c r="B780" s="19" t="s">
        <v>26</v>
      </c>
      <c r="C780" s="19" t="s">
        <v>1903</v>
      </c>
      <c r="D780" s="19" t="s">
        <v>1904</v>
      </c>
      <c r="E780" s="19" t="s">
        <v>29</v>
      </c>
      <c r="F780" s="19" t="s">
        <v>30</v>
      </c>
      <c r="G780" s="19" t="s">
        <v>31</v>
      </c>
      <c r="J780" s="19" t="s">
        <v>1903</v>
      </c>
      <c r="K780" s="19" t="s">
        <v>32</v>
      </c>
      <c r="L780" s="19" t="s">
        <v>1899</v>
      </c>
      <c r="M780" s="19">
        <v>101.208996203257</v>
      </c>
      <c r="N780" s="19">
        <v>1054</v>
      </c>
      <c r="O780" s="19">
        <v>0.12920021163088</v>
      </c>
      <c r="P780" s="19" t="s">
        <v>1900</v>
      </c>
      <c r="Q780" s="19">
        <v>17.01075</v>
      </c>
      <c r="R780">
        <f t="shared" si="48"/>
        <v>10.54</v>
      </c>
      <c r="T780" s="15" t="s">
        <v>290</v>
      </c>
      <c r="U780" s="17"/>
      <c r="V780" s="16" t="str">
        <f t="shared" si="49"/>
        <v>EN_SPV_13_c03_VNM</v>
      </c>
      <c r="W780" s="12">
        <f t="shared" si="50"/>
        <v>1054</v>
      </c>
      <c r="X780" s="11">
        <f t="shared" si="51"/>
        <v>1054</v>
      </c>
      <c r="Y780" s="17">
        <v>3</v>
      </c>
      <c r="Z780" s="17"/>
      <c r="AC780" s="19" t="s">
        <v>1903</v>
      </c>
    </row>
    <row r="781" spans="2:29">
      <c r="B781" s="19" t="s">
        <v>26</v>
      </c>
      <c r="C781" s="19" t="s">
        <v>1905</v>
      </c>
      <c r="D781" s="19" t="s">
        <v>1906</v>
      </c>
      <c r="E781" s="19" t="s">
        <v>29</v>
      </c>
      <c r="F781" s="19" t="s">
        <v>30</v>
      </c>
      <c r="G781" s="19" t="s">
        <v>31</v>
      </c>
      <c r="J781" s="19" t="s">
        <v>1905</v>
      </c>
      <c r="K781" s="19" t="s">
        <v>32</v>
      </c>
      <c r="L781" s="19" t="s">
        <v>1899</v>
      </c>
      <c r="M781" s="19">
        <v>88.9549921786477</v>
      </c>
      <c r="N781" s="19">
        <v>1054</v>
      </c>
      <c r="O781" s="19">
        <v>0.14161343393063</v>
      </c>
      <c r="P781" s="19" t="s">
        <v>1900</v>
      </c>
      <c r="Q781" s="19">
        <v>14.3145</v>
      </c>
      <c r="R781">
        <f t="shared" si="48"/>
        <v>10.54</v>
      </c>
      <c r="T781" s="15" t="s">
        <v>290</v>
      </c>
      <c r="U781" s="17"/>
      <c r="V781" s="16" t="str">
        <f t="shared" si="49"/>
        <v>EN_SPV_14_c02_VNM</v>
      </c>
      <c r="W781" s="12">
        <f t="shared" si="50"/>
        <v>1054</v>
      </c>
      <c r="X781" s="11">
        <f t="shared" si="51"/>
        <v>1054</v>
      </c>
      <c r="Y781" s="17">
        <v>3</v>
      </c>
      <c r="Z781" s="17"/>
      <c r="AC781" s="19" t="s">
        <v>1905</v>
      </c>
    </row>
    <row r="782" spans="2:29">
      <c r="B782" s="19" t="s">
        <v>26</v>
      </c>
      <c r="C782" s="19" t="s">
        <v>1907</v>
      </c>
      <c r="D782" s="19" t="s">
        <v>1908</v>
      </c>
      <c r="E782" s="19" t="s">
        <v>29</v>
      </c>
      <c r="F782" s="19" t="s">
        <v>30</v>
      </c>
      <c r="G782" s="19" t="s">
        <v>31</v>
      </c>
      <c r="J782" s="19" t="s">
        <v>1907</v>
      </c>
      <c r="K782" s="19" t="s">
        <v>32</v>
      </c>
      <c r="L782" s="19" t="s">
        <v>1899</v>
      </c>
      <c r="M782" s="19">
        <v>101.208996203257</v>
      </c>
      <c r="N782" s="19">
        <v>1054</v>
      </c>
      <c r="O782" s="19">
        <v>0.142165133864705</v>
      </c>
      <c r="P782" s="19" t="s">
        <v>1900</v>
      </c>
      <c r="Q782" s="19">
        <v>7.3395</v>
      </c>
      <c r="R782">
        <f t="shared" si="48"/>
        <v>10.54</v>
      </c>
      <c r="T782" s="15" t="s">
        <v>290</v>
      </c>
      <c r="U782" s="17"/>
      <c r="V782" s="16" t="str">
        <f t="shared" si="49"/>
        <v>EN_SPV_14_c03_VNM</v>
      </c>
      <c r="W782" s="12">
        <f t="shared" si="50"/>
        <v>1054</v>
      </c>
      <c r="X782" s="11">
        <f t="shared" si="51"/>
        <v>1054</v>
      </c>
      <c r="Y782" s="17">
        <v>3</v>
      </c>
      <c r="Z782" s="17"/>
      <c r="AC782" s="19" t="s">
        <v>1907</v>
      </c>
    </row>
    <row r="783" spans="2:29">
      <c r="B783" s="19" t="s">
        <v>26</v>
      </c>
      <c r="C783" s="19" t="s">
        <v>1909</v>
      </c>
      <c r="D783" s="19" t="s">
        <v>1910</v>
      </c>
      <c r="E783" s="19" t="s">
        <v>29</v>
      </c>
      <c r="F783" s="19" t="s">
        <v>30</v>
      </c>
      <c r="G783" s="19" t="s">
        <v>31</v>
      </c>
      <c r="J783" s="19" t="s">
        <v>1909</v>
      </c>
      <c r="K783" s="19" t="s">
        <v>32</v>
      </c>
      <c r="L783" s="19" t="s">
        <v>1899</v>
      </c>
      <c r="M783" s="19">
        <v>88.9549921786477</v>
      </c>
      <c r="N783" s="19">
        <v>1054</v>
      </c>
      <c r="O783" s="19">
        <v>0.149725455401086</v>
      </c>
      <c r="P783" s="19" t="s">
        <v>1900</v>
      </c>
      <c r="Q783" s="19">
        <v>76.4985</v>
      </c>
      <c r="R783">
        <f t="shared" si="48"/>
        <v>10.54</v>
      </c>
      <c r="T783" s="15" t="s">
        <v>290</v>
      </c>
      <c r="U783" s="17"/>
      <c r="V783" s="16" t="str">
        <f t="shared" si="49"/>
        <v>EN_SPV_15_c02_VNM</v>
      </c>
      <c r="W783" s="12">
        <f t="shared" si="50"/>
        <v>1054</v>
      </c>
      <c r="X783" s="11">
        <f t="shared" si="51"/>
        <v>1054</v>
      </c>
      <c r="Y783" s="17">
        <v>3</v>
      </c>
      <c r="Z783" s="17"/>
      <c r="AC783" s="19" t="s">
        <v>1909</v>
      </c>
    </row>
    <row r="784" spans="2:29">
      <c r="B784" s="19" t="s">
        <v>26</v>
      </c>
      <c r="C784" s="19" t="s">
        <v>1911</v>
      </c>
      <c r="D784" s="19" t="s">
        <v>1912</v>
      </c>
      <c r="E784" s="19" t="s">
        <v>29</v>
      </c>
      <c r="F784" s="19" t="s">
        <v>30</v>
      </c>
      <c r="G784" s="19" t="s">
        <v>31</v>
      </c>
      <c r="J784" s="19" t="s">
        <v>1911</v>
      </c>
      <c r="K784" s="19" t="s">
        <v>32</v>
      </c>
      <c r="L784" s="19" t="s">
        <v>1899</v>
      </c>
      <c r="M784" s="19">
        <v>101.208996203257</v>
      </c>
      <c r="N784" s="19">
        <v>1054</v>
      </c>
      <c r="O784" s="19">
        <v>0.147005403319182</v>
      </c>
      <c r="P784" s="19" t="s">
        <v>1900</v>
      </c>
      <c r="Q784" s="19">
        <v>1.94325</v>
      </c>
      <c r="R784">
        <f t="shared" si="48"/>
        <v>10.54</v>
      </c>
      <c r="T784" s="15" t="s">
        <v>290</v>
      </c>
      <c r="U784" s="17"/>
      <c r="V784" s="16" t="str">
        <f t="shared" si="49"/>
        <v>EN_SPV_15_c03_VNM</v>
      </c>
      <c r="W784" s="12">
        <f t="shared" si="50"/>
        <v>1054</v>
      </c>
      <c r="X784" s="11">
        <f t="shared" si="51"/>
        <v>1054</v>
      </c>
      <c r="Y784" s="17">
        <v>3</v>
      </c>
      <c r="Z784" s="17"/>
      <c r="AC784" s="19" t="s">
        <v>1911</v>
      </c>
    </row>
    <row r="785" spans="2:29">
      <c r="B785" s="19" t="s">
        <v>26</v>
      </c>
      <c r="C785" s="19" t="s">
        <v>1913</v>
      </c>
      <c r="D785" s="19" t="s">
        <v>1914</v>
      </c>
      <c r="E785" s="19" t="s">
        <v>29</v>
      </c>
      <c r="F785" s="19" t="s">
        <v>30</v>
      </c>
      <c r="G785" s="19" t="s">
        <v>31</v>
      </c>
      <c r="J785" s="19" t="s">
        <v>1913</v>
      </c>
      <c r="K785" s="19" t="s">
        <v>32</v>
      </c>
      <c r="L785" s="19" t="s">
        <v>1899</v>
      </c>
      <c r="M785" s="19">
        <v>0</v>
      </c>
      <c r="N785" s="19">
        <v>1054</v>
      </c>
      <c r="O785" s="19">
        <v>0.15935695325505</v>
      </c>
      <c r="P785" s="19" t="s">
        <v>1900</v>
      </c>
      <c r="Q785" s="19">
        <v>33.3405</v>
      </c>
      <c r="R785">
        <f t="shared" si="48"/>
        <v>10.54</v>
      </c>
      <c r="T785" s="15" t="s">
        <v>290</v>
      </c>
      <c r="U785" s="17"/>
      <c r="V785" s="16" t="str">
        <f t="shared" si="49"/>
        <v>EN_SPV_16_c01_VNM</v>
      </c>
      <c r="W785" s="12">
        <f t="shared" si="50"/>
        <v>1054</v>
      </c>
      <c r="X785" s="11">
        <f t="shared" si="51"/>
        <v>1054</v>
      </c>
      <c r="Y785" s="17">
        <v>3</v>
      </c>
      <c r="Z785" s="17"/>
      <c r="AC785" s="19" t="s">
        <v>1913</v>
      </c>
    </row>
    <row r="786" spans="2:29">
      <c r="B786" s="19" t="s">
        <v>26</v>
      </c>
      <c r="C786" s="19" t="s">
        <v>1915</v>
      </c>
      <c r="D786" s="19" t="s">
        <v>1916</v>
      </c>
      <c r="E786" s="19" t="s">
        <v>29</v>
      </c>
      <c r="F786" s="19" t="s">
        <v>30</v>
      </c>
      <c r="G786" s="19" t="s">
        <v>31</v>
      </c>
      <c r="J786" s="19" t="s">
        <v>1915</v>
      </c>
      <c r="K786" s="19" t="s">
        <v>32</v>
      </c>
      <c r="L786" s="19" t="s">
        <v>1899</v>
      </c>
      <c r="M786" s="19">
        <v>88.9549921786477</v>
      </c>
      <c r="N786" s="19">
        <v>1054</v>
      </c>
      <c r="O786" s="19">
        <v>0.158691739791964</v>
      </c>
      <c r="P786" s="19" t="s">
        <v>1900</v>
      </c>
      <c r="Q786" s="19">
        <v>156.7515</v>
      </c>
      <c r="R786">
        <f t="shared" si="48"/>
        <v>10.54</v>
      </c>
      <c r="T786" s="15" t="s">
        <v>290</v>
      </c>
      <c r="U786" s="17"/>
      <c r="V786" s="16" t="str">
        <f t="shared" si="49"/>
        <v>EN_SPV_16_c02_VNM</v>
      </c>
      <c r="W786" s="12">
        <f t="shared" si="50"/>
        <v>1054</v>
      </c>
      <c r="X786" s="11">
        <f t="shared" si="51"/>
        <v>1054</v>
      </c>
      <c r="Y786" s="17">
        <v>3</v>
      </c>
      <c r="Z786" s="17"/>
      <c r="AC786" s="19" t="s">
        <v>1915</v>
      </c>
    </row>
    <row r="787" spans="2:29">
      <c r="B787" s="19" t="s">
        <v>26</v>
      </c>
      <c r="C787" s="19" t="s">
        <v>1917</v>
      </c>
      <c r="D787" s="19" t="s">
        <v>1918</v>
      </c>
      <c r="E787" s="19" t="s">
        <v>29</v>
      </c>
      <c r="F787" s="19" t="s">
        <v>30</v>
      </c>
      <c r="G787" s="19" t="s">
        <v>31</v>
      </c>
      <c r="J787" s="19" t="s">
        <v>1917</v>
      </c>
      <c r="K787" s="19" t="s">
        <v>32</v>
      </c>
      <c r="L787" s="19" t="s">
        <v>1899</v>
      </c>
      <c r="M787" s="19">
        <v>0</v>
      </c>
      <c r="N787" s="19">
        <v>1054</v>
      </c>
      <c r="O787" s="19">
        <v>0.170087250904055</v>
      </c>
      <c r="P787" s="19" t="s">
        <v>1900</v>
      </c>
      <c r="Q787" s="19">
        <v>9.74775</v>
      </c>
      <c r="R787">
        <f t="shared" si="48"/>
        <v>10.54</v>
      </c>
      <c r="T787" s="15" t="s">
        <v>290</v>
      </c>
      <c r="U787" s="17"/>
      <c r="V787" s="16" t="str">
        <f t="shared" si="49"/>
        <v>EN_SPV_17_c01_VNM</v>
      </c>
      <c r="W787" s="12">
        <f t="shared" si="50"/>
        <v>1054</v>
      </c>
      <c r="X787" s="11">
        <f t="shared" si="51"/>
        <v>1054</v>
      </c>
      <c r="Y787" s="17">
        <v>3</v>
      </c>
      <c r="Z787" s="17"/>
      <c r="AC787" s="19" t="s">
        <v>1917</v>
      </c>
    </row>
    <row r="788" spans="2:29">
      <c r="B788" s="19" t="s">
        <v>26</v>
      </c>
      <c r="C788" s="19" t="s">
        <v>1919</v>
      </c>
      <c r="D788" s="19" t="s">
        <v>1920</v>
      </c>
      <c r="E788" s="19" t="s">
        <v>29</v>
      </c>
      <c r="F788" s="19" t="s">
        <v>30</v>
      </c>
      <c r="G788" s="19" t="s">
        <v>31</v>
      </c>
      <c r="J788" s="19" t="s">
        <v>1919</v>
      </c>
      <c r="K788" s="19" t="s">
        <v>32</v>
      </c>
      <c r="L788" s="19" t="s">
        <v>1899</v>
      </c>
      <c r="M788" s="19">
        <v>88.9549921786477</v>
      </c>
      <c r="N788" s="19">
        <v>1054</v>
      </c>
      <c r="O788" s="19">
        <v>0.165</v>
      </c>
      <c r="P788" s="19" t="s">
        <v>1900</v>
      </c>
      <c r="Q788" s="19">
        <v>3.7965</v>
      </c>
      <c r="R788">
        <f t="shared" si="48"/>
        <v>10.54</v>
      </c>
      <c r="T788" s="15" t="s">
        <v>290</v>
      </c>
      <c r="U788" s="17"/>
      <c r="V788" s="16" t="str">
        <f t="shared" si="49"/>
        <v>EN_SPV_17_c02_VNM</v>
      </c>
      <c r="W788" s="12">
        <f t="shared" si="50"/>
        <v>1054</v>
      </c>
      <c r="X788" s="11">
        <f t="shared" si="51"/>
        <v>1054</v>
      </c>
      <c r="Y788" s="17">
        <v>3</v>
      </c>
      <c r="Z788" s="17"/>
      <c r="AC788" s="19" t="s">
        <v>1919</v>
      </c>
    </row>
    <row r="789" spans="2:29">
      <c r="B789" s="19" t="s">
        <v>26</v>
      </c>
      <c r="C789" s="19" t="s">
        <v>1921</v>
      </c>
      <c r="D789" s="19" t="s">
        <v>1922</v>
      </c>
      <c r="E789" s="19" t="s">
        <v>29</v>
      </c>
      <c r="F789" s="19" t="s">
        <v>30</v>
      </c>
      <c r="G789" s="19" t="s">
        <v>31</v>
      </c>
      <c r="J789" s="19" t="s">
        <v>1921</v>
      </c>
      <c r="K789" s="19" t="s">
        <v>32</v>
      </c>
      <c r="L789" s="19" t="s">
        <v>1923</v>
      </c>
      <c r="M789" s="19">
        <v>138.878712278909</v>
      </c>
      <c r="N789" s="19">
        <v>1236</v>
      </c>
      <c r="O789" s="19">
        <v>0.145</v>
      </c>
      <c r="P789" s="19" t="s">
        <v>1924</v>
      </c>
      <c r="Q789" s="19">
        <v>0.11775</v>
      </c>
      <c r="R789">
        <f t="shared" si="48"/>
        <v>12.36</v>
      </c>
      <c r="T789" s="15" t="s">
        <v>290</v>
      </c>
      <c r="U789" s="17"/>
      <c r="V789" s="16" t="str">
        <f t="shared" si="49"/>
        <v>EN_SPV_14_c04_VUT</v>
      </c>
      <c r="W789" s="12">
        <f t="shared" si="50"/>
        <v>1236</v>
      </c>
      <c r="X789" s="11">
        <f t="shared" si="51"/>
        <v>1236</v>
      </c>
      <c r="Y789" s="17">
        <v>3</v>
      </c>
      <c r="Z789" s="17"/>
      <c r="AC789" s="19" t="s">
        <v>1921</v>
      </c>
    </row>
    <row r="790" spans="2:29">
      <c r="B790" s="19" t="s">
        <v>26</v>
      </c>
      <c r="C790" s="19" t="s">
        <v>1925</v>
      </c>
      <c r="D790" s="19" t="s">
        <v>1926</v>
      </c>
      <c r="E790" s="19" t="s">
        <v>29</v>
      </c>
      <c r="F790" s="19" t="s">
        <v>30</v>
      </c>
      <c r="G790" s="19" t="s">
        <v>31</v>
      </c>
      <c r="J790" s="19" t="s">
        <v>1925</v>
      </c>
      <c r="K790" s="19" t="s">
        <v>32</v>
      </c>
      <c r="L790" s="19" t="s">
        <v>1927</v>
      </c>
      <c r="M790" s="19">
        <v>101.208996203257</v>
      </c>
      <c r="N790" s="19">
        <v>859</v>
      </c>
      <c r="O790" s="19">
        <v>0.216839159493129</v>
      </c>
      <c r="P790" s="19" t="s">
        <v>1928</v>
      </c>
      <c r="Q790" s="19">
        <v>70.13625</v>
      </c>
      <c r="R790">
        <f t="shared" si="48"/>
        <v>8.59</v>
      </c>
      <c r="T790" s="15" t="s">
        <v>80</v>
      </c>
      <c r="U790" s="17"/>
      <c r="V790" s="16" t="str">
        <f t="shared" si="49"/>
        <v>EN_SPV_22_c03_YEM</v>
      </c>
      <c r="W790" s="12">
        <f t="shared" si="50"/>
        <v>859</v>
      </c>
      <c r="X790" s="11">
        <f t="shared" si="51"/>
        <v>859</v>
      </c>
      <c r="Y790" s="17">
        <v>3</v>
      </c>
      <c r="Z790" s="17"/>
      <c r="AC790" s="19" t="s">
        <v>1925</v>
      </c>
    </row>
    <row r="791" spans="2:29">
      <c r="B791" s="19" t="s">
        <v>26</v>
      </c>
      <c r="C791" s="19" t="s">
        <v>1929</v>
      </c>
      <c r="D791" s="19" t="s">
        <v>1930</v>
      </c>
      <c r="E791" s="19" t="s">
        <v>29</v>
      </c>
      <c r="F791" s="19" t="s">
        <v>30</v>
      </c>
      <c r="G791" s="19" t="s">
        <v>31</v>
      </c>
      <c r="J791" s="19" t="s">
        <v>1929</v>
      </c>
      <c r="K791" s="19" t="s">
        <v>32</v>
      </c>
      <c r="L791" s="19" t="s">
        <v>1931</v>
      </c>
      <c r="M791" s="19">
        <v>0</v>
      </c>
      <c r="N791" s="19">
        <v>1321</v>
      </c>
      <c r="O791" s="19">
        <v>0.209091295145867</v>
      </c>
      <c r="P791" s="19" t="s">
        <v>1932</v>
      </c>
      <c r="Q791" s="19">
        <v>492.57</v>
      </c>
      <c r="R791">
        <f t="shared" si="48"/>
        <v>13.21</v>
      </c>
      <c r="T791" s="15" t="s">
        <v>54</v>
      </c>
      <c r="U791" s="17"/>
      <c r="V791" s="16" t="str">
        <f t="shared" si="49"/>
        <v>EN_SPV_21_c01_ZAF</v>
      </c>
      <c r="W791" s="12">
        <f t="shared" si="50"/>
        <v>1321</v>
      </c>
      <c r="X791" s="11">
        <f t="shared" si="51"/>
        <v>1321</v>
      </c>
      <c r="Y791" s="17">
        <v>3</v>
      </c>
      <c r="Z791" s="17"/>
      <c r="AC791" s="19" t="s">
        <v>1929</v>
      </c>
    </row>
    <row r="792" spans="2:29">
      <c r="B792" s="19" t="s">
        <v>26</v>
      </c>
      <c r="C792" s="19" t="s">
        <v>1933</v>
      </c>
      <c r="D792" s="19" t="s">
        <v>1934</v>
      </c>
      <c r="E792" s="19" t="s">
        <v>29</v>
      </c>
      <c r="F792" s="19" t="s">
        <v>30</v>
      </c>
      <c r="G792" s="19" t="s">
        <v>31</v>
      </c>
      <c r="J792" s="19" t="s">
        <v>1933</v>
      </c>
      <c r="K792" s="19" t="s">
        <v>32</v>
      </c>
      <c r="L792" s="19" t="s">
        <v>1931</v>
      </c>
      <c r="M792" s="19">
        <v>88.9549921786477</v>
      </c>
      <c r="N792" s="19">
        <v>1321</v>
      </c>
      <c r="O792" s="19">
        <v>0.210069533559224</v>
      </c>
      <c r="P792" s="19" t="s">
        <v>1932</v>
      </c>
      <c r="Q792" s="19">
        <v>62.4195</v>
      </c>
      <c r="R792">
        <f t="shared" si="48"/>
        <v>13.21</v>
      </c>
      <c r="T792" s="15" t="s">
        <v>54</v>
      </c>
      <c r="U792" s="17"/>
      <c r="V792" s="16" t="str">
        <f t="shared" si="49"/>
        <v>EN_SPV_21_c02_ZAF</v>
      </c>
      <c r="W792" s="12">
        <f t="shared" si="50"/>
        <v>1321</v>
      </c>
      <c r="X792" s="11">
        <f t="shared" si="51"/>
        <v>1321</v>
      </c>
      <c r="Y792" s="17">
        <v>3</v>
      </c>
      <c r="Z792" s="17"/>
      <c r="AC792" s="19" t="s">
        <v>1933</v>
      </c>
    </row>
    <row r="793" spans="2:29">
      <c r="B793" s="19" t="s">
        <v>26</v>
      </c>
      <c r="C793" s="19" t="s">
        <v>1935</v>
      </c>
      <c r="D793" s="19" t="s">
        <v>1936</v>
      </c>
      <c r="E793" s="19" t="s">
        <v>29</v>
      </c>
      <c r="F793" s="19" t="s">
        <v>30</v>
      </c>
      <c r="G793" s="19" t="s">
        <v>31</v>
      </c>
      <c r="J793" s="19" t="s">
        <v>1935</v>
      </c>
      <c r="K793" s="19" t="s">
        <v>32</v>
      </c>
      <c r="L793" s="19" t="s">
        <v>1931</v>
      </c>
      <c r="M793" s="19">
        <v>101.208996203257</v>
      </c>
      <c r="N793" s="19">
        <v>1321</v>
      </c>
      <c r="O793" s="19">
        <v>0.214</v>
      </c>
      <c r="P793" s="19" t="s">
        <v>1932</v>
      </c>
      <c r="Q793" s="19">
        <v>10.82925</v>
      </c>
      <c r="R793">
        <f t="shared" si="48"/>
        <v>13.21</v>
      </c>
      <c r="T793" s="15" t="s">
        <v>54</v>
      </c>
      <c r="U793" s="17"/>
      <c r="V793" s="16" t="str">
        <f t="shared" si="49"/>
        <v>EN_SPV_21_c03_ZAF</v>
      </c>
      <c r="W793" s="12">
        <f t="shared" si="50"/>
        <v>1321</v>
      </c>
      <c r="X793" s="11">
        <f t="shared" si="51"/>
        <v>1321</v>
      </c>
      <c r="Y793" s="17">
        <v>3</v>
      </c>
      <c r="Z793" s="17"/>
      <c r="AC793" s="19" t="s">
        <v>1935</v>
      </c>
    </row>
    <row r="794" spans="2:29">
      <c r="B794" s="19" t="s">
        <v>26</v>
      </c>
      <c r="C794" s="19" t="s">
        <v>1937</v>
      </c>
      <c r="D794" s="19" t="s">
        <v>1938</v>
      </c>
      <c r="E794" s="19" t="s">
        <v>29</v>
      </c>
      <c r="F794" s="19" t="s">
        <v>30</v>
      </c>
      <c r="G794" s="19" t="s">
        <v>31</v>
      </c>
      <c r="J794" s="19" t="s">
        <v>1937</v>
      </c>
      <c r="K794" s="19" t="s">
        <v>32</v>
      </c>
      <c r="L794" s="19" t="s">
        <v>1931</v>
      </c>
      <c r="M794" s="19">
        <v>0</v>
      </c>
      <c r="N794" s="19">
        <v>1321</v>
      </c>
      <c r="O794" s="19">
        <v>0.217175978703046</v>
      </c>
      <c r="P794" s="19" t="s">
        <v>1932</v>
      </c>
      <c r="Q794" s="19">
        <v>255.5295</v>
      </c>
      <c r="R794">
        <f t="shared" si="48"/>
        <v>13.21</v>
      </c>
      <c r="T794" s="15" t="s">
        <v>54</v>
      </c>
      <c r="U794" s="17"/>
      <c r="V794" s="16" t="str">
        <f t="shared" si="49"/>
        <v>EN_SPV_22_c01_ZAF</v>
      </c>
      <c r="W794" s="12">
        <f t="shared" si="50"/>
        <v>1321</v>
      </c>
      <c r="X794" s="11">
        <f t="shared" si="51"/>
        <v>1321</v>
      </c>
      <c r="Y794" s="17">
        <v>3</v>
      </c>
      <c r="Z794" s="17"/>
      <c r="AC794" s="19" t="s">
        <v>1937</v>
      </c>
    </row>
    <row r="795" spans="2:29">
      <c r="B795" s="19" t="s">
        <v>26</v>
      </c>
      <c r="C795" s="19" t="s">
        <v>1939</v>
      </c>
      <c r="D795" s="19" t="s">
        <v>1940</v>
      </c>
      <c r="E795" s="19" t="s">
        <v>29</v>
      </c>
      <c r="F795" s="19" t="s">
        <v>30</v>
      </c>
      <c r="G795" s="19" t="s">
        <v>31</v>
      </c>
      <c r="J795" s="19" t="s">
        <v>1939</v>
      </c>
      <c r="K795" s="19" t="s">
        <v>32</v>
      </c>
      <c r="L795" s="19" t="s">
        <v>1931</v>
      </c>
      <c r="M795" s="19">
        <v>88.9549921786477</v>
      </c>
      <c r="N795" s="19">
        <v>1321</v>
      </c>
      <c r="O795" s="19">
        <v>0.216280766583884</v>
      </c>
      <c r="P795" s="19" t="s">
        <v>1932</v>
      </c>
      <c r="Q795" s="19">
        <v>100.263</v>
      </c>
      <c r="R795">
        <f t="shared" si="48"/>
        <v>13.21</v>
      </c>
      <c r="T795" s="15" t="s">
        <v>54</v>
      </c>
      <c r="U795" s="17"/>
      <c r="V795" s="16" t="str">
        <f t="shared" si="49"/>
        <v>EN_SPV_22_c02_ZAF</v>
      </c>
      <c r="W795" s="12">
        <f t="shared" si="50"/>
        <v>1321</v>
      </c>
      <c r="X795" s="11">
        <f t="shared" si="51"/>
        <v>1321</v>
      </c>
      <c r="Y795" s="17">
        <v>3</v>
      </c>
      <c r="Z795" s="17"/>
      <c r="AC795" s="19" t="s">
        <v>1939</v>
      </c>
    </row>
    <row r="796" spans="2:29">
      <c r="B796" s="19" t="s">
        <v>26</v>
      </c>
      <c r="C796" s="19" t="s">
        <v>1941</v>
      </c>
      <c r="D796" s="19" t="s">
        <v>1942</v>
      </c>
      <c r="E796" s="19" t="s">
        <v>29</v>
      </c>
      <c r="F796" s="19" t="s">
        <v>30</v>
      </c>
      <c r="G796" s="19" t="s">
        <v>31</v>
      </c>
      <c r="J796" s="19" t="s">
        <v>1941</v>
      </c>
      <c r="K796" s="19" t="s">
        <v>32</v>
      </c>
      <c r="L796" s="19" t="s">
        <v>1931</v>
      </c>
      <c r="M796" s="19">
        <v>101.208996203257</v>
      </c>
      <c r="N796" s="19">
        <v>1321</v>
      </c>
      <c r="O796" s="19">
        <v>0.215892379830293</v>
      </c>
      <c r="P796" s="19" t="s">
        <v>1932</v>
      </c>
      <c r="Q796" s="19">
        <v>63.02025</v>
      </c>
      <c r="R796">
        <f t="shared" si="48"/>
        <v>13.21</v>
      </c>
      <c r="T796" s="15" t="s">
        <v>54</v>
      </c>
      <c r="U796" s="17"/>
      <c r="V796" s="16" t="str">
        <f t="shared" si="49"/>
        <v>EN_SPV_22_c03_ZAF</v>
      </c>
      <c r="W796" s="12">
        <f t="shared" si="50"/>
        <v>1321</v>
      </c>
      <c r="X796" s="11">
        <f t="shared" si="51"/>
        <v>1321</v>
      </c>
      <c r="Y796" s="17">
        <v>3</v>
      </c>
      <c r="Z796" s="17"/>
      <c r="AC796" s="19" t="s">
        <v>1941</v>
      </c>
    </row>
    <row r="797" spans="2:29">
      <c r="B797" s="19" t="s">
        <v>26</v>
      </c>
      <c r="C797" s="19" t="s">
        <v>1943</v>
      </c>
      <c r="D797" s="19" t="s">
        <v>1944</v>
      </c>
      <c r="E797" s="19" t="s">
        <v>29</v>
      </c>
      <c r="F797" s="19" t="s">
        <v>30</v>
      </c>
      <c r="G797" s="19" t="s">
        <v>31</v>
      </c>
      <c r="J797" s="19" t="s">
        <v>1943</v>
      </c>
      <c r="K797" s="19" t="s">
        <v>32</v>
      </c>
      <c r="L797" s="19" t="s">
        <v>1945</v>
      </c>
      <c r="M797" s="19">
        <v>138.878712278909</v>
      </c>
      <c r="N797" s="19">
        <v>1134</v>
      </c>
      <c r="O797" s="19">
        <v>0.194</v>
      </c>
      <c r="P797" s="19" t="s">
        <v>1946</v>
      </c>
      <c r="Q797" s="19">
        <v>4.155</v>
      </c>
      <c r="R797">
        <f t="shared" si="48"/>
        <v>11.34</v>
      </c>
      <c r="T797" s="15" t="s">
        <v>54</v>
      </c>
      <c r="U797" s="17"/>
      <c r="V797" s="16" t="str">
        <f t="shared" si="49"/>
        <v>EN_SPV_19_c04_ZMB</v>
      </c>
      <c r="W797" s="12">
        <f t="shared" si="50"/>
        <v>1134</v>
      </c>
      <c r="X797" s="11">
        <f t="shared" si="51"/>
        <v>1134</v>
      </c>
      <c r="Y797" s="17">
        <v>3</v>
      </c>
      <c r="Z797" s="17"/>
      <c r="AC797" s="19" t="s">
        <v>1943</v>
      </c>
    </row>
    <row r="798" spans="2:29">
      <c r="B798" s="19" t="s">
        <v>26</v>
      </c>
      <c r="C798" s="19" t="s">
        <v>1947</v>
      </c>
      <c r="D798" s="19" t="s">
        <v>1948</v>
      </c>
      <c r="E798" s="19" t="s">
        <v>29</v>
      </c>
      <c r="F798" s="19" t="s">
        <v>30</v>
      </c>
      <c r="G798" s="19" t="s">
        <v>31</v>
      </c>
      <c r="J798" s="19" t="s">
        <v>1947</v>
      </c>
      <c r="K798" s="19" t="s">
        <v>32</v>
      </c>
      <c r="L798" s="19" t="s">
        <v>1945</v>
      </c>
      <c r="M798" s="19">
        <v>0</v>
      </c>
      <c r="N798" s="19">
        <v>1134</v>
      </c>
      <c r="O798" s="19">
        <v>0.196380522945571</v>
      </c>
      <c r="P798" s="19" t="s">
        <v>1946</v>
      </c>
      <c r="Q798" s="19">
        <v>28.11</v>
      </c>
      <c r="R798">
        <f t="shared" si="48"/>
        <v>11.34</v>
      </c>
      <c r="T798" s="15" t="s">
        <v>54</v>
      </c>
      <c r="U798" s="17"/>
      <c r="V798" s="16" t="str">
        <f t="shared" si="49"/>
        <v>EN_SPV_20_c01_ZMB</v>
      </c>
      <c r="W798" s="12">
        <f t="shared" si="50"/>
        <v>1134</v>
      </c>
      <c r="X798" s="11">
        <f t="shared" si="51"/>
        <v>1134</v>
      </c>
      <c r="Y798" s="17">
        <v>3</v>
      </c>
      <c r="Z798" s="17"/>
      <c r="AC798" s="19" t="s">
        <v>1947</v>
      </c>
    </row>
    <row r="799" spans="2:29">
      <c r="B799" s="19" t="s">
        <v>26</v>
      </c>
      <c r="C799" s="19" t="s">
        <v>1949</v>
      </c>
      <c r="D799" s="19" t="s">
        <v>1950</v>
      </c>
      <c r="E799" s="19" t="s">
        <v>29</v>
      </c>
      <c r="F799" s="19" t="s">
        <v>30</v>
      </c>
      <c r="G799" s="19" t="s">
        <v>31</v>
      </c>
      <c r="J799" s="19" t="s">
        <v>1949</v>
      </c>
      <c r="K799" s="19" t="s">
        <v>32</v>
      </c>
      <c r="L799" s="19" t="s">
        <v>1945</v>
      </c>
      <c r="M799" s="19">
        <v>88.9549921786477</v>
      </c>
      <c r="N799" s="19">
        <v>1134</v>
      </c>
      <c r="O799" s="19">
        <v>0.196223474632921</v>
      </c>
      <c r="P799" s="19" t="s">
        <v>1946</v>
      </c>
      <c r="Q799" s="19">
        <v>32.53725</v>
      </c>
      <c r="R799">
        <f t="shared" si="48"/>
        <v>11.34</v>
      </c>
      <c r="T799" s="15" t="s">
        <v>54</v>
      </c>
      <c r="U799" s="17"/>
      <c r="V799" s="16" t="str">
        <f t="shared" si="49"/>
        <v>EN_SPV_20_c02_ZMB</v>
      </c>
      <c r="W799" s="12">
        <f t="shared" si="50"/>
        <v>1134</v>
      </c>
      <c r="X799" s="11">
        <f t="shared" si="51"/>
        <v>1134</v>
      </c>
      <c r="Y799" s="17">
        <v>3</v>
      </c>
      <c r="Z799" s="17"/>
      <c r="AC799" s="19" t="s">
        <v>1949</v>
      </c>
    </row>
    <row r="800" spans="2:29">
      <c r="B800" s="19" t="s">
        <v>26</v>
      </c>
      <c r="C800" s="19" t="s">
        <v>1951</v>
      </c>
      <c r="D800" s="19" t="s">
        <v>1952</v>
      </c>
      <c r="E800" s="19" t="s">
        <v>29</v>
      </c>
      <c r="F800" s="19" t="s">
        <v>30</v>
      </c>
      <c r="G800" s="19" t="s">
        <v>31</v>
      </c>
      <c r="J800" s="19" t="s">
        <v>1951</v>
      </c>
      <c r="K800" s="19" t="s">
        <v>32</v>
      </c>
      <c r="L800" s="19" t="s">
        <v>1945</v>
      </c>
      <c r="M800" s="19">
        <v>101.208996203257</v>
      </c>
      <c r="N800" s="19">
        <v>1134</v>
      </c>
      <c r="O800" s="19">
        <v>0.195278334967197</v>
      </c>
      <c r="P800" s="19" t="s">
        <v>1946</v>
      </c>
      <c r="Q800" s="19">
        <v>9.94575</v>
      </c>
      <c r="R800">
        <f t="shared" si="48"/>
        <v>11.34</v>
      </c>
      <c r="T800" s="15" t="s">
        <v>54</v>
      </c>
      <c r="U800" s="17"/>
      <c r="V800" s="16" t="str">
        <f t="shared" si="49"/>
        <v>EN_SPV_20_c03_ZMB</v>
      </c>
      <c r="W800" s="12">
        <f t="shared" si="50"/>
        <v>1134</v>
      </c>
      <c r="X800" s="11">
        <f t="shared" si="51"/>
        <v>1134</v>
      </c>
      <c r="Y800" s="17">
        <v>3</v>
      </c>
      <c r="Z800" s="17"/>
      <c r="AC800" s="19" t="s">
        <v>1951</v>
      </c>
    </row>
    <row r="801" spans="2:29">
      <c r="B801" s="19" t="s">
        <v>26</v>
      </c>
      <c r="C801" s="19" t="s">
        <v>1953</v>
      </c>
      <c r="D801" s="19" t="s">
        <v>1954</v>
      </c>
      <c r="E801" s="19" t="s">
        <v>29</v>
      </c>
      <c r="F801" s="19" t="s">
        <v>30</v>
      </c>
      <c r="G801" s="19" t="s">
        <v>31</v>
      </c>
      <c r="J801" s="19" t="s">
        <v>1953</v>
      </c>
      <c r="K801" s="19" t="s">
        <v>32</v>
      </c>
      <c r="L801" s="19" t="s">
        <v>1955</v>
      </c>
      <c r="M801" s="19">
        <v>0</v>
      </c>
      <c r="N801" s="19">
        <v>1420</v>
      </c>
      <c r="O801" s="19">
        <v>0.197230994564123</v>
      </c>
      <c r="P801" s="19" t="s">
        <v>1956</v>
      </c>
      <c r="Q801" s="19">
        <v>74.505</v>
      </c>
      <c r="R801">
        <f t="shared" si="48"/>
        <v>14.2</v>
      </c>
      <c r="T801" s="15" t="s">
        <v>54</v>
      </c>
      <c r="U801" s="17"/>
      <c r="V801" s="16" t="str">
        <f t="shared" si="49"/>
        <v>EN_SPV_20_c01_ZWE</v>
      </c>
      <c r="W801" s="12">
        <f t="shared" si="50"/>
        <v>1420</v>
      </c>
      <c r="X801" s="11">
        <f t="shared" si="51"/>
        <v>1420</v>
      </c>
      <c r="Y801" s="17">
        <v>3</v>
      </c>
      <c r="Z801" s="17"/>
      <c r="AC801" s="19" t="s">
        <v>1953</v>
      </c>
    </row>
    <row r="802" spans="2:29">
      <c r="B802" s="19" t="s">
        <v>26</v>
      </c>
      <c r="C802" s="19" t="s">
        <v>1957</v>
      </c>
      <c r="D802" s="19" t="s">
        <v>1958</v>
      </c>
      <c r="E802" s="19" t="s">
        <v>29</v>
      </c>
      <c r="F802" s="19" t="s">
        <v>30</v>
      </c>
      <c r="G802" s="19" t="s">
        <v>31</v>
      </c>
      <c r="J802" s="19" t="s">
        <v>1957</v>
      </c>
      <c r="K802" s="19" t="s">
        <v>32</v>
      </c>
      <c r="L802" s="19" t="s">
        <v>1955</v>
      </c>
      <c r="M802" s="19">
        <v>88.9549921786477</v>
      </c>
      <c r="N802" s="19">
        <v>1420</v>
      </c>
      <c r="O802" s="19">
        <v>0.197961896105712</v>
      </c>
      <c r="P802" s="19" t="s">
        <v>1956</v>
      </c>
      <c r="Q802" s="19">
        <v>10.72725</v>
      </c>
      <c r="R802">
        <f t="shared" si="48"/>
        <v>14.2</v>
      </c>
      <c r="T802" s="15" t="s">
        <v>54</v>
      </c>
      <c r="U802" s="17"/>
      <c r="V802" s="16" t="str">
        <f t="shared" si="49"/>
        <v>EN_SPV_20_c02_ZWE</v>
      </c>
      <c r="W802" s="12">
        <f t="shared" si="50"/>
        <v>1420</v>
      </c>
      <c r="X802" s="11">
        <f t="shared" si="51"/>
        <v>1420</v>
      </c>
      <c r="Y802" s="17">
        <v>3</v>
      </c>
      <c r="Z802" s="17"/>
      <c r="AC802" s="19" t="s">
        <v>1957</v>
      </c>
    </row>
    <row r="803" spans="2:29">
      <c r="B803" s="19" t="s">
        <v>26</v>
      </c>
      <c r="C803" s="19" t="s">
        <v>1959</v>
      </c>
      <c r="D803" s="19" t="s">
        <v>1960</v>
      </c>
      <c r="E803" s="19" t="s">
        <v>29</v>
      </c>
      <c r="F803" s="19" t="s">
        <v>30</v>
      </c>
      <c r="G803" s="19" t="s">
        <v>31</v>
      </c>
      <c r="J803" s="19" t="s">
        <v>1959</v>
      </c>
      <c r="K803" s="19" t="s">
        <v>32</v>
      </c>
      <c r="L803" s="19" t="s">
        <v>1955</v>
      </c>
      <c r="M803" s="19">
        <v>101.208996203257</v>
      </c>
      <c r="N803" s="19">
        <v>1420</v>
      </c>
      <c r="O803" s="19">
        <v>0.199518176216882</v>
      </c>
      <c r="P803" s="19" t="s">
        <v>1956</v>
      </c>
      <c r="Q803" s="19">
        <v>2.4345</v>
      </c>
      <c r="R803">
        <f t="shared" si="48"/>
        <v>14.2</v>
      </c>
      <c r="T803" s="15" t="s">
        <v>54</v>
      </c>
      <c r="U803" s="17"/>
      <c r="V803" s="16" t="str">
        <f t="shared" si="49"/>
        <v>EN_SPV_20_c03_ZWE</v>
      </c>
      <c r="W803" s="12">
        <f t="shared" si="50"/>
        <v>1420</v>
      </c>
      <c r="X803" s="11">
        <f t="shared" si="51"/>
        <v>1420</v>
      </c>
      <c r="Y803" s="17">
        <v>3</v>
      </c>
      <c r="Z803" s="17"/>
      <c r="AC803" s="19" t="s">
        <v>1959</v>
      </c>
    </row>
  </sheetData>
  <pageMargins left="0.7" right="0.7" top="0.75" bottom="0.75" header="0.3" footer="0.3"/>
  <pageSetup paperSize="1" orientation="portrait" verticalDpi="599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A2461"/>
  <sheetViews>
    <sheetView tabSelected="1" zoomScale="91" zoomScaleNormal="91" topLeftCell="AS1" workbookViewId="0">
      <selection activeCell="BB13" sqref="BB13"/>
    </sheetView>
  </sheetViews>
  <sheetFormatPr defaultColWidth="8.86363636363636" defaultRowHeight="14.5"/>
  <cols>
    <col min="2" max="2" width="11.2636363636364" customWidth="1"/>
    <col min="3" max="3" width="27.4" customWidth="1"/>
    <col min="4" max="4" width="56" customWidth="1"/>
    <col min="5" max="5" width="5.4" customWidth="1"/>
    <col min="6" max="6" width="5" customWidth="1"/>
    <col min="7" max="8" width="8.4" customWidth="1"/>
    <col min="9" max="9" width="10.2636363636364" customWidth="1"/>
    <col min="10" max="10" width="23.0909090909091" customWidth="1"/>
    <col min="11" max="11" width="25.8636363636364" customWidth="1"/>
    <col min="12" max="12" width="9.4" customWidth="1"/>
    <col min="13" max="13" width="13" style="8" customWidth="1"/>
    <col min="14" max="14" width="19.4545454545455" customWidth="1"/>
    <col min="15" max="15" width="16" customWidth="1"/>
    <col min="16" max="16" width="12.8181818181818" style="9"/>
    <col min="17" max="18" width="27.4" customWidth="1"/>
    <col min="20" max="20" width="73.8181818181818" style="10" customWidth="1"/>
    <col min="22" max="22" width="12.8181818181818"/>
    <col min="23" max="23" width="73.8181818181818" style="11" customWidth="1"/>
    <col min="24" max="24" width="14.3636363636364" style="12" customWidth="1"/>
    <col min="25" max="25" width="9.13636363636364" style="11"/>
    <col min="26" max="27" width="27.4" customWidth="1"/>
    <col min="37" max="37" width="22.5454545454545" customWidth="1"/>
    <col min="39" max="39" width="14.3636363636364" customWidth="1"/>
    <col min="40" max="40" width="11.7272727272727" style="8" customWidth="1"/>
    <col min="41" max="41" width="19.4545454545455" customWidth="1"/>
    <col min="42" max="42" width="16" customWidth="1"/>
    <col min="43" max="43" width="12.8181818181818" style="9"/>
    <col min="46" max="46" width="73.8181818181818" style="10" customWidth="1"/>
    <col min="49" max="49" width="21.9090909090909" style="11" customWidth="1"/>
    <col min="50" max="50" width="12.8181818181818" style="11"/>
    <col min="51" max="51" width="14.3636363636364" style="11" customWidth="1"/>
  </cols>
  <sheetData>
    <row r="1" spans="2:53">
      <c r="B1" t="s">
        <v>1961</v>
      </c>
      <c r="J1" t="s">
        <v>1962</v>
      </c>
      <c r="X1" s="11"/>
      <c r="AD1" t="s">
        <v>1963</v>
      </c>
      <c r="AL1" t="s">
        <v>1964</v>
      </c>
      <c r="AQ1" s="9"/>
    </row>
    <row r="3" ht="15.25" spans="2:53">
      <c r="B3" s="6" t="s">
        <v>2</v>
      </c>
      <c r="L3" s="6" t="s">
        <v>3</v>
      </c>
      <c r="X3" s="13" t="s">
        <v>4</v>
      </c>
      <c r="AD3" s="6" t="s">
        <v>2</v>
      </c>
      <c r="AM3" s="6" t="s">
        <v>4</v>
      </c>
      <c r="AX3" s="13" t="s">
        <v>4</v>
      </c>
    </row>
    <row r="4" spans="2:53"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J4" t="s">
        <v>11</v>
      </c>
      <c r="K4" t="s">
        <v>12</v>
      </c>
      <c r="L4" t="s">
        <v>13</v>
      </c>
      <c r="M4" s="8" t="s">
        <v>18</v>
      </c>
      <c r="N4" t="s">
        <v>14</v>
      </c>
      <c r="O4" t="s">
        <v>15</v>
      </c>
      <c r="P4" s="9" t="s">
        <v>16</v>
      </c>
      <c r="Q4" t="s">
        <v>17</v>
      </c>
      <c r="T4" s="10" t="s">
        <v>20</v>
      </c>
      <c r="W4" s="11" t="s">
        <v>11</v>
      </c>
      <c r="X4" s="11" t="s">
        <v>21</v>
      </c>
      <c r="Y4" s="11" t="s">
        <v>22</v>
      </c>
      <c r="AC4" t="s">
        <v>5</v>
      </c>
      <c r="AD4" t="s">
        <v>6</v>
      </c>
      <c r="AE4" t="s">
        <v>7</v>
      </c>
      <c r="AF4" t="s">
        <v>8</v>
      </c>
      <c r="AG4" t="s">
        <v>9</v>
      </c>
      <c r="AH4" t="s">
        <v>10</v>
      </c>
      <c r="AK4" t="s">
        <v>11</v>
      </c>
      <c r="AL4" t="s">
        <v>12</v>
      </c>
      <c r="AM4" t="s">
        <v>13</v>
      </c>
      <c r="AN4" s="8" t="s">
        <v>18</v>
      </c>
      <c r="AO4" t="s">
        <v>14</v>
      </c>
      <c r="AP4" t="s">
        <v>15</v>
      </c>
      <c r="AQ4" s="9" t="s">
        <v>16</v>
      </c>
      <c r="AR4" t="s">
        <v>17</v>
      </c>
      <c r="AT4" s="10" t="s">
        <v>20</v>
      </c>
      <c r="AW4" s="11" t="s">
        <v>11</v>
      </c>
      <c r="AX4" s="11" t="s">
        <v>21</v>
      </c>
      <c r="AY4" s="11" t="s">
        <v>22</v>
      </c>
      <c r="AZ4" s="14" t="s">
        <v>23</v>
      </c>
      <c r="BA4" t="s">
        <v>19</v>
      </c>
    </row>
    <row r="5" spans="2:53">
      <c r="B5" t="s">
        <v>26</v>
      </c>
      <c r="C5" t="s">
        <v>1965</v>
      </c>
      <c r="D5" t="s">
        <v>1966</v>
      </c>
      <c r="E5" t="s">
        <v>29</v>
      </c>
      <c r="F5" t="s">
        <v>30</v>
      </c>
      <c r="G5" t="s">
        <v>31</v>
      </c>
      <c r="J5" t="s">
        <v>1965</v>
      </c>
      <c r="K5" t="s">
        <v>1967</v>
      </c>
      <c r="L5" t="s">
        <v>1968</v>
      </c>
      <c r="M5" s="8">
        <v>4.722</v>
      </c>
      <c r="N5">
        <v>0</v>
      </c>
      <c r="O5">
        <v>2081</v>
      </c>
      <c r="P5" s="9">
        <v>0.447</v>
      </c>
      <c r="Q5" t="s">
        <v>34</v>
      </c>
      <c r="T5" s="15" t="s">
        <v>35</v>
      </c>
      <c r="W5" s="16" t="str">
        <f>J5</f>
        <v>EN_WON_45_c01_AFG</v>
      </c>
      <c r="X5" s="12">
        <f>O5</f>
        <v>2081</v>
      </c>
      <c r="Y5" s="11">
        <f>X5</f>
        <v>2081</v>
      </c>
      <c r="AC5" t="s">
        <v>26</v>
      </c>
      <c r="AD5" t="s">
        <v>1969</v>
      </c>
      <c r="AE5" t="s">
        <v>1970</v>
      </c>
      <c r="AF5" t="s">
        <v>29</v>
      </c>
      <c r="AG5" t="s">
        <v>30</v>
      </c>
      <c r="AH5" t="s">
        <v>31</v>
      </c>
      <c r="AK5" t="s">
        <v>1969</v>
      </c>
      <c r="AL5" t="s">
        <v>1967</v>
      </c>
      <c r="AM5" t="s">
        <v>1971</v>
      </c>
      <c r="AN5" s="8">
        <v>2.97675</v>
      </c>
      <c r="AO5">
        <v>199.694880401046</v>
      </c>
      <c r="AP5">
        <v>1952</v>
      </c>
      <c r="AQ5" s="9">
        <v>0.352</v>
      </c>
      <c r="AR5" t="s">
        <v>53</v>
      </c>
      <c r="AT5" s="15" t="s">
        <v>54</v>
      </c>
      <c r="AW5" s="11" t="str">
        <f>AK5</f>
        <v>EN_WOF_35_c02_AGO</v>
      </c>
      <c r="AX5" s="11">
        <f>AP5</f>
        <v>1952</v>
      </c>
      <c r="AY5" s="11">
        <f>AX5</f>
        <v>1952</v>
      </c>
      <c r="AZ5" s="17">
        <v>3</v>
      </c>
      <c r="BA5">
        <f>AX5*0.01</f>
        <v>19.52</v>
      </c>
    </row>
    <row r="6" spans="2:53">
      <c r="B6" t="s">
        <v>26</v>
      </c>
      <c r="C6" t="s">
        <v>1972</v>
      </c>
      <c r="D6" t="s">
        <v>1973</v>
      </c>
      <c r="E6" t="s">
        <v>29</v>
      </c>
      <c r="F6" t="s">
        <v>30</v>
      </c>
      <c r="G6" t="s">
        <v>31</v>
      </c>
      <c r="J6" t="s">
        <v>1972</v>
      </c>
      <c r="K6" t="s">
        <v>1967</v>
      </c>
      <c r="L6" t="s">
        <v>1968</v>
      </c>
      <c r="M6" s="8">
        <v>3.94275</v>
      </c>
      <c r="N6">
        <v>0</v>
      </c>
      <c r="O6">
        <v>2081</v>
      </c>
      <c r="P6" s="9">
        <v>0.46</v>
      </c>
      <c r="Q6" t="s">
        <v>34</v>
      </c>
      <c r="T6" s="15" t="s">
        <v>35</v>
      </c>
      <c r="W6" s="16" t="str">
        <f t="shared" ref="W6:W69" si="0">J6</f>
        <v>EN_WON_46_c01_AFG</v>
      </c>
      <c r="X6" s="12">
        <f t="shared" ref="X6:X69" si="1">O6</f>
        <v>2081</v>
      </c>
      <c r="Y6" s="11">
        <f t="shared" ref="Y6:Y69" si="2">X6</f>
        <v>2081</v>
      </c>
      <c r="AC6" t="s">
        <v>26</v>
      </c>
      <c r="AD6" t="s">
        <v>1974</v>
      </c>
      <c r="AE6" t="s">
        <v>1975</v>
      </c>
      <c r="AF6" t="s">
        <v>29</v>
      </c>
      <c r="AG6" t="s">
        <v>30</v>
      </c>
      <c r="AH6" t="s">
        <v>31</v>
      </c>
      <c r="AK6" t="s">
        <v>1974</v>
      </c>
      <c r="AL6" t="s">
        <v>1967</v>
      </c>
      <c r="AM6" t="s">
        <v>1971</v>
      </c>
      <c r="AN6" s="8">
        <v>5.16525</v>
      </c>
      <c r="AO6">
        <v>199.694880401046</v>
      </c>
      <c r="AP6">
        <v>1952</v>
      </c>
      <c r="AQ6" s="9">
        <v>0.464</v>
      </c>
      <c r="AR6" t="s">
        <v>53</v>
      </c>
      <c r="AT6" s="15" t="s">
        <v>54</v>
      </c>
      <c r="AW6" s="11" t="str">
        <f t="shared" ref="AW6:AW69" si="3">AK6</f>
        <v>EN_WOF_46_c02_AGO</v>
      </c>
      <c r="AX6" s="11">
        <f t="shared" ref="AX6:AX69" si="4">AP6</f>
        <v>1952</v>
      </c>
      <c r="AY6" s="11">
        <f t="shared" ref="AY6:AY69" si="5">AX6</f>
        <v>1952</v>
      </c>
      <c r="AZ6" s="17">
        <v>3</v>
      </c>
      <c r="BA6">
        <f t="shared" ref="BA6:BA69" si="6">AX6*0.01</f>
        <v>19.52</v>
      </c>
    </row>
    <row r="7" spans="2:53">
      <c r="B7" t="s">
        <v>26</v>
      </c>
      <c r="C7" t="s">
        <v>1976</v>
      </c>
      <c r="D7" t="s">
        <v>1977</v>
      </c>
      <c r="E7" t="s">
        <v>29</v>
      </c>
      <c r="F7" t="s">
        <v>30</v>
      </c>
      <c r="G7" t="s">
        <v>31</v>
      </c>
      <c r="J7" t="s">
        <v>1976</v>
      </c>
      <c r="K7" t="s">
        <v>1967</v>
      </c>
      <c r="L7" t="s">
        <v>1968</v>
      </c>
      <c r="M7" s="8">
        <v>6.51975</v>
      </c>
      <c r="N7">
        <v>105.747516212372</v>
      </c>
      <c r="O7">
        <v>2081</v>
      </c>
      <c r="P7" s="9">
        <v>0.462</v>
      </c>
      <c r="Q7" t="s">
        <v>34</v>
      </c>
      <c r="T7" s="15" t="s">
        <v>35</v>
      </c>
      <c r="W7" s="16" t="str">
        <f t="shared" si="0"/>
        <v>EN_WON_46_c03_AFG</v>
      </c>
      <c r="X7" s="12">
        <f t="shared" si="1"/>
        <v>2081</v>
      </c>
      <c r="Y7" s="11">
        <f t="shared" si="2"/>
        <v>2081</v>
      </c>
      <c r="AC7" t="s">
        <v>26</v>
      </c>
      <c r="AD7" t="s">
        <v>1978</v>
      </c>
      <c r="AE7" t="s">
        <v>1979</v>
      </c>
      <c r="AF7" t="s">
        <v>29</v>
      </c>
      <c r="AG7" t="s">
        <v>30</v>
      </c>
      <c r="AH7" t="s">
        <v>31</v>
      </c>
      <c r="AK7" t="s">
        <v>1978</v>
      </c>
      <c r="AL7" t="s">
        <v>1967</v>
      </c>
      <c r="AM7" t="s">
        <v>1971</v>
      </c>
      <c r="AN7" s="8">
        <v>0.61575</v>
      </c>
      <c r="AO7">
        <v>199.694880401046</v>
      </c>
      <c r="AP7">
        <v>1952</v>
      </c>
      <c r="AQ7" s="9">
        <v>0.515</v>
      </c>
      <c r="AR7" t="s">
        <v>53</v>
      </c>
      <c r="AT7" s="15" t="s">
        <v>54</v>
      </c>
      <c r="AW7" s="11" t="str">
        <f t="shared" si="3"/>
        <v>EN_WOF_52_c02_AGO</v>
      </c>
      <c r="AX7" s="11">
        <f t="shared" si="4"/>
        <v>1952</v>
      </c>
      <c r="AY7" s="11">
        <f t="shared" si="5"/>
        <v>1952</v>
      </c>
      <c r="AZ7" s="17">
        <v>3</v>
      </c>
      <c r="BA7">
        <f t="shared" si="6"/>
        <v>19.52</v>
      </c>
    </row>
    <row r="8" spans="2:53">
      <c r="B8" t="s">
        <v>26</v>
      </c>
      <c r="C8" t="s">
        <v>1980</v>
      </c>
      <c r="D8" t="s">
        <v>1981</v>
      </c>
      <c r="E8" t="s">
        <v>29</v>
      </c>
      <c r="F8" t="s">
        <v>30</v>
      </c>
      <c r="G8" t="s">
        <v>31</v>
      </c>
      <c r="J8" t="s">
        <v>1980</v>
      </c>
      <c r="K8" t="s">
        <v>1967</v>
      </c>
      <c r="L8" t="s">
        <v>1968</v>
      </c>
      <c r="M8" s="8">
        <v>6.83025</v>
      </c>
      <c r="N8">
        <v>0</v>
      </c>
      <c r="O8">
        <v>2081</v>
      </c>
      <c r="P8" s="9">
        <v>0.479040957505216</v>
      </c>
      <c r="Q8" t="s">
        <v>34</v>
      </c>
      <c r="T8" s="15" t="s">
        <v>35</v>
      </c>
      <c r="W8" s="16" t="str">
        <f t="shared" si="0"/>
        <v>EN_WON_48_c01_AFG</v>
      </c>
      <c r="X8" s="12">
        <f t="shared" si="1"/>
        <v>2081</v>
      </c>
      <c r="Y8" s="11">
        <f t="shared" si="2"/>
        <v>2081</v>
      </c>
      <c r="AC8" t="s">
        <v>26</v>
      </c>
      <c r="AD8" t="s">
        <v>1982</v>
      </c>
      <c r="AE8" t="s">
        <v>1983</v>
      </c>
      <c r="AF8" t="s">
        <v>29</v>
      </c>
      <c r="AG8" t="s">
        <v>30</v>
      </c>
      <c r="AH8" t="s">
        <v>31</v>
      </c>
      <c r="AK8" t="s">
        <v>1982</v>
      </c>
      <c r="AL8" t="s">
        <v>1967</v>
      </c>
      <c r="AM8" t="s">
        <v>1971</v>
      </c>
      <c r="AN8" s="8">
        <v>4.233</v>
      </c>
      <c r="AO8">
        <v>199.694880401046</v>
      </c>
      <c r="AP8">
        <v>1952</v>
      </c>
      <c r="AQ8" s="9">
        <v>0.550074415308292</v>
      </c>
      <c r="AR8" t="s">
        <v>53</v>
      </c>
      <c r="AT8" s="15" t="s">
        <v>54</v>
      </c>
      <c r="AW8" s="11" t="str">
        <f t="shared" si="3"/>
        <v>EN_WOF_55_c02_AGO</v>
      </c>
      <c r="AX8" s="11">
        <f t="shared" si="4"/>
        <v>1952</v>
      </c>
      <c r="AY8" s="11">
        <f t="shared" si="5"/>
        <v>1952</v>
      </c>
      <c r="AZ8" s="17">
        <v>3</v>
      </c>
      <c r="BA8">
        <f t="shared" si="6"/>
        <v>19.52</v>
      </c>
    </row>
    <row r="9" spans="2:53">
      <c r="B9" t="s">
        <v>26</v>
      </c>
      <c r="C9" t="s">
        <v>1984</v>
      </c>
      <c r="D9" t="s">
        <v>1985</v>
      </c>
      <c r="E9" t="s">
        <v>29</v>
      </c>
      <c r="F9" t="s">
        <v>30</v>
      </c>
      <c r="G9" t="s">
        <v>31</v>
      </c>
      <c r="J9" t="s">
        <v>1984</v>
      </c>
      <c r="K9" t="s">
        <v>1967</v>
      </c>
      <c r="L9" t="s">
        <v>1968</v>
      </c>
      <c r="M9" s="8">
        <v>4.67925</v>
      </c>
      <c r="N9">
        <v>0</v>
      </c>
      <c r="O9">
        <v>2081</v>
      </c>
      <c r="P9" s="9">
        <v>0.486</v>
      </c>
      <c r="Q9" t="s">
        <v>34</v>
      </c>
      <c r="T9" s="15" t="s">
        <v>35</v>
      </c>
      <c r="W9" s="16" t="str">
        <f t="shared" si="0"/>
        <v>EN_WON_49_c01_AFG</v>
      </c>
      <c r="X9" s="12">
        <f t="shared" si="1"/>
        <v>2081</v>
      </c>
      <c r="Y9" s="11">
        <f t="shared" si="2"/>
        <v>2081</v>
      </c>
      <c r="AC9" t="s">
        <v>26</v>
      </c>
      <c r="AD9" t="s">
        <v>1986</v>
      </c>
      <c r="AE9" t="s">
        <v>1987</v>
      </c>
      <c r="AF9" t="s">
        <v>29</v>
      </c>
      <c r="AG9" t="s">
        <v>30</v>
      </c>
      <c r="AH9" t="s">
        <v>31</v>
      </c>
      <c r="AK9" t="s">
        <v>1986</v>
      </c>
      <c r="AL9" t="s">
        <v>1967</v>
      </c>
      <c r="AM9" t="s">
        <v>1988</v>
      </c>
      <c r="AN9" s="8">
        <v>1.881</v>
      </c>
      <c r="AO9">
        <v>199.694880401046</v>
      </c>
      <c r="AP9">
        <v>1909</v>
      </c>
      <c r="AQ9" s="9">
        <v>0.322</v>
      </c>
      <c r="AR9" t="s">
        <v>68</v>
      </c>
      <c r="AT9" s="15" t="s">
        <v>69</v>
      </c>
      <c r="AW9" s="11" t="str">
        <f t="shared" si="3"/>
        <v>EN_WOF_32_c02_ALB</v>
      </c>
      <c r="AX9" s="11">
        <f t="shared" si="4"/>
        <v>1909</v>
      </c>
      <c r="AY9" s="11">
        <f t="shared" si="5"/>
        <v>1909</v>
      </c>
      <c r="AZ9" s="17">
        <v>3</v>
      </c>
      <c r="BA9">
        <f t="shared" si="6"/>
        <v>19.09</v>
      </c>
    </row>
    <row r="10" spans="2:53">
      <c r="B10" t="s">
        <v>26</v>
      </c>
      <c r="C10" t="s">
        <v>1989</v>
      </c>
      <c r="D10" t="s">
        <v>1990</v>
      </c>
      <c r="E10" t="s">
        <v>29</v>
      </c>
      <c r="F10" t="s">
        <v>30</v>
      </c>
      <c r="G10" t="s">
        <v>31</v>
      </c>
      <c r="J10" t="s">
        <v>1989</v>
      </c>
      <c r="K10" t="s">
        <v>1967</v>
      </c>
      <c r="L10" t="s">
        <v>1968</v>
      </c>
      <c r="M10" s="8">
        <v>4.728</v>
      </c>
      <c r="N10">
        <v>0</v>
      </c>
      <c r="O10">
        <v>2081</v>
      </c>
      <c r="P10" s="9">
        <v>0.495</v>
      </c>
      <c r="Q10" t="s">
        <v>34</v>
      </c>
      <c r="T10" s="15" t="s">
        <v>35</v>
      </c>
      <c r="W10" s="16" t="str">
        <f t="shared" si="0"/>
        <v>EN_WON_50_c01_AFG</v>
      </c>
      <c r="X10" s="12">
        <f t="shared" si="1"/>
        <v>2081</v>
      </c>
      <c r="Y10" s="11">
        <f t="shared" si="2"/>
        <v>2081</v>
      </c>
      <c r="AC10" t="s">
        <v>26</v>
      </c>
      <c r="AD10" t="s">
        <v>1991</v>
      </c>
      <c r="AE10" t="s">
        <v>1992</v>
      </c>
      <c r="AF10" t="s">
        <v>29</v>
      </c>
      <c r="AG10" t="s">
        <v>30</v>
      </c>
      <c r="AH10" t="s">
        <v>31</v>
      </c>
      <c r="AK10" t="s">
        <v>1991</v>
      </c>
      <c r="AL10" t="s">
        <v>1967</v>
      </c>
      <c r="AM10" t="s">
        <v>1988</v>
      </c>
      <c r="AN10" s="8">
        <v>1.626</v>
      </c>
      <c r="AO10">
        <v>199.694880401046</v>
      </c>
      <c r="AP10">
        <v>1909</v>
      </c>
      <c r="AQ10" s="9">
        <v>0.348</v>
      </c>
      <c r="AR10" t="s">
        <v>68</v>
      </c>
      <c r="AT10" s="15" t="s">
        <v>69</v>
      </c>
      <c r="AW10" s="11" t="str">
        <f t="shared" si="3"/>
        <v>EN_WOF_35_c02_ALB</v>
      </c>
      <c r="AX10" s="11">
        <f t="shared" si="4"/>
        <v>1909</v>
      </c>
      <c r="AY10" s="11">
        <f t="shared" si="5"/>
        <v>1909</v>
      </c>
      <c r="AZ10" s="17">
        <v>3</v>
      </c>
      <c r="BA10">
        <f t="shared" si="6"/>
        <v>19.09</v>
      </c>
    </row>
    <row r="11" spans="2:53">
      <c r="B11" t="s">
        <v>26</v>
      </c>
      <c r="C11" t="s">
        <v>1993</v>
      </c>
      <c r="D11" t="s">
        <v>1994</v>
      </c>
      <c r="E11" t="s">
        <v>29</v>
      </c>
      <c r="F11" t="s">
        <v>30</v>
      </c>
      <c r="G11" t="s">
        <v>31</v>
      </c>
      <c r="J11" t="s">
        <v>1993</v>
      </c>
      <c r="K11" t="s">
        <v>1967</v>
      </c>
      <c r="L11" t="s">
        <v>1968</v>
      </c>
      <c r="M11" s="8">
        <v>12.02325</v>
      </c>
      <c r="N11">
        <v>0</v>
      </c>
      <c r="O11">
        <v>2081</v>
      </c>
      <c r="P11" s="9">
        <v>0.508149585178716</v>
      </c>
      <c r="Q11" t="s">
        <v>34</v>
      </c>
      <c r="T11" s="15" t="s">
        <v>35</v>
      </c>
      <c r="W11" s="16" t="str">
        <f t="shared" si="0"/>
        <v>EN_WON_51_c01_AFG</v>
      </c>
      <c r="X11" s="12">
        <f t="shared" si="1"/>
        <v>2081</v>
      </c>
      <c r="Y11" s="11">
        <f t="shared" si="2"/>
        <v>2081</v>
      </c>
      <c r="AC11" t="s">
        <v>26</v>
      </c>
      <c r="AD11" t="s">
        <v>1995</v>
      </c>
      <c r="AE11" t="s">
        <v>1996</v>
      </c>
      <c r="AF11" t="s">
        <v>29</v>
      </c>
      <c r="AG11" t="s">
        <v>30</v>
      </c>
      <c r="AH11" t="s">
        <v>31</v>
      </c>
      <c r="AK11" t="s">
        <v>1995</v>
      </c>
      <c r="AL11" t="s">
        <v>1967</v>
      </c>
      <c r="AM11" t="s">
        <v>1997</v>
      </c>
      <c r="AN11" s="8">
        <v>1.2</v>
      </c>
      <c r="AO11">
        <v>199.694880401046</v>
      </c>
      <c r="AP11">
        <v>1494</v>
      </c>
      <c r="AQ11" s="9">
        <v>0.462083125</v>
      </c>
      <c r="AR11" t="s">
        <v>88</v>
      </c>
      <c r="AT11" s="15" t="s">
        <v>89</v>
      </c>
      <c r="AW11" s="11" t="str">
        <f t="shared" si="3"/>
        <v>EN_WOF_46_c02_ARG</v>
      </c>
      <c r="AX11" s="11">
        <f t="shared" si="4"/>
        <v>1494</v>
      </c>
      <c r="AY11" s="11">
        <f t="shared" si="5"/>
        <v>1494</v>
      </c>
      <c r="AZ11" s="17">
        <v>3</v>
      </c>
      <c r="BA11">
        <f t="shared" si="6"/>
        <v>14.94</v>
      </c>
    </row>
    <row r="12" spans="2:53">
      <c r="B12" t="s">
        <v>26</v>
      </c>
      <c r="C12" t="s">
        <v>1998</v>
      </c>
      <c r="D12" t="s">
        <v>1999</v>
      </c>
      <c r="E12" t="s">
        <v>29</v>
      </c>
      <c r="F12" t="s">
        <v>30</v>
      </c>
      <c r="G12" t="s">
        <v>31</v>
      </c>
      <c r="J12" t="s">
        <v>1998</v>
      </c>
      <c r="K12" t="s">
        <v>1967</v>
      </c>
      <c r="L12" t="s">
        <v>1968</v>
      </c>
      <c r="M12" s="8">
        <v>3.83925</v>
      </c>
      <c r="N12">
        <v>0</v>
      </c>
      <c r="O12">
        <v>2081</v>
      </c>
      <c r="P12" s="9">
        <v>0.526</v>
      </c>
      <c r="Q12" t="s">
        <v>34</v>
      </c>
      <c r="T12" s="15" t="s">
        <v>35</v>
      </c>
      <c r="W12" s="16" t="str">
        <f t="shared" si="0"/>
        <v>EN_WON_53_c01_AFG</v>
      </c>
      <c r="X12" s="12">
        <f t="shared" si="1"/>
        <v>2081</v>
      </c>
      <c r="Y12" s="11">
        <f t="shared" si="2"/>
        <v>2081</v>
      </c>
      <c r="AC12" t="s">
        <v>26</v>
      </c>
      <c r="AD12" t="s">
        <v>2000</v>
      </c>
      <c r="AE12" t="s">
        <v>2001</v>
      </c>
      <c r="AF12" t="s">
        <v>29</v>
      </c>
      <c r="AG12" t="s">
        <v>30</v>
      </c>
      <c r="AH12" t="s">
        <v>31</v>
      </c>
      <c r="AK12" t="s">
        <v>2000</v>
      </c>
      <c r="AL12" t="s">
        <v>1967</v>
      </c>
      <c r="AM12" t="s">
        <v>1997</v>
      </c>
      <c r="AN12" s="8">
        <v>4.8945</v>
      </c>
      <c r="AO12">
        <v>199.694880401046</v>
      </c>
      <c r="AP12">
        <v>1494</v>
      </c>
      <c r="AQ12" s="9">
        <v>0.472961385228317</v>
      </c>
      <c r="AR12" t="s">
        <v>88</v>
      </c>
      <c r="AT12" s="15" t="s">
        <v>89</v>
      </c>
      <c r="AW12" s="11" t="str">
        <f t="shared" si="3"/>
        <v>EN_WOF_47_c02_ARG</v>
      </c>
      <c r="AX12" s="11">
        <f t="shared" si="4"/>
        <v>1494</v>
      </c>
      <c r="AY12" s="11">
        <f t="shared" si="5"/>
        <v>1494</v>
      </c>
      <c r="AZ12" s="17">
        <v>3</v>
      </c>
      <c r="BA12">
        <f t="shared" si="6"/>
        <v>14.94</v>
      </c>
    </row>
    <row r="13" spans="2:53">
      <c r="B13" t="s">
        <v>26</v>
      </c>
      <c r="C13" t="s">
        <v>2002</v>
      </c>
      <c r="D13" t="s">
        <v>2003</v>
      </c>
      <c r="E13" t="s">
        <v>29</v>
      </c>
      <c r="F13" t="s">
        <v>30</v>
      </c>
      <c r="G13" t="s">
        <v>31</v>
      </c>
      <c r="J13" t="s">
        <v>2002</v>
      </c>
      <c r="K13" t="s">
        <v>1967</v>
      </c>
      <c r="L13" t="s">
        <v>1971</v>
      </c>
      <c r="M13" s="8">
        <v>17.87475</v>
      </c>
      <c r="N13">
        <v>105.747516212372</v>
      </c>
      <c r="O13">
        <v>1952</v>
      </c>
      <c r="P13" s="9">
        <v>0.152664163135149</v>
      </c>
      <c r="Q13" t="s">
        <v>53</v>
      </c>
      <c r="T13" s="15" t="s">
        <v>54</v>
      </c>
      <c r="W13" s="16" t="str">
        <f t="shared" si="0"/>
        <v>EN_WON_15_c03_AGO</v>
      </c>
      <c r="X13" s="12">
        <f t="shared" si="1"/>
        <v>1952</v>
      </c>
      <c r="Y13" s="11">
        <f t="shared" si="2"/>
        <v>1952</v>
      </c>
      <c r="AC13" t="s">
        <v>26</v>
      </c>
      <c r="AD13" t="s">
        <v>2004</v>
      </c>
      <c r="AE13" t="s">
        <v>2005</v>
      </c>
      <c r="AF13" t="s">
        <v>29</v>
      </c>
      <c r="AG13" t="s">
        <v>30</v>
      </c>
      <c r="AH13" t="s">
        <v>31</v>
      </c>
      <c r="AK13" t="s">
        <v>2004</v>
      </c>
      <c r="AL13" t="s">
        <v>1967</v>
      </c>
      <c r="AM13" t="s">
        <v>1997</v>
      </c>
      <c r="AN13" s="8">
        <v>3.62325</v>
      </c>
      <c r="AO13">
        <v>199.694880401046</v>
      </c>
      <c r="AP13">
        <v>1494</v>
      </c>
      <c r="AQ13" s="9">
        <v>0.479669633616228</v>
      </c>
      <c r="AR13" t="s">
        <v>88</v>
      </c>
      <c r="AT13" s="15" t="s">
        <v>89</v>
      </c>
      <c r="AW13" s="11" t="str">
        <f t="shared" si="3"/>
        <v>EN_WOF_48_c02_ARG</v>
      </c>
      <c r="AX13" s="11">
        <f t="shared" si="4"/>
        <v>1494</v>
      </c>
      <c r="AY13" s="11">
        <f t="shared" si="5"/>
        <v>1494</v>
      </c>
      <c r="AZ13" s="17">
        <v>3</v>
      </c>
      <c r="BA13">
        <f t="shared" si="6"/>
        <v>14.94</v>
      </c>
    </row>
    <row r="14" spans="2:53">
      <c r="B14" t="s">
        <v>26</v>
      </c>
      <c r="C14" t="s">
        <v>2006</v>
      </c>
      <c r="D14" t="s">
        <v>2007</v>
      </c>
      <c r="E14" t="s">
        <v>29</v>
      </c>
      <c r="F14" t="s">
        <v>30</v>
      </c>
      <c r="G14" t="s">
        <v>31</v>
      </c>
      <c r="J14" t="s">
        <v>2006</v>
      </c>
      <c r="K14" t="s">
        <v>1967</v>
      </c>
      <c r="L14" t="s">
        <v>1971</v>
      </c>
      <c r="M14" s="8">
        <v>56.65575</v>
      </c>
      <c r="N14">
        <v>145.23264029167</v>
      </c>
      <c r="O14">
        <v>1952</v>
      </c>
      <c r="P14" s="9">
        <v>0.152477316953707</v>
      </c>
      <c r="Q14" t="s">
        <v>53</v>
      </c>
      <c r="T14" s="15" t="s">
        <v>54</v>
      </c>
      <c r="W14" s="16" t="str">
        <f t="shared" si="0"/>
        <v>EN_WON_15_c04_AGO</v>
      </c>
      <c r="X14" s="12">
        <f t="shared" si="1"/>
        <v>1952</v>
      </c>
      <c r="Y14" s="11">
        <f t="shared" si="2"/>
        <v>1952</v>
      </c>
      <c r="AC14" t="s">
        <v>26</v>
      </c>
      <c r="AD14" t="s">
        <v>2008</v>
      </c>
      <c r="AE14" t="s">
        <v>2009</v>
      </c>
      <c r="AF14" t="s">
        <v>29</v>
      </c>
      <c r="AG14" t="s">
        <v>30</v>
      </c>
      <c r="AH14" t="s">
        <v>31</v>
      </c>
      <c r="AK14" t="s">
        <v>2008</v>
      </c>
      <c r="AL14" t="s">
        <v>1967</v>
      </c>
      <c r="AM14" t="s">
        <v>1997</v>
      </c>
      <c r="AN14" s="8">
        <v>22.2945</v>
      </c>
      <c r="AO14">
        <v>199.694880401046</v>
      </c>
      <c r="AP14">
        <v>1494</v>
      </c>
      <c r="AQ14" s="9">
        <v>0.489675839332571</v>
      </c>
      <c r="AR14" t="s">
        <v>88</v>
      </c>
      <c r="AT14" s="15" t="s">
        <v>89</v>
      </c>
      <c r="AW14" s="11" t="str">
        <f t="shared" si="3"/>
        <v>EN_WOF_49_c02_ARG</v>
      </c>
      <c r="AX14" s="11">
        <f t="shared" si="4"/>
        <v>1494</v>
      </c>
      <c r="AY14" s="11">
        <f t="shared" si="5"/>
        <v>1494</v>
      </c>
      <c r="AZ14" s="17">
        <v>3</v>
      </c>
      <c r="BA14">
        <f t="shared" si="6"/>
        <v>14.94</v>
      </c>
    </row>
    <row r="15" spans="2:53">
      <c r="B15" t="s">
        <v>26</v>
      </c>
      <c r="C15" t="s">
        <v>2010</v>
      </c>
      <c r="D15" t="s">
        <v>2011</v>
      </c>
      <c r="E15" t="s">
        <v>29</v>
      </c>
      <c r="F15" t="s">
        <v>30</v>
      </c>
      <c r="G15" t="s">
        <v>31</v>
      </c>
      <c r="J15" t="s">
        <v>2010</v>
      </c>
      <c r="K15" t="s">
        <v>1967</v>
      </c>
      <c r="L15" t="s">
        <v>1971</v>
      </c>
      <c r="M15" s="8">
        <v>23.55825</v>
      </c>
      <c r="N15">
        <v>80.7856561622413</v>
      </c>
      <c r="O15">
        <v>1952</v>
      </c>
      <c r="P15" s="9">
        <v>0.1582520136258</v>
      </c>
      <c r="Q15" t="s">
        <v>53</v>
      </c>
      <c r="T15" s="15" t="s">
        <v>54</v>
      </c>
      <c r="W15" s="16" t="str">
        <f t="shared" si="0"/>
        <v>EN_WON_16_c02_AGO</v>
      </c>
      <c r="X15" s="12">
        <f t="shared" si="1"/>
        <v>1952</v>
      </c>
      <c r="Y15" s="11">
        <f t="shared" si="2"/>
        <v>1952</v>
      </c>
      <c r="AC15" t="s">
        <v>26</v>
      </c>
      <c r="AD15" t="s">
        <v>2012</v>
      </c>
      <c r="AE15" t="s">
        <v>2013</v>
      </c>
      <c r="AF15" t="s">
        <v>29</v>
      </c>
      <c r="AG15" t="s">
        <v>30</v>
      </c>
      <c r="AH15" t="s">
        <v>31</v>
      </c>
      <c r="AK15" t="s">
        <v>2012</v>
      </c>
      <c r="AL15" t="s">
        <v>1967</v>
      </c>
      <c r="AM15" t="s">
        <v>1997</v>
      </c>
      <c r="AN15" s="8">
        <v>28.785</v>
      </c>
      <c r="AO15">
        <v>199.694880401046</v>
      </c>
      <c r="AP15">
        <v>1494</v>
      </c>
      <c r="AQ15" s="9">
        <v>0.501331344450234</v>
      </c>
      <c r="AR15" t="s">
        <v>88</v>
      </c>
      <c r="AT15" s="15" t="s">
        <v>89</v>
      </c>
      <c r="AW15" s="11" t="str">
        <f t="shared" si="3"/>
        <v>EN_WOF_50_c02_ARG</v>
      </c>
      <c r="AX15" s="11">
        <f t="shared" si="4"/>
        <v>1494</v>
      </c>
      <c r="AY15" s="11">
        <f t="shared" si="5"/>
        <v>1494</v>
      </c>
      <c r="AZ15" s="17">
        <v>3</v>
      </c>
      <c r="BA15">
        <f t="shared" si="6"/>
        <v>14.94</v>
      </c>
    </row>
    <row r="16" spans="2:53">
      <c r="B16" t="s">
        <v>26</v>
      </c>
      <c r="C16" t="s">
        <v>2014</v>
      </c>
      <c r="D16" t="s">
        <v>2015</v>
      </c>
      <c r="E16" t="s">
        <v>29</v>
      </c>
      <c r="F16" t="s">
        <v>30</v>
      </c>
      <c r="G16" t="s">
        <v>31</v>
      </c>
      <c r="J16" t="s">
        <v>2014</v>
      </c>
      <c r="K16" t="s">
        <v>1967</v>
      </c>
      <c r="L16" t="s">
        <v>1971</v>
      </c>
      <c r="M16" s="8">
        <v>29.5485</v>
      </c>
      <c r="N16">
        <v>105.747516212372</v>
      </c>
      <c r="O16">
        <v>1952</v>
      </c>
      <c r="P16" s="9">
        <v>0.156399208081628</v>
      </c>
      <c r="Q16" t="s">
        <v>53</v>
      </c>
      <c r="T16" s="15" t="s">
        <v>54</v>
      </c>
      <c r="W16" s="16" t="str">
        <f t="shared" si="0"/>
        <v>EN_WON_16_c03_AGO</v>
      </c>
      <c r="X16" s="12">
        <f t="shared" si="1"/>
        <v>1952</v>
      </c>
      <c r="Y16" s="11">
        <f t="shared" si="2"/>
        <v>1952</v>
      </c>
      <c r="AC16" t="s">
        <v>26</v>
      </c>
      <c r="AD16" t="s">
        <v>2016</v>
      </c>
      <c r="AE16" t="s">
        <v>2017</v>
      </c>
      <c r="AF16" t="s">
        <v>29</v>
      </c>
      <c r="AG16" t="s">
        <v>30</v>
      </c>
      <c r="AH16" t="s">
        <v>31</v>
      </c>
      <c r="AK16" t="s">
        <v>2016</v>
      </c>
      <c r="AL16" t="s">
        <v>1967</v>
      </c>
      <c r="AM16" t="s">
        <v>1997</v>
      </c>
      <c r="AN16" s="8">
        <v>57.468</v>
      </c>
      <c r="AO16">
        <v>199.694880401046</v>
      </c>
      <c r="AP16">
        <v>1494</v>
      </c>
      <c r="AQ16" s="9">
        <v>0.510692354875757</v>
      </c>
      <c r="AR16" t="s">
        <v>88</v>
      </c>
      <c r="AT16" s="15" t="s">
        <v>89</v>
      </c>
      <c r="AW16" s="11" t="str">
        <f t="shared" si="3"/>
        <v>EN_WOF_51_c02_ARG</v>
      </c>
      <c r="AX16" s="11">
        <f t="shared" si="4"/>
        <v>1494</v>
      </c>
      <c r="AY16" s="11">
        <f t="shared" si="5"/>
        <v>1494</v>
      </c>
      <c r="AZ16" s="17">
        <v>3</v>
      </c>
      <c r="BA16">
        <f t="shared" si="6"/>
        <v>14.94</v>
      </c>
    </row>
    <row r="17" spans="2:53">
      <c r="B17" t="s">
        <v>26</v>
      </c>
      <c r="C17" t="s">
        <v>2018</v>
      </c>
      <c r="D17" t="s">
        <v>2019</v>
      </c>
      <c r="E17" t="s">
        <v>29</v>
      </c>
      <c r="F17" t="s">
        <v>30</v>
      </c>
      <c r="G17" t="s">
        <v>31</v>
      </c>
      <c r="J17" t="s">
        <v>2018</v>
      </c>
      <c r="K17" t="s">
        <v>1967</v>
      </c>
      <c r="L17" t="s">
        <v>1971</v>
      </c>
      <c r="M17" s="8">
        <v>23.6895</v>
      </c>
      <c r="N17">
        <v>145.23264029167</v>
      </c>
      <c r="O17">
        <v>1952</v>
      </c>
      <c r="P17" s="9">
        <v>0.159224783131767</v>
      </c>
      <c r="Q17" t="s">
        <v>53</v>
      </c>
      <c r="T17" s="15" t="s">
        <v>54</v>
      </c>
      <c r="W17" s="16" t="str">
        <f t="shared" si="0"/>
        <v>EN_WON_16_c04_AGO</v>
      </c>
      <c r="X17" s="12">
        <f t="shared" si="1"/>
        <v>1952</v>
      </c>
      <c r="Y17" s="11">
        <f t="shared" si="2"/>
        <v>1952</v>
      </c>
      <c r="AC17" t="s">
        <v>26</v>
      </c>
      <c r="AD17" t="s">
        <v>2020</v>
      </c>
      <c r="AE17" t="s">
        <v>2021</v>
      </c>
      <c r="AF17" t="s">
        <v>29</v>
      </c>
      <c r="AG17" t="s">
        <v>30</v>
      </c>
      <c r="AH17" t="s">
        <v>31</v>
      </c>
      <c r="AK17" t="s">
        <v>2020</v>
      </c>
      <c r="AL17" t="s">
        <v>1967</v>
      </c>
      <c r="AM17" t="s">
        <v>1997</v>
      </c>
      <c r="AN17" s="8">
        <v>55.794</v>
      </c>
      <c r="AO17">
        <v>199.694880401046</v>
      </c>
      <c r="AP17">
        <v>1494</v>
      </c>
      <c r="AQ17" s="9">
        <v>0.519393214324121</v>
      </c>
      <c r="AR17" t="s">
        <v>88</v>
      </c>
      <c r="AT17" s="15" t="s">
        <v>89</v>
      </c>
      <c r="AW17" s="11" t="str">
        <f t="shared" si="3"/>
        <v>EN_WOF_52_c02_ARG</v>
      </c>
      <c r="AX17" s="11">
        <f t="shared" si="4"/>
        <v>1494</v>
      </c>
      <c r="AY17" s="11">
        <f t="shared" si="5"/>
        <v>1494</v>
      </c>
      <c r="AZ17" s="17">
        <v>3</v>
      </c>
      <c r="BA17">
        <f t="shared" si="6"/>
        <v>14.94</v>
      </c>
    </row>
    <row r="18" spans="2:53">
      <c r="B18" t="s">
        <v>26</v>
      </c>
      <c r="C18" t="s">
        <v>2022</v>
      </c>
      <c r="D18" t="s">
        <v>2023</v>
      </c>
      <c r="E18" t="s">
        <v>29</v>
      </c>
      <c r="F18" t="s">
        <v>30</v>
      </c>
      <c r="G18" t="s">
        <v>31</v>
      </c>
      <c r="J18" t="s">
        <v>2022</v>
      </c>
      <c r="K18" t="s">
        <v>1967</v>
      </c>
      <c r="L18" t="s">
        <v>1971</v>
      </c>
      <c r="M18" s="8">
        <v>29.60925</v>
      </c>
      <c r="N18">
        <v>105.747516212372</v>
      </c>
      <c r="O18">
        <v>1952</v>
      </c>
      <c r="P18" s="9">
        <v>0.167601357683832</v>
      </c>
      <c r="Q18" t="s">
        <v>53</v>
      </c>
      <c r="T18" s="15" t="s">
        <v>54</v>
      </c>
      <c r="W18" s="16" t="str">
        <f t="shared" si="0"/>
        <v>EN_WON_17_c03_AGO</v>
      </c>
      <c r="X18" s="12">
        <f t="shared" si="1"/>
        <v>1952</v>
      </c>
      <c r="Y18" s="11">
        <f t="shared" si="2"/>
        <v>1952</v>
      </c>
      <c r="AC18" t="s">
        <v>26</v>
      </c>
      <c r="AD18" t="s">
        <v>2024</v>
      </c>
      <c r="AE18" t="s">
        <v>2025</v>
      </c>
      <c r="AF18" t="s">
        <v>29</v>
      </c>
      <c r="AG18" t="s">
        <v>30</v>
      </c>
      <c r="AH18" t="s">
        <v>31</v>
      </c>
      <c r="AK18" t="s">
        <v>2024</v>
      </c>
      <c r="AL18" t="s">
        <v>1967</v>
      </c>
      <c r="AM18" t="s">
        <v>1997</v>
      </c>
      <c r="AN18" s="8">
        <v>169.11825</v>
      </c>
      <c r="AO18">
        <v>199.694880401046</v>
      </c>
      <c r="AP18">
        <v>1494</v>
      </c>
      <c r="AQ18" s="9">
        <v>0.529752823837758</v>
      </c>
      <c r="AR18" t="s">
        <v>88</v>
      </c>
      <c r="AT18" s="15" t="s">
        <v>89</v>
      </c>
      <c r="AW18" s="11" t="str">
        <f t="shared" si="3"/>
        <v>EN_WOF_53_c02_ARG</v>
      </c>
      <c r="AX18" s="11">
        <f t="shared" si="4"/>
        <v>1494</v>
      </c>
      <c r="AY18" s="11">
        <f t="shared" si="5"/>
        <v>1494</v>
      </c>
      <c r="AZ18" s="17">
        <v>3</v>
      </c>
      <c r="BA18">
        <f t="shared" si="6"/>
        <v>14.94</v>
      </c>
    </row>
    <row r="19" spans="2:53">
      <c r="B19" t="s">
        <v>26</v>
      </c>
      <c r="C19" t="s">
        <v>2026</v>
      </c>
      <c r="D19" t="s">
        <v>2027</v>
      </c>
      <c r="E19" t="s">
        <v>29</v>
      </c>
      <c r="F19" t="s">
        <v>30</v>
      </c>
      <c r="G19" t="s">
        <v>31</v>
      </c>
      <c r="J19" t="s">
        <v>2026</v>
      </c>
      <c r="K19" t="s">
        <v>1967</v>
      </c>
      <c r="L19" t="s">
        <v>1971</v>
      </c>
      <c r="M19" s="8">
        <v>65.1615</v>
      </c>
      <c r="N19">
        <v>145.23264029167</v>
      </c>
      <c r="O19">
        <v>1952</v>
      </c>
      <c r="P19" s="9">
        <v>0.169095025436799</v>
      </c>
      <c r="Q19" t="s">
        <v>53</v>
      </c>
      <c r="T19" s="15" t="s">
        <v>54</v>
      </c>
      <c r="W19" s="16" t="str">
        <f t="shared" si="0"/>
        <v>EN_WON_17_c04_AGO</v>
      </c>
      <c r="X19" s="12">
        <f t="shared" si="1"/>
        <v>1952</v>
      </c>
      <c r="Y19" s="11">
        <f t="shared" si="2"/>
        <v>1952</v>
      </c>
      <c r="AC19" t="s">
        <v>26</v>
      </c>
      <c r="AD19" t="s">
        <v>2028</v>
      </c>
      <c r="AE19" t="s">
        <v>2029</v>
      </c>
      <c r="AF19" t="s">
        <v>29</v>
      </c>
      <c r="AG19" t="s">
        <v>30</v>
      </c>
      <c r="AH19" t="s">
        <v>31</v>
      </c>
      <c r="AK19" t="s">
        <v>2028</v>
      </c>
      <c r="AL19" t="s">
        <v>1967</v>
      </c>
      <c r="AM19" t="s">
        <v>1997</v>
      </c>
      <c r="AN19" s="8">
        <v>197.772</v>
      </c>
      <c r="AO19">
        <v>199.694880401046</v>
      </c>
      <c r="AP19">
        <v>1494</v>
      </c>
      <c r="AQ19" s="9">
        <v>0.539239434803713</v>
      </c>
      <c r="AR19" t="s">
        <v>88</v>
      </c>
      <c r="AT19" s="15" t="s">
        <v>89</v>
      </c>
      <c r="AW19" s="11" t="str">
        <f t="shared" si="3"/>
        <v>EN_WOF_54_c02_ARG</v>
      </c>
      <c r="AX19" s="11">
        <f t="shared" si="4"/>
        <v>1494</v>
      </c>
      <c r="AY19" s="11">
        <f t="shared" si="5"/>
        <v>1494</v>
      </c>
      <c r="AZ19" s="17">
        <v>3</v>
      </c>
      <c r="BA19">
        <f t="shared" si="6"/>
        <v>14.94</v>
      </c>
    </row>
    <row r="20" spans="2:53">
      <c r="B20" t="s">
        <v>26</v>
      </c>
      <c r="C20" t="s">
        <v>2030</v>
      </c>
      <c r="D20" t="s">
        <v>2031</v>
      </c>
      <c r="E20" t="s">
        <v>29</v>
      </c>
      <c r="F20" t="s">
        <v>30</v>
      </c>
      <c r="G20" t="s">
        <v>31</v>
      </c>
      <c r="J20" t="s">
        <v>2030</v>
      </c>
      <c r="K20" t="s">
        <v>1967</v>
      </c>
      <c r="L20" t="s">
        <v>1971</v>
      </c>
      <c r="M20" s="8">
        <v>11.8035</v>
      </c>
      <c r="N20">
        <v>105.747516212372</v>
      </c>
      <c r="O20">
        <v>1952</v>
      </c>
      <c r="P20" s="9">
        <v>0.176508196721311</v>
      </c>
      <c r="Q20" t="s">
        <v>53</v>
      </c>
      <c r="T20" s="15" t="s">
        <v>54</v>
      </c>
      <c r="W20" s="16" t="str">
        <f t="shared" si="0"/>
        <v>EN_WON_18_c03_AGO</v>
      </c>
      <c r="X20" s="12">
        <f t="shared" si="1"/>
        <v>1952</v>
      </c>
      <c r="Y20" s="11">
        <f t="shared" si="2"/>
        <v>1952</v>
      </c>
      <c r="AC20" t="s">
        <v>26</v>
      </c>
      <c r="AD20" t="s">
        <v>2032</v>
      </c>
      <c r="AE20" t="s">
        <v>2033</v>
      </c>
      <c r="AF20" t="s">
        <v>29</v>
      </c>
      <c r="AG20" t="s">
        <v>30</v>
      </c>
      <c r="AH20" t="s">
        <v>31</v>
      </c>
      <c r="AK20" t="s">
        <v>2032</v>
      </c>
      <c r="AL20" t="s">
        <v>1967</v>
      </c>
      <c r="AM20" t="s">
        <v>1997</v>
      </c>
      <c r="AN20" s="8">
        <v>122.991</v>
      </c>
      <c r="AO20">
        <v>199.694880401046</v>
      </c>
      <c r="AP20">
        <v>1494</v>
      </c>
      <c r="AQ20" s="9">
        <v>0.548253268531844</v>
      </c>
      <c r="AR20" t="s">
        <v>88</v>
      </c>
      <c r="AT20" s="15" t="s">
        <v>89</v>
      </c>
      <c r="AW20" s="11" t="str">
        <f t="shared" si="3"/>
        <v>EN_WOF_55_c02_ARG</v>
      </c>
      <c r="AX20" s="11">
        <f t="shared" si="4"/>
        <v>1494</v>
      </c>
      <c r="AY20" s="11">
        <f t="shared" si="5"/>
        <v>1494</v>
      </c>
      <c r="AZ20" s="17">
        <v>3</v>
      </c>
      <c r="BA20">
        <f t="shared" si="6"/>
        <v>14.94</v>
      </c>
    </row>
    <row r="21" spans="2:53">
      <c r="B21" t="s">
        <v>26</v>
      </c>
      <c r="C21" t="s">
        <v>2034</v>
      </c>
      <c r="D21" t="s">
        <v>2035</v>
      </c>
      <c r="E21" t="s">
        <v>29</v>
      </c>
      <c r="F21" t="s">
        <v>30</v>
      </c>
      <c r="G21" t="s">
        <v>31</v>
      </c>
      <c r="J21" t="s">
        <v>2034</v>
      </c>
      <c r="K21" t="s">
        <v>1967</v>
      </c>
      <c r="L21" t="s">
        <v>1971</v>
      </c>
      <c r="M21" s="8">
        <v>33.65775</v>
      </c>
      <c r="N21">
        <v>145.23264029167</v>
      </c>
      <c r="O21">
        <v>1952</v>
      </c>
      <c r="P21" s="9">
        <v>0.181856184682577</v>
      </c>
      <c r="Q21" t="s">
        <v>53</v>
      </c>
      <c r="T21" s="15" t="s">
        <v>54</v>
      </c>
      <c r="W21" s="16" t="str">
        <f t="shared" si="0"/>
        <v>EN_WON_18_c04_AGO</v>
      </c>
      <c r="X21" s="12">
        <f t="shared" si="1"/>
        <v>1952</v>
      </c>
      <c r="Y21" s="11">
        <f t="shared" si="2"/>
        <v>1952</v>
      </c>
      <c r="AC21" t="s">
        <v>26</v>
      </c>
      <c r="AD21" t="s">
        <v>2036</v>
      </c>
      <c r="AE21" t="s">
        <v>2037</v>
      </c>
      <c r="AF21" t="s">
        <v>29</v>
      </c>
      <c r="AG21" t="s">
        <v>30</v>
      </c>
      <c r="AH21" t="s">
        <v>31</v>
      </c>
      <c r="AK21" t="s">
        <v>2036</v>
      </c>
      <c r="AL21" t="s">
        <v>1967</v>
      </c>
      <c r="AM21" t="s">
        <v>1997</v>
      </c>
      <c r="AN21" s="8">
        <v>146.061</v>
      </c>
      <c r="AO21">
        <v>199.694880401046</v>
      </c>
      <c r="AP21">
        <v>1494</v>
      </c>
      <c r="AQ21" s="9">
        <v>0.559241281040113</v>
      </c>
      <c r="AR21" t="s">
        <v>88</v>
      </c>
      <c r="AT21" s="15" t="s">
        <v>89</v>
      </c>
      <c r="AW21" s="11" t="str">
        <f t="shared" si="3"/>
        <v>EN_WOF_56_c02_ARG</v>
      </c>
      <c r="AX21" s="11">
        <f t="shared" si="4"/>
        <v>1494</v>
      </c>
      <c r="AY21" s="11">
        <f t="shared" si="5"/>
        <v>1494</v>
      </c>
      <c r="AZ21" s="17">
        <v>3</v>
      </c>
      <c r="BA21">
        <f t="shared" si="6"/>
        <v>14.94</v>
      </c>
    </row>
    <row r="22" spans="2:53">
      <c r="B22" t="s">
        <v>26</v>
      </c>
      <c r="C22" t="s">
        <v>2038</v>
      </c>
      <c r="D22" t="s">
        <v>2039</v>
      </c>
      <c r="E22" t="s">
        <v>29</v>
      </c>
      <c r="F22" t="s">
        <v>30</v>
      </c>
      <c r="G22" t="s">
        <v>31</v>
      </c>
      <c r="J22" t="s">
        <v>2038</v>
      </c>
      <c r="K22" t="s">
        <v>1967</v>
      </c>
      <c r="L22" t="s">
        <v>1971</v>
      </c>
      <c r="M22" s="8">
        <v>29.4765</v>
      </c>
      <c r="N22">
        <v>105.747516212372</v>
      </c>
      <c r="O22">
        <v>1952</v>
      </c>
      <c r="P22" s="9">
        <v>0.188002188183807</v>
      </c>
      <c r="Q22" t="s">
        <v>53</v>
      </c>
      <c r="T22" s="15" t="s">
        <v>54</v>
      </c>
      <c r="W22" s="16" t="str">
        <f t="shared" si="0"/>
        <v>EN_WON_19_c03_AGO</v>
      </c>
      <c r="X22" s="12">
        <f t="shared" si="1"/>
        <v>1952</v>
      </c>
      <c r="Y22" s="11">
        <f t="shared" si="2"/>
        <v>1952</v>
      </c>
      <c r="AC22" t="s">
        <v>26</v>
      </c>
      <c r="AD22" t="s">
        <v>2040</v>
      </c>
      <c r="AE22" t="s">
        <v>2041</v>
      </c>
      <c r="AF22" t="s">
        <v>29</v>
      </c>
      <c r="AG22" t="s">
        <v>30</v>
      </c>
      <c r="AH22" t="s">
        <v>31</v>
      </c>
      <c r="AK22" t="s">
        <v>2040</v>
      </c>
      <c r="AL22" t="s">
        <v>1967</v>
      </c>
      <c r="AM22" t="s">
        <v>1997</v>
      </c>
      <c r="AN22" s="8">
        <v>140.92275</v>
      </c>
      <c r="AO22">
        <v>199.694880401046</v>
      </c>
      <c r="AP22">
        <v>1494</v>
      </c>
      <c r="AQ22" s="9">
        <v>0.570630552909307</v>
      </c>
      <c r="AR22" t="s">
        <v>88</v>
      </c>
      <c r="AT22" s="15" t="s">
        <v>89</v>
      </c>
      <c r="AW22" s="11" t="str">
        <f t="shared" si="3"/>
        <v>EN_WOF_57_c02_ARG</v>
      </c>
      <c r="AX22" s="11">
        <f t="shared" si="4"/>
        <v>1494</v>
      </c>
      <c r="AY22" s="11">
        <f t="shared" si="5"/>
        <v>1494</v>
      </c>
      <c r="AZ22" s="17">
        <v>3</v>
      </c>
      <c r="BA22">
        <f t="shared" si="6"/>
        <v>14.94</v>
      </c>
    </row>
    <row r="23" spans="2:53">
      <c r="B23" t="s">
        <v>26</v>
      </c>
      <c r="C23" t="s">
        <v>2042</v>
      </c>
      <c r="D23" t="s">
        <v>2043</v>
      </c>
      <c r="E23" t="s">
        <v>29</v>
      </c>
      <c r="F23" t="s">
        <v>30</v>
      </c>
      <c r="G23" t="s">
        <v>31</v>
      </c>
      <c r="J23" t="s">
        <v>2042</v>
      </c>
      <c r="K23" t="s">
        <v>1967</v>
      </c>
      <c r="L23" t="s">
        <v>1971</v>
      </c>
      <c r="M23" s="8">
        <v>17.1285</v>
      </c>
      <c r="N23">
        <v>145.23264029167</v>
      </c>
      <c r="O23">
        <v>1952</v>
      </c>
      <c r="P23" s="9">
        <v>0.190003502933707</v>
      </c>
      <c r="Q23" t="s">
        <v>53</v>
      </c>
      <c r="T23" s="15" t="s">
        <v>54</v>
      </c>
      <c r="W23" s="16" t="str">
        <f t="shared" si="0"/>
        <v>EN_WON_19_c04_AGO</v>
      </c>
      <c r="X23" s="12">
        <f t="shared" si="1"/>
        <v>1952</v>
      </c>
      <c r="Y23" s="11">
        <f t="shared" si="2"/>
        <v>1952</v>
      </c>
      <c r="AC23" t="s">
        <v>26</v>
      </c>
      <c r="AD23" t="s">
        <v>2044</v>
      </c>
      <c r="AE23" t="s">
        <v>2045</v>
      </c>
      <c r="AF23" t="s">
        <v>29</v>
      </c>
      <c r="AG23" t="s">
        <v>30</v>
      </c>
      <c r="AH23" t="s">
        <v>31</v>
      </c>
      <c r="AK23" t="s">
        <v>2044</v>
      </c>
      <c r="AL23" t="s">
        <v>1967</v>
      </c>
      <c r="AM23" t="s">
        <v>1997</v>
      </c>
      <c r="AN23" s="8">
        <v>157.22175</v>
      </c>
      <c r="AO23">
        <v>199.694880401046</v>
      </c>
      <c r="AP23">
        <v>1494</v>
      </c>
      <c r="AQ23" s="9">
        <v>0.58063442558043</v>
      </c>
      <c r="AR23" t="s">
        <v>88</v>
      </c>
      <c r="AT23" s="15" t="s">
        <v>89</v>
      </c>
      <c r="AW23" s="11" t="str">
        <f t="shared" si="3"/>
        <v>EN_WOF_58_c02_ARG</v>
      </c>
      <c r="AX23" s="11">
        <f t="shared" si="4"/>
        <v>1494</v>
      </c>
      <c r="AY23" s="11">
        <f t="shared" si="5"/>
        <v>1494</v>
      </c>
      <c r="AZ23" s="17">
        <v>3</v>
      </c>
      <c r="BA23">
        <f t="shared" si="6"/>
        <v>14.94</v>
      </c>
    </row>
    <row r="24" spans="2:53">
      <c r="B24" t="s">
        <v>26</v>
      </c>
      <c r="C24" t="s">
        <v>2046</v>
      </c>
      <c r="D24" t="s">
        <v>2047</v>
      </c>
      <c r="E24" t="s">
        <v>29</v>
      </c>
      <c r="F24" t="s">
        <v>30</v>
      </c>
      <c r="G24" t="s">
        <v>31</v>
      </c>
      <c r="J24" t="s">
        <v>2046</v>
      </c>
      <c r="K24" t="s">
        <v>1967</v>
      </c>
      <c r="L24" t="s">
        <v>1971</v>
      </c>
      <c r="M24" s="8">
        <v>17.745</v>
      </c>
      <c r="N24">
        <v>105.747516212372</v>
      </c>
      <c r="O24">
        <v>1952</v>
      </c>
      <c r="P24" s="9">
        <v>0.200653846153846</v>
      </c>
      <c r="Q24" t="s">
        <v>53</v>
      </c>
      <c r="T24" s="15" t="s">
        <v>54</v>
      </c>
      <c r="W24" s="16" t="str">
        <f t="shared" si="0"/>
        <v>EN_WON_20_c03_AGO</v>
      </c>
      <c r="X24" s="12">
        <f t="shared" si="1"/>
        <v>1952</v>
      </c>
      <c r="Y24" s="11">
        <f t="shared" si="2"/>
        <v>1952</v>
      </c>
      <c r="AC24" t="s">
        <v>26</v>
      </c>
      <c r="AD24" t="s">
        <v>2048</v>
      </c>
      <c r="AE24" t="s">
        <v>2049</v>
      </c>
      <c r="AF24" t="s">
        <v>29</v>
      </c>
      <c r="AG24" t="s">
        <v>30</v>
      </c>
      <c r="AH24" t="s">
        <v>31</v>
      </c>
      <c r="AK24" t="s">
        <v>2048</v>
      </c>
      <c r="AL24" t="s">
        <v>1967</v>
      </c>
      <c r="AM24" t="s">
        <v>1997</v>
      </c>
      <c r="AN24" s="8">
        <v>99.72375</v>
      </c>
      <c r="AO24">
        <v>199.694880401046</v>
      </c>
      <c r="AP24">
        <v>1494</v>
      </c>
      <c r="AQ24" s="9">
        <v>0.589150062046403</v>
      </c>
      <c r="AR24" t="s">
        <v>88</v>
      </c>
      <c r="AT24" s="15" t="s">
        <v>89</v>
      </c>
      <c r="AW24" s="11" t="str">
        <f t="shared" si="3"/>
        <v>EN_WOF_59_c02_ARG</v>
      </c>
      <c r="AX24" s="11">
        <f t="shared" si="4"/>
        <v>1494</v>
      </c>
      <c r="AY24" s="11">
        <f t="shared" si="5"/>
        <v>1494</v>
      </c>
      <c r="AZ24" s="17">
        <v>3</v>
      </c>
      <c r="BA24">
        <f t="shared" si="6"/>
        <v>14.94</v>
      </c>
    </row>
    <row r="25" spans="2:53">
      <c r="B25" t="s">
        <v>26</v>
      </c>
      <c r="C25" t="s">
        <v>2050</v>
      </c>
      <c r="D25" t="s">
        <v>2051</v>
      </c>
      <c r="E25" t="s">
        <v>29</v>
      </c>
      <c r="F25" t="s">
        <v>30</v>
      </c>
      <c r="G25" t="s">
        <v>31</v>
      </c>
      <c r="J25" t="s">
        <v>2050</v>
      </c>
      <c r="K25" t="s">
        <v>1967</v>
      </c>
      <c r="L25" t="s">
        <v>1971</v>
      </c>
      <c r="M25" s="8">
        <v>5.00925</v>
      </c>
      <c r="N25">
        <v>145.23264029167</v>
      </c>
      <c r="O25">
        <v>1952</v>
      </c>
      <c r="P25" s="9">
        <v>0.197</v>
      </c>
      <c r="Q25" t="s">
        <v>53</v>
      </c>
      <c r="T25" s="15" t="s">
        <v>54</v>
      </c>
      <c r="W25" s="16" t="str">
        <f t="shared" si="0"/>
        <v>EN_WON_20_c04_AGO</v>
      </c>
      <c r="X25" s="12">
        <f t="shared" si="1"/>
        <v>1952</v>
      </c>
      <c r="Y25" s="11">
        <f t="shared" si="2"/>
        <v>1952</v>
      </c>
      <c r="AC25" t="s">
        <v>26</v>
      </c>
      <c r="AD25" t="s">
        <v>2052</v>
      </c>
      <c r="AE25" t="s">
        <v>2053</v>
      </c>
      <c r="AF25" t="s">
        <v>29</v>
      </c>
      <c r="AG25" t="s">
        <v>30</v>
      </c>
      <c r="AH25" t="s">
        <v>31</v>
      </c>
      <c r="AK25" t="s">
        <v>2052</v>
      </c>
      <c r="AL25" t="s">
        <v>1967</v>
      </c>
      <c r="AM25" t="s">
        <v>1997</v>
      </c>
      <c r="AN25" s="8">
        <v>47.0595</v>
      </c>
      <c r="AO25">
        <v>199.694880401046</v>
      </c>
      <c r="AP25">
        <v>1494</v>
      </c>
      <c r="AQ25" s="9">
        <v>0.598332738341886</v>
      </c>
      <c r="AR25" t="s">
        <v>88</v>
      </c>
      <c r="AT25" s="15" t="s">
        <v>89</v>
      </c>
      <c r="AW25" s="11" t="str">
        <f t="shared" si="3"/>
        <v>EN_WOF_60_c02_ARG</v>
      </c>
      <c r="AX25" s="11">
        <f t="shared" si="4"/>
        <v>1494</v>
      </c>
      <c r="AY25" s="11">
        <f t="shared" si="5"/>
        <v>1494</v>
      </c>
      <c r="AZ25" s="17">
        <v>3</v>
      </c>
      <c r="BA25">
        <f t="shared" si="6"/>
        <v>14.94</v>
      </c>
    </row>
    <row r="26" spans="2:53">
      <c r="B26" t="s">
        <v>26</v>
      </c>
      <c r="C26" t="s">
        <v>2054</v>
      </c>
      <c r="D26" t="s">
        <v>2055</v>
      </c>
      <c r="E26" t="s">
        <v>29</v>
      </c>
      <c r="F26" t="s">
        <v>30</v>
      </c>
      <c r="G26" t="s">
        <v>31</v>
      </c>
      <c r="J26" t="s">
        <v>2054</v>
      </c>
      <c r="K26" t="s">
        <v>1967</v>
      </c>
      <c r="L26" t="s">
        <v>1988</v>
      </c>
      <c r="M26" s="8">
        <v>0.23325</v>
      </c>
      <c r="N26">
        <v>80.7856561622413</v>
      </c>
      <c r="O26">
        <v>1909</v>
      </c>
      <c r="P26" s="9">
        <v>0.171623794212219</v>
      </c>
      <c r="Q26" t="s">
        <v>68</v>
      </c>
      <c r="T26" s="15" t="s">
        <v>69</v>
      </c>
      <c r="W26" s="16" t="str">
        <f t="shared" si="0"/>
        <v>EN_WON_17_c02_ALB</v>
      </c>
      <c r="X26" s="12">
        <f t="shared" si="1"/>
        <v>1909</v>
      </c>
      <c r="Y26" s="11">
        <f t="shared" si="2"/>
        <v>1909</v>
      </c>
      <c r="AC26" t="s">
        <v>26</v>
      </c>
      <c r="AD26" t="s">
        <v>2056</v>
      </c>
      <c r="AE26" t="s">
        <v>2057</v>
      </c>
      <c r="AF26" t="s">
        <v>29</v>
      </c>
      <c r="AG26" t="s">
        <v>30</v>
      </c>
      <c r="AH26" t="s">
        <v>31</v>
      </c>
      <c r="AK26" t="s">
        <v>2056</v>
      </c>
      <c r="AL26" t="s">
        <v>1967</v>
      </c>
      <c r="AM26" t="s">
        <v>1997</v>
      </c>
      <c r="AN26" s="8">
        <v>46.30275</v>
      </c>
      <c r="AO26">
        <v>199.694880401046</v>
      </c>
      <c r="AP26">
        <v>1494</v>
      </c>
      <c r="AQ26" s="9">
        <v>0.609792377342598</v>
      </c>
      <c r="AR26" t="s">
        <v>88</v>
      </c>
      <c r="AT26" s="15" t="s">
        <v>89</v>
      </c>
      <c r="AW26" s="11" t="str">
        <f t="shared" si="3"/>
        <v>EN_WOF_61_c02_ARG</v>
      </c>
      <c r="AX26" s="11">
        <f t="shared" si="4"/>
        <v>1494</v>
      </c>
      <c r="AY26" s="11">
        <f t="shared" si="5"/>
        <v>1494</v>
      </c>
      <c r="AZ26" s="17">
        <v>3</v>
      </c>
      <c r="BA26">
        <f t="shared" si="6"/>
        <v>14.94</v>
      </c>
    </row>
    <row r="27" spans="2:53">
      <c r="B27" t="s">
        <v>26</v>
      </c>
      <c r="C27" t="s">
        <v>2058</v>
      </c>
      <c r="D27" t="s">
        <v>2059</v>
      </c>
      <c r="E27" t="s">
        <v>29</v>
      </c>
      <c r="F27" t="s">
        <v>30</v>
      </c>
      <c r="G27" t="s">
        <v>31</v>
      </c>
      <c r="J27" t="s">
        <v>2058</v>
      </c>
      <c r="K27" t="s">
        <v>1967</v>
      </c>
      <c r="L27" t="s">
        <v>1988</v>
      </c>
      <c r="M27" s="8">
        <v>0.05175</v>
      </c>
      <c r="N27">
        <v>105.747516212372</v>
      </c>
      <c r="O27">
        <v>1909</v>
      </c>
      <c r="P27" s="9">
        <v>0.174</v>
      </c>
      <c r="Q27" t="s">
        <v>68</v>
      </c>
      <c r="T27" s="15" t="s">
        <v>69</v>
      </c>
      <c r="W27" s="16" t="str">
        <f t="shared" si="0"/>
        <v>EN_WON_17_c03_ALB</v>
      </c>
      <c r="X27" s="12">
        <f t="shared" si="1"/>
        <v>1909</v>
      </c>
      <c r="Y27" s="11">
        <f t="shared" si="2"/>
        <v>1909</v>
      </c>
      <c r="AC27" t="s">
        <v>26</v>
      </c>
      <c r="AD27" t="s">
        <v>2060</v>
      </c>
      <c r="AE27" t="s">
        <v>2061</v>
      </c>
      <c r="AF27" t="s">
        <v>29</v>
      </c>
      <c r="AG27" t="s">
        <v>30</v>
      </c>
      <c r="AH27" t="s">
        <v>31</v>
      </c>
      <c r="AK27" t="s">
        <v>2060</v>
      </c>
      <c r="AL27" t="s">
        <v>1967</v>
      </c>
      <c r="AM27" t="s">
        <v>1997</v>
      </c>
      <c r="AN27" s="8">
        <v>185.11125</v>
      </c>
      <c r="AO27">
        <v>199.694880401046</v>
      </c>
      <c r="AP27">
        <v>1494</v>
      </c>
      <c r="AQ27" s="9">
        <v>0.620419897494074</v>
      </c>
      <c r="AR27" t="s">
        <v>88</v>
      </c>
      <c r="AT27" s="15" t="s">
        <v>89</v>
      </c>
      <c r="AW27" s="11" t="str">
        <f t="shared" si="3"/>
        <v>EN_WOF_62_c02_ARG</v>
      </c>
      <c r="AX27" s="11">
        <f t="shared" si="4"/>
        <v>1494</v>
      </c>
      <c r="AY27" s="11">
        <f t="shared" si="5"/>
        <v>1494</v>
      </c>
      <c r="AZ27" s="17">
        <v>3</v>
      </c>
      <c r="BA27">
        <f t="shared" si="6"/>
        <v>14.94</v>
      </c>
    </row>
    <row r="28" spans="2:53">
      <c r="B28" t="s">
        <v>26</v>
      </c>
      <c r="C28" t="s">
        <v>2062</v>
      </c>
      <c r="D28" t="s">
        <v>2063</v>
      </c>
      <c r="E28" t="s">
        <v>29</v>
      </c>
      <c r="F28" t="s">
        <v>30</v>
      </c>
      <c r="G28" t="s">
        <v>31</v>
      </c>
      <c r="J28" t="s">
        <v>2062</v>
      </c>
      <c r="K28" t="s">
        <v>1967</v>
      </c>
      <c r="L28" t="s">
        <v>1988</v>
      </c>
      <c r="M28" s="8">
        <v>0.2925</v>
      </c>
      <c r="N28">
        <v>80.7856561622413</v>
      </c>
      <c r="O28">
        <v>1909</v>
      </c>
      <c r="P28" s="9">
        <v>0.175328205128205</v>
      </c>
      <c r="Q28" t="s">
        <v>68</v>
      </c>
      <c r="T28" s="15" t="s">
        <v>69</v>
      </c>
      <c r="W28" s="16" t="str">
        <f t="shared" si="0"/>
        <v>EN_WON_18_c02_ALB</v>
      </c>
      <c r="X28" s="12">
        <f t="shared" si="1"/>
        <v>1909</v>
      </c>
      <c r="Y28" s="11">
        <f t="shared" si="2"/>
        <v>1909</v>
      </c>
      <c r="AC28" t="s">
        <v>26</v>
      </c>
      <c r="AD28" t="s">
        <v>2064</v>
      </c>
      <c r="AE28" t="s">
        <v>2065</v>
      </c>
      <c r="AF28" t="s">
        <v>29</v>
      </c>
      <c r="AG28" t="s">
        <v>30</v>
      </c>
      <c r="AH28" t="s">
        <v>31</v>
      </c>
      <c r="AK28" t="s">
        <v>2064</v>
      </c>
      <c r="AL28" t="s">
        <v>1967</v>
      </c>
      <c r="AM28" t="s">
        <v>1997</v>
      </c>
      <c r="AN28" s="8">
        <v>93.94725</v>
      </c>
      <c r="AO28">
        <v>199.694880401046</v>
      </c>
      <c r="AP28">
        <v>1494</v>
      </c>
      <c r="AQ28" s="9">
        <v>0.628484628341968</v>
      </c>
      <c r="AR28" t="s">
        <v>88</v>
      </c>
      <c r="AT28" s="15" t="s">
        <v>89</v>
      </c>
      <c r="AW28" s="11" t="str">
        <f t="shared" si="3"/>
        <v>EN_WOF_63_c02_ARG</v>
      </c>
      <c r="AX28" s="11">
        <f t="shared" si="4"/>
        <v>1494</v>
      </c>
      <c r="AY28" s="11">
        <f t="shared" si="5"/>
        <v>1494</v>
      </c>
      <c r="AZ28" s="17">
        <v>3</v>
      </c>
      <c r="BA28">
        <f t="shared" si="6"/>
        <v>14.94</v>
      </c>
    </row>
    <row r="29" spans="2:53">
      <c r="B29" t="s">
        <v>26</v>
      </c>
      <c r="C29" t="s">
        <v>2066</v>
      </c>
      <c r="D29" t="s">
        <v>2067</v>
      </c>
      <c r="E29" t="s">
        <v>29</v>
      </c>
      <c r="F29" t="s">
        <v>30</v>
      </c>
      <c r="G29" t="s">
        <v>31</v>
      </c>
      <c r="J29" t="s">
        <v>2066</v>
      </c>
      <c r="K29" t="s">
        <v>1967</v>
      </c>
      <c r="L29" t="s">
        <v>1988</v>
      </c>
      <c r="M29" s="8">
        <v>0.096</v>
      </c>
      <c r="N29">
        <v>105.747516212372</v>
      </c>
      <c r="O29">
        <v>1909</v>
      </c>
      <c r="P29" s="9">
        <v>0.184</v>
      </c>
      <c r="Q29" t="s">
        <v>68</v>
      </c>
      <c r="T29" s="15" t="s">
        <v>69</v>
      </c>
      <c r="W29" s="16" t="str">
        <f t="shared" si="0"/>
        <v>EN_WON_18_c03_ALB</v>
      </c>
      <c r="X29" s="12">
        <f t="shared" si="1"/>
        <v>1909</v>
      </c>
      <c r="Y29" s="11">
        <f t="shared" si="2"/>
        <v>1909</v>
      </c>
      <c r="AC29" t="s">
        <v>26</v>
      </c>
      <c r="AD29" t="s">
        <v>2068</v>
      </c>
      <c r="AE29" t="s">
        <v>2069</v>
      </c>
      <c r="AF29" t="s">
        <v>29</v>
      </c>
      <c r="AG29" t="s">
        <v>30</v>
      </c>
      <c r="AH29" t="s">
        <v>31</v>
      </c>
      <c r="AK29" t="s">
        <v>2068</v>
      </c>
      <c r="AL29" t="s">
        <v>1967</v>
      </c>
      <c r="AM29" t="s">
        <v>1997</v>
      </c>
      <c r="AN29" s="8">
        <v>108.4875</v>
      </c>
      <c r="AO29">
        <v>199.694880401046</v>
      </c>
      <c r="AP29">
        <v>1494</v>
      </c>
      <c r="AQ29" s="9">
        <v>0.639368385758728</v>
      </c>
      <c r="AR29" t="s">
        <v>88</v>
      </c>
      <c r="AT29" s="15" t="s">
        <v>89</v>
      </c>
      <c r="AW29" s="11" t="str">
        <f t="shared" si="3"/>
        <v>EN_WOF_64_c02_ARG</v>
      </c>
      <c r="AX29" s="11">
        <f t="shared" si="4"/>
        <v>1494</v>
      </c>
      <c r="AY29" s="11">
        <f t="shared" si="5"/>
        <v>1494</v>
      </c>
      <c r="AZ29" s="17">
        <v>3</v>
      </c>
      <c r="BA29">
        <f t="shared" si="6"/>
        <v>14.94</v>
      </c>
    </row>
    <row r="30" spans="2:53">
      <c r="B30" t="s">
        <v>26</v>
      </c>
      <c r="C30" t="s">
        <v>2070</v>
      </c>
      <c r="D30" t="s">
        <v>2071</v>
      </c>
      <c r="E30" t="s">
        <v>29</v>
      </c>
      <c r="F30" t="s">
        <v>30</v>
      </c>
      <c r="G30" t="s">
        <v>31</v>
      </c>
      <c r="J30" t="s">
        <v>2070</v>
      </c>
      <c r="K30" t="s">
        <v>1967</v>
      </c>
      <c r="L30" t="s">
        <v>1988</v>
      </c>
      <c r="M30" s="8">
        <v>0.249</v>
      </c>
      <c r="N30">
        <v>80.7856561622413</v>
      </c>
      <c r="O30">
        <v>1909</v>
      </c>
      <c r="P30" s="9">
        <v>0.189331325301205</v>
      </c>
      <c r="Q30" t="s">
        <v>68</v>
      </c>
      <c r="T30" s="15" t="s">
        <v>69</v>
      </c>
      <c r="W30" s="16" t="str">
        <f t="shared" si="0"/>
        <v>EN_WON_19_c02_ALB</v>
      </c>
      <c r="X30" s="12">
        <f t="shared" si="1"/>
        <v>1909</v>
      </c>
      <c r="Y30" s="11">
        <f t="shared" si="2"/>
        <v>1909</v>
      </c>
      <c r="AC30" t="s">
        <v>26</v>
      </c>
      <c r="AD30" t="s">
        <v>2072</v>
      </c>
      <c r="AE30" t="s">
        <v>2073</v>
      </c>
      <c r="AF30" t="s">
        <v>29</v>
      </c>
      <c r="AG30" t="s">
        <v>30</v>
      </c>
      <c r="AH30" t="s">
        <v>31</v>
      </c>
      <c r="AK30" t="s">
        <v>2072</v>
      </c>
      <c r="AL30" t="s">
        <v>1967</v>
      </c>
      <c r="AM30" t="s">
        <v>1997</v>
      </c>
      <c r="AN30" s="8">
        <v>20.02575</v>
      </c>
      <c r="AO30">
        <v>199.694880401046</v>
      </c>
      <c r="AP30">
        <v>1494</v>
      </c>
      <c r="AQ30" s="9">
        <v>0.64693067675368</v>
      </c>
      <c r="AR30" t="s">
        <v>88</v>
      </c>
      <c r="AT30" s="15" t="s">
        <v>89</v>
      </c>
      <c r="AW30" s="11" t="str">
        <f t="shared" si="3"/>
        <v>EN_WOF_65_c02_ARG</v>
      </c>
      <c r="AX30" s="11">
        <f t="shared" si="4"/>
        <v>1494</v>
      </c>
      <c r="AY30" s="11">
        <f t="shared" si="5"/>
        <v>1494</v>
      </c>
      <c r="AZ30" s="17">
        <v>3</v>
      </c>
      <c r="BA30">
        <f t="shared" si="6"/>
        <v>14.94</v>
      </c>
    </row>
    <row r="31" spans="2:53">
      <c r="B31" t="s">
        <v>26</v>
      </c>
      <c r="C31" t="s">
        <v>2074</v>
      </c>
      <c r="D31" t="s">
        <v>2075</v>
      </c>
      <c r="E31" t="s">
        <v>29</v>
      </c>
      <c r="F31" t="s">
        <v>30</v>
      </c>
      <c r="G31" t="s">
        <v>31</v>
      </c>
      <c r="J31" t="s">
        <v>2074</v>
      </c>
      <c r="K31" t="s">
        <v>1967</v>
      </c>
      <c r="L31" t="s">
        <v>1988</v>
      </c>
      <c r="M31" s="8">
        <v>0.285</v>
      </c>
      <c r="N31">
        <v>105.747516212372</v>
      </c>
      <c r="O31">
        <v>1909</v>
      </c>
      <c r="P31" s="9">
        <v>0.187884210526316</v>
      </c>
      <c r="Q31" t="s">
        <v>68</v>
      </c>
      <c r="T31" s="15" t="s">
        <v>69</v>
      </c>
      <c r="W31" s="16" t="str">
        <f t="shared" si="0"/>
        <v>EN_WON_19_c03_ALB</v>
      </c>
      <c r="X31" s="12">
        <f t="shared" si="1"/>
        <v>1909</v>
      </c>
      <c r="Y31" s="11">
        <f t="shared" si="2"/>
        <v>1909</v>
      </c>
      <c r="AC31" t="s">
        <v>26</v>
      </c>
      <c r="AD31" t="s">
        <v>2076</v>
      </c>
      <c r="AE31" t="s">
        <v>2077</v>
      </c>
      <c r="AF31" t="s">
        <v>29</v>
      </c>
      <c r="AG31" t="s">
        <v>30</v>
      </c>
      <c r="AH31" t="s">
        <v>31</v>
      </c>
      <c r="AK31" t="s">
        <v>2076</v>
      </c>
      <c r="AL31" t="s">
        <v>1967</v>
      </c>
      <c r="AM31" t="s">
        <v>1997</v>
      </c>
      <c r="AN31" s="8">
        <v>1.04925</v>
      </c>
      <c r="AO31">
        <v>199.694880401046</v>
      </c>
      <c r="AP31">
        <v>1494</v>
      </c>
      <c r="AQ31" s="9">
        <v>0.660011436740529</v>
      </c>
      <c r="AR31" t="s">
        <v>88</v>
      </c>
      <c r="AT31" s="15" t="s">
        <v>89</v>
      </c>
      <c r="AW31" s="11" t="str">
        <f t="shared" si="3"/>
        <v>EN_WOF_66_c02_ARG</v>
      </c>
      <c r="AX31" s="11">
        <f t="shared" si="4"/>
        <v>1494</v>
      </c>
      <c r="AY31" s="11">
        <f t="shared" si="5"/>
        <v>1494</v>
      </c>
      <c r="AZ31" s="17">
        <v>3</v>
      </c>
      <c r="BA31">
        <f t="shared" si="6"/>
        <v>14.94</v>
      </c>
    </row>
    <row r="32" spans="2:53">
      <c r="B32" t="s">
        <v>26</v>
      </c>
      <c r="C32" t="s">
        <v>2078</v>
      </c>
      <c r="D32" t="s">
        <v>2079</v>
      </c>
      <c r="E32" t="s">
        <v>29</v>
      </c>
      <c r="F32" t="s">
        <v>30</v>
      </c>
      <c r="G32" t="s">
        <v>31</v>
      </c>
      <c r="J32" t="s">
        <v>2078</v>
      </c>
      <c r="K32" t="s">
        <v>1967</v>
      </c>
      <c r="L32" t="s">
        <v>1988</v>
      </c>
      <c r="M32" s="8">
        <v>0.06075</v>
      </c>
      <c r="N32">
        <v>80.7856561622413</v>
      </c>
      <c r="O32">
        <v>1909</v>
      </c>
      <c r="P32" s="9">
        <v>0.202518518518519</v>
      </c>
      <c r="Q32" t="s">
        <v>68</v>
      </c>
      <c r="T32" s="15" t="s">
        <v>69</v>
      </c>
      <c r="W32" s="16" t="str">
        <f t="shared" si="0"/>
        <v>EN_WON_20_c02_ALB</v>
      </c>
      <c r="X32" s="12">
        <f t="shared" si="1"/>
        <v>1909</v>
      </c>
      <c r="Y32" s="11">
        <f t="shared" si="2"/>
        <v>1909</v>
      </c>
      <c r="AC32" t="s">
        <v>26</v>
      </c>
      <c r="AD32" t="s">
        <v>2080</v>
      </c>
      <c r="AE32" t="s">
        <v>2081</v>
      </c>
      <c r="AF32" t="s">
        <v>29</v>
      </c>
      <c r="AG32" t="s">
        <v>30</v>
      </c>
      <c r="AH32" t="s">
        <v>31</v>
      </c>
      <c r="AK32" t="s">
        <v>2080</v>
      </c>
      <c r="AL32" t="s">
        <v>1967</v>
      </c>
      <c r="AM32" t="s">
        <v>1997</v>
      </c>
      <c r="AN32" s="8">
        <v>11.84175</v>
      </c>
      <c r="AO32">
        <v>199.694880401046</v>
      </c>
      <c r="AP32">
        <v>1494</v>
      </c>
      <c r="AQ32" s="9">
        <v>0.666863892583444</v>
      </c>
      <c r="AR32" t="s">
        <v>88</v>
      </c>
      <c r="AT32" s="15" t="s">
        <v>89</v>
      </c>
      <c r="AW32" s="11" t="str">
        <f t="shared" si="3"/>
        <v>EN_WOF_67_c02_ARG</v>
      </c>
      <c r="AX32" s="11">
        <f t="shared" si="4"/>
        <v>1494</v>
      </c>
      <c r="AY32" s="11">
        <f t="shared" si="5"/>
        <v>1494</v>
      </c>
      <c r="AZ32" s="17">
        <v>3</v>
      </c>
      <c r="BA32">
        <f t="shared" si="6"/>
        <v>14.94</v>
      </c>
    </row>
    <row r="33" spans="2:53">
      <c r="B33" t="s">
        <v>26</v>
      </c>
      <c r="C33" t="s">
        <v>2082</v>
      </c>
      <c r="D33" t="s">
        <v>2083</v>
      </c>
      <c r="E33" t="s">
        <v>29</v>
      </c>
      <c r="F33" t="s">
        <v>30</v>
      </c>
      <c r="G33" t="s">
        <v>31</v>
      </c>
      <c r="J33" t="s">
        <v>2082</v>
      </c>
      <c r="K33" t="s">
        <v>1967</v>
      </c>
      <c r="L33" t="s">
        <v>1988</v>
      </c>
      <c r="M33" s="8">
        <v>0.0135</v>
      </c>
      <c r="N33">
        <v>105.747516212372</v>
      </c>
      <c r="O33">
        <v>1909</v>
      </c>
      <c r="P33" s="9">
        <v>0.197944444444444</v>
      </c>
      <c r="Q33" t="s">
        <v>68</v>
      </c>
      <c r="T33" s="15" t="s">
        <v>69</v>
      </c>
      <c r="W33" s="16" t="str">
        <f t="shared" si="0"/>
        <v>EN_WON_20_c03_ALB</v>
      </c>
      <c r="X33" s="12">
        <f t="shared" si="1"/>
        <v>1909</v>
      </c>
      <c r="Y33" s="11">
        <f t="shared" si="2"/>
        <v>1909</v>
      </c>
      <c r="AC33" t="s">
        <v>26</v>
      </c>
      <c r="AD33" t="s">
        <v>2084</v>
      </c>
      <c r="AE33" t="s">
        <v>2085</v>
      </c>
      <c r="AF33" t="s">
        <v>29</v>
      </c>
      <c r="AG33" t="s">
        <v>30</v>
      </c>
      <c r="AH33" t="s">
        <v>31</v>
      </c>
      <c r="AK33" t="s">
        <v>2084</v>
      </c>
      <c r="AL33" t="s">
        <v>1967</v>
      </c>
      <c r="AM33" t="s">
        <v>2086</v>
      </c>
      <c r="AN33" s="8">
        <v>0.6915</v>
      </c>
      <c r="AO33">
        <v>199.694880401046</v>
      </c>
      <c r="AP33">
        <v>1997</v>
      </c>
      <c r="AQ33" s="9">
        <v>0.312016268980477</v>
      </c>
      <c r="AR33" t="s">
        <v>2087</v>
      </c>
      <c r="AT33" s="15" t="s">
        <v>89</v>
      </c>
      <c r="AW33" s="11" t="str">
        <f t="shared" si="3"/>
        <v>EN_WOF_31_c02_ATG</v>
      </c>
      <c r="AX33" s="11">
        <f t="shared" si="4"/>
        <v>1997</v>
      </c>
      <c r="AY33" s="11">
        <f t="shared" si="5"/>
        <v>1997</v>
      </c>
      <c r="AZ33" s="17">
        <v>3</v>
      </c>
      <c r="BA33">
        <f t="shared" si="6"/>
        <v>19.97</v>
      </c>
    </row>
    <row r="34" spans="2:53">
      <c r="B34" t="s">
        <v>26</v>
      </c>
      <c r="C34" t="s">
        <v>2088</v>
      </c>
      <c r="D34" t="s">
        <v>2089</v>
      </c>
      <c r="E34" t="s">
        <v>29</v>
      </c>
      <c r="F34" t="s">
        <v>30</v>
      </c>
      <c r="G34" t="s">
        <v>31</v>
      </c>
      <c r="J34" t="s">
        <v>2088</v>
      </c>
      <c r="K34" t="s">
        <v>1967</v>
      </c>
      <c r="L34" t="s">
        <v>1988</v>
      </c>
      <c r="M34" s="8">
        <v>0.0075</v>
      </c>
      <c r="N34">
        <v>145.23264029167</v>
      </c>
      <c r="O34">
        <v>1909</v>
      </c>
      <c r="P34" s="9">
        <v>0.198</v>
      </c>
      <c r="Q34" t="s">
        <v>68</v>
      </c>
      <c r="T34" s="15" t="s">
        <v>69</v>
      </c>
      <c r="W34" s="16" t="str">
        <f t="shared" si="0"/>
        <v>EN_WON_20_c04_ALB</v>
      </c>
      <c r="X34" s="12">
        <f t="shared" si="1"/>
        <v>1909</v>
      </c>
      <c r="Y34" s="11">
        <f t="shared" si="2"/>
        <v>1909</v>
      </c>
      <c r="AC34" t="s">
        <v>26</v>
      </c>
      <c r="AD34" t="s">
        <v>2090</v>
      </c>
      <c r="AE34" t="s">
        <v>2091</v>
      </c>
      <c r="AF34" t="s">
        <v>29</v>
      </c>
      <c r="AG34" t="s">
        <v>30</v>
      </c>
      <c r="AH34" t="s">
        <v>31</v>
      </c>
      <c r="AK34" t="s">
        <v>2090</v>
      </c>
      <c r="AL34" t="s">
        <v>1967</v>
      </c>
      <c r="AM34" t="s">
        <v>2086</v>
      </c>
      <c r="AN34" s="8">
        <v>3.41775</v>
      </c>
      <c r="AO34">
        <v>199.694880401046</v>
      </c>
      <c r="AP34">
        <v>1997</v>
      </c>
      <c r="AQ34" s="9">
        <v>0.320646039060786</v>
      </c>
      <c r="AR34" t="s">
        <v>2087</v>
      </c>
      <c r="AT34" s="15" t="s">
        <v>89</v>
      </c>
      <c r="AW34" s="11" t="str">
        <f t="shared" si="3"/>
        <v>EN_WOF_32_c02_ATG</v>
      </c>
      <c r="AX34" s="11">
        <f t="shared" si="4"/>
        <v>1997</v>
      </c>
      <c r="AY34" s="11">
        <f t="shared" si="5"/>
        <v>1997</v>
      </c>
      <c r="AZ34" s="17">
        <v>3</v>
      </c>
      <c r="BA34">
        <f t="shared" si="6"/>
        <v>19.97</v>
      </c>
    </row>
    <row r="35" spans="2:53">
      <c r="B35" t="s">
        <v>26</v>
      </c>
      <c r="C35" t="s">
        <v>2092</v>
      </c>
      <c r="D35" t="s">
        <v>2093</v>
      </c>
      <c r="E35" t="s">
        <v>29</v>
      </c>
      <c r="F35" t="s">
        <v>30</v>
      </c>
      <c r="G35" t="s">
        <v>31</v>
      </c>
      <c r="J35" t="s">
        <v>2092</v>
      </c>
      <c r="K35" t="s">
        <v>1967</v>
      </c>
      <c r="L35" t="s">
        <v>1988</v>
      </c>
      <c r="M35" s="8">
        <v>0.222</v>
      </c>
      <c r="N35">
        <v>80.7856561622413</v>
      </c>
      <c r="O35">
        <v>1909</v>
      </c>
      <c r="P35" s="9">
        <v>0.208185810810811</v>
      </c>
      <c r="Q35" t="s">
        <v>68</v>
      </c>
      <c r="T35" s="15" t="s">
        <v>69</v>
      </c>
      <c r="W35" s="16" t="str">
        <f t="shared" si="0"/>
        <v>EN_WON_21_c02_ALB</v>
      </c>
      <c r="X35" s="12">
        <f t="shared" si="1"/>
        <v>1909</v>
      </c>
      <c r="Y35" s="11">
        <f t="shared" si="2"/>
        <v>1909</v>
      </c>
      <c r="AC35" t="s">
        <v>26</v>
      </c>
      <c r="AD35" t="s">
        <v>2094</v>
      </c>
      <c r="AE35" t="s">
        <v>2095</v>
      </c>
      <c r="AF35" t="s">
        <v>29</v>
      </c>
      <c r="AG35" t="s">
        <v>30</v>
      </c>
      <c r="AH35" t="s">
        <v>31</v>
      </c>
      <c r="AK35" t="s">
        <v>2094</v>
      </c>
      <c r="AL35" t="s">
        <v>1967</v>
      </c>
      <c r="AM35" t="s">
        <v>2086</v>
      </c>
      <c r="AN35" s="8">
        <v>6.213</v>
      </c>
      <c r="AO35">
        <v>199.694880401046</v>
      </c>
      <c r="AP35">
        <v>1997</v>
      </c>
      <c r="AQ35" s="9">
        <v>0.330131337518107</v>
      </c>
      <c r="AR35" t="s">
        <v>2087</v>
      </c>
      <c r="AT35" s="15" t="s">
        <v>89</v>
      </c>
      <c r="AW35" s="11" t="str">
        <f t="shared" si="3"/>
        <v>EN_WOF_33_c02_ATG</v>
      </c>
      <c r="AX35" s="11">
        <f t="shared" si="4"/>
        <v>1997</v>
      </c>
      <c r="AY35" s="11">
        <f t="shared" si="5"/>
        <v>1997</v>
      </c>
      <c r="AZ35" s="17">
        <v>3</v>
      </c>
      <c r="BA35">
        <f t="shared" si="6"/>
        <v>19.97</v>
      </c>
    </row>
    <row r="36" spans="2:53">
      <c r="B36" t="s">
        <v>26</v>
      </c>
      <c r="C36" t="s">
        <v>2096</v>
      </c>
      <c r="D36" t="s">
        <v>2097</v>
      </c>
      <c r="E36" t="s">
        <v>29</v>
      </c>
      <c r="F36" t="s">
        <v>30</v>
      </c>
      <c r="G36" t="s">
        <v>31</v>
      </c>
      <c r="J36" t="s">
        <v>2096</v>
      </c>
      <c r="K36" t="s">
        <v>1967</v>
      </c>
      <c r="L36" t="s">
        <v>1988</v>
      </c>
      <c r="M36" s="8">
        <v>0.23175</v>
      </c>
      <c r="N36">
        <v>105.747516212372</v>
      </c>
      <c r="O36">
        <v>1909</v>
      </c>
      <c r="P36" s="9">
        <v>0.208025889967638</v>
      </c>
      <c r="Q36" t="s">
        <v>68</v>
      </c>
      <c r="T36" s="15" t="s">
        <v>69</v>
      </c>
      <c r="W36" s="16" t="str">
        <f t="shared" si="0"/>
        <v>EN_WON_21_c03_ALB</v>
      </c>
      <c r="X36" s="12">
        <f t="shared" si="1"/>
        <v>1909</v>
      </c>
      <c r="Y36" s="11">
        <f t="shared" si="2"/>
        <v>1909</v>
      </c>
      <c r="AC36" t="s">
        <v>26</v>
      </c>
      <c r="AD36" t="s">
        <v>2098</v>
      </c>
      <c r="AE36" t="s">
        <v>2099</v>
      </c>
      <c r="AF36" t="s">
        <v>29</v>
      </c>
      <c r="AG36" t="s">
        <v>30</v>
      </c>
      <c r="AH36" t="s">
        <v>31</v>
      </c>
      <c r="AK36" t="s">
        <v>2098</v>
      </c>
      <c r="AL36" t="s">
        <v>1967</v>
      </c>
      <c r="AM36" t="s">
        <v>2086</v>
      </c>
      <c r="AN36" s="8">
        <v>2.0415</v>
      </c>
      <c r="AO36">
        <v>199.694880401046</v>
      </c>
      <c r="AP36">
        <v>1997</v>
      </c>
      <c r="AQ36" s="9">
        <v>0.343</v>
      </c>
      <c r="AR36" t="s">
        <v>2087</v>
      </c>
      <c r="AT36" s="15" t="s">
        <v>89</v>
      </c>
      <c r="AW36" s="11" t="str">
        <f t="shared" si="3"/>
        <v>EN_WOF_34_c02_ATG</v>
      </c>
      <c r="AX36" s="11">
        <f t="shared" si="4"/>
        <v>1997</v>
      </c>
      <c r="AY36" s="11">
        <f t="shared" si="5"/>
        <v>1997</v>
      </c>
      <c r="AZ36" s="17">
        <v>3</v>
      </c>
      <c r="BA36">
        <f t="shared" si="6"/>
        <v>19.97</v>
      </c>
    </row>
    <row r="37" spans="2:53">
      <c r="B37" t="s">
        <v>26</v>
      </c>
      <c r="C37" t="s">
        <v>2100</v>
      </c>
      <c r="D37" t="s">
        <v>2101</v>
      </c>
      <c r="E37" t="s">
        <v>29</v>
      </c>
      <c r="F37" t="s">
        <v>30</v>
      </c>
      <c r="G37" t="s">
        <v>31</v>
      </c>
      <c r="J37" t="s">
        <v>2100</v>
      </c>
      <c r="K37" t="s">
        <v>1967</v>
      </c>
      <c r="L37" t="s">
        <v>1988</v>
      </c>
      <c r="M37" s="8">
        <v>0.6225</v>
      </c>
      <c r="N37">
        <v>105.747516212372</v>
      </c>
      <c r="O37">
        <v>1909</v>
      </c>
      <c r="P37" s="9">
        <v>0.217101204819277</v>
      </c>
      <c r="Q37" t="s">
        <v>68</v>
      </c>
      <c r="T37" s="15" t="s">
        <v>69</v>
      </c>
      <c r="W37" s="16" t="str">
        <f t="shared" si="0"/>
        <v>EN_WON_22_c03_ALB</v>
      </c>
      <c r="X37" s="12">
        <f t="shared" si="1"/>
        <v>1909</v>
      </c>
      <c r="Y37" s="11">
        <f t="shared" si="2"/>
        <v>1909</v>
      </c>
      <c r="AC37" t="s">
        <v>26</v>
      </c>
      <c r="AD37" t="s">
        <v>2102</v>
      </c>
      <c r="AE37" t="s">
        <v>2103</v>
      </c>
      <c r="AF37" t="s">
        <v>29</v>
      </c>
      <c r="AG37" t="s">
        <v>30</v>
      </c>
      <c r="AH37" t="s">
        <v>31</v>
      </c>
      <c r="AK37" t="s">
        <v>2102</v>
      </c>
      <c r="AL37" t="s">
        <v>1967</v>
      </c>
      <c r="AM37" t="s">
        <v>2086</v>
      </c>
      <c r="AN37" s="8">
        <v>5.04225</v>
      </c>
      <c r="AO37">
        <v>199.694880401046</v>
      </c>
      <c r="AP37">
        <v>1997</v>
      </c>
      <c r="AQ37" s="9">
        <v>0.347</v>
      </c>
      <c r="AR37" t="s">
        <v>2087</v>
      </c>
      <c r="AT37" s="15" t="s">
        <v>89</v>
      </c>
      <c r="AW37" s="11" t="str">
        <f t="shared" si="3"/>
        <v>EN_WOF_35_c02_ATG</v>
      </c>
      <c r="AX37" s="11">
        <f t="shared" si="4"/>
        <v>1997</v>
      </c>
      <c r="AY37" s="11">
        <f t="shared" si="5"/>
        <v>1997</v>
      </c>
      <c r="AZ37" s="17">
        <v>3</v>
      </c>
      <c r="BA37">
        <f t="shared" si="6"/>
        <v>19.97</v>
      </c>
    </row>
    <row r="38" spans="2:53">
      <c r="B38" t="s">
        <v>26</v>
      </c>
      <c r="C38" t="s">
        <v>2104</v>
      </c>
      <c r="D38" t="s">
        <v>2105</v>
      </c>
      <c r="E38" t="s">
        <v>29</v>
      </c>
      <c r="F38" t="s">
        <v>30</v>
      </c>
      <c r="G38" t="s">
        <v>31</v>
      </c>
      <c r="J38" t="s">
        <v>2104</v>
      </c>
      <c r="K38" t="s">
        <v>1967</v>
      </c>
      <c r="L38" t="s">
        <v>1988</v>
      </c>
      <c r="M38" s="8">
        <v>0.10575</v>
      </c>
      <c r="N38">
        <v>105.747516212372</v>
      </c>
      <c r="O38">
        <v>1909</v>
      </c>
      <c r="P38" s="9">
        <v>0.228602836879433</v>
      </c>
      <c r="Q38" t="s">
        <v>68</v>
      </c>
      <c r="T38" s="15" t="s">
        <v>69</v>
      </c>
      <c r="W38" s="16" t="str">
        <f t="shared" si="0"/>
        <v>EN_WON_23_c03_ALB</v>
      </c>
      <c r="X38" s="12">
        <f t="shared" si="1"/>
        <v>1909</v>
      </c>
      <c r="Y38" s="11">
        <f t="shared" si="2"/>
        <v>1909</v>
      </c>
      <c r="AC38" t="s">
        <v>26</v>
      </c>
      <c r="AD38" t="s">
        <v>2106</v>
      </c>
      <c r="AE38" t="s">
        <v>2107</v>
      </c>
      <c r="AF38" t="s">
        <v>29</v>
      </c>
      <c r="AG38" t="s">
        <v>30</v>
      </c>
      <c r="AH38" t="s">
        <v>31</v>
      </c>
      <c r="AK38" t="s">
        <v>2106</v>
      </c>
      <c r="AL38" t="s">
        <v>1967</v>
      </c>
      <c r="AM38" t="s">
        <v>2086</v>
      </c>
      <c r="AN38" s="8">
        <v>4.9575</v>
      </c>
      <c r="AO38">
        <v>199.694880401046</v>
      </c>
      <c r="AP38">
        <v>1997</v>
      </c>
      <c r="AQ38" s="9">
        <v>0.370279727685325</v>
      </c>
      <c r="AR38" t="s">
        <v>2087</v>
      </c>
      <c r="AT38" s="15" t="s">
        <v>89</v>
      </c>
      <c r="AW38" s="11" t="str">
        <f t="shared" si="3"/>
        <v>EN_WOF_37_c02_ATG</v>
      </c>
      <c r="AX38" s="11">
        <f t="shared" si="4"/>
        <v>1997</v>
      </c>
      <c r="AY38" s="11">
        <f t="shared" si="5"/>
        <v>1997</v>
      </c>
      <c r="AZ38" s="17">
        <v>3</v>
      </c>
      <c r="BA38">
        <f t="shared" si="6"/>
        <v>19.97</v>
      </c>
    </row>
    <row r="39" spans="2:53">
      <c r="B39" t="s">
        <v>26</v>
      </c>
      <c r="C39" t="s">
        <v>2108</v>
      </c>
      <c r="D39" t="s">
        <v>2109</v>
      </c>
      <c r="E39" t="s">
        <v>29</v>
      </c>
      <c r="F39" t="s">
        <v>30</v>
      </c>
      <c r="G39" t="s">
        <v>31</v>
      </c>
      <c r="J39" t="s">
        <v>2108</v>
      </c>
      <c r="K39" t="s">
        <v>1967</v>
      </c>
      <c r="L39" t="s">
        <v>1988</v>
      </c>
      <c r="M39" s="8">
        <v>0.05475</v>
      </c>
      <c r="N39">
        <v>105.747516212372</v>
      </c>
      <c r="O39">
        <v>1909</v>
      </c>
      <c r="P39" s="9">
        <v>0.241</v>
      </c>
      <c r="Q39" t="s">
        <v>68</v>
      </c>
      <c r="T39" s="15" t="s">
        <v>69</v>
      </c>
      <c r="W39" s="16" t="str">
        <f t="shared" si="0"/>
        <v>EN_WON_24_c03_ALB</v>
      </c>
      <c r="X39" s="12">
        <f t="shared" si="1"/>
        <v>1909</v>
      </c>
      <c r="Y39" s="11">
        <f t="shared" si="2"/>
        <v>1909</v>
      </c>
      <c r="AC39" t="s">
        <v>26</v>
      </c>
      <c r="AD39" t="s">
        <v>2110</v>
      </c>
      <c r="AE39" t="s">
        <v>2111</v>
      </c>
      <c r="AF39" t="s">
        <v>29</v>
      </c>
      <c r="AG39" t="s">
        <v>30</v>
      </c>
      <c r="AH39" t="s">
        <v>31</v>
      </c>
      <c r="AK39" t="s">
        <v>2110</v>
      </c>
      <c r="AL39" t="s">
        <v>1967</v>
      </c>
      <c r="AM39" t="s">
        <v>2086</v>
      </c>
      <c r="AN39" s="8">
        <v>4.383</v>
      </c>
      <c r="AO39">
        <v>199.694880401046</v>
      </c>
      <c r="AP39">
        <v>1997</v>
      </c>
      <c r="AQ39" s="9">
        <v>0.392</v>
      </c>
      <c r="AR39" t="s">
        <v>2087</v>
      </c>
      <c r="AT39" s="15" t="s">
        <v>89</v>
      </c>
      <c r="AW39" s="11" t="str">
        <f t="shared" si="3"/>
        <v>EN_WOF_39_c02_ATG</v>
      </c>
      <c r="AX39" s="11">
        <f t="shared" si="4"/>
        <v>1997</v>
      </c>
      <c r="AY39" s="11">
        <f t="shared" si="5"/>
        <v>1997</v>
      </c>
      <c r="AZ39" s="17">
        <v>3</v>
      </c>
      <c r="BA39">
        <f t="shared" si="6"/>
        <v>19.97</v>
      </c>
    </row>
    <row r="40" spans="2:53">
      <c r="B40" t="s">
        <v>26</v>
      </c>
      <c r="C40" t="s">
        <v>2112</v>
      </c>
      <c r="D40" t="s">
        <v>2113</v>
      </c>
      <c r="E40" t="s">
        <v>29</v>
      </c>
      <c r="F40" t="s">
        <v>30</v>
      </c>
      <c r="G40" t="s">
        <v>31</v>
      </c>
      <c r="J40" t="s">
        <v>2112</v>
      </c>
      <c r="K40" t="s">
        <v>1967</v>
      </c>
      <c r="L40" t="s">
        <v>1988</v>
      </c>
      <c r="M40" s="8">
        <v>0.05325</v>
      </c>
      <c r="N40">
        <v>105.747516212372</v>
      </c>
      <c r="O40">
        <v>1909</v>
      </c>
      <c r="P40" s="9">
        <v>0.247</v>
      </c>
      <c r="Q40" t="s">
        <v>68</v>
      </c>
      <c r="T40" s="15" t="s">
        <v>69</v>
      </c>
      <c r="W40" s="16" t="str">
        <f t="shared" si="0"/>
        <v>EN_WON_25_c03_ALB</v>
      </c>
      <c r="X40" s="12">
        <f t="shared" si="1"/>
        <v>1909</v>
      </c>
      <c r="Y40" s="11">
        <f t="shared" si="2"/>
        <v>1909</v>
      </c>
      <c r="AC40" t="s">
        <v>26</v>
      </c>
      <c r="AD40" t="s">
        <v>2114</v>
      </c>
      <c r="AE40" t="s">
        <v>2115</v>
      </c>
      <c r="AF40" t="s">
        <v>29</v>
      </c>
      <c r="AG40" t="s">
        <v>30</v>
      </c>
      <c r="AH40" t="s">
        <v>31</v>
      </c>
      <c r="AK40" t="s">
        <v>2114</v>
      </c>
      <c r="AL40" t="s">
        <v>1967</v>
      </c>
      <c r="AM40" t="s">
        <v>2116</v>
      </c>
      <c r="AN40" s="8">
        <v>29.9055</v>
      </c>
      <c r="AO40">
        <v>199.694880401046</v>
      </c>
      <c r="AP40">
        <v>1554</v>
      </c>
      <c r="AQ40" s="9">
        <v>0.301885338817274</v>
      </c>
      <c r="AR40" t="s">
        <v>118</v>
      </c>
      <c r="AT40" s="15" t="s">
        <v>119</v>
      </c>
      <c r="AW40" s="11" t="str">
        <f t="shared" si="3"/>
        <v>EN_WOF_30_c02_AUS</v>
      </c>
      <c r="AX40" s="11">
        <f t="shared" si="4"/>
        <v>1554</v>
      </c>
      <c r="AY40" s="11">
        <f t="shared" si="5"/>
        <v>1554</v>
      </c>
      <c r="AZ40" s="17">
        <v>3</v>
      </c>
      <c r="BA40">
        <f t="shared" si="6"/>
        <v>15.54</v>
      </c>
    </row>
    <row r="41" spans="2:53">
      <c r="B41" t="s">
        <v>26</v>
      </c>
      <c r="C41" t="s">
        <v>2117</v>
      </c>
      <c r="D41" t="s">
        <v>2118</v>
      </c>
      <c r="E41" t="s">
        <v>29</v>
      </c>
      <c r="F41" t="s">
        <v>30</v>
      </c>
      <c r="G41" t="s">
        <v>31</v>
      </c>
      <c r="J41" t="s">
        <v>2117</v>
      </c>
      <c r="K41" t="s">
        <v>1967</v>
      </c>
      <c r="L41" t="s">
        <v>1988</v>
      </c>
      <c r="M41" s="8">
        <v>0.02925</v>
      </c>
      <c r="N41">
        <v>80.7856561622413</v>
      </c>
      <c r="O41">
        <v>1909</v>
      </c>
      <c r="P41" s="9">
        <v>0.264</v>
      </c>
      <c r="Q41" t="s">
        <v>68</v>
      </c>
      <c r="T41" s="15" t="s">
        <v>69</v>
      </c>
      <c r="W41" s="16" t="str">
        <f t="shared" si="0"/>
        <v>EN_WON_26_c02_ALB</v>
      </c>
      <c r="X41" s="12">
        <f t="shared" si="1"/>
        <v>1909</v>
      </c>
      <c r="Y41" s="11">
        <f t="shared" si="2"/>
        <v>1909</v>
      </c>
      <c r="AC41" t="s">
        <v>26</v>
      </c>
      <c r="AD41" t="s">
        <v>2119</v>
      </c>
      <c r="AE41" t="s">
        <v>2120</v>
      </c>
      <c r="AF41" t="s">
        <v>29</v>
      </c>
      <c r="AG41" t="s">
        <v>30</v>
      </c>
      <c r="AH41" t="s">
        <v>31</v>
      </c>
      <c r="AK41" t="s">
        <v>2119</v>
      </c>
      <c r="AL41" t="s">
        <v>1967</v>
      </c>
      <c r="AM41" t="s">
        <v>2116</v>
      </c>
      <c r="AN41" s="8">
        <v>131.904</v>
      </c>
      <c r="AO41">
        <v>199.694880401046</v>
      </c>
      <c r="AP41">
        <v>1554</v>
      </c>
      <c r="AQ41" s="9">
        <v>0.309431006641194</v>
      </c>
      <c r="AR41" t="s">
        <v>118</v>
      </c>
      <c r="AT41" s="15" t="s">
        <v>119</v>
      </c>
      <c r="AW41" s="11" t="str">
        <f t="shared" si="3"/>
        <v>EN_WOF_31_c02_AUS</v>
      </c>
      <c r="AX41" s="11">
        <f t="shared" si="4"/>
        <v>1554</v>
      </c>
      <c r="AY41" s="11">
        <f t="shared" si="5"/>
        <v>1554</v>
      </c>
      <c r="AZ41" s="17">
        <v>3</v>
      </c>
      <c r="BA41">
        <f t="shared" si="6"/>
        <v>15.54</v>
      </c>
    </row>
    <row r="42" spans="2:53">
      <c r="B42" t="s">
        <v>26</v>
      </c>
      <c r="C42" t="s">
        <v>2121</v>
      </c>
      <c r="D42" t="s">
        <v>2122</v>
      </c>
      <c r="E42" t="s">
        <v>29</v>
      </c>
      <c r="F42" t="s">
        <v>30</v>
      </c>
      <c r="G42" t="s">
        <v>31</v>
      </c>
      <c r="J42" t="s">
        <v>2121</v>
      </c>
      <c r="K42" t="s">
        <v>1967</v>
      </c>
      <c r="L42" t="s">
        <v>1988</v>
      </c>
      <c r="M42" s="8">
        <v>0.2475</v>
      </c>
      <c r="N42">
        <v>105.747516212372</v>
      </c>
      <c r="O42">
        <v>1909</v>
      </c>
      <c r="P42" s="9">
        <v>0.257718181818182</v>
      </c>
      <c r="Q42" t="s">
        <v>68</v>
      </c>
      <c r="T42" s="15" t="s">
        <v>69</v>
      </c>
      <c r="W42" s="16" t="str">
        <f t="shared" si="0"/>
        <v>EN_WON_26_c03_ALB</v>
      </c>
      <c r="X42" s="12">
        <f t="shared" si="1"/>
        <v>1909</v>
      </c>
      <c r="Y42" s="11">
        <f t="shared" si="2"/>
        <v>1909</v>
      </c>
      <c r="AC42" t="s">
        <v>26</v>
      </c>
      <c r="AD42" t="s">
        <v>2123</v>
      </c>
      <c r="AE42" t="s">
        <v>2124</v>
      </c>
      <c r="AF42" t="s">
        <v>29</v>
      </c>
      <c r="AG42" t="s">
        <v>30</v>
      </c>
      <c r="AH42" t="s">
        <v>31</v>
      </c>
      <c r="AK42" t="s">
        <v>2123</v>
      </c>
      <c r="AL42" t="s">
        <v>1967</v>
      </c>
      <c r="AM42" t="s">
        <v>2116</v>
      </c>
      <c r="AN42" s="8">
        <v>117.663</v>
      </c>
      <c r="AO42">
        <v>199.694880401046</v>
      </c>
      <c r="AP42">
        <v>1554</v>
      </c>
      <c r="AQ42" s="9">
        <v>0.321175913413733</v>
      </c>
      <c r="AR42" t="s">
        <v>118</v>
      </c>
      <c r="AT42" s="15" t="s">
        <v>119</v>
      </c>
      <c r="AW42" s="11" t="str">
        <f t="shared" si="3"/>
        <v>EN_WOF_32_c02_AUS</v>
      </c>
      <c r="AX42" s="11">
        <f t="shared" si="4"/>
        <v>1554</v>
      </c>
      <c r="AY42" s="11">
        <f t="shared" si="5"/>
        <v>1554</v>
      </c>
      <c r="AZ42" s="17">
        <v>3</v>
      </c>
      <c r="BA42">
        <f t="shared" si="6"/>
        <v>15.54</v>
      </c>
    </row>
    <row r="43" spans="2:53">
      <c r="B43" t="s">
        <v>26</v>
      </c>
      <c r="C43" t="s">
        <v>2125</v>
      </c>
      <c r="D43" t="s">
        <v>2126</v>
      </c>
      <c r="E43" t="s">
        <v>29</v>
      </c>
      <c r="F43" t="s">
        <v>30</v>
      </c>
      <c r="G43" t="s">
        <v>31</v>
      </c>
      <c r="J43" t="s">
        <v>2125</v>
      </c>
      <c r="K43" t="s">
        <v>1967</v>
      </c>
      <c r="L43" t="s">
        <v>1988</v>
      </c>
      <c r="M43" s="8">
        <v>0.1035</v>
      </c>
      <c r="N43">
        <v>80.7856561622413</v>
      </c>
      <c r="O43">
        <v>1909</v>
      </c>
      <c r="P43" s="9">
        <v>0.267</v>
      </c>
      <c r="Q43" t="s">
        <v>68</v>
      </c>
      <c r="T43" s="15" t="s">
        <v>69</v>
      </c>
      <c r="W43" s="16" t="str">
        <f t="shared" si="0"/>
        <v>EN_WON_27_c02_ALB</v>
      </c>
      <c r="X43" s="12">
        <f t="shared" si="1"/>
        <v>1909</v>
      </c>
      <c r="Y43" s="11">
        <f t="shared" si="2"/>
        <v>1909</v>
      </c>
      <c r="AC43" t="s">
        <v>26</v>
      </c>
      <c r="AD43" t="s">
        <v>2127</v>
      </c>
      <c r="AE43" t="s">
        <v>2128</v>
      </c>
      <c r="AF43" t="s">
        <v>29</v>
      </c>
      <c r="AG43" t="s">
        <v>30</v>
      </c>
      <c r="AH43" t="s">
        <v>31</v>
      </c>
      <c r="AK43" t="s">
        <v>2127</v>
      </c>
      <c r="AL43" t="s">
        <v>1967</v>
      </c>
      <c r="AM43" t="s">
        <v>2116</v>
      </c>
      <c r="AN43" s="8">
        <v>255.852</v>
      </c>
      <c r="AO43">
        <v>199.694880401046</v>
      </c>
      <c r="AP43">
        <v>1554</v>
      </c>
      <c r="AQ43" s="9">
        <v>0.3296360864875</v>
      </c>
      <c r="AR43" t="s">
        <v>118</v>
      </c>
      <c r="AT43" s="15" t="s">
        <v>119</v>
      </c>
      <c r="AW43" s="11" t="str">
        <f t="shared" si="3"/>
        <v>EN_WOF_33_c02_AUS</v>
      </c>
      <c r="AX43" s="11">
        <f t="shared" si="4"/>
        <v>1554</v>
      </c>
      <c r="AY43" s="11">
        <f t="shared" si="5"/>
        <v>1554</v>
      </c>
      <c r="AZ43" s="17">
        <v>3</v>
      </c>
      <c r="BA43">
        <f t="shared" si="6"/>
        <v>15.54</v>
      </c>
    </row>
    <row r="44" spans="2:53">
      <c r="B44" t="s">
        <v>26</v>
      </c>
      <c r="C44" t="s">
        <v>2129</v>
      </c>
      <c r="D44" t="s">
        <v>2130</v>
      </c>
      <c r="E44" t="s">
        <v>29</v>
      </c>
      <c r="F44" t="s">
        <v>30</v>
      </c>
      <c r="G44" t="s">
        <v>31</v>
      </c>
      <c r="J44" t="s">
        <v>2129</v>
      </c>
      <c r="K44" t="s">
        <v>1967</v>
      </c>
      <c r="L44" t="s">
        <v>1988</v>
      </c>
      <c r="M44" s="8">
        <v>0.15375</v>
      </c>
      <c r="N44">
        <v>105.747516212372</v>
      </c>
      <c r="O44">
        <v>1909</v>
      </c>
      <c r="P44" s="9">
        <v>0.268</v>
      </c>
      <c r="Q44" t="s">
        <v>68</v>
      </c>
      <c r="T44" s="15" t="s">
        <v>69</v>
      </c>
      <c r="W44" s="16" t="str">
        <f t="shared" si="0"/>
        <v>EN_WON_27_c03_ALB</v>
      </c>
      <c r="X44" s="12">
        <f t="shared" si="1"/>
        <v>1909</v>
      </c>
      <c r="Y44" s="11">
        <f t="shared" si="2"/>
        <v>1909</v>
      </c>
      <c r="AC44" t="s">
        <v>26</v>
      </c>
      <c r="AD44" t="s">
        <v>2131</v>
      </c>
      <c r="AE44" t="s">
        <v>2132</v>
      </c>
      <c r="AF44" t="s">
        <v>29</v>
      </c>
      <c r="AG44" t="s">
        <v>30</v>
      </c>
      <c r="AH44" t="s">
        <v>31</v>
      </c>
      <c r="AK44" t="s">
        <v>2131</v>
      </c>
      <c r="AL44" t="s">
        <v>1967</v>
      </c>
      <c r="AM44" t="s">
        <v>2116</v>
      </c>
      <c r="AN44" s="8">
        <v>233.373</v>
      </c>
      <c r="AO44">
        <v>199.694880401046</v>
      </c>
      <c r="AP44">
        <v>1554</v>
      </c>
      <c r="AQ44" s="9">
        <v>0.339736679050276</v>
      </c>
      <c r="AR44" t="s">
        <v>118</v>
      </c>
      <c r="AT44" s="15" t="s">
        <v>119</v>
      </c>
      <c r="AW44" s="11" t="str">
        <f t="shared" si="3"/>
        <v>EN_WOF_34_c02_AUS</v>
      </c>
      <c r="AX44" s="11">
        <f t="shared" si="4"/>
        <v>1554</v>
      </c>
      <c r="AY44" s="11">
        <f t="shared" si="5"/>
        <v>1554</v>
      </c>
      <c r="AZ44" s="17">
        <v>3</v>
      </c>
      <c r="BA44">
        <f t="shared" si="6"/>
        <v>15.54</v>
      </c>
    </row>
    <row r="45" spans="2:53">
      <c r="B45" t="s">
        <v>26</v>
      </c>
      <c r="C45" t="s">
        <v>2133</v>
      </c>
      <c r="D45" t="s">
        <v>2134</v>
      </c>
      <c r="E45" t="s">
        <v>29</v>
      </c>
      <c r="F45" t="s">
        <v>30</v>
      </c>
      <c r="G45" t="s">
        <v>31</v>
      </c>
      <c r="J45" t="s">
        <v>2133</v>
      </c>
      <c r="K45" t="s">
        <v>1967</v>
      </c>
      <c r="L45" t="s">
        <v>1988</v>
      </c>
      <c r="M45" s="8">
        <v>0.084</v>
      </c>
      <c r="N45">
        <v>80.7856561622413</v>
      </c>
      <c r="O45">
        <v>1909</v>
      </c>
      <c r="P45" s="9">
        <v>0.293</v>
      </c>
      <c r="Q45" t="s">
        <v>68</v>
      </c>
      <c r="T45" s="15" t="s">
        <v>69</v>
      </c>
      <c r="W45" s="16" t="str">
        <f t="shared" si="0"/>
        <v>EN_WON_29_c02_ALB</v>
      </c>
      <c r="X45" s="12">
        <f t="shared" si="1"/>
        <v>1909</v>
      </c>
      <c r="Y45" s="11">
        <f t="shared" si="2"/>
        <v>1909</v>
      </c>
      <c r="AC45" t="s">
        <v>26</v>
      </c>
      <c r="AD45" t="s">
        <v>2135</v>
      </c>
      <c r="AE45" t="s">
        <v>2136</v>
      </c>
      <c r="AF45" t="s">
        <v>29</v>
      </c>
      <c r="AG45" t="s">
        <v>30</v>
      </c>
      <c r="AH45" t="s">
        <v>31</v>
      </c>
      <c r="AK45" t="s">
        <v>2135</v>
      </c>
      <c r="AL45" t="s">
        <v>1967</v>
      </c>
      <c r="AM45" t="s">
        <v>2116</v>
      </c>
      <c r="AN45" s="8">
        <v>270.1065</v>
      </c>
      <c r="AO45">
        <v>199.694880401046</v>
      </c>
      <c r="AP45">
        <v>1554</v>
      </c>
      <c r="AQ45" s="9">
        <v>0.349550488418457</v>
      </c>
      <c r="AR45" t="s">
        <v>118</v>
      </c>
      <c r="AT45" s="15" t="s">
        <v>119</v>
      </c>
      <c r="AW45" s="11" t="str">
        <f t="shared" si="3"/>
        <v>EN_WOF_35_c02_AUS</v>
      </c>
      <c r="AX45" s="11">
        <f t="shared" si="4"/>
        <v>1554</v>
      </c>
      <c r="AY45" s="11">
        <f t="shared" si="5"/>
        <v>1554</v>
      </c>
      <c r="AZ45" s="17">
        <v>3</v>
      </c>
      <c r="BA45">
        <f t="shared" si="6"/>
        <v>15.54</v>
      </c>
    </row>
    <row r="46" spans="2:53">
      <c r="B46" t="s">
        <v>26</v>
      </c>
      <c r="C46" t="s">
        <v>2137</v>
      </c>
      <c r="D46" t="s">
        <v>2138</v>
      </c>
      <c r="E46" t="s">
        <v>29</v>
      </c>
      <c r="F46" t="s">
        <v>30</v>
      </c>
      <c r="G46" t="s">
        <v>31</v>
      </c>
      <c r="J46" t="s">
        <v>2137</v>
      </c>
      <c r="K46" t="s">
        <v>1967</v>
      </c>
      <c r="L46" t="s">
        <v>1988</v>
      </c>
      <c r="M46" s="8">
        <v>0.06</v>
      </c>
      <c r="N46">
        <v>80.7856561622413</v>
      </c>
      <c r="O46">
        <v>1909</v>
      </c>
      <c r="P46" s="9">
        <v>0.296</v>
      </c>
      <c r="Q46" t="s">
        <v>68</v>
      </c>
      <c r="T46" s="15" t="s">
        <v>69</v>
      </c>
      <c r="W46" s="16" t="str">
        <f t="shared" si="0"/>
        <v>EN_WON_30_c02_ALB</v>
      </c>
      <c r="X46" s="12">
        <f t="shared" si="1"/>
        <v>1909</v>
      </c>
      <c r="Y46" s="11">
        <f t="shared" si="2"/>
        <v>1909</v>
      </c>
      <c r="AC46" t="s">
        <v>26</v>
      </c>
      <c r="AD46" t="s">
        <v>2139</v>
      </c>
      <c r="AE46" t="s">
        <v>2140</v>
      </c>
      <c r="AF46" t="s">
        <v>29</v>
      </c>
      <c r="AG46" t="s">
        <v>30</v>
      </c>
      <c r="AH46" t="s">
        <v>31</v>
      </c>
      <c r="AK46" t="s">
        <v>2139</v>
      </c>
      <c r="AL46" t="s">
        <v>1967</v>
      </c>
      <c r="AM46" t="s">
        <v>2116</v>
      </c>
      <c r="AN46" s="8">
        <v>331.398</v>
      </c>
      <c r="AO46">
        <v>199.694880401046</v>
      </c>
      <c r="AP46">
        <v>1554</v>
      </c>
      <c r="AQ46" s="9">
        <v>0.358673533032788</v>
      </c>
      <c r="AR46" t="s">
        <v>118</v>
      </c>
      <c r="AT46" s="15" t="s">
        <v>119</v>
      </c>
      <c r="AW46" s="11" t="str">
        <f t="shared" si="3"/>
        <v>EN_WOF_36_c02_AUS</v>
      </c>
      <c r="AX46" s="11">
        <f t="shared" si="4"/>
        <v>1554</v>
      </c>
      <c r="AY46" s="11">
        <f t="shared" si="5"/>
        <v>1554</v>
      </c>
      <c r="AZ46" s="17">
        <v>3</v>
      </c>
      <c r="BA46">
        <f t="shared" si="6"/>
        <v>15.54</v>
      </c>
    </row>
    <row r="47" spans="2:53">
      <c r="B47" t="s">
        <v>26</v>
      </c>
      <c r="C47" t="s">
        <v>2141</v>
      </c>
      <c r="D47" t="s">
        <v>2142</v>
      </c>
      <c r="E47" t="s">
        <v>29</v>
      </c>
      <c r="F47" t="s">
        <v>30</v>
      </c>
      <c r="G47" t="s">
        <v>31</v>
      </c>
      <c r="J47" t="s">
        <v>2141</v>
      </c>
      <c r="K47" t="s">
        <v>1967</v>
      </c>
      <c r="L47" t="s">
        <v>2143</v>
      </c>
      <c r="M47" s="8">
        <v>7.0095</v>
      </c>
      <c r="N47">
        <v>105.747516212372</v>
      </c>
      <c r="O47">
        <v>1756</v>
      </c>
      <c r="P47" s="9">
        <v>0.189675262144233</v>
      </c>
      <c r="Q47" t="s">
        <v>79</v>
      </c>
      <c r="T47" s="15" t="s">
        <v>80</v>
      </c>
      <c r="W47" s="16" t="str">
        <f t="shared" si="0"/>
        <v>EN_WON_19_c03_ARE</v>
      </c>
      <c r="X47" s="12">
        <f t="shared" si="1"/>
        <v>1756</v>
      </c>
      <c r="Y47" s="11">
        <f t="shared" si="2"/>
        <v>1756</v>
      </c>
      <c r="AC47" t="s">
        <v>26</v>
      </c>
      <c r="AD47" t="s">
        <v>2144</v>
      </c>
      <c r="AE47" t="s">
        <v>2145</v>
      </c>
      <c r="AF47" t="s">
        <v>29</v>
      </c>
      <c r="AG47" t="s">
        <v>30</v>
      </c>
      <c r="AH47" t="s">
        <v>31</v>
      </c>
      <c r="AK47" t="s">
        <v>2144</v>
      </c>
      <c r="AL47" t="s">
        <v>1967</v>
      </c>
      <c r="AM47" t="s">
        <v>2116</v>
      </c>
      <c r="AN47" s="8">
        <v>247.6485</v>
      </c>
      <c r="AO47">
        <v>199.694880401046</v>
      </c>
      <c r="AP47">
        <v>1554</v>
      </c>
      <c r="AQ47" s="9">
        <v>0.368810126045585</v>
      </c>
      <c r="AR47" t="s">
        <v>118</v>
      </c>
      <c r="AT47" s="15" t="s">
        <v>119</v>
      </c>
      <c r="AW47" s="11" t="str">
        <f t="shared" si="3"/>
        <v>EN_WOF_37_c02_AUS</v>
      </c>
      <c r="AX47" s="11">
        <f t="shared" si="4"/>
        <v>1554</v>
      </c>
      <c r="AY47" s="11">
        <f t="shared" si="5"/>
        <v>1554</v>
      </c>
      <c r="AZ47" s="17">
        <v>3</v>
      </c>
      <c r="BA47">
        <f t="shared" si="6"/>
        <v>15.54</v>
      </c>
    </row>
    <row r="48" spans="2:53">
      <c r="B48" t="s">
        <v>26</v>
      </c>
      <c r="C48" t="s">
        <v>2146</v>
      </c>
      <c r="D48" t="s">
        <v>2147</v>
      </c>
      <c r="E48" t="s">
        <v>29</v>
      </c>
      <c r="F48" t="s">
        <v>30</v>
      </c>
      <c r="G48" t="s">
        <v>31</v>
      </c>
      <c r="J48" t="s">
        <v>2146</v>
      </c>
      <c r="K48" t="s">
        <v>1967</v>
      </c>
      <c r="L48" t="s">
        <v>2143</v>
      </c>
      <c r="M48" s="8">
        <v>0.05925</v>
      </c>
      <c r="N48">
        <v>0</v>
      </c>
      <c r="O48">
        <v>1756</v>
      </c>
      <c r="P48" s="9">
        <v>0.195</v>
      </c>
      <c r="Q48" t="s">
        <v>79</v>
      </c>
      <c r="T48" s="15" t="s">
        <v>80</v>
      </c>
      <c r="W48" s="16" t="str">
        <f t="shared" si="0"/>
        <v>EN_WON_20_c01_ARE</v>
      </c>
      <c r="X48" s="12">
        <f t="shared" si="1"/>
        <v>1756</v>
      </c>
      <c r="Y48" s="11">
        <f t="shared" si="2"/>
        <v>1756</v>
      </c>
      <c r="AC48" t="s">
        <v>26</v>
      </c>
      <c r="AD48" t="s">
        <v>2148</v>
      </c>
      <c r="AE48" t="s">
        <v>2149</v>
      </c>
      <c r="AF48" t="s">
        <v>29</v>
      </c>
      <c r="AG48" t="s">
        <v>30</v>
      </c>
      <c r="AH48" t="s">
        <v>31</v>
      </c>
      <c r="AK48" t="s">
        <v>2148</v>
      </c>
      <c r="AL48" t="s">
        <v>1967</v>
      </c>
      <c r="AM48" t="s">
        <v>2116</v>
      </c>
      <c r="AN48" s="8">
        <v>250.515</v>
      </c>
      <c r="AO48">
        <v>199.694880401046</v>
      </c>
      <c r="AP48">
        <v>1554</v>
      </c>
      <c r="AQ48" s="9">
        <v>0.378751907071433</v>
      </c>
      <c r="AR48" t="s">
        <v>118</v>
      </c>
      <c r="AT48" s="15" t="s">
        <v>119</v>
      </c>
      <c r="AW48" s="11" t="str">
        <f t="shared" si="3"/>
        <v>EN_WOF_38_c02_AUS</v>
      </c>
      <c r="AX48" s="11">
        <f t="shared" si="4"/>
        <v>1554</v>
      </c>
      <c r="AY48" s="11">
        <f t="shared" si="5"/>
        <v>1554</v>
      </c>
      <c r="AZ48" s="17">
        <v>3</v>
      </c>
      <c r="BA48">
        <f t="shared" si="6"/>
        <v>15.54</v>
      </c>
    </row>
    <row r="49" spans="2:53">
      <c r="B49" t="s">
        <v>26</v>
      </c>
      <c r="C49" t="s">
        <v>2150</v>
      </c>
      <c r="D49" t="s">
        <v>2151</v>
      </c>
      <c r="E49" t="s">
        <v>29</v>
      </c>
      <c r="F49" t="s">
        <v>30</v>
      </c>
      <c r="G49" t="s">
        <v>31</v>
      </c>
      <c r="J49" t="s">
        <v>2150</v>
      </c>
      <c r="K49" t="s">
        <v>1967</v>
      </c>
      <c r="L49" t="s">
        <v>2143</v>
      </c>
      <c r="M49" s="8">
        <v>4.974</v>
      </c>
      <c r="N49">
        <v>105.747516212372</v>
      </c>
      <c r="O49">
        <v>1756</v>
      </c>
      <c r="P49" s="9">
        <v>0.198006785283474</v>
      </c>
      <c r="Q49" t="s">
        <v>79</v>
      </c>
      <c r="T49" s="15" t="s">
        <v>80</v>
      </c>
      <c r="W49" s="16" t="str">
        <f t="shared" si="0"/>
        <v>EN_WON_20_c03_ARE</v>
      </c>
      <c r="X49" s="12">
        <f t="shared" si="1"/>
        <v>1756</v>
      </c>
      <c r="Y49" s="11">
        <f t="shared" si="2"/>
        <v>1756</v>
      </c>
      <c r="AC49" t="s">
        <v>26</v>
      </c>
      <c r="AD49" t="s">
        <v>2152</v>
      </c>
      <c r="AE49" t="s">
        <v>2153</v>
      </c>
      <c r="AF49" t="s">
        <v>29</v>
      </c>
      <c r="AG49" t="s">
        <v>30</v>
      </c>
      <c r="AH49" t="s">
        <v>31</v>
      </c>
      <c r="AK49" t="s">
        <v>2152</v>
      </c>
      <c r="AL49" t="s">
        <v>1967</v>
      </c>
      <c r="AM49" t="s">
        <v>2116</v>
      </c>
      <c r="AN49" s="8">
        <v>87.645</v>
      </c>
      <c r="AO49">
        <v>199.694880401046</v>
      </c>
      <c r="AP49">
        <v>1554</v>
      </c>
      <c r="AQ49" s="9">
        <v>0.388043248331337</v>
      </c>
      <c r="AR49" t="s">
        <v>118</v>
      </c>
      <c r="AT49" s="15" t="s">
        <v>119</v>
      </c>
      <c r="AW49" s="11" t="str">
        <f t="shared" si="3"/>
        <v>EN_WOF_39_c02_AUS</v>
      </c>
      <c r="AX49" s="11">
        <f t="shared" si="4"/>
        <v>1554</v>
      </c>
      <c r="AY49" s="11">
        <f t="shared" si="5"/>
        <v>1554</v>
      </c>
      <c r="AZ49" s="17">
        <v>3</v>
      </c>
      <c r="BA49">
        <f t="shared" si="6"/>
        <v>15.54</v>
      </c>
    </row>
    <row r="50" spans="2:53">
      <c r="B50" t="s">
        <v>26</v>
      </c>
      <c r="C50" t="s">
        <v>2154</v>
      </c>
      <c r="D50" t="s">
        <v>2155</v>
      </c>
      <c r="E50" t="s">
        <v>29</v>
      </c>
      <c r="F50" t="s">
        <v>30</v>
      </c>
      <c r="G50" t="s">
        <v>31</v>
      </c>
      <c r="J50" t="s">
        <v>2154</v>
      </c>
      <c r="K50" t="s">
        <v>1967</v>
      </c>
      <c r="L50" t="s">
        <v>2143</v>
      </c>
      <c r="M50" s="8">
        <v>9.792</v>
      </c>
      <c r="N50">
        <v>80.7856561622413</v>
      </c>
      <c r="O50">
        <v>1756</v>
      </c>
      <c r="P50" s="9">
        <v>0.208880514705882</v>
      </c>
      <c r="Q50" t="s">
        <v>79</v>
      </c>
      <c r="T50" s="15" t="s">
        <v>80</v>
      </c>
      <c r="W50" s="16" t="str">
        <f t="shared" si="0"/>
        <v>EN_WON_21_c02_ARE</v>
      </c>
      <c r="X50" s="12">
        <f t="shared" si="1"/>
        <v>1756</v>
      </c>
      <c r="Y50" s="11">
        <f t="shared" si="2"/>
        <v>1756</v>
      </c>
      <c r="AC50" t="s">
        <v>26</v>
      </c>
      <c r="AD50" t="s">
        <v>2156</v>
      </c>
      <c r="AE50" t="s">
        <v>2157</v>
      </c>
      <c r="AF50" t="s">
        <v>29</v>
      </c>
      <c r="AG50" t="s">
        <v>30</v>
      </c>
      <c r="AH50" t="s">
        <v>31</v>
      </c>
      <c r="AK50" t="s">
        <v>2156</v>
      </c>
      <c r="AL50" t="s">
        <v>1967</v>
      </c>
      <c r="AM50" t="s">
        <v>2116</v>
      </c>
      <c r="AN50" s="8">
        <v>154.548</v>
      </c>
      <c r="AO50">
        <v>199.694880401046</v>
      </c>
      <c r="AP50">
        <v>1554</v>
      </c>
      <c r="AQ50" s="9">
        <v>0.399758783678857</v>
      </c>
      <c r="AR50" t="s">
        <v>118</v>
      </c>
      <c r="AT50" s="15" t="s">
        <v>119</v>
      </c>
      <c r="AW50" s="11" t="str">
        <f t="shared" si="3"/>
        <v>EN_WOF_40_c02_AUS</v>
      </c>
      <c r="AX50" s="11">
        <f t="shared" si="4"/>
        <v>1554</v>
      </c>
      <c r="AY50" s="11">
        <f t="shared" si="5"/>
        <v>1554</v>
      </c>
      <c r="AZ50" s="17">
        <v>3</v>
      </c>
      <c r="BA50">
        <f t="shared" si="6"/>
        <v>15.54</v>
      </c>
    </row>
    <row r="51" spans="2:53">
      <c r="B51" t="s">
        <v>26</v>
      </c>
      <c r="C51" t="s">
        <v>2158</v>
      </c>
      <c r="D51" t="s">
        <v>2159</v>
      </c>
      <c r="E51" t="s">
        <v>29</v>
      </c>
      <c r="F51" t="s">
        <v>30</v>
      </c>
      <c r="G51" t="s">
        <v>31</v>
      </c>
      <c r="J51" t="s">
        <v>2158</v>
      </c>
      <c r="K51" t="s">
        <v>1967</v>
      </c>
      <c r="L51" t="s">
        <v>2143</v>
      </c>
      <c r="M51" s="8">
        <v>0.01875</v>
      </c>
      <c r="N51">
        <v>105.747516212372</v>
      </c>
      <c r="O51">
        <v>1756</v>
      </c>
      <c r="P51" s="9">
        <v>0.206</v>
      </c>
      <c r="Q51" t="s">
        <v>79</v>
      </c>
      <c r="T51" s="15" t="s">
        <v>80</v>
      </c>
      <c r="W51" s="16" t="str">
        <f t="shared" si="0"/>
        <v>EN_WON_21_c03_ARE</v>
      </c>
      <c r="X51" s="12">
        <f t="shared" si="1"/>
        <v>1756</v>
      </c>
      <c r="Y51" s="11">
        <f t="shared" si="2"/>
        <v>1756</v>
      </c>
      <c r="AC51" t="s">
        <v>26</v>
      </c>
      <c r="AD51" t="s">
        <v>2160</v>
      </c>
      <c r="AE51" t="s">
        <v>2161</v>
      </c>
      <c r="AF51" t="s">
        <v>29</v>
      </c>
      <c r="AG51" t="s">
        <v>30</v>
      </c>
      <c r="AH51" t="s">
        <v>31</v>
      </c>
      <c r="AK51" t="s">
        <v>2160</v>
      </c>
      <c r="AL51" t="s">
        <v>1967</v>
      </c>
      <c r="AM51" t="s">
        <v>2116</v>
      </c>
      <c r="AN51" s="8">
        <v>336.2985</v>
      </c>
      <c r="AO51">
        <v>199.694880401046</v>
      </c>
      <c r="AP51">
        <v>1554</v>
      </c>
      <c r="AQ51" s="9">
        <v>0.409533231637964</v>
      </c>
      <c r="AR51" t="s">
        <v>118</v>
      </c>
      <c r="AT51" s="15" t="s">
        <v>119</v>
      </c>
      <c r="AW51" s="11" t="str">
        <f t="shared" si="3"/>
        <v>EN_WOF_41_c02_AUS</v>
      </c>
      <c r="AX51" s="11">
        <f t="shared" si="4"/>
        <v>1554</v>
      </c>
      <c r="AY51" s="11">
        <f t="shared" si="5"/>
        <v>1554</v>
      </c>
      <c r="AZ51" s="17">
        <v>3</v>
      </c>
      <c r="BA51">
        <f t="shared" si="6"/>
        <v>15.54</v>
      </c>
    </row>
    <row r="52" spans="2:53">
      <c r="B52" t="s">
        <v>26</v>
      </c>
      <c r="C52" t="s">
        <v>2162</v>
      </c>
      <c r="D52" t="s">
        <v>2163</v>
      </c>
      <c r="E52" t="s">
        <v>29</v>
      </c>
      <c r="F52" t="s">
        <v>30</v>
      </c>
      <c r="G52" t="s">
        <v>31</v>
      </c>
      <c r="J52" t="s">
        <v>2162</v>
      </c>
      <c r="K52" t="s">
        <v>1967</v>
      </c>
      <c r="L52" t="s">
        <v>2143</v>
      </c>
      <c r="M52" s="8">
        <v>0.8235</v>
      </c>
      <c r="N52">
        <v>0</v>
      </c>
      <c r="O52">
        <v>1756</v>
      </c>
      <c r="P52" s="9">
        <v>0.222</v>
      </c>
      <c r="Q52" t="s">
        <v>79</v>
      </c>
      <c r="T52" s="15" t="s">
        <v>80</v>
      </c>
      <c r="W52" s="16" t="str">
        <f t="shared" si="0"/>
        <v>EN_WON_22_c01_ARE</v>
      </c>
      <c r="X52" s="12">
        <f t="shared" si="1"/>
        <v>1756</v>
      </c>
      <c r="Y52" s="11">
        <f t="shared" si="2"/>
        <v>1756</v>
      </c>
      <c r="AC52" t="s">
        <v>26</v>
      </c>
      <c r="AD52" t="s">
        <v>2164</v>
      </c>
      <c r="AE52" t="s">
        <v>2165</v>
      </c>
      <c r="AF52" t="s">
        <v>29</v>
      </c>
      <c r="AG52" t="s">
        <v>30</v>
      </c>
      <c r="AH52" t="s">
        <v>31</v>
      </c>
      <c r="AK52" t="s">
        <v>2164</v>
      </c>
      <c r="AL52" t="s">
        <v>1967</v>
      </c>
      <c r="AM52" t="s">
        <v>2116</v>
      </c>
      <c r="AN52" s="8">
        <v>716.079</v>
      </c>
      <c r="AO52">
        <v>199.694880401046</v>
      </c>
      <c r="AP52">
        <v>1554</v>
      </c>
      <c r="AQ52" s="9">
        <v>0.420243861361666</v>
      </c>
      <c r="AR52" t="s">
        <v>118</v>
      </c>
      <c r="AT52" s="15" t="s">
        <v>119</v>
      </c>
      <c r="AW52" s="11" t="str">
        <f t="shared" si="3"/>
        <v>EN_WOF_42_c02_AUS</v>
      </c>
      <c r="AX52" s="11">
        <f t="shared" si="4"/>
        <v>1554</v>
      </c>
      <c r="AY52" s="11">
        <f t="shared" si="5"/>
        <v>1554</v>
      </c>
      <c r="AZ52" s="17">
        <v>3</v>
      </c>
      <c r="BA52">
        <f t="shared" si="6"/>
        <v>15.54</v>
      </c>
    </row>
    <row r="53" spans="2:53">
      <c r="B53" t="s">
        <v>26</v>
      </c>
      <c r="C53" t="s">
        <v>2166</v>
      </c>
      <c r="D53" t="s">
        <v>2167</v>
      </c>
      <c r="E53" t="s">
        <v>29</v>
      </c>
      <c r="F53" t="s">
        <v>30</v>
      </c>
      <c r="G53" t="s">
        <v>31</v>
      </c>
      <c r="J53" t="s">
        <v>2166</v>
      </c>
      <c r="K53" t="s">
        <v>1967</v>
      </c>
      <c r="L53" t="s">
        <v>2143</v>
      </c>
      <c r="M53" s="8">
        <v>15.441</v>
      </c>
      <c r="N53">
        <v>80.7856561622413</v>
      </c>
      <c r="O53">
        <v>1756</v>
      </c>
      <c r="P53" s="9">
        <v>0.218897367398485</v>
      </c>
      <c r="Q53" t="s">
        <v>79</v>
      </c>
      <c r="T53" s="15" t="s">
        <v>80</v>
      </c>
      <c r="W53" s="16" t="str">
        <f t="shared" si="0"/>
        <v>EN_WON_22_c02_ARE</v>
      </c>
      <c r="X53" s="12">
        <f t="shared" si="1"/>
        <v>1756</v>
      </c>
      <c r="Y53" s="11">
        <f t="shared" si="2"/>
        <v>1756</v>
      </c>
      <c r="AC53" t="s">
        <v>26</v>
      </c>
      <c r="AD53" t="s">
        <v>2168</v>
      </c>
      <c r="AE53" t="s">
        <v>2169</v>
      </c>
      <c r="AF53" t="s">
        <v>29</v>
      </c>
      <c r="AG53" t="s">
        <v>30</v>
      </c>
      <c r="AH53" t="s">
        <v>31</v>
      </c>
      <c r="AK53" t="s">
        <v>2168</v>
      </c>
      <c r="AL53" t="s">
        <v>1967</v>
      </c>
      <c r="AM53" t="s">
        <v>2116</v>
      </c>
      <c r="AN53" s="8">
        <v>425.163</v>
      </c>
      <c r="AO53">
        <v>199.694880401046</v>
      </c>
      <c r="AP53">
        <v>1554</v>
      </c>
      <c r="AQ53" s="9">
        <v>0.428093207781486</v>
      </c>
      <c r="AR53" t="s">
        <v>118</v>
      </c>
      <c r="AT53" s="15" t="s">
        <v>119</v>
      </c>
      <c r="AW53" s="11" t="str">
        <f t="shared" si="3"/>
        <v>EN_WOF_43_c02_AUS</v>
      </c>
      <c r="AX53" s="11">
        <f t="shared" si="4"/>
        <v>1554</v>
      </c>
      <c r="AY53" s="11">
        <f t="shared" si="5"/>
        <v>1554</v>
      </c>
      <c r="AZ53" s="17">
        <v>3</v>
      </c>
      <c r="BA53">
        <f t="shared" si="6"/>
        <v>15.54</v>
      </c>
    </row>
    <row r="54" spans="2:53">
      <c r="B54" t="s">
        <v>26</v>
      </c>
      <c r="C54" t="s">
        <v>2170</v>
      </c>
      <c r="D54" t="s">
        <v>2171</v>
      </c>
      <c r="E54" t="s">
        <v>29</v>
      </c>
      <c r="F54" t="s">
        <v>30</v>
      </c>
      <c r="G54" t="s">
        <v>31</v>
      </c>
      <c r="J54" t="s">
        <v>2170</v>
      </c>
      <c r="K54" t="s">
        <v>1967</v>
      </c>
      <c r="L54" t="s">
        <v>2143</v>
      </c>
      <c r="M54" s="8">
        <v>22.29525</v>
      </c>
      <c r="N54">
        <v>80.7856561622413</v>
      </c>
      <c r="O54">
        <v>1756</v>
      </c>
      <c r="P54" s="9">
        <v>0.230844114777811</v>
      </c>
      <c r="Q54" t="s">
        <v>79</v>
      </c>
      <c r="T54" s="15" t="s">
        <v>80</v>
      </c>
      <c r="W54" s="16" t="str">
        <f t="shared" si="0"/>
        <v>EN_WON_23_c02_ARE</v>
      </c>
      <c r="X54" s="12">
        <f t="shared" si="1"/>
        <v>1756</v>
      </c>
      <c r="Y54" s="11">
        <f t="shared" si="2"/>
        <v>1756</v>
      </c>
      <c r="AC54" t="s">
        <v>26</v>
      </c>
      <c r="AD54" t="s">
        <v>2172</v>
      </c>
      <c r="AE54" t="s">
        <v>2173</v>
      </c>
      <c r="AF54" t="s">
        <v>29</v>
      </c>
      <c r="AG54" t="s">
        <v>30</v>
      </c>
      <c r="AH54" t="s">
        <v>31</v>
      </c>
      <c r="AK54" t="s">
        <v>2172</v>
      </c>
      <c r="AL54" t="s">
        <v>1967</v>
      </c>
      <c r="AM54" t="s">
        <v>2116</v>
      </c>
      <c r="AN54" s="8">
        <v>181.749</v>
      </c>
      <c r="AO54">
        <v>199.694880401046</v>
      </c>
      <c r="AP54">
        <v>1554</v>
      </c>
      <c r="AQ54" s="9">
        <v>0.439748072891736</v>
      </c>
      <c r="AR54" t="s">
        <v>118</v>
      </c>
      <c r="AT54" s="15" t="s">
        <v>119</v>
      </c>
      <c r="AW54" s="11" t="str">
        <f t="shared" si="3"/>
        <v>EN_WOF_44_c02_AUS</v>
      </c>
      <c r="AX54" s="11">
        <f t="shared" si="4"/>
        <v>1554</v>
      </c>
      <c r="AY54" s="11">
        <f t="shared" si="5"/>
        <v>1554</v>
      </c>
      <c r="AZ54" s="17">
        <v>3</v>
      </c>
      <c r="BA54">
        <f t="shared" si="6"/>
        <v>15.54</v>
      </c>
    </row>
    <row r="55" spans="2:53">
      <c r="B55" t="s">
        <v>26</v>
      </c>
      <c r="C55" t="s">
        <v>2174</v>
      </c>
      <c r="D55" t="s">
        <v>2175</v>
      </c>
      <c r="E55" t="s">
        <v>29</v>
      </c>
      <c r="F55" t="s">
        <v>30</v>
      </c>
      <c r="G55" t="s">
        <v>31</v>
      </c>
      <c r="J55" t="s">
        <v>2174</v>
      </c>
      <c r="K55" t="s">
        <v>1967</v>
      </c>
      <c r="L55" t="s">
        <v>2143</v>
      </c>
      <c r="M55" s="8">
        <v>5.673</v>
      </c>
      <c r="N55">
        <v>0</v>
      </c>
      <c r="O55">
        <v>1756</v>
      </c>
      <c r="P55" s="9">
        <v>0.235</v>
      </c>
      <c r="Q55" t="s">
        <v>79</v>
      </c>
      <c r="T55" s="15" t="s">
        <v>80</v>
      </c>
      <c r="W55" s="16" t="str">
        <f t="shared" si="0"/>
        <v>EN_WON_24_c01_ARE</v>
      </c>
      <c r="X55" s="12">
        <f t="shared" si="1"/>
        <v>1756</v>
      </c>
      <c r="Y55" s="11">
        <f t="shared" si="2"/>
        <v>1756</v>
      </c>
      <c r="AC55" t="s">
        <v>26</v>
      </c>
      <c r="AD55" t="s">
        <v>2176</v>
      </c>
      <c r="AE55" t="s">
        <v>2177</v>
      </c>
      <c r="AF55" t="s">
        <v>29</v>
      </c>
      <c r="AG55" t="s">
        <v>30</v>
      </c>
      <c r="AH55" t="s">
        <v>31</v>
      </c>
      <c r="AK55" t="s">
        <v>2176</v>
      </c>
      <c r="AL55" t="s">
        <v>1967</v>
      </c>
      <c r="AM55" t="s">
        <v>2116</v>
      </c>
      <c r="AN55" s="8">
        <v>252.6015</v>
      </c>
      <c r="AO55">
        <v>199.694880401046</v>
      </c>
      <c r="AP55">
        <v>1554</v>
      </c>
      <c r="AQ55" s="9">
        <v>0.450261708659687</v>
      </c>
      <c r="AR55" t="s">
        <v>118</v>
      </c>
      <c r="AT55" s="15" t="s">
        <v>119</v>
      </c>
      <c r="AW55" s="11" t="str">
        <f t="shared" si="3"/>
        <v>EN_WOF_45_c02_AUS</v>
      </c>
      <c r="AX55" s="11">
        <f t="shared" si="4"/>
        <v>1554</v>
      </c>
      <c r="AY55" s="11">
        <f t="shared" si="5"/>
        <v>1554</v>
      </c>
      <c r="AZ55" s="17">
        <v>3</v>
      </c>
      <c r="BA55">
        <f t="shared" si="6"/>
        <v>15.54</v>
      </c>
    </row>
    <row r="56" spans="2:53">
      <c r="B56" t="s">
        <v>26</v>
      </c>
      <c r="C56" t="s">
        <v>2178</v>
      </c>
      <c r="D56" t="s">
        <v>2179</v>
      </c>
      <c r="E56" t="s">
        <v>29</v>
      </c>
      <c r="F56" t="s">
        <v>30</v>
      </c>
      <c r="G56" t="s">
        <v>31</v>
      </c>
      <c r="J56" t="s">
        <v>2178</v>
      </c>
      <c r="K56" t="s">
        <v>1967</v>
      </c>
      <c r="L56" t="s">
        <v>2143</v>
      </c>
      <c r="M56" s="8">
        <v>5.958</v>
      </c>
      <c r="N56">
        <v>80.7856561622413</v>
      </c>
      <c r="O56">
        <v>1756</v>
      </c>
      <c r="P56" s="9">
        <v>0.236</v>
      </c>
      <c r="Q56" t="s">
        <v>79</v>
      </c>
      <c r="T56" s="15" t="s">
        <v>80</v>
      </c>
      <c r="W56" s="16" t="str">
        <f t="shared" si="0"/>
        <v>EN_WON_24_c02_ARE</v>
      </c>
      <c r="X56" s="12">
        <f t="shared" si="1"/>
        <v>1756</v>
      </c>
      <c r="Y56" s="11">
        <f t="shared" si="2"/>
        <v>1756</v>
      </c>
      <c r="AC56" t="s">
        <v>26</v>
      </c>
      <c r="AD56" t="s">
        <v>2180</v>
      </c>
      <c r="AE56" t="s">
        <v>2181</v>
      </c>
      <c r="AF56" t="s">
        <v>29</v>
      </c>
      <c r="AG56" t="s">
        <v>30</v>
      </c>
      <c r="AH56" t="s">
        <v>31</v>
      </c>
      <c r="AK56" t="s">
        <v>2180</v>
      </c>
      <c r="AL56" t="s">
        <v>1967</v>
      </c>
      <c r="AM56" t="s">
        <v>2116</v>
      </c>
      <c r="AN56" s="8">
        <v>256.6695</v>
      </c>
      <c r="AO56">
        <v>199.694880401046</v>
      </c>
      <c r="AP56">
        <v>1554</v>
      </c>
      <c r="AQ56" s="9">
        <v>0.458832327175609</v>
      </c>
      <c r="AR56" t="s">
        <v>118</v>
      </c>
      <c r="AT56" s="15" t="s">
        <v>119</v>
      </c>
      <c r="AW56" s="11" t="str">
        <f t="shared" si="3"/>
        <v>EN_WOF_46_c02_AUS</v>
      </c>
      <c r="AX56" s="11">
        <f t="shared" si="4"/>
        <v>1554</v>
      </c>
      <c r="AY56" s="11">
        <f t="shared" si="5"/>
        <v>1554</v>
      </c>
      <c r="AZ56" s="17">
        <v>3</v>
      </c>
      <c r="BA56">
        <f t="shared" si="6"/>
        <v>15.54</v>
      </c>
    </row>
    <row r="57" spans="2:53">
      <c r="B57" t="s">
        <v>26</v>
      </c>
      <c r="C57" t="s">
        <v>2182</v>
      </c>
      <c r="D57" t="s">
        <v>2183</v>
      </c>
      <c r="E57" t="s">
        <v>29</v>
      </c>
      <c r="F57" t="s">
        <v>30</v>
      </c>
      <c r="G57" t="s">
        <v>31</v>
      </c>
      <c r="J57" t="s">
        <v>2182</v>
      </c>
      <c r="K57" t="s">
        <v>1967</v>
      </c>
      <c r="L57" t="s">
        <v>2143</v>
      </c>
      <c r="M57" s="8">
        <v>21.42075</v>
      </c>
      <c r="N57">
        <v>0</v>
      </c>
      <c r="O57">
        <v>1756</v>
      </c>
      <c r="P57" s="9">
        <v>0.247908406568397</v>
      </c>
      <c r="Q57" t="s">
        <v>79</v>
      </c>
      <c r="T57" s="15" t="s">
        <v>80</v>
      </c>
      <c r="W57" s="16" t="str">
        <f t="shared" si="0"/>
        <v>EN_WON_25_c01_ARE</v>
      </c>
      <c r="X57" s="12">
        <f t="shared" si="1"/>
        <v>1756</v>
      </c>
      <c r="Y57" s="11">
        <f t="shared" si="2"/>
        <v>1756</v>
      </c>
      <c r="AC57" t="s">
        <v>26</v>
      </c>
      <c r="AD57" t="s">
        <v>2184</v>
      </c>
      <c r="AE57" t="s">
        <v>2185</v>
      </c>
      <c r="AF57" t="s">
        <v>29</v>
      </c>
      <c r="AG57" t="s">
        <v>30</v>
      </c>
      <c r="AH57" t="s">
        <v>31</v>
      </c>
      <c r="AK57" t="s">
        <v>2184</v>
      </c>
      <c r="AL57" t="s">
        <v>1967</v>
      </c>
      <c r="AM57" t="s">
        <v>2116</v>
      </c>
      <c r="AN57" s="8">
        <v>155.6025</v>
      </c>
      <c r="AO57">
        <v>199.694880401046</v>
      </c>
      <c r="AP57">
        <v>1554</v>
      </c>
      <c r="AQ57" s="9">
        <v>0.469919448594978</v>
      </c>
      <c r="AR57" t="s">
        <v>118</v>
      </c>
      <c r="AT57" s="15" t="s">
        <v>119</v>
      </c>
      <c r="AW57" s="11" t="str">
        <f t="shared" si="3"/>
        <v>EN_WOF_47_c02_AUS</v>
      </c>
      <c r="AX57" s="11">
        <f t="shared" si="4"/>
        <v>1554</v>
      </c>
      <c r="AY57" s="11">
        <f t="shared" si="5"/>
        <v>1554</v>
      </c>
      <c r="AZ57" s="17">
        <v>3</v>
      </c>
      <c r="BA57">
        <f t="shared" si="6"/>
        <v>15.54</v>
      </c>
    </row>
    <row r="58" spans="2:53">
      <c r="B58" t="s">
        <v>26</v>
      </c>
      <c r="C58" t="s">
        <v>2186</v>
      </c>
      <c r="D58" t="s">
        <v>2187</v>
      </c>
      <c r="E58" t="s">
        <v>29</v>
      </c>
      <c r="F58" t="s">
        <v>30</v>
      </c>
      <c r="G58" t="s">
        <v>31</v>
      </c>
      <c r="J58" t="s">
        <v>2186</v>
      </c>
      <c r="K58" t="s">
        <v>1967</v>
      </c>
      <c r="L58" t="s">
        <v>2143</v>
      </c>
      <c r="M58" s="8">
        <v>5.00175</v>
      </c>
      <c r="N58">
        <v>80.7856561622413</v>
      </c>
      <c r="O58">
        <v>1756</v>
      </c>
      <c r="P58" s="9">
        <v>0.252</v>
      </c>
      <c r="Q58" t="s">
        <v>79</v>
      </c>
      <c r="T58" s="15" t="s">
        <v>80</v>
      </c>
      <c r="W58" s="16" t="str">
        <f t="shared" si="0"/>
        <v>EN_WON_25_c02_ARE</v>
      </c>
      <c r="X58" s="12">
        <f t="shared" si="1"/>
        <v>1756</v>
      </c>
      <c r="Y58" s="11">
        <f t="shared" si="2"/>
        <v>1756</v>
      </c>
      <c r="AC58" t="s">
        <v>26</v>
      </c>
      <c r="AD58" t="s">
        <v>2188</v>
      </c>
      <c r="AE58" t="s">
        <v>2189</v>
      </c>
      <c r="AF58" t="s">
        <v>29</v>
      </c>
      <c r="AG58" t="s">
        <v>30</v>
      </c>
      <c r="AH58" t="s">
        <v>31</v>
      </c>
      <c r="AK58" t="s">
        <v>2188</v>
      </c>
      <c r="AL58" t="s">
        <v>1967</v>
      </c>
      <c r="AM58" t="s">
        <v>2116</v>
      </c>
      <c r="AN58" s="8">
        <v>194.2215</v>
      </c>
      <c r="AO58">
        <v>199.694880401046</v>
      </c>
      <c r="AP58">
        <v>1554</v>
      </c>
      <c r="AQ58" s="9">
        <v>0.479183857091001</v>
      </c>
      <c r="AR58" t="s">
        <v>118</v>
      </c>
      <c r="AT58" s="15" t="s">
        <v>119</v>
      </c>
      <c r="AW58" s="11" t="str">
        <f t="shared" si="3"/>
        <v>EN_WOF_48_c02_AUS</v>
      </c>
      <c r="AX58" s="11">
        <f t="shared" si="4"/>
        <v>1554</v>
      </c>
      <c r="AY58" s="11">
        <f t="shared" si="5"/>
        <v>1554</v>
      </c>
      <c r="AZ58" s="17">
        <v>3</v>
      </c>
      <c r="BA58">
        <f t="shared" si="6"/>
        <v>15.54</v>
      </c>
    </row>
    <row r="59" spans="2:53">
      <c r="B59" t="s">
        <v>26</v>
      </c>
      <c r="C59" t="s">
        <v>2190</v>
      </c>
      <c r="D59" t="s">
        <v>2191</v>
      </c>
      <c r="E59" t="s">
        <v>29</v>
      </c>
      <c r="F59" t="s">
        <v>30</v>
      </c>
      <c r="G59" t="s">
        <v>31</v>
      </c>
      <c r="J59" t="s">
        <v>2190</v>
      </c>
      <c r="K59" t="s">
        <v>1967</v>
      </c>
      <c r="L59" t="s">
        <v>2143</v>
      </c>
      <c r="M59" s="8">
        <v>5.9595</v>
      </c>
      <c r="N59">
        <v>0</v>
      </c>
      <c r="O59">
        <v>1756</v>
      </c>
      <c r="P59" s="9">
        <v>0.259</v>
      </c>
      <c r="Q59" t="s">
        <v>79</v>
      </c>
      <c r="T59" s="15" t="s">
        <v>80</v>
      </c>
      <c r="W59" s="16" t="str">
        <f t="shared" si="0"/>
        <v>EN_WON_26_c01_ARE</v>
      </c>
      <c r="X59" s="12">
        <f t="shared" si="1"/>
        <v>1756</v>
      </c>
      <c r="Y59" s="11">
        <f t="shared" si="2"/>
        <v>1756</v>
      </c>
      <c r="AC59" t="s">
        <v>26</v>
      </c>
      <c r="AD59" t="s">
        <v>2192</v>
      </c>
      <c r="AE59" t="s">
        <v>2193</v>
      </c>
      <c r="AF59" t="s">
        <v>29</v>
      </c>
      <c r="AG59" t="s">
        <v>30</v>
      </c>
      <c r="AH59" t="s">
        <v>31</v>
      </c>
      <c r="AK59" t="s">
        <v>2192</v>
      </c>
      <c r="AL59" t="s">
        <v>1967</v>
      </c>
      <c r="AM59" t="s">
        <v>2116</v>
      </c>
      <c r="AN59" s="8">
        <v>226.8915</v>
      </c>
      <c r="AO59">
        <v>199.694880401046</v>
      </c>
      <c r="AP59">
        <v>1554</v>
      </c>
      <c r="AQ59" s="9">
        <v>0.488348596135157</v>
      </c>
      <c r="AR59" t="s">
        <v>118</v>
      </c>
      <c r="AT59" s="15" t="s">
        <v>119</v>
      </c>
      <c r="AW59" s="11" t="str">
        <f t="shared" si="3"/>
        <v>EN_WOF_49_c02_AUS</v>
      </c>
      <c r="AX59" s="11">
        <f t="shared" si="4"/>
        <v>1554</v>
      </c>
      <c r="AY59" s="11">
        <f t="shared" si="5"/>
        <v>1554</v>
      </c>
      <c r="AZ59" s="17">
        <v>3</v>
      </c>
      <c r="BA59">
        <f t="shared" si="6"/>
        <v>15.54</v>
      </c>
    </row>
    <row r="60" spans="2:53">
      <c r="B60" t="s">
        <v>26</v>
      </c>
      <c r="C60" t="s">
        <v>2194</v>
      </c>
      <c r="D60" t="s">
        <v>2195</v>
      </c>
      <c r="E60" t="s">
        <v>29</v>
      </c>
      <c r="F60" t="s">
        <v>30</v>
      </c>
      <c r="G60" t="s">
        <v>31</v>
      </c>
      <c r="J60" t="s">
        <v>2194</v>
      </c>
      <c r="K60" t="s">
        <v>1967</v>
      </c>
      <c r="L60" t="s">
        <v>2143</v>
      </c>
      <c r="M60" s="8">
        <v>16.51575</v>
      </c>
      <c r="N60">
        <v>0</v>
      </c>
      <c r="O60">
        <v>1756</v>
      </c>
      <c r="P60" s="9">
        <v>0.266460060851006</v>
      </c>
      <c r="Q60" t="s">
        <v>79</v>
      </c>
      <c r="T60" s="15" t="s">
        <v>80</v>
      </c>
      <c r="W60" s="16" t="str">
        <f t="shared" si="0"/>
        <v>EN_WON_27_c01_ARE</v>
      </c>
      <c r="X60" s="12">
        <f t="shared" si="1"/>
        <v>1756</v>
      </c>
      <c r="Y60" s="11">
        <f t="shared" si="2"/>
        <v>1756</v>
      </c>
      <c r="AC60" t="s">
        <v>26</v>
      </c>
      <c r="AD60" t="s">
        <v>2196</v>
      </c>
      <c r="AE60" t="s">
        <v>2197</v>
      </c>
      <c r="AF60" t="s">
        <v>29</v>
      </c>
      <c r="AG60" t="s">
        <v>30</v>
      </c>
      <c r="AH60" t="s">
        <v>31</v>
      </c>
      <c r="AK60" t="s">
        <v>2196</v>
      </c>
      <c r="AL60" t="s">
        <v>1967</v>
      </c>
      <c r="AM60" t="s">
        <v>2116</v>
      </c>
      <c r="AN60" s="8">
        <v>236.6295</v>
      </c>
      <c r="AO60">
        <v>199.694880401046</v>
      </c>
      <c r="AP60">
        <v>1554</v>
      </c>
      <c r="AQ60" s="9">
        <v>0.499371954891508</v>
      </c>
      <c r="AR60" t="s">
        <v>118</v>
      </c>
      <c r="AT60" s="15" t="s">
        <v>119</v>
      </c>
      <c r="AW60" s="11" t="str">
        <f t="shared" si="3"/>
        <v>EN_WOF_50_c02_AUS</v>
      </c>
      <c r="AX60" s="11">
        <f t="shared" si="4"/>
        <v>1554</v>
      </c>
      <c r="AY60" s="11">
        <f t="shared" si="5"/>
        <v>1554</v>
      </c>
      <c r="AZ60" s="17">
        <v>3</v>
      </c>
      <c r="BA60">
        <f t="shared" si="6"/>
        <v>15.54</v>
      </c>
    </row>
    <row r="61" spans="2:53">
      <c r="B61" t="s">
        <v>26</v>
      </c>
      <c r="C61" t="s">
        <v>2198</v>
      </c>
      <c r="D61" t="s">
        <v>2199</v>
      </c>
      <c r="E61" t="s">
        <v>29</v>
      </c>
      <c r="F61" t="s">
        <v>30</v>
      </c>
      <c r="G61" t="s">
        <v>31</v>
      </c>
      <c r="J61" t="s">
        <v>2198</v>
      </c>
      <c r="K61" t="s">
        <v>1967</v>
      </c>
      <c r="L61" t="s">
        <v>2143</v>
      </c>
      <c r="M61" s="8">
        <v>19.3155</v>
      </c>
      <c r="N61">
        <v>0</v>
      </c>
      <c r="O61">
        <v>1756</v>
      </c>
      <c r="P61" s="9">
        <v>0.276653917838006</v>
      </c>
      <c r="Q61" t="s">
        <v>79</v>
      </c>
      <c r="T61" s="15" t="s">
        <v>80</v>
      </c>
      <c r="W61" s="16" t="str">
        <f t="shared" si="0"/>
        <v>EN_WON_28_c01_ARE</v>
      </c>
      <c r="X61" s="12">
        <f t="shared" si="1"/>
        <v>1756</v>
      </c>
      <c r="Y61" s="11">
        <f t="shared" si="2"/>
        <v>1756</v>
      </c>
      <c r="AC61" t="s">
        <v>26</v>
      </c>
      <c r="AD61" t="s">
        <v>2200</v>
      </c>
      <c r="AE61" t="s">
        <v>2201</v>
      </c>
      <c r="AF61" t="s">
        <v>29</v>
      </c>
      <c r="AG61" t="s">
        <v>30</v>
      </c>
      <c r="AH61" t="s">
        <v>31</v>
      </c>
      <c r="AK61" t="s">
        <v>2200</v>
      </c>
      <c r="AL61" t="s">
        <v>1967</v>
      </c>
      <c r="AM61" t="s">
        <v>2116</v>
      </c>
      <c r="AN61" s="8">
        <v>193.998</v>
      </c>
      <c r="AO61">
        <v>199.694880401046</v>
      </c>
      <c r="AP61">
        <v>1554</v>
      </c>
      <c r="AQ61" s="9">
        <v>0.507696107691832</v>
      </c>
      <c r="AR61" t="s">
        <v>118</v>
      </c>
      <c r="AT61" s="15" t="s">
        <v>119</v>
      </c>
      <c r="AW61" s="11" t="str">
        <f t="shared" si="3"/>
        <v>EN_WOF_51_c02_AUS</v>
      </c>
      <c r="AX61" s="11">
        <f t="shared" si="4"/>
        <v>1554</v>
      </c>
      <c r="AY61" s="11">
        <f t="shared" si="5"/>
        <v>1554</v>
      </c>
      <c r="AZ61" s="17">
        <v>3</v>
      </c>
      <c r="BA61">
        <f t="shared" si="6"/>
        <v>15.54</v>
      </c>
    </row>
    <row r="62" spans="2:53">
      <c r="B62" t="s">
        <v>26</v>
      </c>
      <c r="C62" t="s">
        <v>2202</v>
      </c>
      <c r="D62" t="s">
        <v>2203</v>
      </c>
      <c r="E62" t="s">
        <v>29</v>
      </c>
      <c r="F62" t="s">
        <v>30</v>
      </c>
      <c r="G62" t="s">
        <v>31</v>
      </c>
      <c r="J62" t="s">
        <v>2202</v>
      </c>
      <c r="K62" t="s">
        <v>1967</v>
      </c>
      <c r="L62" t="s">
        <v>2143</v>
      </c>
      <c r="M62" s="8">
        <v>6.051</v>
      </c>
      <c r="N62">
        <v>80.7856561622413</v>
      </c>
      <c r="O62">
        <v>1756</v>
      </c>
      <c r="P62" s="9">
        <v>0.279</v>
      </c>
      <c r="Q62" t="s">
        <v>79</v>
      </c>
      <c r="T62" s="15" t="s">
        <v>80</v>
      </c>
      <c r="W62" s="16" t="str">
        <f t="shared" si="0"/>
        <v>EN_WON_28_c02_ARE</v>
      </c>
      <c r="X62" s="12">
        <f t="shared" si="1"/>
        <v>1756</v>
      </c>
      <c r="Y62" s="11">
        <f t="shared" si="2"/>
        <v>1756</v>
      </c>
      <c r="AC62" t="s">
        <v>26</v>
      </c>
      <c r="AD62" t="s">
        <v>2204</v>
      </c>
      <c r="AE62" t="s">
        <v>2205</v>
      </c>
      <c r="AF62" t="s">
        <v>29</v>
      </c>
      <c r="AG62" t="s">
        <v>30</v>
      </c>
      <c r="AH62" t="s">
        <v>31</v>
      </c>
      <c r="AK62" t="s">
        <v>2204</v>
      </c>
      <c r="AL62" t="s">
        <v>1967</v>
      </c>
      <c r="AM62" t="s">
        <v>2116</v>
      </c>
      <c r="AN62" s="8">
        <v>21.681</v>
      </c>
      <c r="AO62">
        <v>199.694880401046</v>
      </c>
      <c r="AP62">
        <v>1554</v>
      </c>
      <c r="AQ62" s="9">
        <v>0.517963124394631</v>
      </c>
      <c r="AR62" t="s">
        <v>118</v>
      </c>
      <c r="AT62" s="15" t="s">
        <v>119</v>
      </c>
      <c r="AW62" s="11" t="str">
        <f t="shared" si="3"/>
        <v>EN_WOF_52_c02_AUS</v>
      </c>
      <c r="AX62" s="11">
        <f t="shared" si="4"/>
        <v>1554</v>
      </c>
      <c r="AY62" s="11">
        <f t="shared" si="5"/>
        <v>1554</v>
      </c>
      <c r="AZ62" s="17">
        <v>3</v>
      </c>
      <c r="BA62">
        <f t="shared" si="6"/>
        <v>15.54</v>
      </c>
    </row>
    <row r="63" spans="2:53">
      <c r="B63" t="s">
        <v>26</v>
      </c>
      <c r="C63" t="s">
        <v>2206</v>
      </c>
      <c r="D63" t="s">
        <v>2207</v>
      </c>
      <c r="E63" t="s">
        <v>29</v>
      </c>
      <c r="F63" t="s">
        <v>30</v>
      </c>
      <c r="G63" t="s">
        <v>31</v>
      </c>
      <c r="J63" t="s">
        <v>2206</v>
      </c>
      <c r="K63" t="s">
        <v>1967</v>
      </c>
      <c r="L63" t="s">
        <v>2143</v>
      </c>
      <c r="M63" s="8">
        <v>5.02725</v>
      </c>
      <c r="N63">
        <v>80.7856561622413</v>
      </c>
      <c r="O63">
        <v>1756</v>
      </c>
      <c r="P63" s="9">
        <v>0.286</v>
      </c>
      <c r="Q63" t="s">
        <v>79</v>
      </c>
      <c r="T63" s="15" t="s">
        <v>80</v>
      </c>
      <c r="W63" s="16" t="str">
        <f t="shared" si="0"/>
        <v>EN_WON_29_c02_ARE</v>
      </c>
      <c r="X63" s="12">
        <f t="shared" si="1"/>
        <v>1756</v>
      </c>
      <c r="Y63" s="11">
        <f t="shared" si="2"/>
        <v>1756</v>
      </c>
      <c r="AC63" t="s">
        <v>26</v>
      </c>
      <c r="AD63" t="s">
        <v>2208</v>
      </c>
      <c r="AE63" t="s">
        <v>2209</v>
      </c>
      <c r="AF63" t="s">
        <v>29</v>
      </c>
      <c r="AG63" t="s">
        <v>30</v>
      </c>
      <c r="AH63" t="s">
        <v>31</v>
      </c>
      <c r="AK63" t="s">
        <v>2208</v>
      </c>
      <c r="AL63" t="s">
        <v>1967</v>
      </c>
      <c r="AM63" t="s">
        <v>2116</v>
      </c>
      <c r="AN63" s="8">
        <v>31.422</v>
      </c>
      <c r="AO63">
        <v>199.694880401046</v>
      </c>
      <c r="AP63">
        <v>1554</v>
      </c>
      <c r="AQ63" s="9">
        <v>0.530962192094711</v>
      </c>
      <c r="AR63" t="s">
        <v>118</v>
      </c>
      <c r="AT63" s="15" t="s">
        <v>119</v>
      </c>
      <c r="AW63" s="11" t="str">
        <f t="shared" si="3"/>
        <v>EN_WOF_53_c02_AUS</v>
      </c>
      <c r="AX63" s="11">
        <f t="shared" si="4"/>
        <v>1554</v>
      </c>
      <c r="AY63" s="11">
        <f t="shared" si="5"/>
        <v>1554</v>
      </c>
      <c r="AZ63" s="17">
        <v>3</v>
      </c>
      <c r="BA63">
        <f t="shared" si="6"/>
        <v>15.54</v>
      </c>
    </row>
    <row r="64" spans="2:53">
      <c r="B64" t="s">
        <v>26</v>
      </c>
      <c r="C64" t="s">
        <v>2210</v>
      </c>
      <c r="D64" t="s">
        <v>2211</v>
      </c>
      <c r="E64" t="s">
        <v>29</v>
      </c>
      <c r="F64" t="s">
        <v>30</v>
      </c>
      <c r="G64" t="s">
        <v>31</v>
      </c>
      <c r="J64" t="s">
        <v>2210</v>
      </c>
      <c r="K64" t="s">
        <v>1967</v>
      </c>
      <c r="L64" t="s">
        <v>1997</v>
      </c>
      <c r="M64" s="8">
        <v>54.147</v>
      </c>
      <c r="N64">
        <v>0</v>
      </c>
      <c r="O64">
        <v>1494</v>
      </c>
      <c r="P64" s="9">
        <v>0.490526414205773</v>
      </c>
      <c r="Q64" t="s">
        <v>88</v>
      </c>
      <c r="T64" s="15" t="s">
        <v>89</v>
      </c>
      <c r="W64" s="16" t="str">
        <f t="shared" si="0"/>
        <v>EN_WON_49_c01_ARG</v>
      </c>
      <c r="X64" s="12">
        <f t="shared" si="1"/>
        <v>1494</v>
      </c>
      <c r="Y64" s="11">
        <f t="shared" si="2"/>
        <v>1494</v>
      </c>
      <c r="AC64" t="s">
        <v>26</v>
      </c>
      <c r="AD64" t="s">
        <v>2212</v>
      </c>
      <c r="AE64" t="s">
        <v>2213</v>
      </c>
      <c r="AF64" t="s">
        <v>29</v>
      </c>
      <c r="AG64" t="s">
        <v>30</v>
      </c>
      <c r="AH64" t="s">
        <v>31</v>
      </c>
      <c r="AK64" t="s">
        <v>2212</v>
      </c>
      <c r="AL64" t="s">
        <v>1967</v>
      </c>
      <c r="AM64" t="s">
        <v>2116</v>
      </c>
      <c r="AN64" s="8">
        <v>19.4655</v>
      </c>
      <c r="AO64">
        <v>199.694880401046</v>
      </c>
      <c r="AP64">
        <v>1554</v>
      </c>
      <c r="AQ64" s="9">
        <v>0.543</v>
      </c>
      <c r="AR64" t="s">
        <v>118</v>
      </c>
      <c r="AT64" s="15" t="s">
        <v>119</v>
      </c>
      <c r="AW64" s="11" t="str">
        <f t="shared" si="3"/>
        <v>EN_WOF_54_c02_AUS</v>
      </c>
      <c r="AX64" s="11">
        <f t="shared" si="4"/>
        <v>1554</v>
      </c>
      <c r="AY64" s="11">
        <f t="shared" si="5"/>
        <v>1554</v>
      </c>
      <c r="AZ64" s="17">
        <v>3</v>
      </c>
      <c r="BA64">
        <f t="shared" si="6"/>
        <v>15.54</v>
      </c>
    </row>
    <row r="65" spans="2:53">
      <c r="B65" t="s">
        <v>26</v>
      </c>
      <c r="C65" t="s">
        <v>2214</v>
      </c>
      <c r="D65" t="s">
        <v>2215</v>
      </c>
      <c r="E65" t="s">
        <v>29</v>
      </c>
      <c r="F65" t="s">
        <v>30</v>
      </c>
      <c r="G65" t="s">
        <v>31</v>
      </c>
      <c r="J65" t="s">
        <v>2214</v>
      </c>
      <c r="K65" t="s">
        <v>1967</v>
      </c>
      <c r="L65" t="s">
        <v>1997</v>
      </c>
      <c r="M65" s="8">
        <v>55.149</v>
      </c>
      <c r="N65">
        <v>0</v>
      </c>
      <c r="O65">
        <v>1494</v>
      </c>
      <c r="P65" s="9">
        <v>0.50098028069412</v>
      </c>
      <c r="Q65" t="s">
        <v>88</v>
      </c>
      <c r="T65" s="15" t="s">
        <v>89</v>
      </c>
      <c r="W65" s="16" t="str">
        <f t="shared" si="0"/>
        <v>EN_WON_50_c01_ARG</v>
      </c>
      <c r="X65" s="12">
        <f t="shared" si="1"/>
        <v>1494</v>
      </c>
      <c r="Y65" s="11">
        <f t="shared" si="2"/>
        <v>1494</v>
      </c>
      <c r="AC65" t="s">
        <v>26</v>
      </c>
      <c r="AD65" t="s">
        <v>2216</v>
      </c>
      <c r="AE65" t="s">
        <v>2217</v>
      </c>
      <c r="AF65" t="s">
        <v>29</v>
      </c>
      <c r="AG65" t="s">
        <v>30</v>
      </c>
      <c r="AH65" t="s">
        <v>31</v>
      </c>
      <c r="AK65" t="s">
        <v>2216</v>
      </c>
      <c r="AL65" t="s">
        <v>1967</v>
      </c>
      <c r="AM65" t="s">
        <v>2116</v>
      </c>
      <c r="AN65" s="8">
        <v>1.251</v>
      </c>
      <c r="AO65">
        <v>199.694880401046</v>
      </c>
      <c r="AP65">
        <v>1554</v>
      </c>
      <c r="AQ65" s="9">
        <v>0.555670263788969</v>
      </c>
      <c r="AR65" t="s">
        <v>118</v>
      </c>
      <c r="AT65" s="15" t="s">
        <v>119</v>
      </c>
      <c r="AW65" s="11" t="str">
        <f t="shared" si="3"/>
        <v>EN_WOF_56_c02_AUS</v>
      </c>
      <c r="AX65" s="11">
        <f t="shared" si="4"/>
        <v>1554</v>
      </c>
      <c r="AY65" s="11">
        <f t="shared" si="5"/>
        <v>1554</v>
      </c>
      <c r="AZ65" s="17">
        <v>3</v>
      </c>
      <c r="BA65">
        <f t="shared" si="6"/>
        <v>15.54</v>
      </c>
    </row>
    <row r="66" spans="2:53">
      <c r="B66" t="s">
        <v>26</v>
      </c>
      <c r="C66" t="s">
        <v>2218</v>
      </c>
      <c r="D66" t="s">
        <v>2219</v>
      </c>
      <c r="E66" t="s">
        <v>29</v>
      </c>
      <c r="F66" t="s">
        <v>30</v>
      </c>
      <c r="G66" t="s">
        <v>31</v>
      </c>
      <c r="J66" t="s">
        <v>2218</v>
      </c>
      <c r="K66" t="s">
        <v>1967</v>
      </c>
      <c r="L66" t="s">
        <v>1997</v>
      </c>
      <c r="M66" s="8">
        <v>92.643</v>
      </c>
      <c r="N66">
        <v>0</v>
      </c>
      <c r="O66">
        <v>1494</v>
      </c>
      <c r="P66" s="9">
        <v>0.509212193581814</v>
      </c>
      <c r="Q66" t="s">
        <v>88</v>
      </c>
      <c r="T66" s="15" t="s">
        <v>89</v>
      </c>
      <c r="W66" s="16" t="str">
        <f t="shared" si="0"/>
        <v>EN_WON_51_c01_ARG</v>
      </c>
      <c r="X66" s="12">
        <f t="shared" si="1"/>
        <v>1494</v>
      </c>
      <c r="Y66" s="11">
        <f t="shared" si="2"/>
        <v>1494</v>
      </c>
      <c r="AC66" t="s">
        <v>26</v>
      </c>
      <c r="AD66" t="s">
        <v>2220</v>
      </c>
      <c r="AE66" t="s">
        <v>2221</v>
      </c>
      <c r="AF66" t="s">
        <v>29</v>
      </c>
      <c r="AG66" t="s">
        <v>30</v>
      </c>
      <c r="AH66" t="s">
        <v>31</v>
      </c>
      <c r="AK66" t="s">
        <v>2220</v>
      </c>
      <c r="AL66" t="s">
        <v>1967</v>
      </c>
      <c r="AM66" t="s">
        <v>2222</v>
      </c>
      <c r="AN66" s="8">
        <v>11.1645</v>
      </c>
      <c r="AO66">
        <v>199.694880401046</v>
      </c>
      <c r="AP66">
        <v>1756</v>
      </c>
      <c r="AQ66" s="9">
        <v>0.305986564557302</v>
      </c>
      <c r="AR66" t="s">
        <v>137</v>
      </c>
      <c r="AT66" s="15" t="s">
        <v>112</v>
      </c>
      <c r="AW66" s="11" t="str">
        <f t="shared" si="3"/>
        <v>EN_WOF_31_c02_AZE</v>
      </c>
      <c r="AX66" s="11">
        <f t="shared" si="4"/>
        <v>1756</v>
      </c>
      <c r="AY66" s="11">
        <f t="shared" si="5"/>
        <v>1756</v>
      </c>
      <c r="AZ66" s="17">
        <v>3</v>
      </c>
      <c r="BA66">
        <f t="shared" si="6"/>
        <v>17.56</v>
      </c>
    </row>
    <row r="67" spans="2:53">
      <c r="B67" t="s">
        <v>26</v>
      </c>
      <c r="C67" t="s">
        <v>2223</v>
      </c>
      <c r="D67" t="s">
        <v>2224</v>
      </c>
      <c r="E67" t="s">
        <v>29</v>
      </c>
      <c r="F67" t="s">
        <v>30</v>
      </c>
      <c r="G67" t="s">
        <v>31</v>
      </c>
      <c r="J67" t="s">
        <v>2223</v>
      </c>
      <c r="K67" t="s">
        <v>1967</v>
      </c>
      <c r="L67" t="s">
        <v>1997</v>
      </c>
      <c r="M67" s="8">
        <v>14.5485</v>
      </c>
      <c r="N67">
        <v>0</v>
      </c>
      <c r="O67">
        <v>1494</v>
      </c>
      <c r="P67" s="9">
        <v>0.519593050829983</v>
      </c>
      <c r="Q67" t="s">
        <v>88</v>
      </c>
      <c r="T67" s="15" t="s">
        <v>89</v>
      </c>
      <c r="W67" s="16" t="str">
        <f t="shared" si="0"/>
        <v>EN_WON_52_c01_ARG</v>
      </c>
      <c r="X67" s="12">
        <f t="shared" si="1"/>
        <v>1494</v>
      </c>
      <c r="Y67" s="11">
        <f t="shared" si="2"/>
        <v>1494</v>
      </c>
      <c r="AC67" t="s">
        <v>26</v>
      </c>
      <c r="AD67" t="s">
        <v>2225</v>
      </c>
      <c r="AE67" t="s">
        <v>2226</v>
      </c>
      <c r="AF67" t="s">
        <v>29</v>
      </c>
      <c r="AG67" t="s">
        <v>30</v>
      </c>
      <c r="AH67" t="s">
        <v>31</v>
      </c>
      <c r="AK67" t="s">
        <v>2225</v>
      </c>
      <c r="AL67" t="s">
        <v>1967</v>
      </c>
      <c r="AM67" t="s">
        <v>2222</v>
      </c>
      <c r="AN67" s="8">
        <v>18.40125</v>
      </c>
      <c r="AO67">
        <v>199.694880401046</v>
      </c>
      <c r="AP67">
        <v>1756</v>
      </c>
      <c r="AQ67" s="9">
        <v>0.318696474424292</v>
      </c>
      <c r="AR67" t="s">
        <v>137</v>
      </c>
      <c r="AT67" s="15" t="s">
        <v>112</v>
      </c>
      <c r="AW67" s="11" t="str">
        <f t="shared" si="3"/>
        <v>EN_WOF_32_c02_AZE</v>
      </c>
      <c r="AX67" s="11">
        <f t="shared" si="4"/>
        <v>1756</v>
      </c>
      <c r="AY67" s="11">
        <f t="shared" si="5"/>
        <v>1756</v>
      </c>
      <c r="AZ67" s="17">
        <v>3</v>
      </c>
      <c r="BA67">
        <f t="shared" si="6"/>
        <v>17.56</v>
      </c>
    </row>
    <row r="68" spans="2:53">
      <c r="B68" t="s">
        <v>26</v>
      </c>
      <c r="C68" t="s">
        <v>2227</v>
      </c>
      <c r="D68" t="s">
        <v>2228</v>
      </c>
      <c r="E68" t="s">
        <v>29</v>
      </c>
      <c r="F68" t="s">
        <v>30</v>
      </c>
      <c r="G68" t="s">
        <v>31</v>
      </c>
      <c r="J68" t="s">
        <v>2227</v>
      </c>
      <c r="K68" t="s">
        <v>1967</v>
      </c>
      <c r="L68" t="s">
        <v>1997</v>
      </c>
      <c r="M68" s="8">
        <v>1.54125</v>
      </c>
      <c r="N68">
        <v>80.7856561622413</v>
      </c>
      <c r="O68">
        <v>1494</v>
      </c>
      <c r="P68" s="9">
        <v>0.522</v>
      </c>
      <c r="Q68" t="s">
        <v>88</v>
      </c>
      <c r="T68" s="15" t="s">
        <v>89</v>
      </c>
      <c r="W68" s="16" t="str">
        <f t="shared" si="0"/>
        <v>EN_WON_52_c02_ARG</v>
      </c>
      <c r="X68" s="12">
        <f t="shared" si="1"/>
        <v>1494</v>
      </c>
      <c r="Y68" s="11">
        <f t="shared" si="2"/>
        <v>1494</v>
      </c>
      <c r="AC68" t="s">
        <v>26</v>
      </c>
      <c r="AD68" t="s">
        <v>2229</v>
      </c>
      <c r="AE68" t="s">
        <v>2230</v>
      </c>
      <c r="AF68" t="s">
        <v>29</v>
      </c>
      <c r="AG68" t="s">
        <v>30</v>
      </c>
      <c r="AH68" t="s">
        <v>31</v>
      </c>
      <c r="AK68" t="s">
        <v>2229</v>
      </c>
      <c r="AL68" t="s">
        <v>1967</v>
      </c>
      <c r="AM68" t="s">
        <v>2222</v>
      </c>
      <c r="AN68" s="8">
        <v>7.095</v>
      </c>
      <c r="AO68">
        <v>199.694880401046</v>
      </c>
      <c r="AP68">
        <v>1756</v>
      </c>
      <c r="AQ68" s="9">
        <v>0.332</v>
      </c>
      <c r="AR68" t="s">
        <v>137</v>
      </c>
      <c r="AT68" s="15" t="s">
        <v>112</v>
      </c>
      <c r="AW68" s="11" t="str">
        <f t="shared" si="3"/>
        <v>EN_WOF_33_c02_AZE</v>
      </c>
      <c r="AX68" s="11">
        <f t="shared" si="4"/>
        <v>1756</v>
      </c>
      <c r="AY68" s="11">
        <f t="shared" si="5"/>
        <v>1756</v>
      </c>
      <c r="AZ68" s="17">
        <v>3</v>
      </c>
      <c r="BA68">
        <f t="shared" si="6"/>
        <v>17.56</v>
      </c>
    </row>
    <row r="69" spans="2:53">
      <c r="B69" t="s">
        <v>26</v>
      </c>
      <c r="C69" t="s">
        <v>2231</v>
      </c>
      <c r="D69" t="s">
        <v>2232</v>
      </c>
      <c r="E69" t="s">
        <v>29</v>
      </c>
      <c r="F69" t="s">
        <v>30</v>
      </c>
      <c r="G69" t="s">
        <v>31</v>
      </c>
      <c r="J69" t="s">
        <v>2231</v>
      </c>
      <c r="K69" t="s">
        <v>1967</v>
      </c>
      <c r="L69" t="s">
        <v>1997</v>
      </c>
      <c r="M69" s="8">
        <v>23.55675</v>
      </c>
      <c r="N69">
        <v>0</v>
      </c>
      <c r="O69">
        <v>1494</v>
      </c>
      <c r="P69" s="9">
        <v>0.528430831927155</v>
      </c>
      <c r="Q69" t="s">
        <v>88</v>
      </c>
      <c r="T69" s="15" t="s">
        <v>89</v>
      </c>
      <c r="W69" s="16" t="str">
        <f t="shared" si="0"/>
        <v>EN_WON_53_c01_ARG</v>
      </c>
      <c r="X69" s="12">
        <f t="shared" si="1"/>
        <v>1494</v>
      </c>
      <c r="Y69" s="11">
        <f t="shared" si="2"/>
        <v>1494</v>
      </c>
      <c r="AC69" t="s">
        <v>26</v>
      </c>
      <c r="AD69" t="s">
        <v>2233</v>
      </c>
      <c r="AE69" t="s">
        <v>2234</v>
      </c>
      <c r="AF69" t="s">
        <v>29</v>
      </c>
      <c r="AG69" t="s">
        <v>30</v>
      </c>
      <c r="AH69" t="s">
        <v>31</v>
      </c>
      <c r="AK69" t="s">
        <v>2233</v>
      </c>
      <c r="AL69" t="s">
        <v>1967</v>
      </c>
      <c r="AM69" t="s">
        <v>2222</v>
      </c>
      <c r="AN69" s="8">
        <v>6.64575</v>
      </c>
      <c r="AO69">
        <v>199.694880401046</v>
      </c>
      <c r="AP69">
        <v>1756</v>
      </c>
      <c r="AQ69" s="9">
        <v>0.347</v>
      </c>
      <c r="AR69" t="s">
        <v>137</v>
      </c>
      <c r="AT69" s="15" t="s">
        <v>112</v>
      </c>
      <c r="AW69" s="11" t="str">
        <f t="shared" si="3"/>
        <v>EN_WOF_35_c02_AZE</v>
      </c>
      <c r="AX69" s="11">
        <f t="shared" si="4"/>
        <v>1756</v>
      </c>
      <c r="AY69" s="11">
        <f t="shared" si="5"/>
        <v>1756</v>
      </c>
      <c r="AZ69" s="17">
        <v>3</v>
      </c>
      <c r="BA69">
        <f t="shared" si="6"/>
        <v>17.56</v>
      </c>
    </row>
    <row r="70" spans="2:53">
      <c r="B70" t="s">
        <v>26</v>
      </c>
      <c r="C70" t="s">
        <v>2235</v>
      </c>
      <c r="D70" t="s">
        <v>2236</v>
      </c>
      <c r="E70" t="s">
        <v>29</v>
      </c>
      <c r="F70" t="s">
        <v>30</v>
      </c>
      <c r="G70" t="s">
        <v>31</v>
      </c>
      <c r="J70" t="s">
        <v>2235</v>
      </c>
      <c r="K70" t="s">
        <v>1967</v>
      </c>
      <c r="L70" t="s">
        <v>1997</v>
      </c>
      <c r="M70" s="8">
        <v>25.76775</v>
      </c>
      <c r="N70">
        <v>0</v>
      </c>
      <c r="O70">
        <v>1494</v>
      </c>
      <c r="P70" s="9">
        <v>0.539307040777716</v>
      </c>
      <c r="Q70" t="s">
        <v>88</v>
      </c>
      <c r="T70" s="15" t="s">
        <v>89</v>
      </c>
      <c r="W70" s="16" t="str">
        <f t="shared" ref="W70:W133" si="7">J70</f>
        <v>EN_WON_54_c01_ARG</v>
      </c>
      <c r="X70" s="12">
        <f t="shared" ref="X70:X133" si="8">O70</f>
        <v>1494</v>
      </c>
      <c r="Y70" s="11">
        <f t="shared" ref="Y70:Y133" si="9">X70</f>
        <v>1494</v>
      </c>
      <c r="AC70" t="s">
        <v>26</v>
      </c>
      <c r="AD70" t="s">
        <v>2237</v>
      </c>
      <c r="AE70" t="s">
        <v>2238</v>
      </c>
      <c r="AF70" t="s">
        <v>29</v>
      </c>
      <c r="AG70" t="s">
        <v>30</v>
      </c>
      <c r="AH70" t="s">
        <v>31</v>
      </c>
      <c r="AK70" t="s">
        <v>2237</v>
      </c>
      <c r="AL70" t="s">
        <v>1967</v>
      </c>
      <c r="AM70" t="s">
        <v>2222</v>
      </c>
      <c r="AN70" s="8">
        <v>21.726</v>
      </c>
      <c r="AO70">
        <v>199.694880401046</v>
      </c>
      <c r="AP70">
        <v>1756</v>
      </c>
      <c r="AQ70" s="9">
        <v>0.359925227837614</v>
      </c>
      <c r="AR70" t="s">
        <v>137</v>
      </c>
      <c r="AT70" s="15" t="s">
        <v>112</v>
      </c>
      <c r="AW70" s="11" t="str">
        <f t="shared" ref="AW70:AW133" si="10">AK70</f>
        <v>EN_WOF_36_c02_AZE</v>
      </c>
      <c r="AX70" s="11">
        <f t="shared" ref="AX70:AX133" si="11">AP70</f>
        <v>1756</v>
      </c>
      <c r="AY70" s="11">
        <f t="shared" ref="AY70:AY133" si="12">AX70</f>
        <v>1756</v>
      </c>
      <c r="AZ70" s="17">
        <v>3</v>
      </c>
      <c r="BA70">
        <f t="shared" ref="BA70:BA133" si="13">AX70*0.01</f>
        <v>17.56</v>
      </c>
    </row>
    <row r="71" spans="2:53">
      <c r="B71" t="s">
        <v>26</v>
      </c>
      <c r="C71" t="s">
        <v>2239</v>
      </c>
      <c r="D71" t="s">
        <v>2240</v>
      </c>
      <c r="E71" t="s">
        <v>29</v>
      </c>
      <c r="F71" t="s">
        <v>30</v>
      </c>
      <c r="G71" t="s">
        <v>31</v>
      </c>
      <c r="J71" t="s">
        <v>2239</v>
      </c>
      <c r="K71" t="s">
        <v>1967</v>
      </c>
      <c r="L71" t="s">
        <v>1997</v>
      </c>
      <c r="M71" s="8">
        <v>0.3585</v>
      </c>
      <c r="N71">
        <v>80.7856561622413</v>
      </c>
      <c r="O71">
        <v>1494</v>
      </c>
      <c r="P71" s="9">
        <v>0.539</v>
      </c>
      <c r="Q71" t="s">
        <v>88</v>
      </c>
      <c r="T71" s="15" t="s">
        <v>89</v>
      </c>
      <c r="W71" s="16" t="str">
        <f t="shared" si="7"/>
        <v>EN_WON_54_c02_ARG</v>
      </c>
      <c r="X71" s="12">
        <f t="shared" si="8"/>
        <v>1494</v>
      </c>
      <c r="Y71" s="11">
        <f t="shared" si="9"/>
        <v>1494</v>
      </c>
      <c r="AC71" t="s">
        <v>26</v>
      </c>
      <c r="AD71" t="s">
        <v>2241</v>
      </c>
      <c r="AE71" t="s">
        <v>2242</v>
      </c>
      <c r="AF71" t="s">
        <v>29</v>
      </c>
      <c r="AG71" t="s">
        <v>30</v>
      </c>
      <c r="AH71" t="s">
        <v>31</v>
      </c>
      <c r="AK71" t="s">
        <v>2241</v>
      </c>
      <c r="AL71" t="s">
        <v>1967</v>
      </c>
      <c r="AM71" t="s">
        <v>2222</v>
      </c>
      <c r="AN71" s="8">
        <v>15.4755</v>
      </c>
      <c r="AO71">
        <v>199.694880401046</v>
      </c>
      <c r="AP71">
        <v>1756</v>
      </c>
      <c r="AQ71" s="9">
        <v>0.367836289619075</v>
      </c>
      <c r="AR71" t="s">
        <v>137</v>
      </c>
      <c r="AT71" s="15" t="s">
        <v>112</v>
      </c>
      <c r="AW71" s="11" t="str">
        <f t="shared" si="10"/>
        <v>EN_WOF_37_c02_AZE</v>
      </c>
      <c r="AX71" s="11">
        <f t="shared" si="11"/>
        <v>1756</v>
      </c>
      <c r="AY71" s="11">
        <f t="shared" si="12"/>
        <v>1756</v>
      </c>
      <c r="AZ71" s="17">
        <v>3</v>
      </c>
      <c r="BA71">
        <f t="shared" si="13"/>
        <v>17.56</v>
      </c>
    </row>
    <row r="72" spans="2:53">
      <c r="B72" t="s">
        <v>26</v>
      </c>
      <c r="C72" t="s">
        <v>2243</v>
      </c>
      <c r="D72" t="s">
        <v>2244</v>
      </c>
      <c r="E72" t="s">
        <v>29</v>
      </c>
      <c r="F72" t="s">
        <v>30</v>
      </c>
      <c r="G72" t="s">
        <v>31</v>
      </c>
      <c r="J72" t="s">
        <v>2243</v>
      </c>
      <c r="K72" t="s">
        <v>1967</v>
      </c>
      <c r="L72" t="s">
        <v>1997</v>
      </c>
      <c r="M72" s="8">
        <v>3.40425</v>
      </c>
      <c r="N72">
        <v>0</v>
      </c>
      <c r="O72">
        <v>1494</v>
      </c>
      <c r="P72" s="9">
        <v>0.547679444811632</v>
      </c>
      <c r="Q72" t="s">
        <v>88</v>
      </c>
      <c r="T72" s="15" t="s">
        <v>89</v>
      </c>
      <c r="W72" s="16" t="str">
        <f t="shared" si="7"/>
        <v>EN_WON_55_c01_ARG</v>
      </c>
      <c r="X72" s="12">
        <f t="shared" si="8"/>
        <v>1494</v>
      </c>
      <c r="Y72" s="11">
        <f t="shared" si="9"/>
        <v>1494</v>
      </c>
      <c r="AC72" t="s">
        <v>26</v>
      </c>
      <c r="AD72" t="s">
        <v>2245</v>
      </c>
      <c r="AE72" t="s">
        <v>2246</v>
      </c>
      <c r="AF72" t="s">
        <v>29</v>
      </c>
      <c r="AG72" t="s">
        <v>30</v>
      </c>
      <c r="AH72" t="s">
        <v>31</v>
      </c>
      <c r="AK72" t="s">
        <v>2245</v>
      </c>
      <c r="AL72" t="s">
        <v>1967</v>
      </c>
      <c r="AM72" t="s">
        <v>2222</v>
      </c>
      <c r="AN72" s="8">
        <v>28.4445</v>
      </c>
      <c r="AO72">
        <v>199.694880401046</v>
      </c>
      <c r="AP72">
        <v>1756</v>
      </c>
      <c r="AQ72" s="9">
        <v>0.382496598639456</v>
      </c>
      <c r="AR72" t="s">
        <v>137</v>
      </c>
      <c r="AT72" s="15" t="s">
        <v>112</v>
      </c>
      <c r="AW72" s="11" t="str">
        <f t="shared" si="10"/>
        <v>EN_WOF_38_c02_AZE</v>
      </c>
      <c r="AX72" s="11">
        <f t="shared" si="11"/>
        <v>1756</v>
      </c>
      <c r="AY72" s="11">
        <f t="shared" si="12"/>
        <v>1756</v>
      </c>
      <c r="AZ72" s="17">
        <v>3</v>
      </c>
      <c r="BA72">
        <f t="shared" si="13"/>
        <v>17.56</v>
      </c>
    </row>
    <row r="73" spans="2:53">
      <c r="B73" t="s">
        <v>26</v>
      </c>
      <c r="C73" t="s">
        <v>2247</v>
      </c>
      <c r="D73" t="s">
        <v>2248</v>
      </c>
      <c r="E73" t="s">
        <v>29</v>
      </c>
      <c r="F73" t="s">
        <v>30</v>
      </c>
      <c r="G73" t="s">
        <v>31</v>
      </c>
      <c r="J73" t="s">
        <v>2247</v>
      </c>
      <c r="K73" t="s">
        <v>1967</v>
      </c>
      <c r="L73" t="s">
        <v>1997</v>
      </c>
      <c r="M73" s="8">
        <v>0.012</v>
      </c>
      <c r="N73">
        <v>105.747516212372</v>
      </c>
      <c r="O73">
        <v>1494</v>
      </c>
      <c r="P73" s="9">
        <v>0.547</v>
      </c>
      <c r="Q73" t="s">
        <v>88</v>
      </c>
      <c r="T73" s="15" t="s">
        <v>89</v>
      </c>
      <c r="W73" s="16" t="str">
        <f t="shared" si="7"/>
        <v>EN_WON_55_c03_ARG</v>
      </c>
      <c r="X73" s="12">
        <f t="shared" si="8"/>
        <v>1494</v>
      </c>
      <c r="Y73" s="11">
        <f t="shared" si="9"/>
        <v>1494</v>
      </c>
      <c r="AC73" t="s">
        <v>26</v>
      </c>
      <c r="AD73" t="s">
        <v>2249</v>
      </c>
      <c r="AE73" t="s">
        <v>2250</v>
      </c>
      <c r="AF73" t="s">
        <v>29</v>
      </c>
      <c r="AG73" t="s">
        <v>30</v>
      </c>
      <c r="AH73" t="s">
        <v>31</v>
      </c>
      <c r="AK73" t="s">
        <v>2249</v>
      </c>
      <c r="AL73" t="s">
        <v>1967</v>
      </c>
      <c r="AM73" t="s">
        <v>2222</v>
      </c>
      <c r="AN73" s="8">
        <v>20.82075</v>
      </c>
      <c r="AO73">
        <v>199.694880401046</v>
      </c>
      <c r="AP73">
        <v>1756</v>
      </c>
      <c r="AQ73" s="9">
        <v>0.386662332048557</v>
      </c>
      <c r="AR73" t="s">
        <v>137</v>
      </c>
      <c r="AT73" s="15" t="s">
        <v>112</v>
      </c>
      <c r="AW73" s="11" t="str">
        <f t="shared" si="10"/>
        <v>EN_WOF_39_c02_AZE</v>
      </c>
      <c r="AX73" s="11">
        <f t="shared" si="11"/>
        <v>1756</v>
      </c>
      <c r="AY73" s="11">
        <f t="shared" si="12"/>
        <v>1756</v>
      </c>
      <c r="AZ73" s="17">
        <v>3</v>
      </c>
      <c r="BA73">
        <f t="shared" si="13"/>
        <v>17.56</v>
      </c>
    </row>
    <row r="74" spans="2:53">
      <c r="B74" t="s">
        <v>26</v>
      </c>
      <c r="C74" t="s">
        <v>2251</v>
      </c>
      <c r="D74" t="s">
        <v>2252</v>
      </c>
      <c r="E74" t="s">
        <v>29</v>
      </c>
      <c r="F74" t="s">
        <v>30</v>
      </c>
      <c r="G74" t="s">
        <v>31</v>
      </c>
      <c r="J74" t="s">
        <v>2251</v>
      </c>
      <c r="K74" t="s">
        <v>1967</v>
      </c>
      <c r="L74" t="s">
        <v>1997</v>
      </c>
      <c r="M74" s="8">
        <v>3.03075</v>
      </c>
      <c r="N74">
        <v>0</v>
      </c>
      <c r="O74">
        <v>1494</v>
      </c>
      <c r="P74" s="9">
        <v>0.56</v>
      </c>
      <c r="Q74" t="s">
        <v>88</v>
      </c>
      <c r="T74" s="15" t="s">
        <v>89</v>
      </c>
      <c r="W74" s="16" t="str">
        <f t="shared" si="7"/>
        <v>EN_WON_56_c01_ARG</v>
      </c>
      <c r="X74" s="12">
        <f t="shared" si="8"/>
        <v>1494</v>
      </c>
      <c r="Y74" s="11">
        <f t="shared" si="9"/>
        <v>1494</v>
      </c>
      <c r="AC74" t="s">
        <v>26</v>
      </c>
      <c r="AD74" t="s">
        <v>2253</v>
      </c>
      <c r="AE74" t="s">
        <v>2254</v>
      </c>
      <c r="AF74" t="s">
        <v>29</v>
      </c>
      <c r="AG74" t="s">
        <v>30</v>
      </c>
      <c r="AH74" t="s">
        <v>31</v>
      </c>
      <c r="AK74" t="s">
        <v>2253</v>
      </c>
      <c r="AL74" t="s">
        <v>1967</v>
      </c>
      <c r="AM74" t="s">
        <v>2222</v>
      </c>
      <c r="AN74" s="8">
        <v>5.79075</v>
      </c>
      <c r="AO74">
        <v>199.694880401046</v>
      </c>
      <c r="AP74">
        <v>1756</v>
      </c>
      <c r="AQ74" s="9">
        <v>0.405</v>
      </c>
      <c r="AR74" t="s">
        <v>137</v>
      </c>
      <c r="AT74" s="15" t="s">
        <v>112</v>
      </c>
      <c r="AW74" s="11" t="str">
        <f t="shared" si="10"/>
        <v>EN_WOF_41_c02_AZE</v>
      </c>
      <c r="AX74" s="11">
        <f t="shared" si="11"/>
        <v>1756</v>
      </c>
      <c r="AY74" s="11">
        <f t="shared" si="12"/>
        <v>1756</v>
      </c>
      <c r="AZ74" s="17">
        <v>3</v>
      </c>
      <c r="BA74">
        <f t="shared" si="13"/>
        <v>17.56</v>
      </c>
    </row>
    <row r="75" spans="2:53">
      <c r="B75" t="s">
        <v>26</v>
      </c>
      <c r="C75" t="s">
        <v>2255</v>
      </c>
      <c r="D75" t="s">
        <v>2256</v>
      </c>
      <c r="E75" t="s">
        <v>29</v>
      </c>
      <c r="F75" t="s">
        <v>30</v>
      </c>
      <c r="G75" t="s">
        <v>31</v>
      </c>
      <c r="J75" t="s">
        <v>2255</v>
      </c>
      <c r="K75" t="s">
        <v>1967</v>
      </c>
      <c r="L75" t="s">
        <v>1997</v>
      </c>
      <c r="M75" s="8">
        <v>0.4815</v>
      </c>
      <c r="N75">
        <v>80.7856561622413</v>
      </c>
      <c r="O75">
        <v>1494</v>
      </c>
      <c r="P75" s="9">
        <v>0.561</v>
      </c>
      <c r="Q75" t="s">
        <v>88</v>
      </c>
      <c r="T75" s="15" t="s">
        <v>89</v>
      </c>
      <c r="W75" s="16" t="str">
        <f t="shared" si="7"/>
        <v>EN_WON_56_c02_ARG</v>
      </c>
      <c r="X75" s="12">
        <f t="shared" si="8"/>
        <v>1494</v>
      </c>
      <c r="Y75" s="11">
        <f t="shared" si="9"/>
        <v>1494</v>
      </c>
      <c r="AC75" t="s">
        <v>26</v>
      </c>
      <c r="AD75" t="s">
        <v>2257</v>
      </c>
      <c r="AE75" t="s">
        <v>2258</v>
      </c>
      <c r="AF75" t="s">
        <v>29</v>
      </c>
      <c r="AG75" t="s">
        <v>30</v>
      </c>
      <c r="AH75" t="s">
        <v>31</v>
      </c>
      <c r="AK75" t="s">
        <v>2257</v>
      </c>
      <c r="AL75" t="s">
        <v>1967</v>
      </c>
      <c r="AM75" t="s">
        <v>2259</v>
      </c>
      <c r="AN75" s="8">
        <v>9.81375</v>
      </c>
      <c r="AO75">
        <v>199.694880401046</v>
      </c>
      <c r="AP75">
        <v>1827</v>
      </c>
      <c r="AQ75" s="9">
        <v>0.301749866259075</v>
      </c>
      <c r="AR75" t="s">
        <v>199</v>
      </c>
      <c r="AT75" s="15" t="s">
        <v>69</v>
      </c>
      <c r="AW75" s="11" t="str">
        <f t="shared" si="10"/>
        <v>EN_WOF_30_c02_BGR</v>
      </c>
      <c r="AX75" s="11">
        <f t="shared" si="11"/>
        <v>1827</v>
      </c>
      <c r="AY75" s="11">
        <f t="shared" si="12"/>
        <v>1827</v>
      </c>
      <c r="AZ75" s="17">
        <v>3</v>
      </c>
      <c r="BA75">
        <f t="shared" si="13"/>
        <v>18.27</v>
      </c>
    </row>
    <row r="76" spans="2:53">
      <c r="B76" t="s">
        <v>26</v>
      </c>
      <c r="C76" t="s">
        <v>2260</v>
      </c>
      <c r="D76" t="s">
        <v>2261</v>
      </c>
      <c r="E76" t="s">
        <v>29</v>
      </c>
      <c r="F76" t="s">
        <v>30</v>
      </c>
      <c r="G76" t="s">
        <v>31</v>
      </c>
      <c r="J76" t="s">
        <v>2260</v>
      </c>
      <c r="K76" t="s">
        <v>1967</v>
      </c>
      <c r="L76" t="s">
        <v>1997</v>
      </c>
      <c r="M76" s="8">
        <v>2.61825</v>
      </c>
      <c r="N76">
        <v>0</v>
      </c>
      <c r="O76">
        <v>1494</v>
      </c>
      <c r="P76" s="9">
        <v>0.568</v>
      </c>
      <c r="Q76" t="s">
        <v>88</v>
      </c>
      <c r="T76" s="15" t="s">
        <v>89</v>
      </c>
      <c r="W76" s="16" t="str">
        <f t="shared" si="7"/>
        <v>EN_WON_57_c01_ARG</v>
      </c>
      <c r="X76" s="12">
        <f t="shared" si="8"/>
        <v>1494</v>
      </c>
      <c r="Y76" s="11">
        <f t="shared" si="9"/>
        <v>1494</v>
      </c>
      <c r="AC76" t="s">
        <v>26</v>
      </c>
      <c r="AD76" t="s">
        <v>2262</v>
      </c>
      <c r="AE76" t="s">
        <v>2263</v>
      </c>
      <c r="AF76" t="s">
        <v>29</v>
      </c>
      <c r="AG76" t="s">
        <v>30</v>
      </c>
      <c r="AH76" t="s">
        <v>31</v>
      </c>
      <c r="AK76" t="s">
        <v>2262</v>
      </c>
      <c r="AL76" t="s">
        <v>1967</v>
      </c>
      <c r="AM76" t="s">
        <v>2259</v>
      </c>
      <c r="AN76" s="8">
        <v>1.49175</v>
      </c>
      <c r="AO76">
        <v>199.694880401046</v>
      </c>
      <c r="AP76">
        <v>1827</v>
      </c>
      <c r="AQ76" s="9">
        <v>0.313</v>
      </c>
      <c r="AR76" t="s">
        <v>199</v>
      </c>
      <c r="AT76" s="15" t="s">
        <v>69</v>
      </c>
      <c r="AW76" s="11" t="str">
        <f t="shared" si="10"/>
        <v>EN_WOF_31_c02_BGR</v>
      </c>
      <c r="AX76" s="11">
        <f t="shared" si="11"/>
        <v>1827</v>
      </c>
      <c r="AY76" s="11">
        <f t="shared" si="12"/>
        <v>1827</v>
      </c>
      <c r="AZ76" s="17">
        <v>3</v>
      </c>
      <c r="BA76">
        <f t="shared" si="13"/>
        <v>18.27</v>
      </c>
    </row>
    <row r="77" spans="2:53">
      <c r="B77" t="s">
        <v>26</v>
      </c>
      <c r="C77" t="s">
        <v>2264</v>
      </c>
      <c r="D77" t="s">
        <v>2265</v>
      </c>
      <c r="E77" t="s">
        <v>29</v>
      </c>
      <c r="F77" t="s">
        <v>30</v>
      </c>
      <c r="G77" t="s">
        <v>31</v>
      </c>
      <c r="J77" t="s">
        <v>2264</v>
      </c>
      <c r="K77" t="s">
        <v>1967</v>
      </c>
      <c r="L77" t="s">
        <v>1997</v>
      </c>
      <c r="M77" s="8">
        <v>1.01775</v>
      </c>
      <c r="N77">
        <v>0</v>
      </c>
      <c r="O77">
        <v>1494</v>
      </c>
      <c r="P77" s="9">
        <v>0.576</v>
      </c>
      <c r="Q77" t="s">
        <v>88</v>
      </c>
      <c r="T77" s="15" t="s">
        <v>89</v>
      </c>
      <c r="W77" s="16" t="str">
        <f t="shared" si="7"/>
        <v>EN_WON_58_c01_ARG</v>
      </c>
      <c r="X77" s="12">
        <f t="shared" si="8"/>
        <v>1494</v>
      </c>
      <c r="Y77" s="11">
        <f t="shared" si="9"/>
        <v>1494</v>
      </c>
      <c r="AC77" t="s">
        <v>26</v>
      </c>
      <c r="AD77" t="s">
        <v>2266</v>
      </c>
      <c r="AE77" t="s">
        <v>2267</v>
      </c>
      <c r="AF77" t="s">
        <v>29</v>
      </c>
      <c r="AG77" t="s">
        <v>30</v>
      </c>
      <c r="AH77" t="s">
        <v>31</v>
      </c>
      <c r="AK77" t="s">
        <v>2266</v>
      </c>
      <c r="AL77" t="s">
        <v>1967</v>
      </c>
      <c r="AM77" t="s">
        <v>2259</v>
      </c>
      <c r="AN77" s="8">
        <v>5.625</v>
      </c>
      <c r="AO77">
        <v>199.694880401046</v>
      </c>
      <c r="AP77">
        <v>1827</v>
      </c>
      <c r="AQ77" s="9">
        <v>0.3192556</v>
      </c>
      <c r="AR77" t="s">
        <v>199</v>
      </c>
      <c r="AT77" s="15" t="s">
        <v>69</v>
      </c>
      <c r="AW77" s="11" t="str">
        <f t="shared" si="10"/>
        <v>EN_WOF_32_c02_BGR</v>
      </c>
      <c r="AX77" s="11">
        <f t="shared" si="11"/>
        <v>1827</v>
      </c>
      <c r="AY77" s="11">
        <f t="shared" si="12"/>
        <v>1827</v>
      </c>
      <c r="AZ77" s="17">
        <v>3</v>
      </c>
      <c r="BA77">
        <f t="shared" si="13"/>
        <v>18.27</v>
      </c>
    </row>
    <row r="78" spans="2:53">
      <c r="B78" t="s">
        <v>26</v>
      </c>
      <c r="C78" t="s">
        <v>2268</v>
      </c>
      <c r="D78" t="s">
        <v>2269</v>
      </c>
      <c r="E78" t="s">
        <v>29</v>
      </c>
      <c r="F78" t="s">
        <v>30</v>
      </c>
      <c r="G78" t="s">
        <v>31</v>
      </c>
      <c r="J78" t="s">
        <v>2268</v>
      </c>
      <c r="K78" t="s">
        <v>1967</v>
      </c>
      <c r="L78" t="s">
        <v>1997</v>
      </c>
      <c r="M78" s="8">
        <v>0.0675</v>
      </c>
      <c r="N78">
        <v>145.23264029167</v>
      </c>
      <c r="O78">
        <v>1494</v>
      </c>
      <c r="P78" s="9">
        <v>0.581</v>
      </c>
      <c r="Q78" t="s">
        <v>88</v>
      </c>
      <c r="T78" s="15" t="s">
        <v>89</v>
      </c>
      <c r="W78" s="16" t="str">
        <f t="shared" si="7"/>
        <v>EN_WON_58_c04_ARG</v>
      </c>
      <c r="X78" s="12">
        <f t="shared" si="8"/>
        <v>1494</v>
      </c>
      <c r="Y78" s="11">
        <f t="shared" si="9"/>
        <v>1494</v>
      </c>
      <c r="AC78" t="s">
        <v>26</v>
      </c>
      <c r="AD78" t="s">
        <v>2270</v>
      </c>
      <c r="AE78" t="s">
        <v>2271</v>
      </c>
      <c r="AF78" t="s">
        <v>29</v>
      </c>
      <c r="AG78" t="s">
        <v>30</v>
      </c>
      <c r="AH78" t="s">
        <v>31</v>
      </c>
      <c r="AK78" t="s">
        <v>2270</v>
      </c>
      <c r="AL78" t="s">
        <v>1967</v>
      </c>
      <c r="AM78" t="s">
        <v>2259</v>
      </c>
      <c r="AN78" s="8">
        <v>26.7555</v>
      </c>
      <c r="AO78">
        <v>199.694880401046</v>
      </c>
      <c r="AP78">
        <v>1827</v>
      </c>
      <c r="AQ78" s="9">
        <v>0.330093485451589</v>
      </c>
      <c r="AR78" t="s">
        <v>199</v>
      </c>
      <c r="AT78" s="15" t="s">
        <v>69</v>
      </c>
      <c r="AW78" s="11" t="str">
        <f t="shared" si="10"/>
        <v>EN_WOF_33_c02_BGR</v>
      </c>
      <c r="AX78" s="11">
        <f t="shared" si="11"/>
        <v>1827</v>
      </c>
      <c r="AY78" s="11">
        <f t="shared" si="12"/>
        <v>1827</v>
      </c>
      <c r="AZ78" s="17">
        <v>3</v>
      </c>
      <c r="BA78">
        <f t="shared" si="13"/>
        <v>18.27</v>
      </c>
    </row>
    <row r="79" spans="2:53">
      <c r="B79" t="s">
        <v>26</v>
      </c>
      <c r="C79" t="s">
        <v>2272</v>
      </c>
      <c r="D79" t="s">
        <v>2273</v>
      </c>
      <c r="E79" t="s">
        <v>29</v>
      </c>
      <c r="F79" t="s">
        <v>30</v>
      </c>
      <c r="G79" t="s">
        <v>31</v>
      </c>
      <c r="J79" t="s">
        <v>2272</v>
      </c>
      <c r="K79" t="s">
        <v>1967</v>
      </c>
      <c r="L79" t="s">
        <v>1997</v>
      </c>
      <c r="M79" s="8">
        <v>0.114</v>
      </c>
      <c r="N79">
        <v>80.7856561622413</v>
      </c>
      <c r="O79">
        <v>1494</v>
      </c>
      <c r="P79" s="9">
        <v>0.591</v>
      </c>
      <c r="Q79" t="s">
        <v>88</v>
      </c>
      <c r="T79" s="15" t="s">
        <v>89</v>
      </c>
      <c r="W79" s="16" t="str">
        <f t="shared" si="7"/>
        <v>EN_WON_59_c02_ARG</v>
      </c>
      <c r="X79" s="12">
        <f t="shared" si="8"/>
        <v>1494</v>
      </c>
      <c r="Y79" s="11">
        <f t="shared" si="9"/>
        <v>1494</v>
      </c>
      <c r="AC79" t="s">
        <v>26</v>
      </c>
      <c r="AD79" t="s">
        <v>2274</v>
      </c>
      <c r="AE79" t="s">
        <v>2275</v>
      </c>
      <c r="AF79" t="s">
        <v>29</v>
      </c>
      <c r="AG79" t="s">
        <v>30</v>
      </c>
      <c r="AH79" t="s">
        <v>31</v>
      </c>
      <c r="AK79" t="s">
        <v>2274</v>
      </c>
      <c r="AL79" t="s">
        <v>1967</v>
      </c>
      <c r="AM79" t="s">
        <v>2259</v>
      </c>
      <c r="AN79" s="8">
        <v>7.21725</v>
      </c>
      <c r="AO79">
        <v>199.694880401046</v>
      </c>
      <c r="AP79">
        <v>1827</v>
      </c>
      <c r="AQ79" s="9">
        <v>0.336318923412657</v>
      </c>
      <c r="AR79" t="s">
        <v>199</v>
      </c>
      <c r="AT79" s="15" t="s">
        <v>69</v>
      </c>
      <c r="AW79" s="11" t="str">
        <f t="shared" si="10"/>
        <v>EN_WOF_34_c02_BGR</v>
      </c>
      <c r="AX79" s="11">
        <f t="shared" si="11"/>
        <v>1827</v>
      </c>
      <c r="AY79" s="11">
        <f t="shared" si="12"/>
        <v>1827</v>
      </c>
      <c r="AZ79" s="17">
        <v>3</v>
      </c>
      <c r="BA79">
        <f t="shared" si="13"/>
        <v>18.27</v>
      </c>
    </row>
    <row r="80" spans="2:53">
      <c r="B80" t="s">
        <v>26</v>
      </c>
      <c r="C80" t="s">
        <v>2276</v>
      </c>
      <c r="D80" t="s">
        <v>2277</v>
      </c>
      <c r="E80" t="s">
        <v>29</v>
      </c>
      <c r="F80" t="s">
        <v>30</v>
      </c>
      <c r="G80" t="s">
        <v>31</v>
      </c>
      <c r="J80" t="s">
        <v>2276</v>
      </c>
      <c r="K80" t="s">
        <v>1967</v>
      </c>
      <c r="L80" t="s">
        <v>1997</v>
      </c>
      <c r="M80" s="8">
        <v>0.00675</v>
      </c>
      <c r="N80">
        <v>145.23264029167</v>
      </c>
      <c r="O80">
        <v>1494</v>
      </c>
      <c r="P80" s="9">
        <v>0.637</v>
      </c>
      <c r="Q80" t="s">
        <v>88</v>
      </c>
      <c r="T80" s="15" t="s">
        <v>89</v>
      </c>
      <c r="W80" s="16" t="str">
        <f t="shared" si="7"/>
        <v>EN_WON_64_c04_ARG</v>
      </c>
      <c r="X80" s="12">
        <f t="shared" si="8"/>
        <v>1494</v>
      </c>
      <c r="Y80" s="11">
        <f t="shared" si="9"/>
        <v>1494</v>
      </c>
      <c r="AC80" t="s">
        <v>26</v>
      </c>
      <c r="AD80" t="s">
        <v>2278</v>
      </c>
      <c r="AE80" t="s">
        <v>2279</v>
      </c>
      <c r="AF80" t="s">
        <v>29</v>
      </c>
      <c r="AG80" t="s">
        <v>30</v>
      </c>
      <c r="AH80" t="s">
        <v>31</v>
      </c>
      <c r="AK80" t="s">
        <v>2278</v>
      </c>
      <c r="AL80" t="s">
        <v>1967</v>
      </c>
      <c r="AM80" t="s">
        <v>2280</v>
      </c>
      <c r="AN80" s="8">
        <v>14.99025</v>
      </c>
      <c r="AO80">
        <v>199.694880401046</v>
      </c>
      <c r="AP80">
        <v>1997</v>
      </c>
      <c r="AQ80" s="9">
        <v>0.302397458347926</v>
      </c>
      <c r="AR80" t="s">
        <v>211</v>
      </c>
      <c r="AT80" s="15" t="s">
        <v>119</v>
      </c>
      <c r="AW80" s="11" t="str">
        <f t="shared" si="10"/>
        <v>EN_WOF_30_c02_BHS</v>
      </c>
      <c r="AX80" s="11">
        <f t="shared" si="11"/>
        <v>1997</v>
      </c>
      <c r="AY80" s="11">
        <f t="shared" si="12"/>
        <v>1997</v>
      </c>
      <c r="AZ80" s="17">
        <v>3</v>
      </c>
      <c r="BA80">
        <f t="shared" si="13"/>
        <v>19.97</v>
      </c>
    </row>
    <row r="81" spans="2:53">
      <c r="B81" t="s">
        <v>26</v>
      </c>
      <c r="C81" t="s">
        <v>2281</v>
      </c>
      <c r="D81" t="s">
        <v>2282</v>
      </c>
      <c r="E81" t="s">
        <v>29</v>
      </c>
      <c r="F81" t="s">
        <v>30</v>
      </c>
      <c r="G81" t="s">
        <v>31</v>
      </c>
      <c r="J81" t="s">
        <v>2281</v>
      </c>
      <c r="K81" t="s">
        <v>1967</v>
      </c>
      <c r="L81" t="s">
        <v>2283</v>
      </c>
      <c r="M81" s="8">
        <v>2.52975</v>
      </c>
      <c r="N81">
        <v>145.23264029167</v>
      </c>
      <c r="O81">
        <v>1756</v>
      </c>
      <c r="P81" s="9">
        <v>0.201872220575156</v>
      </c>
      <c r="Q81" t="s">
        <v>111</v>
      </c>
      <c r="T81" s="15" t="s">
        <v>112</v>
      </c>
      <c r="W81" s="16" t="str">
        <f t="shared" si="7"/>
        <v>EN_WON_20_c04_ARM</v>
      </c>
      <c r="X81" s="12">
        <f t="shared" si="8"/>
        <v>1756</v>
      </c>
      <c r="Y81" s="11">
        <f t="shared" si="9"/>
        <v>1756</v>
      </c>
      <c r="AC81" t="s">
        <v>26</v>
      </c>
      <c r="AD81" t="s">
        <v>2284</v>
      </c>
      <c r="AE81" t="s">
        <v>2285</v>
      </c>
      <c r="AF81" t="s">
        <v>29</v>
      </c>
      <c r="AG81" t="s">
        <v>30</v>
      </c>
      <c r="AH81" t="s">
        <v>31</v>
      </c>
      <c r="AK81" t="s">
        <v>2284</v>
      </c>
      <c r="AL81" t="s">
        <v>1967</v>
      </c>
      <c r="AM81" t="s">
        <v>2280</v>
      </c>
      <c r="AN81" s="8">
        <v>2.14875</v>
      </c>
      <c r="AO81">
        <v>199.694880401046</v>
      </c>
      <c r="AP81">
        <v>1997</v>
      </c>
      <c r="AQ81" s="9">
        <v>0.310857940663176</v>
      </c>
      <c r="AR81" t="s">
        <v>211</v>
      </c>
      <c r="AT81" s="15" t="s">
        <v>119</v>
      </c>
      <c r="AW81" s="11" t="str">
        <f t="shared" si="10"/>
        <v>EN_WOF_31_c02_BHS</v>
      </c>
      <c r="AX81" s="11">
        <f t="shared" si="11"/>
        <v>1997</v>
      </c>
      <c r="AY81" s="11">
        <f t="shared" si="12"/>
        <v>1997</v>
      </c>
      <c r="AZ81" s="17">
        <v>3</v>
      </c>
      <c r="BA81">
        <f t="shared" si="13"/>
        <v>19.97</v>
      </c>
    </row>
    <row r="82" spans="2:53">
      <c r="B82" t="s">
        <v>26</v>
      </c>
      <c r="C82" t="s">
        <v>2286</v>
      </c>
      <c r="D82" t="s">
        <v>2287</v>
      </c>
      <c r="E82" t="s">
        <v>29</v>
      </c>
      <c r="F82" t="s">
        <v>30</v>
      </c>
      <c r="G82" t="s">
        <v>31</v>
      </c>
      <c r="J82" t="s">
        <v>2286</v>
      </c>
      <c r="K82" t="s">
        <v>1967</v>
      </c>
      <c r="L82" t="s">
        <v>2283</v>
      </c>
      <c r="M82" s="8">
        <v>1.557</v>
      </c>
      <c r="N82">
        <v>145.23264029167</v>
      </c>
      <c r="O82">
        <v>1756</v>
      </c>
      <c r="P82" s="9">
        <v>0.210072736030829</v>
      </c>
      <c r="Q82" t="s">
        <v>111</v>
      </c>
      <c r="T82" s="15" t="s">
        <v>112</v>
      </c>
      <c r="W82" s="16" t="str">
        <f t="shared" si="7"/>
        <v>EN_WON_21_c04_ARM</v>
      </c>
      <c r="X82" s="12">
        <f t="shared" si="8"/>
        <v>1756</v>
      </c>
      <c r="Y82" s="11">
        <f t="shared" si="9"/>
        <v>1756</v>
      </c>
      <c r="AC82" t="s">
        <v>26</v>
      </c>
      <c r="AD82" t="s">
        <v>2288</v>
      </c>
      <c r="AE82" t="s">
        <v>2289</v>
      </c>
      <c r="AF82" t="s">
        <v>29</v>
      </c>
      <c r="AG82" t="s">
        <v>30</v>
      </c>
      <c r="AH82" t="s">
        <v>31</v>
      </c>
      <c r="AK82" t="s">
        <v>2288</v>
      </c>
      <c r="AL82" t="s">
        <v>1967</v>
      </c>
      <c r="AM82" t="s">
        <v>2280</v>
      </c>
      <c r="AN82" s="8">
        <v>23.6775</v>
      </c>
      <c r="AO82">
        <v>199.694880401046</v>
      </c>
      <c r="AP82">
        <v>1997</v>
      </c>
      <c r="AQ82" s="9">
        <v>0.318660658853342</v>
      </c>
      <c r="AR82" t="s">
        <v>211</v>
      </c>
      <c r="AT82" s="15" t="s">
        <v>119</v>
      </c>
      <c r="AW82" s="11" t="str">
        <f t="shared" si="10"/>
        <v>EN_WOF_32_c02_BHS</v>
      </c>
      <c r="AX82" s="11">
        <f t="shared" si="11"/>
        <v>1997</v>
      </c>
      <c r="AY82" s="11">
        <f t="shared" si="12"/>
        <v>1997</v>
      </c>
      <c r="AZ82" s="17">
        <v>3</v>
      </c>
      <c r="BA82">
        <f t="shared" si="13"/>
        <v>19.97</v>
      </c>
    </row>
    <row r="83" spans="2:53">
      <c r="B83" t="s">
        <v>26</v>
      </c>
      <c r="C83" t="s">
        <v>2290</v>
      </c>
      <c r="D83" t="s">
        <v>2291</v>
      </c>
      <c r="E83" t="s">
        <v>29</v>
      </c>
      <c r="F83" t="s">
        <v>30</v>
      </c>
      <c r="G83" t="s">
        <v>31</v>
      </c>
      <c r="J83" t="s">
        <v>2290</v>
      </c>
      <c r="K83" t="s">
        <v>1967</v>
      </c>
      <c r="L83" t="s">
        <v>2283</v>
      </c>
      <c r="M83" s="8">
        <v>0.82725</v>
      </c>
      <c r="N83">
        <v>105.747516212372</v>
      </c>
      <c r="O83">
        <v>1756</v>
      </c>
      <c r="P83" s="9">
        <v>0.23</v>
      </c>
      <c r="Q83" t="s">
        <v>111</v>
      </c>
      <c r="T83" s="15" t="s">
        <v>112</v>
      </c>
      <c r="W83" s="16" t="str">
        <f t="shared" si="7"/>
        <v>EN_WON_23_c03_ARM</v>
      </c>
      <c r="X83" s="12">
        <f t="shared" si="8"/>
        <v>1756</v>
      </c>
      <c r="Y83" s="11">
        <f t="shared" si="9"/>
        <v>1756</v>
      </c>
      <c r="AC83" t="s">
        <v>26</v>
      </c>
      <c r="AD83" t="s">
        <v>2292</v>
      </c>
      <c r="AE83" t="s">
        <v>2293</v>
      </c>
      <c r="AF83" t="s">
        <v>29</v>
      </c>
      <c r="AG83" t="s">
        <v>30</v>
      </c>
      <c r="AH83" t="s">
        <v>31</v>
      </c>
      <c r="AK83" t="s">
        <v>2292</v>
      </c>
      <c r="AL83" t="s">
        <v>1967</v>
      </c>
      <c r="AM83" t="s">
        <v>2280</v>
      </c>
      <c r="AN83" s="8">
        <v>10.44525</v>
      </c>
      <c r="AO83">
        <v>199.694880401046</v>
      </c>
      <c r="AP83">
        <v>1997</v>
      </c>
      <c r="AQ83" s="9">
        <v>0.327627629783873</v>
      </c>
      <c r="AR83" t="s">
        <v>211</v>
      </c>
      <c r="AT83" s="15" t="s">
        <v>119</v>
      </c>
      <c r="AW83" s="11" t="str">
        <f t="shared" si="10"/>
        <v>EN_WOF_33_c02_BHS</v>
      </c>
      <c r="AX83" s="11">
        <f t="shared" si="11"/>
        <v>1997</v>
      </c>
      <c r="AY83" s="11">
        <f t="shared" si="12"/>
        <v>1997</v>
      </c>
      <c r="AZ83" s="17">
        <v>3</v>
      </c>
      <c r="BA83">
        <f t="shared" si="13"/>
        <v>19.97</v>
      </c>
    </row>
    <row r="84" spans="2:53">
      <c r="B84" t="s">
        <v>26</v>
      </c>
      <c r="C84" t="s">
        <v>2294</v>
      </c>
      <c r="D84" t="s">
        <v>2295</v>
      </c>
      <c r="E84" t="s">
        <v>29</v>
      </c>
      <c r="F84" t="s">
        <v>30</v>
      </c>
      <c r="G84" t="s">
        <v>31</v>
      </c>
      <c r="J84" t="s">
        <v>2294</v>
      </c>
      <c r="K84" t="s">
        <v>1967</v>
      </c>
      <c r="L84" t="s">
        <v>2283</v>
      </c>
      <c r="M84" s="8">
        <v>0.89925</v>
      </c>
      <c r="N84">
        <v>105.747516212372</v>
      </c>
      <c r="O84">
        <v>1756</v>
      </c>
      <c r="P84" s="9">
        <v>0.240435362802335</v>
      </c>
      <c r="Q84" t="s">
        <v>111</v>
      </c>
      <c r="T84" s="15" t="s">
        <v>112</v>
      </c>
      <c r="W84" s="16" t="str">
        <f t="shared" si="7"/>
        <v>EN_WON_24_c03_ARM</v>
      </c>
      <c r="X84" s="12">
        <f t="shared" si="8"/>
        <v>1756</v>
      </c>
      <c r="Y84" s="11">
        <f t="shared" si="9"/>
        <v>1756</v>
      </c>
      <c r="AC84" t="s">
        <v>26</v>
      </c>
      <c r="AD84" t="s">
        <v>2296</v>
      </c>
      <c r="AE84" t="s">
        <v>2297</v>
      </c>
      <c r="AF84" t="s">
        <v>29</v>
      </c>
      <c r="AG84" t="s">
        <v>30</v>
      </c>
      <c r="AH84" t="s">
        <v>31</v>
      </c>
      <c r="AK84" t="s">
        <v>2296</v>
      </c>
      <c r="AL84" t="s">
        <v>1967</v>
      </c>
      <c r="AM84" t="s">
        <v>2280</v>
      </c>
      <c r="AN84" s="8">
        <v>2.63325</v>
      </c>
      <c r="AO84">
        <v>199.694880401046</v>
      </c>
      <c r="AP84">
        <v>1997</v>
      </c>
      <c r="AQ84" s="9">
        <v>0.342422101965252</v>
      </c>
      <c r="AR84" t="s">
        <v>211</v>
      </c>
      <c r="AT84" s="15" t="s">
        <v>119</v>
      </c>
      <c r="AW84" s="11" t="str">
        <f t="shared" si="10"/>
        <v>EN_WOF_34_c02_BHS</v>
      </c>
      <c r="AX84" s="11">
        <f t="shared" si="11"/>
        <v>1997</v>
      </c>
      <c r="AY84" s="11">
        <f t="shared" si="12"/>
        <v>1997</v>
      </c>
      <c r="AZ84" s="17">
        <v>3</v>
      </c>
      <c r="BA84">
        <f t="shared" si="13"/>
        <v>19.97</v>
      </c>
    </row>
    <row r="85" spans="2:53">
      <c r="B85" t="s">
        <v>26</v>
      </c>
      <c r="C85" t="s">
        <v>2298</v>
      </c>
      <c r="D85" t="s">
        <v>2299</v>
      </c>
      <c r="E85" t="s">
        <v>29</v>
      </c>
      <c r="F85" t="s">
        <v>30</v>
      </c>
      <c r="G85" t="s">
        <v>31</v>
      </c>
      <c r="J85" t="s">
        <v>2298</v>
      </c>
      <c r="K85" t="s">
        <v>1967</v>
      </c>
      <c r="L85" t="s">
        <v>2283</v>
      </c>
      <c r="M85" s="8">
        <v>0.018</v>
      </c>
      <c r="N85">
        <v>145.23264029167</v>
      </c>
      <c r="O85">
        <v>1756</v>
      </c>
      <c r="P85" s="9">
        <v>0.241</v>
      </c>
      <c r="Q85" t="s">
        <v>111</v>
      </c>
      <c r="T85" s="15" t="s">
        <v>112</v>
      </c>
      <c r="W85" s="16" t="str">
        <f t="shared" si="7"/>
        <v>EN_WON_24_c04_ARM</v>
      </c>
      <c r="X85" s="12">
        <f t="shared" si="8"/>
        <v>1756</v>
      </c>
      <c r="Y85" s="11">
        <f t="shared" si="9"/>
        <v>1756</v>
      </c>
      <c r="AC85" t="s">
        <v>26</v>
      </c>
      <c r="AD85" t="s">
        <v>2300</v>
      </c>
      <c r="AE85" t="s">
        <v>2301</v>
      </c>
      <c r="AF85" t="s">
        <v>29</v>
      </c>
      <c r="AG85" t="s">
        <v>30</v>
      </c>
      <c r="AH85" t="s">
        <v>31</v>
      </c>
      <c r="AK85" t="s">
        <v>2300</v>
      </c>
      <c r="AL85" t="s">
        <v>1967</v>
      </c>
      <c r="AM85" t="s">
        <v>2280</v>
      </c>
      <c r="AN85" s="8">
        <v>0.771</v>
      </c>
      <c r="AO85">
        <v>199.694880401046</v>
      </c>
      <c r="AP85">
        <v>1997</v>
      </c>
      <c r="AQ85" s="9">
        <v>0.353548638132296</v>
      </c>
      <c r="AR85" t="s">
        <v>211</v>
      </c>
      <c r="AT85" s="15" t="s">
        <v>119</v>
      </c>
      <c r="AW85" s="11" t="str">
        <f t="shared" si="10"/>
        <v>EN_WOF_35_c02_BHS</v>
      </c>
      <c r="AX85" s="11">
        <f t="shared" si="11"/>
        <v>1997</v>
      </c>
      <c r="AY85" s="11">
        <f t="shared" si="12"/>
        <v>1997</v>
      </c>
      <c r="AZ85" s="17">
        <v>3</v>
      </c>
      <c r="BA85">
        <f t="shared" si="13"/>
        <v>19.97</v>
      </c>
    </row>
    <row r="86" spans="2:53">
      <c r="B86" t="s">
        <v>26</v>
      </c>
      <c r="C86" t="s">
        <v>2302</v>
      </c>
      <c r="D86" t="s">
        <v>2303</v>
      </c>
      <c r="E86" t="s">
        <v>29</v>
      </c>
      <c r="F86" t="s">
        <v>30</v>
      </c>
      <c r="G86" t="s">
        <v>31</v>
      </c>
      <c r="J86" t="s">
        <v>2302</v>
      </c>
      <c r="K86" t="s">
        <v>1967</v>
      </c>
      <c r="L86" t="s">
        <v>2283</v>
      </c>
      <c r="M86" s="8">
        <v>0.49725</v>
      </c>
      <c r="N86">
        <v>105.747516212372</v>
      </c>
      <c r="O86">
        <v>1756</v>
      </c>
      <c r="P86" s="9">
        <v>0.284</v>
      </c>
      <c r="Q86" t="s">
        <v>111</v>
      </c>
      <c r="T86" s="15" t="s">
        <v>112</v>
      </c>
      <c r="W86" s="16" t="str">
        <f t="shared" si="7"/>
        <v>EN_WON_28_c03_ARM</v>
      </c>
      <c r="X86" s="12">
        <f t="shared" si="8"/>
        <v>1756</v>
      </c>
      <c r="Y86" s="11">
        <f t="shared" si="9"/>
        <v>1756</v>
      </c>
      <c r="AC86" t="s">
        <v>26</v>
      </c>
      <c r="AD86" t="s">
        <v>2304</v>
      </c>
      <c r="AE86" t="s">
        <v>2305</v>
      </c>
      <c r="AF86" t="s">
        <v>29</v>
      </c>
      <c r="AG86" t="s">
        <v>30</v>
      </c>
      <c r="AH86" t="s">
        <v>31</v>
      </c>
      <c r="AK86" t="s">
        <v>2304</v>
      </c>
      <c r="AL86" t="s">
        <v>1967</v>
      </c>
      <c r="AM86" t="s">
        <v>2280</v>
      </c>
      <c r="AN86" s="8">
        <v>2.385</v>
      </c>
      <c r="AO86">
        <v>199.694880401046</v>
      </c>
      <c r="AP86">
        <v>1997</v>
      </c>
      <c r="AQ86" s="9">
        <v>0.359300314465409</v>
      </c>
      <c r="AR86" t="s">
        <v>211</v>
      </c>
      <c r="AT86" s="15" t="s">
        <v>119</v>
      </c>
      <c r="AW86" s="11" t="str">
        <f t="shared" si="10"/>
        <v>EN_WOF_36_c02_BHS</v>
      </c>
      <c r="AX86" s="11">
        <f t="shared" si="11"/>
        <v>1997</v>
      </c>
      <c r="AY86" s="11">
        <f t="shared" si="12"/>
        <v>1997</v>
      </c>
      <c r="AZ86" s="17">
        <v>3</v>
      </c>
      <c r="BA86">
        <f t="shared" si="13"/>
        <v>19.97</v>
      </c>
    </row>
    <row r="87" spans="2:53">
      <c r="B87" t="s">
        <v>26</v>
      </c>
      <c r="C87" t="s">
        <v>2306</v>
      </c>
      <c r="D87" t="s">
        <v>2307</v>
      </c>
      <c r="E87" t="s">
        <v>29</v>
      </c>
      <c r="F87" t="s">
        <v>30</v>
      </c>
      <c r="G87" t="s">
        <v>31</v>
      </c>
      <c r="J87" t="s">
        <v>2306</v>
      </c>
      <c r="K87" t="s">
        <v>1967</v>
      </c>
      <c r="L87" t="s">
        <v>2086</v>
      </c>
      <c r="M87" s="8">
        <v>0.009</v>
      </c>
      <c r="N87">
        <v>0</v>
      </c>
      <c r="O87">
        <v>1997</v>
      </c>
      <c r="P87" s="9">
        <v>0.318</v>
      </c>
      <c r="Q87" t="s">
        <v>2087</v>
      </c>
      <c r="T87" s="15" t="s">
        <v>89</v>
      </c>
      <c r="W87" s="16" t="str">
        <f t="shared" si="7"/>
        <v>EN_WON_32_c01_ATG</v>
      </c>
      <c r="X87" s="12">
        <f t="shared" si="8"/>
        <v>1997</v>
      </c>
      <c r="Y87" s="11">
        <f t="shared" si="9"/>
        <v>1997</v>
      </c>
      <c r="AC87" t="s">
        <v>26</v>
      </c>
      <c r="AD87" t="s">
        <v>2308</v>
      </c>
      <c r="AE87" t="s">
        <v>2309</v>
      </c>
      <c r="AF87" t="s">
        <v>29</v>
      </c>
      <c r="AG87" t="s">
        <v>30</v>
      </c>
      <c r="AH87" t="s">
        <v>31</v>
      </c>
      <c r="AK87" t="s">
        <v>2308</v>
      </c>
      <c r="AL87" t="s">
        <v>1967</v>
      </c>
      <c r="AM87" t="s">
        <v>2280</v>
      </c>
      <c r="AN87" s="8">
        <v>2.61825</v>
      </c>
      <c r="AO87">
        <v>199.694880401046</v>
      </c>
      <c r="AP87">
        <v>1997</v>
      </c>
      <c r="AQ87" s="9">
        <v>0.37324319679175</v>
      </c>
      <c r="AR87" t="s">
        <v>211</v>
      </c>
      <c r="AT87" s="15" t="s">
        <v>119</v>
      </c>
      <c r="AW87" s="11" t="str">
        <f t="shared" si="10"/>
        <v>EN_WOF_37_c02_BHS</v>
      </c>
      <c r="AX87" s="11">
        <f t="shared" si="11"/>
        <v>1997</v>
      </c>
      <c r="AY87" s="11">
        <f t="shared" si="12"/>
        <v>1997</v>
      </c>
      <c r="AZ87" s="17">
        <v>3</v>
      </c>
      <c r="BA87">
        <f t="shared" si="13"/>
        <v>19.97</v>
      </c>
    </row>
    <row r="88" spans="2:53">
      <c r="B88" t="s">
        <v>26</v>
      </c>
      <c r="C88" t="s">
        <v>2310</v>
      </c>
      <c r="D88" t="s">
        <v>2311</v>
      </c>
      <c r="E88" t="s">
        <v>29</v>
      </c>
      <c r="F88" t="s">
        <v>30</v>
      </c>
      <c r="G88" t="s">
        <v>31</v>
      </c>
      <c r="J88" t="s">
        <v>2310</v>
      </c>
      <c r="K88" t="s">
        <v>1967</v>
      </c>
      <c r="L88" t="s">
        <v>2116</v>
      </c>
      <c r="M88" s="8">
        <v>106.1415</v>
      </c>
      <c r="N88">
        <v>80.7856561622413</v>
      </c>
      <c r="O88">
        <v>1554</v>
      </c>
      <c r="P88" s="9">
        <v>0.379506804595752</v>
      </c>
      <c r="Q88" t="s">
        <v>118</v>
      </c>
      <c r="T88" s="15" t="s">
        <v>119</v>
      </c>
      <c r="W88" s="16" t="str">
        <f t="shared" si="7"/>
        <v>EN_WON_38_c02_AUS</v>
      </c>
      <c r="X88" s="12">
        <f t="shared" si="8"/>
        <v>1554</v>
      </c>
      <c r="Y88" s="11">
        <f t="shared" si="9"/>
        <v>1554</v>
      </c>
      <c r="AC88" t="s">
        <v>26</v>
      </c>
      <c r="AD88" t="s">
        <v>2312</v>
      </c>
      <c r="AE88" t="s">
        <v>2313</v>
      </c>
      <c r="AF88" t="s">
        <v>29</v>
      </c>
      <c r="AG88" t="s">
        <v>30</v>
      </c>
      <c r="AH88" t="s">
        <v>31</v>
      </c>
      <c r="AK88" t="s">
        <v>2312</v>
      </c>
      <c r="AL88" t="s">
        <v>1967</v>
      </c>
      <c r="AM88" t="s">
        <v>2280</v>
      </c>
      <c r="AN88" s="8">
        <v>3.708</v>
      </c>
      <c r="AO88">
        <v>199.694880401046</v>
      </c>
      <c r="AP88">
        <v>1997</v>
      </c>
      <c r="AQ88" s="9">
        <v>0.382097087378641</v>
      </c>
      <c r="AR88" t="s">
        <v>211</v>
      </c>
      <c r="AT88" s="15" t="s">
        <v>119</v>
      </c>
      <c r="AW88" s="11" t="str">
        <f t="shared" si="10"/>
        <v>EN_WOF_38_c02_BHS</v>
      </c>
      <c r="AX88" s="11">
        <f t="shared" si="11"/>
        <v>1997</v>
      </c>
      <c r="AY88" s="11">
        <f t="shared" si="12"/>
        <v>1997</v>
      </c>
      <c r="AZ88" s="17">
        <v>3</v>
      </c>
      <c r="BA88">
        <f t="shared" si="13"/>
        <v>19.97</v>
      </c>
    </row>
    <row r="89" spans="2:53">
      <c r="B89" t="s">
        <v>26</v>
      </c>
      <c r="C89" t="s">
        <v>2314</v>
      </c>
      <c r="D89" t="s">
        <v>2315</v>
      </c>
      <c r="E89" t="s">
        <v>29</v>
      </c>
      <c r="F89" t="s">
        <v>30</v>
      </c>
      <c r="G89" t="s">
        <v>31</v>
      </c>
      <c r="J89" t="s">
        <v>2314</v>
      </c>
      <c r="K89" t="s">
        <v>1967</v>
      </c>
      <c r="L89" t="s">
        <v>2116</v>
      </c>
      <c r="M89" s="8">
        <v>116.4825</v>
      </c>
      <c r="N89">
        <v>105.747516212372</v>
      </c>
      <c r="O89">
        <v>1554</v>
      </c>
      <c r="P89" s="9">
        <v>0.379494636533385</v>
      </c>
      <c r="Q89" t="s">
        <v>118</v>
      </c>
      <c r="T89" s="15" t="s">
        <v>119</v>
      </c>
      <c r="W89" s="16" t="str">
        <f t="shared" si="7"/>
        <v>EN_WON_38_c03_AUS</v>
      </c>
      <c r="X89" s="12">
        <f t="shared" si="8"/>
        <v>1554</v>
      </c>
      <c r="Y89" s="11">
        <f t="shared" si="9"/>
        <v>1554</v>
      </c>
      <c r="AC89" t="s">
        <v>26</v>
      </c>
      <c r="AD89" t="s">
        <v>2316</v>
      </c>
      <c r="AE89" t="s">
        <v>2317</v>
      </c>
      <c r="AF89" t="s">
        <v>29</v>
      </c>
      <c r="AG89" t="s">
        <v>30</v>
      </c>
      <c r="AH89" t="s">
        <v>31</v>
      </c>
      <c r="AK89" t="s">
        <v>2316</v>
      </c>
      <c r="AL89" t="s">
        <v>1967</v>
      </c>
      <c r="AM89" t="s">
        <v>2280</v>
      </c>
      <c r="AN89" s="8">
        <v>0.56625</v>
      </c>
      <c r="AO89">
        <v>199.694880401046</v>
      </c>
      <c r="AP89">
        <v>1997</v>
      </c>
      <c r="AQ89" s="9">
        <v>0.385</v>
      </c>
      <c r="AR89" t="s">
        <v>211</v>
      </c>
      <c r="AT89" s="15" t="s">
        <v>119</v>
      </c>
      <c r="AW89" s="11" t="str">
        <f t="shared" si="10"/>
        <v>EN_WOF_39_c02_BHS</v>
      </c>
      <c r="AX89" s="11">
        <f t="shared" si="11"/>
        <v>1997</v>
      </c>
      <c r="AY89" s="11">
        <f t="shared" si="12"/>
        <v>1997</v>
      </c>
      <c r="AZ89" s="17">
        <v>3</v>
      </c>
      <c r="BA89">
        <f t="shared" si="13"/>
        <v>19.97</v>
      </c>
    </row>
    <row r="90" spans="2:53">
      <c r="B90" t="s">
        <v>26</v>
      </c>
      <c r="C90" t="s">
        <v>2318</v>
      </c>
      <c r="D90" t="s">
        <v>2319</v>
      </c>
      <c r="E90" t="s">
        <v>29</v>
      </c>
      <c r="F90" t="s">
        <v>30</v>
      </c>
      <c r="G90" t="s">
        <v>31</v>
      </c>
      <c r="J90" t="s">
        <v>2318</v>
      </c>
      <c r="K90" t="s">
        <v>1967</v>
      </c>
      <c r="L90" t="s">
        <v>2116</v>
      </c>
      <c r="M90" s="8">
        <v>38.013</v>
      </c>
      <c r="N90">
        <v>0</v>
      </c>
      <c r="O90">
        <v>1554</v>
      </c>
      <c r="P90" s="9">
        <v>0.390869899771131</v>
      </c>
      <c r="Q90" t="s">
        <v>118</v>
      </c>
      <c r="T90" s="15" t="s">
        <v>119</v>
      </c>
      <c r="W90" s="16" t="str">
        <f t="shared" si="7"/>
        <v>EN_WON_39_c01_AUS</v>
      </c>
      <c r="X90" s="12">
        <f t="shared" si="8"/>
        <v>1554</v>
      </c>
      <c r="Y90" s="11">
        <f t="shared" si="9"/>
        <v>1554</v>
      </c>
      <c r="AC90" t="s">
        <v>26</v>
      </c>
      <c r="AD90" t="s">
        <v>2320</v>
      </c>
      <c r="AE90" t="s">
        <v>2321</v>
      </c>
      <c r="AF90" t="s">
        <v>29</v>
      </c>
      <c r="AG90" t="s">
        <v>30</v>
      </c>
      <c r="AH90" t="s">
        <v>31</v>
      </c>
      <c r="AK90" t="s">
        <v>2320</v>
      </c>
      <c r="AL90" t="s">
        <v>1967</v>
      </c>
      <c r="AM90" t="s">
        <v>2322</v>
      </c>
      <c r="AN90" s="8">
        <v>1.28325</v>
      </c>
      <c r="AO90">
        <v>199.694880401046</v>
      </c>
      <c r="AP90">
        <v>1558</v>
      </c>
      <c r="AQ90" s="9">
        <v>0.302550555230859</v>
      </c>
      <c r="AR90" t="s">
        <v>265</v>
      </c>
      <c r="AT90" s="15" t="s">
        <v>89</v>
      </c>
      <c r="AW90" s="11" t="str">
        <f t="shared" si="10"/>
        <v>EN_WOF_30_c02_BRA</v>
      </c>
      <c r="AX90" s="11">
        <f t="shared" si="11"/>
        <v>1558</v>
      </c>
      <c r="AY90" s="11">
        <f t="shared" si="12"/>
        <v>1558</v>
      </c>
      <c r="AZ90" s="17">
        <v>3</v>
      </c>
      <c r="BA90">
        <f t="shared" si="13"/>
        <v>15.58</v>
      </c>
    </row>
    <row r="91" spans="2:53">
      <c r="B91" t="s">
        <v>26</v>
      </c>
      <c r="C91" t="s">
        <v>2323</v>
      </c>
      <c r="D91" t="s">
        <v>2324</v>
      </c>
      <c r="E91" t="s">
        <v>29</v>
      </c>
      <c r="F91" t="s">
        <v>30</v>
      </c>
      <c r="G91" t="s">
        <v>31</v>
      </c>
      <c r="J91" t="s">
        <v>2323</v>
      </c>
      <c r="K91" t="s">
        <v>1967</v>
      </c>
      <c r="L91" t="s">
        <v>2116</v>
      </c>
      <c r="M91" s="8">
        <v>0.6285</v>
      </c>
      <c r="N91">
        <v>80.7856561622413</v>
      </c>
      <c r="O91">
        <v>1554</v>
      </c>
      <c r="P91" s="9">
        <v>0.394</v>
      </c>
      <c r="Q91" t="s">
        <v>118</v>
      </c>
      <c r="T91" s="15" t="s">
        <v>119</v>
      </c>
      <c r="W91" s="16" t="str">
        <f t="shared" si="7"/>
        <v>EN_WON_39_c02_AUS</v>
      </c>
      <c r="X91" s="12">
        <f t="shared" si="8"/>
        <v>1554</v>
      </c>
      <c r="Y91" s="11">
        <f t="shared" si="9"/>
        <v>1554</v>
      </c>
      <c r="AC91" t="s">
        <v>26</v>
      </c>
      <c r="AD91" t="s">
        <v>2325</v>
      </c>
      <c r="AE91" t="s">
        <v>2326</v>
      </c>
      <c r="AF91" t="s">
        <v>29</v>
      </c>
      <c r="AG91" t="s">
        <v>30</v>
      </c>
      <c r="AH91" t="s">
        <v>31</v>
      </c>
      <c r="AK91" t="s">
        <v>2325</v>
      </c>
      <c r="AL91" t="s">
        <v>1967</v>
      </c>
      <c r="AM91" t="s">
        <v>2322</v>
      </c>
      <c r="AN91" s="8">
        <v>36.96825</v>
      </c>
      <c r="AO91">
        <v>199.694880401046</v>
      </c>
      <c r="AP91">
        <v>1558</v>
      </c>
      <c r="AQ91" s="9">
        <v>0.309065691505549</v>
      </c>
      <c r="AR91" t="s">
        <v>265</v>
      </c>
      <c r="AT91" s="15" t="s">
        <v>89</v>
      </c>
      <c r="AW91" s="11" t="str">
        <f t="shared" si="10"/>
        <v>EN_WOF_31_c02_BRA</v>
      </c>
      <c r="AX91" s="11">
        <f t="shared" si="11"/>
        <v>1558</v>
      </c>
      <c r="AY91" s="11">
        <f t="shared" si="12"/>
        <v>1558</v>
      </c>
      <c r="AZ91" s="17">
        <v>3</v>
      </c>
      <c r="BA91">
        <f t="shared" si="13"/>
        <v>15.58</v>
      </c>
    </row>
    <row r="92" spans="2:53">
      <c r="B92" t="s">
        <v>26</v>
      </c>
      <c r="C92" t="s">
        <v>2327</v>
      </c>
      <c r="D92" t="s">
        <v>2328</v>
      </c>
      <c r="E92" t="s">
        <v>29</v>
      </c>
      <c r="F92" t="s">
        <v>30</v>
      </c>
      <c r="G92" t="s">
        <v>31</v>
      </c>
      <c r="J92" t="s">
        <v>2327</v>
      </c>
      <c r="K92" t="s">
        <v>1967</v>
      </c>
      <c r="L92" t="s">
        <v>2116</v>
      </c>
      <c r="M92" s="8">
        <v>36.033</v>
      </c>
      <c r="N92">
        <v>105.747516212372</v>
      </c>
      <c r="O92">
        <v>1554</v>
      </c>
      <c r="P92" s="9">
        <v>0.388849096661394</v>
      </c>
      <c r="Q92" t="s">
        <v>118</v>
      </c>
      <c r="T92" s="15" t="s">
        <v>119</v>
      </c>
      <c r="W92" s="16" t="str">
        <f t="shared" si="7"/>
        <v>EN_WON_39_c03_AUS</v>
      </c>
      <c r="X92" s="12">
        <f t="shared" si="8"/>
        <v>1554</v>
      </c>
      <c r="Y92" s="11">
        <f t="shared" si="9"/>
        <v>1554</v>
      </c>
      <c r="AC92" t="s">
        <v>26</v>
      </c>
      <c r="AD92" t="s">
        <v>2329</v>
      </c>
      <c r="AE92" t="s">
        <v>2330</v>
      </c>
      <c r="AF92" t="s">
        <v>29</v>
      </c>
      <c r="AG92" t="s">
        <v>30</v>
      </c>
      <c r="AH92" t="s">
        <v>31</v>
      </c>
      <c r="AK92" t="s">
        <v>2329</v>
      </c>
      <c r="AL92" t="s">
        <v>1967</v>
      </c>
      <c r="AM92" t="s">
        <v>2322</v>
      </c>
      <c r="AN92" s="8">
        <v>21.528</v>
      </c>
      <c r="AO92">
        <v>199.694880401046</v>
      </c>
      <c r="AP92">
        <v>1558</v>
      </c>
      <c r="AQ92" s="9">
        <v>0.319347338350056</v>
      </c>
      <c r="AR92" t="s">
        <v>265</v>
      </c>
      <c r="AT92" s="15" t="s">
        <v>89</v>
      </c>
      <c r="AW92" s="11" t="str">
        <f t="shared" si="10"/>
        <v>EN_WOF_32_c02_BRA</v>
      </c>
      <c r="AX92" s="11">
        <f t="shared" si="11"/>
        <v>1558</v>
      </c>
      <c r="AY92" s="11">
        <f t="shared" si="12"/>
        <v>1558</v>
      </c>
      <c r="AZ92" s="17">
        <v>3</v>
      </c>
      <c r="BA92">
        <f t="shared" si="13"/>
        <v>15.58</v>
      </c>
    </row>
    <row r="93" spans="2:53">
      <c r="B93" t="s">
        <v>26</v>
      </c>
      <c r="C93" t="s">
        <v>2331</v>
      </c>
      <c r="D93" t="s">
        <v>2332</v>
      </c>
      <c r="E93" t="s">
        <v>29</v>
      </c>
      <c r="F93" t="s">
        <v>30</v>
      </c>
      <c r="G93" t="s">
        <v>31</v>
      </c>
      <c r="J93" t="s">
        <v>2331</v>
      </c>
      <c r="K93" t="s">
        <v>1967</v>
      </c>
      <c r="L93" t="s">
        <v>2116</v>
      </c>
      <c r="M93" s="8">
        <v>17.2245</v>
      </c>
      <c r="N93">
        <v>145.23264029167</v>
      </c>
      <c r="O93">
        <v>1554</v>
      </c>
      <c r="P93" s="9">
        <v>0.392</v>
      </c>
      <c r="Q93" t="s">
        <v>118</v>
      </c>
      <c r="T93" s="15" t="s">
        <v>119</v>
      </c>
      <c r="W93" s="16" t="str">
        <f t="shared" si="7"/>
        <v>EN_WON_39_c04_AUS</v>
      </c>
      <c r="X93" s="12">
        <f t="shared" si="8"/>
        <v>1554</v>
      </c>
      <c r="Y93" s="11">
        <f t="shared" si="9"/>
        <v>1554</v>
      </c>
      <c r="AC93" t="s">
        <v>26</v>
      </c>
      <c r="AD93" t="s">
        <v>2333</v>
      </c>
      <c r="AE93" t="s">
        <v>2334</v>
      </c>
      <c r="AF93" t="s">
        <v>29</v>
      </c>
      <c r="AG93" t="s">
        <v>30</v>
      </c>
      <c r="AH93" t="s">
        <v>31</v>
      </c>
      <c r="AK93" t="s">
        <v>2333</v>
      </c>
      <c r="AL93" t="s">
        <v>1967</v>
      </c>
      <c r="AM93" t="s">
        <v>2322</v>
      </c>
      <c r="AN93" s="8">
        <v>11.12475</v>
      </c>
      <c r="AO93">
        <v>199.694880401046</v>
      </c>
      <c r="AP93">
        <v>1558</v>
      </c>
      <c r="AQ93" s="9">
        <v>0.331286995213376</v>
      </c>
      <c r="AR93" t="s">
        <v>265</v>
      </c>
      <c r="AT93" s="15" t="s">
        <v>89</v>
      </c>
      <c r="AW93" s="11" t="str">
        <f t="shared" si="10"/>
        <v>EN_WOF_33_c02_BRA</v>
      </c>
      <c r="AX93" s="11">
        <f t="shared" si="11"/>
        <v>1558</v>
      </c>
      <c r="AY93" s="11">
        <f t="shared" si="12"/>
        <v>1558</v>
      </c>
      <c r="AZ93" s="17">
        <v>3</v>
      </c>
      <c r="BA93">
        <f t="shared" si="13"/>
        <v>15.58</v>
      </c>
    </row>
    <row r="94" spans="2:53">
      <c r="B94" t="s">
        <v>26</v>
      </c>
      <c r="C94" t="s">
        <v>2335</v>
      </c>
      <c r="D94" t="s">
        <v>2336</v>
      </c>
      <c r="E94" t="s">
        <v>29</v>
      </c>
      <c r="F94" t="s">
        <v>30</v>
      </c>
      <c r="G94" t="s">
        <v>31</v>
      </c>
      <c r="J94" t="s">
        <v>2335</v>
      </c>
      <c r="K94" t="s">
        <v>1967</v>
      </c>
      <c r="L94" t="s">
        <v>2116</v>
      </c>
      <c r="M94" s="8">
        <v>4.122</v>
      </c>
      <c r="N94">
        <v>0</v>
      </c>
      <c r="O94">
        <v>1554</v>
      </c>
      <c r="P94" s="9">
        <v>0.396336244541485</v>
      </c>
      <c r="Q94" t="s">
        <v>118</v>
      </c>
      <c r="T94" s="15" t="s">
        <v>119</v>
      </c>
      <c r="W94" s="16" t="str">
        <f t="shared" si="7"/>
        <v>EN_WON_40_c01_AUS</v>
      </c>
      <c r="X94" s="12">
        <f t="shared" si="8"/>
        <v>1554</v>
      </c>
      <c r="Y94" s="11">
        <f t="shared" si="9"/>
        <v>1554</v>
      </c>
      <c r="AC94" t="s">
        <v>26</v>
      </c>
      <c r="AD94" t="s">
        <v>2337</v>
      </c>
      <c r="AE94" t="s">
        <v>2338</v>
      </c>
      <c r="AF94" t="s">
        <v>29</v>
      </c>
      <c r="AG94" t="s">
        <v>30</v>
      </c>
      <c r="AH94" t="s">
        <v>31</v>
      </c>
      <c r="AK94" t="s">
        <v>2337</v>
      </c>
      <c r="AL94" t="s">
        <v>1967</v>
      </c>
      <c r="AM94" t="s">
        <v>2322</v>
      </c>
      <c r="AN94" s="8">
        <v>8.847</v>
      </c>
      <c r="AO94">
        <v>199.694880401046</v>
      </c>
      <c r="AP94">
        <v>1558</v>
      </c>
      <c r="AQ94" s="9">
        <v>0.341584435401831</v>
      </c>
      <c r="AR94" t="s">
        <v>265</v>
      </c>
      <c r="AT94" s="15" t="s">
        <v>89</v>
      </c>
      <c r="AW94" s="11" t="str">
        <f t="shared" si="10"/>
        <v>EN_WOF_34_c02_BRA</v>
      </c>
      <c r="AX94" s="11">
        <f t="shared" si="11"/>
        <v>1558</v>
      </c>
      <c r="AY94" s="11">
        <f t="shared" si="12"/>
        <v>1558</v>
      </c>
      <c r="AZ94" s="17">
        <v>3</v>
      </c>
      <c r="BA94">
        <f t="shared" si="13"/>
        <v>15.58</v>
      </c>
    </row>
    <row r="95" spans="2:53">
      <c r="B95" t="s">
        <v>26</v>
      </c>
      <c r="C95" t="s">
        <v>2339</v>
      </c>
      <c r="D95" t="s">
        <v>2340</v>
      </c>
      <c r="E95" t="s">
        <v>29</v>
      </c>
      <c r="F95" t="s">
        <v>30</v>
      </c>
      <c r="G95" t="s">
        <v>31</v>
      </c>
      <c r="J95" t="s">
        <v>2339</v>
      </c>
      <c r="K95" t="s">
        <v>1967</v>
      </c>
      <c r="L95" t="s">
        <v>2116</v>
      </c>
      <c r="M95" s="8">
        <v>18.1965</v>
      </c>
      <c r="N95">
        <v>105.747516212372</v>
      </c>
      <c r="O95">
        <v>1554</v>
      </c>
      <c r="P95" s="9">
        <v>0.399</v>
      </c>
      <c r="Q95" t="s">
        <v>118</v>
      </c>
      <c r="T95" s="15" t="s">
        <v>119</v>
      </c>
      <c r="W95" s="16" t="str">
        <f t="shared" si="7"/>
        <v>EN_WON_40_c03_AUS</v>
      </c>
      <c r="X95" s="12">
        <f t="shared" si="8"/>
        <v>1554</v>
      </c>
      <c r="Y95" s="11">
        <f t="shared" si="9"/>
        <v>1554</v>
      </c>
      <c r="AC95" t="s">
        <v>26</v>
      </c>
      <c r="AD95" t="s">
        <v>2341</v>
      </c>
      <c r="AE95" t="s">
        <v>2342</v>
      </c>
      <c r="AF95" t="s">
        <v>29</v>
      </c>
      <c r="AG95" t="s">
        <v>30</v>
      </c>
      <c r="AH95" t="s">
        <v>31</v>
      </c>
      <c r="AK95" t="s">
        <v>2341</v>
      </c>
      <c r="AL95" t="s">
        <v>1967</v>
      </c>
      <c r="AM95" t="s">
        <v>2322</v>
      </c>
      <c r="AN95" s="8">
        <v>9.60675</v>
      </c>
      <c r="AO95">
        <v>199.694880401046</v>
      </c>
      <c r="AP95">
        <v>1558</v>
      </c>
      <c r="AQ95" s="9">
        <v>0.351490436411898</v>
      </c>
      <c r="AR95" t="s">
        <v>265</v>
      </c>
      <c r="AT95" s="15" t="s">
        <v>89</v>
      </c>
      <c r="AW95" s="11" t="str">
        <f t="shared" si="10"/>
        <v>EN_WOF_35_c02_BRA</v>
      </c>
      <c r="AX95" s="11">
        <f t="shared" si="11"/>
        <v>1558</v>
      </c>
      <c r="AY95" s="11">
        <f t="shared" si="12"/>
        <v>1558</v>
      </c>
      <c r="AZ95" s="17">
        <v>3</v>
      </c>
      <c r="BA95">
        <f t="shared" si="13"/>
        <v>15.58</v>
      </c>
    </row>
    <row r="96" spans="2:53">
      <c r="B96" t="s">
        <v>26</v>
      </c>
      <c r="C96" t="s">
        <v>2343</v>
      </c>
      <c r="D96" t="s">
        <v>2344</v>
      </c>
      <c r="E96" t="s">
        <v>29</v>
      </c>
      <c r="F96" t="s">
        <v>30</v>
      </c>
      <c r="G96" t="s">
        <v>31</v>
      </c>
      <c r="J96" t="s">
        <v>2343</v>
      </c>
      <c r="K96" t="s">
        <v>1967</v>
      </c>
      <c r="L96" t="s">
        <v>2116</v>
      </c>
      <c r="M96" s="8">
        <v>1.425</v>
      </c>
      <c r="N96">
        <v>0</v>
      </c>
      <c r="O96">
        <v>1554</v>
      </c>
      <c r="P96" s="9">
        <v>0.405505263157895</v>
      </c>
      <c r="Q96" t="s">
        <v>118</v>
      </c>
      <c r="T96" s="15" t="s">
        <v>119</v>
      </c>
      <c r="W96" s="16" t="str">
        <f t="shared" si="7"/>
        <v>EN_WON_41_c01_AUS</v>
      </c>
      <c r="X96" s="12">
        <f t="shared" si="8"/>
        <v>1554</v>
      </c>
      <c r="Y96" s="11">
        <f t="shared" si="9"/>
        <v>1554</v>
      </c>
      <c r="AC96" t="s">
        <v>26</v>
      </c>
      <c r="AD96" t="s">
        <v>2345</v>
      </c>
      <c r="AE96" t="s">
        <v>2346</v>
      </c>
      <c r="AF96" t="s">
        <v>29</v>
      </c>
      <c r="AG96" t="s">
        <v>30</v>
      </c>
      <c r="AH96" t="s">
        <v>31</v>
      </c>
      <c r="AK96" t="s">
        <v>2345</v>
      </c>
      <c r="AL96" t="s">
        <v>1967</v>
      </c>
      <c r="AM96" t="s">
        <v>2322</v>
      </c>
      <c r="AN96" s="8">
        <v>17.9415</v>
      </c>
      <c r="AO96">
        <v>199.694880401046</v>
      </c>
      <c r="AP96">
        <v>1558</v>
      </c>
      <c r="AQ96" s="9">
        <v>0.360671682969651</v>
      </c>
      <c r="AR96" t="s">
        <v>265</v>
      </c>
      <c r="AT96" s="15" t="s">
        <v>89</v>
      </c>
      <c r="AW96" s="11" t="str">
        <f t="shared" si="10"/>
        <v>EN_WOF_36_c02_BRA</v>
      </c>
      <c r="AX96" s="11">
        <f t="shared" si="11"/>
        <v>1558</v>
      </c>
      <c r="AY96" s="11">
        <f t="shared" si="12"/>
        <v>1558</v>
      </c>
      <c r="AZ96" s="17">
        <v>3</v>
      </c>
      <c r="BA96">
        <f t="shared" si="13"/>
        <v>15.58</v>
      </c>
    </row>
    <row r="97" spans="2:53">
      <c r="B97" t="s">
        <v>26</v>
      </c>
      <c r="C97" t="s">
        <v>2347</v>
      </c>
      <c r="D97" t="s">
        <v>2348</v>
      </c>
      <c r="E97" t="s">
        <v>29</v>
      </c>
      <c r="F97" t="s">
        <v>30</v>
      </c>
      <c r="G97" t="s">
        <v>31</v>
      </c>
      <c r="J97" t="s">
        <v>2347</v>
      </c>
      <c r="K97" t="s">
        <v>1967</v>
      </c>
      <c r="L97" t="s">
        <v>2116</v>
      </c>
      <c r="M97" s="8">
        <v>1.353</v>
      </c>
      <c r="N97">
        <v>80.7856561622413</v>
      </c>
      <c r="O97">
        <v>1554</v>
      </c>
      <c r="P97" s="9">
        <v>0.409</v>
      </c>
      <c r="Q97" t="s">
        <v>118</v>
      </c>
      <c r="T97" s="15" t="s">
        <v>119</v>
      </c>
      <c r="W97" s="16" t="str">
        <f t="shared" si="7"/>
        <v>EN_WON_41_c02_AUS</v>
      </c>
      <c r="X97" s="12">
        <f t="shared" si="8"/>
        <v>1554</v>
      </c>
      <c r="Y97" s="11">
        <f t="shared" si="9"/>
        <v>1554</v>
      </c>
      <c r="AC97" t="s">
        <v>26</v>
      </c>
      <c r="AD97" t="s">
        <v>2349</v>
      </c>
      <c r="AE97" t="s">
        <v>2350</v>
      </c>
      <c r="AF97" t="s">
        <v>29</v>
      </c>
      <c r="AG97" t="s">
        <v>30</v>
      </c>
      <c r="AH97" t="s">
        <v>31</v>
      </c>
      <c r="AK97" t="s">
        <v>2349</v>
      </c>
      <c r="AL97" t="s">
        <v>1967</v>
      </c>
      <c r="AM97" t="s">
        <v>2322</v>
      </c>
      <c r="AN97" s="8">
        <v>13.79625</v>
      </c>
      <c r="AO97">
        <v>199.694880401046</v>
      </c>
      <c r="AP97">
        <v>1558</v>
      </c>
      <c r="AQ97" s="9">
        <v>0.369434411524871</v>
      </c>
      <c r="AR97" t="s">
        <v>265</v>
      </c>
      <c r="AT97" s="15" t="s">
        <v>89</v>
      </c>
      <c r="AW97" s="11" t="str">
        <f t="shared" si="10"/>
        <v>EN_WOF_37_c02_BRA</v>
      </c>
      <c r="AX97" s="11">
        <f t="shared" si="11"/>
        <v>1558</v>
      </c>
      <c r="AY97" s="11">
        <f t="shared" si="12"/>
        <v>1558</v>
      </c>
      <c r="AZ97" s="17">
        <v>3</v>
      </c>
      <c r="BA97">
        <f t="shared" si="13"/>
        <v>15.58</v>
      </c>
    </row>
    <row r="98" spans="2:53">
      <c r="B98" t="s">
        <v>26</v>
      </c>
      <c r="C98" t="s">
        <v>2351</v>
      </c>
      <c r="D98" t="s">
        <v>2352</v>
      </c>
      <c r="E98" t="s">
        <v>29</v>
      </c>
      <c r="F98" t="s">
        <v>30</v>
      </c>
      <c r="G98" t="s">
        <v>31</v>
      </c>
      <c r="J98" t="s">
        <v>2351</v>
      </c>
      <c r="K98" t="s">
        <v>1967</v>
      </c>
      <c r="L98" t="s">
        <v>2116</v>
      </c>
      <c r="M98" s="8">
        <v>0.03</v>
      </c>
      <c r="N98">
        <v>0</v>
      </c>
      <c r="O98">
        <v>1554</v>
      </c>
      <c r="P98" s="9">
        <v>0.4202</v>
      </c>
      <c r="Q98" t="s">
        <v>118</v>
      </c>
      <c r="T98" s="15" t="s">
        <v>119</v>
      </c>
      <c r="W98" s="16" t="str">
        <f t="shared" si="7"/>
        <v>EN_WON_42_c01_AUS</v>
      </c>
      <c r="X98" s="12">
        <f t="shared" si="8"/>
        <v>1554</v>
      </c>
      <c r="Y98" s="11">
        <f t="shared" si="9"/>
        <v>1554</v>
      </c>
      <c r="AC98" t="s">
        <v>26</v>
      </c>
      <c r="AD98" t="s">
        <v>2353</v>
      </c>
      <c r="AE98" t="s">
        <v>2354</v>
      </c>
      <c r="AF98" t="s">
        <v>29</v>
      </c>
      <c r="AG98" t="s">
        <v>30</v>
      </c>
      <c r="AH98" t="s">
        <v>31</v>
      </c>
      <c r="AK98" t="s">
        <v>2353</v>
      </c>
      <c r="AL98" t="s">
        <v>1967</v>
      </c>
      <c r="AM98" t="s">
        <v>2322</v>
      </c>
      <c r="AN98" s="8">
        <v>24.54225</v>
      </c>
      <c r="AO98">
        <v>199.694880401046</v>
      </c>
      <c r="AP98">
        <v>1558</v>
      </c>
      <c r="AQ98" s="9">
        <v>0.380276808361092</v>
      </c>
      <c r="AR98" t="s">
        <v>265</v>
      </c>
      <c r="AT98" s="15" t="s">
        <v>89</v>
      </c>
      <c r="AW98" s="11" t="str">
        <f t="shared" si="10"/>
        <v>EN_WOF_38_c02_BRA</v>
      </c>
      <c r="AX98" s="11">
        <f t="shared" si="11"/>
        <v>1558</v>
      </c>
      <c r="AY98" s="11">
        <f t="shared" si="12"/>
        <v>1558</v>
      </c>
      <c r="AZ98" s="17">
        <v>3</v>
      </c>
      <c r="BA98">
        <f t="shared" si="13"/>
        <v>15.58</v>
      </c>
    </row>
    <row r="99" spans="2:53">
      <c r="B99" t="s">
        <v>26</v>
      </c>
      <c r="C99" t="s">
        <v>2355</v>
      </c>
      <c r="D99" t="s">
        <v>2356</v>
      </c>
      <c r="E99" t="s">
        <v>29</v>
      </c>
      <c r="F99" t="s">
        <v>30</v>
      </c>
      <c r="G99" t="s">
        <v>31</v>
      </c>
      <c r="J99" t="s">
        <v>2355</v>
      </c>
      <c r="K99" t="s">
        <v>1967</v>
      </c>
      <c r="L99" t="s">
        <v>2116</v>
      </c>
      <c r="M99" s="8">
        <v>4.0755</v>
      </c>
      <c r="N99">
        <v>105.747516212372</v>
      </c>
      <c r="O99">
        <v>1554</v>
      </c>
      <c r="P99" s="9">
        <v>0.422488038277512</v>
      </c>
      <c r="Q99" t="s">
        <v>118</v>
      </c>
      <c r="T99" s="15" t="s">
        <v>119</v>
      </c>
      <c r="W99" s="16" t="str">
        <f t="shared" si="7"/>
        <v>EN_WON_42_c03_AUS</v>
      </c>
      <c r="X99" s="12">
        <f t="shared" si="8"/>
        <v>1554</v>
      </c>
      <c r="Y99" s="11">
        <f t="shared" si="9"/>
        <v>1554</v>
      </c>
      <c r="AC99" t="s">
        <v>26</v>
      </c>
      <c r="AD99" t="s">
        <v>2357</v>
      </c>
      <c r="AE99" t="s">
        <v>2358</v>
      </c>
      <c r="AF99" t="s">
        <v>29</v>
      </c>
      <c r="AG99" t="s">
        <v>30</v>
      </c>
      <c r="AH99" t="s">
        <v>31</v>
      </c>
      <c r="AK99" t="s">
        <v>2357</v>
      </c>
      <c r="AL99" t="s">
        <v>1967</v>
      </c>
      <c r="AM99" t="s">
        <v>2322</v>
      </c>
      <c r="AN99" s="8">
        <v>5.214</v>
      </c>
      <c r="AO99">
        <v>199.694880401046</v>
      </c>
      <c r="AP99">
        <v>1558</v>
      </c>
      <c r="AQ99" s="9">
        <v>0.388923475258918</v>
      </c>
      <c r="AR99" t="s">
        <v>265</v>
      </c>
      <c r="AT99" s="15" t="s">
        <v>89</v>
      </c>
      <c r="AW99" s="11" t="str">
        <f t="shared" si="10"/>
        <v>EN_WOF_39_c02_BRA</v>
      </c>
      <c r="AX99" s="11">
        <f t="shared" si="11"/>
        <v>1558</v>
      </c>
      <c r="AY99" s="11">
        <f t="shared" si="12"/>
        <v>1558</v>
      </c>
      <c r="AZ99" s="17">
        <v>3</v>
      </c>
      <c r="BA99">
        <f t="shared" si="13"/>
        <v>15.58</v>
      </c>
    </row>
    <row r="100" spans="2:53">
      <c r="B100" t="s">
        <v>26</v>
      </c>
      <c r="C100" t="s">
        <v>2359</v>
      </c>
      <c r="D100" t="s">
        <v>2360</v>
      </c>
      <c r="E100" t="s">
        <v>29</v>
      </c>
      <c r="F100" t="s">
        <v>30</v>
      </c>
      <c r="G100" t="s">
        <v>31</v>
      </c>
      <c r="J100" t="s">
        <v>2359</v>
      </c>
      <c r="K100" t="s">
        <v>1967</v>
      </c>
      <c r="L100" t="s">
        <v>2116</v>
      </c>
      <c r="M100" s="8">
        <v>0.0075</v>
      </c>
      <c r="N100">
        <v>0</v>
      </c>
      <c r="O100">
        <v>1554</v>
      </c>
      <c r="P100" s="9">
        <v>0.453</v>
      </c>
      <c r="Q100" t="s">
        <v>118</v>
      </c>
      <c r="T100" s="15" t="s">
        <v>119</v>
      </c>
      <c r="W100" s="16" t="str">
        <f t="shared" si="7"/>
        <v>EN_WON_45_c01_AUS</v>
      </c>
      <c r="X100" s="12">
        <f t="shared" si="8"/>
        <v>1554</v>
      </c>
      <c r="Y100" s="11">
        <f t="shared" si="9"/>
        <v>1554</v>
      </c>
      <c r="AC100" t="s">
        <v>26</v>
      </c>
      <c r="AD100" t="s">
        <v>2361</v>
      </c>
      <c r="AE100" t="s">
        <v>2362</v>
      </c>
      <c r="AF100" t="s">
        <v>29</v>
      </c>
      <c r="AG100" t="s">
        <v>30</v>
      </c>
      <c r="AH100" t="s">
        <v>31</v>
      </c>
      <c r="AK100" t="s">
        <v>2361</v>
      </c>
      <c r="AL100" t="s">
        <v>1967</v>
      </c>
      <c r="AM100" t="s">
        <v>2322</v>
      </c>
      <c r="AN100" s="8">
        <v>47.47575</v>
      </c>
      <c r="AO100">
        <v>199.694880401046</v>
      </c>
      <c r="AP100">
        <v>1558</v>
      </c>
      <c r="AQ100" s="9">
        <v>0.399991105985688</v>
      </c>
      <c r="AR100" t="s">
        <v>265</v>
      </c>
      <c r="AT100" s="15" t="s">
        <v>89</v>
      </c>
      <c r="AW100" s="11" t="str">
        <f t="shared" si="10"/>
        <v>EN_WOF_40_c02_BRA</v>
      </c>
      <c r="AX100" s="11">
        <f t="shared" si="11"/>
        <v>1558</v>
      </c>
      <c r="AY100" s="11">
        <f t="shared" si="12"/>
        <v>1558</v>
      </c>
      <c r="AZ100" s="17">
        <v>3</v>
      </c>
      <c r="BA100">
        <f t="shared" si="13"/>
        <v>15.58</v>
      </c>
    </row>
    <row r="101" spans="2:53">
      <c r="B101" t="s">
        <v>26</v>
      </c>
      <c r="C101" t="s">
        <v>2363</v>
      </c>
      <c r="D101" t="s">
        <v>2364</v>
      </c>
      <c r="E101" t="s">
        <v>29</v>
      </c>
      <c r="F101" t="s">
        <v>30</v>
      </c>
      <c r="G101" t="s">
        <v>31</v>
      </c>
      <c r="J101" t="s">
        <v>2363</v>
      </c>
      <c r="K101" t="s">
        <v>1967</v>
      </c>
      <c r="L101" t="s">
        <v>2116</v>
      </c>
      <c r="M101" s="8">
        <v>0.036</v>
      </c>
      <c r="N101">
        <v>0</v>
      </c>
      <c r="O101">
        <v>1554</v>
      </c>
      <c r="P101" s="9">
        <v>0.462</v>
      </c>
      <c r="Q101" t="s">
        <v>118</v>
      </c>
      <c r="T101" s="15" t="s">
        <v>119</v>
      </c>
      <c r="W101" s="16" t="str">
        <f t="shared" si="7"/>
        <v>EN_WON_46_c01_AUS</v>
      </c>
      <c r="X101" s="12">
        <f t="shared" si="8"/>
        <v>1554</v>
      </c>
      <c r="Y101" s="11">
        <f t="shared" si="9"/>
        <v>1554</v>
      </c>
      <c r="AC101" t="s">
        <v>26</v>
      </c>
      <c r="AD101" t="s">
        <v>2365</v>
      </c>
      <c r="AE101" t="s">
        <v>2366</v>
      </c>
      <c r="AF101" t="s">
        <v>29</v>
      </c>
      <c r="AG101" t="s">
        <v>30</v>
      </c>
      <c r="AH101" t="s">
        <v>31</v>
      </c>
      <c r="AK101" t="s">
        <v>2365</v>
      </c>
      <c r="AL101" t="s">
        <v>1967</v>
      </c>
      <c r="AM101" t="s">
        <v>2322</v>
      </c>
      <c r="AN101" s="8">
        <v>26.36475</v>
      </c>
      <c r="AO101">
        <v>199.694880401046</v>
      </c>
      <c r="AP101">
        <v>1558</v>
      </c>
      <c r="AQ101" s="9">
        <v>0.408700338520183</v>
      </c>
      <c r="AR101" t="s">
        <v>265</v>
      </c>
      <c r="AT101" s="15" t="s">
        <v>89</v>
      </c>
      <c r="AW101" s="11" t="str">
        <f t="shared" si="10"/>
        <v>EN_WOF_41_c02_BRA</v>
      </c>
      <c r="AX101" s="11">
        <f t="shared" si="11"/>
        <v>1558</v>
      </c>
      <c r="AY101" s="11">
        <f t="shared" si="12"/>
        <v>1558</v>
      </c>
      <c r="AZ101" s="17">
        <v>3</v>
      </c>
      <c r="BA101">
        <f t="shared" si="13"/>
        <v>15.58</v>
      </c>
    </row>
    <row r="102" spans="2:53">
      <c r="B102" t="s">
        <v>26</v>
      </c>
      <c r="C102" t="s">
        <v>2367</v>
      </c>
      <c r="D102" t="s">
        <v>2368</v>
      </c>
      <c r="E102" t="s">
        <v>29</v>
      </c>
      <c r="F102" t="s">
        <v>30</v>
      </c>
      <c r="G102" t="s">
        <v>31</v>
      </c>
      <c r="J102" t="s">
        <v>2367</v>
      </c>
      <c r="K102" t="s">
        <v>1967</v>
      </c>
      <c r="L102" t="s">
        <v>2116</v>
      </c>
      <c r="M102" s="8">
        <v>0.06</v>
      </c>
      <c r="N102">
        <v>0</v>
      </c>
      <c r="O102">
        <v>1554</v>
      </c>
      <c r="P102" s="9">
        <v>0.467225</v>
      </c>
      <c r="Q102" t="s">
        <v>118</v>
      </c>
      <c r="T102" s="15" t="s">
        <v>119</v>
      </c>
      <c r="W102" s="16" t="str">
        <f t="shared" si="7"/>
        <v>EN_WON_47_c01_AUS</v>
      </c>
      <c r="X102" s="12">
        <f t="shared" si="8"/>
        <v>1554</v>
      </c>
      <c r="Y102" s="11">
        <f t="shared" si="9"/>
        <v>1554</v>
      </c>
      <c r="AC102" t="s">
        <v>26</v>
      </c>
      <c r="AD102" t="s">
        <v>2369</v>
      </c>
      <c r="AE102" t="s">
        <v>2370</v>
      </c>
      <c r="AF102" t="s">
        <v>29</v>
      </c>
      <c r="AG102" t="s">
        <v>30</v>
      </c>
      <c r="AH102" t="s">
        <v>31</v>
      </c>
      <c r="AK102" t="s">
        <v>2369</v>
      </c>
      <c r="AL102" t="s">
        <v>1967</v>
      </c>
      <c r="AM102" t="s">
        <v>2322</v>
      </c>
      <c r="AN102" s="8">
        <v>43.58775</v>
      </c>
      <c r="AO102">
        <v>199.694880401046</v>
      </c>
      <c r="AP102">
        <v>1558</v>
      </c>
      <c r="AQ102" s="9">
        <v>0.419310769654318</v>
      </c>
      <c r="AR102" t="s">
        <v>265</v>
      </c>
      <c r="AT102" s="15" t="s">
        <v>89</v>
      </c>
      <c r="AW102" s="11" t="str">
        <f t="shared" si="10"/>
        <v>EN_WOF_42_c02_BRA</v>
      </c>
      <c r="AX102" s="11">
        <f t="shared" si="11"/>
        <v>1558</v>
      </c>
      <c r="AY102" s="11">
        <f t="shared" si="12"/>
        <v>1558</v>
      </c>
      <c r="AZ102" s="17">
        <v>3</v>
      </c>
      <c r="BA102">
        <f t="shared" si="13"/>
        <v>15.58</v>
      </c>
    </row>
    <row r="103" spans="2:53">
      <c r="B103" t="s">
        <v>26</v>
      </c>
      <c r="C103" t="s">
        <v>2371</v>
      </c>
      <c r="D103" t="s">
        <v>2372</v>
      </c>
      <c r="E103" t="s">
        <v>29</v>
      </c>
      <c r="F103" t="s">
        <v>30</v>
      </c>
      <c r="G103" t="s">
        <v>31</v>
      </c>
      <c r="J103" t="s">
        <v>2371</v>
      </c>
      <c r="K103" t="s">
        <v>1967</v>
      </c>
      <c r="L103" t="s">
        <v>2116</v>
      </c>
      <c r="M103" s="8">
        <v>0.0375</v>
      </c>
      <c r="N103">
        <v>0</v>
      </c>
      <c r="O103">
        <v>1554</v>
      </c>
      <c r="P103" s="9">
        <v>0.486</v>
      </c>
      <c r="Q103" t="s">
        <v>118</v>
      </c>
      <c r="T103" s="15" t="s">
        <v>119</v>
      </c>
      <c r="W103" s="16" t="str">
        <f t="shared" si="7"/>
        <v>EN_WON_49_c01_AUS</v>
      </c>
      <c r="X103" s="12">
        <f t="shared" si="8"/>
        <v>1554</v>
      </c>
      <c r="Y103" s="11">
        <f t="shared" si="9"/>
        <v>1554</v>
      </c>
      <c r="AC103" t="s">
        <v>26</v>
      </c>
      <c r="AD103" t="s">
        <v>2373</v>
      </c>
      <c r="AE103" t="s">
        <v>2374</v>
      </c>
      <c r="AF103" t="s">
        <v>29</v>
      </c>
      <c r="AG103" t="s">
        <v>30</v>
      </c>
      <c r="AH103" t="s">
        <v>31</v>
      </c>
      <c r="AK103" t="s">
        <v>2373</v>
      </c>
      <c r="AL103" t="s">
        <v>1967</v>
      </c>
      <c r="AM103" t="s">
        <v>2322</v>
      </c>
      <c r="AN103" s="8">
        <v>25.89825</v>
      </c>
      <c r="AO103">
        <v>199.694880401046</v>
      </c>
      <c r="AP103">
        <v>1558</v>
      </c>
      <c r="AQ103" s="9">
        <v>0.429139266166633</v>
      </c>
      <c r="AR103" t="s">
        <v>265</v>
      </c>
      <c r="AT103" s="15" t="s">
        <v>89</v>
      </c>
      <c r="AW103" s="11" t="str">
        <f t="shared" si="10"/>
        <v>EN_WOF_43_c02_BRA</v>
      </c>
      <c r="AX103" s="11">
        <f t="shared" si="11"/>
        <v>1558</v>
      </c>
      <c r="AY103" s="11">
        <f t="shared" si="12"/>
        <v>1558</v>
      </c>
      <c r="AZ103" s="17">
        <v>3</v>
      </c>
      <c r="BA103">
        <f t="shared" si="13"/>
        <v>15.58</v>
      </c>
    </row>
    <row r="104" spans="2:53">
      <c r="B104" t="s">
        <v>26</v>
      </c>
      <c r="C104" t="s">
        <v>2375</v>
      </c>
      <c r="D104" t="s">
        <v>2376</v>
      </c>
      <c r="E104" t="s">
        <v>29</v>
      </c>
      <c r="F104" t="s">
        <v>30</v>
      </c>
      <c r="G104" t="s">
        <v>31</v>
      </c>
      <c r="J104" t="s">
        <v>2375</v>
      </c>
      <c r="K104" t="s">
        <v>1967</v>
      </c>
      <c r="L104" t="s">
        <v>2116</v>
      </c>
      <c r="M104" s="8">
        <v>0.012</v>
      </c>
      <c r="N104">
        <v>80.7856561622413</v>
      </c>
      <c r="O104">
        <v>1554</v>
      </c>
      <c r="P104" s="9">
        <v>0.499</v>
      </c>
      <c r="Q104" t="s">
        <v>118</v>
      </c>
      <c r="T104" s="15" t="s">
        <v>119</v>
      </c>
      <c r="W104" s="16" t="str">
        <f t="shared" si="7"/>
        <v>EN_WON_50_c02_AUS</v>
      </c>
      <c r="X104" s="12">
        <f t="shared" si="8"/>
        <v>1554</v>
      </c>
      <c r="Y104" s="11">
        <f t="shared" si="9"/>
        <v>1554</v>
      </c>
      <c r="AC104" t="s">
        <v>26</v>
      </c>
      <c r="AD104" t="s">
        <v>2377</v>
      </c>
      <c r="AE104" t="s">
        <v>2378</v>
      </c>
      <c r="AF104" t="s">
        <v>29</v>
      </c>
      <c r="AG104" t="s">
        <v>30</v>
      </c>
      <c r="AH104" t="s">
        <v>31</v>
      </c>
      <c r="AK104" t="s">
        <v>2377</v>
      </c>
      <c r="AL104" t="s">
        <v>1967</v>
      </c>
      <c r="AM104" t="s">
        <v>2322</v>
      </c>
      <c r="AN104" s="8">
        <v>98.1375</v>
      </c>
      <c r="AO104">
        <v>199.694880401046</v>
      </c>
      <c r="AP104">
        <v>1558</v>
      </c>
      <c r="AQ104" s="9">
        <v>0.440713022544899</v>
      </c>
      <c r="AR104" t="s">
        <v>265</v>
      </c>
      <c r="AT104" s="15" t="s">
        <v>89</v>
      </c>
      <c r="AW104" s="11" t="str">
        <f t="shared" si="10"/>
        <v>EN_WOF_44_c02_BRA</v>
      </c>
      <c r="AX104" s="11">
        <f t="shared" si="11"/>
        <v>1558</v>
      </c>
      <c r="AY104" s="11">
        <f t="shared" si="12"/>
        <v>1558</v>
      </c>
      <c r="AZ104" s="17">
        <v>3</v>
      </c>
      <c r="BA104">
        <f t="shared" si="13"/>
        <v>15.58</v>
      </c>
    </row>
    <row r="105" spans="2:53">
      <c r="B105" t="s">
        <v>26</v>
      </c>
      <c r="C105" t="s">
        <v>2379</v>
      </c>
      <c r="D105" t="s">
        <v>2380</v>
      </c>
      <c r="E105" t="s">
        <v>29</v>
      </c>
      <c r="F105" t="s">
        <v>30</v>
      </c>
      <c r="G105" t="s">
        <v>31</v>
      </c>
      <c r="J105" t="s">
        <v>2379</v>
      </c>
      <c r="K105" t="s">
        <v>1967</v>
      </c>
      <c r="L105" t="s">
        <v>2381</v>
      </c>
      <c r="M105" s="8">
        <v>7.95525</v>
      </c>
      <c r="N105">
        <v>105.747516212372</v>
      </c>
      <c r="O105">
        <v>1779</v>
      </c>
      <c r="P105" s="9">
        <v>0.232</v>
      </c>
      <c r="Q105" t="s">
        <v>123</v>
      </c>
      <c r="T105" s="15" t="s">
        <v>69</v>
      </c>
      <c r="W105" s="16" t="str">
        <f t="shared" si="7"/>
        <v>EN_WON_23_c03_AUT</v>
      </c>
      <c r="X105" s="12">
        <f t="shared" si="8"/>
        <v>1779</v>
      </c>
      <c r="Y105" s="11">
        <f t="shared" si="9"/>
        <v>1779</v>
      </c>
      <c r="AC105" t="s">
        <v>26</v>
      </c>
      <c r="AD105" t="s">
        <v>2382</v>
      </c>
      <c r="AE105" t="s">
        <v>2383</v>
      </c>
      <c r="AF105" t="s">
        <v>29</v>
      </c>
      <c r="AG105" t="s">
        <v>30</v>
      </c>
      <c r="AH105" t="s">
        <v>31</v>
      </c>
      <c r="AK105" t="s">
        <v>2382</v>
      </c>
      <c r="AL105" t="s">
        <v>1967</v>
      </c>
      <c r="AM105" t="s">
        <v>2322</v>
      </c>
      <c r="AN105" s="8">
        <v>66.78375</v>
      </c>
      <c r="AO105">
        <v>199.694880401046</v>
      </c>
      <c r="AP105">
        <v>1558</v>
      </c>
      <c r="AQ105" s="9">
        <v>0.449575394463474</v>
      </c>
      <c r="AR105" t="s">
        <v>265</v>
      </c>
      <c r="AT105" s="15" t="s">
        <v>89</v>
      </c>
      <c r="AW105" s="11" t="str">
        <f t="shared" si="10"/>
        <v>EN_WOF_45_c02_BRA</v>
      </c>
      <c r="AX105" s="11">
        <f t="shared" si="11"/>
        <v>1558</v>
      </c>
      <c r="AY105" s="11">
        <f t="shared" si="12"/>
        <v>1558</v>
      </c>
      <c r="AZ105" s="17">
        <v>3</v>
      </c>
      <c r="BA105">
        <f t="shared" si="13"/>
        <v>15.58</v>
      </c>
    </row>
    <row r="106" spans="2:53">
      <c r="B106" t="s">
        <v>26</v>
      </c>
      <c r="C106" t="s">
        <v>2384</v>
      </c>
      <c r="D106" t="s">
        <v>2385</v>
      </c>
      <c r="E106" t="s">
        <v>29</v>
      </c>
      <c r="F106" t="s">
        <v>30</v>
      </c>
      <c r="G106" t="s">
        <v>31</v>
      </c>
      <c r="J106" t="s">
        <v>2384</v>
      </c>
      <c r="K106" t="s">
        <v>1967</v>
      </c>
      <c r="L106" t="s">
        <v>2381</v>
      </c>
      <c r="M106" s="8">
        <v>7.929</v>
      </c>
      <c r="N106">
        <v>80.7856561622413</v>
      </c>
      <c r="O106">
        <v>1779</v>
      </c>
      <c r="P106" s="9">
        <v>0.236</v>
      </c>
      <c r="Q106" t="s">
        <v>123</v>
      </c>
      <c r="T106" s="15" t="s">
        <v>69</v>
      </c>
      <c r="W106" s="16" t="str">
        <f t="shared" si="7"/>
        <v>EN_WON_24_c02_AUT</v>
      </c>
      <c r="X106" s="12">
        <f t="shared" si="8"/>
        <v>1779</v>
      </c>
      <c r="Y106" s="11">
        <f t="shared" si="9"/>
        <v>1779</v>
      </c>
      <c r="AC106" t="s">
        <v>26</v>
      </c>
      <c r="AD106" t="s">
        <v>2386</v>
      </c>
      <c r="AE106" t="s">
        <v>2387</v>
      </c>
      <c r="AF106" t="s">
        <v>29</v>
      </c>
      <c r="AG106" t="s">
        <v>30</v>
      </c>
      <c r="AH106" t="s">
        <v>31</v>
      </c>
      <c r="AK106" t="s">
        <v>2386</v>
      </c>
      <c r="AL106" t="s">
        <v>1967</v>
      </c>
      <c r="AM106" t="s">
        <v>2322</v>
      </c>
      <c r="AN106" s="8">
        <v>48.67425</v>
      </c>
      <c r="AO106">
        <v>199.694880401046</v>
      </c>
      <c r="AP106">
        <v>1558</v>
      </c>
      <c r="AQ106" s="9">
        <v>0.459195781136844</v>
      </c>
      <c r="AR106" t="s">
        <v>265</v>
      </c>
      <c r="AT106" s="15" t="s">
        <v>89</v>
      </c>
      <c r="AW106" s="11" t="str">
        <f t="shared" si="10"/>
        <v>EN_WOF_46_c02_BRA</v>
      </c>
      <c r="AX106" s="11">
        <f t="shared" si="11"/>
        <v>1558</v>
      </c>
      <c r="AY106" s="11">
        <f t="shared" si="12"/>
        <v>1558</v>
      </c>
      <c r="AZ106" s="17">
        <v>3</v>
      </c>
      <c r="BA106">
        <f t="shared" si="13"/>
        <v>15.58</v>
      </c>
    </row>
    <row r="107" spans="2:53">
      <c r="B107" t="s">
        <v>26</v>
      </c>
      <c r="C107" t="s">
        <v>2388</v>
      </c>
      <c r="D107" t="s">
        <v>2389</v>
      </c>
      <c r="E107" t="s">
        <v>29</v>
      </c>
      <c r="F107" t="s">
        <v>30</v>
      </c>
      <c r="G107" t="s">
        <v>31</v>
      </c>
      <c r="J107" t="s">
        <v>2388</v>
      </c>
      <c r="K107" t="s">
        <v>1967</v>
      </c>
      <c r="L107" t="s">
        <v>2381</v>
      </c>
      <c r="M107" s="8">
        <v>15.49125</v>
      </c>
      <c r="N107">
        <v>105.747516212372</v>
      </c>
      <c r="O107">
        <v>1779</v>
      </c>
      <c r="P107" s="9">
        <v>0.250105640280804</v>
      </c>
      <c r="Q107" t="s">
        <v>123</v>
      </c>
      <c r="T107" s="15" t="s">
        <v>69</v>
      </c>
      <c r="W107" s="16" t="str">
        <f t="shared" si="7"/>
        <v>EN_WON_25_c03_AUT</v>
      </c>
      <c r="X107" s="12">
        <f t="shared" si="8"/>
        <v>1779</v>
      </c>
      <c r="Y107" s="11">
        <f t="shared" si="9"/>
        <v>1779</v>
      </c>
      <c r="AC107" t="s">
        <v>26</v>
      </c>
      <c r="AD107" t="s">
        <v>2390</v>
      </c>
      <c r="AE107" t="s">
        <v>2391</v>
      </c>
      <c r="AF107" t="s">
        <v>29</v>
      </c>
      <c r="AG107" t="s">
        <v>30</v>
      </c>
      <c r="AH107" t="s">
        <v>31</v>
      </c>
      <c r="AK107" t="s">
        <v>2390</v>
      </c>
      <c r="AL107" t="s">
        <v>1967</v>
      </c>
      <c r="AM107" t="s">
        <v>2322</v>
      </c>
      <c r="AN107" s="8">
        <v>19.22625</v>
      </c>
      <c r="AO107">
        <v>199.694880401046</v>
      </c>
      <c r="AP107">
        <v>1558</v>
      </c>
      <c r="AQ107" s="9">
        <v>0.466674819582602</v>
      </c>
      <c r="AR107" t="s">
        <v>265</v>
      </c>
      <c r="AT107" s="15" t="s">
        <v>89</v>
      </c>
      <c r="AW107" s="11" t="str">
        <f t="shared" si="10"/>
        <v>EN_WOF_47_c02_BRA</v>
      </c>
      <c r="AX107" s="11">
        <f t="shared" si="11"/>
        <v>1558</v>
      </c>
      <c r="AY107" s="11">
        <f t="shared" si="12"/>
        <v>1558</v>
      </c>
      <c r="AZ107" s="17">
        <v>3</v>
      </c>
      <c r="BA107">
        <f t="shared" si="13"/>
        <v>15.58</v>
      </c>
    </row>
    <row r="108" spans="2:53">
      <c r="B108" t="s">
        <v>26</v>
      </c>
      <c r="C108" t="s">
        <v>2392</v>
      </c>
      <c r="D108" t="s">
        <v>2393</v>
      </c>
      <c r="E108" t="s">
        <v>29</v>
      </c>
      <c r="F108" t="s">
        <v>30</v>
      </c>
      <c r="G108" t="s">
        <v>31</v>
      </c>
      <c r="J108" t="s">
        <v>2392</v>
      </c>
      <c r="K108" t="s">
        <v>1967</v>
      </c>
      <c r="L108" t="s">
        <v>2381</v>
      </c>
      <c r="M108" s="8">
        <v>6.00975</v>
      </c>
      <c r="N108">
        <v>105.747516212372</v>
      </c>
      <c r="O108">
        <v>1779</v>
      </c>
      <c r="P108" s="9">
        <v>0.255</v>
      </c>
      <c r="Q108" t="s">
        <v>123</v>
      </c>
      <c r="T108" s="15" t="s">
        <v>69</v>
      </c>
      <c r="W108" s="16" t="str">
        <f t="shared" si="7"/>
        <v>EN_WON_26_c03_AUT</v>
      </c>
      <c r="X108" s="12">
        <f t="shared" si="8"/>
        <v>1779</v>
      </c>
      <c r="Y108" s="11">
        <f t="shared" si="9"/>
        <v>1779</v>
      </c>
      <c r="AC108" t="s">
        <v>26</v>
      </c>
      <c r="AD108" t="s">
        <v>2394</v>
      </c>
      <c r="AE108" t="s">
        <v>2395</v>
      </c>
      <c r="AF108" t="s">
        <v>29</v>
      </c>
      <c r="AG108" t="s">
        <v>30</v>
      </c>
      <c r="AH108" t="s">
        <v>31</v>
      </c>
      <c r="AK108" t="s">
        <v>2394</v>
      </c>
      <c r="AL108" t="s">
        <v>1967</v>
      </c>
      <c r="AM108" t="s">
        <v>2322</v>
      </c>
      <c r="AN108" s="8">
        <v>1.04775</v>
      </c>
      <c r="AO108">
        <v>199.694880401046</v>
      </c>
      <c r="AP108">
        <v>1558</v>
      </c>
      <c r="AQ108" s="9">
        <v>0.479</v>
      </c>
      <c r="AR108" t="s">
        <v>265</v>
      </c>
      <c r="AT108" s="15" t="s">
        <v>89</v>
      </c>
      <c r="AW108" s="11" t="str">
        <f t="shared" si="10"/>
        <v>EN_WOF_48_c02_BRA</v>
      </c>
      <c r="AX108" s="11">
        <f t="shared" si="11"/>
        <v>1558</v>
      </c>
      <c r="AY108" s="11">
        <f t="shared" si="12"/>
        <v>1558</v>
      </c>
      <c r="AZ108" s="17">
        <v>3</v>
      </c>
      <c r="BA108">
        <f t="shared" si="13"/>
        <v>15.58</v>
      </c>
    </row>
    <row r="109" spans="2:53">
      <c r="B109" t="s">
        <v>26</v>
      </c>
      <c r="C109" t="s">
        <v>2396</v>
      </c>
      <c r="D109" t="s">
        <v>2397</v>
      </c>
      <c r="E109" t="s">
        <v>29</v>
      </c>
      <c r="F109" t="s">
        <v>30</v>
      </c>
      <c r="G109" t="s">
        <v>31</v>
      </c>
      <c r="J109" t="s">
        <v>2396</v>
      </c>
      <c r="K109" t="s">
        <v>1967</v>
      </c>
      <c r="L109" t="s">
        <v>2381</v>
      </c>
      <c r="M109" s="8">
        <v>15.55275</v>
      </c>
      <c r="N109">
        <v>80.7856561622413</v>
      </c>
      <c r="O109">
        <v>1779</v>
      </c>
      <c r="P109" s="9">
        <v>0.268</v>
      </c>
      <c r="Q109" t="s">
        <v>123</v>
      </c>
      <c r="T109" s="15" t="s">
        <v>69</v>
      </c>
      <c r="W109" s="16" t="str">
        <f t="shared" si="7"/>
        <v>EN_WON_27_c02_AUT</v>
      </c>
      <c r="X109" s="12">
        <f t="shared" si="8"/>
        <v>1779</v>
      </c>
      <c r="Y109" s="11">
        <f t="shared" si="9"/>
        <v>1779</v>
      </c>
      <c r="AC109" t="s">
        <v>26</v>
      </c>
      <c r="AD109" t="s">
        <v>2398</v>
      </c>
      <c r="AE109" t="s">
        <v>2399</v>
      </c>
      <c r="AF109" t="s">
        <v>29</v>
      </c>
      <c r="AG109" t="s">
        <v>30</v>
      </c>
      <c r="AH109" t="s">
        <v>31</v>
      </c>
      <c r="AK109" t="s">
        <v>2398</v>
      </c>
      <c r="AL109" t="s">
        <v>1967</v>
      </c>
      <c r="AM109" t="s">
        <v>2322</v>
      </c>
      <c r="AN109" s="8">
        <v>0.61575</v>
      </c>
      <c r="AO109">
        <v>199.694880401046</v>
      </c>
      <c r="AP109">
        <v>1558</v>
      </c>
      <c r="AQ109" s="9">
        <v>0.501</v>
      </c>
      <c r="AR109" t="s">
        <v>265</v>
      </c>
      <c r="AT109" s="15" t="s">
        <v>89</v>
      </c>
      <c r="AW109" s="11" t="str">
        <f t="shared" si="10"/>
        <v>EN_WOF_50_c02_BRA</v>
      </c>
      <c r="AX109" s="11">
        <f t="shared" si="11"/>
        <v>1558</v>
      </c>
      <c r="AY109" s="11">
        <f t="shared" si="12"/>
        <v>1558</v>
      </c>
      <c r="AZ109" s="17">
        <v>3</v>
      </c>
      <c r="BA109">
        <f t="shared" si="13"/>
        <v>15.58</v>
      </c>
    </row>
    <row r="110" spans="2:53">
      <c r="B110" t="s">
        <v>26</v>
      </c>
      <c r="C110" t="s">
        <v>2400</v>
      </c>
      <c r="D110" t="s">
        <v>2401</v>
      </c>
      <c r="E110" t="s">
        <v>29</v>
      </c>
      <c r="F110" t="s">
        <v>30</v>
      </c>
      <c r="G110" t="s">
        <v>31</v>
      </c>
      <c r="J110" t="s">
        <v>2400</v>
      </c>
      <c r="K110" t="s">
        <v>1967</v>
      </c>
      <c r="L110" t="s">
        <v>2381</v>
      </c>
      <c r="M110" s="8">
        <v>14.9445</v>
      </c>
      <c r="N110">
        <v>0</v>
      </c>
      <c r="O110">
        <v>1779</v>
      </c>
      <c r="P110" s="9">
        <v>0.290521529659741</v>
      </c>
      <c r="Q110" t="s">
        <v>123</v>
      </c>
      <c r="T110" s="15" t="s">
        <v>69</v>
      </c>
      <c r="W110" s="16" t="str">
        <f t="shared" si="7"/>
        <v>EN_WON_29_c01_AUT</v>
      </c>
      <c r="X110" s="12">
        <f t="shared" si="8"/>
        <v>1779</v>
      </c>
      <c r="Y110" s="11">
        <f t="shared" si="9"/>
        <v>1779</v>
      </c>
      <c r="AC110" t="s">
        <v>26</v>
      </c>
      <c r="AD110" t="s">
        <v>2402</v>
      </c>
      <c r="AE110" t="s">
        <v>2403</v>
      </c>
      <c r="AF110" t="s">
        <v>29</v>
      </c>
      <c r="AG110" t="s">
        <v>30</v>
      </c>
      <c r="AH110" t="s">
        <v>31</v>
      </c>
      <c r="AK110" t="s">
        <v>2402</v>
      </c>
      <c r="AL110" t="s">
        <v>1967</v>
      </c>
      <c r="AM110" t="s">
        <v>2322</v>
      </c>
      <c r="AN110" s="8">
        <v>1.28175</v>
      </c>
      <c r="AO110">
        <v>199.694880401046</v>
      </c>
      <c r="AP110">
        <v>1558</v>
      </c>
      <c r="AQ110" s="9">
        <v>0.523</v>
      </c>
      <c r="AR110" t="s">
        <v>265</v>
      </c>
      <c r="AT110" s="15" t="s">
        <v>89</v>
      </c>
      <c r="AW110" s="11" t="str">
        <f t="shared" si="10"/>
        <v>EN_WOF_52_c02_BRA</v>
      </c>
      <c r="AX110" s="11">
        <f t="shared" si="11"/>
        <v>1558</v>
      </c>
      <c r="AY110" s="11">
        <f t="shared" si="12"/>
        <v>1558</v>
      </c>
      <c r="AZ110" s="17">
        <v>3</v>
      </c>
      <c r="BA110">
        <f t="shared" si="13"/>
        <v>15.58</v>
      </c>
    </row>
    <row r="111" spans="2:53">
      <c r="B111" t="s">
        <v>26</v>
      </c>
      <c r="C111" t="s">
        <v>2404</v>
      </c>
      <c r="D111" t="s">
        <v>2405</v>
      </c>
      <c r="E111" t="s">
        <v>29</v>
      </c>
      <c r="F111" t="s">
        <v>30</v>
      </c>
      <c r="G111" t="s">
        <v>31</v>
      </c>
      <c r="J111" t="s">
        <v>2404</v>
      </c>
      <c r="K111" t="s">
        <v>1967</v>
      </c>
      <c r="L111" t="s">
        <v>2222</v>
      </c>
      <c r="M111" s="8">
        <v>0.1065</v>
      </c>
      <c r="N111">
        <v>105.747516212372</v>
      </c>
      <c r="O111">
        <v>1756</v>
      </c>
      <c r="P111" s="9">
        <v>0.163605633802817</v>
      </c>
      <c r="Q111" t="s">
        <v>137</v>
      </c>
      <c r="T111" s="15" t="s">
        <v>112</v>
      </c>
      <c r="W111" s="16" t="str">
        <f t="shared" si="7"/>
        <v>EN_WON_16_c03_AZE</v>
      </c>
      <c r="X111" s="12">
        <f t="shared" si="8"/>
        <v>1756</v>
      </c>
      <c r="Y111" s="11">
        <f t="shared" si="9"/>
        <v>1756</v>
      </c>
      <c r="AC111" t="s">
        <v>26</v>
      </c>
      <c r="AD111" t="s">
        <v>2406</v>
      </c>
      <c r="AE111" t="s">
        <v>2407</v>
      </c>
      <c r="AF111" t="s">
        <v>29</v>
      </c>
      <c r="AG111" t="s">
        <v>30</v>
      </c>
      <c r="AH111" t="s">
        <v>31</v>
      </c>
      <c r="AK111" t="s">
        <v>2406</v>
      </c>
      <c r="AL111" t="s">
        <v>1967</v>
      </c>
      <c r="AM111" t="s">
        <v>2408</v>
      </c>
      <c r="AN111" s="8">
        <v>5.12325</v>
      </c>
      <c r="AO111">
        <v>199.694880401046</v>
      </c>
      <c r="AP111">
        <v>1997</v>
      </c>
      <c r="AQ111" s="9">
        <v>0.346877763138633</v>
      </c>
      <c r="AR111" t="s">
        <v>2409</v>
      </c>
      <c r="AT111" s="15" t="s">
        <v>89</v>
      </c>
      <c r="AW111" s="11" t="str">
        <f t="shared" si="10"/>
        <v>EN_WOF_35_c02_BRB</v>
      </c>
      <c r="AX111" s="11">
        <f t="shared" si="11"/>
        <v>1997</v>
      </c>
      <c r="AY111" s="11">
        <f t="shared" si="12"/>
        <v>1997</v>
      </c>
      <c r="AZ111" s="17">
        <v>3</v>
      </c>
      <c r="BA111">
        <f t="shared" si="13"/>
        <v>19.97</v>
      </c>
    </row>
    <row r="112" spans="2:53">
      <c r="B112" t="s">
        <v>26</v>
      </c>
      <c r="C112" t="s">
        <v>2410</v>
      </c>
      <c r="D112" t="s">
        <v>2411</v>
      </c>
      <c r="E112" t="s">
        <v>29</v>
      </c>
      <c r="F112" t="s">
        <v>30</v>
      </c>
      <c r="G112" t="s">
        <v>31</v>
      </c>
      <c r="J112" t="s">
        <v>2410</v>
      </c>
      <c r="K112" t="s">
        <v>1967</v>
      </c>
      <c r="L112" t="s">
        <v>2222</v>
      </c>
      <c r="M112" s="8">
        <v>0.42975</v>
      </c>
      <c r="N112">
        <v>80.7856561622413</v>
      </c>
      <c r="O112">
        <v>1756</v>
      </c>
      <c r="P112" s="9">
        <v>0.172458987783595</v>
      </c>
      <c r="Q112" t="s">
        <v>137</v>
      </c>
      <c r="T112" s="15" t="s">
        <v>112</v>
      </c>
      <c r="W112" s="16" t="str">
        <f t="shared" si="7"/>
        <v>EN_WON_17_c02_AZE</v>
      </c>
      <c r="X112" s="12">
        <f t="shared" si="8"/>
        <v>1756</v>
      </c>
      <c r="Y112" s="11">
        <f t="shared" si="9"/>
        <v>1756</v>
      </c>
      <c r="AC112" t="s">
        <v>26</v>
      </c>
      <c r="AD112" t="s">
        <v>2412</v>
      </c>
      <c r="AE112" t="s">
        <v>2413</v>
      </c>
      <c r="AF112" t="s">
        <v>29</v>
      </c>
      <c r="AG112" t="s">
        <v>30</v>
      </c>
      <c r="AH112" t="s">
        <v>31</v>
      </c>
      <c r="AK112" t="s">
        <v>2412</v>
      </c>
      <c r="AL112" t="s">
        <v>1967</v>
      </c>
      <c r="AM112" t="s">
        <v>2408</v>
      </c>
      <c r="AN112" s="8">
        <v>1.46175</v>
      </c>
      <c r="AO112">
        <v>199.694880401046</v>
      </c>
      <c r="AP112">
        <v>1997</v>
      </c>
      <c r="AQ112" s="9">
        <v>0.361998460749102</v>
      </c>
      <c r="AR112" t="s">
        <v>2409</v>
      </c>
      <c r="AT112" s="15" t="s">
        <v>89</v>
      </c>
      <c r="AW112" s="11" t="str">
        <f t="shared" si="10"/>
        <v>EN_WOF_36_c02_BRB</v>
      </c>
      <c r="AX112" s="11">
        <f t="shared" si="11"/>
        <v>1997</v>
      </c>
      <c r="AY112" s="11">
        <f t="shared" si="12"/>
        <v>1997</v>
      </c>
      <c r="AZ112" s="17">
        <v>3</v>
      </c>
      <c r="BA112">
        <f t="shared" si="13"/>
        <v>19.97</v>
      </c>
    </row>
    <row r="113" spans="2:53">
      <c r="B113" t="s">
        <v>26</v>
      </c>
      <c r="C113" t="s">
        <v>2414</v>
      </c>
      <c r="D113" t="s">
        <v>2415</v>
      </c>
      <c r="E113" t="s">
        <v>29</v>
      </c>
      <c r="F113" t="s">
        <v>30</v>
      </c>
      <c r="G113" t="s">
        <v>31</v>
      </c>
      <c r="J113" t="s">
        <v>2414</v>
      </c>
      <c r="K113" t="s">
        <v>1967</v>
      </c>
      <c r="L113" t="s">
        <v>2222</v>
      </c>
      <c r="M113" s="8">
        <v>0.65775</v>
      </c>
      <c r="N113">
        <v>80.7856561622413</v>
      </c>
      <c r="O113">
        <v>1756</v>
      </c>
      <c r="P113" s="9">
        <v>0.181825541619156</v>
      </c>
      <c r="Q113" t="s">
        <v>137</v>
      </c>
      <c r="T113" s="15" t="s">
        <v>112</v>
      </c>
      <c r="W113" s="16" t="str">
        <f t="shared" si="7"/>
        <v>EN_WON_18_c02_AZE</v>
      </c>
      <c r="X113" s="12">
        <f t="shared" si="8"/>
        <v>1756</v>
      </c>
      <c r="Y113" s="11">
        <f t="shared" si="9"/>
        <v>1756</v>
      </c>
      <c r="AC113" t="s">
        <v>26</v>
      </c>
      <c r="AD113" t="s">
        <v>2416</v>
      </c>
      <c r="AE113" t="s">
        <v>2417</v>
      </c>
      <c r="AF113" t="s">
        <v>29</v>
      </c>
      <c r="AG113" t="s">
        <v>30</v>
      </c>
      <c r="AH113" t="s">
        <v>31</v>
      </c>
      <c r="AK113" t="s">
        <v>2416</v>
      </c>
      <c r="AL113" t="s">
        <v>1967</v>
      </c>
      <c r="AM113" t="s">
        <v>2408</v>
      </c>
      <c r="AN113" s="8">
        <v>2.43675</v>
      </c>
      <c r="AO113">
        <v>199.694880401046</v>
      </c>
      <c r="AP113">
        <v>1997</v>
      </c>
      <c r="AQ113" s="9">
        <v>0.368070175438596</v>
      </c>
      <c r="AR113" t="s">
        <v>2409</v>
      </c>
      <c r="AT113" s="15" t="s">
        <v>89</v>
      </c>
      <c r="AW113" s="11" t="str">
        <f t="shared" si="10"/>
        <v>EN_WOF_37_c02_BRB</v>
      </c>
      <c r="AX113" s="11">
        <f t="shared" si="11"/>
        <v>1997</v>
      </c>
      <c r="AY113" s="11">
        <f t="shared" si="12"/>
        <v>1997</v>
      </c>
      <c r="AZ113" s="17">
        <v>3</v>
      </c>
      <c r="BA113">
        <f t="shared" si="13"/>
        <v>19.97</v>
      </c>
    </row>
    <row r="114" spans="2:53">
      <c r="B114" t="s">
        <v>26</v>
      </c>
      <c r="C114" t="s">
        <v>2418</v>
      </c>
      <c r="D114" t="s">
        <v>2419</v>
      </c>
      <c r="E114" t="s">
        <v>29</v>
      </c>
      <c r="F114" t="s">
        <v>30</v>
      </c>
      <c r="G114" t="s">
        <v>31</v>
      </c>
      <c r="J114" t="s">
        <v>2418</v>
      </c>
      <c r="K114" t="s">
        <v>1967</v>
      </c>
      <c r="L114" t="s">
        <v>2222</v>
      </c>
      <c r="M114" s="8">
        <v>0.27525</v>
      </c>
      <c r="N114">
        <v>105.747516212372</v>
      </c>
      <c r="O114">
        <v>1756</v>
      </c>
      <c r="P114" s="9">
        <v>0.182008174386921</v>
      </c>
      <c r="Q114" t="s">
        <v>137</v>
      </c>
      <c r="T114" s="15" t="s">
        <v>112</v>
      </c>
      <c r="W114" s="16" t="str">
        <f t="shared" si="7"/>
        <v>EN_WON_18_c03_AZE</v>
      </c>
      <c r="X114" s="12">
        <f t="shared" si="8"/>
        <v>1756</v>
      </c>
      <c r="Y114" s="11">
        <f t="shared" si="9"/>
        <v>1756</v>
      </c>
      <c r="AC114" t="s">
        <v>26</v>
      </c>
      <c r="AD114" t="s">
        <v>2420</v>
      </c>
      <c r="AE114" t="s">
        <v>2421</v>
      </c>
      <c r="AF114" t="s">
        <v>29</v>
      </c>
      <c r="AG114" t="s">
        <v>30</v>
      </c>
      <c r="AH114" t="s">
        <v>31</v>
      </c>
      <c r="AK114" t="s">
        <v>2420</v>
      </c>
      <c r="AL114" t="s">
        <v>1967</v>
      </c>
      <c r="AM114" t="s">
        <v>2422</v>
      </c>
      <c r="AN114" s="8">
        <v>9.19725</v>
      </c>
      <c r="AO114">
        <v>45.3852000911468</v>
      </c>
      <c r="AP114">
        <v>2430</v>
      </c>
      <c r="AQ114" s="9">
        <v>0.302544646497594</v>
      </c>
      <c r="AR114" t="s">
        <v>310</v>
      </c>
      <c r="AT114" s="15" t="s">
        <v>119</v>
      </c>
      <c r="AW114" s="11" t="str">
        <f t="shared" si="10"/>
        <v>EN_WOF_30_c01_CAN</v>
      </c>
      <c r="AX114" s="11">
        <f t="shared" si="11"/>
        <v>2430</v>
      </c>
      <c r="AY114" s="11">
        <f t="shared" si="12"/>
        <v>2430</v>
      </c>
      <c r="AZ114" s="17">
        <v>3</v>
      </c>
      <c r="BA114">
        <f t="shared" si="13"/>
        <v>24.3</v>
      </c>
    </row>
    <row r="115" spans="2:53">
      <c r="B115" t="s">
        <v>26</v>
      </c>
      <c r="C115" t="s">
        <v>2423</v>
      </c>
      <c r="D115" t="s">
        <v>2424</v>
      </c>
      <c r="E115" t="s">
        <v>29</v>
      </c>
      <c r="F115" t="s">
        <v>30</v>
      </c>
      <c r="G115" t="s">
        <v>31</v>
      </c>
      <c r="J115" t="s">
        <v>2423</v>
      </c>
      <c r="K115" t="s">
        <v>1967</v>
      </c>
      <c r="L115" t="s">
        <v>2222</v>
      </c>
      <c r="M115" s="8">
        <v>0.486</v>
      </c>
      <c r="N115">
        <v>80.7856561622413</v>
      </c>
      <c r="O115">
        <v>1756</v>
      </c>
      <c r="P115" s="9">
        <v>0.191</v>
      </c>
      <c r="Q115" t="s">
        <v>137</v>
      </c>
      <c r="T115" s="15" t="s">
        <v>112</v>
      </c>
      <c r="W115" s="16" t="str">
        <f t="shared" si="7"/>
        <v>EN_WON_19_c02_AZE</v>
      </c>
      <c r="X115" s="12">
        <f t="shared" si="8"/>
        <v>1756</v>
      </c>
      <c r="Y115" s="11">
        <f t="shared" si="9"/>
        <v>1756</v>
      </c>
      <c r="AC115" t="s">
        <v>26</v>
      </c>
      <c r="AD115" t="s">
        <v>2425</v>
      </c>
      <c r="AE115" t="s">
        <v>2426</v>
      </c>
      <c r="AF115" t="s">
        <v>29</v>
      </c>
      <c r="AG115" t="s">
        <v>30</v>
      </c>
      <c r="AH115" t="s">
        <v>31</v>
      </c>
      <c r="AK115" t="s">
        <v>2425</v>
      </c>
      <c r="AL115" t="s">
        <v>1967</v>
      </c>
      <c r="AM115" t="s">
        <v>2422</v>
      </c>
      <c r="AN115" s="8">
        <v>51.162</v>
      </c>
      <c r="AO115">
        <v>199.694880401046</v>
      </c>
      <c r="AP115">
        <v>2430</v>
      </c>
      <c r="AQ115" s="9">
        <v>0.302344919080568</v>
      </c>
      <c r="AR115" t="s">
        <v>310</v>
      </c>
      <c r="AT115" s="15" t="s">
        <v>119</v>
      </c>
      <c r="AW115" s="11" t="str">
        <f t="shared" si="10"/>
        <v>EN_WOF_30_c02_CAN</v>
      </c>
      <c r="AX115" s="11">
        <f t="shared" si="11"/>
        <v>2430</v>
      </c>
      <c r="AY115" s="11">
        <f t="shared" si="12"/>
        <v>2430</v>
      </c>
      <c r="AZ115" s="17">
        <v>3</v>
      </c>
      <c r="BA115">
        <f t="shared" si="13"/>
        <v>24.3</v>
      </c>
    </row>
    <row r="116" spans="2:53">
      <c r="B116" t="s">
        <v>26</v>
      </c>
      <c r="C116" t="s">
        <v>2427</v>
      </c>
      <c r="D116" t="s">
        <v>2428</v>
      </c>
      <c r="E116" t="s">
        <v>29</v>
      </c>
      <c r="F116" t="s">
        <v>30</v>
      </c>
      <c r="G116" t="s">
        <v>31</v>
      </c>
      <c r="J116" t="s">
        <v>2427</v>
      </c>
      <c r="K116" t="s">
        <v>1967</v>
      </c>
      <c r="L116" t="s">
        <v>2222</v>
      </c>
      <c r="M116" s="8">
        <v>0.39525</v>
      </c>
      <c r="N116">
        <v>105.747516212372</v>
      </c>
      <c r="O116">
        <v>1756</v>
      </c>
      <c r="P116" s="9">
        <v>0.186</v>
      </c>
      <c r="Q116" t="s">
        <v>137</v>
      </c>
      <c r="T116" s="15" t="s">
        <v>112</v>
      </c>
      <c r="W116" s="16" t="str">
        <f t="shared" si="7"/>
        <v>EN_WON_19_c03_AZE</v>
      </c>
      <c r="X116" s="12">
        <f t="shared" si="8"/>
        <v>1756</v>
      </c>
      <c r="Y116" s="11">
        <f t="shared" si="9"/>
        <v>1756</v>
      </c>
      <c r="AC116" t="s">
        <v>26</v>
      </c>
      <c r="AD116" t="s">
        <v>2429</v>
      </c>
      <c r="AE116" t="s">
        <v>2430</v>
      </c>
      <c r="AF116" t="s">
        <v>29</v>
      </c>
      <c r="AG116" t="s">
        <v>30</v>
      </c>
      <c r="AH116" t="s">
        <v>31</v>
      </c>
      <c r="AK116" t="s">
        <v>2429</v>
      </c>
      <c r="AL116" t="s">
        <v>1967</v>
      </c>
      <c r="AM116" t="s">
        <v>2422</v>
      </c>
      <c r="AN116" s="8">
        <v>46.6125</v>
      </c>
      <c r="AO116">
        <v>45.3852000911468</v>
      </c>
      <c r="AP116">
        <v>2430</v>
      </c>
      <c r="AQ116" s="9">
        <v>0.310419388576026</v>
      </c>
      <c r="AR116" t="s">
        <v>310</v>
      </c>
      <c r="AT116" s="15" t="s">
        <v>119</v>
      </c>
      <c r="AW116" s="11" t="str">
        <f t="shared" si="10"/>
        <v>EN_WOF_31_c01_CAN</v>
      </c>
      <c r="AX116" s="11">
        <f t="shared" si="11"/>
        <v>2430</v>
      </c>
      <c r="AY116" s="11">
        <f t="shared" si="12"/>
        <v>2430</v>
      </c>
      <c r="AZ116" s="17">
        <v>3</v>
      </c>
      <c r="BA116">
        <f t="shared" si="13"/>
        <v>24.3</v>
      </c>
    </row>
    <row r="117" spans="2:53">
      <c r="B117" t="s">
        <v>26</v>
      </c>
      <c r="C117" t="s">
        <v>2431</v>
      </c>
      <c r="D117" t="s">
        <v>2432</v>
      </c>
      <c r="E117" t="s">
        <v>29</v>
      </c>
      <c r="F117" t="s">
        <v>30</v>
      </c>
      <c r="G117" t="s">
        <v>31</v>
      </c>
      <c r="J117" t="s">
        <v>2431</v>
      </c>
      <c r="K117" t="s">
        <v>1967</v>
      </c>
      <c r="L117" t="s">
        <v>2222</v>
      </c>
      <c r="M117" s="8">
        <v>0.867</v>
      </c>
      <c r="N117">
        <v>80.7856561622413</v>
      </c>
      <c r="O117">
        <v>1756</v>
      </c>
      <c r="P117" s="9">
        <v>0.197949826989619</v>
      </c>
      <c r="Q117" t="s">
        <v>137</v>
      </c>
      <c r="T117" s="15" t="s">
        <v>112</v>
      </c>
      <c r="W117" s="16" t="str">
        <f t="shared" si="7"/>
        <v>EN_WON_20_c02_AZE</v>
      </c>
      <c r="X117" s="12">
        <f t="shared" si="8"/>
        <v>1756</v>
      </c>
      <c r="Y117" s="11">
        <f t="shared" si="9"/>
        <v>1756</v>
      </c>
      <c r="AC117" t="s">
        <v>26</v>
      </c>
      <c r="AD117" t="s">
        <v>2433</v>
      </c>
      <c r="AE117" t="s">
        <v>2434</v>
      </c>
      <c r="AF117" t="s">
        <v>29</v>
      </c>
      <c r="AG117" t="s">
        <v>30</v>
      </c>
      <c r="AH117" t="s">
        <v>31</v>
      </c>
      <c r="AK117" t="s">
        <v>2433</v>
      </c>
      <c r="AL117" t="s">
        <v>1967</v>
      </c>
      <c r="AM117" t="s">
        <v>2422</v>
      </c>
      <c r="AN117" s="8">
        <v>148.95975</v>
      </c>
      <c r="AO117">
        <v>199.694880401046</v>
      </c>
      <c r="AP117">
        <v>2430</v>
      </c>
      <c r="AQ117" s="9">
        <v>0.309621555487305</v>
      </c>
      <c r="AR117" t="s">
        <v>310</v>
      </c>
      <c r="AT117" s="15" t="s">
        <v>119</v>
      </c>
      <c r="AW117" s="11" t="str">
        <f t="shared" si="10"/>
        <v>EN_WOF_31_c02_CAN</v>
      </c>
      <c r="AX117" s="11">
        <f t="shared" si="11"/>
        <v>2430</v>
      </c>
      <c r="AY117" s="11">
        <f t="shared" si="12"/>
        <v>2430</v>
      </c>
      <c r="AZ117" s="17">
        <v>3</v>
      </c>
      <c r="BA117">
        <f t="shared" si="13"/>
        <v>24.3</v>
      </c>
    </row>
    <row r="118" spans="2:53">
      <c r="B118" t="s">
        <v>26</v>
      </c>
      <c r="C118" t="s">
        <v>2435</v>
      </c>
      <c r="D118" t="s">
        <v>2436</v>
      </c>
      <c r="E118" t="s">
        <v>29</v>
      </c>
      <c r="F118" t="s">
        <v>30</v>
      </c>
      <c r="G118" t="s">
        <v>31</v>
      </c>
      <c r="J118" t="s">
        <v>2435</v>
      </c>
      <c r="K118" t="s">
        <v>1967</v>
      </c>
      <c r="L118" t="s">
        <v>2222</v>
      </c>
      <c r="M118" s="8">
        <v>0.6285</v>
      </c>
      <c r="N118">
        <v>105.747516212372</v>
      </c>
      <c r="O118">
        <v>1756</v>
      </c>
      <c r="P118" s="9">
        <v>0.200879474940334</v>
      </c>
      <c r="Q118" t="s">
        <v>137</v>
      </c>
      <c r="T118" s="15" t="s">
        <v>112</v>
      </c>
      <c r="W118" s="16" t="str">
        <f t="shared" si="7"/>
        <v>EN_WON_20_c03_AZE</v>
      </c>
      <c r="X118" s="12">
        <f t="shared" si="8"/>
        <v>1756</v>
      </c>
      <c r="Y118" s="11">
        <f t="shared" si="9"/>
        <v>1756</v>
      </c>
      <c r="AC118" t="s">
        <v>26</v>
      </c>
      <c r="AD118" t="s">
        <v>2437</v>
      </c>
      <c r="AE118" t="s">
        <v>2438</v>
      </c>
      <c r="AF118" t="s">
        <v>29</v>
      </c>
      <c r="AG118" t="s">
        <v>30</v>
      </c>
      <c r="AH118" t="s">
        <v>31</v>
      </c>
      <c r="AK118" t="s">
        <v>2437</v>
      </c>
      <c r="AL118" t="s">
        <v>1967</v>
      </c>
      <c r="AM118" t="s">
        <v>2422</v>
      </c>
      <c r="AN118" s="8">
        <v>67.30125</v>
      </c>
      <c r="AO118">
        <v>45.3852000911468</v>
      </c>
      <c r="AP118">
        <v>2430</v>
      </c>
      <c r="AQ118" s="9">
        <v>0.319985847216805</v>
      </c>
      <c r="AR118" t="s">
        <v>310</v>
      </c>
      <c r="AT118" s="15" t="s">
        <v>119</v>
      </c>
      <c r="AW118" s="11" t="str">
        <f t="shared" si="10"/>
        <v>EN_WOF_32_c01_CAN</v>
      </c>
      <c r="AX118" s="11">
        <f t="shared" si="11"/>
        <v>2430</v>
      </c>
      <c r="AY118" s="11">
        <f t="shared" si="12"/>
        <v>2430</v>
      </c>
      <c r="AZ118" s="17">
        <v>3</v>
      </c>
      <c r="BA118">
        <f t="shared" si="13"/>
        <v>24.3</v>
      </c>
    </row>
    <row r="119" spans="2:53">
      <c r="B119" t="s">
        <v>26</v>
      </c>
      <c r="C119" t="s">
        <v>2439</v>
      </c>
      <c r="D119" t="s">
        <v>2440</v>
      </c>
      <c r="E119" t="s">
        <v>29</v>
      </c>
      <c r="F119" t="s">
        <v>30</v>
      </c>
      <c r="G119" t="s">
        <v>31</v>
      </c>
      <c r="J119" t="s">
        <v>2439</v>
      </c>
      <c r="K119" t="s">
        <v>1967</v>
      </c>
      <c r="L119" t="s">
        <v>2222</v>
      </c>
      <c r="M119" s="8">
        <v>0.7005</v>
      </c>
      <c r="N119">
        <v>145.23264029167</v>
      </c>
      <c r="O119">
        <v>1756</v>
      </c>
      <c r="P119" s="9">
        <v>0.196</v>
      </c>
      <c r="Q119" t="s">
        <v>137</v>
      </c>
      <c r="T119" s="15" t="s">
        <v>112</v>
      </c>
      <c r="W119" s="16" t="str">
        <f t="shared" si="7"/>
        <v>EN_WON_20_c04_AZE</v>
      </c>
      <c r="X119" s="12">
        <f t="shared" si="8"/>
        <v>1756</v>
      </c>
      <c r="Y119" s="11">
        <f t="shared" si="9"/>
        <v>1756</v>
      </c>
      <c r="AC119" t="s">
        <v>26</v>
      </c>
      <c r="AD119" t="s">
        <v>2441</v>
      </c>
      <c r="AE119" t="s">
        <v>2442</v>
      </c>
      <c r="AF119" t="s">
        <v>29</v>
      </c>
      <c r="AG119" t="s">
        <v>30</v>
      </c>
      <c r="AH119" t="s">
        <v>31</v>
      </c>
      <c r="AK119" t="s">
        <v>2441</v>
      </c>
      <c r="AL119" t="s">
        <v>1967</v>
      </c>
      <c r="AM119" t="s">
        <v>2422</v>
      </c>
      <c r="AN119" s="8">
        <v>112.9785</v>
      </c>
      <c r="AO119">
        <v>199.694880401046</v>
      </c>
      <c r="AP119">
        <v>2430</v>
      </c>
      <c r="AQ119" s="9">
        <v>0.318995724850304</v>
      </c>
      <c r="AR119" t="s">
        <v>310</v>
      </c>
      <c r="AT119" s="15" t="s">
        <v>119</v>
      </c>
      <c r="AW119" s="11" t="str">
        <f t="shared" si="10"/>
        <v>EN_WOF_32_c02_CAN</v>
      </c>
      <c r="AX119" s="11">
        <f t="shared" si="11"/>
        <v>2430</v>
      </c>
      <c r="AY119" s="11">
        <f t="shared" si="12"/>
        <v>2430</v>
      </c>
      <c r="AZ119" s="17">
        <v>3</v>
      </c>
      <c r="BA119">
        <f t="shared" si="13"/>
        <v>24.3</v>
      </c>
    </row>
    <row r="120" spans="2:53">
      <c r="B120" t="s">
        <v>26</v>
      </c>
      <c r="C120" t="s">
        <v>2443</v>
      </c>
      <c r="D120" t="s">
        <v>2444</v>
      </c>
      <c r="E120" t="s">
        <v>29</v>
      </c>
      <c r="F120" t="s">
        <v>30</v>
      </c>
      <c r="G120" t="s">
        <v>31</v>
      </c>
      <c r="J120" t="s">
        <v>2443</v>
      </c>
      <c r="K120" t="s">
        <v>1967</v>
      </c>
      <c r="L120" t="s">
        <v>2222</v>
      </c>
      <c r="M120" s="8">
        <v>1.074</v>
      </c>
      <c r="N120">
        <v>80.7856561622413</v>
      </c>
      <c r="O120">
        <v>1756</v>
      </c>
      <c r="P120" s="9">
        <v>0.205103351955307</v>
      </c>
      <c r="Q120" t="s">
        <v>137</v>
      </c>
      <c r="T120" s="15" t="s">
        <v>112</v>
      </c>
      <c r="W120" s="16" t="str">
        <f t="shared" si="7"/>
        <v>EN_WON_21_c02_AZE</v>
      </c>
      <c r="X120" s="12">
        <f t="shared" si="8"/>
        <v>1756</v>
      </c>
      <c r="Y120" s="11">
        <f t="shared" si="9"/>
        <v>1756</v>
      </c>
      <c r="AC120" t="s">
        <v>26</v>
      </c>
      <c r="AD120" t="s">
        <v>2445</v>
      </c>
      <c r="AE120" t="s">
        <v>2446</v>
      </c>
      <c r="AF120" t="s">
        <v>29</v>
      </c>
      <c r="AG120" t="s">
        <v>30</v>
      </c>
      <c r="AH120" t="s">
        <v>31</v>
      </c>
      <c r="AK120" t="s">
        <v>2445</v>
      </c>
      <c r="AL120" t="s">
        <v>1967</v>
      </c>
      <c r="AM120" t="s">
        <v>2422</v>
      </c>
      <c r="AN120" s="8">
        <v>117.144</v>
      </c>
      <c r="AO120">
        <v>45.3852000911468</v>
      </c>
      <c r="AP120">
        <v>2430</v>
      </c>
      <c r="AQ120" s="9">
        <v>0.328619871696374</v>
      </c>
      <c r="AR120" t="s">
        <v>310</v>
      </c>
      <c r="AT120" s="15" t="s">
        <v>119</v>
      </c>
      <c r="AW120" s="11" t="str">
        <f t="shared" si="10"/>
        <v>EN_WOF_33_c01_CAN</v>
      </c>
      <c r="AX120" s="11">
        <f t="shared" si="11"/>
        <v>2430</v>
      </c>
      <c r="AY120" s="11">
        <f t="shared" si="12"/>
        <v>2430</v>
      </c>
      <c r="AZ120" s="17">
        <v>3</v>
      </c>
      <c r="BA120">
        <f t="shared" si="13"/>
        <v>24.3</v>
      </c>
    </row>
    <row r="121" spans="2:53">
      <c r="B121" t="s">
        <v>26</v>
      </c>
      <c r="C121" t="s">
        <v>2447</v>
      </c>
      <c r="D121" t="s">
        <v>2448</v>
      </c>
      <c r="E121" t="s">
        <v>29</v>
      </c>
      <c r="F121" t="s">
        <v>30</v>
      </c>
      <c r="G121" t="s">
        <v>31</v>
      </c>
      <c r="J121" t="s">
        <v>2447</v>
      </c>
      <c r="K121" t="s">
        <v>1967</v>
      </c>
      <c r="L121" t="s">
        <v>2222</v>
      </c>
      <c r="M121" s="8">
        <v>0.29325</v>
      </c>
      <c r="N121">
        <v>105.747516212372</v>
      </c>
      <c r="O121">
        <v>1756</v>
      </c>
      <c r="P121" s="9">
        <v>0.208289002557545</v>
      </c>
      <c r="Q121" t="s">
        <v>137</v>
      </c>
      <c r="T121" s="15" t="s">
        <v>112</v>
      </c>
      <c r="W121" s="16" t="str">
        <f t="shared" si="7"/>
        <v>EN_WON_21_c03_AZE</v>
      </c>
      <c r="X121" s="12">
        <f t="shared" si="8"/>
        <v>1756</v>
      </c>
      <c r="Y121" s="11">
        <f t="shared" si="9"/>
        <v>1756</v>
      </c>
      <c r="AC121" t="s">
        <v>26</v>
      </c>
      <c r="AD121" t="s">
        <v>2449</v>
      </c>
      <c r="AE121" t="s">
        <v>2450</v>
      </c>
      <c r="AF121" t="s">
        <v>29</v>
      </c>
      <c r="AG121" t="s">
        <v>30</v>
      </c>
      <c r="AH121" t="s">
        <v>31</v>
      </c>
      <c r="AK121" t="s">
        <v>2449</v>
      </c>
      <c r="AL121" t="s">
        <v>1967</v>
      </c>
      <c r="AM121" t="s">
        <v>2422</v>
      </c>
      <c r="AN121" s="8">
        <v>200.32275</v>
      </c>
      <c r="AO121">
        <v>199.694880401046</v>
      </c>
      <c r="AP121">
        <v>2430</v>
      </c>
      <c r="AQ121" s="9">
        <v>0.330136418604477</v>
      </c>
      <c r="AR121" t="s">
        <v>310</v>
      </c>
      <c r="AT121" s="15" t="s">
        <v>119</v>
      </c>
      <c r="AW121" s="11" t="str">
        <f t="shared" si="10"/>
        <v>EN_WOF_33_c02_CAN</v>
      </c>
      <c r="AX121" s="11">
        <f t="shared" si="11"/>
        <v>2430</v>
      </c>
      <c r="AY121" s="11">
        <f t="shared" si="12"/>
        <v>2430</v>
      </c>
      <c r="AZ121" s="17">
        <v>3</v>
      </c>
      <c r="BA121">
        <f t="shared" si="13"/>
        <v>24.3</v>
      </c>
    </row>
    <row r="122" spans="2:53">
      <c r="B122" t="s">
        <v>26</v>
      </c>
      <c r="C122" t="s">
        <v>2451</v>
      </c>
      <c r="D122" t="s">
        <v>2452</v>
      </c>
      <c r="E122" t="s">
        <v>29</v>
      </c>
      <c r="F122" t="s">
        <v>30</v>
      </c>
      <c r="G122" t="s">
        <v>31</v>
      </c>
      <c r="J122" t="s">
        <v>2451</v>
      </c>
      <c r="K122" t="s">
        <v>1967</v>
      </c>
      <c r="L122" t="s">
        <v>2222</v>
      </c>
      <c r="M122" s="8">
        <v>0.86175</v>
      </c>
      <c r="N122">
        <v>145.23264029167</v>
      </c>
      <c r="O122">
        <v>1756</v>
      </c>
      <c r="P122" s="9">
        <v>0.220975630983464</v>
      </c>
      <c r="Q122" t="s">
        <v>137</v>
      </c>
      <c r="T122" s="15" t="s">
        <v>112</v>
      </c>
      <c r="W122" s="16" t="str">
        <f t="shared" si="7"/>
        <v>EN_WON_22_c04_AZE</v>
      </c>
      <c r="X122" s="12">
        <f t="shared" si="8"/>
        <v>1756</v>
      </c>
      <c r="Y122" s="11">
        <f t="shared" si="9"/>
        <v>1756</v>
      </c>
      <c r="AC122" t="s">
        <v>26</v>
      </c>
      <c r="AD122" t="s">
        <v>2453</v>
      </c>
      <c r="AE122" t="s">
        <v>2454</v>
      </c>
      <c r="AF122" t="s">
        <v>29</v>
      </c>
      <c r="AG122" t="s">
        <v>30</v>
      </c>
      <c r="AH122" t="s">
        <v>31</v>
      </c>
      <c r="AK122" t="s">
        <v>2453</v>
      </c>
      <c r="AL122" t="s">
        <v>1967</v>
      </c>
      <c r="AM122" t="s">
        <v>2422</v>
      </c>
      <c r="AN122" s="8">
        <v>124.13025</v>
      </c>
      <c r="AO122">
        <v>45.3852000911468</v>
      </c>
      <c r="AP122">
        <v>2430</v>
      </c>
      <c r="AQ122" s="9">
        <v>0.338927706985203</v>
      </c>
      <c r="AR122" t="s">
        <v>310</v>
      </c>
      <c r="AT122" s="15" t="s">
        <v>119</v>
      </c>
      <c r="AW122" s="11" t="str">
        <f t="shared" si="10"/>
        <v>EN_WOF_34_c01_CAN</v>
      </c>
      <c r="AX122" s="11">
        <f t="shared" si="11"/>
        <v>2430</v>
      </c>
      <c r="AY122" s="11">
        <f t="shared" si="12"/>
        <v>2430</v>
      </c>
      <c r="AZ122" s="17">
        <v>3</v>
      </c>
      <c r="BA122">
        <f t="shared" si="13"/>
        <v>24.3</v>
      </c>
    </row>
    <row r="123" spans="2:53">
      <c r="B123" t="s">
        <v>26</v>
      </c>
      <c r="C123" t="s">
        <v>2455</v>
      </c>
      <c r="D123" t="s">
        <v>2456</v>
      </c>
      <c r="E123" t="s">
        <v>29</v>
      </c>
      <c r="F123" t="s">
        <v>30</v>
      </c>
      <c r="G123" t="s">
        <v>31</v>
      </c>
      <c r="J123" t="s">
        <v>2455</v>
      </c>
      <c r="K123" t="s">
        <v>1967</v>
      </c>
      <c r="L123" t="s">
        <v>2222</v>
      </c>
      <c r="M123" s="8">
        <v>0.498</v>
      </c>
      <c r="N123">
        <v>80.7856561622413</v>
      </c>
      <c r="O123">
        <v>1756</v>
      </c>
      <c r="P123" s="9">
        <v>0.23</v>
      </c>
      <c r="Q123" t="s">
        <v>137</v>
      </c>
      <c r="T123" s="15" t="s">
        <v>112</v>
      </c>
      <c r="W123" s="16" t="str">
        <f t="shared" si="7"/>
        <v>EN_WON_23_c02_AZE</v>
      </c>
      <c r="X123" s="12">
        <f t="shared" si="8"/>
        <v>1756</v>
      </c>
      <c r="Y123" s="11">
        <f t="shared" si="9"/>
        <v>1756</v>
      </c>
      <c r="AC123" t="s">
        <v>26</v>
      </c>
      <c r="AD123" t="s">
        <v>2457</v>
      </c>
      <c r="AE123" t="s">
        <v>2458</v>
      </c>
      <c r="AF123" t="s">
        <v>29</v>
      </c>
      <c r="AG123" t="s">
        <v>30</v>
      </c>
      <c r="AH123" t="s">
        <v>31</v>
      </c>
      <c r="AK123" t="s">
        <v>2457</v>
      </c>
      <c r="AL123" t="s">
        <v>1967</v>
      </c>
      <c r="AM123" t="s">
        <v>2422</v>
      </c>
      <c r="AN123" s="8">
        <v>163.42875</v>
      </c>
      <c r="AO123">
        <v>199.694880401046</v>
      </c>
      <c r="AP123">
        <v>2430</v>
      </c>
      <c r="AQ123" s="9">
        <v>0.338991445813543</v>
      </c>
      <c r="AR123" t="s">
        <v>310</v>
      </c>
      <c r="AT123" s="15" t="s">
        <v>119</v>
      </c>
      <c r="AW123" s="11" t="str">
        <f t="shared" si="10"/>
        <v>EN_WOF_34_c02_CAN</v>
      </c>
      <c r="AX123" s="11">
        <f t="shared" si="11"/>
        <v>2430</v>
      </c>
      <c r="AY123" s="11">
        <f t="shared" si="12"/>
        <v>2430</v>
      </c>
      <c r="AZ123" s="17">
        <v>3</v>
      </c>
      <c r="BA123">
        <f t="shared" si="13"/>
        <v>24.3</v>
      </c>
    </row>
    <row r="124" spans="2:53">
      <c r="B124" t="s">
        <v>26</v>
      </c>
      <c r="C124" t="s">
        <v>2459</v>
      </c>
      <c r="D124" t="s">
        <v>2460</v>
      </c>
      <c r="E124" t="s">
        <v>29</v>
      </c>
      <c r="F124" t="s">
        <v>30</v>
      </c>
      <c r="G124" t="s">
        <v>31</v>
      </c>
      <c r="J124" t="s">
        <v>2459</v>
      </c>
      <c r="K124" t="s">
        <v>1967</v>
      </c>
      <c r="L124" t="s">
        <v>2222</v>
      </c>
      <c r="M124" s="8">
        <v>0.861</v>
      </c>
      <c r="N124">
        <v>105.747516212372</v>
      </c>
      <c r="O124">
        <v>1756</v>
      </c>
      <c r="P124" s="9">
        <v>0.231</v>
      </c>
      <c r="Q124" t="s">
        <v>137</v>
      </c>
      <c r="T124" s="15" t="s">
        <v>112</v>
      </c>
      <c r="W124" s="16" t="str">
        <f t="shared" si="7"/>
        <v>EN_WON_23_c03_AZE</v>
      </c>
      <c r="X124" s="12">
        <f t="shared" si="8"/>
        <v>1756</v>
      </c>
      <c r="Y124" s="11">
        <f t="shared" si="9"/>
        <v>1756</v>
      </c>
      <c r="AC124" t="s">
        <v>26</v>
      </c>
      <c r="AD124" t="s">
        <v>2461</v>
      </c>
      <c r="AE124" t="s">
        <v>2462</v>
      </c>
      <c r="AF124" t="s">
        <v>29</v>
      </c>
      <c r="AG124" t="s">
        <v>30</v>
      </c>
      <c r="AH124" t="s">
        <v>31</v>
      </c>
      <c r="AK124" t="s">
        <v>2461</v>
      </c>
      <c r="AL124" t="s">
        <v>1967</v>
      </c>
      <c r="AM124" t="s">
        <v>2422</v>
      </c>
      <c r="AN124" s="8">
        <v>122.454</v>
      </c>
      <c r="AO124">
        <v>45.3852000911468</v>
      </c>
      <c r="AP124">
        <v>2430</v>
      </c>
      <c r="AQ124" s="9">
        <v>0.350799408349257</v>
      </c>
      <c r="AR124" t="s">
        <v>310</v>
      </c>
      <c r="AT124" s="15" t="s">
        <v>119</v>
      </c>
      <c r="AW124" s="11" t="str">
        <f t="shared" si="10"/>
        <v>EN_WOF_35_c01_CAN</v>
      </c>
      <c r="AX124" s="11">
        <f t="shared" si="11"/>
        <v>2430</v>
      </c>
      <c r="AY124" s="11">
        <f t="shared" si="12"/>
        <v>2430</v>
      </c>
      <c r="AZ124" s="17">
        <v>3</v>
      </c>
      <c r="BA124">
        <f t="shared" si="13"/>
        <v>24.3</v>
      </c>
    </row>
    <row r="125" spans="2:53">
      <c r="B125" t="s">
        <v>26</v>
      </c>
      <c r="C125" t="s">
        <v>2463</v>
      </c>
      <c r="D125" t="s">
        <v>2464</v>
      </c>
      <c r="E125" t="s">
        <v>29</v>
      </c>
      <c r="F125" t="s">
        <v>30</v>
      </c>
      <c r="G125" t="s">
        <v>31</v>
      </c>
      <c r="J125" t="s">
        <v>2463</v>
      </c>
      <c r="K125" t="s">
        <v>1967</v>
      </c>
      <c r="L125" t="s">
        <v>2222</v>
      </c>
      <c r="M125" s="8">
        <v>0.09525</v>
      </c>
      <c r="N125">
        <v>80.7856561622413</v>
      </c>
      <c r="O125">
        <v>1756</v>
      </c>
      <c r="P125" s="9">
        <v>0.242</v>
      </c>
      <c r="Q125" t="s">
        <v>137</v>
      </c>
      <c r="T125" s="15" t="s">
        <v>112</v>
      </c>
      <c r="W125" s="16" t="str">
        <f t="shared" si="7"/>
        <v>EN_WON_24_c02_AZE</v>
      </c>
      <c r="X125" s="12">
        <f t="shared" si="8"/>
        <v>1756</v>
      </c>
      <c r="Y125" s="11">
        <f t="shared" si="9"/>
        <v>1756</v>
      </c>
      <c r="AC125" t="s">
        <v>26</v>
      </c>
      <c r="AD125" t="s">
        <v>2465</v>
      </c>
      <c r="AE125" t="s">
        <v>2466</v>
      </c>
      <c r="AF125" t="s">
        <v>29</v>
      </c>
      <c r="AG125" t="s">
        <v>30</v>
      </c>
      <c r="AH125" t="s">
        <v>31</v>
      </c>
      <c r="AK125" t="s">
        <v>2465</v>
      </c>
      <c r="AL125" t="s">
        <v>1967</v>
      </c>
      <c r="AM125" t="s">
        <v>2422</v>
      </c>
      <c r="AN125" s="8">
        <v>208.88025</v>
      </c>
      <c r="AO125">
        <v>199.694880401046</v>
      </c>
      <c r="AP125">
        <v>2430</v>
      </c>
      <c r="AQ125" s="9">
        <v>0.350239430247714</v>
      </c>
      <c r="AR125" t="s">
        <v>310</v>
      </c>
      <c r="AT125" s="15" t="s">
        <v>119</v>
      </c>
      <c r="AW125" s="11" t="str">
        <f t="shared" si="10"/>
        <v>EN_WOF_35_c02_CAN</v>
      </c>
      <c r="AX125" s="11">
        <f t="shared" si="11"/>
        <v>2430</v>
      </c>
      <c r="AY125" s="11">
        <f t="shared" si="12"/>
        <v>2430</v>
      </c>
      <c r="AZ125" s="17">
        <v>3</v>
      </c>
      <c r="BA125">
        <f t="shared" si="13"/>
        <v>24.3</v>
      </c>
    </row>
    <row r="126" spans="2:53">
      <c r="B126" t="s">
        <v>26</v>
      </c>
      <c r="C126" t="s">
        <v>2467</v>
      </c>
      <c r="D126" t="s">
        <v>2468</v>
      </c>
      <c r="E126" t="s">
        <v>29</v>
      </c>
      <c r="F126" t="s">
        <v>30</v>
      </c>
      <c r="G126" t="s">
        <v>31</v>
      </c>
      <c r="J126" t="s">
        <v>2467</v>
      </c>
      <c r="K126" t="s">
        <v>1967</v>
      </c>
      <c r="L126" t="s">
        <v>2222</v>
      </c>
      <c r="M126" s="8">
        <v>0.18375</v>
      </c>
      <c r="N126">
        <v>105.747516212372</v>
      </c>
      <c r="O126">
        <v>1756</v>
      </c>
      <c r="P126" s="9">
        <v>0.241</v>
      </c>
      <c r="Q126" t="s">
        <v>137</v>
      </c>
      <c r="T126" s="15" t="s">
        <v>112</v>
      </c>
      <c r="W126" s="16" t="str">
        <f t="shared" si="7"/>
        <v>EN_WON_24_c03_AZE</v>
      </c>
      <c r="X126" s="12">
        <f t="shared" si="8"/>
        <v>1756</v>
      </c>
      <c r="Y126" s="11">
        <f t="shared" si="9"/>
        <v>1756</v>
      </c>
      <c r="AC126" t="s">
        <v>26</v>
      </c>
      <c r="AD126" t="s">
        <v>2469</v>
      </c>
      <c r="AE126" t="s">
        <v>2470</v>
      </c>
      <c r="AF126" t="s">
        <v>29</v>
      </c>
      <c r="AG126" t="s">
        <v>30</v>
      </c>
      <c r="AH126" t="s">
        <v>31</v>
      </c>
      <c r="AK126" t="s">
        <v>2469</v>
      </c>
      <c r="AL126" t="s">
        <v>1967</v>
      </c>
      <c r="AM126" t="s">
        <v>2422</v>
      </c>
      <c r="AN126" s="8">
        <v>172.293</v>
      </c>
      <c r="AO126">
        <v>45.3852000911468</v>
      </c>
      <c r="AP126">
        <v>2430</v>
      </c>
      <c r="AQ126" s="9">
        <v>0.36016648674061</v>
      </c>
      <c r="AR126" t="s">
        <v>310</v>
      </c>
      <c r="AT126" s="15" t="s">
        <v>119</v>
      </c>
      <c r="AW126" s="11" t="str">
        <f t="shared" si="10"/>
        <v>EN_WOF_36_c01_CAN</v>
      </c>
      <c r="AX126" s="11">
        <f t="shared" si="11"/>
        <v>2430</v>
      </c>
      <c r="AY126" s="11">
        <f t="shared" si="12"/>
        <v>2430</v>
      </c>
      <c r="AZ126" s="17">
        <v>3</v>
      </c>
      <c r="BA126">
        <f t="shared" si="13"/>
        <v>24.3</v>
      </c>
    </row>
    <row r="127" spans="2:53">
      <c r="B127" t="s">
        <v>26</v>
      </c>
      <c r="C127" t="s">
        <v>2471</v>
      </c>
      <c r="D127" t="s">
        <v>2472</v>
      </c>
      <c r="E127" t="s">
        <v>29</v>
      </c>
      <c r="F127" t="s">
        <v>30</v>
      </c>
      <c r="G127" t="s">
        <v>31</v>
      </c>
      <c r="J127" t="s">
        <v>2471</v>
      </c>
      <c r="K127" t="s">
        <v>1967</v>
      </c>
      <c r="L127" t="s">
        <v>2222</v>
      </c>
      <c r="M127" s="8">
        <v>0.46575</v>
      </c>
      <c r="N127">
        <v>105.747516212372</v>
      </c>
      <c r="O127">
        <v>1756</v>
      </c>
      <c r="P127" s="9">
        <v>0.248</v>
      </c>
      <c r="Q127" t="s">
        <v>137</v>
      </c>
      <c r="T127" s="15" t="s">
        <v>112</v>
      </c>
      <c r="W127" s="16" t="str">
        <f t="shared" si="7"/>
        <v>EN_WON_25_c03_AZE</v>
      </c>
      <c r="X127" s="12">
        <f t="shared" si="8"/>
        <v>1756</v>
      </c>
      <c r="Y127" s="11">
        <f t="shared" si="9"/>
        <v>1756</v>
      </c>
      <c r="AC127" t="s">
        <v>26</v>
      </c>
      <c r="AD127" t="s">
        <v>2473</v>
      </c>
      <c r="AE127" t="s">
        <v>2474</v>
      </c>
      <c r="AF127" t="s">
        <v>29</v>
      </c>
      <c r="AG127" t="s">
        <v>30</v>
      </c>
      <c r="AH127" t="s">
        <v>31</v>
      </c>
      <c r="AK127" t="s">
        <v>2473</v>
      </c>
      <c r="AL127" t="s">
        <v>1967</v>
      </c>
      <c r="AM127" t="s">
        <v>2422</v>
      </c>
      <c r="AN127" s="8">
        <v>148.419</v>
      </c>
      <c r="AO127">
        <v>199.694880401046</v>
      </c>
      <c r="AP127">
        <v>2430</v>
      </c>
      <c r="AQ127" s="9">
        <v>0.35955715238615</v>
      </c>
      <c r="AR127" t="s">
        <v>310</v>
      </c>
      <c r="AT127" s="15" t="s">
        <v>119</v>
      </c>
      <c r="AW127" s="11" t="str">
        <f t="shared" si="10"/>
        <v>EN_WOF_36_c02_CAN</v>
      </c>
      <c r="AX127" s="11">
        <f t="shared" si="11"/>
        <v>2430</v>
      </c>
      <c r="AY127" s="11">
        <f t="shared" si="12"/>
        <v>2430</v>
      </c>
      <c r="AZ127" s="17">
        <v>3</v>
      </c>
      <c r="BA127">
        <f t="shared" si="13"/>
        <v>24.3</v>
      </c>
    </row>
    <row r="128" spans="2:53">
      <c r="B128" t="s">
        <v>26</v>
      </c>
      <c r="C128" t="s">
        <v>2475</v>
      </c>
      <c r="D128" t="s">
        <v>2476</v>
      </c>
      <c r="E128" t="s">
        <v>29</v>
      </c>
      <c r="F128" t="s">
        <v>30</v>
      </c>
      <c r="G128" t="s">
        <v>31</v>
      </c>
      <c r="J128" t="s">
        <v>2475</v>
      </c>
      <c r="K128" t="s">
        <v>1967</v>
      </c>
      <c r="L128" t="s">
        <v>2222</v>
      </c>
      <c r="M128" s="8">
        <v>1.611</v>
      </c>
      <c r="N128">
        <v>105.747516212372</v>
      </c>
      <c r="O128">
        <v>1756</v>
      </c>
      <c r="P128" s="9">
        <v>0.262</v>
      </c>
      <c r="Q128" t="s">
        <v>137</v>
      </c>
      <c r="T128" s="15" t="s">
        <v>112</v>
      </c>
      <c r="W128" s="16" t="str">
        <f t="shared" si="7"/>
        <v>EN_WON_26_c03_AZE</v>
      </c>
      <c r="X128" s="12">
        <f t="shared" si="8"/>
        <v>1756</v>
      </c>
      <c r="Y128" s="11">
        <f t="shared" si="9"/>
        <v>1756</v>
      </c>
      <c r="AC128" t="s">
        <v>26</v>
      </c>
      <c r="AD128" t="s">
        <v>2477</v>
      </c>
      <c r="AE128" t="s">
        <v>2478</v>
      </c>
      <c r="AF128" t="s">
        <v>29</v>
      </c>
      <c r="AG128" t="s">
        <v>30</v>
      </c>
      <c r="AH128" t="s">
        <v>31</v>
      </c>
      <c r="AK128" t="s">
        <v>2477</v>
      </c>
      <c r="AL128" t="s">
        <v>1967</v>
      </c>
      <c r="AM128" t="s">
        <v>2422</v>
      </c>
      <c r="AN128" s="8">
        <v>151.3425</v>
      </c>
      <c r="AO128">
        <v>45.3852000911468</v>
      </c>
      <c r="AP128">
        <v>2430</v>
      </c>
      <c r="AQ128" s="9">
        <v>0.369220223995243</v>
      </c>
      <c r="AR128" t="s">
        <v>310</v>
      </c>
      <c r="AT128" s="15" t="s">
        <v>119</v>
      </c>
      <c r="AW128" s="11" t="str">
        <f t="shared" si="10"/>
        <v>EN_WOF_37_c01_CAN</v>
      </c>
      <c r="AX128" s="11">
        <f t="shared" si="11"/>
        <v>2430</v>
      </c>
      <c r="AY128" s="11">
        <f t="shared" si="12"/>
        <v>2430</v>
      </c>
      <c r="AZ128" s="17">
        <v>3</v>
      </c>
      <c r="BA128">
        <f t="shared" si="13"/>
        <v>24.3</v>
      </c>
    </row>
    <row r="129" spans="2:53">
      <c r="B129" t="s">
        <v>26</v>
      </c>
      <c r="C129" t="s">
        <v>2479</v>
      </c>
      <c r="D129" t="s">
        <v>2480</v>
      </c>
      <c r="E129" t="s">
        <v>29</v>
      </c>
      <c r="F129" t="s">
        <v>30</v>
      </c>
      <c r="G129" t="s">
        <v>31</v>
      </c>
      <c r="J129" t="s">
        <v>2479</v>
      </c>
      <c r="K129" t="s">
        <v>1967</v>
      </c>
      <c r="L129" t="s">
        <v>2222</v>
      </c>
      <c r="M129" s="8">
        <v>0.24675</v>
      </c>
      <c r="N129">
        <v>105.747516212372</v>
      </c>
      <c r="O129">
        <v>1756</v>
      </c>
      <c r="P129" s="9">
        <v>0.268</v>
      </c>
      <c r="Q129" t="s">
        <v>137</v>
      </c>
      <c r="T129" s="15" t="s">
        <v>112</v>
      </c>
      <c r="W129" s="16" t="str">
        <f t="shared" si="7"/>
        <v>EN_WON_27_c03_AZE</v>
      </c>
      <c r="X129" s="12">
        <f t="shared" si="8"/>
        <v>1756</v>
      </c>
      <c r="Y129" s="11">
        <f t="shared" si="9"/>
        <v>1756</v>
      </c>
      <c r="AC129" t="s">
        <v>26</v>
      </c>
      <c r="AD129" t="s">
        <v>2481</v>
      </c>
      <c r="AE129" t="s">
        <v>2482</v>
      </c>
      <c r="AF129" t="s">
        <v>29</v>
      </c>
      <c r="AG129" t="s">
        <v>30</v>
      </c>
      <c r="AH129" t="s">
        <v>31</v>
      </c>
      <c r="AK129" t="s">
        <v>2481</v>
      </c>
      <c r="AL129" t="s">
        <v>1967</v>
      </c>
      <c r="AM129" t="s">
        <v>2422</v>
      </c>
      <c r="AN129" s="8">
        <v>265.644</v>
      </c>
      <c r="AO129">
        <v>199.694880401046</v>
      </c>
      <c r="AP129">
        <v>2430</v>
      </c>
      <c r="AQ129" s="9">
        <v>0.368764672832814</v>
      </c>
      <c r="AR129" t="s">
        <v>310</v>
      </c>
      <c r="AT129" s="15" t="s">
        <v>119</v>
      </c>
      <c r="AW129" s="11" t="str">
        <f t="shared" si="10"/>
        <v>EN_WOF_37_c02_CAN</v>
      </c>
      <c r="AX129" s="11">
        <f t="shared" si="11"/>
        <v>2430</v>
      </c>
      <c r="AY129" s="11">
        <f t="shared" si="12"/>
        <v>2430</v>
      </c>
      <c r="AZ129" s="17">
        <v>3</v>
      </c>
      <c r="BA129">
        <f t="shared" si="13"/>
        <v>24.3</v>
      </c>
    </row>
    <row r="130" spans="2:53">
      <c r="B130" t="s">
        <v>26</v>
      </c>
      <c r="C130" t="s">
        <v>2483</v>
      </c>
      <c r="D130" t="s">
        <v>2484</v>
      </c>
      <c r="E130" t="s">
        <v>29</v>
      </c>
      <c r="F130" t="s">
        <v>30</v>
      </c>
      <c r="G130" t="s">
        <v>31</v>
      </c>
      <c r="J130" t="s">
        <v>2483</v>
      </c>
      <c r="K130" t="s">
        <v>1967</v>
      </c>
      <c r="L130" t="s">
        <v>2222</v>
      </c>
      <c r="M130" s="8">
        <v>0.52275</v>
      </c>
      <c r="N130">
        <v>145.23264029167</v>
      </c>
      <c r="O130">
        <v>1756</v>
      </c>
      <c r="P130" s="9">
        <v>0.282</v>
      </c>
      <c r="Q130" t="s">
        <v>137</v>
      </c>
      <c r="T130" s="15" t="s">
        <v>112</v>
      </c>
      <c r="W130" s="16" t="str">
        <f t="shared" si="7"/>
        <v>EN_WON_28_c04_AZE</v>
      </c>
      <c r="X130" s="12">
        <f t="shared" si="8"/>
        <v>1756</v>
      </c>
      <c r="Y130" s="11">
        <f t="shared" si="9"/>
        <v>1756</v>
      </c>
      <c r="AC130" t="s">
        <v>26</v>
      </c>
      <c r="AD130" t="s">
        <v>2485</v>
      </c>
      <c r="AE130" t="s">
        <v>2486</v>
      </c>
      <c r="AF130" t="s">
        <v>29</v>
      </c>
      <c r="AG130" t="s">
        <v>30</v>
      </c>
      <c r="AH130" t="s">
        <v>31</v>
      </c>
      <c r="AK130" t="s">
        <v>2485</v>
      </c>
      <c r="AL130" t="s">
        <v>1967</v>
      </c>
      <c r="AM130" t="s">
        <v>2422</v>
      </c>
      <c r="AN130" s="8">
        <v>164.7615</v>
      </c>
      <c r="AO130">
        <v>45.3852000911468</v>
      </c>
      <c r="AP130">
        <v>2430</v>
      </c>
      <c r="AQ130" s="9">
        <v>0.379255150626815</v>
      </c>
      <c r="AR130" t="s">
        <v>310</v>
      </c>
      <c r="AT130" s="15" t="s">
        <v>119</v>
      </c>
      <c r="AW130" s="11" t="str">
        <f t="shared" si="10"/>
        <v>EN_WOF_38_c01_CAN</v>
      </c>
      <c r="AX130" s="11">
        <f t="shared" si="11"/>
        <v>2430</v>
      </c>
      <c r="AY130" s="11">
        <f t="shared" si="12"/>
        <v>2430</v>
      </c>
      <c r="AZ130" s="17">
        <v>3</v>
      </c>
      <c r="BA130">
        <f t="shared" si="13"/>
        <v>24.3</v>
      </c>
    </row>
    <row r="131" spans="2:53">
      <c r="B131" t="s">
        <v>26</v>
      </c>
      <c r="C131" t="s">
        <v>2487</v>
      </c>
      <c r="D131" t="s">
        <v>2488</v>
      </c>
      <c r="E131" t="s">
        <v>29</v>
      </c>
      <c r="F131" t="s">
        <v>30</v>
      </c>
      <c r="G131" t="s">
        <v>31</v>
      </c>
      <c r="J131" t="s">
        <v>2487</v>
      </c>
      <c r="K131" t="s">
        <v>1967</v>
      </c>
      <c r="L131" t="s">
        <v>2222</v>
      </c>
      <c r="M131" s="8">
        <v>0.44775</v>
      </c>
      <c r="N131">
        <v>145.23264029167</v>
      </c>
      <c r="O131">
        <v>1756</v>
      </c>
      <c r="P131" s="9">
        <v>0.306</v>
      </c>
      <c r="Q131" t="s">
        <v>137</v>
      </c>
      <c r="T131" s="15" t="s">
        <v>112</v>
      </c>
      <c r="W131" s="16" t="str">
        <f t="shared" si="7"/>
        <v>EN_WON_31_c04_AZE</v>
      </c>
      <c r="X131" s="12">
        <f t="shared" si="8"/>
        <v>1756</v>
      </c>
      <c r="Y131" s="11">
        <f t="shared" si="9"/>
        <v>1756</v>
      </c>
      <c r="AC131" t="s">
        <v>26</v>
      </c>
      <c r="AD131" t="s">
        <v>2489</v>
      </c>
      <c r="AE131" t="s">
        <v>2490</v>
      </c>
      <c r="AF131" t="s">
        <v>29</v>
      </c>
      <c r="AG131" t="s">
        <v>30</v>
      </c>
      <c r="AH131" t="s">
        <v>31</v>
      </c>
      <c r="AK131" t="s">
        <v>2489</v>
      </c>
      <c r="AL131" t="s">
        <v>1967</v>
      </c>
      <c r="AM131" t="s">
        <v>2422</v>
      </c>
      <c r="AN131" s="8">
        <v>189.00225</v>
      </c>
      <c r="AO131">
        <v>199.694880401046</v>
      </c>
      <c r="AP131">
        <v>2430</v>
      </c>
      <c r="AQ131" s="9">
        <v>0.379830172656675</v>
      </c>
      <c r="AR131" t="s">
        <v>310</v>
      </c>
      <c r="AT131" s="15" t="s">
        <v>119</v>
      </c>
      <c r="AW131" s="11" t="str">
        <f t="shared" si="10"/>
        <v>EN_WOF_38_c02_CAN</v>
      </c>
      <c r="AX131" s="11">
        <f t="shared" si="11"/>
        <v>2430</v>
      </c>
      <c r="AY131" s="11">
        <f t="shared" si="12"/>
        <v>2430</v>
      </c>
      <c r="AZ131" s="17">
        <v>3</v>
      </c>
      <c r="BA131">
        <f t="shared" si="13"/>
        <v>24.3</v>
      </c>
    </row>
    <row r="132" spans="2:53">
      <c r="B132" t="s">
        <v>26</v>
      </c>
      <c r="C132" t="s">
        <v>2491</v>
      </c>
      <c r="D132" t="s">
        <v>2492</v>
      </c>
      <c r="E132" t="s">
        <v>29</v>
      </c>
      <c r="F132" t="s">
        <v>30</v>
      </c>
      <c r="G132" t="s">
        <v>31</v>
      </c>
      <c r="J132" t="s">
        <v>2491</v>
      </c>
      <c r="K132" t="s">
        <v>1967</v>
      </c>
      <c r="L132" t="s">
        <v>2222</v>
      </c>
      <c r="M132" s="8">
        <v>0.267</v>
      </c>
      <c r="N132">
        <v>0</v>
      </c>
      <c r="O132">
        <v>1756</v>
      </c>
      <c r="P132" s="9">
        <v>0.320977528089888</v>
      </c>
      <c r="Q132" t="s">
        <v>137</v>
      </c>
      <c r="T132" s="15" t="s">
        <v>112</v>
      </c>
      <c r="W132" s="16" t="str">
        <f t="shared" si="7"/>
        <v>EN_WON_32_c01_AZE</v>
      </c>
      <c r="X132" s="12">
        <f t="shared" si="8"/>
        <v>1756</v>
      </c>
      <c r="Y132" s="11">
        <f t="shared" si="9"/>
        <v>1756</v>
      </c>
      <c r="AC132" t="s">
        <v>26</v>
      </c>
      <c r="AD132" t="s">
        <v>2493</v>
      </c>
      <c r="AE132" t="s">
        <v>2494</v>
      </c>
      <c r="AF132" t="s">
        <v>29</v>
      </c>
      <c r="AG132" t="s">
        <v>30</v>
      </c>
      <c r="AH132" t="s">
        <v>31</v>
      </c>
      <c r="AK132" t="s">
        <v>2493</v>
      </c>
      <c r="AL132" t="s">
        <v>1967</v>
      </c>
      <c r="AM132" t="s">
        <v>2422</v>
      </c>
      <c r="AN132" s="8">
        <v>208.35225</v>
      </c>
      <c r="AO132">
        <v>45.3852000911468</v>
      </c>
      <c r="AP132">
        <v>2430</v>
      </c>
      <c r="AQ132" s="9">
        <v>0.390005514699265</v>
      </c>
      <c r="AR132" t="s">
        <v>310</v>
      </c>
      <c r="AT132" s="15" t="s">
        <v>119</v>
      </c>
      <c r="AW132" s="11" t="str">
        <f t="shared" si="10"/>
        <v>EN_WOF_39_c01_CAN</v>
      </c>
      <c r="AX132" s="11">
        <f t="shared" si="11"/>
        <v>2430</v>
      </c>
      <c r="AY132" s="11">
        <f t="shared" si="12"/>
        <v>2430</v>
      </c>
      <c r="AZ132" s="17">
        <v>3</v>
      </c>
      <c r="BA132">
        <f t="shared" si="13"/>
        <v>24.3</v>
      </c>
    </row>
    <row r="133" spans="2:53">
      <c r="B133" t="s">
        <v>26</v>
      </c>
      <c r="C133" t="s">
        <v>2495</v>
      </c>
      <c r="D133" t="s">
        <v>2496</v>
      </c>
      <c r="E133" t="s">
        <v>29</v>
      </c>
      <c r="F133" t="s">
        <v>30</v>
      </c>
      <c r="G133" t="s">
        <v>31</v>
      </c>
      <c r="J133" t="s">
        <v>2495</v>
      </c>
      <c r="K133" t="s">
        <v>1967</v>
      </c>
      <c r="L133" t="s">
        <v>2222</v>
      </c>
      <c r="M133" s="8">
        <v>1.52175</v>
      </c>
      <c r="N133">
        <v>80.7856561622413</v>
      </c>
      <c r="O133">
        <v>1756</v>
      </c>
      <c r="P133" s="9">
        <v>0.318</v>
      </c>
      <c r="Q133" t="s">
        <v>137</v>
      </c>
      <c r="T133" s="15" t="s">
        <v>112</v>
      </c>
      <c r="W133" s="16" t="str">
        <f t="shared" si="7"/>
        <v>EN_WON_32_c02_AZE</v>
      </c>
      <c r="X133" s="12">
        <f t="shared" si="8"/>
        <v>1756</v>
      </c>
      <c r="Y133" s="11">
        <f t="shared" si="9"/>
        <v>1756</v>
      </c>
      <c r="AC133" t="s">
        <v>26</v>
      </c>
      <c r="AD133" t="s">
        <v>2497</v>
      </c>
      <c r="AE133" t="s">
        <v>2498</v>
      </c>
      <c r="AF133" t="s">
        <v>29</v>
      </c>
      <c r="AG133" t="s">
        <v>30</v>
      </c>
      <c r="AH133" t="s">
        <v>31</v>
      </c>
      <c r="AK133" t="s">
        <v>2497</v>
      </c>
      <c r="AL133" t="s">
        <v>1967</v>
      </c>
      <c r="AM133" t="s">
        <v>2422</v>
      </c>
      <c r="AN133" s="8">
        <v>264.72375</v>
      </c>
      <c r="AO133">
        <v>199.694880401046</v>
      </c>
      <c r="AP133">
        <v>2430</v>
      </c>
      <c r="AQ133" s="9">
        <v>0.389667417449322</v>
      </c>
      <c r="AR133" t="s">
        <v>310</v>
      </c>
      <c r="AT133" s="15" t="s">
        <v>119</v>
      </c>
      <c r="AW133" s="11" t="str">
        <f t="shared" si="10"/>
        <v>EN_WOF_39_c02_CAN</v>
      </c>
      <c r="AX133" s="11">
        <f t="shared" si="11"/>
        <v>2430</v>
      </c>
      <c r="AY133" s="11">
        <f t="shared" si="12"/>
        <v>2430</v>
      </c>
      <c r="AZ133" s="17">
        <v>3</v>
      </c>
      <c r="BA133">
        <f t="shared" si="13"/>
        <v>24.3</v>
      </c>
    </row>
    <row r="134" spans="2:53">
      <c r="B134" t="s">
        <v>26</v>
      </c>
      <c r="C134" t="s">
        <v>2499</v>
      </c>
      <c r="D134" t="s">
        <v>2500</v>
      </c>
      <c r="E134" t="s">
        <v>29</v>
      </c>
      <c r="F134" t="s">
        <v>30</v>
      </c>
      <c r="G134" t="s">
        <v>31</v>
      </c>
      <c r="J134" t="s">
        <v>2499</v>
      </c>
      <c r="K134" t="s">
        <v>1967</v>
      </c>
      <c r="L134" t="s">
        <v>2222</v>
      </c>
      <c r="M134" s="8">
        <v>1.33875</v>
      </c>
      <c r="N134">
        <v>0</v>
      </c>
      <c r="O134">
        <v>1756</v>
      </c>
      <c r="P134" s="9">
        <v>0.399411764705882</v>
      </c>
      <c r="Q134" t="s">
        <v>137</v>
      </c>
      <c r="T134" s="15" t="s">
        <v>112</v>
      </c>
      <c r="W134" s="16" t="str">
        <f t="shared" ref="W134:W197" si="14">J134</f>
        <v>EN_WON_40_c01_AZE</v>
      </c>
      <c r="X134" s="12">
        <f t="shared" ref="X134:X197" si="15">O134</f>
        <v>1756</v>
      </c>
      <c r="Y134" s="11">
        <f t="shared" ref="Y134:Y197" si="16">X134</f>
        <v>1756</v>
      </c>
      <c r="AC134" t="s">
        <v>26</v>
      </c>
      <c r="AD134" t="s">
        <v>2501</v>
      </c>
      <c r="AE134" t="s">
        <v>2502</v>
      </c>
      <c r="AF134" t="s">
        <v>29</v>
      </c>
      <c r="AG134" t="s">
        <v>30</v>
      </c>
      <c r="AH134" t="s">
        <v>31</v>
      </c>
      <c r="AK134" t="s">
        <v>2501</v>
      </c>
      <c r="AL134" t="s">
        <v>1967</v>
      </c>
      <c r="AM134" t="s">
        <v>2422</v>
      </c>
      <c r="AN134" s="8">
        <v>258.282</v>
      </c>
      <c r="AO134">
        <v>45.3852000911468</v>
      </c>
      <c r="AP134">
        <v>2430</v>
      </c>
      <c r="AQ134" s="9">
        <v>0.398911373034125</v>
      </c>
      <c r="AR134" t="s">
        <v>310</v>
      </c>
      <c r="AT134" s="15" t="s">
        <v>119</v>
      </c>
      <c r="AW134" s="11" t="str">
        <f t="shared" ref="AW134:AW197" si="17">AK134</f>
        <v>EN_WOF_40_c01_CAN</v>
      </c>
      <c r="AX134" s="11">
        <f t="shared" ref="AX134:AX197" si="18">AP134</f>
        <v>2430</v>
      </c>
      <c r="AY134" s="11">
        <f t="shared" ref="AY134:AY197" si="19">AX134</f>
        <v>2430</v>
      </c>
      <c r="AZ134" s="17">
        <v>3</v>
      </c>
      <c r="BA134">
        <f t="shared" ref="BA134:BA197" si="20">AX134*0.01</f>
        <v>24.3</v>
      </c>
    </row>
    <row r="135" spans="2:53">
      <c r="B135" t="s">
        <v>26</v>
      </c>
      <c r="C135" t="s">
        <v>2503</v>
      </c>
      <c r="D135" t="s">
        <v>2504</v>
      </c>
      <c r="E135" t="s">
        <v>29</v>
      </c>
      <c r="F135" t="s">
        <v>30</v>
      </c>
      <c r="G135" t="s">
        <v>31</v>
      </c>
      <c r="J135" t="s">
        <v>2503</v>
      </c>
      <c r="K135" t="s">
        <v>1967</v>
      </c>
      <c r="L135" t="s">
        <v>2505</v>
      </c>
      <c r="M135" s="8">
        <v>0.0765</v>
      </c>
      <c r="N135">
        <v>145.23264029167</v>
      </c>
      <c r="O135">
        <v>1952</v>
      </c>
      <c r="P135" s="9">
        <v>0.154</v>
      </c>
      <c r="Q135" t="s">
        <v>151</v>
      </c>
      <c r="T135" s="15" t="s">
        <v>54</v>
      </c>
      <c r="W135" s="16" t="str">
        <f t="shared" si="14"/>
        <v>EN_WON_15_c04_BDI</v>
      </c>
      <c r="X135" s="12">
        <f t="shared" si="15"/>
        <v>1952</v>
      </c>
      <c r="Y135" s="11">
        <f t="shared" si="16"/>
        <v>1952</v>
      </c>
      <c r="AC135" t="s">
        <v>26</v>
      </c>
      <c r="AD135" t="s">
        <v>2506</v>
      </c>
      <c r="AE135" t="s">
        <v>2507</v>
      </c>
      <c r="AF135" t="s">
        <v>29</v>
      </c>
      <c r="AG135" t="s">
        <v>30</v>
      </c>
      <c r="AH135" t="s">
        <v>31</v>
      </c>
      <c r="AK135" t="s">
        <v>2506</v>
      </c>
      <c r="AL135" t="s">
        <v>1967</v>
      </c>
      <c r="AM135" t="s">
        <v>2422</v>
      </c>
      <c r="AN135" s="8">
        <v>354.26025</v>
      </c>
      <c r="AO135">
        <v>199.694880401046</v>
      </c>
      <c r="AP135">
        <v>2430</v>
      </c>
      <c r="AQ135" s="9">
        <v>0.399676267659157</v>
      </c>
      <c r="AR135" t="s">
        <v>310</v>
      </c>
      <c r="AT135" s="15" t="s">
        <v>119</v>
      </c>
      <c r="AW135" s="11" t="str">
        <f t="shared" si="17"/>
        <v>EN_WOF_40_c02_CAN</v>
      </c>
      <c r="AX135" s="11">
        <f t="shared" si="18"/>
        <v>2430</v>
      </c>
      <c r="AY135" s="11">
        <f t="shared" si="19"/>
        <v>2430</v>
      </c>
      <c r="AZ135" s="17">
        <v>3</v>
      </c>
      <c r="BA135">
        <f t="shared" si="20"/>
        <v>24.3</v>
      </c>
    </row>
    <row r="136" spans="2:53">
      <c r="B136" t="s">
        <v>26</v>
      </c>
      <c r="C136" t="s">
        <v>2508</v>
      </c>
      <c r="D136" t="s">
        <v>2509</v>
      </c>
      <c r="E136" t="s">
        <v>29</v>
      </c>
      <c r="F136" t="s">
        <v>30</v>
      </c>
      <c r="G136" t="s">
        <v>31</v>
      </c>
      <c r="J136" t="s">
        <v>2508</v>
      </c>
      <c r="K136" t="s">
        <v>1967</v>
      </c>
      <c r="L136" t="s">
        <v>2505</v>
      </c>
      <c r="M136" s="8">
        <v>0.12675</v>
      </c>
      <c r="N136">
        <v>145.23264029167</v>
      </c>
      <c r="O136">
        <v>1952</v>
      </c>
      <c r="P136" s="9">
        <v>0.155</v>
      </c>
      <c r="Q136" t="s">
        <v>151</v>
      </c>
      <c r="T136" s="15" t="s">
        <v>54</v>
      </c>
      <c r="W136" s="16" t="str">
        <f t="shared" si="14"/>
        <v>EN_WON_16_c04_BDI</v>
      </c>
      <c r="X136" s="12">
        <f t="shared" si="15"/>
        <v>1952</v>
      </c>
      <c r="Y136" s="11">
        <f t="shared" si="16"/>
        <v>1952</v>
      </c>
      <c r="AC136" t="s">
        <v>26</v>
      </c>
      <c r="AD136" t="s">
        <v>2510</v>
      </c>
      <c r="AE136" t="s">
        <v>2511</v>
      </c>
      <c r="AF136" t="s">
        <v>29</v>
      </c>
      <c r="AG136" t="s">
        <v>30</v>
      </c>
      <c r="AH136" t="s">
        <v>31</v>
      </c>
      <c r="AK136" t="s">
        <v>2510</v>
      </c>
      <c r="AL136" t="s">
        <v>1967</v>
      </c>
      <c r="AM136" t="s">
        <v>2422</v>
      </c>
      <c r="AN136" s="8">
        <v>227.9505</v>
      </c>
      <c r="AO136">
        <v>45.3852000911468</v>
      </c>
      <c r="AP136">
        <v>2430</v>
      </c>
      <c r="AQ136" s="9">
        <v>0.410120980212809</v>
      </c>
      <c r="AR136" t="s">
        <v>310</v>
      </c>
      <c r="AT136" s="15" t="s">
        <v>119</v>
      </c>
      <c r="AW136" s="11" t="str">
        <f t="shared" si="17"/>
        <v>EN_WOF_41_c01_CAN</v>
      </c>
      <c r="AX136" s="11">
        <f t="shared" si="18"/>
        <v>2430</v>
      </c>
      <c r="AY136" s="11">
        <f t="shared" si="19"/>
        <v>2430</v>
      </c>
      <c r="AZ136" s="17">
        <v>3</v>
      </c>
      <c r="BA136">
        <f t="shared" si="20"/>
        <v>24.3</v>
      </c>
    </row>
    <row r="137" spans="2:53">
      <c r="B137" t="s">
        <v>26</v>
      </c>
      <c r="C137" t="s">
        <v>2512</v>
      </c>
      <c r="D137" t="s">
        <v>2513</v>
      </c>
      <c r="E137" t="s">
        <v>29</v>
      </c>
      <c r="F137" t="s">
        <v>30</v>
      </c>
      <c r="G137" t="s">
        <v>31</v>
      </c>
      <c r="J137" t="s">
        <v>2512</v>
      </c>
      <c r="K137" t="s">
        <v>1967</v>
      </c>
      <c r="L137" t="s">
        <v>2505</v>
      </c>
      <c r="M137" s="8">
        <v>0.057</v>
      </c>
      <c r="N137">
        <v>145.23264029167</v>
      </c>
      <c r="O137">
        <v>1952</v>
      </c>
      <c r="P137" s="9">
        <v>0.165</v>
      </c>
      <c r="Q137" t="s">
        <v>151</v>
      </c>
      <c r="T137" s="15" t="s">
        <v>54</v>
      </c>
      <c r="W137" s="16" t="str">
        <f t="shared" si="14"/>
        <v>EN_WON_17_c04_BDI</v>
      </c>
      <c r="X137" s="12">
        <f t="shared" si="15"/>
        <v>1952</v>
      </c>
      <c r="Y137" s="11">
        <f t="shared" si="16"/>
        <v>1952</v>
      </c>
      <c r="AC137" t="s">
        <v>26</v>
      </c>
      <c r="AD137" t="s">
        <v>2514</v>
      </c>
      <c r="AE137" t="s">
        <v>2515</v>
      </c>
      <c r="AF137" t="s">
        <v>29</v>
      </c>
      <c r="AG137" t="s">
        <v>30</v>
      </c>
      <c r="AH137" t="s">
        <v>31</v>
      </c>
      <c r="AK137" t="s">
        <v>2514</v>
      </c>
      <c r="AL137" t="s">
        <v>1967</v>
      </c>
      <c r="AM137" t="s">
        <v>2422</v>
      </c>
      <c r="AN137" s="8">
        <v>298.08</v>
      </c>
      <c r="AO137">
        <v>199.694880401046</v>
      </c>
      <c r="AP137">
        <v>2430</v>
      </c>
      <c r="AQ137" s="9">
        <v>0.409266128220612</v>
      </c>
      <c r="AR137" t="s">
        <v>310</v>
      </c>
      <c r="AT137" s="15" t="s">
        <v>119</v>
      </c>
      <c r="AW137" s="11" t="str">
        <f t="shared" si="17"/>
        <v>EN_WOF_41_c02_CAN</v>
      </c>
      <c r="AX137" s="11">
        <f t="shared" si="18"/>
        <v>2430</v>
      </c>
      <c r="AY137" s="11">
        <f t="shared" si="19"/>
        <v>2430</v>
      </c>
      <c r="AZ137" s="17">
        <v>3</v>
      </c>
      <c r="BA137">
        <f t="shared" si="20"/>
        <v>24.3</v>
      </c>
    </row>
    <row r="138" spans="2:53">
      <c r="B138" t="s">
        <v>26</v>
      </c>
      <c r="C138" t="s">
        <v>2516</v>
      </c>
      <c r="D138" t="s">
        <v>2517</v>
      </c>
      <c r="E138" t="s">
        <v>29</v>
      </c>
      <c r="F138" t="s">
        <v>30</v>
      </c>
      <c r="G138" t="s">
        <v>31</v>
      </c>
      <c r="J138" t="s">
        <v>2516</v>
      </c>
      <c r="K138" t="s">
        <v>1967</v>
      </c>
      <c r="L138" t="s">
        <v>2518</v>
      </c>
      <c r="M138" s="8">
        <v>29.337</v>
      </c>
      <c r="N138">
        <v>0</v>
      </c>
      <c r="O138">
        <v>2023</v>
      </c>
      <c r="P138" s="9">
        <v>0.328793204826669</v>
      </c>
      <c r="Q138" t="s">
        <v>159</v>
      </c>
      <c r="T138" s="15" t="s">
        <v>69</v>
      </c>
      <c r="W138" s="16" t="str">
        <f t="shared" si="14"/>
        <v>EN_WON_33_c01_BEL</v>
      </c>
      <c r="X138" s="12">
        <f t="shared" si="15"/>
        <v>2023</v>
      </c>
      <c r="Y138" s="11">
        <f t="shared" si="16"/>
        <v>2023</v>
      </c>
      <c r="AC138" t="s">
        <v>26</v>
      </c>
      <c r="AD138" t="s">
        <v>2519</v>
      </c>
      <c r="AE138" t="s">
        <v>2520</v>
      </c>
      <c r="AF138" t="s">
        <v>29</v>
      </c>
      <c r="AG138" t="s">
        <v>30</v>
      </c>
      <c r="AH138" t="s">
        <v>31</v>
      </c>
      <c r="AK138" t="s">
        <v>2519</v>
      </c>
      <c r="AL138" t="s">
        <v>1967</v>
      </c>
      <c r="AM138" t="s">
        <v>2422</v>
      </c>
      <c r="AN138" s="8">
        <v>216.96</v>
      </c>
      <c r="AO138">
        <v>45.3852000911468</v>
      </c>
      <c r="AP138">
        <v>2430</v>
      </c>
      <c r="AQ138" s="9">
        <v>0.41920622925885</v>
      </c>
      <c r="AR138" t="s">
        <v>310</v>
      </c>
      <c r="AT138" s="15" t="s">
        <v>119</v>
      </c>
      <c r="AW138" s="11" t="str">
        <f t="shared" si="17"/>
        <v>EN_WOF_42_c01_CAN</v>
      </c>
      <c r="AX138" s="11">
        <f t="shared" si="18"/>
        <v>2430</v>
      </c>
      <c r="AY138" s="11">
        <f t="shared" si="19"/>
        <v>2430</v>
      </c>
      <c r="AZ138" s="17">
        <v>3</v>
      </c>
      <c r="BA138">
        <f t="shared" si="20"/>
        <v>24.3</v>
      </c>
    </row>
    <row r="139" spans="2:53">
      <c r="B139" t="s">
        <v>26</v>
      </c>
      <c r="C139" t="s">
        <v>2521</v>
      </c>
      <c r="D139" t="s">
        <v>2522</v>
      </c>
      <c r="E139" t="s">
        <v>29</v>
      </c>
      <c r="F139" t="s">
        <v>30</v>
      </c>
      <c r="G139" t="s">
        <v>31</v>
      </c>
      <c r="J139" t="s">
        <v>2521</v>
      </c>
      <c r="K139" t="s">
        <v>1967</v>
      </c>
      <c r="L139" t="s">
        <v>2518</v>
      </c>
      <c r="M139" s="8">
        <v>20.55975</v>
      </c>
      <c r="N139">
        <v>0</v>
      </c>
      <c r="O139">
        <v>2023</v>
      </c>
      <c r="P139" s="9">
        <v>0.339931455878598</v>
      </c>
      <c r="Q139" t="s">
        <v>159</v>
      </c>
      <c r="T139" s="15" t="s">
        <v>69</v>
      </c>
      <c r="W139" s="16" t="str">
        <f t="shared" si="14"/>
        <v>EN_WON_34_c01_BEL</v>
      </c>
      <c r="X139" s="12">
        <f t="shared" si="15"/>
        <v>2023</v>
      </c>
      <c r="Y139" s="11">
        <f t="shared" si="16"/>
        <v>2023</v>
      </c>
      <c r="AC139" t="s">
        <v>26</v>
      </c>
      <c r="AD139" t="s">
        <v>2523</v>
      </c>
      <c r="AE139" t="s">
        <v>2524</v>
      </c>
      <c r="AF139" t="s">
        <v>29</v>
      </c>
      <c r="AG139" t="s">
        <v>30</v>
      </c>
      <c r="AH139" t="s">
        <v>31</v>
      </c>
      <c r="AK139" t="s">
        <v>2523</v>
      </c>
      <c r="AL139" t="s">
        <v>1967</v>
      </c>
      <c r="AM139" t="s">
        <v>2422</v>
      </c>
      <c r="AN139" s="8">
        <v>417.8565</v>
      </c>
      <c r="AO139">
        <v>199.694880401046</v>
      </c>
      <c r="AP139">
        <v>2430</v>
      </c>
      <c r="AQ139" s="9">
        <v>0.41946402532927</v>
      </c>
      <c r="AR139" t="s">
        <v>310</v>
      </c>
      <c r="AT139" s="15" t="s">
        <v>119</v>
      </c>
      <c r="AW139" s="11" t="str">
        <f t="shared" si="17"/>
        <v>EN_WOF_42_c02_CAN</v>
      </c>
      <c r="AX139" s="11">
        <f t="shared" si="18"/>
        <v>2430</v>
      </c>
      <c r="AY139" s="11">
        <f t="shared" si="19"/>
        <v>2430</v>
      </c>
      <c r="AZ139" s="17">
        <v>3</v>
      </c>
      <c r="BA139">
        <f t="shared" si="20"/>
        <v>24.3</v>
      </c>
    </row>
    <row r="140" spans="2:53">
      <c r="B140" t="s">
        <v>26</v>
      </c>
      <c r="C140" t="s">
        <v>2525</v>
      </c>
      <c r="D140" t="s">
        <v>2526</v>
      </c>
      <c r="E140" t="s">
        <v>29</v>
      </c>
      <c r="F140" t="s">
        <v>30</v>
      </c>
      <c r="G140" t="s">
        <v>31</v>
      </c>
      <c r="J140" t="s">
        <v>2525</v>
      </c>
      <c r="K140" t="s">
        <v>1967</v>
      </c>
      <c r="L140" t="s">
        <v>2518</v>
      </c>
      <c r="M140" s="8">
        <v>21.42525</v>
      </c>
      <c r="N140">
        <v>0</v>
      </c>
      <c r="O140">
        <v>2023</v>
      </c>
      <c r="P140" s="9">
        <v>0.347884867154409</v>
      </c>
      <c r="Q140" t="s">
        <v>159</v>
      </c>
      <c r="T140" s="15" t="s">
        <v>69</v>
      </c>
      <c r="W140" s="16" t="str">
        <f t="shared" si="14"/>
        <v>EN_WON_35_c01_BEL</v>
      </c>
      <c r="X140" s="12">
        <f t="shared" si="15"/>
        <v>2023</v>
      </c>
      <c r="Y140" s="11">
        <f t="shared" si="16"/>
        <v>2023</v>
      </c>
      <c r="AC140" t="s">
        <v>26</v>
      </c>
      <c r="AD140" t="s">
        <v>2527</v>
      </c>
      <c r="AE140" t="s">
        <v>2528</v>
      </c>
      <c r="AF140" t="s">
        <v>29</v>
      </c>
      <c r="AG140" t="s">
        <v>30</v>
      </c>
      <c r="AH140" t="s">
        <v>31</v>
      </c>
      <c r="AK140" t="s">
        <v>2527</v>
      </c>
      <c r="AL140" t="s">
        <v>1967</v>
      </c>
      <c r="AM140" t="s">
        <v>2422</v>
      </c>
      <c r="AN140" s="8">
        <v>296.72925</v>
      </c>
      <c r="AO140">
        <v>45.3852000911468</v>
      </c>
      <c r="AP140">
        <v>2430</v>
      </c>
      <c r="AQ140" s="9">
        <v>0.428774117314016</v>
      </c>
      <c r="AR140" t="s">
        <v>310</v>
      </c>
      <c r="AT140" s="15" t="s">
        <v>119</v>
      </c>
      <c r="AW140" s="11" t="str">
        <f t="shared" si="17"/>
        <v>EN_WOF_43_c01_CAN</v>
      </c>
      <c r="AX140" s="11">
        <f t="shared" si="18"/>
        <v>2430</v>
      </c>
      <c r="AY140" s="11">
        <f t="shared" si="19"/>
        <v>2430</v>
      </c>
      <c r="AZ140" s="17">
        <v>3</v>
      </c>
      <c r="BA140">
        <f t="shared" si="20"/>
        <v>24.3</v>
      </c>
    </row>
    <row r="141" spans="2:53">
      <c r="B141" t="s">
        <v>26</v>
      </c>
      <c r="C141" t="s">
        <v>2529</v>
      </c>
      <c r="D141" t="s">
        <v>2530</v>
      </c>
      <c r="E141" t="s">
        <v>29</v>
      </c>
      <c r="F141" t="s">
        <v>30</v>
      </c>
      <c r="G141" t="s">
        <v>31</v>
      </c>
      <c r="J141" t="s">
        <v>2529</v>
      </c>
      <c r="K141" t="s">
        <v>1967</v>
      </c>
      <c r="L141" t="s">
        <v>2518</v>
      </c>
      <c r="M141" s="8">
        <v>12.5355</v>
      </c>
      <c r="N141">
        <v>0</v>
      </c>
      <c r="O141">
        <v>2023</v>
      </c>
      <c r="P141" s="9">
        <v>0.356</v>
      </c>
      <c r="Q141" t="s">
        <v>159</v>
      </c>
      <c r="T141" s="15" t="s">
        <v>69</v>
      </c>
      <c r="W141" s="16" t="str">
        <f t="shared" si="14"/>
        <v>EN_WON_36_c01_BEL</v>
      </c>
      <c r="X141" s="12">
        <f t="shared" si="15"/>
        <v>2023</v>
      </c>
      <c r="Y141" s="11">
        <f t="shared" si="16"/>
        <v>2023</v>
      </c>
      <c r="AC141" t="s">
        <v>26</v>
      </c>
      <c r="AD141" t="s">
        <v>2531</v>
      </c>
      <c r="AE141" t="s">
        <v>2532</v>
      </c>
      <c r="AF141" t="s">
        <v>29</v>
      </c>
      <c r="AG141" t="s">
        <v>30</v>
      </c>
      <c r="AH141" t="s">
        <v>31</v>
      </c>
      <c r="AK141" t="s">
        <v>2531</v>
      </c>
      <c r="AL141" t="s">
        <v>1967</v>
      </c>
      <c r="AM141" t="s">
        <v>2422</v>
      </c>
      <c r="AN141" s="8">
        <v>431.835</v>
      </c>
      <c r="AO141">
        <v>199.694880401046</v>
      </c>
      <c r="AP141">
        <v>2430</v>
      </c>
      <c r="AQ141" s="9">
        <v>0.428395595539963</v>
      </c>
      <c r="AR141" t="s">
        <v>310</v>
      </c>
      <c r="AT141" s="15" t="s">
        <v>119</v>
      </c>
      <c r="AW141" s="11" t="str">
        <f t="shared" si="17"/>
        <v>EN_WOF_43_c02_CAN</v>
      </c>
      <c r="AX141" s="11">
        <f t="shared" si="18"/>
        <v>2430</v>
      </c>
      <c r="AY141" s="11">
        <f t="shared" si="19"/>
        <v>2430</v>
      </c>
      <c r="AZ141" s="17">
        <v>3</v>
      </c>
      <c r="BA141">
        <f t="shared" si="20"/>
        <v>24.3</v>
      </c>
    </row>
    <row r="142" spans="2:53">
      <c r="B142" t="s">
        <v>26</v>
      </c>
      <c r="C142" t="s">
        <v>2533</v>
      </c>
      <c r="D142" t="s">
        <v>2534</v>
      </c>
      <c r="E142" t="s">
        <v>29</v>
      </c>
      <c r="F142" t="s">
        <v>30</v>
      </c>
      <c r="G142" t="s">
        <v>31</v>
      </c>
      <c r="J142" t="s">
        <v>2533</v>
      </c>
      <c r="K142" t="s">
        <v>1967</v>
      </c>
      <c r="L142" t="s">
        <v>2535</v>
      </c>
      <c r="M142" s="8">
        <v>16.842</v>
      </c>
      <c r="N142">
        <v>105.747516212372</v>
      </c>
      <c r="O142">
        <v>1952</v>
      </c>
      <c r="P142" s="9">
        <v>0.157547381546135</v>
      </c>
      <c r="Q142" t="s">
        <v>165</v>
      </c>
      <c r="T142" s="15" t="s">
        <v>54</v>
      </c>
      <c r="W142" s="16" t="str">
        <f t="shared" si="14"/>
        <v>EN_WON_16_c03_BEN</v>
      </c>
      <c r="X142" s="12">
        <f t="shared" si="15"/>
        <v>1952</v>
      </c>
      <c r="Y142" s="11">
        <f t="shared" si="16"/>
        <v>1952</v>
      </c>
      <c r="AC142" t="s">
        <v>26</v>
      </c>
      <c r="AD142" t="s">
        <v>2536</v>
      </c>
      <c r="AE142" t="s">
        <v>2537</v>
      </c>
      <c r="AF142" t="s">
        <v>29</v>
      </c>
      <c r="AG142" t="s">
        <v>30</v>
      </c>
      <c r="AH142" t="s">
        <v>31</v>
      </c>
      <c r="AK142" t="s">
        <v>2536</v>
      </c>
      <c r="AL142" t="s">
        <v>1967</v>
      </c>
      <c r="AM142" t="s">
        <v>2422</v>
      </c>
      <c r="AN142" s="8">
        <v>251.3805</v>
      </c>
      <c r="AO142">
        <v>45.3852000911468</v>
      </c>
      <c r="AP142">
        <v>2430</v>
      </c>
      <c r="AQ142" s="9">
        <v>0.439195659567866</v>
      </c>
      <c r="AR142" t="s">
        <v>310</v>
      </c>
      <c r="AT142" s="15" t="s">
        <v>119</v>
      </c>
      <c r="AW142" s="11" t="str">
        <f t="shared" si="17"/>
        <v>EN_WOF_44_c01_CAN</v>
      </c>
      <c r="AX142" s="11">
        <f t="shared" si="18"/>
        <v>2430</v>
      </c>
      <c r="AY142" s="11">
        <f t="shared" si="19"/>
        <v>2430</v>
      </c>
      <c r="AZ142" s="17">
        <v>3</v>
      </c>
      <c r="BA142">
        <f t="shared" si="20"/>
        <v>24.3</v>
      </c>
    </row>
    <row r="143" spans="2:53">
      <c r="B143" t="s">
        <v>26</v>
      </c>
      <c r="C143" t="s">
        <v>2538</v>
      </c>
      <c r="D143" t="s">
        <v>2539</v>
      </c>
      <c r="E143" t="s">
        <v>29</v>
      </c>
      <c r="F143" t="s">
        <v>30</v>
      </c>
      <c r="G143" t="s">
        <v>31</v>
      </c>
      <c r="J143" t="s">
        <v>2538</v>
      </c>
      <c r="K143" t="s">
        <v>1967</v>
      </c>
      <c r="L143" t="s">
        <v>2535</v>
      </c>
      <c r="M143" s="8">
        <v>0.684</v>
      </c>
      <c r="N143">
        <v>145.23264029167</v>
      </c>
      <c r="O143">
        <v>1952</v>
      </c>
      <c r="P143" s="9">
        <v>0.162</v>
      </c>
      <c r="Q143" t="s">
        <v>165</v>
      </c>
      <c r="T143" s="15" t="s">
        <v>54</v>
      </c>
      <c r="W143" s="16" t="str">
        <f t="shared" si="14"/>
        <v>EN_WON_16_c04_BEN</v>
      </c>
      <c r="X143" s="12">
        <f t="shared" si="15"/>
        <v>1952</v>
      </c>
      <c r="Y143" s="11">
        <f t="shared" si="16"/>
        <v>1952</v>
      </c>
      <c r="AC143" t="s">
        <v>26</v>
      </c>
      <c r="AD143" t="s">
        <v>2540</v>
      </c>
      <c r="AE143" t="s">
        <v>2541</v>
      </c>
      <c r="AF143" t="s">
        <v>29</v>
      </c>
      <c r="AG143" t="s">
        <v>30</v>
      </c>
      <c r="AH143" t="s">
        <v>31</v>
      </c>
      <c r="AK143" t="s">
        <v>2540</v>
      </c>
      <c r="AL143" t="s">
        <v>1967</v>
      </c>
      <c r="AM143" t="s">
        <v>2422</v>
      </c>
      <c r="AN143" s="8">
        <v>376.3755</v>
      </c>
      <c r="AO143">
        <v>199.694880401046</v>
      </c>
      <c r="AP143">
        <v>2430</v>
      </c>
      <c r="AQ143" s="9">
        <v>0.439362996528733</v>
      </c>
      <c r="AR143" t="s">
        <v>310</v>
      </c>
      <c r="AT143" s="15" t="s">
        <v>119</v>
      </c>
      <c r="AW143" s="11" t="str">
        <f t="shared" si="17"/>
        <v>EN_WOF_44_c02_CAN</v>
      </c>
      <c r="AX143" s="11">
        <f t="shared" si="18"/>
        <v>2430</v>
      </c>
      <c r="AY143" s="11">
        <f t="shared" si="19"/>
        <v>2430</v>
      </c>
      <c r="AZ143" s="17">
        <v>3</v>
      </c>
      <c r="BA143">
        <f t="shared" si="20"/>
        <v>24.3</v>
      </c>
    </row>
    <row r="144" spans="2:53">
      <c r="B144" t="s">
        <v>26</v>
      </c>
      <c r="C144" t="s">
        <v>2542</v>
      </c>
      <c r="D144" t="s">
        <v>2543</v>
      </c>
      <c r="E144" t="s">
        <v>29</v>
      </c>
      <c r="F144" t="s">
        <v>30</v>
      </c>
      <c r="G144" t="s">
        <v>31</v>
      </c>
      <c r="J144" t="s">
        <v>2542</v>
      </c>
      <c r="K144" t="s">
        <v>1967</v>
      </c>
      <c r="L144" t="s">
        <v>2535</v>
      </c>
      <c r="M144" s="8">
        <v>0.38475</v>
      </c>
      <c r="N144">
        <v>80.7856561622413</v>
      </c>
      <c r="O144">
        <v>1952</v>
      </c>
      <c r="P144" s="9">
        <v>0.174</v>
      </c>
      <c r="Q144" t="s">
        <v>165</v>
      </c>
      <c r="T144" s="15" t="s">
        <v>54</v>
      </c>
      <c r="W144" s="16" t="str">
        <f t="shared" si="14"/>
        <v>EN_WON_17_c02_BEN</v>
      </c>
      <c r="X144" s="12">
        <f t="shared" si="15"/>
        <v>1952</v>
      </c>
      <c r="Y144" s="11">
        <f t="shared" si="16"/>
        <v>1952</v>
      </c>
      <c r="AC144" t="s">
        <v>26</v>
      </c>
      <c r="AD144" t="s">
        <v>2544</v>
      </c>
      <c r="AE144" t="s">
        <v>2545</v>
      </c>
      <c r="AF144" t="s">
        <v>29</v>
      </c>
      <c r="AG144" t="s">
        <v>30</v>
      </c>
      <c r="AH144" t="s">
        <v>31</v>
      </c>
      <c r="AK144" t="s">
        <v>2544</v>
      </c>
      <c r="AL144" t="s">
        <v>1967</v>
      </c>
      <c r="AM144" t="s">
        <v>2422</v>
      </c>
      <c r="AN144" s="8">
        <v>162.30525</v>
      </c>
      <c r="AO144">
        <v>45.3852000911468</v>
      </c>
      <c r="AP144">
        <v>2430</v>
      </c>
      <c r="AQ144" s="9">
        <v>0.449126645626066</v>
      </c>
      <c r="AR144" t="s">
        <v>310</v>
      </c>
      <c r="AT144" s="15" t="s">
        <v>119</v>
      </c>
      <c r="AW144" s="11" t="str">
        <f t="shared" si="17"/>
        <v>EN_WOF_45_c01_CAN</v>
      </c>
      <c r="AX144" s="11">
        <f t="shared" si="18"/>
        <v>2430</v>
      </c>
      <c r="AY144" s="11">
        <f t="shared" si="19"/>
        <v>2430</v>
      </c>
      <c r="AZ144" s="17">
        <v>3</v>
      </c>
      <c r="BA144">
        <f t="shared" si="20"/>
        <v>24.3</v>
      </c>
    </row>
    <row r="145" spans="2:53">
      <c r="B145" t="s">
        <v>26</v>
      </c>
      <c r="C145" t="s">
        <v>2546</v>
      </c>
      <c r="D145" t="s">
        <v>2547</v>
      </c>
      <c r="E145" t="s">
        <v>29</v>
      </c>
      <c r="F145" t="s">
        <v>30</v>
      </c>
      <c r="G145" t="s">
        <v>31</v>
      </c>
      <c r="J145" t="s">
        <v>2546</v>
      </c>
      <c r="K145" t="s">
        <v>1967</v>
      </c>
      <c r="L145" t="s">
        <v>2535</v>
      </c>
      <c r="M145" s="8">
        <v>7.26075</v>
      </c>
      <c r="N145">
        <v>105.747516212372</v>
      </c>
      <c r="O145">
        <v>1952</v>
      </c>
      <c r="P145" s="9">
        <v>0.167610267534346</v>
      </c>
      <c r="Q145" t="s">
        <v>165</v>
      </c>
      <c r="T145" s="15" t="s">
        <v>54</v>
      </c>
      <c r="W145" s="16" t="str">
        <f t="shared" si="14"/>
        <v>EN_WON_17_c03_BEN</v>
      </c>
      <c r="X145" s="12">
        <f t="shared" si="15"/>
        <v>1952</v>
      </c>
      <c r="Y145" s="11">
        <f t="shared" si="16"/>
        <v>1952</v>
      </c>
      <c r="AC145" t="s">
        <v>26</v>
      </c>
      <c r="AD145" t="s">
        <v>2548</v>
      </c>
      <c r="AE145" t="s">
        <v>2549</v>
      </c>
      <c r="AF145" t="s">
        <v>29</v>
      </c>
      <c r="AG145" t="s">
        <v>30</v>
      </c>
      <c r="AH145" t="s">
        <v>31</v>
      </c>
      <c r="AK145" t="s">
        <v>2548</v>
      </c>
      <c r="AL145" t="s">
        <v>1967</v>
      </c>
      <c r="AM145" t="s">
        <v>2422</v>
      </c>
      <c r="AN145" s="8">
        <v>341.11725</v>
      </c>
      <c r="AO145">
        <v>199.694880401046</v>
      </c>
      <c r="AP145">
        <v>2430</v>
      </c>
      <c r="AQ145" s="9">
        <v>0.448448352436003</v>
      </c>
      <c r="AR145" t="s">
        <v>310</v>
      </c>
      <c r="AT145" s="15" t="s">
        <v>119</v>
      </c>
      <c r="AW145" s="11" t="str">
        <f t="shared" si="17"/>
        <v>EN_WOF_45_c02_CAN</v>
      </c>
      <c r="AX145" s="11">
        <f t="shared" si="18"/>
        <v>2430</v>
      </c>
      <c r="AY145" s="11">
        <f t="shared" si="19"/>
        <v>2430</v>
      </c>
      <c r="AZ145" s="17">
        <v>3</v>
      </c>
      <c r="BA145">
        <f t="shared" si="20"/>
        <v>24.3</v>
      </c>
    </row>
    <row r="146" spans="2:53">
      <c r="B146" t="s">
        <v>26</v>
      </c>
      <c r="C146" t="s">
        <v>2550</v>
      </c>
      <c r="D146" t="s">
        <v>2551</v>
      </c>
      <c r="E146" t="s">
        <v>29</v>
      </c>
      <c r="F146" t="s">
        <v>30</v>
      </c>
      <c r="G146" t="s">
        <v>31</v>
      </c>
      <c r="J146" t="s">
        <v>2550</v>
      </c>
      <c r="K146" t="s">
        <v>1967</v>
      </c>
      <c r="L146" t="s">
        <v>2535</v>
      </c>
      <c r="M146" s="8">
        <v>4.8435</v>
      </c>
      <c r="N146">
        <v>105.747516212372</v>
      </c>
      <c r="O146">
        <v>1952</v>
      </c>
      <c r="P146" s="9">
        <v>0.180556209352741</v>
      </c>
      <c r="Q146" t="s">
        <v>165</v>
      </c>
      <c r="T146" s="15" t="s">
        <v>54</v>
      </c>
      <c r="W146" s="16" t="str">
        <f t="shared" si="14"/>
        <v>EN_WON_18_c03_BEN</v>
      </c>
      <c r="X146" s="12">
        <f t="shared" si="15"/>
        <v>1952</v>
      </c>
      <c r="Y146" s="11">
        <f t="shared" si="16"/>
        <v>1952</v>
      </c>
      <c r="AC146" t="s">
        <v>26</v>
      </c>
      <c r="AD146" t="s">
        <v>2552</v>
      </c>
      <c r="AE146" t="s">
        <v>2553</v>
      </c>
      <c r="AF146" t="s">
        <v>29</v>
      </c>
      <c r="AG146" t="s">
        <v>30</v>
      </c>
      <c r="AH146" t="s">
        <v>31</v>
      </c>
      <c r="AK146" t="s">
        <v>2552</v>
      </c>
      <c r="AL146" t="s">
        <v>1967</v>
      </c>
      <c r="AM146" t="s">
        <v>2422</v>
      </c>
      <c r="AN146" s="8">
        <v>77.63325</v>
      </c>
      <c r="AO146">
        <v>45.3852000911468</v>
      </c>
      <c r="AP146">
        <v>2430</v>
      </c>
      <c r="AQ146" s="9">
        <v>0.458175836384539</v>
      </c>
      <c r="AR146" t="s">
        <v>310</v>
      </c>
      <c r="AT146" s="15" t="s">
        <v>119</v>
      </c>
      <c r="AW146" s="11" t="str">
        <f t="shared" si="17"/>
        <v>EN_WOF_46_c01_CAN</v>
      </c>
      <c r="AX146" s="11">
        <f t="shared" si="18"/>
        <v>2430</v>
      </c>
      <c r="AY146" s="11">
        <f t="shared" si="19"/>
        <v>2430</v>
      </c>
      <c r="AZ146" s="17">
        <v>3</v>
      </c>
      <c r="BA146">
        <f t="shared" si="20"/>
        <v>24.3</v>
      </c>
    </row>
    <row r="147" spans="2:53">
      <c r="B147" t="s">
        <v>26</v>
      </c>
      <c r="C147" t="s">
        <v>2554</v>
      </c>
      <c r="D147" t="s">
        <v>2555</v>
      </c>
      <c r="E147" t="s">
        <v>29</v>
      </c>
      <c r="F147" t="s">
        <v>30</v>
      </c>
      <c r="G147" t="s">
        <v>31</v>
      </c>
      <c r="J147" t="s">
        <v>2554</v>
      </c>
      <c r="K147" t="s">
        <v>1967</v>
      </c>
      <c r="L147" t="s">
        <v>2535</v>
      </c>
      <c r="M147" s="8">
        <v>1.50075</v>
      </c>
      <c r="N147">
        <v>145.23264029167</v>
      </c>
      <c r="O147">
        <v>1952</v>
      </c>
      <c r="P147" s="9">
        <v>0.179</v>
      </c>
      <c r="Q147" t="s">
        <v>165</v>
      </c>
      <c r="T147" s="15" t="s">
        <v>54</v>
      </c>
      <c r="W147" s="16" t="str">
        <f t="shared" si="14"/>
        <v>EN_WON_18_c04_BEN</v>
      </c>
      <c r="X147" s="12">
        <f t="shared" si="15"/>
        <v>1952</v>
      </c>
      <c r="Y147" s="11">
        <f t="shared" si="16"/>
        <v>1952</v>
      </c>
      <c r="AC147" t="s">
        <v>26</v>
      </c>
      <c r="AD147" t="s">
        <v>2556</v>
      </c>
      <c r="AE147" t="s">
        <v>2557</v>
      </c>
      <c r="AF147" t="s">
        <v>29</v>
      </c>
      <c r="AG147" t="s">
        <v>30</v>
      </c>
      <c r="AH147" t="s">
        <v>31</v>
      </c>
      <c r="AK147" t="s">
        <v>2556</v>
      </c>
      <c r="AL147" t="s">
        <v>1967</v>
      </c>
      <c r="AM147" t="s">
        <v>2422</v>
      </c>
      <c r="AN147" s="8">
        <v>273.48075</v>
      </c>
      <c r="AO147">
        <v>199.694880401046</v>
      </c>
      <c r="AP147">
        <v>2430</v>
      </c>
      <c r="AQ147" s="9">
        <v>0.459384057195982</v>
      </c>
      <c r="AR147" t="s">
        <v>310</v>
      </c>
      <c r="AT147" s="15" t="s">
        <v>119</v>
      </c>
      <c r="AW147" s="11" t="str">
        <f t="shared" si="17"/>
        <v>EN_WOF_46_c02_CAN</v>
      </c>
      <c r="AX147" s="11">
        <f t="shared" si="18"/>
        <v>2430</v>
      </c>
      <c r="AY147" s="11">
        <f t="shared" si="19"/>
        <v>2430</v>
      </c>
      <c r="AZ147" s="17">
        <v>3</v>
      </c>
      <c r="BA147">
        <f t="shared" si="20"/>
        <v>24.3</v>
      </c>
    </row>
    <row r="148" spans="2:53">
      <c r="B148" t="s">
        <v>26</v>
      </c>
      <c r="C148" t="s">
        <v>2558</v>
      </c>
      <c r="D148" t="s">
        <v>2559</v>
      </c>
      <c r="E148" t="s">
        <v>29</v>
      </c>
      <c r="F148" t="s">
        <v>30</v>
      </c>
      <c r="G148" t="s">
        <v>31</v>
      </c>
      <c r="J148" t="s">
        <v>2558</v>
      </c>
      <c r="K148" t="s">
        <v>1967</v>
      </c>
      <c r="L148" t="s">
        <v>2535</v>
      </c>
      <c r="M148" s="8">
        <v>1.99875</v>
      </c>
      <c r="N148">
        <v>105.747516212372</v>
      </c>
      <c r="O148">
        <v>1952</v>
      </c>
      <c r="P148" s="9">
        <v>0.185</v>
      </c>
      <c r="Q148" t="s">
        <v>165</v>
      </c>
      <c r="T148" s="15" t="s">
        <v>54</v>
      </c>
      <c r="W148" s="16" t="str">
        <f t="shared" si="14"/>
        <v>EN_WON_19_c03_BEN</v>
      </c>
      <c r="X148" s="12">
        <f t="shared" si="15"/>
        <v>1952</v>
      </c>
      <c r="Y148" s="11">
        <f t="shared" si="16"/>
        <v>1952</v>
      </c>
      <c r="AC148" t="s">
        <v>26</v>
      </c>
      <c r="AD148" t="s">
        <v>2560</v>
      </c>
      <c r="AE148" t="s">
        <v>2561</v>
      </c>
      <c r="AF148" t="s">
        <v>29</v>
      </c>
      <c r="AG148" t="s">
        <v>30</v>
      </c>
      <c r="AH148" t="s">
        <v>31</v>
      </c>
      <c r="AK148" t="s">
        <v>2560</v>
      </c>
      <c r="AL148" t="s">
        <v>1967</v>
      </c>
      <c r="AM148" t="s">
        <v>2422</v>
      </c>
      <c r="AN148" s="8">
        <v>87.19125</v>
      </c>
      <c r="AO148">
        <v>45.3852000911468</v>
      </c>
      <c r="AP148">
        <v>2430</v>
      </c>
      <c r="AQ148" s="9">
        <v>0.47019152724614</v>
      </c>
      <c r="AR148" t="s">
        <v>310</v>
      </c>
      <c r="AT148" s="15" t="s">
        <v>119</v>
      </c>
      <c r="AW148" s="11" t="str">
        <f t="shared" si="17"/>
        <v>EN_WOF_47_c01_CAN</v>
      </c>
      <c r="AX148" s="11">
        <f t="shared" si="18"/>
        <v>2430</v>
      </c>
      <c r="AY148" s="11">
        <f t="shared" si="19"/>
        <v>2430</v>
      </c>
      <c r="AZ148" s="17">
        <v>3</v>
      </c>
      <c r="BA148">
        <f t="shared" si="20"/>
        <v>24.3</v>
      </c>
    </row>
    <row r="149" spans="2:53">
      <c r="B149" t="s">
        <v>26</v>
      </c>
      <c r="C149" t="s">
        <v>2562</v>
      </c>
      <c r="D149" t="s">
        <v>2563</v>
      </c>
      <c r="E149" t="s">
        <v>29</v>
      </c>
      <c r="F149" t="s">
        <v>30</v>
      </c>
      <c r="G149" t="s">
        <v>31</v>
      </c>
      <c r="J149" t="s">
        <v>2562</v>
      </c>
      <c r="K149" t="s">
        <v>1967</v>
      </c>
      <c r="L149" t="s">
        <v>2564</v>
      </c>
      <c r="M149" s="8">
        <v>2.478</v>
      </c>
      <c r="N149">
        <v>0</v>
      </c>
      <c r="O149">
        <v>1952</v>
      </c>
      <c r="P149" s="9">
        <v>0.24</v>
      </c>
      <c r="Q149" t="s">
        <v>171</v>
      </c>
      <c r="T149" s="15" t="s">
        <v>54</v>
      </c>
      <c r="W149" s="16" t="str">
        <f t="shared" si="14"/>
        <v>EN_WON_24_c01_BFA</v>
      </c>
      <c r="X149" s="12">
        <f t="shared" si="15"/>
        <v>1952</v>
      </c>
      <c r="Y149" s="11">
        <f t="shared" si="16"/>
        <v>1952</v>
      </c>
      <c r="AC149" t="s">
        <v>26</v>
      </c>
      <c r="AD149" t="s">
        <v>2565</v>
      </c>
      <c r="AE149" t="s">
        <v>2566</v>
      </c>
      <c r="AF149" t="s">
        <v>29</v>
      </c>
      <c r="AG149" t="s">
        <v>30</v>
      </c>
      <c r="AH149" t="s">
        <v>31</v>
      </c>
      <c r="AK149" t="s">
        <v>2565</v>
      </c>
      <c r="AL149" t="s">
        <v>1967</v>
      </c>
      <c r="AM149" t="s">
        <v>2422</v>
      </c>
      <c r="AN149" s="8">
        <v>401.76525</v>
      </c>
      <c r="AO149">
        <v>199.694880401046</v>
      </c>
      <c r="AP149">
        <v>2430</v>
      </c>
      <c r="AQ149" s="9">
        <v>0.468753889864791</v>
      </c>
      <c r="AR149" t="s">
        <v>310</v>
      </c>
      <c r="AT149" s="15" t="s">
        <v>119</v>
      </c>
      <c r="AW149" s="11" t="str">
        <f t="shared" si="17"/>
        <v>EN_WOF_47_c02_CAN</v>
      </c>
      <c r="AX149" s="11">
        <f t="shared" si="18"/>
        <v>2430</v>
      </c>
      <c r="AY149" s="11">
        <f t="shared" si="19"/>
        <v>2430</v>
      </c>
      <c r="AZ149" s="17">
        <v>3</v>
      </c>
      <c r="BA149">
        <f t="shared" si="20"/>
        <v>24.3</v>
      </c>
    </row>
    <row r="150" spans="2:53">
      <c r="B150" t="s">
        <v>26</v>
      </c>
      <c r="C150" t="s">
        <v>2567</v>
      </c>
      <c r="D150" t="s">
        <v>2568</v>
      </c>
      <c r="E150" t="s">
        <v>29</v>
      </c>
      <c r="F150" t="s">
        <v>30</v>
      </c>
      <c r="G150" t="s">
        <v>31</v>
      </c>
      <c r="J150" t="s">
        <v>2567</v>
      </c>
      <c r="K150" t="s">
        <v>1967</v>
      </c>
      <c r="L150" t="s">
        <v>2564</v>
      </c>
      <c r="M150" s="8">
        <v>11.184</v>
      </c>
      <c r="N150">
        <v>80.7856561622413</v>
      </c>
      <c r="O150">
        <v>1952</v>
      </c>
      <c r="P150" s="9">
        <v>0.23891785139485</v>
      </c>
      <c r="Q150" t="s">
        <v>171</v>
      </c>
      <c r="T150" s="15" t="s">
        <v>54</v>
      </c>
      <c r="W150" s="16" t="str">
        <f t="shared" si="14"/>
        <v>EN_WON_24_c02_BFA</v>
      </c>
      <c r="X150" s="12">
        <f t="shared" si="15"/>
        <v>1952</v>
      </c>
      <c r="Y150" s="11">
        <f t="shared" si="16"/>
        <v>1952</v>
      </c>
      <c r="AC150" t="s">
        <v>26</v>
      </c>
      <c r="AD150" t="s">
        <v>2569</v>
      </c>
      <c r="AE150" t="s">
        <v>2570</v>
      </c>
      <c r="AF150" t="s">
        <v>29</v>
      </c>
      <c r="AG150" t="s">
        <v>30</v>
      </c>
      <c r="AH150" t="s">
        <v>31</v>
      </c>
      <c r="AK150" t="s">
        <v>2569</v>
      </c>
      <c r="AL150" t="s">
        <v>1967</v>
      </c>
      <c r="AM150" t="s">
        <v>2422</v>
      </c>
      <c r="AN150" s="8">
        <v>56.5185</v>
      </c>
      <c r="AO150">
        <v>45.3852000911468</v>
      </c>
      <c r="AP150">
        <v>2430</v>
      </c>
      <c r="AQ150" s="9">
        <v>0.480609756097561</v>
      </c>
      <c r="AR150" t="s">
        <v>310</v>
      </c>
      <c r="AT150" s="15" t="s">
        <v>119</v>
      </c>
      <c r="AW150" s="11" t="str">
        <f t="shared" si="17"/>
        <v>EN_WOF_48_c01_CAN</v>
      </c>
      <c r="AX150" s="11">
        <f t="shared" si="18"/>
        <v>2430</v>
      </c>
      <c r="AY150" s="11">
        <f t="shared" si="19"/>
        <v>2430</v>
      </c>
      <c r="AZ150" s="17">
        <v>3</v>
      </c>
      <c r="BA150">
        <f t="shared" si="20"/>
        <v>24.3</v>
      </c>
    </row>
    <row r="151" spans="2:53">
      <c r="B151" t="s">
        <v>26</v>
      </c>
      <c r="C151" t="s">
        <v>2571</v>
      </c>
      <c r="D151" t="s">
        <v>2572</v>
      </c>
      <c r="E151" t="s">
        <v>29</v>
      </c>
      <c r="F151" t="s">
        <v>30</v>
      </c>
      <c r="G151" t="s">
        <v>31</v>
      </c>
      <c r="J151" t="s">
        <v>2571</v>
      </c>
      <c r="K151" t="s">
        <v>1967</v>
      </c>
      <c r="L151" t="s">
        <v>2564</v>
      </c>
      <c r="M151" s="8">
        <v>3.915</v>
      </c>
      <c r="N151">
        <v>105.747516212372</v>
      </c>
      <c r="O151">
        <v>1952</v>
      </c>
      <c r="P151" s="9">
        <v>0.243</v>
      </c>
      <c r="Q151" t="s">
        <v>171</v>
      </c>
      <c r="T151" s="15" t="s">
        <v>54</v>
      </c>
      <c r="W151" s="16" t="str">
        <f t="shared" si="14"/>
        <v>EN_WON_24_c03_BFA</v>
      </c>
      <c r="X151" s="12">
        <f t="shared" si="15"/>
        <v>1952</v>
      </c>
      <c r="Y151" s="11">
        <f t="shared" si="16"/>
        <v>1952</v>
      </c>
      <c r="AC151" t="s">
        <v>26</v>
      </c>
      <c r="AD151" t="s">
        <v>2573</v>
      </c>
      <c r="AE151" t="s">
        <v>2574</v>
      </c>
      <c r="AF151" t="s">
        <v>29</v>
      </c>
      <c r="AG151" t="s">
        <v>30</v>
      </c>
      <c r="AH151" t="s">
        <v>31</v>
      </c>
      <c r="AK151" t="s">
        <v>2573</v>
      </c>
      <c r="AL151" t="s">
        <v>1967</v>
      </c>
      <c r="AM151" t="s">
        <v>2422</v>
      </c>
      <c r="AN151" s="8">
        <v>343.77</v>
      </c>
      <c r="AO151">
        <v>199.694880401046</v>
      </c>
      <c r="AP151">
        <v>2430</v>
      </c>
      <c r="AQ151" s="9">
        <v>0.478722318701458</v>
      </c>
      <c r="AR151" t="s">
        <v>310</v>
      </c>
      <c r="AT151" s="15" t="s">
        <v>119</v>
      </c>
      <c r="AW151" s="11" t="str">
        <f t="shared" si="17"/>
        <v>EN_WOF_48_c02_CAN</v>
      </c>
      <c r="AX151" s="11">
        <f t="shared" si="18"/>
        <v>2430</v>
      </c>
      <c r="AY151" s="11">
        <f t="shared" si="19"/>
        <v>2430</v>
      </c>
      <c r="AZ151" s="17">
        <v>3</v>
      </c>
      <c r="BA151">
        <f t="shared" si="20"/>
        <v>24.3</v>
      </c>
    </row>
    <row r="152" spans="2:53">
      <c r="B152" t="s">
        <v>26</v>
      </c>
      <c r="C152" t="s">
        <v>2575</v>
      </c>
      <c r="D152" t="s">
        <v>2576</v>
      </c>
      <c r="E152" t="s">
        <v>29</v>
      </c>
      <c r="F152" t="s">
        <v>30</v>
      </c>
      <c r="G152" t="s">
        <v>31</v>
      </c>
      <c r="J152" t="s">
        <v>2575</v>
      </c>
      <c r="K152" t="s">
        <v>1967</v>
      </c>
      <c r="L152" t="s">
        <v>2564</v>
      </c>
      <c r="M152" s="8">
        <v>3.672</v>
      </c>
      <c r="N152">
        <v>80.7856561622413</v>
      </c>
      <c r="O152">
        <v>1952</v>
      </c>
      <c r="P152" s="9">
        <v>0.248</v>
      </c>
      <c r="Q152" t="s">
        <v>171</v>
      </c>
      <c r="T152" s="15" t="s">
        <v>54</v>
      </c>
      <c r="W152" s="16" t="str">
        <f t="shared" si="14"/>
        <v>EN_WON_25_c02_BFA</v>
      </c>
      <c r="X152" s="12">
        <f t="shared" si="15"/>
        <v>1952</v>
      </c>
      <c r="Y152" s="11">
        <f t="shared" si="16"/>
        <v>1952</v>
      </c>
      <c r="AC152" t="s">
        <v>26</v>
      </c>
      <c r="AD152" t="s">
        <v>2577</v>
      </c>
      <c r="AE152" t="s">
        <v>2578</v>
      </c>
      <c r="AF152" t="s">
        <v>29</v>
      </c>
      <c r="AG152" t="s">
        <v>30</v>
      </c>
      <c r="AH152" t="s">
        <v>31</v>
      </c>
      <c r="AK152" t="s">
        <v>2577</v>
      </c>
      <c r="AL152" t="s">
        <v>1967</v>
      </c>
      <c r="AM152" t="s">
        <v>2422</v>
      </c>
      <c r="AN152" s="8">
        <v>88.08975</v>
      </c>
      <c r="AO152">
        <v>45.3852000911468</v>
      </c>
      <c r="AP152">
        <v>2430</v>
      </c>
      <c r="AQ152" s="9">
        <v>0.489273300809685</v>
      </c>
      <c r="AR152" t="s">
        <v>310</v>
      </c>
      <c r="AT152" s="15" t="s">
        <v>119</v>
      </c>
      <c r="AW152" s="11" t="str">
        <f t="shared" si="17"/>
        <v>EN_WOF_49_c01_CAN</v>
      </c>
      <c r="AX152" s="11">
        <f t="shared" si="18"/>
        <v>2430</v>
      </c>
      <c r="AY152" s="11">
        <f t="shared" si="19"/>
        <v>2430</v>
      </c>
      <c r="AZ152" s="17">
        <v>3</v>
      </c>
      <c r="BA152">
        <f t="shared" si="20"/>
        <v>24.3</v>
      </c>
    </row>
    <row r="153" spans="2:53">
      <c r="B153" t="s">
        <v>26</v>
      </c>
      <c r="C153" t="s">
        <v>2579</v>
      </c>
      <c r="D153" t="s">
        <v>2580</v>
      </c>
      <c r="E153" t="s">
        <v>29</v>
      </c>
      <c r="F153" t="s">
        <v>30</v>
      </c>
      <c r="G153" t="s">
        <v>31</v>
      </c>
      <c r="J153" t="s">
        <v>2579</v>
      </c>
      <c r="K153" t="s">
        <v>1967</v>
      </c>
      <c r="L153" t="s">
        <v>2564</v>
      </c>
      <c r="M153" s="8">
        <v>2.78475</v>
      </c>
      <c r="N153">
        <v>105.747516212372</v>
      </c>
      <c r="O153">
        <v>1952</v>
      </c>
      <c r="P153" s="9">
        <v>0.247</v>
      </c>
      <c r="Q153" t="s">
        <v>171</v>
      </c>
      <c r="T153" s="15" t="s">
        <v>54</v>
      </c>
      <c r="W153" s="16" t="str">
        <f t="shared" si="14"/>
        <v>EN_WON_25_c03_BFA</v>
      </c>
      <c r="X153" s="12">
        <f t="shared" si="15"/>
        <v>1952</v>
      </c>
      <c r="Y153" s="11">
        <f t="shared" si="16"/>
        <v>1952</v>
      </c>
      <c r="AC153" t="s">
        <v>26</v>
      </c>
      <c r="AD153" t="s">
        <v>2581</v>
      </c>
      <c r="AE153" t="s">
        <v>2582</v>
      </c>
      <c r="AF153" t="s">
        <v>29</v>
      </c>
      <c r="AG153" t="s">
        <v>30</v>
      </c>
      <c r="AH153" t="s">
        <v>31</v>
      </c>
      <c r="AK153" t="s">
        <v>2581</v>
      </c>
      <c r="AL153" t="s">
        <v>1967</v>
      </c>
      <c r="AM153" t="s">
        <v>2422</v>
      </c>
      <c r="AN153" s="8">
        <v>341.541</v>
      </c>
      <c r="AO153">
        <v>199.694880401046</v>
      </c>
      <c r="AP153">
        <v>2430</v>
      </c>
      <c r="AQ153" s="9">
        <v>0.488929602888087</v>
      </c>
      <c r="AR153" t="s">
        <v>310</v>
      </c>
      <c r="AT153" s="15" t="s">
        <v>119</v>
      </c>
      <c r="AW153" s="11" t="str">
        <f t="shared" si="17"/>
        <v>EN_WOF_49_c02_CAN</v>
      </c>
      <c r="AX153" s="11">
        <f t="shared" si="18"/>
        <v>2430</v>
      </c>
      <c r="AY153" s="11">
        <f t="shared" si="19"/>
        <v>2430</v>
      </c>
      <c r="AZ153" s="17">
        <v>3</v>
      </c>
      <c r="BA153">
        <f t="shared" si="20"/>
        <v>24.3</v>
      </c>
    </row>
    <row r="154" spans="2:53">
      <c r="B154" t="s">
        <v>26</v>
      </c>
      <c r="C154" t="s">
        <v>2583</v>
      </c>
      <c r="D154" t="s">
        <v>2584</v>
      </c>
      <c r="E154" t="s">
        <v>29</v>
      </c>
      <c r="F154" t="s">
        <v>30</v>
      </c>
      <c r="G154" t="s">
        <v>31</v>
      </c>
      <c r="J154" t="s">
        <v>2583</v>
      </c>
      <c r="K154" t="s">
        <v>1967</v>
      </c>
      <c r="L154" t="s">
        <v>2585</v>
      </c>
      <c r="M154" s="8">
        <v>6.03375</v>
      </c>
      <c r="N154">
        <v>80.7856561622413</v>
      </c>
      <c r="O154">
        <v>2081</v>
      </c>
      <c r="P154" s="9">
        <v>0.157</v>
      </c>
      <c r="Q154" t="s">
        <v>179</v>
      </c>
      <c r="T154" s="15" t="s">
        <v>35</v>
      </c>
      <c r="W154" s="16" t="str">
        <f t="shared" si="14"/>
        <v>EN_WON_16_c02_BGD</v>
      </c>
      <c r="X154" s="12">
        <f t="shared" si="15"/>
        <v>2081</v>
      </c>
      <c r="Y154" s="11">
        <f t="shared" si="16"/>
        <v>2081</v>
      </c>
      <c r="AC154" t="s">
        <v>26</v>
      </c>
      <c r="AD154" t="s">
        <v>2586</v>
      </c>
      <c r="AE154" t="s">
        <v>2587</v>
      </c>
      <c r="AF154" t="s">
        <v>29</v>
      </c>
      <c r="AG154" t="s">
        <v>30</v>
      </c>
      <c r="AH154" t="s">
        <v>31</v>
      </c>
      <c r="AK154" t="s">
        <v>2586</v>
      </c>
      <c r="AL154" t="s">
        <v>1967</v>
      </c>
      <c r="AM154" t="s">
        <v>2422</v>
      </c>
      <c r="AN154" s="8">
        <v>64.16325</v>
      </c>
      <c r="AO154">
        <v>45.3852000911468</v>
      </c>
      <c r="AP154">
        <v>2430</v>
      </c>
      <c r="AQ154" s="9">
        <v>0.499977159822796</v>
      </c>
      <c r="AR154" t="s">
        <v>310</v>
      </c>
      <c r="AT154" s="15" t="s">
        <v>119</v>
      </c>
      <c r="AW154" s="11" t="str">
        <f t="shared" si="17"/>
        <v>EN_WOF_50_c01_CAN</v>
      </c>
      <c r="AX154" s="11">
        <f t="shared" si="18"/>
        <v>2430</v>
      </c>
      <c r="AY154" s="11">
        <f t="shared" si="19"/>
        <v>2430</v>
      </c>
      <c r="AZ154" s="17">
        <v>3</v>
      </c>
      <c r="BA154">
        <f t="shared" si="20"/>
        <v>24.3</v>
      </c>
    </row>
    <row r="155" spans="2:53">
      <c r="B155" t="s">
        <v>26</v>
      </c>
      <c r="C155" t="s">
        <v>2588</v>
      </c>
      <c r="D155" t="s">
        <v>2589</v>
      </c>
      <c r="E155" t="s">
        <v>29</v>
      </c>
      <c r="F155" t="s">
        <v>30</v>
      </c>
      <c r="G155" t="s">
        <v>31</v>
      </c>
      <c r="J155" t="s">
        <v>2588</v>
      </c>
      <c r="K155" t="s">
        <v>1967</v>
      </c>
      <c r="L155" t="s">
        <v>2585</v>
      </c>
      <c r="M155" s="8">
        <v>6.04125</v>
      </c>
      <c r="N155">
        <v>105.747516212372</v>
      </c>
      <c r="O155">
        <v>2081</v>
      </c>
      <c r="P155" s="9">
        <v>0.159254003724395</v>
      </c>
      <c r="Q155" t="s">
        <v>179</v>
      </c>
      <c r="T155" s="15" t="s">
        <v>35</v>
      </c>
      <c r="W155" s="16" t="str">
        <f t="shared" si="14"/>
        <v>EN_WON_16_c03_BGD</v>
      </c>
      <c r="X155" s="12">
        <f t="shared" si="15"/>
        <v>2081</v>
      </c>
      <c r="Y155" s="11">
        <f t="shared" si="16"/>
        <v>2081</v>
      </c>
      <c r="AC155" t="s">
        <v>26</v>
      </c>
      <c r="AD155" t="s">
        <v>2590</v>
      </c>
      <c r="AE155" t="s">
        <v>2591</v>
      </c>
      <c r="AF155" t="s">
        <v>29</v>
      </c>
      <c r="AG155" t="s">
        <v>30</v>
      </c>
      <c r="AH155" t="s">
        <v>31</v>
      </c>
      <c r="AK155" t="s">
        <v>2590</v>
      </c>
      <c r="AL155" t="s">
        <v>1967</v>
      </c>
      <c r="AM155" t="s">
        <v>2422</v>
      </c>
      <c r="AN155" s="8">
        <v>254.46375</v>
      </c>
      <c r="AO155">
        <v>199.694880401046</v>
      </c>
      <c r="AP155">
        <v>2430</v>
      </c>
      <c r="AQ155" s="9">
        <v>0.498891339139661</v>
      </c>
      <c r="AR155" t="s">
        <v>310</v>
      </c>
      <c r="AT155" s="15" t="s">
        <v>119</v>
      </c>
      <c r="AW155" s="11" t="str">
        <f t="shared" si="17"/>
        <v>EN_WOF_50_c02_CAN</v>
      </c>
      <c r="AX155" s="11">
        <f t="shared" si="18"/>
        <v>2430</v>
      </c>
      <c r="AY155" s="11">
        <f t="shared" si="19"/>
        <v>2430</v>
      </c>
      <c r="AZ155" s="17">
        <v>3</v>
      </c>
      <c r="BA155">
        <f t="shared" si="20"/>
        <v>24.3</v>
      </c>
    </row>
    <row r="156" spans="2:53">
      <c r="B156" t="s">
        <v>26</v>
      </c>
      <c r="C156" t="s">
        <v>2592</v>
      </c>
      <c r="D156" t="s">
        <v>2593</v>
      </c>
      <c r="E156" t="s">
        <v>29</v>
      </c>
      <c r="F156" t="s">
        <v>30</v>
      </c>
      <c r="G156" t="s">
        <v>31</v>
      </c>
      <c r="J156" t="s">
        <v>2592</v>
      </c>
      <c r="K156" t="s">
        <v>1967</v>
      </c>
      <c r="L156" t="s">
        <v>2585</v>
      </c>
      <c r="M156" s="8">
        <v>0.015</v>
      </c>
      <c r="N156">
        <v>145.23264029167</v>
      </c>
      <c r="O156">
        <v>2081</v>
      </c>
      <c r="P156" s="9">
        <v>0.156</v>
      </c>
      <c r="Q156" t="s">
        <v>179</v>
      </c>
      <c r="T156" s="15" t="s">
        <v>35</v>
      </c>
      <c r="W156" s="16" t="str">
        <f t="shared" si="14"/>
        <v>EN_WON_16_c04_BGD</v>
      </c>
      <c r="X156" s="12">
        <f t="shared" si="15"/>
        <v>2081</v>
      </c>
      <c r="Y156" s="11">
        <f t="shared" si="16"/>
        <v>2081</v>
      </c>
      <c r="AC156" t="s">
        <v>26</v>
      </c>
      <c r="AD156" t="s">
        <v>2594</v>
      </c>
      <c r="AE156" t="s">
        <v>2595</v>
      </c>
      <c r="AF156" t="s">
        <v>29</v>
      </c>
      <c r="AG156" t="s">
        <v>30</v>
      </c>
      <c r="AH156" t="s">
        <v>31</v>
      </c>
      <c r="AK156" t="s">
        <v>2594</v>
      </c>
      <c r="AL156" t="s">
        <v>1967</v>
      </c>
      <c r="AM156" t="s">
        <v>2422</v>
      </c>
      <c r="AN156" s="8">
        <v>91.824</v>
      </c>
      <c r="AO156">
        <v>45.3852000911468</v>
      </c>
      <c r="AP156">
        <v>2430</v>
      </c>
      <c r="AQ156" s="9">
        <v>0.510959667407214</v>
      </c>
      <c r="AR156" t="s">
        <v>310</v>
      </c>
      <c r="AT156" s="15" t="s">
        <v>119</v>
      </c>
      <c r="AW156" s="11" t="str">
        <f t="shared" si="17"/>
        <v>EN_WOF_51_c01_CAN</v>
      </c>
      <c r="AX156" s="11">
        <f t="shared" si="18"/>
        <v>2430</v>
      </c>
      <c r="AY156" s="11">
        <f t="shared" si="19"/>
        <v>2430</v>
      </c>
      <c r="AZ156" s="17">
        <v>3</v>
      </c>
      <c r="BA156">
        <f t="shared" si="20"/>
        <v>24.3</v>
      </c>
    </row>
    <row r="157" spans="2:53">
      <c r="B157" t="s">
        <v>26</v>
      </c>
      <c r="C157" t="s">
        <v>2596</v>
      </c>
      <c r="D157" t="s">
        <v>2597</v>
      </c>
      <c r="E157" t="s">
        <v>29</v>
      </c>
      <c r="F157" t="s">
        <v>30</v>
      </c>
      <c r="G157" t="s">
        <v>31</v>
      </c>
      <c r="J157" t="s">
        <v>2596</v>
      </c>
      <c r="K157" t="s">
        <v>1967</v>
      </c>
      <c r="L157" t="s">
        <v>2585</v>
      </c>
      <c r="M157" s="8">
        <v>0.02625</v>
      </c>
      <c r="N157">
        <v>80.7856561622413</v>
      </c>
      <c r="O157">
        <v>2081</v>
      </c>
      <c r="P157" s="9">
        <v>0.167</v>
      </c>
      <c r="Q157" t="s">
        <v>179</v>
      </c>
      <c r="T157" s="15" t="s">
        <v>35</v>
      </c>
      <c r="W157" s="16" t="str">
        <f t="shared" si="14"/>
        <v>EN_WON_17_c02_BGD</v>
      </c>
      <c r="X157" s="12">
        <f t="shared" si="15"/>
        <v>2081</v>
      </c>
      <c r="Y157" s="11">
        <f t="shared" si="16"/>
        <v>2081</v>
      </c>
      <c r="AC157" t="s">
        <v>26</v>
      </c>
      <c r="AD157" t="s">
        <v>2598</v>
      </c>
      <c r="AE157" t="s">
        <v>2599</v>
      </c>
      <c r="AF157" t="s">
        <v>29</v>
      </c>
      <c r="AG157" t="s">
        <v>30</v>
      </c>
      <c r="AH157" t="s">
        <v>31</v>
      </c>
      <c r="AK157" t="s">
        <v>2598</v>
      </c>
      <c r="AL157" t="s">
        <v>1967</v>
      </c>
      <c r="AM157" t="s">
        <v>2422</v>
      </c>
      <c r="AN157" s="8">
        <v>208.176</v>
      </c>
      <c r="AO157">
        <v>199.694880401046</v>
      </c>
      <c r="AP157">
        <v>2430</v>
      </c>
      <c r="AQ157" s="9">
        <v>0.510273457314964</v>
      </c>
      <c r="AR157" t="s">
        <v>310</v>
      </c>
      <c r="AT157" s="15" t="s">
        <v>119</v>
      </c>
      <c r="AW157" s="11" t="str">
        <f t="shared" si="17"/>
        <v>EN_WOF_51_c02_CAN</v>
      </c>
      <c r="AX157" s="11">
        <f t="shared" si="18"/>
        <v>2430</v>
      </c>
      <c r="AY157" s="11">
        <f t="shared" si="19"/>
        <v>2430</v>
      </c>
      <c r="AZ157" s="17">
        <v>3</v>
      </c>
      <c r="BA157">
        <f t="shared" si="20"/>
        <v>24.3</v>
      </c>
    </row>
    <row r="158" spans="2:53">
      <c r="B158" t="s">
        <v>26</v>
      </c>
      <c r="C158" t="s">
        <v>2600</v>
      </c>
      <c r="D158" t="s">
        <v>2601</v>
      </c>
      <c r="E158" t="s">
        <v>29</v>
      </c>
      <c r="F158" t="s">
        <v>30</v>
      </c>
      <c r="G158" t="s">
        <v>31</v>
      </c>
      <c r="J158" t="s">
        <v>2600</v>
      </c>
      <c r="K158" t="s">
        <v>1967</v>
      </c>
      <c r="L158" t="s">
        <v>2585</v>
      </c>
      <c r="M158" s="8">
        <v>1.83825</v>
      </c>
      <c r="N158">
        <v>105.747516212372</v>
      </c>
      <c r="O158">
        <v>2081</v>
      </c>
      <c r="P158" s="9">
        <v>0.165</v>
      </c>
      <c r="Q158" t="s">
        <v>179</v>
      </c>
      <c r="T158" s="15" t="s">
        <v>35</v>
      </c>
      <c r="W158" s="16" t="str">
        <f t="shared" si="14"/>
        <v>EN_WON_17_c03_BGD</v>
      </c>
      <c r="X158" s="12">
        <f t="shared" si="15"/>
        <v>2081</v>
      </c>
      <c r="Y158" s="11">
        <f t="shared" si="16"/>
        <v>2081</v>
      </c>
      <c r="AC158" t="s">
        <v>26</v>
      </c>
      <c r="AD158" t="s">
        <v>2602</v>
      </c>
      <c r="AE158" t="s">
        <v>2603</v>
      </c>
      <c r="AF158" t="s">
        <v>29</v>
      </c>
      <c r="AG158" t="s">
        <v>30</v>
      </c>
      <c r="AH158" t="s">
        <v>31</v>
      </c>
      <c r="AK158" t="s">
        <v>2602</v>
      </c>
      <c r="AL158" t="s">
        <v>1967</v>
      </c>
      <c r="AM158" t="s">
        <v>2422</v>
      </c>
      <c r="AN158" s="8">
        <v>132.38025</v>
      </c>
      <c r="AO158">
        <v>45.3852000911468</v>
      </c>
      <c r="AP158">
        <v>2430</v>
      </c>
      <c r="AQ158" s="9">
        <v>0.520463386721207</v>
      </c>
      <c r="AR158" t="s">
        <v>310</v>
      </c>
      <c r="AT158" s="15" t="s">
        <v>119</v>
      </c>
      <c r="AW158" s="11" t="str">
        <f t="shared" si="17"/>
        <v>EN_WOF_52_c01_CAN</v>
      </c>
      <c r="AX158" s="11">
        <f t="shared" si="18"/>
        <v>2430</v>
      </c>
      <c r="AY158" s="11">
        <f t="shared" si="19"/>
        <v>2430</v>
      </c>
      <c r="AZ158" s="17">
        <v>3</v>
      </c>
      <c r="BA158">
        <f t="shared" si="20"/>
        <v>24.3</v>
      </c>
    </row>
    <row r="159" spans="2:53">
      <c r="B159" t="s">
        <v>26</v>
      </c>
      <c r="C159" t="s">
        <v>2604</v>
      </c>
      <c r="D159" t="s">
        <v>2605</v>
      </c>
      <c r="E159" t="s">
        <v>29</v>
      </c>
      <c r="F159" t="s">
        <v>30</v>
      </c>
      <c r="G159" t="s">
        <v>31</v>
      </c>
      <c r="J159" t="s">
        <v>2604</v>
      </c>
      <c r="K159" t="s">
        <v>1967</v>
      </c>
      <c r="L159" t="s">
        <v>2585</v>
      </c>
      <c r="M159" s="8">
        <v>0.65775</v>
      </c>
      <c r="N159">
        <v>80.7856561622413</v>
      </c>
      <c r="O159">
        <v>2081</v>
      </c>
      <c r="P159" s="9">
        <v>0.19</v>
      </c>
      <c r="Q159" t="s">
        <v>179</v>
      </c>
      <c r="T159" s="15" t="s">
        <v>35</v>
      </c>
      <c r="W159" s="16" t="str">
        <f t="shared" si="14"/>
        <v>EN_WON_19_c02_BGD</v>
      </c>
      <c r="X159" s="12">
        <f t="shared" si="15"/>
        <v>2081</v>
      </c>
      <c r="Y159" s="11">
        <f t="shared" si="16"/>
        <v>2081</v>
      </c>
      <c r="AC159" t="s">
        <v>26</v>
      </c>
      <c r="AD159" t="s">
        <v>2606</v>
      </c>
      <c r="AE159" t="s">
        <v>2607</v>
      </c>
      <c r="AF159" t="s">
        <v>29</v>
      </c>
      <c r="AG159" t="s">
        <v>30</v>
      </c>
      <c r="AH159" t="s">
        <v>31</v>
      </c>
      <c r="AK159" t="s">
        <v>2606</v>
      </c>
      <c r="AL159" t="s">
        <v>1967</v>
      </c>
      <c r="AM159" t="s">
        <v>2422</v>
      </c>
      <c r="AN159" s="8">
        <v>173.418</v>
      </c>
      <c r="AO159">
        <v>199.694880401046</v>
      </c>
      <c r="AP159">
        <v>2430</v>
      </c>
      <c r="AQ159" s="9">
        <v>0.519375804414766</v>
      </c>
      <c r="AR159" t="s">
        <v>310</v>
      </c>
      <c r="AT159" s="15" t="s">
        <v>119</v>
      </c>
      <c r="AW159" s="11" t="str">
        <f t="shared" si="17"/>
        <v>EN_WOF_52_c02_CAN</v>
      </c>
      <c r="AX159" s="11">
        <f t="shared" si="18"/>
        <v>2430</v>
      </c>
      <c r="AY159" s="11">
        <f t="shared" si="19"/>
        <v>2430</v>
      </c>
      <c r="AZ159" s="17">
        <v>3</v>
      </c>
      <c r="BA159">
        <f t="shared" si="20"/>
        <v>24.3</v>
      </c>
    </row>
    <row r="160" spans="2:53">
      <c r="B160" t="s">
        <v>26</v>
      </c>
      <c r="C160" t="s">
        <v>2608</v>
      </c>
      <c r="D160" t="s">
        <v>2609</v>
      </c>
      <c r="E160" t="s">
        <v>29</v>
      </c>
      <c r="F160" t="s">
        <v>30</v>
      </c>
      <c r="G160" t="s">
        <v>31</v>
      </c>
      <c r="J160" t="s">
        <v>2608</v>
      </c>
      <c r="K160" t="s">
        <v>1967</v>
      </c>
      <c r="L160" t="s">
        <v>2259</v>
      </c>
      <c r="M160" s="8">
        <v>11.48175</v>
      </c>
      <c r="N160">
        <v>80.7856561622413</v>
      </c>
      <c r="O160">
        <v>1827</v>
      </c>
      <c r="P160" s="9">
        <v>0.187738389182834</v>
      </c>
      <c r="Q160" t="s">
        <v>199</v>
      </c>
      <c r="T160" s="15" t="s">
        <v>69</v>
      </c>
      <c r="W160" s="16" t="str">
        <f t="shared" si="14"/>
        <v>EN_WON_19_c02_BGR</v>
      </c>
      <c r="X160" s="12">
        <f t="shared" si="15"/>
        <v>1827</v>
      </c>
      <c r="Y160" s="11">
        <f t="shared" si="16"/>
        <v>1827</v>
      </c>
      <c r="AC160" t="s">
        <v>26</v>
      </c>
      <c r="AD160" t="s">
        <v>2610</v>
      </c>
      <c r="AE160" t="s">
        <v>2611</v>
      </c>
      <c r="AF160" t="s">
        <v>29</v>
      </c>
      <c r="AG160" t="s">
        <v>30</v>
      </c>
      <c r="AH160" t="s">
        <v>31</v>
      </c>
      <c r="AK160" t="s">
        <v>2610</v>
      </c>
      <c r="AL160" t="s">
        <v>1967</v>
      </c>
      <c r="AM160" t="s">
        <v>2422</v>
      </c>
      <c r="AN160" s="8">
        <v>204.417</v>
      </c>
      <c r="AO160">
        <v>45.3852000911468</v>
      </c>
      <c r="AP160">
        <v>2430</v>
      </c>
      <c r="AQ160" s="9">
        <v>0.528498385652857</v>
      </c>
      <c r="AR160" t="s">
        <v>310</v>
      </c>
      <c r="AT160" s="15" t="s">
        <v>119</v>
      </c>
      <c r="AW160" s="11" t="str">
        <f t="shared" si="17"/>
        <v>EN_WOF_53_c01_CAN</v>
      </c>
      <c r="AX160" s="11">
        <f t="shared" si="18"/>
        <v>2430</v>
      </c>
      <c r="AY160" s="11">
        <f t="shared" si="19"/>
        <v>2430</v>
      </c>
      <c r="AZ160" s="17">
        <v>3</v>
      </c>
      <c r="BA160">
        <f t="shared" si="20"/>
        <v>24.3</v>
      </c>
    </row>
    <row r="161" spans="2:53">
      <c r="B161" t="s">
        <v>26</v>
      </c>
      <c r="C161" t="s">
        <v>2612</v>
      </c>
      <c r="D161" t="s">
        <v>2613</v>
      </c>
      <c r="E161" t="s">
        <v>29</v>
      </c>
      <c r="F161" t="s">
        <v>30</v>
      </c>
      <c r="G161" t="s">
        <v>31</v>
      </c>
      <c r="J161" t="s">
        <v>2612</v>
      </c>
      <c r="K161" t="s">
        <v>1967</v>
      </c>
      <c r="L161" t="s">
        <v>2259</v>
      </c>
      <c r="M161" s="8">
        <v>0.357</v>
      </c>
      <c r="N161">
        <v>105.747516212372</v>
      </c>
      <c r="O161">
        <v>1827</v>
      </c>
      <c r="P161" s="9">
        <v>0.193544117647059</v>
      </c>
      <c r="Q161" t="s">
        <v>199</v>
      </c>
      <c r="T161" s="15" t="s">
        <v>69</v>
      </c>
      <c r="W161" s="16" t="str">
        <f t="shared" si="14"/>
        <v>EN_WON_19_c03_BGR</v>
      </c>
      <c r="X161" s="12">
        <f t="shared" si="15"/>
        <v>1827</v>
      </c>
      <c r="Y161" s="11">
        <f t="shared" si="16"/>
        <v>1827</v>
      </c>
      <c r="AC161" t="s">
        <v>26</v>
      </c>
      <c r="AD161" t="s">
        <v>2614</v>
      </c>
      <c r="AE161" t="s">
        <v>2615</v>
      </c>
      <c r="AF161" t="s">
        <v>29</v>
      </c>
      <c r="AG161" t="s">
        <v>30</v>
      </c>
      <c r="AH161" t="s">
        <v>31</v>
      </c>
      <c r="AK161" t="s">
        <v>2614</v>
      </c>
      <c r="AL161" t="s">
        <v>1967</v>
      </c>
      <c r="AM161" t="s">
        <v>2422</v>
      </c>
      <c r="AN161" s="8">
        <v>120.927</v>
      </c>
      <c r="AO161">
        <v>199.694880401046</v>
      </c>
      <c r="AP161">
        <v>2430</v>
      </c>
      <c r="AQ161" s="9">
        <v>0.529208179314793</v>
      </c>
      <c r="AR161" t="s">
        <v>310</v>
      </c>
      <c r="AT161" s="15" t="s">
        <v>119</v>
      </c>
      <c r="AW161" s="11" t="str">
        <f t="shared" si="17"/>
        <v>EN_WOF_53_c02_CAN</v>
      </c>
      <c r="AX161" s="11">
        <f t="shared" si="18"/>
        <v>2430</v>
      </c>
      <c r="AY161" s="11">
        <f t="shared" si="19"/>
        <v>2430</v>
      </c>
      <c r="AZ161" s="17">
        <v>3</v>
      </c>
      <c r="BA161">
        <f t="shared" si="20"/>
        <v>24.3</v>
      </c>
    </row>
    <row r="162" spans="2:53">
      <c r="B162" t="s">
        <v>26</v>
      </c>
      <c r="C162" t="s">
        <v>2616</v>
      </c>
      <c r="D162" t="s">
        <v>2617</v>
      </c>
      <c r="E162" t="s">
        <v>29</v>
      </c>
      <c r="F162" t="s">
        <v>30</v>
      </c>
      <c r="G162" t="s">
        <v>31</v>
      </c>
      <c r="J162" t="s">
        <v>2616</v>
      </c>
      <c r="K162" t="s">
        <v>1967</v>
      </c>
      <c r="L162" t="s">
        <v>2259</v>
      </c>
      <c r="M162" s="8">
        <v>4.23225</v>
      </c>
      <c r="N162">
        <v>80.7856561622413</v>
      </c>
      <c r="O162">
        <v>1827</v>
      </c>
      <c r="P162" s="9">
        <v>0.199205564416091</v>
      </c>
      <c r="Q162" t="s">
        <v>199</v>
      </c>
      <c r="T162" s="15" t="s">
        <v>69</v>
      </c>
      <c r="W162" s="16" t="str">
        <f t="shared" si="14"/>
        <v>EN_WON_20_c02_BGR</v>
      </c>
      <c r="X162" s="12">
        <f t="shared" si="15"/>
        <v>1827</v>
      </c>
      <c r="Y162" s="11">
        <f t="shared" si="16"/>
        <v>1827</v>
      </c>
      <c r="AC162" t="s">
        <v>26</v>
      </c>
      <c r="AD162" t="s">
        <v>2618</v>
      </c>
      <c r="AE162" t="s">
        <v>2619</v>
      </c>
      <c r="AF162" t="s">
        <v>29</v>
      </c>
      <c r="AG162" t="s">
        <v>30</v>
      </c>
      <c r="AH162" t="s">
        <v>31</v>
      </c>
      <c r="AK162" t="s">
        <v>2618</v>
      </c>
      <c r="AL162" t="s">
        <v>1967</v>
      </c>
      <c r="AM162" t="s">
        <v>2422</v>
      </c>
      <c r="AN162" s="8">
        <v>237.7005</v>
      </c>
      <c r="AO162">
        <v>45.3852000911468</v>
      </c>
      <c r="AP162">
        <v>2430</v>
      </c>
      <c r="AQ162" s="9">
        <v>0.539605469908561</v>
      </c>
      <c r="AR162" t="s">
        <v>310</v>
      </c>
      <c r="AT162" s="15" t="s">
        <v>119</v>
      </c>
      <c r="AW162" s="11" t="str">
        <f t="shared" si="17"/>
        <v>EN_WOF_54_c01_CAN</v>
      </c>
      <c r="AX162" s="11">
        <f t="shared" si="18"/>
        <v>2430</v>
      </c>
      <c r="AY162" s="11">
        <f t="shared" si="19"/>
        <v>2430</v>
      </c>
      <c r="AZ162" s="17">
        <v>3</v>
      </c>
      <c r="BA162">
        <f t="shared" si="20"/>
        <v>24.3</v>
      </c>
    </row>
    <row r="163" spans="2:53">
      <c r="B163" t="s">
        <v>26</v>
      </c>
      <c r="C163" t="s">
        <v>2620</v>
      </c>
      <c r="D163" t="s">
        <v>2621</v>
      </c>
      <c r="E163" t="s">
        <v>29</v>
      </c>
      <c r="F163" t="s">
        <v>30</v>
      </c>
      <c r="G163" t="s">
        <v>31</v>
      </c>
      <c r="J163" t="s">
        <v>2620</v>
      </c>
      <c r="K163" t="s">
        <v>1967</v>
      </c>
      <c r="L163" t="s">
        <v>2259</v>
      </c>
      <c r="M163" s="8">
        <v>0.2565</v>
      </c>
      <c r="N163">
        <v>105.747516212372</v>
      </c>
      <c r="O163">
        <v>1827</v>
      </c>
      <c r="P163" s="9">
        <v>0.195295321637427</v>
      </c>
      <c r="Q163" t="s">
        <v>199</v>
      </c>
      <c r="T163" s="15" t="s">
        <v>69</v>
      </c>
      <c r="W163" s="16" t="str">
        <f t="shared" si="14"/>
        <v>EN_WON_20_c03_BGR</v>
      </c>
      <c r="X163" s="12">
        <f t="shared" si="15"/>
        <v>1827</v>
      </c>
      <c r="Y163" s="11">
        <f t="shared" si="16"/>
        <v>1827</v>
      </c>
      <c r="AC163" t="s">
        <v>26</v>
      </c>
      <c r="AD163" t="s">
        <v>2622</v>
      </c>
      <c r="AE163" t="s">
        <v>2623</v>
      </c>
      <c r="AF163" t="s">
        <v>29</v>
      </c>
      <c r="AG163" t="s">
        <v>30</v>
      </c>
      <c r="AH163" t="s">
        <v>31</v>
      </c>
      <c r="AK163" t="s">
        <v>2622</v>
      </c>
      <c r="AL163" t="s">
        <v>1967</v>
      </c>
      <c r="AM163" t="s">
        <v>2422</v>
      </c>
      <c r="AN163" s="8">
        <v>102.8445</v>
      </c>
      <c r="AO163">
        <v>199.694880401046</v>
      </c>
      <c r="AP163">
        <v>2430</v>
      </c>
      <c r="AQ163" s="9">
        <v>0.538824781587737</v>
      </c>
      <c r="AR163" t="s">
        <v>310</v>
      </c>
      <c r="AT163" s="15" t="s">
        <v>119</v>
      </c>
      <c r="AW163" s="11" t="str">
        <f t="shared" si="17"/>
        <v>EN_WOF_54_c02_CAN</v>
      </c>
      <c r="AX163" s="11">
        <f t="shared" si="18"/>
        <v>2430</v>
      </c>
      <c r="AY163" s="11">
        <f t="shared" si="19"/>
        <v>2430</v>
      </c>
      <c r="AZ163" s="17">
        <v>3</v>
      </c>
      <c r="BA163">
        <f t="shared" si="20"/>
        <v>24.3</v>
      </c>
    </row>
    <row r="164" spans="2:53">
      <c r="B164" t="s">
        <v>26</v>
      </c>
      <c r="C164" t="s">
        <v>2624</v>
      </c>
      <c r="D164" t="s">
        <v>2625</v>
      </c>
      <c r="E164" t="s">
        <v>29</v>
      </c>
      <c r="F164" t="s">
        <v>30</v>
      </c>
      <c r="G164" t="s">
        <v>31</v>
      </c>
      <c r="J164" t="s">
        <v>2624</v>
      </c>
      <c r="K164" t="s">
        <v>1967</v>
      </c>
      <c r="L164" t="s">
        <v>2259</v>
      </c>
      <c r="M164" s="8">
        <v>0.57375</v>
      </c>
      <c r="N164">
        <v>80.7856561622413</v>
      </c>
      <c r="O164">
        <v>1827</v>
      </c>
      <c r="P164" s="9">
        <v>0.207016993464052</v>
      </c>
      <c r="Q164" t="s">
        <v>199</v>
      </c>
      <c r="T164" s="15" t="s">
        <v>69</v>
      </c>
      <c r="W164" s="16" t="str">
        <f t="shared" si="14"/>
        <v>EN_WON_21_c02_BGR</v>
      </c>
      <c r="X164" s="12">
        <f t="shared" si="15"/>
        <v>1827</v>
      </c>
      <c r="Y164" s="11">
        <f t="shared" si="16"/>
        <v>1827</v>
      </c>
      <c r="AC164" t="s">
        <v>26</v>
      </c>
      <c r="AD164" t="s">
        <v>2626</v>
      </c>
      <c r="AE164" t="s">
        <v>2627</v>
      </c>
      <c r="AF164" t="s">
        <v>29</v>
      </c>
      <c r="AG164" t="s">
        <v>30</v>
      </c>
      <c r="AH164" t="s">
        <v>31</v>
      </c>
      <c r="AK164" t="s">
        <v>2626</v>
      </c>
      <c r="AL164" t="s">
        <v>1967</v>
      </c>
      <c r="AM164" t="s">
        <v>2422</v>
      </c>
      <c r="AN164" s="8">
        <v>192.2055</v>
      </c>
      <c r="AO164">
        <v>45.3852000911468</v>
      </c>
      <c r="AP164">
        <v>2430</v>
      </c>
      <c r="AQ164" s="9">
        <v>0.547027396458478</v>
      </c>
      <c r="AR164" t="s">
        <v>310</v>
      </c>
      <c r="AT164" s="15" t="s">
        <v>119</v>
      </c>
      <c r="AW164" s="11" t="str">
        <f t="shared" si="17"/>
        <v>EN_WOF_55_c01_CAN</v>
      </c>
      <c r="AX164" s="11">
        <f t="shared" si="18"/>
        <v>2430</v>
      </c>
      <c r="AY164" s="11">
        <f t="shared" si="19"/>
        <v>2430</v>
      </c>
      <c r="AZ164" s="17">
        <v>3</v>
      </c>
      <c r="BA164">
        <f t="shared" si="20"/>
        <v>24.3</v>
      </c>
    </row>
    <row r="165" spans="2:53">
      <c r="B165" t="s">
        <v>26</v>
      </c>
      <c r="C165" t="s">
        <v>2628</v>
      </c>
      <c r="D165" t="s">
        <v>2629</v>
      </c>
      <c r="E165" t="s">
        <v>29</v>
      </c>
      <c r="F165" t="s">
        <v>30</v>
      </c>
      <c r="G165" t="s">
        <v>31</v>
      </c>
      <c r="J165" t="s">
        <v>2628</v>
      </c>
      <c r="K165" t="s">
        <v>1967</v>
      </c>
      <c r="L165" t="s">
        <v>2259</v>
      </c>
      <c r="M165" s="8">
        <v>1.7055</v>
      </c>
      <c r="N165">
        <v>80.7856561622413</v>
      </c>
      <c r="O165">
        <v>1827</v>
      </c>
      <c r="P165" s="9">
        <v>0.230333773087071</v>
      </c>
      <c r="Q165" t="s">
        <v>199</v>
      </c>
      <c r="T165" s="15" t="s">
        <v>69</v>
      </c>
      <c r="W165" s="16" t="str">
        <f t="shared" si="14"/>
        <v>EN_WON_23_c02_BGR</v>
      </c>
      <c r="X165" s="12">
        <f t="shared" si="15"/>
        <v>1827</v>
      </c>
      <c r="Y165" s="11">
        <f t="shared" si="16"/>
        <v>1827</v>
      </c>
      <c r="AC165" t="s">
        <v>26</v>
      </c>
      <c r="AD165" t="s">
        <v>2630</v>
      </c>
      <c r="AE165" t="s">
        <v>2631</v>
      </c>
      <c r="AF165" t="s">
        <v>29</v>
      </c>
      <c r="AG165" t="s">
        <v>30</v>
      </c>
      <c r="AH165" t="s">
        <v>31</v>
      </c>
      <c r="AK165" t="s">
        <v>2630</v>
      </c>
      <c r="AL165" t="s">
        <v>1967</v>
      </c>
      <c r="AM165" t="s">
        <v>2422</v>
      </c>
      <c r="AN165" s="8">
        <v>181.7865</v>
      </c>
      <c r="AO165">
        <v>199.694880401046</v>
      </c>
      <c r="AP165">
        <v>2430</v>
      </c>
      <c r="AQ165" s="9">
        <v>0.549502446551312</v>
      </c>
      <c r="AR165" t="s">
        <v>310</v>
      </c>
      <c r="AT165" s="15" t="s">
        <v>119</v>
      </c>
      <c r="AW165" s="11" t="str">
        <f t="shared" si="17"/>
        <v>EN_WOF_55_c02_CAN</v>
      </c>
      <c r="AX165" s="11">
        <f t="shared" si="18"/>
        <v>2430</v>
      </c>
      <c r="AY165" s="11">
        <f t="shared" si="19"/>
        <v>2430</v>
      </c>
      <c r="AZ165" s="17">
        <v>3</v>
      </c>
      <c r="BA165">
        <f t="shared" si="20"/>
        <v>24.3</v>
      </c>
    </row>
    <row r="166" spans="2:53">
      <c r="B166" t="s">
        <v>26</v>
      </c>
      <c r="C166" t="s">
        <v>2632</v>
      </c>
      <c r="D166" t="s">
        <v>2633</v>
      </c>
      <c r="E166" t="s">
        <v>29</v>
      </c>
      <c r="F166" t="s">
        <v>30</v>
      </c>
      <c r="G166" t="s">
        <v>31</v>
      </c>
      <c r="J166" t="s">
        <v>2632</v>
      </c>
      <c r="K166" t="s">
        <v>1967</v>
      </c>
      <c r="L166" t="s">
        <v>2259</v>
      </c>
      <c r="M166" s="8">
        <v>0.441</v>
      </c>
      <c r="N166">
        <v>105.747516212372</v>
      </c>
      <c r="O166">
        <v>1827</v>
      </c>
      <c r="P166" s="9">
        <v>0.227625850340136</v>
      </c>
      <c r="Q166" t="s">
        <v>199</v>
      </c>
      <c r="T166" s="15" t="s">
        <v>69</v>
      </c>
      <c r="W166" s="16" t="str">
        <f t="shared" si="14"/>
        <v>EN_WON_23_c03_BGR</v>
      </c>
      <c r="X166" s="12">
        <f t="shared" si="15"/>
        <v>1827</v>
      </c>
      <c r="Y166" s="11">
        <f t="shared" si="16"/>
        <v>1827</v>
      </c>
      <c r="AC166" t="s">
        <v>26</v>
      </c>
      <c r="AD166" t="s">
        <v>2634</v>
      </c>
      <c r="AE166" t="s">
        <v>2635</v>
      </c>
      <c r="AF166" t="s">
        <v>29</v>
      </c>
      <c r="AG166" t="s">
        <v>30</v>
      </c>
      <c r="AH166" t="s">
        <v>31</v>
      </c>
      <c r="AK166" t="s">
        <v>2634</v>
      </c>
      <c r="AL166" t="s">
        <v>1967</v>
      </c>
      <c r="AM166" t="s">
        <v>2422</v>
      </c>
      <c r="AN166" s="8">
        <v>100.986</v>
      </c>
      <c r="AO166">
        <v>45.3852000911468</v>
      </c>
      <c r="AP166">
        <v>2430</v>
      </c>
      <c r="AQ166" s="9">
        <v>0.559125727823659</v>
      </c>
      <c r="AR166" t="s">
        <v>310</v>
      </c>
      <c r="AT166" s="15" t="s">
        <v>119</v>
      </c>
      <c r="AW166" s="11" t="str">
        <f t="shared" si="17"/>
        <v>EN_WOF_56_c01_CAN</v>
      </c>
      <c r="AX166" s="11">
        <f t="shared" si="18"/>
        <v>2430</v>
      </c>
      <c r="AY166" s="11">
        <f t="shared" si="19"/>
        <v>2430</v>
      </c>
      <c r="AZ166" s="17">
        <v>3</v>
      </c>
      <c r="BA166">
        <f t="shared" si="20"/>
        <v>24.3</v>
      </c>
    </row>
    <row r="167" spans="2:53">
      <c r="B167" t="s">
        <v>26</v>
      </c>
      <c r="C167" t="s">
        <v>2636</v>
      </c>
      <c r="D167" t="s">
        <v>2637</v>
      </c>
      <c r="E167" t="s">
        <v>29</v>
      </c>
      <c r="F167" t="s">
        <v>30</v>
      </c>
      <c r="G167" t="s">
        <v>31</v>
      </c>
      <c r="J167" t="s">
        <v>2636</v>
      </c>
      <c r="K167" t="s">
        <v>1967</v>
      </c>
      <c r="L167" t="s">
        <v>2259</v>
      </c>
      <c r="M167" s="8">
        <v>0.054</v>
      </c>
      <c r="N167">
        <v>80.7856561622413</v>
      </c>
      <c r="O167">
        <v>1827</v>
      </c>
      <c r="P167" s="9">
        <v>0.24</v>
      </c>
      <c r="Q167" t="s">
        <v>199</v>
      </c>
      <c r="T167" s="15" t="s">
        <v>69</v>
      </c>
      <c r="W167" s="16" t="str">
        <f t="shared" si="14"/>
        <v>EN_WON_24_c02_BGR</v>
      </c>
      <c r="X167" s="12">
        <f t="shared" si="15"/>
        <v>1827</v>
      </c>
      <c r="Y167" s="11">
        <f t="shared" si="16"/>
        <v>1827</v>
      </c>
      <c r="AC167" t="s">
        <v>26</v>
      </c>
      <c r="AD167" t="s">
        <v>2638</v>
      </c>
      <c r="AE167" t="s">
        <v>2639</v>
      </c>
      <c r="AF167" t="s">
        <v>29</v>
      </c>
      <c r="AG167" t="s">
        <v>30</v>
      </c>
      <c r="AH167" t="s">
        <v>31</v>
      </c>
      <c r="AK167" t="s">
        <v>2638</v>
      </c>
      <c r="AL167" t="s">
        <v>1967</v>
      </c>
      <c r="AM167" t="s">
        <v>2422</v>
      </c>
      <c r="AN167" s="8">
        <v>105.174</v>
      </c>
      <c r="AO167">
        <v>199.694880401046</v>
      </c>
      <c r="AP167">
        <v>2430</v>
      </c>
      <c r="AQ167" s="9">
        <v>0.557714259227566</v>
      </c>
      <c r="AR167" t="s">
        <v>310</v>
      </c>
      <c r="AT167" s="15" t="s">
        <v>119</v>
      </c>
      <c r="AW167" s="11" t="str">
        <f t="shared" si="17"/>
        <v>EN_WOF_56_c02_CAN</v>
      </c>
      <c r="AX167" s="11">
        <f t="shared" si="18"/>
        <v>2430</v>
      </c>
      <c r="AY167" s="11">
        <f t="shared" si="19"/>
        <v>2430</v>
      </c>
      <c r="AZ167" s="17">
        <v>3</v>
      </c>
      <c r="BA167">
        <f t="shared" si="20"/>
        <v>24.3</v>
      </c>
    </row>
    <row r="168" spans="2:53">
      <c r="B168" t="s">
        <v>26</v>
      </c>
      <c r="C168" t="s">
        <v>2640</v>
      </c>
      <c r="D168" t="s">
        <v>2641</v>
      </c>
      <c r="E168" t="s">
        <v>29</v>
      </c>
      <c r="F168" t="s">
        <v>30</v>
      </c>
      <c r="G168" t="s">
        <v>31</v>
      </c>
      <c r="J168" t="s">
        <v>2640</v>
      </c>
      <c r="K168" t="s">
        <v>1967</v>
      </c>
      <c r="L168" t="s">
        <v>2259</v>
      </c>
      <c r="M168" s="8">
        <v>0.07725</v>
      </c>
      <c r="N168">
        <v>105.747516212372</v>
      </c>
      <c r="O168">
        <v>1827</v>
      </c>
      <c r="P168" s="9">
        <v>0.236</v>
      </c>
      <c r="Q168" t="s">
        <v>199</v>
      </c>
      <c r="T168" s="15" t="s">
        <v>69</v>
      </c>
      <c r="W168" s="16" t="str">
        <f t="shared" si="14"/>
        <v>EN_WON_24_c03_BGR</v>
      </c>
      <c r="X168" s="12">
        <f t="shared" si="15"/>
        <v>1827</v>
      </c>
      <c r="Y168" s="11">
        <f t="shared" si="16"/>
        <v>1827</v>
      </c>
      <c r="AC168" t="s">
        <v>26</v>
      </c>
      <c r="AD168" t="s">
        <v>2642</v>
      </c>
      <c r="AE168" t="s">
        <v>2643</v>
      </c>
      <c r="AF168" t="s">
        <v>29</v>
      </c>
      <c r="AG168" t="s">
        <v>30</v>
      </c>
      <c r="AH168" t="s">
        <v>31</v>
      </c>
      <c r="AK168" t="s">
        <v>2642</v>
      </c>
      <c r="AL168" t="s">
        <v>1967</v>
      </c>
      <c r="AM168" t="s">
        <v>2422</v>
      </c>
      <c r="AN168" s="8">
        <v>136.48575</v>
      </c>
      <c r="AO168">
        <v>45.3852000911468</v>
      </c>
      <c r="AP168">
        <v>2430</v>
      </c>
      <c r="AQ168" s="9">
        <v>0.571140487193718</v>
      </c>
      <c r="AR168" t="s">
        <v>310</v>
      </c>
      <c r="AT168" s="15" t="s">
        <v>119</v>
      </c>
      <c r="AW168" s="11" t="str">
        <f t="shared" si="17"/>
        <v>EN_WOF_57_c01_CAN</v>
      </c>
      <c r="AX168" s="11">
        <f t="shared" si="18"/>
        <v>2430</v>
      </c>
      <c r="AY168" s="11">
        <f t="shared" si="19"/>
        <v>2430</v>
      </c>
      <c r="AZ168" s="17">
        <v>3</v>
      </c>
      <c r="BA168">
        <f t="shared" si="20"/>
        <v>24.3</v>
      </c>
    </row>
    <row r="169" spans="2:53">
      <c r="B169" t="s">
        <v>26</v>
      </c>
      <c r="C169" t="s">
        <v>2644</v>
      </c>
      <c r="D169" t="s">
        <v>2645</v>
      </c>
      <c r="E169" t="s">
        <v>29</v>
      </c>
      <c r="F169" t="s">
        <v>30</v>
      </c>
      <c r="G169" t="s">
        <v>31</v>
      </c>
      <c r="J169" t="s">
        <v>2644</v>
      </c>
      <c r="K169" t="s">
        <v>1967</v>
      </c>
      <c r="L169" t="s">
        <v>2259</v>
      </c>
      <c r="M169" s="8">
        <v>1.48875</v>
      </c>
      <c r="N169">
        <v>80.7856561622413</v>
      </c>
      <c r="O169">
        <v>1827</v>
      </c>
      <c r="P169" s="9">
        <v>0.249</v>
      </c>
      <c r="Q169" t="s">
        <v>199</v>
      </c>
      <c r="T169" s="15" t="s">
        <v>69</v>
      </c>
      <c r="W169" s="16" t="str">
        <f t="shared" si="14"/>
        <v>EN_WON_25_c02_BGR</v>
      </c>
      <c r="X169" s="12">
        <f t="shared" si="15"/>
        <v>1827</v>
      </c>
      <c r="Y169" s="11">
        <f t="shared" si="16"/>
        <v>1827</v>
      </c>
      <c r="AC169" t="s">
        <v>26</v>
      </c>
      <c r="AD169" t="s">
        <v>2646</v>
      </c>
      <c r="AE169" t="s">
        <v>2647</v>
      </c>
      <c r="AF169" t="s">
        <v>29</v>
      </c>
      <c r="AG169" t="s">
        <v>30</v>
      </c>
      <c r="AH169" t="s">
        <v>31</v>
      </c>
      <c r="AK169" t="s">
        <v>2646</v>
      </c>
      <c r="AL169" t="s">
        <v>1967</v>
      </c>
      <c r="AM169" t="s">
        <v>2422</v>
      </c>
      <c r="AN169" s="8">
        <v>78.0315</v>
      </c>
      <c r="AO169">
        <v>199.694880401046</v>
      </c>
      <c r="AP169">
        <v>2430</v>
      </c>
      <c r="AQ169" s="9">
        <v>0.570279406393572</v>
      </c>
      <c r="AR169" t="s">
        <v>310</v>
      </c>
      <c r="AT169" s="15" t="s">
        <v>119</v>
      </c>
      <c r="AW169" s="11" t="str">
        <f t="shared" si="17"/>
        <v>EN_WOF_57_c02_CAN</v>
      </c>
      <c r="AX169" s="11">
        <f t="shared" si="18"/>
        <v>2430</v>
      </c>
      <c r="AY169" s="11">
        <f t="shared" si="19"/>
        <v>2430</v>
      </c>
      <c r="AZ169" s="17">
        <v>3</v>
      </c>
      <c r="BA169">
        <f t="shared" si="20"/>
        <v>24.3</v>
      </c>
    </row>
    <row r="170" spans="2:53">
      <c r="B170" t="s">
        <v>26</v>
      </c>
      <c r="C170" t="s">
        <v>2648</v>
      </c>
      <c r="D170" t="s">
        <v>2649</v>
      </c>
      <c r="E170" t="s">
        <v>29</v>
      </c>
      <c r="F170" t="s">
        <v>30</v>
      </c>
      <c r="G170" t="s">
        <v>31</v>
      </c>
      <c r="J170" t="s">
        <v>2648</v>
      </c>
      <c r="K170" t="s">
        <v>1967</v>
      </c>
      <c r="L170" t="s">
        <v>2259</v>
      </c>
      <c r="M170" s="8">
        <v>0.44175</v>
      </c>
      <c r="N170">
        <v>105.747516212372</v>
      </c>
      <c r="O170">
        <v>1827</v>
      </c>
      <c r="P170" s="9">
        <v>0.252</v>
      </c>
      <c r="Q170" t="s">
        <v>199</v>
      </c>
      <c r="T170" s="15" t="s">
        <v>69</v>
      </c>
      <c r="W170" s="16" t="str">
        <f t="shared" si="14"/>
        <v>EN_WON_25_c03_BGR</v>
      </c>
      <c r="X170" s="12">
        <f t="shared" si="15"/>
        <v>1827</v>
      </c>
      <c r="Y170" s="11">
        <f t="shared" si="16"/>
        <v>1827</v>
      </c>
      <c r="AC170" t="s">
        <v>26</v>
      </c>
      <c r="AD170" t="s">
        <v>2650</v>
      </c>
      <c r="AE170" t="s">
        <v>2651</v>
      </c>
      <c r="AF170" t="s">
        <v>29</v>
      </c>
      <c r="AG170" t="s">
        <v>30</v>
      </c>
      <c r="AH170" t="s">
        <v>31</v>
      </c>
      <c r="AK170" t="s">
        <v>2650</v>
      </c>
      <c r="AL170" t="s">
        <v>1967</v>
      </c>
      <c r="AM170" t="s">
        <v>2422</v>
      </c>
      <c r="AN170" s="8">
        <v>137.5425</v>
      </c>
      <c r="AO170">
        <v>45.3852000911468</v>
      </c>
      <c r="AP170">
        <v>2430</v>
      </c>
      <c r="AQ170" s="9">
        <v>0.579027198865805</v>
      </c>
      <c r="AR170" t="s">
        <v>310</v>
      </c>
      <c r="AT170" s="15" t="s">
        <v>119</v>
      </c>
      <c r="AW170" s="11" t="str">
        <f t="shared" si="17"/>
        <v>EN_WOF_58_c01_CAN</v>
      </c>
      <c r="AX170" s="11">
        <f t="shared" si="18"/>
        <v>2430</v>
      </c>
      <c r="AY170" s="11">
        <f t="shared" si="19"/>
        <v>2430</v>
      </c>
      <c r="AZ170" s="17">
        <v>3</v>
      </c>
      <c r="BA170">
        <f t="shared" si="20"/>
        <v>24.3</v>
      </c>
    </row>
    <row r="171" spans="2:53">
      <c r="B171" t="s">
        <v>26</v>
      </c>
      <c r="C171" t="s">
        <v>2652</v>
      </c>
      <c r="D171" t="s">
        <v>2653</v>
      </c>
      <c r="E171" t="s">
        <v>29</v>
      </c>
      <c r="F171" t="s">
        <v>30</v>
      </c>
      <c r="G171" t="s">
        <v>31</v>
      </c>
      <c r="J171" t="s">
        <v>2652</v>
      </c>
      <c r="K171" t="s">
        <v>1967</v>
      </c>
      <c r="L171" t="s">
        <v>2259</v>
      </c>
      <c r="M171" s="8">
        <v>1.40925</v>
      </c>
      <c r="N171">
        <v>0</v>
      </c>
      <c r="O171">
        <v>1827</v>
      </c>
      <c r="P171" s="9">
        <v>0.263995742416179</v>
      </c>
      <c r="Q171" t="s">
        <v>199</v>
      </c>
      <c r="T171" s="15" t="s">
        <v>69</v>
      </c>
      <c r="W171" s="16" t="str">
        <f t="shared" si="14"/>
        <v>EN_WON_26_c01_BGR</v>
      </c>
      <c r="X171" s="12">
        <f t="shared" si="15"/>
        <v>1827</v>
      </c>
      <c r="Y171" s="11">
        <f t="shared" si="16"/>
        <v>1827</v>
      </c>
      <c r="AC171" t="s">
        <v>26</v>
      </c>
      <c r="AD171" t="s">
        <v>2654</v>
      </c>
      <c r="AE171" t="s">
        <v>2655</v>
      </c>
      <c r="AF171" t="s">
        <v>29</v>
      </c>
      <c r="AG171" t="s">
        <v>30</v>
      </c>
      <c r="AH171" t="s">
        <v>31</v>
      </c>
      <c r="AK171" t="s">
        <v>2654</v>
      </c>
      <c r="AL171" t="s">
        <v>1967</v>
      </c>
      <c r="AM171" t="s">
        <v>2422</v>
      </c>
      <c r="AN171" s="8">
        <v>32.2935</v>
      </c>
      <c r="AO171">
        <v>199.694880401046</v>
      </c>
      <c r="AP171">
        <v>2430</v>
      </c>
      <c r="AQ171" s="9">
        <v>0.57941815690464</v>
      </c>
      <c r="AR171" t="s">
        <v>310</v>
      </c>
      <c r="AT171" s="15" t="s">
        <v>119</v>
      </c>
      <c r="AW171" s="11" t="str">
        <f t="shared" si="17"/>
        <v>EN_WOF_58_c02_CAN</v>
      </c>
      <c r="AX171" s="11">
        <f t="shared" si="18"/>
        <v>2430</v>
      </c>
      <c r="AY171" s="11">
        <f t="shared" si="19"/>
        <v>2430</v>
      </c>
      <c r="AZ171" s="17">
        <v>3</v>
      </c>
      <c r="BA171">
        <f t="shared" si="20"/>
        <v>24.3</v>
      </c>
    </row>
    <row r="172" spans="2:53">
      <c r="B172" t="s">
        <v>26</v>
      </c>
      <c r="C172" t="s">
        <v>2656</v>
      </c>
      <c r="D172" t="s">
        <v>2657</v>
      </c>
      <c r="E172" t="s">
        <v>29</v>
      </c>
      <c r="F172" t="s">
        <v>30</v>
      </c>
      <c r="G172" t="s">
        <v>31</v>
      </c>
      <c r="J172" t="s">
        <v>2656</v>
      </c>
      <c r="K172" t="s">
        <v>1967</v>
      </c>
      <c r="L172" t="s">
        <v>2259</v>
      </c>
      <c r="M172" s="8">
        <v>0.0855</v>
      </c>
      <c r="N172">
        <v>105.747516212372</v>
      </c>
      <c r="O172">
        <v>1827</v>
      </c>
      <c r="P172" s="9">
        <v>0.255543859649123</v>
      </c>
      <c r="Q172" t="s">
        <v>199</v>
      </c>
      <c r="T172" s="15" t="s">
        <v>69</v>
      </c>
      <c r="W172" s="16" t="str">
        <f t="shared" si="14"/>
        <v>EN_WON_26_c03_BGR</v>
      </c>
      <c r="X172" s="12">
        <f t="shared" si="15"/>
        <v>1827</v>
      </c>
      <c r="Y172" s="11">
        <f t="shared" si="16"/>
        <v>1827</v>
      </c>
      <c r="AC172" t="s">
        <v>26</v>
      </c>
      <c r="AD172" t="s">
        <v>2658</v>
      </c>
      <c r="AE172" t="s">
        <v>2659</v>
      </c>
      <c r="AF172" t="s">
        <v>29</v>
      </c>
      <c r="AG172" t="s">
        <v>30</v>
      </c>
      <c r="AH172" t="s">
        <v>31</v>
      </c>
      <c r="AK172" t="s">
        <v>2658</v>
      </c>
      <c r="AL172" t="s">
        <v>1967</v>
      </c>
      <c r="AM172" t="s">
        <v>2422</v>
      </c>
      <c r="AN172" s="8">
        <v>115.88925</v>
      </c>
      <c r="AO172">
        <v>45.3852000911468</v>
      </c>
      <c r="AP172">
        <v>2430</v>
      </c>
      <c r="AQ172" s="9">
        <v>0.591003274678195</v>
      </c>
      <c r="AR172" t="s">
        <v>310</v>
      </c>
      <c r="AT172" s="15" t="s">
        <v>119</v>
      </c>
      <c r="AW172" s="11" t="str">
        <f t="shared" si="17"/>
        <v>EN_WOF_59_c01_CAN</v>
      </c>
      <c r="AX172" s="11">
        <f t="shared" si="18"/>
        <v>2430</v>
      </c>
      <c r="AY172" s="11">
        <f t="shared" si="19"/>
        <v>2430</v>
      </c>
      <c r="AZ172" s="17">
        <v>3</v>
      </c>
      <c r="BA172">
        <f t="shared" si="20"/>
        <v>24.3</v>
      </c>
    </row>
    <row r="173" spans="2:53">
      <c r="B173" t="s">
        <v>26</v>
      </c>
      <c r="C173" t="s">
        <v>2660</v>
      </c>
      <c r="D173" t="s">
        <v>2661</v>
      </c>
      <c r="E173" t="s">
        <v>29</v>
      </c>
      <c r="F173" t="s">
        <v>30</v>
      </c>
      <c r="G173" t="s">
        <v>31</v>
      </c>
      <c r="J173" t="s">
        <v>2660</v>
      </c>
      <c r="K173" t="s">
        <v>1967</v>
      </c>
      <c r="L173" t="s">
        <v>2259</v>
      </c>
      <c r="M173" s="8">
        <v>0.0675</v>
      </c>
      <c r="N173">
        <v>105.747516212372</v>
      </c>
      <c r="O173">
        <v>1827</v>
      </c>
      <c r="P173" s="9">
        <v>0.269</v>
      </c>
      <c r="Q173" t="s">
        <v>199</v>
      </c>
      <c r="T173" s="15" t="s">
        <v>69</v>
      </c>
      <c r="W173" s="16" t="str">
        <f t="shared" si="14"/>
        <v>EN_WON_27_c03_BGR</v>
      </c>
      <c r="X173" s="12">
        <f t="shared" si="15"/>
        <v>1827</v>
      </c>
      <c r="Y173" s="11">
        <f t="shared" si="16"/>
        <v>1827</v>
      </c>
      <c r="AC173" t="s">
        <v>26</v>
      </c>
      <c r="AD173" t="s">
        <v>2662</v>
      </c>
      <c r="AE173" t="s">
        <v>2663</v>
      </c>
      <c r="AF173" t="s">
        <v>29</v>
      </c>
      <c r="AG173" t="s">
        <v>30</v>
      </c>
      <c r="AH173" t="s">
        <v>31</v>
      </c>
      <c r="AK173" t="s">
        <v>2662</v>
      </c>
      <c r="AL173" t="s">
        <v>1967</v>
      </c>
      <c r="AM173" t="s">
        <v>2422</v>
      </c>
      <c r="AN173" s="8">
        <v>87.411</v>
      </c>
      <c r="AO173">
        <v>199.694880401046</v>
      </c>
      <c r="AP173">
        <v>2430</v>
      </c>
      <c r="AQ173" s="9">
        <v>0.589317388543776</v>
      </c>
      <c r="AR173" t="s">
        <v>310</v>
      </c>
      <c r="AT173" s="15" t="s">
        <v>119</v>
      </c>
      <c r="AW173" s="11" t="str">
        <f t="shared" si="17"/>
        <v>EN_WOF_59_c02_CAN</v>
      </c>
      <c r="AX173" s="11">
        <f t="shared" si="18"/>
        <v>2430</v>
      </c>
      <c r="AY173" s="11">
        <f t="shared" si="19"/>
        <v>2430</v>
      </c>
      <c r="AZ173" s="17">
        <v>3</v>
      </c>
      <c r="BA173">
        <f t="shared" si="20"/>
        <v>24.3</v>
      </c>
    </row>
    <row r="174" spans="2:53">
      <c r="B174" t="s">
        <v>26</v>
      </c>
      <c r="C174" t="s">
        <v>2664</v>
      </c>
      <c r="D174" t="s">
        <v>2665</v>
      </c>
      <c r="E174" t="s">
        <v>29</v>
      </c>
      <c r="F174" t="s">
        <v>30</v>
      </c>
      <c r="G174" t="s">
        <v>31</v>
      </c>
      <c r="J174" t="s">
        <v>2664</v>
      </c>
      <c r="K174" t="s">
        <v>1967</v>
      </c>
      <c r="L174" t="s">
        <v>2259</v>
      </c>
      <c r="M174" s="8">
        <v>4.26825</v>
      </c>
      <c r="N174">
        <v>0</v>
      </c>
      <c r="O174">
        <v>1827</v>
      </c>
      <c r="P174" s="9">
        <v>0.288625724828677</v>
      </c>
      <c r="Q174" t="s">
        <v>199</v>
      </c>
      <c r="T174" s="15" t="s">
        <v>69</v>
      </c>
      <c r="W174" s="16" t="str">
        <f t="shared" si="14"/>
        <v>EN_WON_29_c01_BGR</v>
      </c>
      <c r="X174" s="12">
        <f t="shared" si="15"/>
        <v>1827</v>
      </c>
      <c r="Y174" s="11">
        <f t="shared" si="16"/>
        <v>1827</v>
      </c>
      <c r="AC174" t="s">
        <v>26</v>
      </c>
      <c r="AD174" t="s">
        <v>2666</v>
      </c>
      <c r="AE174" t="s">
        <v>2667</v>
      </c>
      <c r="AF174" t="s">
        <v>29</v>
      </c>
      <c r="AG174" t="s">
        <v>30</v>
      </c>
      <c r="AH174" t="s">
        <v>31</v>
      </c>
      <c r="AK174" t="s">
        <v>2666</v>
      </c>
      <c r="AL174" t="s">
        <v>1967</v>
      </c>
      <c r="AM174" t="s">
        <v>2422</v>
      </c>
      <c r="AN174" s="8">
        <v>61.932</v>
      </c>
      <c r="AO174">
        <v>45.3852000911468</v>
      </c>
      <c r="AP174">
        <v>2430</v>
      </c>
      <c r="AQ174" s="9">
        <v>0.598000411741911</v>
      </c>
      <c r="AR174" t="s">
        <v>310</v>
      </c>
      <c r="AT174" s="15" t="s">
        <v>119</v>
      </c>
      <c r="AW174" s="11" t="str">
        <f t="shared" si="17"/>
        <v>EN_WOF_60_c01_CAN</v>
      </c>
      <c r="AX174" s="11">
        <f t="shared" si="18"/>
        <v>2430</v>
      </c>
      <c r="AY174" s="11">
        <f t="shared" si="19"/>
        <v>2430</v>
      </c>
      <c r="AZ174" s="17">
        <v>3</v>
      </c>
      <c r="BA174">
        <f t="shared" si="20"/>
        <v>24.3</v>
      </c>
    </row>
    <row r="175" spans="2:53">
      <c r="B175" t="s">
        <v>26</v>
      </c>
      <c r="C175" t="s">
        <v>2668</v>
      </c>
      <c r="D175" t="s">
        <v>2669</v>
      </c>
      <c r="E175" t="s">
        <v>29</v>
      </c>
      <c r="F175" t="s">
        <v>30</v>
      </c>
      <c r="G175" t="s">
        <v>31</v>
      </c>
      <c r="J175" t="s">
        <v>2668</v>
      </c>
      <c r="K175" t="s">
        <v>1967</v>
      </c>
      <c r="L175" t="s">
        <v>2670</v>
      </c>
      <c r="M175" s="8">
        <v>1.3245</v>
      </c>
      <c r="N175">
        <v>80.7856561622413</v>
      </c>
      <c r="O175">
        <v>1756</v>
      </c>
      <c r="P175" s="9">
        <v>0.247</v>
      </c>
      <c r="Q175" t="s">
        <v>207</v>
      </c>
      <c r="T175" s="15" t="s">
        <v>80</v>
      </c>
      <c r="W175" s="16" t="str">
        <f t="shared" si="14"/>
        <v>EN_WON_25_c02_BHR</v>
      </c>
      <c r="X175" s="12">
        <f t="shared" si="15"/>
        <v>1756</v>
      </c>
      <c r="Y175" s="11">
        <f t="shared" si="16"/>
        <v>1756</v>
      </c>
      <c r="AC175" t="s">
        <v>26</v>
      </c>
      <c r="AD175" t="s">
        <v>2671</v>
      </c>
      <c r="AE175" t="s">
        <v>2672</v>
      </c>
      <c r="AF175" t="s">
        <v>29</v>
      </c>
      <c r="AG175" t="s">
        <v>30</v>
      </c>
      <c r="AH175" t="s">
        <v>31</v>
      </c>
      <c r="AK175" t="s">
        <v>2671</v>
      </c>
      <c r="AL175" t="s">
        <v>1967</v>
      </c>
      <c r="AM175" t="s">
        <v>2422</v>
      </c>
      <c r="AN175" s="8">
        <v>196.42275</v>
      </c>
      <c r="AO175">
        <v>199.694880401046</v>
      </c>
      <c r="AP175">
        <v>2430</v>
      </c>
      <c r="AQ175" s="9">
        <v>0.599711692001054</v>
      </c>
      <c r="AR175" t="s">
        <v>310</v>
      </c>
      <c r="AT175" s="15" t="s">
        <v>119</v>
      </c>
      <c r="AW175" s="11" t="str">
        <f t="shared" si="17"/>
        <v>EN_WOF_60_c02_CAN</v>
      </c>
      <c r="AX175" s="11">
        <f t="shared" si="18"/>
        <v>2430</v>
      </c>
      <c r="AY175" s="11">
        <f t="shared" si="19"/>
        <v>2430</v>
      </c>
      <c r="AZ175" s="17">
        <v>3</v>
      </c>
      <c r="BA175">
        <f t="shared" si="20"/>
        <v>24.3</v>
      </c>
    </row>
    <row r="176" spans="2:53">
      <c r="B176" t="s">
        <v>26</v>
      </c>
      <c r="C176" t="s">
        <v>2673</v>
      </c>
      <c r="D176" t="s">
        <v>2674</v>
      </c>
      <c r="E176" t="s">
        <v>29</v>
      </c>
      <c r="F176" t="s">
        <v>30</v>
      </c>
      <c r="G176" t="s">
        <v>31</v>
      </c>
      <c r="J176" t="s">
        <v>2673</v>
      </c>
      <c r="K176" t="s">
        <v>1967</v>
      </c>
      <c r="L176" t="s">
        <v>2280</v>
      </c>
      <c r="M176" s="8">
        <v>0.1605</v>
      </c>
      <c r="N176">
        <v>145.23264029167</v>
      </c>
      <c r="O176">
        <v>1997</v>
      </c>
      <c r="P176" s="9">
        <v>0.157</v>
      </c>
      <c r="Q176" t="s">
        <v>211</v>
      </c>
      <c r="T176" s="15" t="s">
        <v>119</v>
      </c>
      <c r="W176" s="16" t="str">
        <f t="shared" si="14"/>
        <v>EN_WON_16_c04_BHS</v>
      </c>
      <c r="X176" s="12">
        <f t="shared" si="15"/>
        <v>1997</v>
      </c>
      <c r="Y176" s="11">
        <f t="shared" si="16"/>
        <v>1997</v>
      </c>
      <c r="AC176" t="s">
        <v>26</v>
      </c>
      <c r="AD176" t="s">
        <v>2675</v>
      </c>
      <c r="AE176" t="s">
        <v>2676</v>
      </c>
      <c r="AF176" t="s">
        <v>29</v>
      </c>
      <c r="AG176" t="s">
        <v>30</v>
      </c>
      <c r="AH176" t="s">
        <v>31</v>
      </c>
      <c r="AK176" t="s">
        <v>2675</v>
      </c>
      <c r="AL176" t="s">
        <v>1967</v>
      </c>
      <c r="AM176" t="s">
        <v>2422</v>
      </c>
      <c r="AN176" s="8">
        <v>30.8805</v>
      </c>
      <c r="AO176">
        <v>45.3852000911468</v>
      </c>
      <c r="AP176">
        <v>2430</v>
      </c>
      <c r="AQ176" s="9">
        <v>0.612254335260116</v>
      </c>
      <c r="AR176" t="s">
        <v>310</v>
      </c>
      <c r="AT176" s="15" t="s">
        <v>119</v>
      </c>
      <c r="AW176" s="11" t="str">
        <f t="shared" si="17"/>
        <v>EN_WOF_61_c01_CAN</v>
      </c>
      <c r="AX176" s="11">
        <f t="shared" si="18"/>
        <v>2430</v>
      </c>
      <c r="AY176" s="11">
        <f t="shared" si="19"/>
        <v>2430</v>
      </c>
      <c r="AZ176" s="17">
        <v>3</v>
      </c>
      <c r="BA176">
        <f t="shared" si="20"/>
        <v>24.3</v>
      </c>
    </row>
    <row r="177" spans="2:53">
      <c r="B177" t="s">
        <v>26</v>
      </c>
      <c r="C177" t="s">
        <v>2677</v>
      </c>
      <c r="D177" t="s">
        <v>2678</v>
      </c>
      <c r="E177" t="s">
        <v>29</v>
      </c>
      <c r="F177" t="s">
        <v>30</v>
      </c>
      <c r="G177" t="s">
        <v>31</v>
      </c>
      <c r="J177" t="s">
        <v>2677</v>
      </c>
      <c r="K177" t="s">
        <v>1967</v>
      </c>
      <c r="L177" t="s">
        <v>2280</v>
      </c>
      <c r="M177" s="8">
        <v>0.19725</v>
      </c>
      <c r="N177">
        <v>80.7856561622413</v>
      </c>
      <c r="O177">
        <v>1997</v>
      </c>
      <c r="P177" s="9">
        <v>0.171</v>
      </c>
      <c r="Q177" t="s">
        <v>211</v>
      </c>
      <c r="T177" s="15" t="s">
        <v>119</v>
      </c>
      <c r="W177" s="16" t="str">
        <f t="shared" si="14"/>
        <v>EN_WON_17_c02_BHS</v>
      </c>
      <c r="X177" s="12">
        <f t="shared" si="15"/>
        <v>1997</v>
      </c>
      <c r="Y177" s="11">
        <f t="shared" si="16"/>
        <v>1997</v>
      </c>
      <c r="AC177" t="s">
        <v>26</v>
      </c>
      <c r="AD177" t="s">
        <v>2679</v>
      </c>
      <c r="AE177" t="s">
        <v>2680</v>
      </c>
      <c r="AF177" t="s">
        <v>29</v>
      </c>
      <c r="AG177" t="s">
        <v>30</v>
      </c>
      <c r="AH177" t="s">
        <v>31</v>
      </c>
      <c r="AK177" t="s">
        <v>2679</v>
      </c>
      <c r="AL177" t="s">
        <v>1967</v>
      </c>
      <c r="AM177" t="s">
        <v>2422</v>
      </c>
      <c r="AN177" s="8">
        <v>80.28225</v>
      </c>
      <c r="AO177">
        <v>199.694880401046</v>
      </c>
      <c r="AP177">
        <v>2430</v>
      </c>
      <c r="AQ177" s="9">
        <v>0.60824752669488</v>
      </c>
      <c r="AR177" t="s">
        <v>310</v>
      </c>
      <c r="AT177" s="15" t="s">
        <v>119</v>
      </c>
      <c r="AW177" s="11" t="str">
        <f t="shared" si="17"/>
        <v>EN_WOF_61_c02_CAN</v>
      </c>
      <c r="AX177" s="11">
        <f t="shared" si="18"/>
        <v>2430</v>
      </c>
      <c r="AY177" s="11">
        <f t="shared" si="19"/>
        <v>2430</v>
      </c>
      <c r="AZ177" s="17">
        <v>3</v>
      </c>
      <c r="BA177">
        <f t="shared" si="20"/>
        <v>24.3</v>
      </c>
    </row>
    <row r="178" spans="2:53">
      <c r="B178" t="s">
        <v>26</v>
      </c>
      <c r="C178" t="s">
        <v>2681</v>
      </c>
      <c r="D178" t="s">
        <v>2682</v>
      </c>
      <c r="E178" t="s">
        <v>29</v>
      </c>
      <c r="F178" t="s">
        <v>30</v>
      </c>
      <c r="G178" t="s">
        <v>31</v>
      </c>
      <c r="J178" t="s">
        <v>2681</v>
      </c>
      <c r="K178" t="s">
        <v>1967</v>
      </c>
      <c r="L178" t="s">
        <v>2280</v>
      </c>
      <c r="M178" s="8">
        <v>0.3195</v>
      </c>
      <c r="N178">
        <v>105.747516212372</v>
      </c>
      <c r="O178">
        <v>1997</v>
      </c>
      <c r="P178" s="9">
        <v>0.171244131455399</v>
      </c>
      <c r="Q178" t="s">
        <v>211</v>
      </c>
      <c r="T178" s="15" t="s">
        <v>119</v>
      </c>
      <c r="W178" s="16" t="str">
        <f t="shared" si="14"/>
        <v>EN_WON_17_c03_BHS</v>
      </c>
      <c r="X178" s="12">
        <f t="shared" si="15"/>
        <v>1997</v>
      </c>
      <c r="Y178" s="11">
        <f t="shared" si="16"/>
        <v>1997</v>
      </c>
      <c r="AC178" t="s">
        <v>26</v>
      </c>
      <c r="AD178" t="s">
        <v>2683</v>
      </c>
      <c r="AE178" t="s">
        <v>2684</v>
      </c>
      <c r="AF178" t="s">
        <v>29</v>
      </c>
      <c r="AG178" t="s">
        <v>30</v>
      </c>
      <c r="AH178" t="s">
        <v>31</v>
      </c>
      <c r="AK178" t="s">
        <v>2683</v>
      </c>
      <c r="AL178" t="s">
        <v>1967</v>
      </c>
      <c r="AM178" t="s">
        <v>2422</v>
      </c>
      <c r="AN178" s="8">
        <v>56.00925</v>
      </c>
      <c r="AO178">
        <v>199.694880401046</v>
      </c>
      <c r="AP178">
        <v>2430</v>
      </c>
      <c r="AQ178" s="9">
        <v>0.618195864968733</v>
      </c>
      <c r="AR178" t="s">
        <v>310</v>
      </c>
      <c r="AT178" s="15" t="s">
        <v>119</v>
      </c>
      <c r="AW178" s="11" t="str">
        <f t="shared" si="17"/>
        <v>EN_WOF_62_c02_CAN</v>
      </c>
      <c r="AX178" s="11">
        <f t="shared" si="18"/>
        <v>2430</v>
      </c>
      <c r="AY178" s="11">
        <f t="shared" si="19"/>
        <v>2430</v>
      </c>
      <c r="AZ178" s="17">
        <v>3</v>
      </c>
      <c r="BA178">
        <f t="shared" si="20"/>
        <v>24.3</v>
      </c>
    </row>
    <row r="179" spans="2:53">
      <c r="B179" t="s">
        <v>26</v>
      </c>
      <c r="C179" t="s">
        <v>2685</v>
      </c>
      <c r="D179" t="s">
        <v>2686</v>
      </c>
      <c r="E179" t="s">
        <v>29</v>
      </c>
      <c r="F179" t="s">
        <v>30</v>
      </c>
      <c r="G179" t="s">
        <v>31</v>
      </c>
      <c r="J179" t="s">
        <v>2685</v>
      </c>
      <c r="K179" t="s">
        <v>1967</v>
      </c>
      <c r="L179" t="s">
        <v>2280</v>
      </c>
      <c r="M179" s="8">
        <v>0.2925</v>
      </c>
      <c r="N179">
        <v>145.23264029167</v>
      </c>
      <c r="O179">
        <v>1997</v>
      </c>
      <c r="P179" s="9">
        <v>0.166</v>
      </c>
      <c r="Q179" t="s">
        <v>211</v>
      </c>
      <c r="T179" s="15" t="s">
        <v>119</v>
      </c>
      <c r="W179" s="16" t="str">
        <f t="shared" si="14"/>
        <v>EN_WON_17_c04_BHS</v>
      </c>
      <c r="X179" s="12">
        <f t="shared" si="15"/>
        <v>1997</v>
      </c>
      <c r="Y179" s="11">
        <f t="shared" si="16"/>
        <v>1997</v>
      </c>
      <c r="AC179" t="s">
        <v>26</v>
      </c>
      <c r="AD179" t="s">
        <v>2687</v>
      </c>
      <c r="AE179" t="s">
        <v>2688</v>
      </c>
      <c r="AF179" t="s">
        <v>29</v>
      </c>
      <c r="AG179" t="s">
        <v>30</v>
      </c>
      <c r="AH179" t="s">
        <v>31</v>
      </c>
      <c r="AK179" t="s">
        <v>2687</v>
      </c>
      <c r="AL179" t="s">
        <v>1967</v>
      </c>
      <c r="AM179" t="s">
        <v>2689</v>
      </c>
      <c r="AN179" s="8">
        <v>1.89375</v>
      </c>
      <c r="AO179">
        <v>45.3852000911468</v>
      </c>
      <c r="AP179">
        <v>2466</v>
      </c>
      <c r="AQ179" s="9">
        <v>0.302</v>
      </c>
      <c r="AR179" t="s">
        <v>366</v>
      </c>
      <c r="AT179" s="15" t="s">
        <v>89</v>
      </c>
      <c r="AW179" s="11" t="str">
        <f t="shared" si="17"/>
        <v>EN_WOF_30_c01_CHL</v>
      </c>
      <c r="AX179" s="11">
        <f t="shared" si="18"/>
        <v>2466</v>
      </c>
      <c r="AY179" s="11">
        <f t="shared" si="19"/>
        <v>2466</v>
      </c>
      <c r="AZ179" s="17">
        <v>3</v>
      </c>
      <c r="BA179">
        <f t="shared" si="20"/>
        <v>24.66</v>
      </c>
    </row>
    <row r="180" spans="2:53">
      <c r="B180" t="s">
        <v>26</v>
      </c>
      <c r="C180" t="s">
        <v>2690</v>
      </c>
      <c r="D180" t="s">
        <v>2691</v>
      </c>
      <c r="E180" t="s">
        <v>29</v>
      </c>
      <c r="F180" t="s">
        <v>30</v>
      </c>
      <c r="G180" t="s">
        <v>31</v>
      </c>
      <c r="J180" t="s">
        <v>2690</v>
      </c>
      <c r="K180" t="s">
        <v>1967</v>
      </c>
      <c r="L180" t="s">
        <v>2280</v>
      </c>
      <c r="M180" s="8">
        <v>0.05025</v>
      </c>
      <c r="N180">
        <v>80.7856561622413</v>
      </c>
      <c r="O180">
        <v>1997</v>
      </c>
      <c r="P180" s="9">
        <v>0.176910447761194</v>
      </c>
      <c r="Q180" t="s">
        <v>211</v>
      </c>
      <c r="T180" s="15" t="s">
        <v>119</v>
      </c>
      <c r="W180" s="16" t="str">
        <f t="shared" si="14"/>
        <v>EN_WON_18_c02_BHS</v>
      </c>
      <c r="X180" s="12">
        <f t="shared" si="15"/>
        <v>1997</v>
      </c>
      <c r="Y180" s="11">
        <f t="shared" si="16"/>
        <v>1997</v>
      </c>
      <c r="AC180" t="s">
        <v>26</v>
      </c>
      <c r="AD180" t="s">
        <v>2692</v>
      </c>
      <c r="AE180" t="s">
        <v>2693</v>
      </c>
      <c r="AF180" t="s">
        <v>29</v>
      </c>
      <c r="AG180" t="s">
        <v>30</v>
      </c>
      <c r="AH180" t="s">
        <v>31</v>
      </c>
      <c r="AK180" t="s">
        <v>2692</v>
      </c>
      <c r="AL180" t="s">
        <v>1967</v>
      </c>
      <c r="AM180" t="s">
        <v>2689</v>
      </c>
      <c r="AN180" s="8">
        <v>1.476</v>
      </c>
      <c r="AO180">
        <v>199.694880401046</v>
      </c>
      <c r="AP180">
        <v>2466</v>
      </c>
      <c r="AQ180" s="9">
        <v>0.311</v>
      </c>
      <c r="AR180" t="s">
        <v>366</v>
      </c>
      <c r="AT180" s="15" t="s">
        <v>89</v>
      </c>
      <c r="AW180" s="11" t="str">
        <f t="shared" si="17"/>
        <v>EN_WOF_31_c02_CHL</v>
      </c>
      <c r="AX180" s="11">
        <f t="shared" si="18"/>
        <v>2466</v>
      </c>
      <c r="AY180" s="11">
        <f t="shared" si="19"/>
        <v>2466</v>
      </c>
      <c r="AZ180" s="17">
        <v>3</v>
      </c>
      <c r="BA180">
        <f t="shared" si="20"/>
        <v>24.66</v>
      </c>
    </row>
    <row r="181" spans="2:53">
      <c r="B181" t="s">
        <v>26</v>
      </c>
      <c r="C181" t="s">
        <v>2694</v>
      </c>
      <c r="D181" t="s">
        <v>2695</v>
      </c>
      <c r="E181" t="s">
        <v>29</v>
      </c>
      <c r="F181" t="s">
        <v>30</v>
      </c>
      <c r="G181" t="s">
        <v>31</v>
      </c>
      <c r="J181" t="s">
        <v>2694</v>
      </c>
      <c r="K181" t="s">
        <v>1967</v>
      </c>
      <c r="L181" t="s">
        <v>2280</v>
      </c>
      <c r="M181" s="8">
        <v>0.31125</v>
      </c>
      <c r="N181">
        <v>145.23264029167</v>
      </c>
      <c r="O181">
        <v>1997</v>
      </c>
      <c r="P181" s="9">
        <v>0.181</v>
      </c>
      <c r="Q181" t="s">
        <v>211</v>
      </c>
      <c r="T181" s="15" t="s">
        <v>119</v>
      </c>
      <c r="W181" s="16" t="str">
        <f t="shared" si="14"/>
        <v>EN_WON_18_c04_BHS</v>
      </c>
      <c r="X181" s="12">
        <f t="shared" si="15"/>
        <v>1997</v>
      </c>
      <c r="Y181" s="11">
        <f t="shared" si="16"/>
        <v>1997</v>
      </c>
      <c r="AC181" t="s">
        <v>26</v>
      </c>
      <c r="AD181" t="s">
        <v>2696</v>
      </c>
      <c r="AE181" t="s">
        <v>2697</v>
      </c>
      <c r="AF181" t="s">
        <v>29</v>
      </c>
      <c r="AG181" t="s">
        <v>30</v>
      </c>
      <c r="AH181" t="s">
        <v>31</v>
      </c>
      <c r="AK181" t="s">
        <v>2696</v>
      </c>
      <c r="AL181" t="s">
        <v>1967</v>
      </c>
      <c r="AM181" t="s">
        <v>2689</v>
      </c>
      <c r="AN181" s="8">
        <v>1.07025</v>
      </c>
      <c r="AO181">
        <v>45.3852000911468</v>
      </c>
      <c r="AP181">
        <v>2466</v>
      </c>
      <c r="AQ181" s="9">
        <v>0.324</v>
      </c>
      <c r="AR181" t="s">
        <v>366</v>
      </c>
      <c r="AT181" s="15" t="s">
        <v>89</v>
      </c>
      <c r="AW181" s="11" t="str">
        <f t="shared" si="17"/>
        <v>EN_WOF_32_c01_CHL</v>
      </c>
      <c r="AX181" s="11">
        <f t="shared" si="18"/>
        <v>2466</v>
      </c>
      <c r="AY181" s="11">
        <f t="shared" si="19"/>
        <v>2466</v>
      </c>
      <c r="AZ181" s="17">
        <v>3</v>
      </c>
      <c r="BA181">
        <f t="shared" si="20"/>
        <v>24.66</v>
      </c>
    </row>
    <row r="182" spans="2:53">
      <c r="B182" t="s">
        <v>26</v>
      </c>
      <c r="C182" t="s">
        <v>2698</v>
      </c>
      <c r="D182" t="s">
        <v>2699</v>
      </c>
      <c r="E182" t="s">
        <v>29</v>
      </c>
      <c r="F182" t="s">
        <v>30</v>
      </c>
      <c r="G182" t="s">
        <v>31</v>
      </c>
      <c r="J182" t="s">
        <v>2698</v>
      </c>
      <c r="K182" t="s">
        <v>1967</v>
      </c>
      <c r="L182" t="s">
        <v>2280</v>
      </c>
      <c r="M182" s="8">
        <v>0.015</v>
      </c>
      <c r="N182">
        <v>105.747516212372</v>
      </c>
      <c r="O182">
        <v>1997</v>
      </c>
      <c r="P182" s="9">
        <v>0.191</v>
      </c>
      <c r="Q182" t="s">
        <v>211</v>
      </c>
      <c r="T182" s="15" t="s">
        <v>119</v>
      </c>
      <c r="W182" s="16" t="str">
        <f t="shared" si="14"/>
        <v>EN_WON_19_c03_BHS</v>
      </c>
      <c r="X182" s="12">
        <f t="shared" si="15"/>
        <v>1997</v>
      </c>
      <c r="Y182" s="11">
        <f t="shared" si="16"/>
        <v>1997</v>
      </c>
      <c r="AC182" t="s">
        <v>26</v>
      </c>
      <c r="AD182" t="s">
        <v>2700</v>
      </c>
      <c r="AE182" t="s">
        <v>2701</v>
      </c>
      <c r="AF182" t="s">
        <v>29</v>
      </c>
      <c r="AG182" t="s">
        <v>30</v>
      </c>
      <c r="AH182" t="s">
        <v>31</v>
      </c>
      <c r="AK182" t="s">
        <v>2700</v>
      </c>
      <c r="AL182" t="s">
        <v>1967</v>
      </c>
      <c r="AM182" t="s">
        <v>2689</v>
      </c>
      <c r="AN182" s="8">
        <v>1.131</v>
      </c>
      <c r="AO182">
        <v>45.3852000911468</v>
      </c>
      <c r="AP182">
        <v>2466</v>
      </c>
      <c r="AQ182" s="9">
        <v>0.34</v>
      </c>
      <c r="AR182" t="s">
        <v>366</v>
      </c>
      <c r="AT182" s="15" t="s">
        <v>89</v>
      </c>
      <c r="AW182" s="11" t="str">
        <f t="shared" si="17"/>
        <v>EN_WOF_34_c01_CHL</v>
      </c>
      <c r="AX182" s="11">
        <f t="shared" si="18"/>
        <v>2466</v>
      </c>
      <c r="AY182" s="11">
        <f t="shared" si="19"/>
        <v>2466</v>
      </c>
      <c r="AZ182" s="17">
        <v>3</v>
      </c>
      <c r="BA182">
        <f t="shared" si="20"/>
        <v>24.66</v>
      </c>
    </row>
    <row r="183" spans="2:53">
      <c r="B183" t="s">
        <v>26</v>
      </c>
      <c r="C183" t="s">
        <v>2702</v>
      </c>
      <c r="D183" t="s">
        <v>2703</v>
      </c>
      <c r="E183" t="s">
        <v>29</v>
      </c>
      <c r="F183" t="s">
        <v>30</v>
      </c>
      <c r="G183" t="s">
        <v>31</v>
      </c>
      <c r="J183" t="s">
        <v>2702</v>
      </c>
      <c r="K183" t="s">
        <v>1967</v>
      </c>
      <c r="L183" t="s">
        <v>2280</v>
      </c>
      <c r="M183" s="8">
        <v>0.18</v>
      </c>
      <c r="N183">
        <v>105.747516212372</v>
      </c>
      <c r="O183">
        <v>1997</v>
      </c>
      <c r="P183" s="9">
        <v>0.205</v>
      </c>
      <c r="Q183" t="s">
        <v>211</v>
      </c>
      <c r="T183" s="15" t="s">
        <v>119</v>
      </c>
      <c r="W183" s="16" t="str">
        <f t="shared" si="14"/>
        <v>EN_WON_21_c03_BHS</v>
      </c>
      <c r="X183" s="12">
        <f t="shared" si="15"/>
        <v>1997</v>
      </c>
      <c r="Y183" s="11">
        <f t="shared" si="16"/>
        <v>1997</v>
      </c>
      <c r="AC183" t="s">
        <v>26</v>
      </c>
      <c r="AD183" t="s">
        <v>2704</v>
      </c>
      <c r="AE183" t="s">
        <v>2705</v>
      </c>
      <c r="AF183" t="s">
        <v>29</v>
      </c>
      <c r="AG183" t="s">
        <v>30</v>
      </c>
      <c r="AH183" t="s">
        <v>31</v>
      </c>
      <c r="AK183" t="s">
        <v>2704</v>
      </c>
      <c r="AL183" t="s">
        <v>1967</v>
      </c>
      <c r="AM183" t="s">
        <v>2689</v>
      </c>
      <c r="AN183" s="8">
        <v>2.31525</v>
      </c>
      <c r="AO183">
        <v>45.3852000911468</v>
      </c>
      <c r="AP183">
        <v>2466</v>
      </c>
      <c r="AQ183" s="9">
        <v>0.345</v>
      </c>
      <c r="AR183" t="s">
        <v>366</v>
      </c>
      <c r="AT183" s="15" t="s">
        <v>89</v>
      </c>
      <c r="AW183" s="11" t="str">
        <f t="shared" si="17"/>
        <v>EN_WOF_35_c01_CHL</v>
      </c>
      <c r="AX183" s="11">
        <f t="shared" si="18"/>
        <v>2466</v>
      </c>
      <c r="AY183" s="11">
        <f t="shared" si="19"/>
        <v>2466</v>
      </c>
      <c r="AZ183" s="17">
        <v>3</v>
      </c>
      <c r="BA183">
        <f t="shared" si="20"/>
        <v>24.66</v>
      </c>
    </row>
    <row r="184" spans="2:53">
      <c r="B184" t="s">
        <v>26</v>
      </c>
      <c r="C184" t="s">
        <v>2706</v>
      </c>
      <c r="D184" t="s">
        <v>2707</v>
      </c>
      <c r="E184" t="s">
        <v>29</v>
      </c>
      <c r="F184" t="s">
        <v>30</v>
      </c>
      <c r="G184" t="s">
        <v>31</v>
      </c>
      <c r="J184" t="s">
        <v>2706</v>
      </c>
      <c r="K184" t="s">
        <v>1967</v>
      </c>
      <c r="L184" t="s">
        <v>2280</v>
      </c>
      <c r="M184" s="8">
        <v>0.006</v>
      </c>
      <c r="N184">
        <v>145.23264029167</v>
      </c>
      <c r="O184">
        <v>1997</v>
      </c>
      <c r="P184" s="9">
        <v>0.209</v>
      </c>
      <c r="Q184" t="s">
        <v>211</v>
      </c>
      <c r="T184" s="15" t="s">
        <v>119</v>
      </c>
      <c r="W184" s="16" t="str">
        <f t="shared" si="14"/>
        <v>EN_WON_21_c04_BHS</v>
      </c>
      <c r="X184" s="12">
        <f t="shared" si="15"/>
        <v>1997</v>
      </c>
      <c r="Y184" s="11">
        <f t="shared" si="16"/>
        <v>1997</v>
      </c>
      <c r="AC184" t="s">
        <v>26</v>
      </c>
      <c r="AD184" t="s">
        <v>2708</v>
      </c>
      <c r="AE184" t="s">
        <v>2709</v>
      </c>
      <c r="AF184" t="s">
        <v>29</v>
      </c>
      <c r="AG184" t="s">
        <v>30</v>
      </c>
      <c r="AH184" t="s">
        <v>31</v>
      </c>
      <c r="AK184" t="s">
        <v>2708</v>
      </c>
      <c r="AL184" t="s">
        <v>1967</v>
      </c>
      <c r="AM184" t="s">
        <v>2689</v>
      </c>
      <c r="AN184" s="8">
        <v>3.663</v>
      </c>
      <c r="AO184">
        <v>45.3852000911468</v>
      </c>
      <c r="AP184">
        <v>2466</v>
      </c>
      <c r="AQ184" s="9">
        <v>0.356734643734644</v>
      </c>
      <c r="AR184" t="s">
        <v>366</v>
      </c>
      <c r="AT184" s="15" t="s">
        <v>89</v>
      </c>
      <c r="AW184" s="11" t="str">
        <f t="shared" si="17"/>
        <v>EN_WOF_36_c01_CHL</v>
      </c>
      <c r="AX184" s="11">
        <f t="shared" si="18"/>
        <v>2466</v>
      </c>
      <c r="AY184" s="11">
        <f t="shared" si="19"/>
        <v>2466</v>
      </c>
      <c r="AZ184" s="17">
        <v>3</v>
      </c>
      <c r="BA184">
        <f t="shared" si="20"/>
        <v>24.66</v>
      </c>
    </row>
    <row r="185" spans="2:53">
      <c r="B185" t="s">
        <v>26</v>
      </c>
      <c r="C185" t="s">
        <v>2710</v>
      </c>
      <c r="D185" t="s">
        <v>2711</v>
      </c>
      <c r="E185" t="s">
        <v>29</v>
      </c>
      <c r="F185" t="s">
        <v>30</v>
      </c>
      <c r="G185" t="s">
        <v>31</v>
      </c>
      <c r="J185" t="s">
        <v>2710</v>
      </c>
      <c r="K185" t="s">
        <v>1967</v>
      </c>
      <c r="L185" t="s">
        <v>2280</v>
      </c>
      <c r="M185" s="8">
        <v>0.01725</v>
      </c>
      <c r="N185">
        <v>145.23264029167</v>
      </c>
      <c r="O185">
        <v>1997</v>
      </c>
      <c r="P185" s="9">
        <v>0.239</v>
      </c>
      <c r="Q185" t="s">
        <v>211</v>
      </c>
      <c r="T185" s="15" t="s">
        <v>119</v>
      </c>
      <c r="W185" s="16" t="str">
        <f t="shared" si="14"/>
        <v>EN_WON_24_c04_BHS</v>
      </c>
      <c r="X185" s="12">
        <f t="shared" si="15"/>
        <v>1997</v>
      </c>
      <c r="Y185" s="11">
        <f t="shared" si="16"/>
        <v>1997</v>
      </c>
      <c r="AC185" t="s">
        <v>26</v>
      </c>
      <c r="AD185" t="s">
        <v>2712</v>
      </c>
      <c r="AE185" t="s">
        <v>2713</v>
      </c>
      <c r="AF185" t="s">
        <v>29</v>
      </c>
      <c r="AG185" t="s">
        <v>30</v>
      </c>
      <c r="AH185" t="s">
        <v>31</v>
      </c>
      <c r="AK185" t="s">
        <v>2712</v>
      </c>
      <c r="AL185" t="s">
        <v>1967</v>
      </c>
      <c r="AM185" t="s">
        <v>2689</v>
      </c>
      <c r="AN185" s="8">
        <v>4.152</v>
      </c>
      <c r="AO185">
        <v>45.3852000911468</v>
      </c>
      <c r="AP185">
        <v>2466</v>
      </c>
      <c r="AQ185" s="9">
        <v>0.370942919075144</v>
      </c>
      <c r="AR185" t="s">
        <v>366</v>
      </c>
      <c r="AT185" s="15" t="s">
        <v>89</v>
      </c>
      <c r="AW185" s="11" t="str">
        <f t="shared" si="17"/>
        <v>EN_WOF_37_c01_CHL</v>
      </c>
      <c r="AX185" s="11">
        <f t="shared" si="18"/>
        <v>2466</v>
      </c>
      <c r="AY185" s="11">
        <f t="shared" si="19"/>
        <v>2466</v>
      </c>
      <c r="AZ185" s="17">
        <v>3</v>
      </c>
      <c r="BA185">
        <f t="shared" si="20"/>
        <v>24.66</v>
      </c>
    </row>
    <row r="186" spans="2:53">
      <c r="B186" t="s">
        <v>26</v>
      </c>
      <c r="C186" t="s">
        <v>2714</v>
      </c>
      <c r="D186" t="s">
        <v>2715</v>
      </c>
      <c r="E186" t="s">
        <v>29</v>
      </c>
      <c r="F186" t="s">
        <v>30</v>
      </c>
      <c r="G186" t="s">
        <v>31</v>
      </c>
      <c r="J186" t="s">
        <v>2714</v>
      </c>
      <c r="K186" t="s">
        <v>1967</v>
      </c>
      <c r="L186" t="s">
        <v>2280</v>
      </c>
      <c r="M186" s="8">
        <v>0.03225</v>
      </c>
      <c r="N186">
        <v>145.23264029167</v>
      </c>
      <c r="O186">
        <v>1997</v>
      </c>
      <c r="P186" s="9">
        <v>0.246</v>
      </c>
      <c r="Q186" t="s">
        <v>211</v>
      </c>
      <c r="T186" s="15" t="s">
        <v>119</v>
      </c>
      <c r="W186" s="16" t="str">
        <f t="shared" si="14"/>
        <v>EN_WON_25_c04_BHS</v>
      </c>
      <c r="X186" s="12">
        <f t="shared" si="15"/>
        <v>1997</v>
      </c>
      <c r="Y186" s="11">
        <f t="shared" si="16"/>
        <v>1997</v>
      </c>
      <c r="AC186" t="s">
        <v>26</v>
      </c>
      <c r="AD186" t="s">
        <v>2716</v>
      </c>
      <c r="AE186" t="s">
        <v>2717</v>
      </c>
      <c r="AF186" t="s">
        <v>29</v>
      </c>
      <c r="AG186" t="s">
        <v>30</v>
      </c>
      <c r="AH186" t="s">
        <v>31</v>
      </c>
      <c r="AK186" t="s">
        <v>2716</v>
      </c>
      <c r="AL186" t="s">
        <v>1967</v>
      </c>
      <c r="AM186" t="s">
        <v>2689</v>
      </c>
      <c r="AN186" s="8">
        <v>1.2315</v>
      </c>
      <c r="AO186">
        <v>45.3852000911468</v>
      </c>
      <c r="AP186">
        <v>2466</v>
      </c>
      <c r="AQ186" s="9">
        <v>0.381725334957369</v>
      </c>
      <c r="AR186" t="s">
        <v>366</v>
      </c>
      <c r="AT186" s="15" t="s">
        <v>89</v>
      </c>
      <c r="AW186" s="11" t="str">
        <f t="shared" si="17"/>
        <v>EN_WOF_38_c01_CHL</v>
      </c>
      <c r="AX186" s="11">
        <f t="shared" si="18"/>
        <v>2466</v>
      </c>
      <c r="AY186" s="11">
        <f t="shared" si="19"/>
        <v>2466</v>
      </c>
      <c r="AZ186" s="17">
        <v>3</v>
      </c>
      <c r="BA186">
        <f t="shared" si="20"/>
        <v>24.66</v>
      </c>
    </row>
    <row r="187" spans="2:53">
      <c r="B187" t="s">
        <v>26</v>
      </c>
      <c r="C187" t="s">
        <v>2718</v>
      </c>
      <c r="D187" t="s">
        <v>2719</v>
      </c>
      <c r="E187" t="s">
        <v>29</v>
      </c>
      <c r="F187" t="s">
        <v>30</v>
      </c>
      <c r="G187" t="s">
        <v>31</v>
      </c>
      <c r="J187" t="s">
        <v>2718</v>
      </c>
      <c r="K187" t="s">
        <v>1967</v>
      </c>
      <c r="L187" t="s">
        <v>2280</v>
      </c>
      <c r="M187" s="8">
        <v>1.107</v>
      </c>
      <c r="N187">
        <v>105.747516212372</v>
      </c>
      <c r="O187">
        <v>1997</v>
      </c>
      <c r="P187" s="9">
        <v>0.271981029810298</v>
      </c>
      <c r="Q187" t="s">
        <v>211</v>
      </c>
      <c r="T187" s="15" t="s">
        <v>119</v>
      </c>
      <c r="W187" s="16" t="str">
        <f t="shared" si="14"/>
        <v>EN_WON_27_c03_BHS</v>
      </c>
      <c r="X187" s="12">
        <f t="shared" si="15"/>
        <v>1997</v>
      </c>
      <c r="Y187" s="11">
        <f t="shared" si="16"/>
        <v>1997</v>
      </c>
      <c r="AC187" t="s">
        <v>26</v>
      </c>
      <c r="AD187" t="s">
        <v>2720</v>
      </c>
      <c r="AE187" t="s">
        <v>2721</v>
      </c>
      <c r="AF187" t="s">
        <v>29</v>
      </c>
      <c r="AG187" t="s">
        <v>30</v>
      </c>
      <c r="AH187" t="s">
        <v>31</v>
      </c>
      <c r="AK187" t="s">
        <v>2720</v>
      </c>
      <c r="AL187" t="s">
        <v>1967</v>
      </c>
      <c r="AM187" t="s">
        <v>2689</v>
      </c>
      <c r="AN187" s="8">
        <v>2.44875</v>
      </c>
      <c r="AO187">
        <v>45.3852000911468</v>
      </c>
      <c r="AP187">
        <v>2466</v>
      </c>
      <c r="AQ187" s="9">
        <v>0.397449617151608</v>
      </c>
      <c r="AR187" t="s">
        <v>366</v>
      </c>
      <c r="AT187" s="15" t="s">
        <v>89</v>
      </c>
      <c r="AW187" s="11" t="str">
        <f t="shared" si="17"/>
        <v>EN_WOF_40_c01_CHL</v>
      </c>
      <c r="AX187" s="11">
        <f t="shared" si="18"/>
        <v>2466</v>
      </c>
      <c r="AY187" s="11">
        <f t="shared" si="19"/>
        <v>2466</v>
      </c>
      <c r="AZ187" s="17">
        <v>3</v>
      </c>
      <c r="BA187">
        <f t="shared" si="20"/>
        <v>24.66</v>
      </c>
    </row>
    <row r="188" spans="2:53">
      <c r="B188" t="s">
        <v>26</v>
      </c>
      <c r="C188" t="s">
        <v>2722</v>
      </c>
      <c r="D188" t="s">
        <v>2723</v>
      </c>
      <c r="E188" t="s">
        <v>29</v>
      </c>
      <c r="F188" t="s">
        <v>30</v>
      </c>
      <c r="G188" t="s">
        <v>31</v>
      </c>
      <c r="J188" t="s">
        <v>2722</v>
      </c>
      <c r="K188" t="s">
        <v>1967</v>
      </c>
      <c r="L188" t="s">
        <v>2280</v>
      </c>
      <c r="M188" s="8">
        <v>0.594</v>
      </c>
      <c r="N188">
        <v>105.747516212372</v>
      </c>
      <c r="O188">
        <v>1997</v>
      </c>
      <c r="P188" s="9">
        <v>0.320037878787879</v>
      </c>
      <c r="Q188" t="s">
        <v>211</v>
      </c>
      <c r="T188" s="15" t="s">
        <v>119</v>
      </c>
      <c r="W188" s="16" t="str">
        <f t="shared" si="14"/>
        <v>EN_WON_32_c03_BHS</v>
      </c>
      <c r="X188" s="12">
        <f t="shared" si="15"/>
        <v>1997</v>
      </c>
      <c r="Y188" s="11">
        <f t="shared" si="16"/>
        <v>1997</v>
      </c>
      <c r="AC188" t="s">
        <v>26</v>
      </c>
      <c r="AD188" t="s">
        <v>2724</v>
      </c>
      <c r="AE188" t="s">
        <v>2725</v>
      </c>
      <c r="AF188" t="s">
        <v>29</v>
      </c>
      <c r="AG188" t="s">
        <v>30</v>
      </c>
      <c r="AH188" t="s">
        <v>31</v>
      </c>
      <c r="AK188" t="s">
        <v>2724</v>
      </c>
      <c r="AL188" t="s">
        <v>1967</v>
      </c>
      <c r="AM188" t="s">
        <v>2689</v>
      </c>
      <c r="AN188" s="8">
        <v>0.55875</v>
      </c>
      <c r="AO188">
        <v>199.694880401046</v>
      </c>
      <c r="AP188">
        <v>2466</v>
      </c>
      <c r="AQ188" s="9">
        <v>0.402</v>
      </c>
      <c r="AR188" t="s">
        <v>366</v>
      </c>
      <c r="AT188" s="15" t="s">
        <v>89</v>
      </c>
      <c r="AW188" s="11" t="str">
        <f t="shared" si="17"/>
        <v>EN_WOF_40_c02_CHL</v>
      </c>
      <c r="AX188" s="11">
        <f t="shared" si="18"/>
        <v>2466</v>
      </c>
      <c r="AY188" s="11">
        <f t="shared" si="19"/>
        <v>2466</v>
      </c>
      <c r="AZ188" s="17">
        <v>3</v>
      </c>
      <c r="BA188">
        <f t="shared" si="20"/>
        <v>24.66</v>
      </c>
    </row>
    <row r="189" spans="2:53">
      <c r="B189" t="s">
        <v>26</v>
      </c>
      <c r="C189" t="s">
        <v>2726</v>
      </c>
      <c r="D189" t="s">
        <v>2727</v>
      </c>
      <c r="E189" t="s">
        <v>29</v>
      </c>
      <c r="F189" t="s">
        <v>30</v>
      </c>
      <c r="G189" t="s">
        <v>31</v>
      </c>
      <c r="J189" t="s">
        <v>2726</v>
      </c>
      <c r="K189" t="s">
        <v>1967</v>
      </c>
      <c r="L189" t="s">
        <v>2280</v>
      </c>
      <c r="M189" s="8">
        <v>0.20175</v>
      </c>
      <c r="N189">
        <v>105.747516212372</v>
      </c>
      <c r="O189">
        <v>1997</v>
      </c>
      <c r="P189" s="9">
        <v>0.339</v>
      </c>
      <c r="Q189" t="s">
        <v>211</v>
      </c>
      <c r="T189" s="15" t="s">
        <v>119</v>
      </c>
      <c r="W189" s="16" t="str">
        <f t="shared" si="14"/>
        <v>EN_WON_34_c03_BHS</v>
      </c>
      <c r="X189" s="12">
        <f t="shared" si="15"/>
        <v>1997</v>
      </c>
      <c r="Y189" s="11">
        <f t="shared" si="16"/>
        <v>1997</v>
      </c>
      <c r="AC189" t="s">
        <v>26</v>
      </c>
      <c r="AD189" t="s">
        <v>2728</v>
      </c>
      <c r="AE189" t="s">
        <v>2729</v>
      </c>
      <c r="AF189" t="s">
        <v>29</v>
      </c>
      <c r="AG189" t="s">
        <v>30</v>
      </c>
      <c r="AH189" t="s">
        <v>31</v>
      </c>
      <c r="AK189" t="s">
        <v>2728</v>
      </c>
      <c r="AL189" t="s">
        <v>1967</v>
      </c>
      <c r="AM189" t="s">
        <v>2689</v>
      </c>
      <c r="AN189" s="8">
        <v>2.1555</v>
      </c>
      <c r="AO189">
        <v>45.3852000911468</v>
      </c>
      <c r="AP189">
        <v>2466</v>
      </c>
      <c r="AQ189" s="9">
        <v>0.422</v>
      </c>
      <c r="AR189" t="s">
        <v>366</v>
      </c>
      <c r="AT189" s="15" t="s">
        <v>89</v>
      </c>
      <c r="AW189" s="11" t="str">
        <f t="shared" si="17"/>
        <v>EN_WOF_42_c01_CHL</v>
      </c>
      <c r="AX189" s="11">
        <f t="shared" si="18"/>
        <v>2466</v>
      </c>
      <c r="AY189" s="11">
        <f t="shared" si="19"/>
        <v>2466</v>
      </c>
      <c r="AZ189" s="17">
        <v>3</v>
      </c>
      <c r="BA189">
        <f t="shared" si="20"/>
        <v>24.66</v>
      </c>
    </row>
    <row r="190" spans="2:53">
      <c r="B190" t="s">
        <v>26</v>
      </c>
      <c r="C190" t="s">
        <v>2730</v>
      </c>
      <c r="D190" t="s">
        <v>2731</v>
      </c>
      <c r="E190" t="s">
        <v>29</v>
      </c>
      <c r="F190" t="s">
        <v>30</v>
      </c>
      <c r="G190" t="s">
        <v>31</v>
      </c>
      <c r="J190" t="s">
        <v>2730</v>
      </c>
      <c r="K190" t="s">
        <v>1967</v>
      </c>
      <c r="L190" t="s">
        <v>2280</v>
      </c>
      <c r="M190" s="8">
        <v>0.00825</v>
      </c>
      <c r="N190">
        <v>105.747516212372</v>
      </c>
      <c r="O190">
        <v>1997</v>
      </c>
      <c r="P190" s="9">
        <v>0.351</v>
      </c>
      <c r="Q190" t="s">
        <v>211</v>
      </c>
      <c r="T190" s="15" t="s">
        <v>119</v>
      </c>
      <c r="W190" s="16" t="str">
        <f t="shared" si="14"/>
        <v>EN_WON_35_c03_BHS</v>
      </c>
      <c r="X190" s="12">
        <f t="shared" si="15"/>
        <v>1997</v>
      </c>
      <c r="Y190" s="11">
        <f t="shared" si="16"/>
        <v>1997</v>
      </c>
      <c r="AC190" t="s">
        <v>26</v>
      </c>
      <c r="AD190" t="s">
        <v>2732</v>
      </c>
      <c r="AE190" t="s">
        <v>2733</v>
      </c>
      <c r="AF190" t="s">
        <v>29</v>
      </c>
      <c r="AG190" t="s">
        <v>30</v>
      </c>
      <c r="AH190" t="s">
        <v>31</v>
      </c>
      <c r="AK190" t="s">
        <v>2732</v>
      </c>
      <c r="AL190" t="s">
        <v>1967</v>
      </c>
      <c r="AM190" t="s">
        <v>2689</v>
      </c>
      <c r="AN190" s="8">
        <v>0.822</v>
      </c>
      <c r="AO190">
        <v>199.694880401046</v>
      </c>
      <c r="AP190">
        <v>2466</v>
      </c>
      <c r="AQ190" s="9">
        <v>0.42</v>
      </c>
      <c r="AR190" t="s">
        <v>366</v>
      </c>
      <c r="AT190" s="15" t="s">
        <v>89</v>
      </c>
      <c r="AW190" s="11" t="str">
        <f t="shared" si="17"/>
        <v>EN_WOF_42_c02_CHL</v>
      </c>
      <c r="AX190" s="11">
        <f t="shared" si="18"/>
        <v>2466</v>
      </c>
      <c r="AY190" s="11">
        <f t="shared" si="19"/>
        <v>2466</v>
      </c>
      <c r="AZ190" s="17">
        <v>3</v>
      </c>
      <c r="BA190">
        <f t="shared" si="20"/>
        <v>24.66</v>
      </c>
    </row>
    <row r="191" spans="2:53">
      <c r="B191" t="s">
        <v>26</v>
      </c>
      <c r="C191" t="s">
        <v>2734</v>
      </c>
      <c r="D191" t="s">
        <v>2735</v>
      </c>
      <c r="E191" t="s">
        <v>29</v>
      </c>
      <c r="F191" t="s">
        <v>30</v>
      </c>
      <c r="G191" t="s">
        <v>31</v>
      </c>
      <c r="J191" t="s">
        <v>2734</v>
      </c>
      <c r="K191" t="s">
        <v>1967</v>
      </c>
      <c r="L191" t="s">
        <v>2736</v>
      </c>
      <c r="M191" s="8">
        <v>0.00525</v>
      </c>
      <c r="N191">
        <v>80.7856561622413</v>
      </c>
      <c r="O191">
        <v>1909</v>
      </c>
      <c r="P191" s="9">
        <v>0.151428571428571</v>
      </c>
      <c r="Q191" t="s">
        <v>227</v>
      </c>
      <c r="T191" s="15" t="s">
        <v>69</v>
      </c>
      <c r="W191" s="16" t="str">
        <f t="shared" si="14"/>
        <v>EN_WON_15_c02_BIH</v>
      </c>
      <c r="X191" s="12">
        <f t="shared" si="15"/>
        <v>1909</v>
      </c>
      <c r="Y191" s="11">
        <f t="shared" si="16"/>
        <v>1909</v>
      </c>
      <c r="AC191" t="s">
        <v>26</v>
      </c>
      <c r="AD191" t="s">
        <v>2737</v>
      </c>
      <c r="AE191" t="s">
        <v>2738</v>
      </c>
      <c r="AF191" t="s">
        <v>29</v>
      </c>
      <c r="AG191" t="s">
        <v>30</v>
      </c>
      <c r="AH191" t="s">
        <v>31</v>
      </c>
      <c r="AK191" t="s">
        <v>2737</v>
      </c>
      <c r="AL191" t="s">
        <v>1967</v>
      </c>
      <c r="AM191" t="s">
        <v>2689</v>
      </c>
      <c r="AN191" s="8">
        <v>1.458</v>
      </c>
      <c r="AO191">
        <v>45.3852000911468</v>
      </c>
      <c r="AP191">
        <v>2466</v>
      </c>
      <c r="AQ191" s="9">
        <v>0.428</v>
      </c>
      <c r="AR191" t="s">
        <v>366</v>
      </c>
      <c r="AT191" s="15" t="s">
        <v>89</v>
      </c>
      <c r="AW191" s="11" t="str">
        <f t="shared" si="17"/>
        <v>EN_WOF_43_c01_CHL</v>
      </c>
      <c r="AX191" s="11">
        <f t="shared" si="18"/>
        <v>2466</v>
      </c>
      <c r="AY191" s="11">
        <f t="shared" si="19"/>
        <v>2466</v>
      </c>
      <c r="AZ191" s="17">
        <v>3</v>
      </c>
      <c r="BA191">
        <f t="shared" si="20"/>
        <v>24.66</v>
      </c>
    </row>
    <row r="192" spans="2:53">
      <c r="B192" t="s">
        <v>26</v>
      </c>
      <c r="C192" t="s">
        <v>2739</v>
      </c>
      <c r="D192" t="s">
        <v>2740</v>
      </c>
      <c r="E192" t="s">
        <v>29</v>
      </c>
      <c r="F192" t="s">
        <v>30</v>
      </c>
      <c r="G192" t="s">
        <v>31</v>
      </c>
      <c r="J192" t="s">
        <v>2739</v>
      </c>
      <c r="K192" t="s">
        <v>1967</v>
      </c>
      <c r="L192" t="s">
        <v>2736</v>
      </c>
      <c r="M192" s="8">
        <v>0.12</v>
      </c>
      <c r="N192">
        <v>80.7856561622413</v>
      </c>
      <c r="O192">
        <v>1909</v>
      </c>
      <c r="P192" s="9">
        <v>0.16094375</v>
      </c>
      <c r="Q192" t="s">
        <v>227</v>
      </c>
      <c r="T192" s="15" t="s">
        <v>69</v>
      </c>
      <c r="W192" s="16" t="str">
        <f t="shared" si="14"/>
        <v>EN_WON_16_c02_BIH</v>
      </c>
      <c r="X192" s="12">
        <f t="shared" si="15"/>
        <v>1909</v>
      </c>
      <c r="Y192" s="11">
        <f t="shared" si="16"/>
        <v>1909</v>
      </c>
      <c r="AC192" t="s">
        <v>26</v>
      </c>
      <c r="AD192" t="s">
        <v>2741</v>
      </c>
      <c r="AE192" t="s">
        <v>2742</v>
      </c>
      <c r="AF192" t="s">
        <v>29</v>
      </c>
      <c r="AG192" t="s">
        <v>30</v>
      </c>
      <c r="AH192" t="s">
        <v>31</v>
      </c>
      <c r="AK192" t="s">
        <v>2741</v>
      </c>
      <c r="AL192" t="s">
        <v>1967</v>
      </c>
      <c r="AM192" t="s">
        <v>2689</v>
      </c>
      <c r="AN192" s="8">
        <v>3.3675</v>
      </c>
      <c r="AO192">
        <v>199.694880401046</v>
      </c>
      <c r="AP192">
        <v>2466</v>
      </c>
      <c r="AQ192" s="9">
        <v>0.431761469933185</v>
      </c>
      <c r="AR192" t="s">
        <v>366</v>
      </c>
      <c r="AT192" s="15" t="s">
        <v>89</v>
      </c>
      <c r="AW192" s="11" t="str">
        <f t="shared" si="17"/>
        <v>EN_WOF_43_c02_CHL</v>
      </c>
      <c r="AX192" s="11">
        <f t="shared" si="18"/>
        <v>2466</v>
      </c>
      <c r="AY192" s="11">
        <f t="shared" si="19"/>
        <v>2466</v>
      </c>
      <c r="AZ192" s="17">
        <v>3</v>
      </c>
      <c r="BA192">
        <f t="shared" si="20"/>
        <v>24.66</v>
      </c>
    </row>
    <row r="193" spans="2:53">
      <c r="B193" t="s">
        <v>26</v>
      </c>
      <c r="C193" t="s">
        <v>2743</v>
      </c>
      <c r="D193" t="s">
        <v>2744</v>
      </c>
      <c r="E193" t="s">
        <v>29</v>
      </c>
      <c r="F193" t="s">
        <v>30</v>
      </c>
      <c r="G193" t="s">
        <v>31</v>
      </c>
      <c r="J193" t="s">
        <v>2743</v>
      </c>
      <c r="K193" t="s">
        <v>1967</v>
      </c>
      <c r="L193" t="s">
        <v>2736</v>
      </c>
      <c r="M193" s="8">
        <v>0.12975</v>
      </c>
      <c r="N193">
        <v>80.7856561622413</v>
      </c>
      <c r="O193">
        <v>1909</v>
      </c>
      <c r="P193" s="9">
        <v>0.168936416184971</v>
      </c>
      <c r="Q193" t="s">
        <v>227</v>
      </c>
      <c r="T193" s="15" t="s">
        <v>69</v>
      </c>
      <c r="W193" s="16" t="str">
        <f t="shared" si="14"/>
        <v>EN_WON_17_c02_BIH</v>
      </c>
      <c r="X193" s="12">
        <f t="shared" si="15"/>
        <v>1909</v>
      </c>
      <c r="Y193" s="11">
        <f t="shared" si="16"/>
        <v>1909</v>
      </c>
      <c r="AC193" t="s">
        <v>26</v>
      </c>
      <c r="AD193" t="s">
        <v>2745</v>
      </c>
      <c r="AE193" t="s">
        <v>2746</v>
      </c>
      <c r="AF193" t="s">
        <v>29</v>
      </c>
      <c r="AG193" t="s">
        <v>30</v>
      </c>
      <c r="AH193" t="s">
        <v>31</v>
      </c>
      <c r="AK193" t="s">
        <v>2745</v>
      </c>
      <c r="AL193" t="s">
        <v>1967</v>
      </c>
      <c r="AM193" t="s">
        <v>2689</v>
      </c>
      <c r="AN193" s="8">
        <v>1.18275</v>
      </c>
      <c r="AO193">
        <v>45.3852000911468</v>
      </c>
      <c r="AP193">
        <v>2466</v>
      </c>
      <c r="AQ193" s="9">
        <v>0.441982244768548</v>
      </c>
      <c r="AR193" t="s">
        <v>366</v>
      </c>
      <c r="AT193" s="15" t="s">
        <v>89</v>
      </c>
      <c r="AW193" s="11" t="str">
        <f t="shared" si="17"/>
        <v>EN_WOF_44_c01_CHL</v>
      </c>
      <c r="AX193" s="11">
        <f t="shared" si="18"/>
        <v>2466</v>
      </c>
      <c r="AY193" s="11">
        <f t="shared" si="19"/>
        <v>2466</v>
      </c>
      <c r="AZ193" s="17">
        <v>3</v>
      </c>
      <c r="BA193">
        <f t="shared" si="20"/>
        <v>24.66</v>
      </c>
    </row>
    <row r="194" spans="2:53">
      <c r="B194" t="s">
        <v>26</v>
      </c>
      <c r="C194" t="s">
        <v>2747</v>
      </c>
      <c r="D194" t="s">
        <v>2748</v>
      </c>
      <c r="E194" t="s">
        <v>29</v>
      </c>
      <c r="F194" t="s">
        <v>30</v>
      </c>
      <c r="G194" t="s">
        <v>31</v>
      </c>
      <c r="J194" t="s">
        <v>2747</v>
      </c>
      <c r="K194" t="s">
        <v>1967</v>
      </c>
      <c r="L194" t="s">
        <v>2736</v>
      </c>
      <c r="M194" s="8">
        <v>0.01725</v>
      </c>
      <c r="N194">
        <v>105.747516212372</v>
      </c>
      <c r="O194">
        <v>1909</v>
      </c>
      <c r="P194" s="9">
        <v>0.170130434782609</v>
      </c>
      <c r="Q194" t="s">
        <v>227</v>
      </c>
      <c r="T194" s="15" t="s">
        <v>69</v>
      </c>
      <c r="W194" s="16" t="str">
        <f t="shared" si="14"/>
        <v>EN_WON_17_c03_BIH</v>
      </c>
      <c r="X194" s="12">
        <f t="shared" si="15"/>
        <v>1909</v>
      </c>
      <c r="Y194" s="11">
        <f t="shared" si="16"/>
        <v>1909</v>
      </c>
      <c r="AC194" t="s">
        <v>26</v>
      </c>
      <c r="AD194" t="s">
        <v>2749</v>
      </c>
      <c r="AE194" t="s">
        <v>2750</v>
      </c>
      <c r="AF194" t="s">
        <v>29</v>
      </c>
      <c r="AG194" t="s">
        <v>30</v>
      </c>
      <c r="AH194" t="s">
        <v>31</v>
      </c>
      <c r="AK194" t="s">
        <v>2749</v>
      </c>
      <c r="AL194" t="s">
        <v>1967</v>
      </c>
      <c r="AM194" t="s">
        <v>2689</v>
      </c>
      <c r="AN194" s="8">
        <v>1.074</v>
      </c>
      <c r="AO194">
        <v>45.3852000911468</v>
      </c>
      <c r="AP194">
        <v>2466</v>
      </c>
      <c r="AQ194" s="9">
        <v>0.461</v>
      </c>
      <c r="AR194" t="s">
        <v>366</v>
      </c>
      <c r="AT194" s="15" t="s">
        <v>89</v>
      </c>
      <c r="AW194" s="11" t="str">
        <f t="shared" si="17"/>
        <v>EN_WOF_46_c01_CHL</v>
      </c>
      <c r="AX194" s="11">
        <f t="shared" si="18"/>
        <v>2466</v>
      </c>
      <c r="AY194" s="11">
        <f t="shared" si="19"/>
        <v>2466</v>
      </c>
      <c r="AZ194" s="17">
        <v>3</v>
      </c>
      <c r="BA194">
        <f t="shared" si="20"/>
        <v>24.66</v>
      </c>
    </row>
    <row r="195" spans="2:53">
      <c r="B195" t="s">
        <v>26</v>
      </c>
      <c r="C195" t="s">
        <v>2751</v>
      </c>
      <c r="D195" t="s">
        <v>2752</v>
      </c>
      <c r="E195" t="s">
        <v>29</v>
      </c>
      <c r="F195" t="s">
        <v>30</v>
      </c>
      <c r="G195" t="s">
        <v>31</v>
      </c>
      <c r="J195" t="s">
        <v>2751</v>
      </c>
      <c r="K195" t="s">
        <v>1967</v>
      </c>
      <c r="L195" t="s">
        <v>2736</v>
      </c>
      <c r="M195" s="8">
        <v>0.156</v>
      </c>
      <c r="N195">
        <v>80.7856561622413</v>
      </c>
      <c r="O195">
        <v>1909</v>
      </c>
      <c r="P195" s="9">
        <v>0.183860576923077</v>
      </c>
      <c r="Q195" t="s">
        <v>227</v>
      </c>
      <c r="T195" s="15" t="s">
        <v>69</v>
      </c>
      <c r="W195" s="16" t="str">
        <f t="shared" si="14"/>
        <v>EN_WON_18_c02_BIH</v>
      </c>
      <c r="X195" s="12">
        <f t="shared" si="15"/>
        <v>1909</v>
      </c>
      <c r="Y195" s="11">
        <f t="shared" si="16"/>
        <v>1909</v>
      </c>
      <c r="AC195" t="s">
        <v>26</v>
      </c>
      <c r="AD195" t="s">
        <v>2753</v>
      </c>
      <c r="AE195" t="s">
        <v>2754</v>
      </c>
      <c r="AF195" t="s">
        <v>29</v>
      </c>
      <c r="AG195" t="s">
        <v>30</v>
      </c>
      <c r="AH195" t="s">
        <v>31</v>
      </c>
      <c r="AK195" t="s">
        <v>2753</v>
      </c>
      <c r="AL195" t="s">
        <v>1967</v>
      </c>
      <c r="AM195" t="s">
        <v>2689</v>
      </c>
      <c r="AN195" s="8">
        <v>6.7425</v>
      </c>
      <c r="AO195">
        <v>199.694880401046</v>
      </c>
      <c r="AP195">
        <v>2466</v>
      </c>
      <c r="AQ195" s="9">
        <v>0.464</v>
      </c>
      <c r="AR195" t="s">
        <v>366</v>
      </c>
      <c r="AT195" s="15" t="s">
        <v>89</v>
      </c>
      <c r="AW195" s="11" t="str">
        <f t="shared" si="17"/>
        <v>EN_WOF_46_c02_CHL</v>
      </c>
      <c r="AX195" s="11">
        <f t="shared" si="18"/>
        <v>2466</v>
      </c>
      <c r="AY195" s="11">
        <f t="shared" si="19"/>
        <v>2466</v>
      </c>
      <c r="AZ195" s="17">
        <v>3</v>
      </c>
      <c r="BA195">
        <f t="shared" si="20"/>
        <v>24.66</v>
      </c>
    </row>
    <row r="196" spans="2:53">
      <c r="B196" t="s">
        <v>26</v>
      </c>
      <c r="C196" t="s">
        <v>2755</v>
      </c>
      <c r="D196" t="s">
        <v>2756</v>
      </c>
      <c r="E196" t="s">
        <v>29</v>
      </c>
      <c r="F196" t="s">
        <v>30</v>
      </c>
      <c r="G196" t="s">
        <v>31</v>
      </c>
      <c r="J196" t="s">
        <v>2755</v>
      </c>
      <c r="K196" t="s">
        <v>1967</v>
      </c>
      <c r="L196" t="s">
        <v>2736</v>
      </c>
      <c r="M196" s="8">
        <v>0.00525</v>
      </c>
      <c r="N196">
        <v>80.7856561622413</v>
      </c>
      <c r="O196">
        <v>1909</v>
      </c>
      <c r="P196" s="9">
        <v>0.191</v>
      </c>
      <c r="Q196" t="s">
        <v>227</v>
      </c>
      <c r="T196" s="15" t="s">
        <v>69</v>
      </c>
      <c r="W196" s="16" t="str">
        <f t="shared" si="14"/>
        <v>EN_WON_19_c02_BIH</v>
      </c>
      <c r="X196" s="12">
        <f t="shared" si="15"/>
        <v>1909</v>
      </c>
      <c r="Y196" s="11">
        <f t="shared" si="16"/>
        <v>1909</v>
      </c>
      <c r="AC196" t="s">
        <v>26</v>
      </c>
      <c r="AD196" t="s">
        <v>2757</v>
      </c>
      <c r="AE196" t="s">
        <v>2758</v>
      </c>
      <c r="AF196" t="s">
        <v>29</v>
      </c>
      <c r="AG196" t="s">
        <v>30</v>
      </c>
      <c r="AH196" t="s">
        <v>31</v>
      </c>
      <c r="AK196" t="s">
        <v>2757</v>
      </c>
      <c r="AL196" t="s">
        <v>1967</v>
      </c>
      <c r="AM196" t="s">
        <v>2689</v>
      </c>
      <c r="AN196" s="8">
        <v>11.55</v>
      </c>
      <c r="AO196">
        <v>45.3852000911468</v>
      </c>
      <c r="AP196">
        <v>2466</v>
      </c>
      <c r="AQ196" s="9">
        <v>0.473789285714286</v>
      </c>
      <c r="AR196" t="s">
        <v>366</v>
      </c>
      <c r="AT196" s="15" t="s">
        <v>89</v>
      </c>
      <c r="AW196" s="11" t="str">
        <f t="shared" si="17"/>
        <v>EN_WOF_47_c01_CHL</v>
      </c>
      <c r="AX196" s="11">
        <f t="shared" si="18"/>
        <v>2466</v>
      </c>
      <c r="AY196" s="11">
        <f t="shared" si="19"/>
        <v>2466</v>
      </c>
      <c r="AZ196" s="17">
        <v>3</v>
      </c>
      <c r="BA196">
        <f t="shared" si="20"/>
        <v>24.66</v>
      </c>
    </row>
    <row r="197" spans="2:53">
      <c r="B197" t="s">
        <v>26</v>
      </c>
      <c r="C197" t="s">
        <v>2759</v>
      </c>
      <c r="D197" t="s">
        <v>2760</v>
      </c>
      <c r="E197" t="s">
        <v>29</v>
      </c>
      <c r="F197" t="s">
        <v>30</v>
      </c>
      <c r="G197" t="s">
        <v>31</v>
      </c>
      <c r="J197" t="s">
        <v>2759</v>
      </c>
      <c r="K197" t="s">
        <v>1967</v>
      </c>
      <c r="L197" t="s">
        <v>2736</v>
      </c>
      <c r="M197" s="8">
        <v>0.069</v>
      </c>
      <c r="N197">
        <v>105.747516212372</v>
      </c>
      <c r="O197">
        <v>1909</v>
      </c>
      <c r="P197" s="9">
        <v>0.188195652173913</v>
      </c>
      <c r="Q197" t="s">
        <v>227</v>
      </c>
      <c r="T197" s="15" t="s">
        <v>69</v>
      </c>
      <c r="W197" s="16" t="str">
        <f t="shared" si="14"/>
        <v>EN_WON_19_c03_BIH</v>
      </c>
      <c r="X197" s="12">
        <f t="shared" si="15"/>
        <v>1909</v>
      </c>
      <c r="Y197" s="11">
        <f t="shared" si="16"/>
        <v>1909</v>
      </c>
      <c r="AC197" t="s">
        <v>26</v>
      </c>
      <c r="AD197" t="s">
        <v>2761</v>
      </c>
      <c r="AE197" t="s">
        <v>2762</v>
      </c>
      <c r="AF197" t="s">
        <v>29</v>
      </c>
      <c r="AG197" t="s">
        <v>30</v>
      </c>
      <c r="AH197" t="s">
        <v>31</v>
      </c>
      <c r="AK197" t="s">
        <v>2761</v>
      </c>
      <c r="AL197" t="s">
        <v>1967</v>
      </c>
      <c r="AM197" t="s">
        <v>2689</v>
      </c>
      <c r="AN197" s="8">
        <v>26.28975</v>
      </c>
      <c r="AO197">
        <v>45.3852000911468</v>
      </c>
      <c r="AP197">
        <v>2466</v>
      </c>
      <c r="AQ197" s="9">
        <v>0.479198128548198</v>
      </c>
      <c r="AR197" t="s">
        <v>366</v>
      </c>
      <c r="AT197" s="15" t="s">
        <v>89</v>
      </c>
      <c r="AW197" s="11" t="str">
        <f t="shared" si="17"/>
        <v>EN_WOF_48_c01_CHL</v>
      </c>
      <c r="AX197" s="11">
        <f t="shared" si="18"/>
        <v>2466</v>
      </c>
      <c r="AY197" s="11">
        <f t="shared" si="19"/>
        <v>2466</v>
      </c>
      <c r="AZ197" s="17">
        <v>3</v>
      </c>
      <c r="BA197">
        <f t="shared" si="20"/>
        <v>24.66</v>
      </c>
    </row>
    <row r="198" spans="2:53">
      <c r="B198" t="s">
        <v>26</v>
      </c>
      <c r="C198" t="s">
        <v>2763</v>
      </c>
      <c r="D198" t="s">
        <v>2764</v>
      </c>
      <c r="E198" t="s">
        <v>29</v>
      </c>
      <c r="F198" t="s">
        <v>30</v>
      </c>
      <c r="G198" t="s">
        <v>31</v>
      </c>
      <c r="J198" t="s">
        <v>2763</v>
      </c>
      <c r="K198" t="s">
        <v>1967</v>
      </c>
      <c r="L198" t="s">
        <v>2736</v>
      </c>
      <c r="M198" s="8">
        <v>0.08475</v>
      </c>
      <c r="N198">
        <v>105.747516212372</v>
      </c>
      <c r="O198">
        <v>1909</v>
      </c>
      <c r="P198" s="9">
        <v>0.19658407079646</v>
      </c>
      <c r="Q198" t="s">
        <v>227</v>
      </c>
      <c r="T198" s="15" t="s">
        <v>69</v>
      </c>
      <c r="W198" s="16" t="str">
        <f t="shared" ref="W198:W261" si="21">J198</f>
        <v>EN_WON_20_c03_BIH</v>
      </c>
      <c r="X198" s="12">
        <f t="shared" ref="X198:X261" si="22">O198</f>
        <v>1909</v>
      </c>
      <c r="Y198" s="11">
        <f t="shared" ref="Y198:Y261" si="23">X198</f>
        <v>1909</v>
      </c>
      <c r="AC198" t="s">
        <v>26</v>
      </c>
      <c r="AD198" t="s">
        <v>2765</v>
      </c>
      <c r="AE198" t="s">
        <v>2766</v>
      </c>
      <c r="AF198" t="s">
        <v>29</v>
      </c>
      <c r="AG198" t="s">
        <v>30</v>
      </c>
      <c r="AH198" t="s">
        <v>31</v>
      </c>
      <c r="AK198" t="s">
        <v>2765</v>
      </c>
      <c r="AL198" t="s">
        <v>1967</v>
      </c>
      <c r="AM198" t="s">
        <v>2689</v>
      </c>
      <c r="AN198" s="8">
        <v>13.29225</v>
      </c>
      <c r="AO198">
        <v>199.694880401046</v>
      </c>
      <c r="AP198">
        <v>2466</v>
      </c>
      <c r="AQ198" s="9">
        <v>0.476198329853862</v>
      </c>
      <c r="AR198" t="s">
        <v>366</v>
      </c>
      <c r="AT198" s="15" t="s">
        <v>89</v>
      </c>
      <c r="AW198" s="11" t="str">
        <f t="shared" ref="AW198:AW261" si="24">AK198</f>
        <v>EN_WOF_48_c02_CHL</v>
      </c>
      <c r="AX198" s="11">
        <f t="shared" ref="AX198:AX261" si="25">AP198</f>
        <v>2466</v>
      </c>
      <c r="AY198" s="11">
        <f t="shared" ref="AY198:AY261" si="26">AX198</f>
        <v>2466</v>
      </c>
      <c r="AZ198" s="17">
        <v>3</v>
      </c>
      <c r="BA198">
        <f t="shared" ref="BA198:BA261" si="27">AX198*0.01</f>
        <v>24.66</v>
      </c>
    </row>
    <row r="199" spans="2:53">
      <c r="B199" t="s">
        <v>26</v>
      </c>
      <c r="C199" t="s">
        <v>2767</v>
      </c>
      <c r="D199" t="s">
        <v>2768</v>
      </c>
      <c r="E199" t="s">
        <v>29</v>
      </c>
      <c r="F199" t="s">
        <v>30</v>
      </c>
      <c r="G199" t="s">
        <v>31</v>
      </c>
      <c r="J199" t="s">
        <v>2767</v>
      </c>
      <c r="K199" t="s">
        <v>1967</v>
      </c>
      <c r="L199" t="s">
        <v>2736</v>
      </c>
      <c r="M199" s="8">
        <v>0.22275</v>
      </c>
      <c r="N199">
        <v>80.7856561622413</v>
      </c>
      <c r="O199">
        <v>1909</v>
      </c>
      <c r="P199" s="9">
        <v>0.212</v>
      </c>
      <c r="Q199" t="s">
        <v>227</v>
      </c>
      <c r="T199" s="15" t="s">
        <v>69</v>
      </c>
      <c r="W199" s="16" t="str">
        <f t="shared" si="21"/>
        <v>EN_WON_21_c02_BIH</v>
      </c>
      <c r="X199" s="12">
        <f t="shared" si="22"/>
        <v>1909</v>
      </c>
      <c r="Y199" s="11">
        <f t="shared" si="23"/>
        <v>1909</v>
      </c>
      <c r="AC199" t="s">
        <v>26</v>
      </c>
      <c r="AD199" t="s">
        <v>2769</v>
      </c>
      <c r="AE199" t="s">
        <v>2770</v>
      </c>
      <c r="AF199" t="s">
        <v>29</v>
      </c>
      <c r="AG199" t="s">
        <v>30</v>
      </c>
      <c r="AH199" t="s">
        <v>31</v>
      </c>
      <c r="AK199" t="s">
        <v>2769</v>
      </c>
      <c r="AL199" t="s">
        <v>1967</v>
      </c>
      <c r="AM199" t="s">
        <v>2689</v>
      </c>
      <c r="AN199" s="8">
        <v>1.43475</v>
      </c>
      <c r="AO199">
        <v>45.3852000911468</v>
      </c>
      <c r="AP199">
        <v>2466</v>
      </c>
      <c r="AQ199" s="9">
        <v>0.488736016727653</v>
      </c>
      <c r="AR199" t="s">
        <v>366</v>
      </c>
      <c r="AT199" s="15" t="s">
        <v>89</v>
      </c>
      <c r="AW199" s="11" t="str">
        <f t="shared" si="24"/>
        <v>EN_WOF_49_c01_CHL</v>
      </c>
      <c r="AX199" s="11">
        <f t="shared" si="25"/>
        <v>2466</v>
      </c>
      <c r="AY199" s="11">
        <f t="shared" si="26"/>
        <v>2466</v>
      </c>
      <c r="AZ199" s="17">
        <v>3</v>
      </c>
      <c r="BA199">
        <f t="shared" si="27"/>
        <v>24.66</v>
      </c>
    </row>
    <row r="200" spans="2:53">
      <c r="B200" t="s">
        <v>26</v>
      </c>
      <c r="C200" t="s">
        <v>2771</v>
      </c>
      <c r="D200" t="s">
        <v>2772</v>
      </c>
      <c r="E200" t="s">
        <v>29</v>
      </c>
      <c r="F200" t="s">
        <v>30</v>
      </c>
      <c r="G200" t="s">
        <v>31</v>
      </c>
      <c r="J200" t="s">
        <v>2771</v>
      </c>
      <c r="K200" t="s">
        <v>1967</v>
      </c>
      <c r="L200" t="s">
        <v>2736</v>
      </c>
      <c r="M200" s="8">
        <v>0.366</v>
      </c>
      <c r="N200">
        <v>105.747516212372</v>
      </c>
      <c r="O200">
        <v>1909</v>
      </c>
      <c r="P200" s="9">
        <v>0.209926229508197</v>
      </c>
      <c r="Q200" t="s">
        <v>227</v>
      </c>
      <c r="T200" s="15" t="s">
        <v>69</v>
      </c>
      <c r="W200" s="16" t="str">
        <f t="shared" si="21"/>
        <v>EN_WON_21_c03_BIH</v>
      </c>
      <c r="X200" s="12">
        <f t="shared" si="22"/>
        <v>1909</v>
      </c>
      <c r="Y200" s="11">
        <f t="shared" si="23"/>
        <v>1909</v>
      </c>
      <c r="AC200" t="s">
        <v>26</v>
      </c>
      <c r="AD200" t="s">
        <v>2773</v>
      </c>
      <c r="AE200" t="s">
        <v>2774</v>
      </c>
      <c r="AF200" t="s">
        <v>29</v>
      </c>
      <c r="AG200" t="s">
        <v>30</v>
      </c>
      <c r="AH200" t="s">
        <v>31</v>
      </c>
      <c r="AK200" t="s">
        <v>2773</v>
      </c>
      <c r="AL200" t="s">
        <v>1967</v>
      </c>
      <c r="AM200" t="s">
        <v>2689</v>
      </c>
      <c r="AN200" s="8">
        <v>3.77025</v>
      </c>
      <c r="AO200">
        <v>199.694880401046</v>
      </c>
      <c r="AP200">
        <v>2466</v>
      </c>
      <c r="AQ200" s="9">
        <v>0.492</v>
      </c>
      <c r="AR200" t="s">
        <v>366</v>
      </c>
      <c r="AT200" s="15" t="s">
        <v>89</v>
      </c>
      <c r="AW200" s="11" t="str">
        <f t="shared" si="24"/>
        <v>EN_WOF_49_c02_CHL</v>
      </c>
      <c r="AX200" s="11">
        <f t="shared" si="25"/>
        <v>2466</v>
      </c>
      <c r="AY200" s="11">
        <f t="shared" si="26"/>
        <v>2466</v>
      </c>
      <c r="AZ200" s="17">
        <v>3</v>
      </c>
      <c r="BA200">
        <f t="shared" si="27"/>
        <v>24.66</v>
      </c>
    </row>
    <row r="201" spans="2:53">
      <c r="B201" t="s">
        <v>26</v>
      </c>
      <c r="C201" t="s">
        <v>2775</v>
      </c>
      <c r="D201" t="s">
        <v>2776</v>
      </c>
      <c r="E201" t="s">
        <v>29</v>
      </c>
      <c r="F201" t="s">
        <v>30</v>
      </c>
      <c r="G201" t="s">
        <v>31</v>
      </c>
      <c r="J201" t="s">
        <v>2775</v>
      </c>
      <c r="K201" t="s">
        <v>1967</v>
      </c>
      <c r="L201" t="s">
        <v>2736</v>
      </c>
      <c r="M201" s="8">
        <v>0.4335</v>
      </c>
      <c r="N201">
        <v>80.7856561622413</v>
      </c>
      <c r="O201">
        <v>1909</v>
      </c>
      <c r="P201" s="9">
        <v>0.220884083044983</v>
      </c>
      <c r="Q201" t="s">
        <v>227</v>
      </c>
      <c r="T201" s="15" t="s">
        <v>69</v>
      </c>
      <c r="W201" s="16" t="str">
        <f t="shared" si="21"/>
        <v>EN_WON_22_c02_BIH</v>
      </c>
      <c r="X201" s="12">
        <f t="shared" si="22"/>
        <v>1909</v>
      </c>
      <c r="Y201" s="11">
        <f t="shared" si="23"/>
        <v>1909</v>
      </c>
      <c r="AC201" t="s">
        <v>26</v>
      </c>
      <c r="AD201" t="s">
        <v>2777</v>
      </c>
      <c r="AE201" t="s">
        <v>2778</v>
      </c>
      <c r="AF201" t="s">
        <v>29</v>
      </c>
      <c r="AG201" t="s">
        <v>30</v>
      </c>
      <c r="AH201" t="s">
        <v>31</v>
      </c>
      <c r="AK201" t="s">
        <v>2777</v>
      </c>
      <c r="AL201" t="s">
        <v>1967</v>
      </c>
      <c r="AM201" t="s">
        <v>2689</v>
      </c>
      <c r="AN201" s="8">
        <v>2.99625</v>
      </c>
      <c r="AO201">
        <v>45.3852000911468</v>
      </c>
      <c r="AP201">
        <v>2466</v>
      </c>
      <c r="AQ201" s="9">
        <v>0.497</v>
      </c>
      <c r="AR201" t="s">
        <v>366</v>
      </c>
      <c r="AT201" s="15" t="s">
        <v>89</v>
      </c>
      <c r="AW201" s="11" t="str">
        <f t="shared" si="24"/>
        <v>EN_WOF_50_c01_CHL</v>
      </c>
      <c r="AX201" s="11">
        <f t="shared" si="25"/>
        <v>2466</v>
      </c>
      <c r="AY201" s="11">
        <f t="shared" si="26"/>
        <v>2466</v>
      </c>
      <c r="AZ201" s="17">
        <v>3</v>
      </c>
      <c r="BA201">
        <f t="shared" si="27"/>
        <v>24.66</v>
      </c>
    </row>
    <row r="202" spans="2:53">
      <c r="B202" t="s">
        <v>26</v>
      </c>
      <c r="C202" t="s">
        <v>2779</v>
      </c>
      <c r="D202" t="s">
        <v>2780</v>
      </c>
      <c r="E202" t="s">
        <v>29</v>
      </c>
      <c r="F202" t="s">
        <v>30</v>
      </c>
      <c r="G202" t="s">
        <v>31</v>
      </c>
      <c r="J202" t="s">
        <v>2779</v>
      </c>
      <c r="K202" t="s">
        <v>1967</v>
      </c>
      <c r="L202" t="s">
        <v>2736</v>
      </c>
      <c r="M202" s="8">
        <v>1.278</v>
      </c>
      <c r="N202">
        <v>105.747516212372</v>
      </c>
      <c r="O202">
        <v>1909</v>
      </c>
      <c r="P202" s="9">
        <v>0.219549295774648</v>
      </c>
      <c r="Q202" t="s">
        <v>227</v>
      </c>
      <c r="T202" s="15" t="s">
        <v>69</v>
      </c>
      <c r="W202" s="16" t="str">
        <f t="shared" si="21"/>
        <v>EN_WON_22_c03_BIH</v>
      </c>
      <c r="X202" s="12">
        <f t="shared" si="22"/>
        <v>1909</v>
      </c>
      <c r="Y202" s="11">
        <f t="shared" si="23"/>
        <v>1909</v>
      </c>
      <c r="AC202" t="s">
        <v>26</v>
      </c>
      <c r="AD202" t="s">
        <v>2781</v>
      </c>
      <c r="AE202" t="s">
        <v>2782</v>
      </c>
      <c r="AF202" t="s">
        <v>29</v>
      </c>
      <c r="AG202" t="s">
        <v>30</v>
      </c>
      <c r="AH202" t="s">
        <v>31</v>
      </c>
      <c r="AK202" t="s">
        <v>2781</v>
      </c>
      <c r="AL202" t="s">
        <v>1967</v>
      </c>
      <c r="AM202" t="s">
        <v>2689</v>
      </c>
      <c r="AN202" s="8">
        <v>8.30475</v>
      </c>
      <c r="AO202">
        <v>199.694880401046</v>
      </c>
      <c r="AP202">
        <v>2466</v>
      </c>
      <c r="AQ202" s="9">
        <v>0.499530750474126</v>
      </c>
      <c r="AR202" t="s">
        <v>366</v>
      </c>
      <c r="AT202" s="15" t="s">
        <v>89</v>
      </c>
      <c r="AW202" s="11" t="str">
        <f t="shared" si="24"/>
        <v>EN_WOF_50_c02_CHL</v>
      </c>
      <c r="AX202" s="11">
        <f t="shared" si="25"/>
        <v>2466</v>
      </c>
      <c r="AY202" s="11">
        <f t="shared" si="26"/>
        <v>2466</v>
      </c>
      <c r="AZ202" s="17">
        <v>3</v>
      </c>
      <c r="BA202">
        <f t="shared" si="27"/>
        <v>24.66</v>
      </c>
    </row>
    <row r="203" spans="2:53">
      <c r="B203" t="s">
        <v>26</v>
      </c>
      <c r="C203" t="s">
        <v>2783</v>
      </c>
      <c r="D203" t="s">
        <v>2784</v>
      </c>
      <c r="E203" t="s">
        <v>29</v>
      </c>
      <c r="F203" t="s">
        <v>30</v>
      </c>
      <c r="G203" t="s">
        <v>31</v>
      </c>
      <c r="J203" t="s">
        <v>2783</v>
      </c>
      <c r="K203" t="s">
        <v>1967</v>
      </c>
      <c r="L203" t="s">
        <v>2736</v>
      </c>
      <c r="M203" s="8">
        <v>0.53775</v>
      </c>
      <c r="N203">
        <v>80.7856561622413</v>
      </c>
      <c r="O203">
        <v>1909</v>
      </c>
      <c r="P203" s="9">
        <v>0.233</v>
      </c>
      <c r="Q203" t="s">
        <v>227</v>
      </c>
      <c r="T203" s="15" t="s">
        <v>69</v>
      </c>
      <c r="W203" s="16" t="str">
        <f t="shared" si="21"/>
        <v>EN_WON_23_c02_BIH</v>
      </c>
      <c r="X203" s="12">
        <f t="shared" si="22"/>
        <v>1909</v>
      </c>
      <c r="Y203" s="11">
        <f t="shared" si="23"/>
        <v>1909</v>
      </c>
      <c r="AC203" t="s">
        <v>26</v>
      </c>
      <c r="AD203" t="s">
        <v>2785</v>
      </c>
      <c r="AE203" t="s">
        <v>2786</v>
      </c>
      <c r="AF203" t="s">
        <v>29</v>
      </c>
      <c r="AG203" t="s">
        <v>30</v>
      </c>
      <c r="AH203" t="s">
        <v>31</v>
      </c>
      <c r="AK203" t="s">
        <v>2785</v>
      </c>
      <c r="AL203" t="s">
        <v>1967</v>
      </c>
      <c r="AM203" t="s">
        <v>2689</v>
      </c>
      <c r="AN203" s="8">
        <v>3.3255</v>
      </c>
      <c r="AO203">
        <v>45.3852000911468</v>
      </c>
      <c r="AP203">
        <v>2466</v>
      </c>
      <c r="AQ203" s="9">
        <v>0.511</v>
      </c>
      <c r="AR203" t="s">
        <v>366</v>
      </c>
      <c r="AT203" s="15" t="s">
        <v>89</v>
      </c>
      <c r="AW203" s="11" t="str">
        <f t="shared" si="24"/>
        <v>EN_WOF_51_c01_CHL</v>
      </c>
      <c r="AX203" s="11">
        <f t="shared" si="25"/>
        <v>2466</v>
      </c>
      <c r="AY203" s="11">
        <f t="shared" si="26"/>
        <v>2466</v>
      </c>
      <c r="AZ203" s="17">
        <v>3</v>
      </c>
      <c r="BA203">
        <f t="shared" si="27"/>
        <v>24.66</v>
      </c>
    </row>
    <row r="204" spans="2:53">
      <c r="B204" t="s">
        <v>26</v>
      </c>
      <c r="C204" t="s">
        <v>2787</v>
      </c>
      <c r="D204" t="s">
        <v>2788</v>
      </c>
      <c r="E204" t="s">
        <v>29</v>
      </c>
      <c r="F204" t="s">
        <v>30</v>
      </c>
      <c r="G204" t="s">
        <v>31</v>
      </c>
      <c r="J204" t="s">
        <v>2787</v>
      </c>
      <c r="K204" t="s">
        <v>1967</v>
      </c>
      <c r="L204" t="s">
        <v>2736</v>
      </c>
      <c r="M204" s="8">
        <v>0.75225</v>
      </c>
      <c r="N204">
        <v>105.747516212372</v>
      </c>
      <c r="O204">
        <v>1909</v>
      </c>
      <c r="P204" s="9">
        <v>0.240681954137587</v>
      </c>
      <c r="Q204" t="s">
        <v>227</v>
      </c>
      <c r="T204" s="15" t="s">
        <v>69</v>
      </c>
      <c r="W204" s="16" t="str">
        <f t="shared" si="21"/>
        <v>EN_WON_24_c03_BIH</v>
      </c>
      <c r="X204" s="12">
        <f t="shared" si="22"/>
        <v>1909</v>
      </c>
      <c r="Y204" s="11">
        <f t="shared" si="23"/>
        <v>1909</v>
      </c>
      <c r="AC204" t="s">
        <v>26</v>
      </c>
      <c r="AD204" t="s">
        <v>2789</v>
      </c>
      <c r="AE204" t="s">
        <v>2790</v>
      </c>
      <c r="AF204" t="s">
        <v>29</v>
      </c>
      <c r="AG204" t="s">
        <v>30</v>
      </c>
      <c r="AH204" t="s">
        <v>31</v>
      </c>
      <c r="AK204" t="s">
        <v>2789</v>
      </c>
      <c r="AL204" t="s">
        <v>1967</v>
      </c>
      <c r="AM204" t="s">
        <v>2689</v>
      </c>
      <c r="AN204" s="8">
        <v>12.684</v>
      </c>
      <c r="AO204">
        <v>199.694880401046</v>
      </c>
      <c r="AP204">
        <v>2466</v>
      </c>
      <c r="AQ204" s="9">
        <v>0.50556977294229</v>
      </c>
      <c r="AR204" t="s">
        <v>366</v>
      </c>
      <c r="AT204" s="15" t="s">
        <v>89</v>
      </c>
      <c r="AW204" s="11" t="str">
        <f t="shared" si="24"/>
        <v>EN_WOF_51_c02_CHL</v>
      </c>
      <c r="AX204" s="11">
        <f t="shared" si="25"/>
        <v>2466</v>
      </c>
      <c r="AY204" s="11">
        <f t="shared" si="26"/>
        <v>2466</v>
      </c>
      <c r="AZ204" s="17">
        <v>3</v>
      </c>
      <c r="BA204">
        <f t="shared" si="27"/>
        <v>24.66</v>
      </c>
    </row>
    <row r="205" spans="2:53">
      <c r="B205" t="s">
        <v>26</v>
      </c>
      <c r="C205" t="s">
        <v>2791</v>
      </c>
      <c r="D205" t="s">
        <v>2792</v>
      </c>
      <c r="E205" t="s">
        <v>29</v>
      </c>
      <c r="F205" t="s">
        <v>30</v>
      </c>
      <c r="G205" t="s">
        <v>31</v>
      </c>
      <c r="J205" t="s">
        <v>2791</v>
      </c>
      <c r="K205" t="s">
        <v>1967</v>
      </c>
      <c r="L205" t="s">
        <v>2736</v>
      </c>
      <c r="M205" s="8">
        <v>0.045</v>
      </c>
      <c r="N205">
        <v>145.23264029167</v>
      </c>
      <c r="O205">
        <v>1909</v>
      </c>
      <c r="P205" s="9">
        <v>0.244</v>
      </c>
      <c r="Q205" t="s">
        <v>227</v>
      </c>
      <c r="T205" s="15" t="s">
        <v>69</v>
      </c>
      <c r="W205" s="16" t="str">
        <f t="shared" si="21"/>
        <v>EN_WON_24_c04_BIH</v>
      </c>
      <c r="X205" s="12">
        <f t="shared" si="22"/>
        <v>1909</v>
      </c>
      <c r="Y205" s="11">
        <f t="shared" si="23"/>
        <v>1909</v>
      </c>
      <c r="AC205" t="s">
        <v>26</v>
      </c>
      <c r="AD205" t="s">
        <v>2793</v>
      </c>
      <c r="AE205" t="s">
        <v>2794</v>
      </c>
      <c r="AF205" t="s">
        <v>29</v>
      </c>
      <c r="AG205" t="s">
        <v>30</v>
      </c>
      <c r="AH205" t="s">
        <v>31</v>
      </c>
      <c r="AK205" t="s">
        <v>2793</v>
      </c>
      <c r="AL205" t="s">
        <v>1967</v>
      </c>
      <c r="AM205" t="s">
        <v>2689</v>
      </c>
      <c r="AN205" s="8">
        <v>4.74</v>
      </c>
      <c r="AO205">
        <v>45.3852000911468</v>
      </c>
      <c r="AP205">
        <v>2466</v>
      </c>
      <c r="AQ205" s="9">
        <v>0.518131487341772</v>
      </c>
      <c r="AR205" t="s">
        <v>366</v>
      </c>
      <c r="AT205" s="15" t="s">
        <v>89</v>
      </c>
      <c r="AW205" s="11" t="str">
        <f t="shared" si="24"/>
        <v>EN_WOF_52_c01_CHL</v>
      </c>
      <c r="AX205" s="11">
        <f t="shared" si="25"/>
        <v>2466</v>
      </c>
      <c r="AY205" s="11">
        <f t="shared" si="26"/>
        <v>2466</v>
      </c>
      <c r="AZ205" s="17">
        <v>3</v>
      </c>
      <c r="BA205">
        <f t="shared" si="27"/>
        <v>24.66</v>
      </c>
    </row>
    <row r="206" spans="2:53">
      <c r="B206" t="s">
        <v>26</v>
      </c>
      <c r="C206" t="s">
        <v>2795</v>
      </c>
      <c r="D206" t="s">
        <v>2796</v>
      </c>
      <c r="E206" t="s">
        <v>29</v>
      </c>
      <c r="F206" t="s">
        <v>30</v>
      </c>
      <c r="G206" t="s">
        <v>31</v>
      </c>
      <c r="J206" t="s">
        <v>2795</v>
      </c>
      <c r="K206" t="s">
        <v>1967</v>
      </c>
      <c r="L206" t="s">
        <v>2736</v>
      </c>
      <c r="M206" s="8">
        <v>0.07875</v>
      </c>
      <c r="N206">
        <v>0</v>
      </c>
      <c r="O206">
        <v>1909</v>
      </c>
      <c r="P206" s="9">
        <v>0.249</v>
      </c>
      <c r="Q206" t="s">
        <v>227</v>
      </c>
      <c r="T206" s="15" t="s">
        <v>69</v>
      </c>
      <c r="W206" s="16" t="str">
        <f t="shared" si="21"/>
        <v>EN_WON_25_c01_BIH</v>
      </c>
      <c r="X206" s="12">
        <f t="shared" si="22"/>
        <v>1909</v>
      </c>
      <c r="Y206" s="11">
        <f t="shared" si="23"/>
        <v>1909</v>
      </c>
      <c r="AC206" t="s">
        <v>26</v>
      </c>
      <c r="AD206" t="s">
        <v>2797</v>
      </c>
      <c r="AE206" t="s">
        <v>2798</v>
      </c>
      <c r="AF206" t="s">
        <v>29</v>
      </c>
      <c r="AG206" t="s">
        <v>30</v>
      </c>
      <c r="AH206" t="s">
        <v>31</v>
      </c>
      <c r="AK206" t="s">
        <v>2797</v>
      </c>
      <c r="AL206" t="s">
        <v>1967</v>
      </c>
      <c r="AM206" t="s">
        <v>2689</v>
      </c>
      <c r="AN206" s="8">
        <v>5.682</v>
      </c>
      <c r="AO206">
        <v>199.694880401046</v>
      </c>
      <c r="AP206">
        <v>2466</v>
      </c>
      <c r="AQ206" s="9">
        <v>0.523</v>
      </c>
      <c r="AR206" t="s">
        <v>366</v>
      </c>
      <c r="AT206" s="15" t="s">
        <v>89</v>
      </c>
      <c r="AW206" s="11" t="str">
        <f t="shared" si="24"/>
        <v>EN_WOF_52_c02_CHL</v>
      </c>
      <c r="AX206" s="11">
        <f t="shared" si="25"/>
        <v>2466</v>
      </c>
      <c r="AY206" s="11">
        <f t="shared" si="26"/>
        <v>2466</v>
      </c>
      <c r="AZ206" s="17">
        <v>3</v>
      </c>
      <c r="BA206">
        <f t="shared" si="27"/>
        <v>24.66</v>
      </c>
    </row>
    <row r="207" spans="2:53">
      <c r="B207" t="s">
        <v>26</v>
      </c>
      <c r="C207" t="s">
        <v>2799</v>
      </c>
      <c r="D207" t="s">
        <v>2800</v>
      </c>
      <c r="E207" t="s">
        <v>29</v>
      </c>
      <c r="F207" t="s">
        <v>30</v>
      </c>
      <c r="G207" t="s">
        <v>31</v>
      </c>
      <c r="J207" t="s">
        <v>2799</v>
      </c>
      <c r="K207" t="s">
        <v>1967</v>
      </c>
      <c r="L207" t="s">
        <v>2736</v>
      </c>
      <c r="M207" s="8">
        <v>0.51975</v>
      </c>
      <c r="N207">
        <v>80.7856561622413</v>
      </c>
      <c r="O207">
        <v>1909</v>
      </c>
      <c r="P207" s="9">
        <v>0.246</v>
      </c>
      <c r="Q207" t="s">
        <v>227</v>
      </c>
      <c r="T207" s="15" t="s">
        <v>69</v>
      </c>
      <c r="W207" s="16" t="str">
        <f t="shared" si="21"/>
        <v>EN_WON_25_c02_BIH</v>
      </c>
      <c r="X207" s="12">
        <f t="shared" si="22"/>
        <v>1909</v>
      </c>
      <c r="Y207" s="11">
        <f t="shared" si="23"/>
        <v>1909</v>
      </c>
      <c r="AC207" t="s">
        <v>26</v>
      </c>
      <c r="AD207" t="s">
        <v>2801</v>
      </c>
      <c r="AE207" t="s">
        <v>2802</v>
      </c>
      <c r="AF207" t="s">
        <v>29</v>
      </c>
      <c r="AG207" t="s">
        <v>30</v>
      </c>
      <c r="AH207" t="s">
        <v>31</v>
      </c>
      <c r="AK207" t="s">
        <v>2801</v>
      </c>
      <c r="AL207" t="s">
        <v>1967</v>
      </c>
      <c r="AM207" t="s">
        <v>2689</v>
      </c>
      <c r="AN207" s="8">
        <v>9.6975</v>
      </c>
      <c r="AO207">
        <v>199.694880401046</v>
      </c>
      <c r="AP207">
        <v>2466</v>
      </c>
      <c r="AQ207" s="9">
        <v>0.529336890951276</v>
      </c>
      <c r="AR207" t="s">
        <v>366</v>
      </c>
      <c r="AT207" s="15" t="s">
        <v>89</v>
      </c>
      <c r="AW207" s="11" t="str">
        <f t="shared" si="24"/>
        <v>EN_WOF_53_c02_CHL</v>
      </c>
      <c r="AX207" s="11">
        <f t="shared" si="25"/>
        <v>2466</v>
      </c>
      <c r="AY207" s="11">
        <f t="shared" si="26"/>
        <v>2466</v>
      </c>
      <c r="AZ207" s="17">
        <v>3</v>
      </c>
      <c r="BA207">
        <f t="shared" si="27"/>
        <v>24.66</v>
      </c>
    </row>
    <row r="208" spans="2:53">
      <c r="B208" t="s">
        <v>26</v>
      </c>
      <c r="C208" t="s">
        <v>2803</v>
      </c>
      <c r="D208" t="s">
        <v>2804</v>
      </c>
      <c r="E208" t="s">
        <v>29</v>
      </c>
      <c r="F208" t="s">
        <v>30</v>
      </c>
      <c r="G208" t="s">
        <v>31</v>
      </c>
      <c r="J208" t="s">
        <v>2803</v>
      </c>
      <c r="K208" t="s">
        <v>1967</v>
      </c>
      <c r="L208" t="s">
        <v>2736</v>
      </c>
      <c r="M208" s="8">
        <v>0.828</v>
      </c>
      <c r="N208">
        <v>105.747516212372</v>
      </c>
      <c r="O208">
        <v>1909</v>
      </c>
      <c r="P208" s="9">
        <v>0.252391304347826</v>
      </c>
      <c r="Q208" t="s">
        <v>227</v>
      </c>
      <c r="T208" s="15" t="s">
        <v>69</v>
      </c>
      <c r="W208" s="16" t="str">
        <f t="shared" si="21"/>
        <v>EN_WON_25_c03_BIH</v>
      </c>
      <c r="X208" s="12">
        <f t="shared" si="22"/>
        <v>1909</v>
      </c>
      <c r="Y208" s="11">
        <f t="shared" si="23"/>
        <v>1909</v>
      </c>
      <c r="AC208" t="s">
        <v>26</v>
      </c>
      <c r="AD208" t="s">
        <v>2805</v>
      </c>
      <c r="AE208" t="s">
        <v>2806</v>
      </c>
      <c r="AF208" t="s">
        <v>29</v>
      </c>
      <c r="AG208" t="s">
        <v>30</v>
      </c>
      <c r="AH208" t="s">
        <v>31</v>
      </c>
      <c r="AK208" t="s">
        <v>2805</v>
      </c>
      <c r="AL208" t="s">
        <v>1967</v>
      </c>
      <c r="AM208" t="s">
        <v>2689</v>
      </c>
      <c r="AN208" s="8">
        <v>1.0275</v>
      </c>
      <c r="AO208">
        <v>45.3852000911468</v>
      </c>
      <c r="AP208">
        <v>2466</v>
      </c>
      <c r="AQ208" s="9">
        <v>0.535</v>
      </c>
      <c r="AR208" t="s">
        <v>366</v>
      </c>
      <c r="AT208" s="15" t="s">
        <v>89</v>
      </c>
      <c r="AW208" s="11" t="str">
        <f t="shared" si="24"/>
        <v>EN_WOF_54_c01_CHL</v>
      </c>
      <c r="AX208" s="11">
        <f t="shared" si="25"/>
        <v>2466</v>
      </c>
      <c r="AY208" s="11">
        <f t="shared" si="26"/>
        <v>2466</v>
      </c>
      <c r="AZ208" s="17">
        <v>3</v>
      </c>
      <c r="BA208">
        <f t="shared" si="27"/>
        <v>24.66</v>
      </c>
    </row>
    <row r="209" spans="2:53">
      <c r="B209" t="s">
        <v>26</v>
      </c>
      <c r="C209" t="s">
        <v>2807</v>
      </c>
      <c r="D209" t="s">
        <v>2808</v>
      </c>
      <c r="E209" t="s">
        <v>29</v>
      </c>
      <c r="F209" t="s">
        <v>30</v>
      </c>
      <c r="G209" t="s">
        <v>31</v>
      </c>
      <c r="J209" t="s">
        <v>2807</v>
      </c>
      <c r="K209" t="s">
        <v>1967</v>
      </c>
      <c r="L209" t="s">
        <v>2736</v>
      </c>
      <c r="M209" s="8">
        <v>0.01425</v>
      </c>
      <c r="N209">
        <v>145.23264029167</v>
      </c>
      <c r="O209">
        <v>1909</v>
      </c>
      <c r="P209" s="9">
        <v>0.255</v>
      </c>
      <c r="Q209" t="s">
        <v>227</v>
      </c>
      <c r="T209" s="15" t="s">
        <v>69</v>
      </c>
      <c r="W209" s="16" t="str">
        <f t="shared" si="21"/>
        <v>EN_WON_26_c04_BIH</v>
      </c>
      <c r="X209" s="12">
        <f t="shared" si="22"/>
        <v>1909</v>
      </c>
      <c r="Y209" s="11">
        <f t="shared" si="23"/>
        <v>1909</v>
      </c>
      <c r="AC209" t="s">
        <v>26</v>
      </c>
      <c r="AD209" t="s">
        <v>2809</v>
      </c>
      <c r="AE209" t="s">
        <v>2810</v>
      </c>
      <c r="AF209" t="s">
        <v>29</v>
      </c>
      <c r="AG209" t="s">
        <v>30</v>
      </c>
      <c r="AH209" t="s">
        <v>31</v>
      </c>
      <c r="AK209" t="s">
        <v>2809</v>
      </c>
      <c r="AL209" t="s">
        <v>1967</v>
      </c>
      <c r="AM209" t="s">
        <v>2689</v>
      </c>
      <c r="AN209" s="8">
        <v>9.3285</v>
      </c>
      <c r="AO209">
        <v>199.694880401046</v>
      </c>
      <c r="AP209">
        <v>2466</v>
      </c>
      <c r="AQ209" s="9">
        <v>0.539063675832127</v>
      </c>
      <c r="AR209" t="s">
        <v>366</v>
      </c>
      <c r="AT209" s="15" t="s">
        <v>89</v>
      </c>
      <c r="AW209" s="11" t="str">
        <f t="shared" si="24"/>
        <v>EN_WOF_54_c02_CHL</v>
      </c>
      <c r="AX209" s="11">
        <f t="shared" si="25"/>
        <v>2466</v>
      </c>
      <c r="AY209" s="11">
        <f t="shared" si="26"/>
        <v>2466</v>
      </c>
      <c r="AZ209" s="17">
        <v>3</v>
      </c>
      <c r="BA209">
        <f t="shared" si="27"/>
        <v>24.66</v>
      </c>
    </row>
    <row r="210" spans="2:53">
      <c r="B210" t="s">
        <v>26</v>
      </c>
      <c r="C210" t="s">
        <v>2811</v>
      </c>
      <c r="D210" t="s">
        <v>2812</v>
      </c>
      <c r="E210" t="s">
        <v>29</v>
      </c>
      <c r="F210" t="s">
        <v>30</v>
      </c>
      <c r="G210" t="s">
        <v>31</v>
      </c>
      <c r="J210" t="s">
        <v>2811</v>
      </c>
      <c r="K210" t="s">
        <v>1967</v>
      </c>
      <c r="L210" t="s">
        <v>2736</v>
      </c>
      <c r="M210" s="8">
        <v>0.147</v>
      </c>
      <c r="N210">
        <v>80.7856561622413</v>
      </c>
      <c r="O210">
        <v>1909</v>
      </c>
      <c r="P210" s="9">
        <v>0.274</v>
      </c>
      <c r="Q210" t="s">
        <v>227</v>
      </c>
      <c r="T210" s="15" t="s">
        <v>69</v>
      </c>
      <c r="W210" s="16" t="str">
        <f t="shared" si="21"/>
        <v>EN_WON_27_c02_BIH</v>
      </c>
      <c r="X210" s="12">
        <f t="shared" si="22"/>
        <v>1909</v>
      </c>
      <c r="Y210" s="11">
        <f t="shared" si="23"/>
        <v>1909</v>
      </c>
      <c r="AC210" t="s">
        <v>26</v>
      </c>
      <c r="AD210" t="s">
        <v>2813</v>
      </c>
      <c r="AE210" t="s">
        <v>2814</v>
      </c>
      <c r="AF210" t="s">
        <v>29</v>
      </c>
      <c r="AG210" t="s">
        <v>30</v>
      </c>
      <c r="AH210" t="s">
        <v>31</v>
      </c>
      <c r="AK210" t="s">
        <v>2813</v>
      </c>
      <c r="AL210" t="s">
        <v>1967</v>
      </c>
      <c r="AM210" t="s">
        <v>2689</v>
      </c>
      <c r="AN210" s="8">
        <v>6.73875</v>
      </c>
      <c r="AO210">
        <v>45.3852000911468</v>
      </c>
      <c r="AP210">
        <v>2466</v>
      </c>
      <c r="AQ210" s="9">
        <v>0.556252309404563</v>
      </c>
      <c r="AR210" t="s">
        <v>366</v>
      </c>
      <c r="AT210" s="15" t="s">
        <v>89</v>
      </c>
      <c r="AW210" s="11" t="str">
        <f t="shared" si="24"/>
        <v>EN_WOF_56_c01_CHL</v>
      </c>
      <c r="AX210" s="11">
        <f t="shared" si="25"/>
        <v>2466</v>
      </c>
      <c r="AY210" s="11">
        <f t="shared" si="26"/>
        <v>2466</v>
      </c>
      <c r="AZ210" s="17">
        <v>3</v>
      </c>
      <c r="BA210">
        <f t="shared" si="27"/>
        <v>24.66</v>
      </c>
    </row>
    <row r="211" spans="2:53">
      <c r="B211" t="s">
        <v>26</v>
      </c>
      <c r="C211" t="s">
        <v>2815</v>
      </c>
      <c r="D211" t="s">
        <v>2816</v>
      </c>
      <c r="E211" t="s">
        <v>29</v>
      </c>
      <c r="F211" t="s">
        <v>30</v>
      </c>
      <c r="G211" t="s">
        <v>31</v>
      </c>
      <c r="J211" t="s">
        <v>2815</v>
      </c>
      <c r="K211" t="s">
        <v>1967</v>
      </c>
      <c r="L211" t="s">
        <v>2736</v>
      </c>
      <c r="M211" s="8">
        <v>1.7415</v>
      </c>
      <c r="N211">
        <v>105.747516212372</v>
      </c>
      <c r="O211">
        <v>1909</v>
      </c>
      <c r="P211" s="9">
        <v>0.267533161068045</v>
      </c>
      <c r="Q211" t="s">
        <v>227</v>
      </c>
      <c r="T211" s="15" t="s">
        <v>69</v>
      </c>
      <c r="W211" s="16" t="str">
        <f t="shared" si="21"/>
        <v>EN_WON_27_c03_BIH</v>
      </c>
      <c r="X211" s="12">
        <f t="shared" si="22"/>
        <v>1909</v>
      </c>
      <c r="Y211" s="11">
        <f t="shared" si="23"/>
        <v>1909</v>
      </c>
      <c r="AC211" t="s">
        <v>26</v>
      </c>
      <c r="AD211" t="s">
        <v>2817</v>
      </c>
      <c r="AE211" t="s">
        <v>2818</v>
      </c>
      <c r="AF211" t="s">
        <v>29</v>
      </c>
      <c r="AG211" t="s">
        <v>30</v>
      </c>
      <c r="AH211" t="s">
        <v>31</v>
      </c>
      <c r="AK211" t="s">
        <v>2817</v>
      </c>
      <c r="AL211" t="s">
        <v>1967</v>
      </c>
      <c r="AM211" t="s">
        <v>2689</v>
      </c>
      <c r="AN211" s="8">
        <v>5.29275</v>
      </c>
      <c r="AO211">
        <v>199.694880401046</v>
      </c>
      <c r="AP211">
        <v>2466</v>
      </c>
      <c r="AQ211" s="9">
        <v>0.56441972509565</v>
      </c>
      <c r="AR211" t="s">
        <v>366</v>
      </c>
      <c r="AT211" s="15" t="s">
        <v>89</v>
      </c>
      <c r="AW211" s="11" t="str">
        <f t="shared" si="24"/>
        <v>EN_WOF_56_c02_CHL</v>
      </c>
      <c r="AX211" s="11">
        <f t="shared" si="25"/>
        <v>2466</v>
      </c>
      <c r="AY211" s="11">
        <f t="shared" si="26"/>
        <v>2466</v>
      </c>
      <c r="AZ211" s="17">
        <v>3</v>
      </c>
      <c r="BA211">
        <f t="shared" si="27"/>
        <v>24.66</v>
      </c>
    </row>
    <row r="212" spans="2:53">
      <c r="B212" t="s">
        <v>26</v>
      </c>
      <c r="C212" t="s">
        <v>2819</v>
      </c>
      <c r="D212" t="s">
        <v>2820</v>
      </c>
      <c r="E212" t="s">
        <v>29</v>
      </c>
      <c r="F212" t="s">
        <v>30</v>
      </c>
      <c r="G212" t="s">
        <v>31</v>
      </c>
      <c r="J212" t="s">
        <v>2819</v>
      </c>
      <c r="K212" t="s">
        <v>1967</v>
      </c>
      <c r="L212" t="s">
        <v>2736</v>
      </c>
      <c r="M212" s="8">
        <v>0.51</v>
      </c>
      <c r="N212">
        <v>80.7856561622413</v>
      </c>
      <c r="O212">
        <v>1909</v>
      </c>
      <c r="P212" s="9">
        <v>0.279</v>
      </c>
      <c r="Q212" t="s">
        <v>227</v>
      </c>
      <c r="T212" s="15" t="s">
        <v>69</v>
      </c>
      <c r="W212" s="16" t="str">
        <f t="shared" si="21"/>
        <v>EN_WON_28_c02_BIH</v>
      </c>
      <c r="X212" s="12">
        <f t="shared" si="22"/>
        <v>1909</v>
      </c>
      <c r="Y212" s="11">
        <f t="shared" si="23"/>
        <v>1909</v>
      </c>
      <c r="AC212" t="s">
        <v>26</v>
      </c>
      <c r="AD212" t="s">
        <v>2821</v>
      </c>
      <c r="AE212" t="s">
        <v>2822</v>
      </c>
      <c r="AF212" t="s">
        <v>29</v>
      </c>
      <c r="AG212" t="s">
        <v>30</v>
      </c>
      <c r="AH212" t="s">
        <v>31</v>
      </c>
      <c r="AK212" t="s">
        <v>2821</v>
      </c>
      <c r="AL212" t="s">
        <v>1967</v>
      </c>
      <c r="AM212" t="s">
        <v>2689</v>
      </c>
      <c r="AN212" s="8">
        <v>7.0335</v>
      </c>
      <c r="AO212">
        <v>199.694880401046</v>
      </c>
      <c r="AP212">
        <v>2466</v>
      </c>
      <c r="AQ212" s="9">
        <v>0.581</v>
      </c>
      <c r="AR212" t="s">
        <v>366</v>
      </c>
      <c r="AT212" s="15" t="s">
        <v>89</v>
      </c>
      <c r="AW212" s="11" t="str">
        <f t="shared" si="24"/>
        <v>EN_WOF_58_c02_CHL</v>
      </c>
      <c r="AX212" s="11">
        <f t="shared" si="25"/>
        <v>2466</v>
      </c>
      <c r="AY212" s="11">
        <f t="shared" si="26"/>
        <v>2466</v>
      </c>
      <c r="AZ212" s="17">
        <v>3</v>
      </c>
      <c r="BA212">
        <f t="shared" si="27"/>
        <v>24.66</v>
      </c>
    </row>
    <row r="213" spans="2:53">
      <c r="B213" t="s">
        <v>26</v>
      </c>
      <c r="C213" t="s">
        <v>2823</v>
      </c>
      <c r="D213" t="s">
        <v>2824</v>
      </c>
      <c r="E213" t="s">
        <v>29</v>
      </c>
      <c r="F213" t="s">
        <v>30</v>
      </c>
      <c r="G213" t="s">
        <v>31</v>
      </c>
      <c r="J213" t="s">
        <v>2823</v>
      </c>
      <c r="K213" t="s">
        <v>1967</v>
      </c>
      <c r="L213" t="s">
        <v>2736</v>
      </c>
      <c r="M213" s="8">
        <v>0.05925</v>
      </c>
      <c r="N213">
        <v>105.747516212372</v>
      </c>
      <c r="O213">
        <v>1909</v>
      </c>
      <c r="P213" s="9">
        <v>0.28</v>
      </c>
      <c r="Q213" t="s">
        <v>227</v>
      </c>
      <c r="T213" s="15" t="s">
        <v>69</v>
      </c>
      <c r="W213" s="16" t="str">
        <f t="shared" si="21"/>
        <v>EN_WON_28_c03_BIH</v>
      </c>
      <c r="X213" s="12">
        <f t="shared" si="22"/>
        <v>1909</v>
      </c>
      <c r="Y213" s="11">
        <f t="shared" si="23"/>
        <v>1909</v>
      </c>
      <c r="AC213" t="s">
        <v>26</v>
      </c>
      <c r="AD213" t="s">
        <v>2825</v>
      </c>
      <c r="AE213" t="s">
        <v>2826</v>
      </c>
      <c r="AF213" t="s">
        <v>29</v>
      </c>
      <c r="AG213" t="s">
        <v>30</v>
      </c>
      <c r="AH213" t="s">
        <v>31</v>
      </c>
      <c r="AK213" t="s">
        <v>2825</v>
      </c>
      <c r="AL213" t="s">
        <v>1967</v>
      </c>
      <c r="AM213" t="s">
        <v>2689</v>
      </c>
      <c r="AN213" s="8">
        <v>6.27975</v>
      </c>
      <c r="AO213">
        <v>45.3852000911468</v>
      </c>
      <c r="AP213">
        <v>2466</v>
      </c>
      <c r="AQ213" s="9">
        <v>0.59020494446435</v>
      </c>
      <c r="AR213" t="s">
        <v>366</v>
      </c>
      <c r="AT213" s="15" t="s">
        <v>89</v>
      </c>
      <c r="AW213" s="11" t="str">
        <f t="shared" si="24"/>
        <v>EN_WOF_59_c01_CHL</v>
      </c>
      <c r="AX213" s="11">
        <f t="shared" si="25"/>
        <v>2466</v>
      </c>
      <c r="AY213" s="11">
        <f t="shared" si="26"/>
        <v>2466</v>
      </c>
      <c r="AZ213" s="17">
        <v>3</v>
      </c>
      <c r="BA213">
        <f t="shared" si="27"/>
        <v>24.66</v>
      </c>
    </row>
    <row r="214" spans="2:53">
      <c r="B214" t="s">
        <v>26</v>
      </c>
      <c r="C214" t="s">
        <v>2827</v>
      </c>
      <c r="D214" t="s">
        <v>2828</v>
      </c>
      <c r="E214" t="s">
        <v>29</v>
      </c>
      <c r="F214" t="s">
        <v>30</v>
      </c>
      <c r="G214" t="s">
        <v>31</v>
      </c>
      <c r="J214" t="s">
        <v>2827</v>
      </c>
      <c r="K214" t="s">
        <v>1967</v>
      </c>
      <c r="L214" t="s">
        <v>2736</v>
      </c>
      <c r="M214" s="8">
        <v>1.04925</v>
      </c>
      <c r="N214">
        <v>80.7856561622413</v>
      </c>
      <c r="O214">
        <v>1909</v>
      </c>
      <c r="P214" s="9">
        <v>0.289373123659757</v>
      </c>
      <c r="Q214" t="s">
        <v>227</v>
      </c>
      <c r="T214" s="15" t="s">
        <v>69</v>
      </c>
      <c r="W214" s="16" t="str">
        <f t="shared" si="21"/>
        <v>EN_WON_29_c02_BIH</v>
      </c>
      <c r="X214" s="12">
        <f t="shared" si="22"/>
        <v>1909</v>
      </c>
      <c r="Y214" s="11">
        <f t="shared" si="23"/>
        <v>1909</v>
      </c>
      <c r="AC214" t="s">
        <v>26</v>
      </c>
      <c r="AD214" t="s">
        <v>2829</v>
      </c>
      <c r="AE214" t="s">
        <v>2830</v>
      </c>
      <c r="AF214" t="s">
        <v>29</v>
      </c>
      <c r="AG214" t="s">
        <v>30</v>
      </c>
      <c r="AH214" t="s">
        <v>31</v>
      </c>
      <c r="AK214" t="s">
        <v>2829</v>
      </c>
      <c r="AL214" t="s">
        <v>1967</v>
      </c>
      <c r="AM214" t="s">
        <v>2689</v>
      </c>
      <c r="AN214" s="8">
        <v>4.338</v>
      </c>
      <c r="AO214">
        <v>45.3852000911468</v>
      </c>
      <c r="AP214">
        <v>2466</v>
      </c>
      <c r="AQ214" s="9">
        <v>0.604</v>
      </c>
      <c r="AR214" t="s">
        <v>366</v>
      </c>
      <c r="AT214" s="15" t="s">
        <v>89</v>
      </c>
      <c r="AW214" s="11" t="str">
        <f t="shared" si="24"/>
        <v>EN_WOF_60_c01_CHL</v>
      </c>
      <c r="AX214" s="11">
        <f t="shared" si="25"/>
        <v>2466</v>
      </c>
      <c r="AY214" s="11">
        <f t="shared" si="26"/>
        <v>2466</v>
      </c>
      <c r="AZ214" s="17">
        <v>3</v>
      </c>
      <c r="BA214">
        <f t="shared" si="27"/>
        <v>24.66</v>
      </c>
    </row>
    <row r="215" spans="2:53">
      <c r="B215" t="s">
        <v>26</v>
      </c>
      <c r="C215" t="s">
        <v>2831</v>
      </c>
      <c r="D215" t="s">
        <v>2832</v>
      </c>
      <c r="E215" t="s">
        <v>29</v>
      </c>
      <c r="F215" t="s">
        <v>30</v>
      </c>
      <c r="G215" t="s">
        <v>31</v>
      </c>
      <c r="J215" t="s">
        <v>2831</v>
      </c>
      <c r="K215" t="s">
        <v>1967</v>
      </c>
      <c r="L215" t="s">
        <v>2736</v>
      </c>
      <c r="M215" s="8">
        <v>0.8565</v>
      </c>
      <c r="N215">
        <v>80.7856561622413</v>
      </c>
      <c r="O215">
        <v>1909</v>
      </c>
      <c r="P215" s="9">
        <v>0.302</v>
      </c>
      <c r="Q215" t="s">
        <v>227</v>
      </c>
      <c r="T215" s="15" t="s">
        <v>69</v>
      </c>
      <c r="W215" s="16" t="str">
        <f t="shared" si="21"/>
        <v>EN_WON_30_c02_BIH</v>
      </c>
      <c r="X215" s="12">
        <f t="shared" si="22"/>
        <v>1909</v>
      </c>
      <c r="Y215" s="11">
        <f t="shared" si="23"/>
        <v>1909</v>
      </c>
      <c r="AC215" t="s">
        <v>26</v>
      </c>
      <c r="AD215" t="s">
        <v>2833</v>
      </c>
      <c r="AE215" t="s">
        <v>2834</v>
      </c>
      <c r="AF215" t="s">
        <v>29</v>
      </c>
      <c r="AG215" t="s">
        <v>30</v>
      </c>
      <c r="AH215" t="s">
        <v>31</v>
      </c>
      <c r="AK215" t="s">
        <v>2833</v>
      </c>
      <c r="AL215" t="s">
        <v>1967</v>
      </c>
      <c r="AM215" t="s">
        <v>2689</v>
      </c>
      <c r="AN215" s="8">
        <v>7.61775</v>
      </c>
      <c r="AO215">
        <v>45.3852000911468</v>
      </c>
      <c r="AP215">
        <v>2466</v>
      </c>
      <c r="AQ215" s="9">
        <v>0.613</v>
      </c>
      <c r="AR215" t="s">
        <v>366</v>
      </c>
      <c r="AT215" s="15" t="s">
        <v>89</v>
      </c>
      <c r="AW215" s="11" t="str">
        <f t="shared" si="24"/>
        <v>EN_WOF_61_c01_CHL</v>
      </c>
      <c r="AX215" s="11">
        <f t="shared" si="25"/>
        <v>2466</v>
      </c>
      <c r="AY215" s="11">
        <f t="shared" si="26"/>
        <v>2466</v>
      </c>
      <c r="AZ215" s="17">
        <v>3</v>
      </c>
      <c r="BA215">
        <f t="shared" si="27"/>
        <v>24.66</v>
      </c>
    </row>
    <row r="216" spans="2:53">
      <c r="B216" t="s">
        <v>26</v>
      </c>
      <c r="C216" t="s">
        <v>2835</v>
      </c>
      <c r="D216" t="s">
        <v>2836</v>
      </c>
      <c r="E216" t="s">
        <v>29</v>
      </c>
      <c r="F216" t="s">
        <v>30</v>
      </c>
      <c r="G216" t="s">
        <v>31</v>
      </c>
      <c r="J216" t="s">
        <v>2835</v>
      </c>
      <c r="K216" t="s">
        <v>1967</v>
      </c>
      <c r="L216" t="s">
        <v>2736</v>
      </c>
      <c r="M216" s="8">
        <v>0.4635</v>
      </c>
      <c r="N216">
        <v>80.7856561622413</v>
      </c>
      <c r="O216">
        <v>1909</v>
      </c>
      <c r="P216" s="9">
        <v>0.306</v>
      </c>
      <c r="Q216" t="s">
        <v>227</v>
      </c>
      <c r="T216" s="15" t="s">
        <v>69</v>
      </c>
      <c r="W216" s="16" t="str">
        <f t="shared" si="21"/>
        <v>EN_WON_31_c02_BIH</v>
      </c>
      <c r="X216" s="12">
        <f t="shared" si="22"/>
        <v>1909</v>
      </c>
      <c r="Y216" s="11">
        <f t="shared" si="23"/>
        <v>1909</v>
      </c>
      <c r="AC216" t="s">
        <v>26</v>
      </c>
      <c r="AD216" t="s">
        <v>2837</v>
      </c>
      <c r="AE216" t="s">
        <v>2838</v>
      </c>
      <c r="AF216" t="s">
        <v>29</v>
      </c>
      <c r="AG216" t="s">
        <v>30</v>
      </c>
      <c r="AH216" t="s">
        <v>31</v>
      </c>
      <c r="AK216" t="s">
        <v>2837</v>
      </c>
      <c r="AL216" t="s">
        <v>1967</v>
      </c>
      <c r="AM216" t="s">
        <v>2689</v>
      </c>
      <c r="AN216" s="8">
        <v>10.7205</v>
      </c>
      <c r="AO216">
        <v>199.694880401046</v>
      </c>
      <c r="AP216">
        <v>2466</v>
      </c>
      <c r="AQ216" s="9">
        <v>0.605753672869735</v>
      </c>
      <c r="AR216" t="s">
        <v>366</v>
      </c>
      <c r="AT216" s="15" t="s">
        <v>89</v>
      </c>
      <c r="AW216" s="11" t="str">
        <f t="shared" si="24"/>
        <v>EN_WOF_61_c02_CHL</v>
      </c>
      <c r="AX216" s="11">
        <f t="shared" si="25"/>
        <v>2466</v>
      </c>
      <c r="AY216" s="11">
        <f t="shared" si="26"/>
        <v>2466</v>
      </c>
      <c r="AZ216" s="17">
        <v>3</v>
      </c>
      <c r="BA216">
        <f t="shared" si="27"/>
        <v>24.66</v>
      </c>
    </row>
    <row r="217" spans="2:53">
      <c r="B217" t="s">
        <v>26</v>
      </c>
      <c r="C217" t="s">
        <v>2839</v>
      </c>
      <c r="D217" t="s">
        <v>2840</v>
      </c>
      <c r="E217" t="s">
        <v>29</v>
      </c>
      <c r="F217" t="s">
        <v>30</v>
      </c>
      <c r="G217" t="s">
        <v>31</v>
      </c>
      <c r="J217" t="s">
        <v>2839</v>
      </c>
      <c r="K217" t="s">
        <v>1967</v>
      </c>
      <c r="L217" t="s">
        <v>2736</v>
      </c>
      <c r="M217" s="8">
        <v>0.71925</v>
      </c>
      <c r="N217">
        <v>105.747516212372</v>
      </c>
      <c r="O217">
        <v>1909</v>
      </c>
      <c r="P217" s="9">
        <v>0.313</v>
      </c>
      <c r="Q217" t="s">
        <v>227</v>
      </c>
      <c r="T217" s="15" t="s">
        <v>69</v>
      </c>
      <c r="W217" s="16" t="str">
        <f t="shared" si="21"/>
        <v>EN_WON_31_c03_BIH</v>
      </c>
      <c r="X217" s="12">
        <f t="shared" si="22"/>
        <v>1909</v>
      </c>
      <c r="Y217" s="11">
        <f t="shared" si="23"/>
        <v>1909</v>
      </c>
      <c r="AC217" t="s">
        <v>26</v>
      </c>
      <c r="AD217" t="s">
        <v>2841</v>
      </c>
      <c r="AE217" t="s">
        <v>2842</v>
      </c>
      <c r="AF217" t="s">
        <v>29</v>
      </c>
      <c r="AG217" t="s">
        <v>30</v>
      </c>
      <c r="AH217" t="s">
        <v>31</v>
      </c>
      <c r="AK217" t="s">
        <v>2841</v>
      </c>
      <c r="AL217" t="s">
        <v>1967</v>
      </c>
      <c r="AM217" t="s">
        <v>2689</v>
      </c>
      <c r="AN217" s="8">
        <v>8.60775</v>
      </c>
      <c r="AO217">
        <v>45.3852000911468</v>
      </c>
      <c r="AP217">
        <v>2466</v>
      </c>
      <c r="AQ217" s="9">
        <v>0.617122157358195</v>
      </c>
      <c r="AR217" t="s">
        <v>366</v>
      </c>
      <c r="AT217" s="15" t="s">
        <v>89</v>
      </c>
      <c r="AW217" s="11" t="str">
        <f t="shared" si="24"/>
        <v>EN_WOF_62_c01_CHL</v>
      </c>
      <c r="AX217" s="11">
        <f t="shared" si="25"/>
        <v>2466</v>
      </c>
      <c r="AY217" s="11">
        <f t="shared" si="26"/>
        <v>2466</v>
      </c>
      <c r="AZ217" s="17">
        <v>3</v>
      </c>
      <c r="BA217">
        <f t="shared" si="27"/>
        <v>24.66</v>
      </c>
    </row>
    <row r="218" spans="2:53">
      <c r="B218" t="s">
        <v>26</v>
      </c>
      <c r="C218" t="s">
        <v>2843</v>
      </c>
      <c r="D218" t="s">
        <v>2844</v>
      </c>
      <c r="E218" t="s">
        <v>29</v>
      </c>
      <c r="F218" t="s">
        <v>30</v>
      </c>
      <c r="G218" t="s">
        <v>31</v>
      </c>
      <c r="J218" t="s">
        <v>2843</v>
      </c>
      <c r="K218" t="s">
        <v>1967</v>
      </c>
      <c r="L218" t="s">
        <v>2736</v>
      </c>
      <c r="M218" s="8">
        <v>0.0405</v>
      </c>
      <c r="N218">
        <v>80.7856561622413</v>
      </c>
      <c r="O218">
        <v>1909</v>
      </c>
      <c r="P218" s="9">
        <v>0.321</v>
      </c>
      <c r="Q218" t="s">
        <v>227</v>
      </c>
      <c r="T218" s="15" t="s">
        <v>69</v>
      </c>
      <c r="W218" s="16" t="str">
        <f t="shared" si="21"/>
        <v>EN_WON_32_c02_BIH</v>
      </c>
      <c r="X218" s="12">
        <f t="shared" si="22"/>
        <v>1909</v>
      </c>
      <c r="Y218" s="11">
        <f t="shared" si="23"/>
        <v>1909</v>
      </c>
      <c r="AC218" t="s">
        <v>26</v>
      </c>
      <c r="AD218" t="s">
        <v>2845</v>
      </c>
      <c r="AE218" t="s">
        <v>2846</v>
      </c>
      <c r="AF218" t="s">
        <v>29</v>
      </c>
      <c r="AG218" t="s">
        <v>30</v>
      </c>
      <c r="AH218" t="s">
        <v>31</v>
      </c>
      <c r="AK218" t="s">
        <v>2845</v>
      </c>
      <c r="AL218" t="s">
        <v>1967</v>
      </c>
      <c r="AM218" t="s">
        <v>2689</v>
      </c>
      <c r="AN218" s="8">
        <v>11.43675</v>
      </c>
      <c r="AO218">
        <v>199.694880401046</v>
      </c>
      <c r="AP218">
        <v>2466</v>
      </c>
      <c r="AQ218" s="9">
        <v>0.621948586792576</v>
      </c>
      <c r="AR218" t="s">
        <v>366</v>
      </c>
      <c r="AT218" s="15" t="s">
        <v>89</v>
      </c>
      <c r="AW218" s="11" t="str">
        <f t="shared" si="24"/>
        <v>EN_WOF_62_c02_CHL</v>
      </c>
      <c r="AX218" s="11">
        <f t="shared" si="25"/>
        <v>2466</v>
      </c>
      <c r="AY218" s="11">
        <f t="shared" si="26"/>
        <v>2466</v>
      </c>
      <c r="AZ218" s="17">
        <v>3</v>
      </c>
      <c r="BA218">
        <f t="shared" si="27"/>
        <v>24.66</v>
      </c>
    </row>
    <row r="219" spans="2:53">
      <c r="B219" t="s">
        <v>26</v>
      </c>
      <c r="C219" t="s">
        <v>2847</v>
      </c>
      <c r="D219" t="s">
        <v>2848</v>
      </c>
      <c r="E219" t="s">
        <v>29</v>
      </c>
      <c r="F219" t="s">
        <v>30</v>
      </c>
      <c r="G219" t="s">
        <v>31</v>
      </c>
      <c r="J219" t="s">
        <v>2847</v>
      </c>
      <c r="K219" t="s">
        <v>1967</v>
      </c>
      <c r="L219" t="s">
        <v>2736</v>
      </c>
      <c r="M219" s="8">
        <v>0.03225</v>
      </c>
      <c r="N219">
        <v>80.7856561622413</v>
      </c>
      <c r="O219">
        <v>1909</v>
      </c>
      <c r="P219" s="9">
        <v>0.328</v>
      </c>
      <c r="Q219" t="s">
        <v>227</v>
      </c>
      <c r="T219" s="15" t="s">
        <v>69</v>
      </c>
      <c r="W219" s="16" t="str">
        <f t="shared" si="21"/>
        <v>EN_WON_33_c02_BIH</v>
      </c>
      <c r="X219" s="12">
        <f t="shared" si="22"/>
        <v>1909</v>
      </c>
      <c r="Y219" s="11">
        <f t="shared" si="23"/>
        <v>1909</v>
      </c>
      <c r="AC219" t="s">
        <v>26</v>
      </c>
      <c r="AD219" t="s">
        <v>2849</v>
      </c>
      <c r="AE219" t="s">
        <v>2850</v>
      </c>
      <c r="AF219" t="s">
        <v>29</v>
      </c>
      <c r="AG219" t="s">
        <v>30</v>
      </c>
      <c r="AH219" t="s">
        <v>31</v>
      </c>
      <c r="AK219" t="s">
        <v>2849</v>
      </c>
      <c r="AL219" t="s">
        <v>1967</v>
      </c>
      <c r="AM219" t="s">
        <v>2689</v>
      </c>
      <c r="AN219" s="8">
        <v>18.79575</v>
      </c>
      <c r="AO219">
        <v>45.3852000911468</v>
      </c>
      <c r="AP219">
        <v>2466</v>
      </c>
      <c r="AQ219" s="9">
        <v>0.627841307210407</v>
      </c>
      <c r="AR219" t="s">
        <v>366</v>
      </c>
      <c r="AT219" s="15" t="s">
        <v>89</v>
      </c>
      <c r="AW219" s="11" t="str">
        <f t="shared" si="24"/>
        <v>EN_WOF_63_c01_CHL</v>
      </c>
      <c r="AX219" s="11">
        <f t="shared" si="25"/>
        <v>2466</v>
      </c>
      <c r="AY219" s="11">
        <f t="shared" si="26"/>
        <v>2466</v>
      </c>
      <c r="AZ219" s="17">
        <v>3</v>
      </c>
      <c r="BA219">
        <f t="shared" si="27"/>
        <v>24.66</v>
      </c>
    </row>
    <row r="220" spans="2:53">
      <c r="B220" t="s">
        <v>26</v>
      </c>
      <c r="C220" t="s">
        <v>2851</v>
      </c>
      <c r="D220" t="s">
        <v>2852</v>
      </c>
      <c r="E220" t="s">
        <v>29</v>
      </c>
      <c r="F220" t="s">
        <v>30</v>
      </c>
      <c r="G220" t="s">
        <v>31</v>
      </c>
      <c r="J220" t="s">
        <v>2851</v>
      </c>
      <c r="K220" t="s">
        <v>1967</v>
      </c>
      <c r="L220" t="s">
        <v>2736</v>
      </c>
      <c r="M220" s="8">
        <v>0.13125</v>
      </c>
      <c r="N220">
        <v>80.7856561622413</v>
      </c>
      <c r="O220">
        <v>1909</v>
      </c>
      <c r="P220" s="9">
        <v>0.339</v>
      </c>
      <c r="Q220" t="s">
        <v>227</v>
      </c>
      <c r="T220" s="15" t="s">
        <v>69</v>
      </c>
      <c r="W220" s="16" t="str">
        <f t="shared" si="21"/>
        <v>EN_WON_34_c02_BIH</v>
      </c>
      <c r="X220" s="12">
        <f t="shared" si="22"/>
        <v>1909</v>
      </c>
      <c r="Y220" s="11">
        <f t="shared" si="23"/>
        <v>1909</v>
      </c>
      <c r="AC220" t="s">
        <v>26</v>
      </c>
      <c r="AD220" t="s">
        <v>2853</v>
      </c>
      <c r="AE220" t="s">
        <v>2854</v>
      </c>
      <c r="AF220" t="s">
        <v>29</v>
      </c>
      <c r="AG220" t="s">
        <v>30</v>
      </c>
      <c r="AH220" t="s">
        <v>31</v>
      </c>
      <c r="AK220" t="s">
        <v>2853</v>
      </c>
      <c r="AL220" t="s">
        <v>1967</v>
      </c>
      <c r="AM220" t="s">
        <v>2689</v>
      </c>
      <c r="AN220" s="8">
        <v>4.5825</v>
      </c>
      <c r="AO220">
        <v>45.3852000911468</v>
      </c>
      <c r="AP220">
        <v>2466</v>
      </c>
      <c r="AQ220" s="9">
        <v>0.642186579378069</v>
      </c>
      <c r="AR220" t="s">
        <v>366</v>
      </c>
      <c r="AT220" s="15" t="s">
        <v>89</v>
      </c>
      <c r="AW220" s="11" t="str">
        <f t="shared" si="24"/>
        <v>EN_WOF_64_c01_CHL</v>
      </c>
      <c r="AX220" s="11">
        <f t="shared" si="25"/>
        <v>2466</v>
      </c>
      <c r="AY220" s="11">
        <f t="shared" si="26"/>
        <v>2466</v>
      </c>
      <c r="AZ220" s="17">
        <v>3</v>
      </c>
      <c r="BA220">
        <f t="shared" si="27"/>
        <v>24.66</v>
      </c>
    </row>
    <row r="221" spans="2:53">
      <c r="B221" t="s">
        <v>26</v>
      </c>
      <c r="C221" t="s">
        <v>2855</v>
      </c>
      <c r="D221" t="s">
        <v>2856</v>
      </c>
      <c r="E221" t="s">
        <v>29</v>
      </c>
      <c r="F221" t="s">
        <v>30</v>
      </c>
      <c r="G221" t="s">
        <v>31</v>
      </c>
      <c r="J221" t="s">
        <v>2855</v>
      </c>
      <c r="K221" t="s">
        <v>1967</v>
      </c>
      <c r="L221" t="s">
        <v>2857</v>
      </c>
      <c r="M221" s="8">
        <v>23.80125</v>
      </c>
      <c r="N221">
        <v>0</v>
      </c>
      <c r="O221">
        <v>1827</v>
      </c>
      <c r="P221" s="9">
        <v>0.318619536789034</v>
      </c>
      <c r="Q221" t="s">
        <v>241</v>
      </c>
      <c r="T221" s="15" t="s">
        <v>112</v>
      </c>
      <c r="W221" s="16" t="str">
        <f t="shared" si="21"/>
        <v>EN_WON_32_c01_BLR</v>
      </c>
      <c r="X221" s="12">
        <f t="shared" si="22"/>
        <v>1827</v>
      </c>
      <c r="Y221" s="11">
        <f t="shared" si="23"/>
        <v>1827</v>
      </c>
      <c r="AC221" t="s">
        <v>26</v>
      </c>
      <c r="AD221" t="s">
        <v>2858</v>
      </c>
      <c r="AE221" t="s">
        <v>2859</v>
      </c>
      <c r="AF221" t="s">
        <v>29</v>
      </c>
      <c r="AG221" t="s">
        <v>30</v>
      </c>
      <c r="AH221" t="s">
        <v>31</v>
      </c>
      <c r="AK221" t="s">
        <v>2858</v>
      </c>
      <c r="AL221" t="s">
        <v>1967</v>
      </c>
      <c r="AM221" t="s">
        <v>2689</v>
      </c>
      <c r="AN221" s="8">
        <v>2.2845</v>
      </c>
      <c r="AO221">
        <v>199.694880401046</v>
      </c>
      <c r="AP221">
        <v>2466</v>
      </c>
      <c r="AQ221" s="9">
        <v>0.642</v>
      </c>
      <c r="AR221" t="s">
        <v>366</v>
      </c>
      <c r="AT221" s="15" t="s">
        <v>89</v>
      </c>
      <c r="AW221" s="11" t="str">
        <f t="shared" si="24"/>
        <v>EN_WOF_64_c02_CHL</v>
      </c>
      <c r="AX221" s="11">
        <f t="shared" si="25"/>
        <v>2466</v>
      </c>
      <c r="AY221" s="11">
        <f t="shared" si="26"/>
        <v>2466</v>
      </c>
      <c r="AZ221" s="17">
        <v>3</v>
      </c>
      <c r="BA221">
        <f t="shared" si="27"/>
        <v>24.66</v>
      </c>
    </row>
    <row r="222" spans="2:53">
      <c r="B222" t="s">
        <v>26</v>
      </c>
      <c r="C222" t="s">
        <v>2860</v>
      </c>
      <c r="D222" t="s">
        <v>2861</v>
      </c>
      <c r="E222" t="s">
        <v>29</v>
      </c>
      <c r="F222" t="s">
        <v>30</v>
      </c>
      <c r="G222" t="s">
        <v>31</v>
      </c>
      <c r="J222" t="s">
        <v>2860</v>
      </c>
      <c r="K222" t="s">
        <v>1967</v>
      </c>
      <c r="L222" t="s">
        <v>2857</v>
      </c>
      <c r="M222" s="8">
        <v>9.02625</v>
      </c>
      <c r="N222">
        <v>0</v>
      </c>
      <c r="O222">
        <v>1827</v>
      </c>
      <c r="P222" s="9">
        <v>0.327781387619443</v>
      </c>
      <c r="Q222" t="s">
        <v>241</v>
      </c>
      <c r="T222" s="15" t="s">
        <v>112</v>
      </c>
      <c r="W222" s="16" t="str">
        <f t="shared" si="21"/>
        <v>EN_WON_33_c01_BLR</v>
      </c>
      <c r="X222" s="12">
        <f t="shared" si="22"/>
        <v>1827</v>
      </c>
      <c r="Y222" s="11">
        <f t="shared" si="23"/>
        <v>1827</v>
      </c>
      <c r="AC222" t="s">
        <v>26</v>
      </c>
      <c r="AD222" t="s">
        <v>2862</v>
      </c>
      <c r="AE222" t="s">
        <v>2863</v>
      </c>
      <c r="AF222" t="s">
        <v>29</v>
      </c>
      <c r="AG222" t="s">
        <v>30</v>
      </c>
      <c r="AH222" t="s">
        <v>31</v>
      </c>
      <c r="AK222" t="s">
        <v>2862</v>
      </c>
      <c r="AL222" t="s">
        <v>1967</v>
      </c>
      <c r="AM222" t="s">
        <v>2689</v>
      </c>
      <c r="AN222" s="8">
        <v>8.56275</v>
      </c>
      <c r="AO222">
        <v>45.3852000911468</v>
      </c>
      <c r="AP222">
        <v>2466</v>
      </c>
      <c r="AQ222" s="9">
        <v>0.650422089865989</v>
      </c>
      <c r="AR222" t="s">
        <v>366</v>
      </c>
      <c r="AT222" s="15" t="s">
        <v>89</v>
      </c>
      <c r="AW222" s="11" t="str">
        <f t="shared" si="24"/>
        <v>EN_WOF_65_c01_CHL</v>
      </c>
      <c r="AX222" s="11">
        <f t="shared" si="25"/>
        <v>2466</v>
      </c>
      <c r="AY222" s="11">
        <f t="shared" si="26"/>
        <v>2466</v>
      </c>
      <c r="AZ222" s="17">
        <v>3</v>
      </c>
      <c r="BA222">
        <f t="shared" si="27"/>
        <v>24.66</v>
      </c>
    </row>
    <row r="223" spans="2:53">
      <c r="B223" t="s">
        <v>26</v>
      </c>
      <c r="C223" t="s">
        <v>2864</v>
      </c>
      <c r="D223" t="s">
        <v>2865</v>
      </c>
      <c r="E223" t="s">
        <v>29</v>
      </c>
      <c r="F223" t="s">
        <v>30</v>
      </c>
      <c r="G223" t="s">
        <v>31</v>
      </c>
      <c r="J223" t="s">
        <v>2864</v>
      </c>
      <c r="K223" t="s">
        <v>1967</v>
      </c>
      <c r="L223" t="s">
        <v>2857</v>
      </c>
      <c r="M223" s="8">
        <v>13.8915</v>
      </c>
      <c r="N223">
        <v>0</v>
      </c>
      <c r="O223">
        <v>1827</v>
      </c>
      <c r="P223" s="9">
        <v>0.337618831659648</v>
      </c>
      <c r="Q223" t="s">
        <v>241</v>
      </c>
      <c r="T223" s="15" t="s">
        <v>112</v>
      </c>
      <c r="W223" s="16" t="str">
        <f t="shared" si="21"/>
        <v>EN_WON_34_c01_BLR</v>
      </c>
      <c r="X223" s="12">
        <f t="shared" si="22"/>
        <v>1827</v>
      </c>
      <c r="Y223" s="11">
        <f t="shared" si="23"/>
        <v>1827</v>
      </c>
      <c r="AC223" t="s">
        <v>26</v>
      </c>
      <c r="AD223" t="s">
        <v>2866</v>
      </c>
      <c r="AE223" t="s">
        <v>2867</v>
      </c>
      <c r="AF223" t="s">
        <v>29</v>
      </c>
      <c r="AG223" t="s">
        <v>30</v>
      </c>
      <c r="AH223" t="s">
        <v>31</v>
      </c>
      <c r="AK223" t="s">
        <v>2866</v>
      </c>
      <c r="AL223" t="s">
        <v>1967</v>
      </c>
      <c r="AM223" t="s">
        <v>2689</v>
      </c>
      <c r="AN223" s="8">
        <v>15.9495</v>
      </c>
      <c r="AO223">
        <v>199.694880401046</v>
      </c>
      <c r="AP223">
        <v>2466</v>
      </c>
      <c r="AQ223" s="9">
        <v>0.651194206714944</v>
      </c>
      <c r="AR223" t="s">
        <v>366</v>
      </c>
      <c r="AT223" s="15" t="s">
        <v>89</v>
      </c>
      <c r="AW223" s="11" t="str">
        <f t="shared" si="24"/>
        <v>EN_WOF_65_c02_CHL</v>
      </c>
      <c r="AX223" s="11">
        <f t="shared" si="25"/>
        <v>2466</v>
      </c>
      <c r="AY223" s="11">
        <f t="shared" si="26"/>
        <v>2466</v>
      </c>
      <c r="AZ223" s="17">
        <v>3</v>
      </c>
      <c r="BA223">
        <f t="shared" si="27"/>
        <v>24.66</v>
      </c>
    </row>
    <row r="224" spans="2:53">
      <c r="B224" t="s">
        <v>26</v>
      </c>
      <c r="C224" t="s">
        <v>2868</v>
      </c>
      <c r="D224" t="s">
        <v>2869</v>
      </c>
      <c r="E224" t="s">
        <v>29</v>
      </c>
      <c r="F224" t="s">
        <v>30</v>
      </c>
      <c r="G224" t="s">
        <v>31</v>
      </c>
      <c r="J224" t="s">
        <v>2868</v>
      </c>
      <c r="K224" t="s">
        <v>1967</v>
      </c>
      <c r="L224" t="s">
        <v>2857</v>
      </c>
      <c r="M224" s="8">
        <v>3.1815</v>
      </c>
      <c r="N224">
        <v>0</v>
      </c>
      <c r="O224">
        <v>1827</v>
      </c>
      <c r="P224" s="9">
        <v>0.345</v>
      </c>
      <c r="Q224" t="s">
        <v>241</v>
      </c>
      <c r="T224" s="15" t="s">
        <v>112</v>
      </c>
      <c r="W224" s="16" t="str">
        <f t="shared" si="21"/>
        <v>EN_WON_35_c01_BLR</v>
      </c>
      <c r="X224" s="12">
        <f t="shared" si="22"/>
        <v>1827</v>
      </c>
      <c r="Y224" s="11">
        <f t="shared" si="23"/>
        <v>1827</v>
      </c>
      <c r="AC224" t="s">
        <v>26</v>
      </c>
      <c r="AD224" t="s">
        <v>2870</v>
      </c>
      <c r="AE224" t="s">
        <v>2871</v>
      </c>
      <c r="AF224" t="s">
        <v>29</v>
      </c>
      <c r="AG224" t="s">
        <v>30</v>
      </c>
      <c r="AH224" t="s">
        <v>31</v>
      </c>
      <c r="AK224" t="s">
        <v>2870</v>
      </c>
      <c r="AL224" t="s">
        <v>1967</v>
      </c>
      <c r="AM224" t="s">
        <v>2689</v>
      </c>
      <c r="AN224" s="8">
        <v>56.37375</v>
      </c>
      <c r="AO224">
        <v>45.3852000911468</v>
      </c>
      <c r="AP224">
        <v>2466</v>
      </c>
      <c r="AQ224" s="9">
        <v>0.659967937204816</v>
      </c>
      <c r="AR224" t="s">
        <v>366</v>
      </c>
      <c r="AT224" s="15" t="s">
        <v>89</v>
      </c>
      <c r="AW224" s="11" t="str">
        <f t="shared" si="24"/>
        <v>EN_WOF_66_c01_CHL</v>
      </c>
      <c r="AX224" s="11">
        <f t="shared" si="25"/>
        <v>2466</v>
      </c>
      <c r="AY224" s="11">
        <f t="shared" si="26"/>
        <v>2466</v>
      </c>
      <c r="AZ224" s="17">
        <v>3</v>
      </c>
      <c r="BA224">
        <f t="shared" si="27"/>
        <v>24.66</v>
      </c>
    </row>
    <row r="225" spans="2:53">
      <c r="B225" t="s">
        <v>26</v>
      </c>
      <c r="C225" t="s">
        <v>2872</v>
      </c>
      <c r="D225" t="s">
        <v>2873</v>
      </c>
      <c r="E225" t="s">
        <v>29</v>
      </c>
      <c r="F225" t="s">
        <v>30</v>
      </c>
      <c r="G225" t="s">
        <v>31</v>
      </c>
      <c r="J225" t="s">
        <v>2872</v>
      </c>
      <c r="K225" t="s">
        <v>1967</v>
      </c>
      <c r="L225" t="s">
        <v>2874</v>
      </c>
      <c r="M225" s="8">
        <v>1.9035</v>
      </c>
      <c r="N225">
        <v>80.7856561622413</v>
      </c>
      <c r="O225">
        <v>1575</v>
      </c>
      <c r="P225" s="9">
        <v>0.268</v>
      </c>
      <c r="Q225" t="s">
        <v>253</v>
      </c>
      <c r="T225" s="15" t="s">
        <v>89</v>
      </c>
      <c r="W225" s="16" t="str">
        <f t="shared" si="21"/>
        <v>EN_WON_27_c02_BOL</v>
      </c>
      <c r="X225" s="12">
        <f t="shared" si="22"/>
        <v>1575</v>
      </c>
      <c r="Y225" s="11">
        <f t="shared" si="23"/>
        <v>1575</v>
      </c>
      <c r="AC225" t="s">
        <v>26</v>
      </c>
      <c r="AD225" t="s">
        <v>2875</v>
      </c>
      <c r="AE225" t="s">
        <v>2876</v>
      </c>
      <c r="AF225" t="s">
        <v>29</v>
      </c>
      <c r="AG225" t="s">
        <v>30</v>
      </c>
      <c r="AH225" t="s">
        <v>31</v>
      </c>
      <c r="AK225" t="s">
        <v>2875</v>
      </c>
      <c r="AL225" t="s">
        <v>1967</v>
      </c>
      <c r="AM225" t="s">
        <v>2689</v>
      </c>
      <c r="AN225" s="8">
        <v>13.797</v>
      </c>
      <c r="AO225">
        <v>199.694880401046</v>
      </c>
      <c r="AP225">
        <v>2466</v>
      </c>
      <c r="AQ225" s="9">
        <v>0.65990296803653</v>
      </c>
      <c r="AR225" t="s">
        <v>366</v>
      </c>
      <c r="AT225" s="15" t="s">
        <v>89</v>
      </c>
      <c r="AW225" s="11" t="str">
        <f t="shared" si="24"/>
        <v>EN_WOF_66_c02_CHL</v>
      </c>
      <c r="AX225" s="11">
        <f t="shared" si="25"/>
        <v>2466</v>
      </c>
      <c r="AY225" s="11">
        <f t="shared" si="26"/>
        <v>2466</v>
      </c>
      <c r="AZ225" s="17">
        <v>3</v>
      </c>
      <c r="BA225">
        <f t="shared" si="27"/>
        <v>24.66</v>
      </c>
    </row>
    <row r="226" spans="2:53">
      <c r="B226" t="s">
        <v>26</v>
      </c>
      <c r="C226" t="s">
        <v>2877</v>
      </c>
      <c r="D226" t="s">
        <v>2878</v>
      </c>
      <c r="E226" t="s">
        <v>29</v>
      </c>
      <c r="F226" t="s">
        <v>30</v>
      </c>
      <c r="G226" t="s">
        <v>31</v>
      </c>
      <c r="J226" t="s">
        <v>2877</v>
      </c>
      <c r="K226" t="s">
        <v>1967</v>
      </c>
      <c r="L226" t="s">
        <v>2874</v>
      </c>
      <c r="M226" s="8">
        <v>0.81975</v>
      </c>
      <c r="N226">
        <v>105.747516212372</v>
      </c>
      <c r="O226">
        <v>1575</v>
      </c>
      <c r="P226" s="9">
        <v>0.27</v>
      </c>
      <c r="Q226" t="s">
        <v>253</v>
      </c>
      <c r="T226" s="15" t="s">
        <v>89</v>
      </c>
      <c r="W226" s="16" t="str">
        <f t="shared" si="21"/>
        <v>EN_WON_27_c03_BOL</v>
      </c>
      <c r="X226" s="12">
        <f t="shared" si="22"/>
        <v>1575</v>
      </c>
      <c r="Y226" s="11">
        <f t="shared" si="23"/>
        <v>1575</v>
      </c>
      <c r="AC226" t="s">
        <v>26</v>
      </c>
      <c r="AD226" t="s">
        <v>2879</v>
      </c>
      <c r="AE226" t="s">
        <v>2880</v>
      </c>
      <c r="AF226" t="s">
        <v>29</v>
      </c>
      <c r="AG226" t="s">
        <v>30</v>
      </c>
      <c r="AH226" t="s">
        <v>31</v>
      </c>
      <c r="AK226" t="s">
        <v>2879</v>
      </c>
      <c r="AL226" t="s">
        <v>1967</v>
      </c>
      <c r="AM226" t="s">
        <v>2689</v>
      </c>
      <c r="AN226" s="8">
        <v>35.94525</v>
      </c>
      <c r="AO226">
        <v>45.3852000911468</v>
      </c>
      <c r="AP226">
        <v>2466</v>
      </c>
      <c r="AQ226" s="9">
        <v>0.669503557493688</v>
      </c>
      <c r="AR226" t="s">
        <v>366</v>
      </c>
      <c r="AT226" s="15" t="s">
        <v>89</v>
      </c>
      <c r="AW226" s="11" t="str">
        <f t="shared" si="24"/>
        <v>EN_WOF_67_c01_CHL</v>
      </c>
      <c r="AX226" s="11">
        <f t="shared" si="25"/>
        <v>2466</v>
      </c>
      <c r="AY226" s="11">
        <f t="shared" si="26"/>
        <v>2466</v>
      </c>
      <c r="AZ226" s="17">
        <v>3</v>
      </c>
      <c r="BA226">
        <f t="shared" si="27"/>
        <v>24.66</v>
      </c>
    </row>
    <row r="227" spans="2:53">
      <c r="B227" t="s">
        <v>26</v>
      </c>
      <c r="C227" t="s">
        <v>2881</v>
      </c>
      <c r="D227" t="s">
        <v>2882</v>
      </c>
      <c r="E227" t="s">
        <v>29</v>
      </c>
      <c r="F227" t="s">
        <v>30</v>
      </c>
      <c r="G227" t="s">
        <v>31</v>
      </c>
      <c r="J227" t="s">
        <v>2881</v>
      </c>
      <c r="K227" t="s">
        <v>1967</v>
      </c>
      <c r="L227" t="s">
        <v>2874</v>
      </c>
      <c r="M227" s="8">
        <v>1.10175</v>
      </c>
      <c r="N227">
        <v>80.7856561622413</v>
      </c>
      <c r="O227">
        <v>1575</v>
      </c>
      <c r="P227" s="9">
        <v>0.282691626957114</v>
      </c>
      <c r="Q227" t="s">
        <v>253</v>
      </c>
      <c r="T227" s="15" t="s">
        <v>89</v>
      </c>
      <c r="W227" s="16" t="str">
        <f t="shared" si="21"/>
        <v>EN_WON_28_c02_BOL</v>
      </c>
      <c r="X227" s="12">
        <f t="shared" si="22"/>
        <v>1575</v>
      </c>
      <c r="Y227" s="11">
        <f t="shared" si="23"/>
        <v>1575</v>
      </c>
      <c r="AC227" t="s">
        <v>26</v>
      </c>
      <c r="AD227" t="s">
        <v>2883</v>
      </c>
      <c r="AE227" t="s">
        <v>2884</v>
      </c>
      <c r="AF227" t="s">
        <v>29</v>
      </c>
      <c r="AG227" t="s">
        <v>30</v>
      </c>
      <c r="AH227" t="s">
        <v>31</v>
      </c>
      <c r="AK227" t="s">
        <v>2883</v>
      </c>
      <c r="AL227" t="s">
        <v>1967</v>
      </c>
      <c r="AM227" t="s">
        <v>2689</v>
      </c>
      <c r="AN227" s="8">
        <v>42.45225</v>
      </c>
      <c r="AO227">
        <v>199.694880401046</v>
      </c>
      <c r="AP227">
        <v>2466</v>
      </c>
      <c r="AQ227" s="9">
        <v>0.669947723618889</v>
      </c>
      <c r="AR227" t="s">
        <v>366</v>
      </c>
      <c r="AT227" s="15" t="s">
        <v>89</v>
      </c>
      <c r="AW227" s="11" t="str">
        <f t="shared" si="24"/>
        <v>EN_WOF_67_c02_CHL</v>
      </c>
      <c r="AX227" s="11">
        <f t="shared" si="25"/>
        <v>2466</v>
      </c>
      <c r="AY227" s="11">
        <f t="shared" si="26"/>
        <v>2466</v>
      </c>
      <c r="AZ227" s="17">
        <v>3</v>
      </c>
      <c r="BA227">
        <f t="shared" si="27"/>
        <v>24.66</v>
      </c>
    </row>
    <row r="228" spans="2:53">
      <c r="B228" t="s">
        <v>26</v>
      </c>
      <c r="C228" t="s">
        <v>2885</v>
      </c>
      <c r="D228" t="s">
        <v>2886</v>
      </c>
      <c r="E228" t="s">
        <v>29</v>
      </c>
      <c r="F228" t="s">
        <v>30</v>
      </c>
      <c r="G228" t="s">
        <v>31</v>
      </c>
      <c r="J228" t="s">
        <v>2885</v>
      </c>
      <c r="K228" t="s">
        <v>1967</v>
      </c>
      <c r="L228" t="s">
        <v>2874</v>
      </c>
      <c r="M228" s="8">
        <v>1.647</v>
      </c>
      <c r="N228">
        <v>105.747516212372</v>
      </c>
      <c r="O228">
        <v>1575</v>
      </c>
      <c r="P228" s="9">
        <v>0.28</v>
      </c>
      <c r="Q228" t="s">
        <v>253</v>
      </c>
      <c r="T228" s="15" t="s">
        <v>89</v>
      </c>
      <c r="W228" s="16" t="str">
        <f t="shared" si="21"/>
        <v>EN_WON_28_c03_BOL</v>
      </c>
      <c r="X228" s="12">
        <f t="shared" si="22"/>
        <v>1575</v>
      </c>
      <c r="Y228" s="11">
        <f t="shared" si="23"/>
        <v>1575</v>
      </c>
      <c r="AC228" t="s">
        <v>26</v>
      </c>
      <c r="AD228" t="s">
        <v>2887</v>
      </c>
      <c r="AE228" t="s">
        <v>2888</v>
      </c>
      <c r="AF228" t="s">
        <v>29</v>
      </c>
      <c r="AG228" t="s">
        <v>30</v>
      </c>
      <c r="AH228" t="s">
        <v>31</v>
      </c>
      <c r="AK228" t="s">
        <v>2887</v>
      </c>
      <c r="AL228" t="s">
        <v>1967</v>
      </c>
      <c r="AM228" t="s">
        <v>2689</v>
      </c>
      <c r="AN228" s="8">
        <v>44.80875</v>
      </c>
      <c r="AO228">
        <v>45.3852000911468</v>
      </c>
      <c r="AP228">
        <v>2466</v>
      </c>
      <c r="AQ228" s="9">
        <v>0.679659954807934</v>
      </c>
      <c r="AR228" t="s">
        <v>366</v>
      </c>
      <c r="AT228" s="15" t="s">
        <v>89</v>
      </c>
      <c r="AW228" s="11" t="str">
        <f t="shared" si="24"/>
        <v>EN_WOF_68_c01_CHL</v>
      </c>
      <c r="AX228" s="11">
        <f t="shared" si="25"/>
        <v>2466</v>
      </c>
      <c r="AY228" s="11">
        <f t="shared" si="26"/>
        <v>2466</v>
      </c>
      <c r="AZ228" s="17">
        <v>3</v>
      </c>
      <c r="BA228">
        <f t="shared" si="27"/>
        <v>24.66</v>
      </c>
    </row>
    <row r="229" spans="2:53">
      <c r="B229" t="s">
        <v>26</v>
      </c>
      <c r="C229" t="s">
        <v>2889</v>
      </c>
      <c r="D229" t="s">
        <v>2890</v>
      </c>
      <c r="E229" t="s">
        <v>29</v>
      </c>
      <c r="F229" t="s">
        <v>30</v>
      </c>
      <c r="G229" t="s">
        <v>31</v>
      </c>
      <c r="J229" t="s">
        <v>2889</v>
      </c>
      <c r="K229" t="s">
        <v>1967</v>
      </c>
      <c r="L229" t="s">
        <v>2874</v>
      </c>
      <c r="M229" s="8">
        <v>0.40425</v>
      </c>
      <c r="N229">
        <v>0</v>
      </c>
      <c r="O229">
        <v>1575</v>
      </c>
      <c r="P229" s="9">
        <v>0.302846011131725</v>
      </c>
      <c r="Q229" t="s">
        <v>253</v>
      </c>
      <c r="T229" s="15" t="s">
        <v>89</v>
      </c>
      <c r="W229" s="16" t="str">
        <f t="shared" si="21"/>
        <v>EN_WON_30_c01_BOL</v>
      </c>
      <c r="X229" s="12">
        <f t="shared" si="22"/>
        <v>1575</v>
      </c>
      <c r="Y229" s="11">
        <f t="shared" si="23"/>
        <v>1575</v>
      </c>
      <c r="AC229" t="s">
        <v>26</v>
      </c>
      <c r="AD229" t="s">
        <v>2891</v>
      </c>
      <c r="AE229" t="s">
        <v>2892</v>
      </c>
      <c r="AF229" t="s">
        <v>29</v>
      </c>
      <c r="AG229" t="s">
        <v>30</v>
      </c>
      <c r="AH229" t="s">
        <v>31</v>
      </c>
      <c r="AK229" t="s">
        <v>2891</v>
      </c>
      <c r="AL229" t="s">
        <v>1967</v>
      </c>
      <c r="AM229" t="s">
        <v>2689</v>
      </c>
      <c r="AN229" s="8">
        <v>3.477</v>
      </c>
      <c r="AO229">
        <v>199.694880401046</v>
      </c>
      <c r="AP229">
        <v>2466</v>
      </c>
      <c r="AQ229" s="9">
        <v>0.676048748921484</v>
      </c>
      <c r="AR229" t="s">
        <v>366</v>
      </c>
      <c r="AT229" s="15" t="s">
        <v>89</v>
      </c>
      <c r="AW229" s="11" t="str">
        <f t="shared" si="24"/>
        <v>EN_WOF_68_c02_CHL</v>
      </c>
      <c r="AX229" s="11">
        <f t="shared" si="25"/>
        <v>2466</v>
      </c>
      <c r="AY229" s="11">
        <f t="shared" si="26"/>
        <v>2466</v>
      </c>
      <c r="AZ229" s="17">
        <v>3</v>
      </c>
      <c r="BA229">
        <f t="shared" si="27"/>
        <v>24.66</v>
      </c>
    </row>
    <row r="230" spans="2:53">
      <c r="B230" t="s">
        <v>26</v>
      </c>
      <c r="C230" t="s">
        <v>2893</v>
      </c>
      <c r="D230" t="s">
        <v>2894</v>
      </c>
      <c r="E230" t="s">
        <v>29</v>
      </c>
      <c r="F230" t="s">
        <v>30</v>
      </c>
      <c r="G230" t="s">
        <v>31</v>
      </c>
      <c r="J230" t="s">
        <v>2893</v>
      </c>
      <c r="K230" t="s">
        <v>1967</v>
      </c>
      <c r="L230" t="s">
        <v>2874</v>
      </c>
      <c r="M230" s="8">
        <v>3.963</v>
      </c>
      <c r="N230">
        <v>80.7856561622413</v>
      </c>
      <c r="O230">
        <v>1575</v>
      </c>
      <c r="P230" s="9">
        <v>0.295913701741105</v>
      </c>
      <c r="Q230" t="s">
        <v>253</v>
      </c>
      <c r="T230" s="15" t="s">
        <v>89</v>
      </c>
      <c r="W230" s="16" t="str">
        <f t="shared" si="21"/>
        <v>EN_WON_30_c02_BOL</v>
      </c>
      <c r="X230" s="12">
        <f t="shared" si="22"/>
        <v>1575</v>
      </c>
      <c r="Y230" s="11">
        <f t="shared" si="23"/>
        <v>1575</v>
      </c>
      <c r="AC230" t="s">
        <v>26</v>
      </c>
      <c r="AD230" t="s">
        <v>2895</v>
      </c>
      <c r="AE230" t="s">
        <v>2896</v>
      </c>
      <c r="AF230" t="s">
        <v>29</v>
      </c>
      <c r="AG230" t="s">
        <v>30</v>
      </c>
      <c r="AH230" t="s">
        <v>31</v>
      </c>
      <c r="AK230" t="s">
        <v>2895</v>
      </c>
      <c r="AL230" t="s">
        <v>1967</v>
      </c>
      <c r="AM230" t="s">
        <v>2897</v>
      </c>
      <c r="AN230" s="8">
        <v>2.14875</v>
      </c>
      <c r="AO230">
        <v>199.694880401046</v>
      </c>
      <c r="AP230">
        <v>1222</v>
      </c>
      <c r="AQ230" s="9">
        <v>0.303519022687609</v>
      </c>
      <c r="AR230" t="s">
        <v>386</v>
      </c>
      <c r="AT230" s="15" t="s">
        <v>290</v>
      </c>
      <c r="AW230" s="11" t="str">
        <f t="shared" si="24"/>
        <v>EN_WOF_30_c02_CHN</v>
      </c>
      <c r="AX230" s="11">
        <f t="shared" si="25"/>
        <v>1222</v>
      </c>
      <c r="AY230" s="11">
        <f t="shared" si="26"/>
        <v>1222</v>
      </c>
      <c r="AZ230" s="17">
        <v>3</v>
      </c>
      <c r="BA230">
        <f t="shared" si="27"/>
        <v>12.22</v>
      </c>
    </row>
    <row r="231" spans="2:53">
      <c r="B231" t="s">
        <v>26</v>
      </c>
      <c r="C231" t="s">
        <v>2898</v>
      </c>
      <c r="D231" t="s">
        <v>2899</v>
      </c>
      <c r="E231" t="s">
        <v>29</v>
      </c>
      <c r="F231" t="s">
        <v>30</v>
      </c>
      <c r="G231" t="s">
        <v>31</v>
      </c>
      <c r="J231" t="s">
        <v>2898</v>
      </c>
      <c r="K231" t="s">
        <v>1967</v>
      </c>
      <c r="L231" t="s">
        <v>2874</v>
      </c>
      <c r="M231" s="8">
        <v>3.6555</v>
      </c>
      <c r="N231">
        <v>105.747516212372</v>
      </c>
      <c r="O231">
        <v>1575</v>
      </c>
      <c r="P231" s="9">
        <v>0.297322938038572</v>
      </c>
      <c r="Q231" t="s">
        <v>253</v>
      </c>
      <c r="T231" s="15" t="s">
        <v>89</v>
      </c>
      <c r="W231" s="16" t="str">
        <f t="shared" si="21"/>
        <v>EN_WON_30_c03_BOL</v>
      </c>
      <c r="X231" s="12">
        <f t="shared" si="22"/>
        <v>1575</v>
      </c>
      <c r="Y231" s="11">
        <f t="shared" si="23"/>
        <v>1575</v>
      </c>
      <c r="AC231" t="s">
        <v>26</v>
      </c>
      <c r="AD231" t="s">
        <v>2900</v>
      </c>
      <c r="AE231" t="s">
        <v>2901</v>
      </c>
      <c r="AF231" t="s">
        <v>29</v>
      </c>
      <c r="AG231" t="s">
        <v>30</v>
      </c>
      <c r="AH231" t="s">
        <v>31</v>
      </c>
      <c r="AK231" t="s">
        <v>2900</v>
      </c>
      <c r="AL231" t="s">
        <v>1967</v>
      </c>
      <c r="AM231" t="s">
        <v>2897</v>
      </c>
      <c r="AN231" s="8">
        <v>7.5555</v>
      </c>
      <c r="AO231">
        <v>199.694880401046</v>
      </c>
      <c r="AP231">
        <v>1222</v>
      </c>
      <c r="AQ231" s="9">
        <v>0.309788366090927</v>
      </c>
      <c r="AR231" t="s">
        <v>386</v>
      </c>
      <c r="AT231" s="15" t="s">
        <v>290</v>
      </c>
      <c r="AW231" s="11" t="str">
        <f t="shared" si="24"/>
        <v>EN_WOF_31_c02_CHN</v>
      </c>
      <c r="AX231" s="11">
        <f t="shared" si="25"/>
        <v>1222</v>
      </c>
      <c r="AY231" s="11">
        <f t="shared" si="26"/>
        <v>1222</v>
      </c>
      <c r="AZ231" s="17">
        <v>3</v>
      </c>
      <c r="BA231">
        <f t="shared" si="27"/>
        <v>12.22</v>
      </c>
    </row>
    <row r="232" spans="2:53">
      <c r="B232" t="s">
        <v>26</v>
      </c>
      <c r="C232" t="s">
        <v>2902</v>
      </c>
      <c r="D232" t="s">
        <v>2903</v>
      </c>
      <c r="E232" t="s">
        <v>29</v>
      </c>
      <c r="F232" t="s">
        <v>30</v>
      </c>
      <c r="G232" t="s">
        <v>31</v>
      </c>
      <c r="J232" t="s">
        <v>2902</v>
      </c>
      <c r="K232" t="s">
        <v>1967</v>
      </c>
      <c r="L232" t="s">
        <v>2874</v>
      </c>
      <c r="M232" s="8">
        <v>0.78225</v>
      </c>
      <c r="N232">
        <v>0</v>
      </c>
      <c r="O232">
        <v>1575</v>
      </c>
      <c r="P232" s="9">
        <v>0.31189837008629</v>
      </c>
      <c r="Q232" t="s">
        <v>253</v>
      </c>
      <c r="T232" s="15" t="s">
        <v>89</v>
      </c>
      <c r="W232" s="16" t="str">
        <f t="shared" si="21"/>
        <v>EN_WON_31_c01_BOL</v>
      </c>
      <c r="X232" s="12">
        <f t="shared" si="22"/>
        <v>1575</v>
      </c>
      <c r="Y232" s="11">
        <f t="shared" si="23"/>
        <v>1575</v>
      </c>
      <c r="AC232" t="s">
        <v>26</v>
      </c>
      <c r="AD232" t="s">
        <v>2904</v>
      </c>
      <c r="AE232" t="s">
        <v>2905</v>
      </c>
      <c r="AF232" t="s">
        <v>29</v>
      </c>
      <c r="AG232" t="s">
        <v>30</v>
      </c>
      <c r="AH232" t="s">
        <v>31</v>
      </c>
      <c r="AK232" t="s">
        <v>2904</v>
      </c>
      <c r="AL232" t="s">
        <v>1967</v>
      </c>
      <c r="AM232" t="s">
        <v>2897</v>
      </c>
      <c r="AN232" s="8">
        <v>6.29775</v>
      </c>
      <c r="AO232">
        <v>199.694880401046</v>
      </c>
      <c r="AP232">
        <v>1222</v>
      </c>
      <c r="AQ232" s="9">
        <v>0.3197799214005</v>
      </c>
      <c r="AR232" t="s">
        <v>386</v>
      </c>
      <c r="AT232" s="15" t="s">
        <v>290</v>
      </c>
      <c r="AW232" s="11" t="str">
        <f t="shared" si="24"/>
        <v>EN_WOF_32_c02_CHN</v>
      </c>
      <c r="AX232" s="11">
        <f t="shared" si="25"/>
        <v>1222</v>
      </c>
      <c r="AY232" s="11">
        <f t="shared" si="26"/>
        <v>1222</v>
      </c>
      <c r="AZ232" s="17">
        <v>3</v>
      </c>
      <c r="BA232">
        <f t="shared" si="27"/>
        <v>12.22</v>
      </c>
    </row>
    <row r="233" spans="2:53">
      <c r="B233" t="s">
        <v>26</v>
      </c>
      <c r="C233" t="s">
        <v>2906</v>
      </c>
      <c r="D233" t="s">
        <v>2907</v>
      </c>
      <c r="E233" t="s">
        <v>29</v>
      </c>
      <c r="F233" t="s">
        <v>30</v>
      </c>
      <c r="G233" t="s">
        <v>31</v>
      </c>
      <c r="J233" t="s">
        <v>2906</v>
      </c>
      <c r="K233" t="s">
        <v>1967</v>
      </c>
      <c r="L233" t="s">
        <v>2874</v>
      </c>
      <c r="M233" s="8">
        <v>3.11925</v>
      </c>
      <c r="N233">
        <v>80.7856561622413</v>
      </c>
      <c r="O233">
        <v>1575</v>
      </c>
      <c r="P233" s="9">
        <v>0.309</v>
      </c>
      <c r="Q233" t="s">
        <v>253</v>
      </c>
      <c r="T233" s="15" t="s">
        <v>89</v>
      </c>
      <c r="W233" s="16" t="str">
        <f t="shared" si="21"/>
        <v>EN_WON_31_c02_BOL</v>
      </c>
      <c r="X233" s="12">
        <f t="shared" si="22"/>
        <v>1575</v>
      </c>
      <c r="Y233" s="11">
        <f t="shared" si="23"/>
        <v>1575</v>
      </c>
      <c r="AC233" t="s">
        <v>26</v>
      </c>
      <c r="AD233" t="s">
        <v>2908</v>
      </c>
      <c r="AE233" t="s">
        <v>2909</v>
      </c>
      <c r="AF233" t="s">
        <v>29</v>
      </c>
      <c r="AG233" t="s">
        <v>30</v>
      </c>
      <c r="AH233" t="s">
        <v>31</v>
      </c>
      <c r="AK233" t="s">
        <v>2908</v>
      </c>
      <c r="AL233" t="s">
        <v>1967</v>
      </c>
      <c r="AM233" t="s">
        <v>2897</v>
      </c>
      <c r="AN233" s="8">
        <v>122.99175</v>
      </c>
      <c r="AO233">
        <v>199.694880401046</v>
      </c>
      <c r="AP233">
        <v>1222</v>
      </c>
      <c r="AQ233" s="9">
        <v>0.328681210325083</v>
      </c>
      <c r="AR233" t="s">
        <v>386</v>
      </c>
      <c r="AT233" s="15" t="s">
        <v>290</v>
      </c>
      <c r="AW233" s="11" t="str">
        <f t="shared" si="24"/>
        <v>EN_WOF_33_c02_CHN</v>
      </c>
      <c r="AX233" s="11">
        <f t="shared" si="25"/>
        <v>1222</v>
      </c>
      <c r="AY233" s="11">
        <f t="shared" si="26"/>
        <v>1222</v>
      </c>
      <c r="AZ233" s="17">
        <v>3</v>
      </c>
      <c r="BA233">
        <f t="shared" si="27"/>
        <v>12.22</v>
      </c>
    </row>
    <row r="234" spans="2:53">
      <c r="B234" t="s">
        <v>26</v>
      </c>
      <c r="C234" t="s">
        <v>2910</v>
      </c>
      <c r="D234" t="s">
        <v>2911</v>
      </c>
      <c r="E234" t="s">
        <v>29</v>
      </c>
      <c r="F234" t="s">
        <v>30</v>
      </c>
      <c r="G234" t="s">
        <v>31</v>
      </c>
      <c r="J234" t="s">
        <v>2910</v>
      </c>
      <c r="K234" t="s">
        <v>1967</v>
      </c>
      <c r="L234" t="s">
        <v>2874</v>
      </c>
      <c r="M234" s="8">
        <v>6.4515</v>
      </c>
      <c r="N234">
        <v>105.747516212372</v>
      </c>
      <c r="O234">
        <v>1575</v>
      </c>
      <c r="P234" s="9">
        <v>0.31167449430365</v>
      </c>
      <c r="Q234" t="s">
        <v>253</v>
      </c>
      <c r="T234" s="15" t="s">
        <v>89</v>
      </c>
      <c r="W234" s="16" t="str">
        <f t="shared" si="21"/>
        <v>EN_WON_31_c03_BOL</v>
      </c>
      <c r="X234" s="12">
        <f t="shared" si="22"/>
        <v>1575</v>
      </c>
      <c r="Y234" s="11">
        <f t="shared" si="23"/>
        <v>1575</v>
      </c>
      <c r="AC234" t="s">
        <v>26</v>
      </c>
      <c r="AD234" t="s">
        <v>2912</v>
      </c>
      <c r="AE234" t="s">
        <v>2913</v>
      </c>
      <c r="AF234" t="s">
        <v>29</v>
      </c>
      <c r="AG234" t="s">
        <v>30</v>
      </c>
      <c r="AH234" t="s">
        <v>31</v>
      </c>
      <c r="AK234" t="s">
        <v>2912</v>
      </c>
      <c r="AL234" t="s">
        <v>1967</v>
      </c>
      <c r="AM234" t="s">
        <v>2897</v>
      </c>
      <c r="AN234" s="8">
        <v>41.81475</v>
      </c>
      <c r="AO234">
        <v>199.694880401046</v>
      </c>
      <c r="AP234">
        <v>1222</v>
      </c>
      <c r="AQ234" s="9">
        <v>0.338810808386993</v>
      </c>
      <c r="AR234" t="s">
        <v>386</v>
      </c>
      <c r="AT234" s="15" t="s">
        <v>290</v>
      </c>
      <c r="AW234" s="11" t="str">
        <f t="shared" si="24"/>
        <v>EN_WOF_34_c02_CHN</v>
      </c>
      <c r="AX234" s="11">
        <f t="shared" si="25"/>
        <v>1222</v>
      </c>
      <c r="AY234" s="11">
        <f t="shared" si="26"/>
        <v>1222</v>
      </c>
      <c r="AZ234" s="17">
        <v>3</v>
      </c>
      <c r="BA234">
        <f t="shared" si="27"/>
        <v>12.22</v>
      </c>
    </row>
    <row r="235" spans="2:53">
      <c r="B235" t="s">
        <v>26</v>
      </c>
      <c r="C235" t="s">
        <v>2914</v>
      </c>
      <c r="D235" t="s">
        <v>2915</v>
      </c>
      <c r="E235" t="s">
        <v>29</v>
      </c>
      <c r="F235" t="s">
        <v>30</v>
      </c>
      <c r="G235" t="s">
        <v>31</v>
      </c>
      <c r="J235" t="s">
        <v>2914</v>
      </c>
      <c r="K235" t="s">
        <v>1967</v>
      </c>
      <c r="L235" t="s">
        <v>2874</v>
      </c>
      <c r="M235" s="8">
        <v>2.84325</v>
      </c>
      <c r="N235">
        <v>80.7856561622413</v>
      </c>
      <c r="O235">
        <v>1575</v>
      </c>
      <c r="P235" s="9">
        <v>0.318</v>
      </c>
      <c r="Q235" t="s">
        <v>253</v>
      </c>
      <c r="T235" s="15" t="s">
        <v>89</v>
      </c>
      <c r="W235" s="16" t="str">
        <f t="shared" si="21"/>
        <v>EN_WON_32_c02_BOL</v>
      </c>
      <c r="X235" s="12">
        <f t="shared" si="22"/>
        <v>1575</v>
      </c>
      <c r="Y235" s="11">
        <f t="shared" si="23"/>
        <v>1575</v>
      </c>
      <c r="AC235" t="s">
        <v>26</v>
      </c>
      <c r="AD235" t="s">
        <v>2916</v>
      </c>
      <c r="AE235" t="s">
        <v>2917</v>
      </c>
      <c r="AF235" t="s">
        <v>29</v>
      </c>
      <c r="AG235" t="s">
        <v>30</v>
      </c>
      <c r="AH235" t="s">
        <v>31</v>
      </c>
      <c r="AK235" t="s">
        <v>2916</v>
      </c>
      <c r="AL235" t="s">
        <v>1967</v>
      </c>
      <c r="AM235" t="s">
        <v>2897</v>
      </c>
      <c r="AN235" s="8">
        <v>57.69525</v>
      </c>
      <c r="AO235">
        <v>199.694880401046</v>
      </c>
      <c r="AP235">
        <v>1222</v>
      </c>
      <c r="AQ235" s="9">
        <v>0.349155810053687</v>
      </c>
      <c r="AR235" t="s">
        <v>386</v>
      </c>
      <c r="AT235" s="15" t="s">
        <v>290</v>
      </c>
      <c r="AW235" s="11" t="str">
        <f t="shared" si="24"/>
        <v>EN_WOF_35_c02_CHN</v>
      </c>
      <c r="AX235" s="11">
        <f t="shared" si="25"/>
        <v>1222</v>
      </c>
      <c r="AY235" s="11">
        <f t="shared" si="26"/>
        <v>1222</v>
      </c>
      <c r="AZ235" s="17">
        <v>3</v>
      </c>
      <c r="BA235">
        <f t="shared" si="27"/>
        <v>12.22</v>
      </c>
    </row>
    <row r="236" spans="2:53">
      <c r="B236" t="s">
        <v>26</v>
      </c>
      <c r="C236" t="s">
        <v>2918</v>
      </c>
      <c r="D236" t="s">
        <v>2919</v>
      </c>
      <c r="E236" t="s">
        <v>29</v>
      </c>
      <c r="F236" t="s">
        <v>30</v>
      </c>
      <c r="G236" t="s">
        <v>31</v>
      </c>
      <c r="J236" t="s">
        <v>2918</v>
      </c>
      <c r="K236" t="s">
        <v>1967</v>
      </c>
      <c r="L236" t="s">
        <v>2874</v>
      </c>
      <c r="M236" s="8">
        <v>3.9375</v>
      </c>
      <c r="N236">
        <v>80.7856561622413</v>
      </c>
      <c r="O236">
        <v>1575</v>
      </c>
      <c r="P236" s="9">
        <v>0.332429714285714</v>
      </c>
      <c r="Q236" t="s">
        <v>253</v>
      </c>
      <c r="T236" s="15" t="s">
        <v>89</v>
      </c>
      <c r="W236" s="16" t="str">
        <f t="shared" si="21"/>
        <v>EN_WON_33_c02_BOL</v>
      </c>
      <c r="X236" s="12">
        <f t="shared" si="22"/>
        <v>1575</v>
      </c>
      <c r="Y236" s="11">
        <f t="shared" si="23"/>
        <v>1575</v>
      </c>
      <c r="AC236" t="s">
        <v>26</v>
      </c>
      <c r="AD236" t="s">
        <v>2920</v>
      </c>
      <c r="AE236" t="s">
        <v>2921</v>
      </c>
      <c r="AF236" t="s">
        <v>29</v>
      </c>
      <c r="AG236" t="s">
        <v>30</v>
      </c>
      <c r="AH236" t="s">
        <v>31</v>
      </c>
      <c r="AK236" t="s">
        <v>2920</v>
      </c>
      <c r="AL236" t="s">
        <v>1967</v>
      </c>
      <c r="AM236" t="s">
        <v>2897</v>
      </c>
      <c r="AN236" s="8">
        <v>73.995</v>
      </c>
      <c r="AO236">
        <v>199.694880401046</v>
      </c>
      <c r="AP236">
        <v>1222</v>
      </c>
      <c r="AQ236" s="9">
        <v>0.359532535982161</v>
      </c>
      <c r="AR236" t="s">
        <v>386</v>
      </c>
      <c r="AT236" s="15" t="s">
        <v>290</v>
      </c>
      <c r="AW236" s="11" t="str">
        <f t="shared" si="24"/>
        <v>EN_WOF_36_c02_CHN</v>
      </c>
      <c r="AX236" s="11">
        <f t="shared" si="25"/>
        <v>1222</v>
      </c>
      <c r="AY236" s="11">
        <f t="shared" si="26"/>
        <v>1222</v>
      </c>
      <c r="AZ236" s="17">
        <v>3</v>
      </c>
      <c r="BA236">
        <f t="shared" si="27"/>
        <v>12.22</v>
      </c>
    </row>
    <row r="237" spans="2:53">
      <c r="B237" t="s">
        <v>26</v>
      </c>
      <c r="C237" t="s">
        <v>2922</v>
      </c>
      <c r="D237" t="s">
        <v>2923</v>
      </c>
      <c r="E237" t="s">
        <v>29</v>
      </c>
      <c r="F237" t="s">
        <v>30</v>
      </c>
      <c r="G237" t="s">
        <v>31</v>
      </c>
      <c r="J237" t="s">
        <v>2922</v>
      </c>
      <c r="K237" t="s">
        <v>1967</v>
      </c>
      <c r="L237" t="s">
        <v>2874</v>
      </c>
      <c r="M237" s="8">
        <v>2.835</v>
      </c>
      <c r="N237">
        <v>0</v>
      </c>
      <c r="O237">
        <v>1575</v>
      </c>
      <c r="P237" s="9">
        <v>0.343</v>
      </c>
      <c r="Q237" t="s">
        <v>253</v>
      </c>
      <c r="T237" s="15" t="s">
        <v>89</v>
      </c>
      <c r="W237" s="16" t="str">
        <f t="shared" si="21"/>
        <v>EN_WON_34_c01_BOL</v>
      </c>
      <c r="X237" s="12">
        <f t="shared" si="22"/>
        <v>1575</v>
      </c>
      <c r="Y237" s="11">
        <f t="shared" si="23"/>
        <v>1575</v>
      </c>
      <c r="AC237" t="s">
        <v>26</v>
      </c>
      <c r="AD237" t="s">
        <v>2924</v>
      </c>
      <c r="AE237" t="s">
        <v>2925</v>
      </c>
      <c r="AF237" t="s">
        <v>29</v>
      </c>
      <c r="AG237" t="s">
        <v>30</v>
      </c>
      <c r="AH237" t="s">
        <v>31</v>
      </c>
      <c r="AK237" t="s">
        <v>2924</v>
      </c>
      <c r="AL237" t="s">
        <v>1967</v>
      </c>
      <c r="AM237" t="s">
        <v>2897</v>
      </c>
      <c r="AN237" s="8">
        <v>29.93325</v>
      </c>
      <c r="AO237">
        <v>199.694880401046</v>
      </c>
      <c r="AP237">
        <v>1222</v>
      </c>
      <c r="AQ237" s="9">
        <v>0.371210418180452</v>
      </c>
      <c r="AR237" t="s">
        <v>386</v>
      </c>
      <c r="AT237" s="15" t="s">
        <v>290</v>
      </c>
      <c r="AW237" s="11" t="str">
        <f t="shared" si="24"/>
        <v>EN_WOF_37_c02_CHN</v>
      </c>
      <c r="AX237" s="11">
        <f t="shared" si="25"/>
        <v>1222</v>
      </c>
      <c r="AY237" s="11">
        <f t="shared" si="26"/>
        <v>1222</v>
      </c>
      <c r="AZ237" s="17">
        <v>3</v>
      </c>
      <c r="BA237">
        <f t="shared" si="27"/>
        <v>12.22</v>
      </c>
    </row>
    <row r="238" spans="2:53">
      <c r="B238" t="s">
        <v>26</v>
      </c>
      <c r="C238" t="s">
        <v>2926</v>
      </c>
      <c r="D238" t="s">
        <v>2927</v>
      </c>
      <c r="E238" t="s">
        <v>29</v>
      </c>
      <c r="F238" t="s">
        <v>30</v>
      </c>
      <c r="G238" t="s">
        <v>31</v>
      </c>
      <c r="J238" t="s">
        <v>2926</v>
      </c>
      <c r="K238" t="s">
        <v>1967</v>
      </c>
      <c r="L238" t="s">
        <v>2874</v>
      </c>
      <c r="M238" s="8">
        <v>0.81675</v>
      </c>
      <c r="N238">
        <v>0</v>
      </c>
      <c r="O238">
        <v>1575</v>
      </c>
      <c r="P238" s="9">
        <v>0.348454545454545</v>
      </c>
      <c r="Q238" t="s">
        <v>253</v>
      </c>
      <c r="T238" s="15" t="s">
        <v>89</v>
      </c>
      <c r="W238" s="16" t="str">
        <f t="shared" si="21"/>
        <v>EN_WON_35_c01_BOL</v>
      </c>
      <c r="X238" s="12">
        <f t="shared" si="22"/>
        <v>1575</v>
      </c>
      <c r="Y238" s="11">
        <f t="shared" si="23"/>
        <v>1575</v>
      </c>
      <c r="AC238" t="s">
        <v>26</v>
      </c>
      <c r="AD238" t="s">
        <v>2928</v>
      </c>
      <c r="AE238" t="s">
        <v>2929</v>
      </c>
      <c r="AF238" t="s">
        <v>29</v>
      </c>
      <c r="AG238" t="s">
        <v>30</v>
      </c>
      <c r="AH238" t="s">
        <v>31</v>
      </c>
      <c r="AK238" t="s">
        <v>2928</v>
      </c>
      <c r="AL238" t="s">
        <v>1967</v>
      </c>
      <c r="AM238" t="s">
        <v>2897</v>
      </c>
      <c r="AN238" s="8">
        <v>29.86875</v>
      </c>
      <c r="AO238">
        <v>199.694880401046</v>
      </c>
      <c r="AP238">
        <v>1222</v>
      </c>
      <c r="AQ238" s="9">
        <v>0.380221468926554</v>
      </c>
      <c r="AR238" t="s">
        <v>386</v>
      </c>
      <c r="AT238" s="15" t="s">
        <v>290</v>
      </c>
      <c r="AW238" s="11" t="str">
        <f t="shared" si="24"/>
        <v>EN_WOF_38_c02_CHN</v>
      </c>
      <c r="AX238" s="11">
        <f t="shared" si="25"/>
        <v>1222</v>
      </c>
      <c r="AY238" s="11">
        <f t="shared" si="26"/>
        <v>1222</v>
      </c>
      <c r="AZ238" s="17">
        <v>3</v>
      </c>
      <c r="BA238">
        <f t="shared" si="27"/>
        <v>12.22</v>
      </c>
    </row>
    <row r="239" spans="2:53">
      <c r="B239" t="s">
        <v>26</v>
      </c>
      <c r="C239" t="s">
        <v>2930</v>
      </c>
      <c r="D239" t="s">
        <v>2931</v>
      </c>
      <c r="E239" t="s">
        <v>29</v>
      </c>
      <c r="F239" t="s">
        <v>30</v>
      </c>
      <c r="G239" t="s">
        <v>31</v>
      </c>
      <c r="J239" t="s">
        <v>2930</v>
      </c>
      <c r="K239" t="s">
        <v>1967</v>
      </c>
      <c r="L239" t="s">
        <v>2874</v>
      </c>
      <c r="M239" s="8">
        <v>0.33675</v>
      </c>
      <c r="N239">
        <v>0</v>
      </c>
      <c r="O239">
        <v>1575</v>
      </c>
      <c r="P239" s="9">
        <v>0.359879732739421</v>
      </c>
      <c r="Q239" t="s">
        <v>253</v>
      </c>
      <c r="T239" s="15" t="s">
        <v>89</v>
      </c>
      <c r="W239" s="16" t="str">
        <f t="shared" si="21"/>
        <v>EN_WON_36_c01_BOL</v>
      </c>
      <c r="X239" s="12">
        <f t="shared" si="22"/>
        <v>1575</v>
      </c>
      <c r="Y239" s="11">
        <f t="shared" si="23"/>
        <v>1575</v>
      </c>
      <c r="AC239" t="s">
        <v>26</v>
      </c>
      <c r="AD239" t="s">
        <v>2932</v>
      </c>
      <c r="AE239" t="s">
        <v>2933</v>
      </c>
      <c r="AF239" t="s">
        <v>29</v>
      </c>
      <c r="AG239" t="s">
        <v>30</v>
      </c>
      <c r="AH239" t="s">
        <v>31</v>
      </c>
      <c r="AK239" t="s">
        <v>2932</v>
      </c>
      <c r="AL239" t="s">
        <v>1967</v>
      </c>
      <c r="AM239" t="s">
        <v>2897</v>
      </c>
      <c r="AN239" s="8">
        <v>47.24925</v>
      </c>
      <c r="AO239">
        <v>199.694880401046</v>
      </c>
      <c r="AP239">
        <v>1222</v>
      </c>
      <c r="AQ239" s="9">
        <v>0.389510071588438</v>
      </c>
      <c r="AR239" t="s">
        <v>386</v>
      </c>
      <c r="AT239" s="15" t="s">
        <v>290</v>
      </c>
      <c r="AW239" s="11" t="str">
        <f t="shared" si="24"/>
        <v>EN_WOF_39_c02_CHN</v>
      </c>
      <c r="AX239" s="11">
        <f t="shared" si="25"/>
        <v>1222</v>
      </c>
      <c r="AY239" s="11">
        <f t="shared" si="26"/>
        <v>1222</v>
      </c>
      <c r="AZ239" s="17">
        <v>3</v>
      </c>
      <c r="BA239">
        <f t="shared" si="27"/>
        <v>12.22</v>
      </c>
    </row>
    <row r="240" spans="2:53">
      <c r="B240" t="s">
        <v>26</v>
      </c>
      <c r="C240" t="s">
        <v>2934</v>
      </c>
      <c r="D240" t="s">
        <v>2935</v>
      </c>
      <c r="E240" t="s">
        <v>29</v>
      </c>
      <c r="F240" t="s">
        <v>30</v>
      </c>
      <c r="G240" t="s">
        <v>31</v>
      </c>
      <c r="J240" t="s">
        <v>2934</v>
      </c>
      <c r="K240" t="s">
        <v>1967</v>
      </c>
      <c r="L240" t="s">
        <v>2874</v>
      </c>
      <c r="M240" s="8">
        <v>0.22875</v>
      </c>
      <c r="N240">
        <v>0</v>
      </c>
      <c r="O240">
        <v>1575</v>
      </c>
      <c r="P240" s="9">
        <v>0.372</v>
      </c>
      <c r="Q240" t="s">
        <v>253</v>
      </c>
      <c r="T240" s="15" t="s">
        <v>89</v>
      </c>
      <c r="W240" s="16" t="str">
        <f t="shared" si="21"/>
        <v>EN_WON_37_c01_BOL</v>
      </c>
      <c r="X240" s="12">
        <f t="shared" si="22"/>
        <v>1575</v>
      </c>
      <c r="Y240" s="11">
        <f t="shared" si="23"/>
        <v>1575</v>
      </c>
      <c r="AC240" t="s">
        <v>26</v>
      </c>
      <c r="AD240" t="s">
        <v>2936</v>
      </c>
      <c r="AE240" t="s">
        <v>2937</v>
      </c>
      <c r="AF240" t="s">
        <v>29</v>
      </c>
      <c r="AG240" t="s">
        <v>30</v>
      </c>
      <c r="AH240" t="s">
        <v>31</v>
      </c>
      <c r="AK240" t="s">
        <v>2936</v>
      </c>
      <c r="AL240" t="s">
        <v>1967</v>
      </c>
      <c r="AM240" t="s">
        <v>2897</v>
      </c>
      <c r="AN240" s="8">
        <v>125.01975</v>
      </c>
      <c r="AO240">
        <v>199.694880401046</v>
      </c>
      <c r="AP240">
        <v>1222</v>
      </c>
      <c r="AQ240" s="9">
        <v>0.400046570641839</v>
      </c>
      <c r="AR240" t="s">
        <v>386</v>
      </c>
      <c r="AT240" s="15" t="s">
        <v>290</v>
      </c>
      <c r="AW240" s="11" t="str">
        <f t="shared" si="24"/>
        <v>EN_WOF_40_c02_CHN</v>
      </c>
      <c r="AX240" s="11">
        <f t="shared" si="25"/>
        <v>1222</v>
      </c>
      <c r="AY240" s="11">
        <f t="shared" si="26"/>
        <v>1222</v>
      </c>
      <c r="AZ240" s="17">
        <v>3</v>
      </c>
      <c r="BA240">
        <f t="shared" si="27"/>
        <v>12.22</v>
      </c>
    </row>
    <row r="241" spans="2:53">
      <c r="B241" t="s">
        <v>26</v>
      </c>
      <c r="C241" t="s">
        <v>2938</v>
      </c>
      <c r="D241" t="s">
        <v>2939</v>
      </c>
      <c r="E241" t="s">
        <v>29</v>
      </c>
      <c r="F241" t="s">
        <v>30</v>
      </c>
      <c r="G241" t="s">
        <v>31</v>
      </c>
      <c r="J241" t="s">
        <v>2938</v>
      </c>
      <c r="K241" t="s">
        <v>1967</v>
      </c>
      <c r="L241" t="s">
        <v>2874</v>
      </c>
      <c r="M241" s="8">
        <v>0.18075</v>
      </c>
      <c r="N241">
        <v>0</v>
      </c>
      <c r="O241">
        <v>1575</v>
      </c>
      <c r="P241" s="9">
        <v>0.41</v>
      </c>
      <c r="Q241" t="s">
        <v>253</v>
      </c>
      <c r="T241" s="15" t="s">
        <v>89</v>
      </c>
      <c r="W241" s="16" t="str">
        <f t="shared" si="21"/>
        <v>EN_WON_41_c01_BOL</v>
      </c>
      <c r="X241" s="12">
        <f t="shared" si="22"/>
        <v>1575</v>
      </c>
      <c r="Y241" s="11">
        <f t="shared" si="23"/>
        <v>1575</v>
      </c>
      <c r="AC241" t="s">
        <v>26</v>
      </c>
      <c r="AD241" t="s">
        <v>2940</v>
      </c>
      <c r="AE241" t="s">
        <v>2941</v>
      </c>
      <c r="AF241" t="s">
        <v>29</v>
      </c>
      <c r="AG241" t="s">
        <v>30</v>
      </c>
      <c r="AH241" t="s">
        <v>31</v>
      </c>
      <c r="AK241" t="s">
        <v>2940</v>
      </c>
      <c r="AL241" t="s">
        <v>1967</v>
      </c>
      <c r="AM241" t="s">
        <v>2897</v>
      </c>
      <c r="AN241" s="8">
        <v>135.62775</v>
      </c>
      <c r="AO241">
        <v>199.694880401046</v>
      </c>
      <c r="AP241">
        <v>1222</v>
      </c>
      <c r="AQ241" s="9">
        <v>0.408443714505328</v>
      </c>
      <c r="AR241" t="s">
        <v>386</v>
      </c>
      <c r="AT241" s="15" t="s">
        <v>290</v>
      </c>
      <c r="AW241" s="11" t="str">
        <f t="shared" si="24"/>
        <v>EN_WOF_41_c02_CHN</v>
      </c>
      <c r="AX241" s="11">
        <f t="shared" si="25"/>
        <v>1222</v>
      </c>
      <c r="AY241" s="11">
        <f t="shared" si="26"/>
        <v>1222</v>
      </c>
      <c r="AZ241" s="17">
        <v>3</v>
      </c>
      <c r="BA241">
        <f t="shared" si="27"/>
        <v>12.22</v>
      </c>
    </row>
    <row r="242" spans="2:53">
      <c r="B242" t="s">
        <v>26</v>
      </c>
      <c r="C242" t="s">
        <v>2942</v>
      </c>
      <c r="D242" t="s">
        <v>2943</v>
      </c>
      <c r="E242" t="s">
        <v>29</v>
      </c>
      <c r="F242" t="s">
        <v>30</v>
      </c>
      <c r="G242" t="s">
        <v>31</v>
      </c>
      <c r="J242" t="s">
        <v>2942</v>
      </c>
      <c r="K242" t="s">
        <v>1967</v>
      </c>
      <c r="L242" t="s">
        <v>2322</v>
      </c>
      <c r="M242" s="8">
        <v>2.45025</v>
      </c>
      <c r="N242">
        <v>80.7856561622413</v>
      </c>
      <c r="O242">
        <v>1558</v>
      </c>
      <c r="P242" s="9">
        <v>0.153678604224059</v>
      </c>
      <c r="Q242" t="s">
        <v>265</v>
      </c>
      <c r="T242" s="15" t="s">
        <v>89</v>
      </c>
      <c r="W242" s="16" t="str">
        <f t="shared" si="21"/>
        <v>EN_WON_15_c02_BRA</v>
      </c>
      <c r="X242" s="12">
        <f t="shared" si="22"/>
        <v>1558</v>
      </c>
      <c r="Y242" s="11">
        <f t="shared" si="23"/>
        <v>1558</v>
      </c>
      <c r="AC242" t="s">
        <v>26</v>
      </c>
      <c r="AD242" t="s">
        <v>2944</v>
      </c>
      <c r="AE242" t="s">
        <v>2945</v>
      </c>
      <c r="AF242" t="s">
        <v>29</v>
      </c>
      <c r="AG242" t="s">
        <v>30</v>
      </c>
      <c r="AH242" t="s">
        <v>31</v>
      </c>
      <c r="AK242" t="s">
        <v>2944</v>
      </c>
      <c r="AL242" t="s">
        <v>1967</v>
      </c>
      <c r="AM242" t="s">
        <v>2897</v>
      </c>
      <c r="AN242" s="8">
        <v>65.61675</v>
      </c>
      <c r="AO242">
        <v>199.694880401046</v>
      </c>
      <c r="AP242">
        <v>1222</v>
      </c>
      <c r="AQ242" s="9">
        <v>0.418807107179188</v>
      </c>
      <c r="AR242" t="s">
        <v>386</v>
      </c>
      <c r="AT242" s="15" t="s">
        <v>290</v>
      </c>
      <c r="AW242" s="11" t="str">
        <f t="shared" si="24"/>
        <v>EN_WOF_42_c02_CHN</v>
      </c>
      <c r="AX242" s="11">
        <f t="shared" si="25"/>
        <v>1222</v>
      </c>
      <c r="AY242" s="11">
        <f t="shared" si="26"/>
        <v>1222</v>
      </c>
      <c r="AZ242" s="17">
        <v>3</v>
      </c>
      <c r="BA242">
        <f t="shared" si="27"/>
        <v>12.22</v>
      </c>
    </row>
    <row r="243" spans="2:53">
      <c r="B243" t="s">
        <v>26</v>
      </c>
      <c r="C243" t="s">
        <v>2946</v>
      </c>
      <c r="D243" t="s">
        <v>2947</v>
      </c>
      <c r="E243" t="s">
        <v>29</v>
      </c>
      <c r="F243" t="s">
        <v>30</v>
      </c>
      <c r="G243" t="s">
        <v>31</v>
      </c>
      <c r="J243" t="s">
        <v>2946</v>
      </c>
      <c r="K243" t="s">
        <v>1967</v>
      </c>
      <c r="L243" t="s">
        <v>2322</v>
      </c>
      <c r="M243" s="8">
        <v>32.13375</v>
      </c>
      <c r="N243">
        <v>105.747516212372</v>
      </c>
      <c r="O243">
        <v>1558</v>
      </c>
      <c r="P243" s="9">
        <v>0.152713618858677</v>
      </c>
      <c r="Q243" t="s">
        <v>265</v>
      </c>
      <c r="T243" s="15" t="s">
        <v>89</v>
      </c>
      <c r="W243" s="16" t="str">
        <f t="shared" si="21"/>
        <v>EN_WON_15_c03_BRA</v>
      </c>
      <c r="X243" s="12">
        <f t="shared" si="22"/>
        <v>1558</v>
      </c>
      <c r="Y243" s="11">
        <f t="shared" si="23"/>
        <v>1558</v>
      </c>
      <c r="AC243" t="s">
        <v>26</v>
      </c>
      <c r="AD243" t="s">
        <v>2948</v>
      </c>
      <c r="AE243" t="s">
        <v>2949</v>
      </c>
      <c r="AF243" t="s">
        <v>29</v>
      </c>
      <c r="AG243" t="s">
        <v>30</v>
      </c>
      <c r="AH243" t="s">
        <v>31</v>
      </c>
      <c r="AK243" t="s">
        <v>2948</v>
      </c>
      <c r="AL243" t="s">
        <v>1967</v>
      </c>
      <c r="AM243" t="s">
        <v>2897</v>
      </c>
      <c r="AN243" s="8">
        <v>50.655</v>
      </c>
      <c r="AO243">
        <v>199.694880401046</v>
      </c>
      <c r="AP243">
        <v>1222</v>
      </c>
      <c r="AQ243" s="9">
        <v>0.429669958543086</v>
      </c>
      <c r="AR243" t="s">
        <v>386</v>
      </c>
      <c r="AT243" s="15" t="s">
        <v>290</v>
      </c>
      <c r="AW243" s="11" t="str">
        <f t="shared" si="24"/>
        <v>EN_WOF_43_c02_CHN</v>
      </c>
      <c r="AX243" s="11">
        <f t="shared" si="25"/>
        <v>1222</v>
      </c>
      <c r="AY243" s="11">
        <f t="shared" si="26"/>
        <v>1222</v>
      </c>
      <c r="AZ243" s="17">
        <v>3</v>
      </c>
      <c r="BA243">
        <f t="shared" si="27"/>
        <v>12.22</v>
      </c>
    </row>
    <row r="244" spans="2:53">
      <c r="B244" t="s">
        <v>26</v>
      </c>
      <c r="C244" t="s">
        <v>2950</v>
      </c>
      <c r="D244" t="s">
        <v>2951</v>
      </c>
      <c r="E244" t="s">
        <v>29</v>
      </c>
      <c r="F244" t="s">
        <v>30</v>
      </c>
      <c r="G244" t="s">
        <v>31</v>
      </c>
      <c r="J244" t="s">
        <v>2950</v>
      </c>
      <c r="K244" t="s">
        <v>1967</v>
      </c>
      <c r="L244" t="s">
        <v>2322</v>
      </c>
      <c r="M244" s="8">
        <v>3.951</v>
      </c>
      <c r="N244">
        <v>80.7856561622413</v>
      </c>
      <c r="O244">
        <v>1558</v>
      </c>
      <c r="P244" s="9">
        <v>0.158832004555809</v>
      </c>
      <c r="Q244" t="s">
        <v>265</v>
      </c>
      <c r="T244" s="15" t="s">
        <v>89</v>
      </c>
      <c r="W244" s="16" t="str">
        <f t="shared" si="21"/>
        <v>EN_WON_16_c02_BRA</v>
      </c>
      <c r="X244" s="12">
        <f t="shared" si="22"/>
        <v>1558</v>
      </c>
      <c r="Y244" s="11">
        <f t="shared" si="23"/>
        <v>1558</v>
      </c>
      <c r="AC244" t="s">
        <v>26</v>
      </c>
      <c r="AD244" t="s">
        <v>2952</v>
      </c>
      <c r="AE244" t="s">
        <v>2953</v>
      </c>
      <c r="AF244" t="s">
        <v>29</v>
      </c>
      <c r="AG244" t="s">
        <v>30</v>
      </c>
      <c r="AH244" t="s">
        <v>31</v>
      </c>
      <c r="AK244" t="s">
        <v>2952</v>
      </c>
      <c r="AL244" t="s">
        <v>1967</v>
      </c>
      <c r="AM244" t="s">
        <v>2897</v>
      </c>
      <c r="AN244" s="8">
        <v>58.2525</v>
      </c>
      <c r="AO244">
        <v>199.694880401046</v>
      </c>
      <c r="AP244">
        <v>1222</v>
      </c>
      <c r="AQ244" s="9">
        <v>0.43885520793099</v>
      </c>
      <c r="AR244" t="s">
        <v>386</v>
      </c>
      <c r="AT244" s="15" t="s">
        <v>290</v>
      </c>
      <c r="AW244" s="11" t="str">
        <f t="shared" si="24"/>
        <v>EN_WOF_44_c02_CHN</v>
      </c>
      <c r="AX244" s="11">
        <f t="shared" si="25"/>
        <v>1222</v>
      </c>
      <c r="AY244" s="11">
        <f t="shared" si="26"/>
        <v>1222</v>
      </c>
      <c r="AZ244" s="17">
        <v>3</v>
      </c>
      <c r="BA244">
        <f t="shared" si="27"/>
        <v>12.22</v>
      </c>
    </row>
    <row r="245" spans="2:53">
      <c r="B245" t="s">
        <v>26</v>
      </c>
      <c r="C245" t="s">
        <v>2954</v>
      </c>
      <c r="D245" t="s">
        <v>2955</v>
      </c>
      <c r="E245" t="s">
        <v>29</v>
      </c>
      <c r="F245" t="s">
        <v>30</v>
      </c>
      <c r="G245" t="s">
        <v>31</v>
      </c>
      <c r="J245" t="s">
        <v>2954</v>
      </c>
      <c r="K245" t="s">
        <v>1967</v>
      </c>
      <c r="L245" t="s">
        <v>2322</v>
      </c>
      <c r="M245" s="8">
        <v>68.8605</v>
      </c>
      <c r="N245">
        <v>105.747516212372</v>
      </c>
      <c r="O245">
        <v>1558</v>
      </c>
      <c r="P245" s="9">
        <v>0.158928071971595</v>
      </c>
      <c r="Q245" t="s">
        <v>265</v>
      </c>
      <c r="T245" s="15" t="s">
        <v>89</v>
      </c>
      <c r="W245" s="16" t="str">
        <f t="shared" si="21"/>
        <v>EN_WON_16_c03_BRA</v>
      </c>
      <c r="X245" s="12">
        <f t="shared" si="22"/>
        <v>1558</v>
      </c>
      <c r="Y245" s="11">
        <f t="shared" si="23"/>
        <v>1558</v>
      </c>
      <c r="AC245" t="s">
        <v>26</v>
      </c>
      <c r="AD245" t="s">
        <v>2956</v>
      </c>
      <c r="AE245" t="s">
        <v>2957</v>
      </c>
      <c r="AF245" t="s">
        <v>29</v>
      </c>
      <c r="AG245" t="s">
        <v>30</v>
      </c>
      <c r="AH245" t="s">
        <v>31</v>
      </c>
      <c r="AK245" t="s">
        <v>2956</v>
      </c>
      <c r="AL245" t="s">
        <v>1967</v>
      </c>
      <c r="AM245" t="s">
        <v>2897</v>
      </c>
      <c r="AN245" s="8">
        <v>77.04225</v>
      </c>
      <c r="AO245">
        <v>199.694880401046</v>
      </c>
      <c r="AP245">
        <v>1222</v>
      </c>
      <c r="AQ245" s="9">
        <v>0.449108690361458</v>
      </c>
      <c r="AR245" t="s">
        <v>386</v>
      </c>
      <c r="AT245" s="15" t="s">
        <v>290</v>
      </c>
      <c r="AW245" s="11" t="str">
        <f t="shared" si="24"/>
        <v>EN_WOF_45_c02_CHN</v>
      </c>
      <c r="AX245" s="11">
        <f t="shared" si="25"/>
        <v>1222</v>
      </c>
      <c r="AY245" s="11">
        <f t="shared" si="26"/>
        <v>1222</v>
      </c>
      <c r="AZ245" s="17">
        <v>3</v>
      </c>
      <c r="BA245">
        <f t="shared" si="27"/>
        <v>12.22</v>
      </c>
    </row>
    <row r="246" spans="2:53">
      <c r="B246" t="s">
        <v>26</v>
      </c>
      <c r="C246" t="s">
        <v>2958</v>
      </c>
      <c r="D246" t="s">
        <v>2959</v>
      </c>
      <c r="E246" t="s">
        <v>29</v>
      </c>
      <c r="F246" t="s">
        <v>30</v>
      </c>
      <c r="G246" t="s">
        <v>31</v>
      </c>
      <c r="J246" t="s">
        <v>2958</v>
      </c>
      <c r="K246" t="s">
        <v>1967</v>
      </c>
      <c r="L246" t="s">
        <v>2322</v>
      </c>
      <c r="M246" s="8">
        <v>24.73725</v>
      </c>
      <c r="N246">
        <v>145.23264029167</v>
      </c>
      <c r="O246">
        <v>1558</v>
      </c>
      <c r="P246" s="9">
        <v>0.158805293636116</v>
      </c>
      <c r="Q246" t="s">
        <v>265</v>
      </c>
      <c r="T246" s="15" t="s">
        <v>89</v>
      </c>
      <c r="W246" s="16" t="str">
        <f t="shared" si="21"/>
        <v>EN_WON_16_c04_BRA</v>
      </c>
      <c r="X246" s="12">
        <f t="shared" si="22"/>
        <v>1558</v>
      </c>
      <c r="Y246" s="11">
        <f t="shared" si="23"/>
        <v>1558</v>
      </c>
      <c r="AC246" t="s">
        <v>26</v>
      </c>
      <c r="AD246" t="s">
        <v>2960</v>
      </c>
      <c r="AE246" t="s">
        <v>2961</v>
      </c>
      <c r="AF246" t="s">
        <v>29</v>
      </c>
      <c r="AG246" t="s">
        <v>30</v>
      </c>
      <c r="AH246" t="s">
        <v>31</v>
      </c>
      <c r="AK246" t="s">
        <v>2960</v>
      </c>
      <c r="AL246" t="s">
        <v>1967</v>
      </c>
      <c r="AM246" t="s">
        <v>2897</v>
      </c>
      <c r="AN246" s="8">
        <v>21.369</v>
      </c>
      <c r="AO246">
        <v>199.694880401046</v>
      </c>
      <c r="AP246">
        <v>1222</v>
      </c>
      <c r="AQ246" s="9">
        <v>0.460656745753194</v>
      </c>
      <c r="AR246" t="s">
        <v>386</v>
      </c>
      <c r="AT246" s="15" t="s">
        <v>290</v>
      </c>
      <c r="AW246" s="11" t="str">
        <f t="shared" si="24"/>
        <v>EN_WOF_46_c02_CHN</v>
      </c>
      <c r="AX246" s="11">
        <f t="shared" si="25"/>
        <v>1222</v>
      </c>
      <c r="AY246" s="11">
        <f t="shared" si="26"/>
        <v>1222</v>
      </c>
      <c r="AZ246" s="17">
        <v>3</v>
      </c>
      <c r="BA246">
        <f t="shared" si="27"/>
        <v>12.22</v>
      </c>
    </row>
    <row r="247" spans="2:53">
      <c r="B247" t="s">
        <v>26</v>
      </c>
      <c r="C247" t="s">
        <v>2962</v>
      </c>
      <c r="D247" t="s">
        <v>2963</v>
      </c>
      <c r="E247" t="s">
        <v>29</v>
      </c>
      <c r="F247" t="s">
        <v>30</v>
      </c>
      <c r="G247" t="s">
        <v>31</v>
      </c>
      <c r="J247" t="s">
        <v>2962</v>
      </c>
      <c r="K247" t="s">
        <v>1967</v>
      </c>
      <c r="L247" t="s">
        <v>2322</v>
      </c>
      <c r="M247" s="8">
        <v>9.04725</v>
      </c>
      <c r="N247">
        <v>80.7856561622413</v>
      </c>
      <c r="O247">
        <v>1558</v>
      </c>
      <c r="P247" s="9">
        <v>0.167634999585509</v>
      </c>
      <c r="Q247" t="s">
        <v>265</v>
      </c>
      <c r="T247" s="15" t="s">
        <v>89</v>
      </c>
      <c r="W247" s="16" t="str">
        <f t="shared" si="21"/>
        <v>EN_WON_17_c02_BRA</v>
      </c>
      <c r="X247" s="12">
        <f t="shared" si="22"/>
        <v>1558</v>
      </c>
      <c r="Y247" s="11">
        <f t="shared" si="23"/>
        <v>1558</v>
      </c>
      <c r="AC247" t="s">
        <v>26</v>
      </c>
      <c r="AD247" t="s">
        <v>2964</v>
      </c>
      <c r="AE247" t="s">
        <v>2965</v>
      </c>
      <c r="AF247" t="s">
        <v>29</v>
      </c>
      <c r="AG247" t="s">
        <v>30</v>
      </c>
      <c r="AH247" t="s">
        <v>31</v>
      </c>
      <c r="AK247" t="s">
        <v>2964</v>
      </c>
      <c r="AL247" t="s">
        <v>1967</v>
      </c>
      <c r="AM247" t="s">
        <v>2897</v>
      </c>
      <c r="AN247" s="8">
        <v>5.955</v>
      </c>
      <c r="AO247">
        <v>199.694880401046</v>
      </c>
      <c r="AP247">
        <v>1222</v>
      </c>
      <c r="AQ247" s="9">
        <v>0.469143073047859</v>
      </c>
      <c r="AR247" t="s">
        <v>386</v>
      </c>
      <c r="AT247" s="15" t="s">
        <v>290</v>
      </c>
      <c r="AW247" s="11" t="str">
        <f t="shared" si="24"/>
        <v>EN_WOF_47_c02_CHN</v>
      </c>
      <c r="AX247" s="11">
        <f t="shared" si="25"/>
        <v>1222</v>
      </c>
      <c r="AY247" s="11">
        <f t="shared" si="26"/>
        <v>1222</v>
      </c>
      <c r="AZ247" s="17">
        <v>3</v>
      </c>
      <c r="BA247">
        <f t="shared" si="27"/>
        <v>12.22</v>
      </c>
    </row>
    <row r="248" spans="2:53">
      <c r="B248" t="s">
        <v>26</v>
      </c>
      <c r="C248" t="s">
        <v>2966</v>
      </c>
      <c r="D248" t="s">
        <v>2967</v>
      </c>
      <c r="E248" t="s">
        <v>29</v>
      </c>
      <c r="F248" t="s">
        <v>30</v>
      </c>
      <c r="G248" t="s">
        <v>31</v>
      </c>
      <c r="J248" t="s">
        <v>2966</v>
      </c>
      <c r="K248" t="s">
        <v>1967</v>
      </c>
      <c r="L248" t="s">
        <v>2322</v>
      </c>
      <c r="M248" s="8">
        <v>57.7725</v>
      </c>
      <c r="N248">
        <v>105.747516212372</v>
      </c>
      <c r="O248">
        <v>1558</v>
      </c>
      <c r="P248" s="9">
        <v>0.168968272101779</v>
      </c>
      <c r="Q248" t="s">
        <v>265</v>
      </c>
      <c r="T248" s="15" t="s">
        <v>89</v>
      </c>
      <c r="W248" s="16" t="str">
        <f t="shared" si="21"/>
        <v>EN_WON_17_c03_BRA</v>
      </c>
      <c r="X248" s="12">
        <f t="shared" si="22"/>
        <v>1558</v>
      </c>
      <c r="Y248" s="11">
        <f t="shared" si="23"/>
        <v>1558</v>
      </c>
      <c r="AC248" t="s">
        <v>26</v>
      </c>
      <c r="AD248" t="s">
        <v>2968</v>
      </c>
      <c r="AE248" t="s">
        <v>2969</v>
      </c>
      <c r="AF248" t="s">
        <v>29</v>
      </c>
      <c r="AG248" t="s">
        <v>30</v>
      </c>
      <c r="AH248" t="s">
        <v>31</v>
      </c>
      <c r="AK248" t="s">
        <v>2968</v>
      </c>
      <c r="AL248" t="s">
        <v>1967</v>
      </c>
      <c r="AM248" t="s">
        <v>2897</v>
      </c>
      <c r="AN248" s="8">
        <v>5.72625</v>
      </c>
      <c r="AO248">
        <v>199.694880401046</v>
      </c>
      <c r="AP248">
        <v>1222</v>
      </c>
      <c r="AQ248" s="9">
        <v>0.48</v>
      </c>
      <c r="AR248" t="s">
        <v>386</v>
      </c>
      <c r="AT248" s="15" t="s">
        <v>290</v>
      </c>
      <c r="AW248" s="11" t="str">
        <f t="shared" si="24"/>
        <v>EN_WOF_48_c02_CHN</v>
      </c>
      <c r="AX248" s="11">
        <f t="shared" si="25"/>
        <v>1222</v>
      </c>
      <c r="AY248" s="11">
        <f t="shared" si="26"/>
        <v>1222</v>
      </c>
      <c r="AZ248" s="17">
        <v>3</v>
      </c>
      <c r="BA248">
        <f t="shared" si="27"/>
        <v>12.22</v>
      </c>
    </row>
    <row r="249" spans="2:53">
      <c r="B249" t="s">
        <v>26</v>
      </c>
      <c r="C249" t="s">
        <v>2970</v>
      </c>
      <c r="D249" t="s">
        <v>2971</v>
      </c>
      <c r="E249" t="s">
        <v>29</v>
      </c>
      <c r="F249" t="s">
        <v>30</v>
      </c>
      <c r="G249" t="s">
        <v>31</v>
      </c>
      <c r="J249" t="s">
        <v>2970</v>
      </c>
      <c r="K249" t="s">
        <v>1967</v>
      </c>
      <c r="L249" t="s">
        <v>2322</v>
      </c>
      <c r="M249" s="8">
        <v>19.488</v>
      </c>
      <c r="N249">
        <v>145.23264029167</v>
      </c>
      <c r="O249">
        <v>1558</v>
      </c>
      <c r="P249" s="9">
        <v>0.170715709667488</v>
      </c>
      <c r="Q249" t="s">
        <v>265</v>
      </c>
      <c r="T249" s="15" t="s">
        <v>89</v>
      </c>
      <c r="W249" s="16" t="str">
        <f t="shared" si="21"/>
        <v>EN_WON_17_c04_BRA</v>
      </c>
      <c r="X249" s="12">
        <f t="shared" si="22"/>
        <v>1558</v>
      </c>
      <c r="Y249" s="11">
        <f t="shared" si="23"/>
        <v>1558</v>
      </c>
      <c r="AC249" t="s">
        <v>26</v>
      </c>
      <c r="AD249" t="s">
        <v>2972</v>
      </c>
      <c r="AE249" t="s">
        <v>2973</v>
      </c>
      <c r="AF249" t="s">
        <v>29</v>
      </c>
      <c r="AG249" t="s">
        <v>30</v>
      </c>
      <c r="AH249" t="s">
        <v>31</v>
      </c>
      <c r="AK249" t="s">
        <v>2972</v>
      </c>
      <c r="AL249" t="s">
        <v>1967</v>
      </c>
      <c r="AM249" t="s">
        <v>2897</v>
      </c>
      <c r="AN249" s="8">
        <v>9.066</v>
      </c>
      <c r="AO249">
        <v>199.694880401046</v>
      </c>
      <c r="AP249">
        <v>1222</v>
      </c>
      <c r="AQ249" s="9">
        <v>0.486312789543349</v>
      </c>
      <c r="AR249" t="s">
        <v>386</v>
      </c>
      <c r="AT249" s="15" t="s">
        <v>290</v>
      </c>
      <c r="AW249" s="11" t="str">
        <f t="shared" si="24"/>
        <v>EN_WOF_49_c02_CHN</v>
      </c>
      <c r="AX249" s="11">
        <f t="shared" si="25"/>
        <v>1222</v>
      </c>
      <c r="AY249" s="11">
        <f t="shared" si="26"/>
        <v>1222</v>
      </c>
      <c r="AZ249" s="17">
        <v>3</v>
      </c>
      <c r="BA249">
        <f t="shared" si="27"/>
        <v>12.22</v>
      </c>
    </row>
    <row r="250" spans="2:53">
      <c r="B250" t="s">
        <v>26</v>
      </c>
      <c r="C250" t="s">
        <v>2974</v>
      </c>
      <c r="D250" t="s">
        <v>2975</v>
      </c>
      <c r="E250" t="s">
        <v>29</v>
      </c>
      <c r="F250" t="s">
        <v>30</v>
      </c>
      <c r="G250" t="s">
        <v>31</v>
      </c>
      <c r="J250" t="s">
        <v>2974</v>
      </c>
      <c r="K250" t="s">
        <v>1967</v>
      </c>
      <c r="L250" t="s">
        <v>2322</v>
      </c>
      <c r="M250" s="8">
        <v>4.32075</v>
      </c>
      <c r="N250">
        <v>80.7856561622413</v>
      </c>
      <c r="O250">
        <v>1558</v>
      </c>
      <c r="P250" s="9">
        <v>0.180570560666551</v>
      </c>
      <c r="Q250" t="s">
        <v>265</v>
      </c>
      <c r="T250" s="15" t="s">
        <v>89</v>
      </c>
      <c r="W250" s="16" t="str">
        <f t="shared" si="21"/>
        <v>EN_WON_18_c02_BRA</v>
      </c>
      <c r="X250" s="12">
        <f t="shared" si="22"/>
        <v>1558</v>
      </c>
      <c r="Y250" s="11">
        <f t="shared" si="23"/>
        <v>1558</v>
      </c>
      <c r="AC250" t="s">
        <v>26</v>
      </c>
      <c r="AD250" t="s">
        <v>2976</v>
      </c>
      <c r="AE250" t="s">
        <v>2977</v>
      </c>
      <c r="AF250" t="s">
        <v>29</v>
      </c>
      <c r="AG250" t="s">
        <v>30</v>
      </c>
      <c r="AH250" t="s">
        <v>31</v>
      </c>
      <c r="AK250" t="s">
        <v>2976</v>
      </c>
      <c r="AL250" t="s">
        <v>1967</v>
      </c>
      <c r="AM250" t="s">
        <v>2897</v>
      </c>
      <c r="AN250" s="8">
        <v>12.249</v>
      </c>
      <c r="AO250">
        <v>199.694880401046</v>
      </c>
      <c r="AP250">
        <v>1222</v>
      </c>
      <c r="AQ250" s="9">
        <v>0.499725936811168</v>
      </c>
      <c r="AR250" t="s">
        <v>386</v>
      </c>
      <c r="AT250" s="15" t="s">
        <v>290</v>
      </c>
      <c r="AW250" s="11" t="str">
        <f t="shared" si="24"/>
        <v>EN_WOF_50_c02_CHN</v>
      </c>
      <c r="AX250" s="11">
        <f t="shared" si="25"/>
        <v>1222</v>
      </c>
      <c r="AY250" s="11">
        <f t="shared" si="26"/>
        <v>1222</v>
      </c>
      <c r="AZ250" s="17">
        <v>3</v>
      </c>
      <c r="BA250">
        <f t="shared" si="27"/>
        <v>12.22</v>
      </c>
    </row>
    <row r="251" spans="2:53">
      <c r="B251" t="s">
        <v>26</v>
      </c>
      <c r="C251" t="s">
        <v>2978</v>
      </c>
      <c r="D251" t="s">
        <v>2979</v>
      </c>
      <c r="E251" t="s">
        <v>29</v>
      </c>
      <c r="F251" t="s">
        <v>30</v>
      </c>
      <c r="G251" t="s">
        <v>31</v>
      </c>
      <c r="J251" t="s">
        <v>2978</v>
      </c>
      <c r="K251" t="s">
        <v>1967</v>
      </c>
      <c r="L251" t="s">
        <v>2322</v>
      </c>
      <c r="M251" s="8">
        <v>52.779</v>
      </c>
      <c r="N251">
        <v>105.747516212372</v>
      </c>
      <c r="O251">
        <v>1558</v>
      </c>
      <c r="P251" s="9">
        <v>0.179893764565452</v>
      </c>
      <c r="Q251" t="s">
        <v>265</v>
      </c>
      <c r="T251" s="15" t="s">
        <v>89</v>
      </c>
      <c r="W251" s="16" t="str">
        <f t="shared" si="21"/>
        <v>EN_WON_18_c03_BRA</v>
      </c>
      <c r="X251" s="12">
        <f t="shared" si="22"/>
        <v>1558</v>
      </c>
      <c r="Y251" s="11">
        <f t="shared" si="23"/>
        <v>1558</v>
      </c>
      <c r="AC251" t="s">
        <v>26</v>
      </c>
      <c r="AD251" t="s">
        <v>2980</v>
      </c>
      <c r="AE251" t="s">
        <v>2981</v>
      </c>
      <c r="AF251" t="s">
        <v>29</v>
      </c>
      <c r="AG251" t="s">
        <v>30</v>
      </c>
      <c r="AH251" t="s">
        <v>31</v>
      </c>
      <c r="AK251" t="s">
        <v>2980</v>
      </c>
      <c r="AL251" t="s">
        <v>1967</v>
      </c>
      <c r="AM251" t="s">
        <v>2897</v>
      </c>
      <c r="AN251" s="8">
        <v>11.61675</v>
      </c>
      <c r="AO251">
        <v>199.694880401046</v>
      </c>
      <c r="AP251">
        <v>1222</v>
      </c>
      <c r="AQ251" s="9">
        <v>0.510019626831945</v>
      </c>
      <c r="AR251" t="s">
        <v>386</v>
      </c>
      <c r="AT251" s="15" t="s">
        <v>290</v>
      </c>
      <c r="AW251" s="11" t="str">
        <f t="shared" si="24"/>
        <v>EN_WOF_51_c02_CHN</v>
      </c>
      <c r="AX251" s="11">
        <f t="shared" si="25"/>
        <v>1222</v>
      </c>
      <c r="AY251" s="11">
        <f t="shared" si="26"/>
        <v>1222</v>
      </c>
      <c r="AZ251" s="17">
        <v>3</v>
      </c>
      <c r="BA251">
        <f t="shared" si="27"/>
        <v>12.22</v>
      </c>
    </row>
    <row r="252" spans="2:53">
      <c r="B252" t="s">
        <v>26</v>
      </c>
      <c r="C252" t="s">
        <v>2982</v>
      </c>
      <c r="D252" t="s">
        <v>2983</v>
      </c>
      <c r="E252" t="s">
        <v>29</v>
      </c>
      <c r="F252" t="s">
        <v>30</v>
      </c>
      <c r="G252" t="s">
        <v>31</v>
      </c>
      <c r="J252" t="s">
        <v>2982</v>
      </c>
      <c r="K252" t="s">
        <v>1967</v>
      </c>
      <c r="L252" t="s">
        <v>2322</v>
      </c>
      <c r="M252" s="8">
        <v>20.241</v>
      </c>
      <c r="N252">
        <v>145.23264029167</v>
      </c>
      <c r="O252">
        <v>1558</v>
      </c>
      <c r="P252" s="9">
        <v>0.180337594486438</v>
      </c>
      <c r="Q252" t="s">
        <v>265</v>
      </c>
      <c r="T252" s="15" t="s">
        <v>89</v>
      </c>
      <c r="W252" s="16" t="str">
        <f t="shared" si="21"/>
        <v>EN_WON_18_c04_BRA</v>
      </c>
      <c r="X252" s="12">
        <f t="shared" si="22"/>
        <v>1558</v>
      </c>
      <c r="Y252" s="11">
        <f t="shared" si="23"/>
        <v>1558</v>
      </c>
      <c r="AC252" t="s">
        <v>26</v>
      </c>
      <c r="AD252" t="s">
        <v>2984</v>
      </c>
      <c r="AE252" t="s">
        <v>2985</v>
      </c>
      <c r="AF252" t="s">
        <v>29</v>
      </c>
      <c r="AG252" t="s">
        <v>30</v>
      </c>
      <c r="AH252" t="s">
        <v>31</v>
      </c>
      <c r="AK252" t="s">
        <v>2984</v>
      </c>
      <c r="AL252" t="s">
        <v>1967</v>
      </c>
      <c r="AM252" t="s">
        <v>2897</v>
      </c>
      <c r="AN252" s="8">
        <v>8.80125</v>
      </c>
      <c r="AO252">
        <v>199.694880401046</v>
      </c>
      <c r="AP252">
        <v>1222</v>
      </c>
      <c r="AQ252" s="9">
        <v>0.531094588836813</v>
      </c>
      <c r="AR252" t="s">
        <v>386</v>
      </c>
      <c r="AT252" s="15" t="s">
        <v>290</v>
      </c>
      <c r="AW252" s="11" t="str">
        <f t="shared" si="24"/>
        <v>EN_WOF_53_c02_CHN</v>
      </c>
      <c r="AX252" s="11">
        <f t="shared" si="25"/>
        <v>1222</v>
      </c>
      <c r="AY252" s="11">
        <f t="shared" si="26"/>
        <v>1222</v>
      </c>
      <c r="AZ252" s="17">
        <v>3</v>
      </c>
      <c r="BA252">
        <f t="shared" si="27"/>
        <v>12.22</v>
      </c>
    </row>
    <row r="253" spans="2:53">
      <c r="B253" t="s">
        <v>26</v>
      </c>
      <c r="C253" t="s">
        <v>2986</v>
      </c>
      <c r="D253" t="s">
        <v>2987</v>
      </c>
      <c r="E253" t="s">
        <v>29</v>
      </c>
      <c r="F253" t="s">
        <v>30</v>
      </c>
      <c r="G253" t="s">
        <v>31</v>
      </c>
      <c r="J253" t="s">
        <v>2986</v>
      </c>
      <c r="K253" t="s">
        <v>1967</v>
      </c>
      <c r="L253" t="s">
        <v>2322</v>
      </c>
      <c r="M253" s="8">
        <v>0.77625</v>
      </c>
      <c r="N253">
        <v>80.7856561622413</v>
      </c>
      <c r="O253">
        <v>1558</v>
      </c>
      <c r="P253" s="9">
        <v>0.190623188405797</v>
      </c>
      <c r="Q253" t="s">
        <v>265</v>
      </c>
      <c r="T253" s="15" t="s">
        <v>89</v>
      </c>
      <c r="W253" s="16" t="str">
        <f t="shared" si="21"/>
        <v>EN_WON_19_c02_BRA</v>
      </c>
      <c r="X253" s="12">
        <f t="shared" si="22"/>
        <v>1558</v>
      </c>
      <c r="Y253" s="11">
        <f t="shared" si="23"/>
        <v>1558</v>
      </c>
      <c r="AC253" t="s">
        <v>26</v>
      </c>
      <c r="AD253" t="s">
        <v>2988</v>
      </c>
      <c r="AE253" t="s">
        <v>2989</v>
      </c>
      <c r="AF253" t="s">
        <v>29</v>
      </c>
      <c r="AG253" t="s">
        <v>30</v>
      </c>
      <c r="AH253" t="s">
        <v>31</v>
      </c>
      <c r="AK253" t="s">
        <v>2988</v>
      </c>
      <c r="AL253" t="s">
        <v>1967</v>
      </c>
      <c r="AM253" t="s">
        <v>2897</v>
      </c>
      <c r="AN253" s="8">
        <v>8.5245</v>
      </c>
      <c r="AO253">
        <v>199.694880401046</v>
      </c>
      <c r="AP253">
        <v>1222</v>
      </c>
      <c r="AQ253" s="9">
        <v>0.541139187049094</v>
      </c>
      <c r="AR253" t="s">
        <v>386</v>
      </c>
      <c r="AT253" s="15" t="s">
        <v>290</v>
      </c>
      <c r="AW253" s="11" t="str">
        <f t="shared" si="24"/>
        <v>EN_WOF_54_c02_CHN</v>
      </c>
      <c r="AX253" s="11">
        <f t="shared" si="25"/>
        <v>1222</v>
      </c>
      <c r="AY253" s="11">
        <f t="shared" si="26"/>
        <v>1222</v>
      </c>
      <c r="AZ253" s="17">
        <v>3</v>
      </c>
      <c r="BA253">
        <f t="shared" si="27"/>
        <v>12.22</v>
      </c>
    </row>
    <row r="254" spans="2:53">
      <c r="B254" t="s">
        <v>26</v>
      </c>
      <c r="C254" t="s">
        <v>2990</v>
      </c>
      <c r="D254" t="s">
        <v>2991</v>
      </c>
      <c r="E254" t="s">
        <v>29</v>
      </c>
      <c r="F254" t="s">
        <v>30</v>
      </c>
      <c r="G254" t="s">
        <v>31</v>
      </c>
      <c r="J254" t="s">
        <v>2990</v>
      </c>
      <c r="K254" t="s">
        <v>1967</v>
      </c>
      <c r="L254" t="s">
        <v>2322</v>
      </c>
      <c r="M254" s="8">
        <v>55.5015</v>
      </c>
      <c r="N254">
        <v>105.747516212372</v>
      </c>
      <c r="O254">
        <v>1558</v>
      </c>
      <c r="P254" s="9">
        <v>0.189023485851734</v>
      </c>
      <c r="Q254" t="s">
        <v>265</v>
      </c>
      <c r="T254" s="15" t="s">
        <v>89</v>
      </c>
      <c r="W254" s="16" t="str">
        <f t="shared" si="21"/>
        <v>EN_WON_19_c03_BRA</v>
      </c>
      <c r="X254" s="12">
        <f t="shared" si="22"/>
        <v>1558</v>
      </c>
      <c r="Y254" s="11">
        <f t="shared" si="23"/>
        <v>1558</v>
      </c>
      <c r="AC254" t="s">
        <v>26</v>
      </c>
      <c r="AD254" t="s">
        <v>2992</v>
      </c>
      <c r="AE254" t="s">
        <v>2993</v>
      </c>
      <c r="AF254" t="s">
        <v>29</v>
      </c>
      <c r="AG254" t="s">
        <v>30</v>
      </c>
      <c r="AH254" t="s">
        <v>31</v>
      </c>
      <c r="AK254" t="s">
        <v>2992</v>
      </c>
      <c r="AL254" t="s">
        <v>1967</v>
      </c>
      <c r="AM254" t="s">
        <v>2897</v>
      </c>
      <c r="AN254" s="8">
        <v>1.2675</v>
      </c>
      <c r="AO254">
        <v>199.694880401046</v>
      </c>
      <c r="AP254">
        <v>1222</v>
      </c>
      <c r="AQ254" s="9">
        <v>0.548137278106509</v>
      </c>
      <c r="AR254" t="s">
        <v>386</v>
      </c>
      <c r="AT254" s="15" t="s">
        <v>290</v>
      </c>
      <c r="AW254" s="11" t="str">
        <f t="shared" si="24"/>
        <v>EN_WOF_55_c02_CHN</v>
      </c>
      <c r="AX254" s="11">
        <f t="shared" si="25"/>
        <v>1222</v>
      </c>
      <c r="AY254" s="11">
        <f t="shared" si="26"/>
        <v>1222</v>
      </c>
      <c r="AZ254" s="17">
        <v>3</v>
      </c>
      <c r="BA254">
        <f t="shared" si="27"/>
        <v>12.22</v>
      </c>
    </row>
    <row r="255" spans="2:53">
      <c r="B255" t="s">
        <v>26</v>
      </c>
      <c r="C255" t="s">
        <v>2994</v>
      </c>
      <c r="D255" t="s">
        <v>2995</v>
      </c>
      <c r="E255" t="s">
        <v>29</v>
      </c>
      <c r="F255" t="s">
        <v>30</v>
      </c>
      <c r="G255" t="s">
        <v>31</v>
      </c>
      <c r="J255" t="s">
        <v>2994</v>
      </c>
      <c r="K255" t="s">
        <v>1967</v>
      </c>
      <c r="L255" t="s">
        <v>2322</v>
      </c>
      <c r="M255" s="8">
        <v>30.8175</v>
      </c>
      <c r="N255">
        <v>145.23264029167</v>
      </c>
      <c r="O255">
        <v>1558</v>
      </c>
      <c r="P255" s="9">
        <v>0.189820029204186</v>
      </c>
      <c r="Q255" t="s">
        <v>265</v>
      </c>
      <c r="T255" s="15" t="s">
        <v>89</v>
      </c>
      <c r="W255" s="16" t="str">
        <f t="shared" si="21"/>
        <v>EN_WON_19_c04_BRA</v>
      </c>
      <c r="X255" s="12">
        <f t="shared" si="22"/>
        <v>1558</v>
      </c>
      <c r="Y255" s="11">
        <f t="shared" si="23"/>
        <v>1558</v>
      </c>
      <c r="AC255" t="s">
        <v>26</v>
      </c>
      <c r="AD255" t="s">
        <v>2996</v>
      </c>
      <c r="AE255" t="s">
        <v>2997</v>
      </c>
      <c r="AF255" t="s">
        <v>29</v>
      </c>
      <c r="AG255" t="s">
        <v>30</v>
      </c>
      <c r="AH255" t="s">
        <v>31</v>
      </c>
      <c r="AK255" t="s">
        <v>2996</v>
      </c>
      <c r="AL255" t="s">
        <v>1967</v>
      </c>
      <c r="AM255" t="s">
        <v>2897</v>
      </c>
      <c r="AN255" s="8">
        <v>9.78225</v>
      </c>
      <c r="AO255">
        <v>199.694880401046</v>
      </c>
      <c r="AP255">
        <v>1222</v>
      </c>
      <c r="AQ255" s="9">
        <v>0.557905773211684</v>
      </c>
      <c r="AR255" t="s">
        <v>386</v>
      </c>
      <c r="AT255" s="15" t="s">
        <v>290</v>
      </c>
      <c r="AW255" s="11" t="str">
        <f t="shared" si="24"/>
        <v>EN_WOF_56_c02_CHN</v>
      </c>
      <c r="AX255" s="11">
        <f t="shared" si="25"/>
        <v>1222</v>
      </c>
      <c r="AY255" s="11">
        <f t="shared" si="26"/>
        <v>1222</v>
      </c>
      <c r="AZ255" s="17">
        <v>3</v>
      </c>
      <c r="BA255">
        <f t="shared" si="27"/>
        <v>12.22</v>
      </c>
    </row>
    <row r="256" spans="2:53">
      <c r="B256" t="s">
        <v>26</v>
      </c>
      <c r="C256" t="s">
        <v>2998</v>
      </c>
      <c r="D256" t="s">
        <v>2999</v>
      </c>
      <c r="E256" t="s">
        <v>29</v>
      </c>
      <c r="F256" t="s">
        <v>30</v>
      </c>
      <c r="G256" t="s">
        <v>31</v>
      </c>
      <c r="J256" t="s">
        <v>2998</v>
      </c>
      <c r="K256" t="s">
        <v>1967</v>
      </c>
      <c r="L256" t="s">
        <v>2322</v>
      </c>
      <c r="M256" s="8">
        <v>9.29775</v>
      </c>
      <c r="N256">
        <v>80.7856561622413</v>
      </c>
      <c r="O256">
        <v>1558</v>
      </c>
      <c r="P256" s="9">
        <v>0.200271678631927</v>
      </c>
      <c r="Q256" t="s">
        <v>265</v>
      </c>
      <c r="T256" s="15" t="s">
        <v>89</v>
      </c>
      <c r="W256" s="16" t="str">
        <f t="shared" si="21"/>
        <v>EN_WON_20_c02_BRA</v>
      </c>
      <c r="X256" s="12">
        <f t="shared" si="22"/>
        <v>1558</v>
      </c>
      <c r="Y256" s="11">
        <f t="shared" si="23"/>
        <v>1558</v>
      </c>
      <c r="AC256" t="s">
        <v>26</v>
      </c>
      <c r="AD256" t="s">
        <v>3000</v>
      </c>
      <c r="AE256" t="s">
        <v>3001</v>
      </c>
      <c r="AF256" t="s">
        <v>29</v>
      </c>
      <c r="AG256" t="s">
        <v>30</v>
      </c>
      <c r="AH256" t="s">
        <v>31</v>
      </c>
      <c r="AK256" t="s">
        <v>3000</v>
      </c>
      <c r="AL256" t="s">
        <v>1967</v>
      </c>
      <c r="AM256" t="s">
        <v>2897</v>
      </c>
      <c r="AN256" s="8">
        <v>3.4425</v>
      </c>
      <c r="AO256">
        <v>199.694880401046</v>
      </c>
      <c r="AP256">
        <v>1222</v>
      </c>
      <c r="AQ256" s="9">
        <v>0.57</v>
      </c>
      <c r="AR256" t="s">
        <v>386</v>
      </c>
      <c r="AT256" s="15" t="s">
        <v>290</v>
      </c>
      <c r="AW256" s="11" t="str">
        <f t="shared" si="24"/>
        <v>EN_WOF_57_c02_CHN</v>
      </c>
      <c r="AX256" s="11">
        <f t="shared" si="25"/>
        <v>1222</v>
      </c>
      <c r="AY256" s="11">
        <f t="shared" si="26"/>
        <v>1222</v>
      </c>
      <c r="AZ256" s="17">
        <v>3</v>
      </c>
      <c r="BA256">
        <f t="shared" si="27"/>
        <v>12.22</v>
      </c>
    </row>
    <row r="257" spans="2:53">
      <c r="B257" t="s">
        <v>26</v>
      </c>
      <c r="C257" t="s">
        <v>3002</v>
      </c>
      <c r="D257" t="s">
        <v>3003</v>
      </c>
      <c r="E257" t="s">
        <v>29</v>
      </c>
      <c r="F257" t="s">
        <v>30</v>
      </c>
      <c r="G257" t="s">
        <v>31</v>
      </c>
      <c r="J257" t="s">
        <v>3002</v>
      </c>
      <c r="K257" t="s">
        <v>1967</v>
      </c>
      <c r="L257" t="s">
        <v>2322</v>
      </c>
      <c r="M257" s="8">
        <v>29.11125</v>
      </c>
      <c r="N257">
        <v>105.747516212372</v>
      </c>
      <c r="O257">
        <v>1558</v>
      </c>
      <c r="P257" s="9">
        <v>0.199287723818112</v>
      </c>
      <c r="Q257" t="s">
        <v>265</v>
      </c>
      <c r="T257" s="15" t="s">
        <v>89</v>
      </c>
      <c r="W257" s="16" t="str">
        <f t="shared" si="21"/>
        <v>EN_WON_20_c03_BRA</v>
      </c>
      <c r="X257" s="12">
        <f t="shared" si="22"/>
        <v>1558</v>
      </c>
      <c r="Y257" s="11">
        <f t="shared" si="23"/>
        <v>1558</v>
      </c>
      <c r="AC257" t="s">
        <v>26</v>
      </c>
      <c r="AD257" t="s">
        <v>3004</v>
      </c>
      <c r="AE257" t="s">
        <v>3005</v>
      </c>
      <c r="AF257" t="s">
        <v>29</v>
      </c>
      <c r="AG257" t="s">
        <v>30</v>
      </c>
      <c r="AH257" t="s">
        <v>31</v>
      </c>
      <c r="AK257" t="s">
        <v>3004</v>
      </c>
      <c r="AL257" t="s">
        <v>1967</v>
      </c>
      <c r="AM257" t="s">
        <v>2897</v>
      </c>
      <c r="AN257" s="8">
        <v>8.6055</v>
      </c>
      <c r="AO257">
        <v>199.694880401046</v>
      </c>
      <c r="AP257">
        <v>1222</v>
      </c>
      <c r="AQ257" s="9">
        <v>0.577701934809134</v>
      </c>
      <c r="AR257" t="s">
        <v>386</v>
      </c>
      <c r="AT257" s="15" t="s">
        <v>290</v>
      </c>
      <c r="AW257" s="11" t="str">
        <f t="shared" si="24"/>
        <v>EN_WOF_58_c02_CHN</v>
      </c>
      <c r="AX257" s="11">
        <f t="shared" si="25"/>
        <v>1222</v>
      </c>
      <c r="AY257" s="11">
        <f t="shared" si="26"/>
        <v>1222</v>
      </c>
      <c r="AZ257" s="17">
        <v>3</v>
      </c>
      <c r="BA257">
        <f t="shared" si="27"/>
        <v>12.22</v>
      </c>
    </row>
    <row r="258" spans="2:53">
      <c r="B258" t="s">
        <v>26</v>
      </c>
      <c r="C258" t="s">
        <v>3006</v>
      </c>
      <c r="D258" t="s">
        <v>3007</v>
      </c>
      <c r="E258" t="s">
        <v>29</v>
      </c>
      <c r="F258" t="s">
        <v>30</v>
      </c>
      <c r="G258" t="s">
        <v>31</v>
      </c>
      <c r="J258" t="s">
        <v>3006</v>
      </c>
      <c r="K258" t="s">
        <v>1967</v>
      </c>
      <c r="L258" t="s">
        <v>2322</v>
      </c>
      <c r="M258" s="8">
        <v>25.42275</v>
      </c>
      <c r="N258">
        <v>145.23264029167</v>
      </c>
      <c r="O258">
        <v>1558</v>
      </c>
      <c r="P258" s="9">
        <v>0.199615010177892</v>
      </c>
      <c r="Q258" t="s">
        <v>265</v>
      </c>
      <c r="T258" s="15" t="s">
        <v>89</v>
      </c>
      <c r="W258" s="16" t="str">
        <f t="shared" si="21"/>
        <v>EN_WON_20_c04_BRA</v>
      </c>
      <c r="X258" s="12">
        <f t="shared" si="22"/>
        <v>1558</v>
      </c>
      <c r="Y258" s="11">
        <f t="shared" si="23"/>
        <v>1558</v>
      </c>
      <c r="AC258" t="s">
        <v>26</v>
      </c>
      <c r="AD258" t="s">
        <v>3008</v>
      </c>
      <c r="AE258" t="s">
        <v>3009</v>
      </c>
      <c r="AF258" t="s">
        <v>29</v>
      </c>
      <c r="AG258" t="s">
        <v>30</v>
      </c>
      <c r="AH258" t="s">
        <v>31</v>
      </c>
      <c r="AK258" t="s">
        <v>3008</v>
      </c>
      <c r="AL258" t="s">
        <v>1967</v>
      </c>
      <c r="AM258" t="s">
        <v>3010</v>
      </c>
      <c r="AN258" s="8">
        <v>4.08075</v>
      </c>
      <c r="AO258">
        <v>199.694880401046</v>
      </c>
      <c r="AP258">
        <v>1575</v>
      </c>
      <c r="AQ258" s="9">
        <v>0.318870795809594</v>
      </c>
      <c r="AR258" t="s">
        <v>504</v>
      </c>
      <c r="AT258" s="15" t="s">
        <v>89</v>
      </c>
      <c r="AW258" s="11" t="str">
        <f t="shared" si="24"/>
        <v>EN_WOF_32_c02_COL</v>
      </c>
      <c r="AX258" s="11">
        <f t="shared" si="25"/>
        <v>1575</v>
      </c>
      <c r="AY258" s="11">
        <f t="shared" si="26"/>
        <v>1575</v>
      </c>
      <c r="AZ258" s="17">
        <v>3</v>
      </c>
      <c r="BA258">
        <f t="shared" si="27"/>
        <v>15.75</v>
      </c>
    </row>
    <row r="259" spans="2:53">
      <c r="B259" t="s">
        <v>26</v>
      </c>
      <c r="C259" t="s">
        <v>3011</v>
      </c>
      <c r="D259" t="s">
        <v>3012</v>
      </c>
      <c r="E259" t="s">
        <v>29</v>
      </c>
      <c r="F259" t="s">
        <v>30</v>
      </c>
      <c r="G259" t="s">
        <v>31</v>
      </c>
      <c r="J259" t="s">
        <v>3011</v>
      </c>
      <c r="K259" t="s">
        <v>1967</v>
      </c>
      <c r="L259" t="s">
        <v>2322</v>
      </c>
      <c r="M259" s="8">
        <v>3.2835</v>
      </c>
      <c r="N259">
        <v>80.7856561622413</v>
      </c>
      <c r="O259">
        <v>1558</v>
      </c>
      <c r="P259" s="9">
        <v>0.20846962083143</v>
      </c>
      <c r="Q259" t="s">
        <v>265</v>
      </c>
      <c r="T259" s="15" t="s">
        <v>89</v>
      </c>
      <c r="W259" s="16" t="str">
        <f t="shared" si="21"/>
        <v>EN_WON_21_c02_BRA</v>
      </c>
      <c r="X259" s="12">
        <f t="shared" si="22"/>
        <v>1558</v>
      </c>
      <c r="Y259" s="11">
        <f t="shared" si="23"/>
        <v>1558</v>
      </c>
      <c r="AC259" t="s">
        <v>26</v>
      </c>
      <c r="AD259" t="s">
        <v>3013</v>
      </c>
      <c r="AE259" t="s">
        <v>3014</v>
      </c>
      <c r="AF259" t="s">
        <v>29</v>
      </c>
      <c r="AG259" t="s">
        <v>30</v>
      </c>
      <c r="AH259" t="s">
        <v>31</v>
      </c>
      <c r="AK259" t="s">
        <v>3013</v>
      </c>
      <c r="AL259" t="s">
        <v>1967</v>
      </c>
      <c r="AM259" t="s">
        <v>3010</v>
      </c>
      <c r="AN259" s="8">
        <v>1.3755</v>
      </c>
      <c r="AO259">
        <v>199.694880401046</v>
      </c>
      <c r="AP259">
        <v>1575</v>
      </c>
      <c r="AQ259" s="9">
        <v>0.361</v>
      </c>
      <c r="AR259" t="s">
        <v>504</v>
      </c>
      <c r="AT259" s="15" t="s">
        <v>89</v>
      </c>
      <c r="AW259" s="11" t="str">
        <f t="shared" si="24"/>
        <v>EN_WOF_36_c02_COL</v>
      </c>
      <c r="AX259" s="11">
        <f t="shared" si="25"/>
        <v>1575</v>
      </c>
      <c r="AY259" s="11">
        <f t="shared" si="26"/>
        <v>1575</v>
      </c>
      <c r="AZ259" s="17">
        <v>3</v>
      </c>
      <c r="BA259">
        <f t="shared" si="27"/>
        <v>15.75</v>
      </c>
    </row>
    <row r="260" spans="2:53">
      <c r="B260" t="s">
        <v>26</v>
      </c>
      <c r="C260" t="s">
        <v>3015</v>
      </c>
      <c r="D260" t="s">
        <v>3016</v>
      </c>
      <c r="E260" t="s">
        <v>29</v>
      </c>
      <c r="F260" t="s">
        <v>30</v>
      </c>
      <c r="G260" t="s">
        <v>31</v>
      </c>
      <c r="J260" t="s">
        <v>3015</v>
      </c>
      <c r="K260" t="s">
        <v>1967</v>
      </c>
      <c r="L260" t="s">
        <v>2322</v>
      </c>
      <c r="M260" s="8">
        <v>25.485</v>
      </c>
      <c r="N260">
        <v>105.747516212372</v>
      </c>
      <c r="O260">
        <v>1558</v>
      </c>
      <c r="P260" s="9">
        <v>0.210108416715715</v>
      </c>
      <c r="Q260" t="s">
        <v>265</v>
      </c>
      <c r="T260" s="15" t="s">
        <v>89</v>
      </c>
      <c r="W260" s="16" t="str">
        <f t="shared" si="21"/>
        <v>EN_WON_21_c03_BRA</v>
      </c>
      <c r="X260" s="12">
        <f t="shared" si="22"/>
        <v>1558</v>
      </c>
      <c r="Y260" s="11">
        <f t="shared" si="23"/>
        <v>1558</v>
      </c>
      <c r="AC260" t="s">
        <v>26</v>
      </c>
      <c r="AD260" t="s">
        <v>3017</v>
      </c>
      <c r="AE260" t="s">
        <v>3018</v>
      </c>
      <c r="AF260" t="s">
        <v>29</v>
      </c>
      <c r="AG260" t="s">
        <v>30</v>
      </c>
      <c r="AH260" t="s">
        <v>31</v>
      </c>
      <c r="AK260" t="s">
        <v>3017</v>
      </c>
      <c r="AL260" t="s">
        <v>1967</v>
      </c>
      <c r="AM260" t="s">
        <v>3010</v>
      </c>
      <c r="AN260" s="8">
        <v>2.574</v>
      </c>
      <c r="AO260">
        <v>199.694880401046</v>
      </c>
      <c r="AP260">
        <v>1575</v>
      </c>
      <c r="AQ260" s="9">
        <v>0.366502622377622</v>
      </c>
      <c r="AR260" t="s">
        <v>504</v>
      </c>
      <c r="AT260" s="15" t="s">
        <v>89</v>
      </c>
      <c r="AW260" s="11" t="str">
        <f t="shared" si="24"/>
        <v>EN_WOF_37_c02_COL</v>
      </c>
      <c r="AX260" s="11">
        <f t="shared" si="25"/>
        <v>1575</v>
      </c>
      <c r="AY260" s="11">
        <f t="shared" si="26"/>
        <v>1575</v>
      </c>
      <c r="AZ260" s="17">
        <v>3</v>
      </c>
      <c r="BA260">
        <f t="shared" si="27"/>
        <v>15.75</v>
      </c>
    </row>
    <row r="261" spans="2:53">
      <c r="B261" t="s">
        <v>26</v>
      </c>
      <c r="C261" t="s">
        <v>3019</v>
      </c>
      <c r="D261" t="s">
        <v>3020</v>
      </c>
      <c r="E261" t="s">
        <v>29</v>
      </c>
      <c r="F261" t="s">
        <v>30</v>
      </c>
      <c r="G261" t="s">
        <v>31</v>
      </c>
      <c r="J261" t="s">
        <v>3019</v>
      </c>
      <c r="K261" t="s">
        <v>1967</v>
      </c>
      <c r="L261" t="s">
        <v>2322</v>
      </c>
      <c r="M261" s="8">
        <v>38.33475</v>
      </c>
      <c r="N261">
        <v>145.23264029167</v>
      </c>
      <c r="O261">
        <v>1558</v>
      </c>
      <c r="P261" s="9">
        <v>0.209298358538924</v>
      </c>
      <c r="Q261" t="s">
        <v>265</v>
      </c>
      <c r="T261" s="15" t="s">
        <v>89</v>
      </c>
      <c r="W261" s="16" t="str">
        <f t="shared" si="21"/>
        <v>EN_WON_21_c04_BRA</v>
      </c>
      <c r="X261" s="12">
        <f t="shared" si="22"/>
        <v>1558</v>
      </c>
      <c r="Y261" s="11">
        <f t="shared" si="23"/>
        <v>1558</v>
      </c>
      <c r="AC261" t="s">
        <v>26</v>
      </c>
      <c r="AD261" t="s">
        <v>3021</v>
      </c>
      <c r="AE261" t="s">
        <v>3022</v>
      </c>
      <c r="AF261" t="s">
        <v>29</v>
      </c>
      <c r="AG261" t="s">
        <v>30</v>
      </c>
      <c r="AH261" t="s">
        <v>31</v>
      </c>
      <c r="AK261" t="s">
        <v>3021</v>
      </c>
      <c r="AL261" t="s">
        <v>1967</v>
      </c>
      <c r="AM261" t="s">
        <v>3010</v>
      </c>
      <c r="AN261" s="8">
        <v>0.6075</v>
      </c>
      <c r="AO261">
        <v>199.694880401046</v>
      </c>
      <c r="AP261">
        <v>1575</v>
      </c>
      <c r="AQ261" s="9">
        <v>0.376</v>
      </c>
      <c r="AR261" t="s">
        <v>504</v>
      </c>
      <c r="AT261" s="15" t="s">
        <v>89</v>
      </c>
      <c r="AW261" s="11" t="str">
        <f t="shared" si="24"/>
        <v>EN_WOF_38_c02_COL</v>
      </c>
      <c r="AX261" s="11">
        <f t="shared" si="25"/>
        <v>1575</v>
      </c>
      <c r="AY261" s="11">
        <f t="shared" si="26"/>
        <v>1575</v>
      </c>
      <c r="AZ261" s="17">
        <v>3</v>
      </c>
      <c r="BA261">
        <f t="shared" si="27"/>
        <v>15.75</v>
      </c>
    </row>
    <row r="262" spans="2:53">
      <c r="B262" t="s">
        <v>26</v>
      </c>
      <c r="C262" t="s">
        <v>3023</v>
      </c>
      <c r="D262" t="s">
        <v>3024</v>
      </c>
      <c r="E262" t="s">
        <v>29</v>
      </c>
      <c r="F262" t="s">
        <v>30</v>
      </c>
      <c r="G262" t="s">
        <v>31</v>
      </c>
      <c r="J262" t="s">
        <v>3023</v>
      </c>
      <c r="K262" t="s">
        <v>1967</v>
      </c>
      <c r="L262" t="s">
        <v>2322</v>
      </c>
      <c r="M262" s="8">
        <v>24.83175</v>
      </c>
      <c r="N262">
        <v>80.7856561622413</v>
      </c>
      <c r="O262">
        <v>1558</v>
      </c>
      <c r="P262" s="9">
        <v>0.221164366184421</v>
      </c>
      <c r="Q262" t="s">
        <v>265</v>
      </c>
      <c r="T262" s="15" t="s">
        <v>89</v>
      </c>
      <c r="W262" s="16" t="str">
        <f t="shared" ref="W262:W325" si="28">J262</f>
        <v>EN_WON_22_c02_BRA</v>
      </c>
      <c r="X262" s="12">
        <f t="shared" ref="X262:X325" si="29">O262</f>
        <v>1558</v>
      </c>
      <c r="Y262" s="11">
        <f t="shared" ref="Y262:Y325" si="30">X262</f>
        <v>1558</v>
      </c>
      <c r="AC262" t="s">
        <v>26</v>
      </c>
      <c r="AD262" t="s">
        <v>3025</v>
      </c>
      <c r="AE262" t="s">
        <v>3026</v>
      </c>
      <c r="AF262" t="s">
        <v>29</v>
      </c>
      <c r="AG262" t="s">
        <v>30</v>
      </c>
      <c r="AH262" t="s">
        <v>31</v>
      </c>
      <c r="AK262" t="s">
        <v>3025</v>
      </c>
      <c r="AL262" t="s">
        <v>1967</v>
      </c>
      <c r="AM262" t="s">
        <v>3010</v>
      </c>
      <c r="AN262" s="8">
        <v>3.4665</v>
      </c>
      <c r="AO262">
        <v>199.694880401046</v>
      </c>
      <c r="AP262">
        <v>1575</v>
      </c>
      <c r="AQ262" s="9">
        <v>0.427</v>
      </c>
      <c r="AR262" t="s">
        <v>504</v>
      </c>
      <c r="AT262" s="15" t="s">
        <v>89</v>
      </c>
      <c r="AW262" s="11" t="str">
        <f t="shared" ref="AW262:AW325" si="31">AK262</f>
        <v>EN_WOF_43_c02_COL</v>
      </c>
      <c r="AX262" s="11">
        <f t="shared" ref="AX262:AX325" si="32">AP262</f>
        <v>1575</v>
      </c>
      <c r="AY262" s="11">
        <f t="shared" ref="AY262:AY325" si="33">AX262</f>
        <v>1575</v>
      </c>
      <c r="AZ262" s="17">
        <v>3</v>
      </c>
      <c r="BA262">
        <f t="shared" ref="BA262:BA325" si="34">AX262*0.01</f>
        <v>15.75</v>
      </c>
    </row>
    <row r="263" spans="2:53">
      <c r="B263" t="s">
        <v>26</v>
      </c>
      <c r="C263" t="s">
        <v>3027</v>
      </c>
      <c r="D263" t="s">
        <v>3028</v>
      </c>
      <c r="E263" t="s">
        <v>29</v>
      </c>
      <c r="F263" t="s">
        <v>30</v>
      </c>
      <c r="G263" t="s">
        <v>31</v>
      </c>
      <c r="J263" t="s">
        <v>3027</v>
      </c>
      <c r="K263" t="s">
        <v>1967</v>
      </c>
      <c r="L263" t="s">
        <v>2322</v>
      </c>
      <c r="M263" s="8">
        <v>28.398</v>
      </c>
      <c r="N263">
        <v>105.747516212372</v>
      </c>
      <c r="O263">
        <v>1558</v>
      </c>
      <c r="P263" s="9">
        <v>0.218828385801817</v>
      </c>
      <c r="Q263" t="s">
        <v>265</v>
      </c>
      <c r="T263" s="15" t="s">
        <v>89</v>
      </c>
      <c r="W263" s="16" t="str">
        <f t="shared" si="28"/>
        <v>EN_WON_22_c03_BRA</v>
      </c>
      <c r="X263" s="12">
        <f t="shared" si="29"/>
        <v>1558</v>
      </c>
      <c r="Y263" s="11">
        <f t="shared" si="30"/>
        <v>1558</v>
      </c>
      <c r="AC263" t="s">
        <v>26</v>
      </c>
      <c r="AD263" t="s">
        <v>3029</v>
      </c>
      <c r="AE263" t="s">
        <v>3030</v>
      </c>
      <c r="AF263" t="s">
        <v>29</v>
      </c>
      <c r="AG263" t="s">
        <v>30</v>
      </c>
      <c r="AH263" t="s">
        <v>31</v>
      </c>
      <c r="AK263" t="s">
        <v>3029</v>
      </c>
      <c r="AL263" t="s">
        <v>1967</v>
      </c>
      <c r="AM263" t="s">
        <v>3010</v>
      </c>
      <c r="AN263" s="8">
        <v>1.0725</v>
      </c>
      <c r="AO263">
        <v>199.694880401046</v>
      </c>
      <c r="AP263">
        <v>1575</v>
      </c>
      <c r="AQ263" s="9">
        <v>0.436255244755245</v>
      </c>
      <c r="AR263" t="s">
        <v>504</v>
      </c>
      <c r="AT263" s="15" t="s">
        <v>89</v>
      </c>
      <c r="AW263" s="11" t="str">
        <f t="shared" si="31"/>
        <v>EN_WOF_44_c02_COL</v>
      </c>
      <c r="AX263" s="11">
        <f t="shared" si="32"/>
        <v>1575</v>
      </c>
      <c r="AY263" s="11">
        <f t="shared" si="33"/>
        <v>1575</v>
      </c>
      <c r="AZ263" s="17">
        <v>3</v>
      </c>
      <c r="BA263">
        <f t="shared" si="34"/>
        <v>15.75</v>
      </c>
    </row>
    <row r="264" spans="2:53">
      <c r="B264" t="s">
        <v>26</v>
      </c>
      <c r="C264" t="s">
        <v>3031</v>
      </c>
      <c r="D264" t="s">
        <v>3032</v>
      </c>
      <c r="E264" t="s">
        <v>29</v>
      </c>
      <c r="F264" t="s">
        <v>30</v>
      </c>
      <c r="G264" t="s">
        <v>31</v>
      </c>
      <c r="J264" t="s">
        <v>3031</v>
      </c>
      <c r="K264" t="s">
        <v>1967</v>
      </c>
      <c r="L264" t="s">
        <v>2322</v>
      </c>
      <c r="M264" s="8">
        <v>15.32925</v>
      </c>
      <c r="N264">
        <v>145.23264029167</v>
      </c>
      <c r="O264">
        <v>1558</v>
      </c>
      <c r="P264" s="9">
        <v>0.220785850579774</v>
      </c>
      <c r="Q264" t="s">
        <v>265</v>
      </c>
      <c r="T264" s="15" t="s">
        <v>89</v>
      </c>
      <c r="W264" s="16" t="str">
        <f t="shared" si="28"/>
        <v>EN_WON_22_c04_BRA</v>
      </c>
      <c r="X264" s="12">
        <f t="shared" si="29"/>
        <v>1558</v>
      </c>
      <c r="Y264" s="11">
        <f t="shared" si="30"/>
        <v>1558</v>
      </c>
      <c r="AC264" t="s">
        <v>26</v>
      </c>
      <c r="AD264" t="s">
        <v>3033</v>
      </c>
      <c r="AE264" t="s">
        <v>3034</v>
      </c>
      <c r="AF264" t="s">
        <v>29</v>
      </c>
      <c r="AG264" t="s">
        <v>30</v>
      </c>
      <c r="AH264" t="s">
        <v>31</v>
      </c>
      <c r="AK264" t="s">
        <v>3033</v>
      </c>
      <c r="AL264" t="s">
        <v>1967</v>
      </c>
      <c r="AM264" t="s">
        <v>3010</v>
      </c>
      <c r="AN264" s="8">
        <v>3.13725</v>
      </c>
      <c r="AO264">
        <v>199.694880401046</v>
      </c>
      <c r="AP264">
        <v>1575</v>
      </c>
      <c r="AQ264" s="9">
        <v>0.447538369591202</v>
      </c>
      <c r="AR264" t="s">
        <v>504</v>
      </c>
      <c r="AT264" s="15" t="s">
        <v>89</v>
      </c>
      <c r="AW264" s="11" t="str">
        <f t="shared" si="31"/>
        <v>EN_WOF_45_c02_COL</v>
      </c>
      <c r="AX264" s="11">
        <f t="shared" si="32"/>
        <v>1575</v>
      </c>
      <c r="AY264" s="11">
        <f t="shared" si="33"/>
        <v>1575</v>
      </c>
      <c r="AZ264" s="17">
        <v>3</v>
      </c>
      <c r="BA264">
        <f t="shared" si="34"/>
        <v>15.75</v>
      </c>
    </row>
    <row r="265" spans="2:53">
      <c r="B265" t="s">
        <v>26</v>
      </c>
      <c r="C265" t="s">
        <v>3035</v>
      </c>
      <c r="D265" t="s">
        <v>3036</v>
      </c>
      <c r="E265" t="s">
        <v>29</v>
      </c>
      <c r="F265" t="s">
        <v>30</v>
      </c>
      <c r="G265" t="s">
        <v>31</v>
      </c>
      <c r="J265" t="s">
        <v>3035</v>
      </c>
      <c r="K265" t="s">
        <v>1967</v>
      </c>
      <c r="L265" t="s">
        <v>2322</v>
      </c>
      <c r="M265" s="8">
        <v>6.1515</v>
      </c>
      <c r="N265">
        <v>80.7856561622413</v>
      </c>
      <c r="O265">
        <v>1558</v>
      </c>
      <c r="P265" s="9">
        <v>0.229788588149232</v>
      </c>
      <c r="Q265" t="s">
        <v>265</v>
      </c>
      <c r="T265" s="15" t="s">
        <v>89</v>
      </c>
      <c r="W265" s="16" t="str">
        <f t="shared" si="28"/>
        <v>EN_WON_23_c02_BRA</v>
      </c>
      <c r="X265" s="12">
        <f t="shared" si="29"/>
        <v>1558</v>
      </c>
      <c r="Y265" s="11">
        <f t="shared" si="30"/>
        <v>1558</v>
      </c>
      <c r="AC265" t="s">
        <v>26</v>
      </c>
      <c r="AD265" t="s">
        <v>3037</v>
      </c>
      <c r="AE265" t="s">
        <v>3038</v>
      </c>
      <c r="AF265" t="s">
        <v>29</v>
      </c>
      <c r="AG265" t="s">
        <v>30</v>
      </c>
      <c r="AH265" t="s">
        <v>31</v>
      </c>
      <c r="AK265" t="s">
        <v>3037</v>
      </c>
      <c r="AL265" t="s">
        <v>1967</v>
      </c>
      <c r="AM265" t="s">
        <v>3010</v>
      </c>
      <c r="AN265" s="8">
        <v>1.7235</v>
      </c>
      <c r="AO265">
        <v>199.694880401046</v>
      </c>
      <c r="AP265">
        <v>1575</v>
      </c>
      <c r="AQ265" s="9">
        <v>0.487</v>
      </c>
      <c r="AR265" t="s">
        <v>504</v>
      </c>
      <c r="AT265" s="15" t="s">
        <v>89</v>
      </c>
      <c r="AW265" s="11" t="str">
        <f t="shared" si="31"/>
        <v>EN_WOF_49_c02_COL</v>
      </c>
      <c r="AX265" s="11">
        <f t="shared" si="32"/>
        <v>1575</v>
      </c>
      <c r="AY265" s="11">
        <f t="shared" si="33"/>
        <v>1575</v>
      </c>
      <c r="AZ265" s="17">
        <v>3</v>
      </c>
      <c r="BA265">
        <f t="shared" si="34"/>
        <v>15.75</v>
      </c>
    </row>
    <row r="266" spans="2:53">
      <c r="B266" t="s">
        <v>26</v>
      </c>
      <c r="C266" t="s">
        <v>3039</v>
      </c>
      <c r="D266" t="s">
        <v>3040</v>
      </c>
      <c r="E266" t="s">
        <v>29</v>
      </c>
      <c r="F266" t="s">
        <v>30</v>
      </c>
      <c r="G266" t="s">
        <v>31</v>
      </c>
      <c r="J266" t="s">
        <v>3039</v>
      </c>
      <c r="K266" t="s">
        <v>1967</v>
      </c>
      <c r="L266" t="s">
        <v>2322</v>
      </c>
      <c r="M266" s="8">
        <v>29.901</v>
      </c>
      <c r="N266">
        <v>105.747516212372</v>
      </c>
      <c r="O266">
        <v>1558</v>
      </c>
      <c r="P266" s="9">
        <v>0.230375012541387</v>
      </c>
      <c r="Q266" t="s">
        <v>265</v>
      </c>
      <c r="T266" s="15" t="s">
        <v>89</v>
      </c>
      <c r="W266" s="16" t="str">
        <f t="shared" si="28"/>
        <v>EN_WON_23_c03_BRA</v>
      </c>
      <c r="X266" s="12">
        <f t="shared" si="29"/>
        <v>1558</v>
      </c>
      <c r="Y266" s="11">
        <f t="shared" si="30"/>
        <v>1558</v>
      </c>
      <c r="AC266" t="s">
        <v>26</v>
      </c>
      <c r="AD266" t="s">
        <v>3041</v>
      </c>
      <c r="AE266" t="s">
        <v>3042</v>
      </c>
      <c r="AF266" t="s">
        <v>29</v>
      </c>
      <c r="AG266" t="s">
        <v>30</v>
      </c>
      <c r="AH266" t="s">
        <v>31</v>
      </c>
      <c r="AK266" t="s">
        <v>3041</v>
      </c>
      <c r="AL266" t="s">
        <v>1967</v>
      </c>
      <c r="AM266" t="s">
        <v>3010</v>
      </c>
      <c r="AN266" s="8">
        <v>2.0685</v>
      </c>
      <c r="AO266">
        <v>199.694880401046</v>
      </c>
      <c r="AP266">
        <v>1575</v>
      </c>
      <c r="AQ266" s="9">
        <v>0.502</v>
      </c>
      <c r="AR266" t="s">
        <v>504</v>
      </c>
      <c r="AT266" s="15" t="s">
        <v>89</v>
      </c>
      <c r="AW266" s="11" t="str">
        <f t="shared" si="31"/>
        <v>EN_WOF_50_c02_COL</v>
      </c>
      <c r="AX266" s="11">
        <f t="shared" si="32"/>
        <v>1575</v>
      </c>
      <c r="AY266" s="11">
        <f t="shared" si="33"/>
        <v>1575</v>
      </c>
      <c r="AZ266" s="17">
        <v>3</v>
      </c>
      <c r="BA266">
        <f t="shared" si="34"/>
        <v>15.75</v>
      </c>
    </row>
    <row r="267" spans="2:53">
      <c r="B267" t="s">
        <v>26</v>
      </c>
      <c r="C267" t="s">
        <v>3043</v>
      </c>
      <c r="D267" t="s">
        <v>3044</v>
      </c>
      <c r="E267" t="s">
        <v>29</v>
      </c>
      <c r="F267" t="s">
        <v>30</v>
      </c>
      <c r="G267" t="s">
        <v>31</v>
      </c>
      <c r="J267" t="s">
        <v>3043</v>
      </c>
      <c r="K267" t="s">
        <v>1967</v>
      </c>
      <c r="L267" t="s">
        <v>2322</v>
      </c>
      <c r="M267" s="8">
        <v>19.50825</v>
      </c>
      <c r="N267">
        <v>145.23264029167</v>
      </c>
      <c r="O267">
        <v>1558</v>
      </c>
      <c r="P267" s="9">
        <v>0.229663065626081</v>
      </c>
      <c r="Q267" t="s">
        <v>265</v>
      </c>
      <c r="T267" s="15" t="s">
        <v>89</v>
      </c>
      <c r="W267" s="16" t="str">
        <f t="shared" si="28"/>
        <v>EN_WON_23_c04_BRA</v>
      </c>
      <c r="X267" s="12">
        <f t="shared" si="29"/>
        <v>1558</v>
      </c>
      <c r="Y267" s="11">
        <f t="shared" si="30"/>
        <v>1558</v>
      </c>
      <c r="AC267" t="s">
        <v>26</v>
      </c>
      <c r="AD267" t="s">
        <v>3045</v>
      </c>
      <c r="AE267" t="s">
        <v>3046</v>
      </c>
      <c r="AF267" t="s">
        <v>29</v>
      </c>
      <c r="AG267" t="s">
        <v>30</v>
      </c>
      <c r="AH267" t="s">
        <v>31</v>
      </c>
      <c r="AK267" t="s">
        <v>3045</v>
      </c>
      <c r="AL267" t="s">
        <v>1967</v>
      </c>
      <c r="AM267" t="s">
        <v>3010</v>
      </c>
      <c r="AN267" s="8">
        <v>2.32275</v>
      </c>
      <c r="AO267">
        <v>199.694880401046</v>
      </c>
      <c r="AP267">
        <v>1575</v>
      </c>
      <c r="AQ267" s="9">
        <v>0.506026477236035</v>
      </c>
      <c r="AR267" t="s">
        <v>504</v>
      </c>
      <c r="AT267" s="15" t="s">
        <v>89</v>
      </c>
      <c r="AW267" s="11" t="str">
        <f t="shared" si="31"/>
        <v>EN_WOF_51_c02_COL</v>
      </c>
      <c r="AX267" s="11">
        <f t="shared" si="32"/>
        <v>1575</v>
      </c>
      <c r="AY267" s="11">
        <f t="shared" si="33"/>
        <v>1575</v>
      </c>
      <c r="AZ267" s="17">
        <v>3</v>
      </c>
      <c r="BA267">
        <f t="shared" si="34"/>
        <v>15.75</v>
      </c>
    </row>
    <row r="268" spans="2:53">
      <c r="B268" t="s">
        <v>26</v>
      </c>
      <c r="C268" t="s">
        <v>3047</v>
      </c>
      <c r="D268" t="s">
        <v>3048</v>
      </c>
      <c r="E268" t="s">
        <v>29</v>
      </c>
      <c r="F268" t="s">
        <v>30</v>
      </c>
      <c r="G268" t="s">
        <v>31</v>
      </c>
      <c r="J268" t="s">
        <v>3047</v>
      </c>
      <c r="K268" t="s">
        <v>1967</v>
      </c>
      <c r="L268" t="s">
        <v>2322</v>
      </c>
      <c r="M268" s="8">
        <v>0.0795</v>
      </c>
      <c r="N268">
        <v>0</v>
      </c>
      <c r="O268">
        <v>1558</v>
      </c>
      <c r="P268" s="9">
        <v>0.236</v>
      </c>
      <c r="Q268" t="s">
        <v>265</v>
      </c>
      <c r="T268" s="15" t="s">
        <v>89</v>
      </c>
      <c r="W268" s="16" t="str">
        <f t="shared" si="28"/>
        <v>EN_WON_24_c01_BRA</v>
      </c>
      <c r="X268" s="12">
        <f t="shared" si="29"/>
        <v>1558</v>
      </c>
      <c r="Y268" s="11">
        <f t="shared" si="30"/>
        <v>1558</v>
      </c>
      <c r="AC268" t="s">
        <v>26</v>
      </c>
      <c r="AD268" t="s">
        <v>3049</v>
      </c>
      <c r="AE268" t="s">
        <v>3050</v>
      </c>
      <c r="AF268" t="s">
        <v>29</v>
      </c>
      <c r="AG268" t="s">
        <v>30</v>
      </c>
      <c r="AH268" t="s">
        <v>31</v>
      </c>
      <c r="AK268" t="s">
        <v>3049</v>
      </c>
      <c r="AL268" t="s">
        <v>1967</v>
      </c>
      <c r="AM268" t="s">
        <v>3010</v>
      </c>
      <c r="AN268" s="8">
        <v>2.826</v>
      </c>
      <c r="AO268">
        <v>199.694880401046</v>
      </c>
      <c r="AP268">
        <v>1575</v>
      </c>
      <c r="AQ268" s="9">
        <v>0.52</v>
      </c>
      <c r="AR268" t="s">
        <v>504</v>
      </c>
      <c r="AT268" s="15" t="s">
        <v>89</v>
      </c>
      <c r="AW268" s="11" t="str">
        <f t="shared" si="31"/>
        <v>EN_WOF_52_c02_COL</v>
      </c>
      <c r="AX268" s="11">
        <f t="shared" si="32"/>
        <v>1575</v>
      </c>
      <c r="AY268" s="11">
        <f t="shared" si="33"/>
        <v>1575</v>
      </c>
      <c r="AZ268" s="17">
        <v>3</v>
      </c>
      <c r="BA268">
        <f t="shared" si="34"/>
        <v>15.75</v>
      </c>
    </row>
    <row r="269" spans="2:53">
      <c r="B269" t="s">
        <v>26</v>
      </c>
      <c r="C269" t="s">
        <v>3051</v>
      </c>
      <c r="D269" t="s">
        <v>3052</v>
      </c>
      <c r="E269" t="s">
        <v>29</v>
      </c>
      <c r="F269" t="s">
        <v>30</v>
      </c>
      <c r="G269" t="s">
        <v>31</v>
      </c>
      <c r="J269" t="s">
        <v>3051</v>
      </c>
      <c r="K269" t="s">
        <v>1967</v>
      </c>
      <c r="L269" t="s">
        <v>2322</v>
      </c>
      <c r="M269" s="8">
        <v>12.33525</v>
      </c>
      <c r="N269">
        <v>80.7856561622413</v>
      </c>
      <c r="O269">
        <v>1558</v>
      </c>
      <c r="P269" s="9">
        <v>0.239682799294704</v>
      </c>
      <c r="Q269" t="s">
        <v>265</v>
      </c>
      <c r="T269" s="15" t="s">
        <v>89</v>
      </c>
      <c r="W269" s="16" t="str">
        <f t="shared" si="28"/>
        <v>EN_WON_24_c02_BRA</v>
      </c>
      <c r="X269" s="12">
        <f t="shared" si="29"/>
        <v>1558</v>
      </c>
      <c r="Y269" s="11">
        <f t="shared" si="30"/>
        <v>1558</v>
      </c>
      <c r="AC269" t="s">
        <v>26</v>
      </c>
      <c r="AD269" t="s">
        <v>3053</v>
      </c>
      <c r="AE269" t="s">
        <v>3054</v>
      </c>
      <c r="AF269" t="s">
        <v>29</v>
      </c>
      <c r="AG269" t="s">
        <v>30</v>
      </c>
      <c r="AH269" t="s">
        <v>31</v>
      </c>
      <c r="AK269" t="s">
        <v>3053</v>
      </c>
      <c r="AL269" t="s">
        <v>1967</v>
      </c>
      <c r="AM269" t="s">
        <v>3010</v>
      </c>
      <c r="AN269" s="8">
        <v>0.53775</v>
      </c>
      <c r="AO269">
        <v>199.694880401046</v>
      </c>
      <c r="AP269">
        <v>1575</v>
      </c>
      <c r="AQ269" s="9">
        <v>0.528</v>
      </c>
      <c r="AR269" t="s">
        <v>504</v>
      </c>
      <c r="AT269" s="15" t="s">
        <v>89</v>
      </c>
      <c r="AW269" s="11" t="str">
        <f t="shared" si="31"/>
        <v>EN_WOF_53_c02_COL</v>
      </c>
      <c r="AX269" s="11">
        <f t="shared" si="32"/>
        <v>1575</v>
      </c>
      <c r="AY269" s="11">
        <f t="shared" si="33"/>
        <v>1575</v>
      </c>
      <c r="AZ269" s="17">
        <v>3</v>
      </c>
      <c r="BA269">
        <f t="shared" si="34"/>
        <v>15.75</v>
      </c>
    </row>
    <row r="270" spans="2:53">
      <c r="B270" t="s">
        <v>26</v>
      </c>
      <c r="C270" t="s">
        <v>3055</v>
      </c>
      <c r="D270" t="s">
        <v>3056</v>
      </c>
      <c r="E270" t="s">
        <v>29</v>
      </c>
      <c r="F270" t="s">
        <v>30</v>
      </c>
      <c r="G270" t="s">
        <v>31</v>
      </c>
      <c r="J270" t="s">
        <v>3055</v>
      </c>
      <c r="K270" t="s">
        <v>1967</v>
      </c>
      <c r="L270" t="s">
        <v>2322</v>
      </c>
      <c r="M270" s="8">
        <v>10.305</v>
      </c>
      <c r="N270">
        <v>105.747516212372</v>
      </c>
      <c r="O270">
        <v>1558</v>
      </c>
      <c r="P270" s="9">
        <v>0.238905676855895</v>
      </c>
      <c r="Q270" t="s">
        <v>265</v>
      </c>
      <c r="T270" s="15" t="s">
        <v>89</v>
      </c>
      <c r="W270" s="16" t="str">
        <f t="shared" si="28"/>
        <v>EN_WON_24_c03_BRA</v>
      </c>
      <c r="X270" s="12">
        <f t="shared" si="29"/>
        <v>1558</v>
      </c>
      <c r="Y270" s="11">
        <f t="shared" si="30"/>
        <v>1558</v>
      </c>
      <c r="AC270" t="s">
        <v>26</v>
      </c>
      <c r="AD270" t="s">
        <v>3057</v>
      </c>
      <c r="AE270" t="s">
        <v>3058</v>
      </c>
      <c r="AF270" t="s">
        <v>29</v>
      </c>
      <c r="AG270" t="s">
        <v>30</v>
      </c>
      <c r="AH270" t="s">
        <v>31</v>
      </c>
      <c r="AK270" t="s">
        <v>3057</v>
      </c>
      <c r="AL270" t="s">
        <v>1967</v>
      </c>
      <c r="AM270" t="s">
        <v>3010</v>
      </c>
      <c r="AN270" s="8">
        <v>1.848</v>
      </c>
      <c r="AO270">
        <v>199.694880401046</v>
      </c>
      <c r="AP270">
        <v>1575</v>
      </c>
      <c r="AQ270" s="9">
        <v>0.57275</v>
      </c>
      <c r="AR270" t="s">
        <v>504</v>
      </c>
      <c r="AT270" s="15" t="s">
        <v>89</v>
      </c>
      <c r="AW270" s="11" t="str">
        <f t="shared" si="31"/>
        <v>EN_WOF_57_c02_COL</v>
      </c>
      <c r="AX270" s="11">
        <f t="shared" si="32"/>
        <v>1575</v>
      </c>
      <c r="AY270" s="11">
        <f t="shared" si="33"/>
        <v>1575</v>
      </c>
      <c r="AZ270" s="17">
        <v>3</v>
      </c>
      <c r="BA270">
        <f t="shared" si="34"/>
        <v>15.75</v>
      </c>
    </row>
    <row r="271" spans="2:53">
      <c r="B271" t="s">
        <v>26</v>
      </c>
      <c r="C271" t="s">
        <v>3059</v>
      </c>
      <c r="D271" t="s">
        <v>3060</v>
      </c>
      <c r="E271" t="s">
        <v>29</v>
      </c>
      <c r="F271" t="s">
        <v>30</v>
      </c>
      <c r="G271" t="s">
        <v>31</v>
      </c>
      <c r="J271" t="s">
        <v>3059</v>
      </c>
      <c r="K271" t="s">
        <v>1967</v>
      </c>
      <c r="L271" t="s">
        <v>2322</v>
      </c>
      <c r="M271" s="8">
        <v>24.411</v>
      </c>
      <c r="N271">
        <v>145.23264029167</v>
      </c>
      <c r="O271">
        <v>1558</v>
      </c>
      <c r="P271" s="9">
        <v>0.238408719429765</v>
      </c>
      <c r="Q271" t="s">
        <v>265</v>
      </c>
      <c r="T271" s="15" t="s">
        <v>89</v>
      </c>
      <c r="W271" s="16" t="str">
        <f t="shared" si="28"/>
        <v>EN_WON_24_c04_BRA</v>
      </c>
      <c r="X271" s="12">
        <f t="shared" si="29"/>
        <v>1558</v>
      </c>
      <c r="Y271" s="11">
        <f t="shared" si="30"/>
        <v>1558</v>
      </c>
      <c r="AC271" t="s">
        <v>26</v>
      </c>
      <c r="AD271" t="s">
        <v>3061</v>
      </c>
      <c r="AE271" t="s">
        <v>3062</v>
      </c>
      <c r="AF271" t="s">
        <v>29</v>
      </c>
      <c r="AG271" t="s">
        <v>30</v>
      </c>
      <c r="AH271" t="s">
        <v>31</v>
      </c>
      <c r="AK271" t="s">
        <v>3061</v>
      </c>
      <c r="AL271" t="s">
        <v>1967</v>
      </c>
      <c r="AM271" t="s">
        <v>3010</v>
      </c>
      <c r="AN271" s="8">
        <v>3.162</v>
      </c>
      <c r="AO271">
        <v>199.694880401046</v>
      </c>
      <c r="AP271">
        <v>1575</v>
      </c>
      <c r="AQ271" s="9">
        <v>0.581</v>
      </c>
      <c r="AR271" t="s">
        <v>504</v>
      </c>
      <c r="AT271" s="15" t="s">
        <v>89</v>
      </c>
      <c r="AW271" s="11" t="str">
        <f t="shared" si="31"/>
        <v>EN_WOF_58_c02_COL</v>
      </c>
      <c r="AX271" s="11">
        <f t="shared" si="32"/>
        <v>1575</v>
      </c>
      <c r="AY271" s="11">
        <f t="shared" si="33"/>
        <v>1575</v>
      </c>
      <c r="AZ271" s="17">
        <v>3</v>
      </c>
      <c r="BA271">
        <f t="shared" si="34"/>
        <v>15.75</v>
      </c>
    </row>
    <row r="272" spans="2:53">
      <c r="B272" t="s">
        <v>26</v>
      </c>
      <c r="C272" t="s">
        <v>3063</v>
      </c>
      <c r="D272" t="s">
        <v>3064</v>
      </c>
      <c r="E272" t="s">
        <v>29</v>
      </c>
      <c r="F272" t="s">
        <v>30</v>
      </c>
      <c r="G272" t="s">
        <v>31</v>
      </c>
      <c r="J272" t="s">
        <v>3063</v>
      </c>
      <c r="K272" t="s">
        <v>1967</v>
      </c>
      <c r="L272" t="s">
        <v>2322</v>
      </c>
      <c r="M272" s="8">
        <v>4.67325</v>
      </c>
      <c r="N272">
        <v>0</v>
      </c>
      <c r="O272">
        <v>1558</v>
      </c>
      <c r="P272" s="9">
        <v>0.251</v>
      </c>
      <c r="Q272" t="s">
        <v>265</v>
      </c>
      <c r="T272" s="15" t="s">
        <v>89</v>
      </c>
      <c r="W272" s="16" t="str">
        <f t="shared" si="28"/>
        <v>EN_WON_25_c01_BRA</v>
      </c>
      <c r="X272" s="12">
        <f t="shared" si="29"/>
        <v>1558</v>
      </c>
      <c r="Y272" s="11">
        <f t="shared" si="30"/>
        <v>1558</v>
      </c>
      <c r="AC272" t="s">
        <v>26</v>
      </c>
      <c r="AD272" t="s">
        <v>3065</v>
      </c>
      <c r="AE272" t="s">
        <v>3066</v>
      </c>
      <c r="AF272" t="s">
        <v>29</v>
      </c>
      <c r="AG272" t="s">
        <v>30</v>
      </c>
      <c r="AH272" t="s">
        <v>31</v>
      </c>
      <c r="AK272" t="s">
        <v>3065</v>
      </c>
      <c r="AL272" t="s">
        <v>1967</v>
      </c>
      <c r="AM272" t="s">
        <v>3010</v>
      </c>
      <c r="AN272" s="8">
        <v>4.45425</v>
      </c>
      <c r="AO272">
        <v>199.694880401046</v>
      </c>
      <c r="AP272">
        <v>1575</v>
      </c>
      <c r="AQ272" s="9">
        <v>0.585</v>
      </c>
      <c r="AR272" t="s">
        <v>504</v>
      </c>
      <c r="AT272" s="15" t="s">
        <v>89</v>
      </c>
      <c r="AW272" s="11" t="str">
        <f t="shared" si="31"/>
        <v>EN_WOF_59_c02_COL</v>
      </c>
      <c r="AX272" s="11">
        <f t="shared" si="32"/>
        <v>1575</v>
      </c>
      <c r="AY272" s="11">
        <f t="shared" si="33"/>
        <v>1575</v>
      </c>
      <c r="AZ272" s="17">
        <v>3</v>
      </c>
      <c r="BA272">
        <f t="shared" si="34"/>
        <v>15.75</v>
      </c>
    </row>
    <row r="273" spans="2:53">
      <c r="B273" t="s">
        <v>26</v>
      </c>
      <c r="C273" t="s">
        <v>3067</v>
      </c>
      <c r="D273" t="s">
        <v>3068</v>
      </c>
      <c r="E273" t="s">
        <v>29</v>
      </c>
      <c r="F273" t="s">
        <v>30</v>
      </c>
      <c r="G273" t="s">
        <v>31</v>
      </c>
      <c r="J273" t="s">
        <v>3067</v>
      </c>
      <c r="K273" t="s">
        <v>1967</v>
      </c>
      <c r="L273" t="s">
        <v>2322</v>
      </c>
      <c r="M273" s="8">
        <v>9.711</v>
      </c>
      <c r="N273">
        <v>80.7856561622413</v>
      </c>
      <c r="O273">
        <v>1558</v>
      </c>
      <c r="P273" s="9">
        <v>0.250158711770158</v>
      </c>
      <c r="Q273" t="s">
        <v>265</v>
      </c>
      <c r="T273" s="15" t="s">
        <v>89</v>
      </c>
      <c r="W273" s="16" t="str">
        <f t="shared" si="28"/>
        <v>EN_WON_25_c02_BRA</v>
      </c>
      <c r="X273" s="12">
        <f t="shared" si="29"/>
        <v>1558</v>
      </c>
      <c r="Y273" s="11">
        <f t="shared" si="30"/>
        <v>1558</v>
      </c>
      <c r="AC273" t="s">
        <v>26</v>
      </c>
      <c r="AD273" t="s">
        <v>3069</v>
      </c>
      <c r="AE273" t="s">
        <v>3070</v>
      </c>
      <c r="AF273" t="s">
        <v>29</v>
      </c>
      <c r="AG273" t="s">
        <v>30</v>
      </c>
      <c r="AH273" t="s">
        <v>31</v>
      </c>
      <c r="AK273" t="s">
        <v>3069</v>
      </c>
      <c r="AL273" t="s">
        <v>1967</v>
      </c>
      <c r="AM273" t="s">
        <v>3010</v>
      </c>
      <c r="AN273" s="8">
        <v>9.14025</v>
      </c>
      <c r="AO273">
        <v>199.694880401046</v>
      </c>
      <c r="AP273">
        <v>1575</v>
      </c>
      <c r="AQ273" s="9">
        <v>0.616962008697793</v>
      </c>
      <c r="AR273" t="s">
        <v>504</v>
      </c>
      <c r="AT273" s="15" t="s">
        <v>89</v>
      </c>
      <c r="AW273" s="11" t="str">
        <f t="shared" si="31"/>
        <v>EN_WOF_62_c02_COL</v>
      </c>
      <c r="AX273" s="11">
        <f t="shared" si="32"/>
        <v>1575</v>
      </c>
      <c r="AY273" s="11">
        <f t="shared" si="33"/>
        <v>1575</v>
      </c>
      <c r="AZ273" s="17">
        <v>3</v>
      </c>
      <c r="BA273">
        <f t="shared" si="34"/>
        <v>15.75</v>
      </c>
    </row>
    <row r="274" spans="2:53">
      <c r="B274" t="s">
        <v>26</v>
      </c>
      <c r="C274" t="s">
        <v>3071</v>
      </c>
      <c r="D274" t="s">
        <v>3072</v>
      </c>
      <c r="E274" t="s">
        <v>29</v>
      </c>
      <c r="F274" t="s">
        <v>30</v>
      </c>
      <c r="G274" t="s">
        <v>31</v>
      </c>
      <c r="J274" t="s">
        <v>3071</v>
      </c>
      <c r="K274" t="s">
        <v>1967</v>
      </c>
      <c r="L274" t="s">
        <v>2322</v>
      </c>
      <c r="M274" s="8">
        <v>9.798</v>
      </c>
      <c r="N274">
        <v>105.747516212372</v>
      </c>
      <c r="O274">
        <v>1558</v>
      </c>
      <c r="P274" s="9">
        <v>0.249131659522352</v>
      </c>
      <c r="Q274" t="s">
        <v>265</v>
      </c>
      <c r="T274" s="15" t="s">
        <v>89</v>
      </c>
      <c r="W274" s="16" t="str">
        <f t="shared" si="28"/>
        <v>EN_WON_25_c03_BRA</v>
      </c>
      <c r="X274" s="12">
        <f t="shared" si="29"/>
        <v>1558</v>
      </c>
      <c r="Y274" s="11">
        <f t="shared" si="30"/>
        <v>1558</v>
      </c>
      <c r="AC274" t="s">
        <v>26</v>
      </c>
      <c r="AD274" t="s">
        <v>3073</v>
      </c>
      <c r="AE274" t="s">
        <v>3074</v>
      </c>
      <c r="AF274" t="s">
        <v>29</v>
      </c>
      <c r="AG274" t="s">
        <v>30</v>
      </c>
      <c r="AH274" t="s">
        <v>31</v>
      </c>
      <c r="AK274" t="s">
        <v>3073</v>
      </c>
      <c r="AL274" t="s">
        <v>1967</v>
      </c>
      <c r="AM274" t="s">
        <v>3010</v>
      </c>
      <c r="AN274" s="8">
        <v>4.18725</v>
      </c>
      <c r="AO274">
        <v>199.694880401046</v>
      </c>
      <c r="AP274">
        <v>1575</v>
      </c>
      <c r="AQ274" s="9">
        <v>0.631</v>
      </c>
      <c r="AR274" t="s">
        <v>504</v>
      </c>
      <c r="AT274" s="15" t="s">
        <v>89</v>
      </c>
      <c r="AW274" s="11" t="str">
        <f t="shared" si="31"/>
        <v>EN_WOF_63_c02_COL</v>
      </c>
      <c r="AX274" s="11">
        <f t="shared" si="32"/>
        <v>1575</v>
      </c>
      <c r="AY274" s="11">
        <f t="shared" si="33"/>
        <v>1575</v>
      </c>
      <c r="AZ274" s="17">
        <v>3</v>
      </c>
      <c r="BA274">
        <f t="shared" si="34"/>
        <v>15.75</v>
      </c>
    </row>
    <row r="275" spans="2:53">
      <c r="B275" t="s">
        <v>26</v>
      </c>
      <c r="C275" t="s">
        <v>3075</v>
      </c>
      <c r="D275" t="s">
        <v>3076</v>
      </c>
      <c r="E275" t="s">
        <v>29</v>
      </c>
      <c r="F275" t="s">
        <v>30</v>
      </c>
      <c r="G275" t="s">
        <v>31</v>
      </c>
      <c r="J275" t="s">
        <v>3075</v>
      </c>
      <c r="K275" t="s">
        <v>1967</v>
      </c>
      <c r="L275" t="s">
        <v>2322</v>
      </c>
      <c r="M275" s="8">
        <v>14.65275</v>
      </c>
      <c r="N275">
        <v>145.23264029167</v>
      </c>
      <c r="O275">
        <v>1558</v>
      </c>
      <c r="P275" s="9">
        <v>0.248421968572452</v>
      </c>
      <c r="Q275" t="s">
        <v>265</v>
      </c>
      <c r="T275" s="15" t="s">
        <v>89</v>
      </c>
      <c r="W275" s="16" t="str">
        <f t="shared" si="28"/>
        <v>EN_WON_25_c04_BRA</v>
      </c>
      <c r="X275" s="12">
        <f t="shared" si="29"/>
        <v>1558</v>
      </c>
      <c r="Y275" s="11">
        <f t="shared" si="30"/>
        <v>1558</v>
      </c>
      <c r="AC275" t="s">
        <v>26</v>
      </c>
      <c r="AD275" t="s">
        <v>3077</v>
      </c>
      <c r="AE275" t="s">
        <v>3078</v>
      </c>
      <c r="AF275" t="s">
        <v>29</v>
      </c>
      <c r="AG275" t="s">
        <v>30</v>
      </c>
      <c r="AH275" t="s">
        <v>31</v>
      </c>
      <c r="AK275" t="s">
        <v>3077</v>
      </c>
      <c r="AL275" t="s">
        <v>1967</v>
      </c>
      <c r="AM275" t="s">
        <v>3010</v>
      </c>
      <c r="AN275" s="8">
        <v>2.21625</v>
      </c>
      <c r="AO275">
        <v>199.694880401046</v>
      </c>
      <c r="AP275">
        <v>1575</v>
      </c>
      <c r="AQ275" s="9">
        <v>0.637</v>
      </c>
      <c r="AR275" t="s">
        <v>504</v>
      </c>
      <c r="AT275" s="15" t="s">
        <v>89</v>
      </c>
      <c r="AW275" s="11" t="str">
        <f t="shared" si="31"/>
        <v>EN_WOF_64_c02_COL</v>
      </c>
      <c r="AX275" s="11">
        <f t="shared" si="32"/>
        <v>1575</v>
      </c>
      <c r="AY275" s="11">
        <f t="shared" si="33"/>
        <v>1575</v>
      </c>
      <c r="AZ275" s="17">
        <v>3</v>
      </c>
      <c r="BA275">
        <f t="shared" si="34"/>
        <v>15.75</v>
      </c>
    </row>
    <row r="276" spans="2:53">
      <c r="B276" t="s">
        <v>26</v>
      </c>
      <c r="C276" t="s">
        <v>3079</v>
      </c>
      <c r="D276" t="s">
        <v>3080</v>
      </c>
      <c r="E276" t="s">
        <v>29</v>
      </c>
      <c r="F276" t="s">
        <v>30</v>
      </c>
      <c r="G276" t="s">
        <v>31</v>
      </c>
      <c r="J276" t="s">
        <v>3079</v>
      </c>
      <c r="K276" t="s">
        <v>1967</v>
      </c>
      <c r="L276" t="s">
        <v>2322</v>
      </c>
      <c r="M276" s="8">
        <v>1.0755</v>
      </c>
      <c r="N276">
        <v>0</v>
      </c>
      <c r="O276">
        <v>1558</v>
      </c>
      <c r="P276" s="9">
        <v>0.258</v>
      </c>
      <c r="Q276" t="s">
        <v>265</v>
      </c>
      <c r="T276" s="15" t="s">
        <v>89</v>
      </c>
      <c r="W276" s="16" t="str">
        <f t="shared" si="28"/>
        <v>EN_WON_26_c01_BRA</v>
      </c>
      <c r="X276" s="12">
        <f t="shared" si="29"/>
        <v>1558</v>
      </c>
      <c r="Y276" s="11">
        <f t="shared" si="30"/>
        <v>1558</v>
      </c>
      <c r="AC276" t="s">
        <v>26</v>
      </c>
      <c r="AD276" t="s">
        <v>3081</v>
      </c>
      <c r="AE276" t="s">
        <v>3082</v>
      </c>
      <c r="AF276" t="s">
        <v>29</v>
      </c>
      <c r="AG276" t="s">
        <v>30</v>
      </c>
      <c r="AH276" t="s">
        <v>31</v>
      </c>
      <c r="AK276" t="s">
        <v>3081</v>
      </c>
      <c r="AL276" t="s">
        <v>1967</v>
      </c>
      <c r="AM276" t="s">
        <v>3010</v>
      </c>
      <c r="AN276" s="8">
        <v>3.27675</v>
      </c>
      <c r="AO276">
        <v>199.694880401046</v>
      </c>
      <c r="AP276">
        <v>1575</v>
      </c>
      <c r="AQ276" s="9">
        <v>0.647</v>
      </c>
      <c r="AR276" t="s">
        <v>504</v>
      </c>
      <c r="AT276" s="15" t="s">
        <v>89</v>
      </c>
      <c r="AW276" s="11" t="str">
        <f t="shared" si="31"/>
        <v>EN_WOF_65_c02_COL</v>
      </c>
      <c r="AX276" s="11">
        <f t="shared" si="32"/>
        <v>1575</v>
      </c>
      <c r="AY276" s="11">
        <f t="shared" si="33"/>
        <v>1575</v>
      </c>
      <c r="AZ276" s="17">
        <v>3</v>
      </c>
      <c r="BA276">
        <f t="shared" si="34"/>
        <v>15.75</v>
      </c>
    </row>
    <row r="277" spans="2:53">
      <c r="B277" t="s">
        <v>26</v>
      </c>
      <c r="C277" t="s">
        <v>3083</v>
      </c>
      <c r="D277" t="s">
        <v>3084</v>
      </c>
      <c r="E277" t="s">
        <v>29</v>
      </c>
      <c r="F277" t="s">
        <v>30</v>
      </c>
      <c r="G277" t="s">
        <v>31</v>
      </c>
      <c r="J277" t="s">
        <v>3083</v>
      </c>
      <c r="K277" t="s">
        <v>1967</v>
      </c>
      <c r="L277" t="s">
        <v>2322</v>
      </c>
      <c r="M277" s="8">
        <v>10.503</v>
      </c>
      <c r="N277">
        <v>80.7856561622413</v>
      </c>
      <c r="O277">
        <v>1558</v>
      </c>
      <c r="P277" s="9">
        <v>0.260557197943445</v>
      </c>
      <c r="Q277" t="s">
        <v>265</v>
      </c>
      <c r="T277" s="15" t="s">
        <v>89</v>
      </c>
      <c r="W277" s="16" t="str">
        <f t="shared" si="28"/>
        <v>EN_WON_26_c02_BRA</v>
      </c>
      <c r="X277" s="12">
        <f t="shared" si="29"/>
        <v>1558</v>
      </c>
      <c r="Y277" s="11">
        <f t="shared" si="30"/>
        <v>1558</v>
      </c>
      <c r="AC277" t="s">
        <v>26</v>
      </c>
      <c r="AD277" t="s">
        <v>3085</v>
      </c>
      <c r="AE277" t="s">
        <v>3086</v>
      </c>
      <c r="AF277" t="s">
        <v>29</v>
      </c>
      <c r="AG277" t="s">
        <v>30</v>
      </c>
      <c r="AH277" t="s">
        <v>31</v>
      </c>
      <c r="AK277" t="s">
        <v>3085</v>
      </c>
      <c r="AL277" t="s">
        <v>1967</v>
      </c>
      <c r="AM277" t="s">
        <v>3010</v>
      </c>
      <c r="AN277" s="8">
        <v>1.95825</v>
      </c>
      <c r="AO277">
        <v>199.694880401046</v>
      </c>
      <c r="AP277">
        <v>1575</v>
      </c>
      <c r="AQ277" s="9">
        <v>0.664</v>
      </c>
      <c r="AR277" t="s">
        <v>504</v>
      </c>
      <c r="AT277" s="15" t="s">
        <v>89</v>
      </c>
      <c r="AW277" s="11" t="str">
        <f t="shared" si="31"/>
        <v>EN_WOF_66_c02_COL</v>
      </c>
      <c r="AX277" s="11">
        <f t="shared" si="32"/>
        <v>1575</v>
      </c>
      <c r="AY277" s="11">
        <f t="shared" si="33"/>
        <v>1575</v>
      </c>
      <c r="AZ277" s="17">
        <v>3</v>
      </c>
      <c r="BA277">
        <f t="shared" si="34"/>
        <v>15.75</v>
      </c>
    </row>
    <row r="278" spans="2:53">
      <c r="B278" t="s">
        <v>26</v>
      </c>
      <c r="C278" t="s">
        <v>3087</v>
      </c>
      <c r="D278" t="s">
        <v>3088</v>
      </c>
      <c r="E278" t="s">
        <v>29</v>
      </c>
      <c r="F278" t="s">
        <v>30</v>
      </c>
      <c r="G278" t="s">
        <v>31</v>
      </c>
      <c r="J278" t="s">
        <v>3087</v>
      </c>
      <c r="K278" t="s">
        <v>1967</v>
      </c>
      <c r="L278" t="s">
        <v>2322</v>
      </c>
      <c r="M278" s="8">
        <v>10.43175</v>
      </c>
      <c r="N278">
        <v>105.747516212372</v>
      </c>
      <c r="O278">
        <v>1558</v>
      </c>
      <c r="P278" s="9">
        <v>0.258208569990654</v>
      </c>
      <c r="Q278" t="s">
        <v>265</v>
      </c>
      <c r="T278" s="15" t="s">
        <v>89</v>
      </c>
      <c r="W278" s="16" t="str">
        <f t="shared" si="28"/>
        <v>EN_WON_26_c03_BRA</v>
      </c>
      <c r="X278" s="12">
        <f t="shared" si="29"/>
        <v>1558</v>
      </c>
      <c r="Y278" s="11">
        <f t="shared" si="30"/>
        <v>1558</v>
      </c>
      <c r="AC278" t="s">
        <v>26</v>
      </c>
      <c r="AD278" t="s">
        <v>3089</v>
      </c>
      <c r="AE278" t="s">
        <v>3090</v>
      </c>
      <c r="AF278" t="s">
        <v>29</v>
      </c>
      <c r="AG278" t="s">
        <v>30</v>
      </c>
      <c r="AH278" t="s">
        <v>31</v>
      </c>
      <c r="AK278" t="s">
        <v>3089</v>
      </c>
      <c r="AL278" t="s">
        <v>1967</v>
      </c>
      <c r="AM278" t="s">
        <v>3091</v>
      </c>
      <c r="AN278" s="8">
        <v>1.1355</v>
      </c>
      <c r="AO278">
        <v>199.694880401046</v>
      </c>
      <c r="AP278">
        <v>1769</v>
      </c>
      <c r="AQ278" s="9">
        <v>0.322</v>
      </c>
      <c r="AR278" t="s">
        <v>530</v>
      </c>
      <c r="AT278" s="15" t="s">
        <v>89</v>
      </c>
      <c r="AW278" s="11" t="str">
        <f t="shared" si="31"/>
        <v>EN_WOF_32_c02_CRI</v>
      </c>
      <c r="AX278" s="11">
        <f t="shared" si="32"/>
        <v>1769</v>
      </c>
      <c r="AY278" s="11">
        <f t="shared" si="33"/>
        <v>1769</v>
      </c>
      <c r="AZ278" s="17">
        <v>3</v>
      </c>
      <c r="BA278">
        <f t="shared" si="34"/>
        <v>17.69</v>
      </c>
    </row>
    <row r="279" spans="2:53">
      <c r="B279" t="s">
        <v>26</v>
      </c>
      <c r="C279" t="s">
        <v>3092</v>
      </c>
      <c r="D279" t="s">
        <v>3093</v>
      </c>
      <c r="E279" t="s">
        <v>29</v>
      </c>
      <c r="F279" t="s">
        <v>30</v>
      </c>
      <c r="G279" t="s">
        <v>31</v>
      </c>
      <c r="J279" t="s">
        <v>3092</v>
      </c>
      <c r="K279" t="s">
        <v>1967</v>
      </c>
      <c r="L279" t="s">
        <v>2322</v>
      </c>
      <c r="M279" s="8">
        <v>8.7795</v>
      </c>
      <c r="N279">
        <v>145.23264029167</v>
      </c>
      <c r="O279">
        <v>1558</v>
      </c>
      <c r="P279" s="9">
        <v>0.257662480779088</v>
      </c>
      <c r="Q279" t="s">
        <v>265</v>
      </c>
      <c r="T279" s="15" t="s">
        <v>89</v>
      </c>
      <c r="W279" s="16" t="str">
        <f t="shared" si="28"/>
        <v>EN_WON_26_c04_BRA</v>
      </c>
      <c r="X279" s="12">
        <f t="shared" si="29"/>
        <v>1558</v>
      </c>
      <c r="Y279" s="11">
        <f t="shared" si="30"/>
        <v>1558</v>
      </c>
      <c r="AC279" t="s">
        <v>26</v>
      </c>
      <c r="AD279" t="s">
        <v>3094</v>
      </c>
      <c r="AE279" t="s">
        <v>3095</v>
      </c>
      <c r="AF279" t="s">
        <v>29</v>
      </c>
      <c r="AG279" t="s">
        <v>30</v>
      </c>
      <c r="AH279" t="s">
        <v>31</v>
      </c>
      <c r="AK279" t="s">
        <v>3094</v>
      </c>
      <c r="AL279" t="s">
        <v>1967</v>
      </c>
      <c r="AM279" t="s">
        <v>3091</v>
      </c>
      <c r="AN279" s="8">
        <v>5.5245</v>
      </c>
      <c r="AO279">
        <v>199.694880401046</v>
      </c>
      <c r="AP279">
        <v>1769</v>
      </c>
      <c r="AQ279" s="9">
        <v>0.449</v>
      </c>
      <c r="AR279" t="s">
        <v>530</v>
      </c>
      <c r="AT279" s="15" t="s">
        <v>89</v>
      </c>
      <c r="AW279" s="11" t="str">
        <f t="shared" si="31"/>
        <v>EN_WOF_45_c02_CRI</v>
      </c>
      <c r="AX279" s="11">
        <f t="shared" si="32"/>
        <v>1769</v>
      </c>
      <c r="AY279" s="11">
        <f t="shared" si="33"/>
        <v>1769</v>
      </c>
      <c r="AZ279" s="17">
        <v>3</v>
      </c>
      <c r="BA279">
        <f t="shared" si="34"/>
        <v>17.69</v>
      </c>
    </row>
    <row r="280" spans="2:53">
      <c r="B280" t="s">
        <v>26</v>
      </c>
      <c r="C280" t="s">
        <v>3096</v>
      </c>
      <c r="D280" t="s">
        <v>3097</v>
      </c>
      <c r="E280" t="s">
        <v>29</v>
      </c>
      <c r="F280" t="s">
        <v>30</v>
      </c>
      <c r="G280" t="s">
        <v>31</v>
      </c>
      <c r="J280" t="s">
        <v>3096</v>
      </c>
      <c r="K280" t="s">
        <v>1967</v>
      </c>
      <c r="L280" t="s">
        <v>2322</v>
      </c>
      <c r="M280" s="8">
        <v>3.23925</v>
      </c>
      <c r="N280">
        <v>0</v>
      </c>
      <c r="O280">
        <v>1558</v>
      </c>
      <c r="P280" s="9">
        <v>0.268939106274601</v>
      </c>
      <c r="Q280" t="s">
        <v>265</v>
      </c>
      <c r="T280" s="15" t="s">
        <v>89</v>
      </c>
      <c r="W280" s="16" t="str">
        <f t="shared" si="28"/>
        <v>EN_WON_27_c01_BRA</v>
      </c>
      <c r="X280" s="12">
        <f t="shared" si="29"/>
        <v>1558</v>
      </c>
      <c r="Y280" s="11">
        <f t="shared" si="30"/>
        <v>1558</v>
      </c>
      <c r="AC280" t="s">
        <v>26</v>
      </c>
      <c r="AD280" t="s">
        <v>3098</v>
      </c>
      <c r="AE280" t="s">
        <v>3099</v>
      </c>
      <c r="AF280" t="s">
        <v>29</v>
      </c>
      <c r="AG280" t="s">
        <v>30</v>
      </c>
      <c r="AH280" t="s">
        <v>31</v>
      </c>
      <c r="AK280" t="s">
        <v>3098</v>
      </c>
      <c r="AL280" t="s">
        <v>1967</v>
      </c>
      <c r="AM280" t="s">
        <v>3091</v>
      </c>
      <c r="AN280" s="8">
        <v>4.29</v>
      </c>
      <c r="AO280">
        <v>199.694880401046</v>
      </c>
      <c r="AP280">
        <v>1769</v>
      </c>
      <c r="AQ280" s="9">
        <v>0.49</v>
      </c>
      <c r="AR280" t="s">
        <v>530</v>
      </c>
      <c r="AT280" s="15" t="s">
        <v>89</v>
      </c>
      <c r="AW280" s="11" t="str">
        <f t="shared" si="31"/>
        <v>EN_WOF_49_c02_CRI</v>
      </c>
      <c r="AX280" s="11">
        <f t="shared" si="32"/>
        <v>1769</v>
      </c>
      <c r="AY280" s="11">
        <f t="shared" si="33"/>
        <v>1769</v>
      </c>
      <c r="AZ280" s="17">
        <v>3</v>
      </c>
      <c r="BA280">
        <f t="shared" si="34"/>
        <v>17.69</v>
      </c>
    </row>
    <row r="281" spans="2:53">
      <c r="B281" t="s">
        <v>26</v>
      </c>
      <c r="C281" t="s">
        <v>3100</v>
      </c>
      <c r="D281" t="s">
        <v>3101</v>
      </c>
      <c r="E281" t="s">
        <v>29</v>
      </c>
      <c r="F281" t="s">
        <v>30</v>
      </c>
      <c r="G281" t="s">
        <v>31</v>
      </c>
      <c r="J281" t="s">
        <v>3100</v>
      </c>
      <c r="K281" t="s">
        <v>1967</v>
      </c>
      <c r="L281" t="s">
        <v>2322</v>
      </c>
      <c r="M281" s="8">
        <v>13.845</v>
      </c>
      <c r="N281">
        <v>80.7856561622413</v>
      </c>
      <c r="O281">
        <v>1558</v>
      </c>
      <c r="P281" s="9">
        <v>0.268807258938245</v>
      </c>
      <c r="Q281" t="s">
        <v>265</v>
      </c>
      <c r="T281" s="15" t="s">
        <v>89</v>
      </c>
      <c r="W281" s="16" t="str">
        <f t="shared" si="28"/>
        <v>EN_WON_27_c02_BRA</v>
      </c>
      <c r="X281" s="12">
        <f t="shared" si="29"/>
        <v>1558</v>
      </c>
      <c r="Y281" s="11">
        <f t="shared" si="30"/>
        <v>1558</v>
      </c>
      <c r="AC281" t="s">
        <v>26</v>
      </c>
      <c r="AD281" t="s">
        <v>3102</v>
      </c>
      <c r="AE281" t="s">
        <v>3103</v>
      </c>
      <c r="AF281" t="s">
        <v>29</v>
      </c>
      <c r="AG281" t="s">
        <v>30</v>
      </c>
      <c r="AH281" t="s">
        <v>31</v>
      </c>
      <c r="AK281" t="s">
        <v>3102</v>
      </c>
      <c r="AL281" t="s">
        <v>1967</v>
      </c>
      <c r="AM281" t="s">
        <v>3091</v>
      </c>
      <c r="AN281" s="8">
        <v>4.224</v>
      </c>
      <c r="AO281">
        <v>199.694880401046</v>
      </c>
      <c r="AP281">
        <v>1769</v>
      </c>
      <c r="AQ281" s="9">
        <v>0.523</v>
      </c>
      <c r="AR281" t="s">
        <v>530</v>
      </c>
      <c r="AT281" s="15" t="s">
        <v>89</v>
      </c>
      <c r="AW281" s="11" t="str">
        <f t="shared" si="31"/>
        <v>EN_WOF_52_c02_CRI</v>
      </c>
      <c r="AX281" s="11">
        <f t="shared" si="32"/>
        <v>1769</v>
      </c>
      <c r="AY281" s="11">
        <f t="shared" si="33"/>
        <v>1769</v>
      </c>
      <c r="AZ281" s="17">
        <v>3</v>
      </c>
      <c r="BA281">
        <f t="shared" si="34"/>
        <v>17.69</v>
      </c>
    </row>
    <row r="282" spans="2:53">
      <c r="B282" t="s">
        <v>26</v>
      </c>
      <c r="C282" t="s">
        <v>3104</v>
      </c>
      <c r="D282" t="s">
        <v>3105</v>
      </c>
      <c r="E282" t="s">
        <v>29</v>
      </c>
      <c r="F282" t="s">
        <v>30</v>
      </c>
      <c r="G282" t="s">
        <v>31</v>
      </c>
      <c r="J282" t="s">
        <v>3104</v>
      </c>
      <c r="K282" t="s">
        <v>1967</v>
      </c>
      <c r="L282" t="s">
        <v>2322</v>
      </c>
      <c r="M282" s="8">
        <v>11.229</v>
      </c>
      <c r="N282">
        <v>105.747516212372</v>
      </c>
      <c r="O282">
        <v>1558</v>
      </c>
      <c r="P282" s="9">
        <v>0.269556238311515</v>
      </c>
      <c r="Q282" t="s">
        <v>265</v>
      </c>
      <c r="T282" s="15" t="s">
        <v>89</v>
      </c>
      <c r="W282" s="16" t="str">
        <f t="shared" si="28"/>
        <v>EN_WON_27_c03_BRA</v>
      </c>
      <c r="X282" s="12">
        <f t="shared" si="29"/>
        <v>1558</v>
      </c>
      <c r="Y282" s="11">
        <f t="shared" si="30"/>
        <v>1558</v>
      </c>
      <c r="AC282" t="s">
        <v>26</v>
      </c>
      <c r="AD282" t="s">
        <v>3106</v>
      </c>
      <c r="AE282" t="s">
        <v>3107</v>
      </c>
      <c r="AF282" t="s">
        <v>29</v>
      </c>
      <c r="AG282" t="s">
        <v>30</v>
      </c>
      <c r="AH282" t="s">
        <v>31</v>
      </c>
      <c r="AK282" t="s">
        <v>3106</v>
      </c>
      <c r="AL282" t="s">
        <v>1967</v>
      </c>
      <c r="AM282" t="s">
        <v>3108</v>
      </c>
      <c r="AN282" s="8">
        <v>5.8995</v>
      </c>
      <c r="AO282">
        <v>199.694880401046</v>
      </c>
      <c r="AP282">
        <v>1910</v>
      </c>
      <c r="AQ282" s="9">
        <v>0.303981439105009</v>
      </c>
      <c r="AR282" t="s">
        <v>538</v>
      </c>
      <c r="AT282" s="15" t="s">
        <v>89</v>
      </c>
      <c r="AW282" s="11" t="str">
        <f t="shared" si="31"/>
        <v>EN_WOF_30_c02_CUB</v>
      </c>
      <c r="AX282" s="11">
        <f t="shared" si="32"/>
        <v>1910</v>
      </c>
      <c r="AY282" s="11">
        <f t="shared" si="33"/>
        <v>1910</v>
      </c>
      <c r="AZ282" s="17">
        <v>3</v>
      </c>
      <c r="BA282">
        <f t="shared" si="34"/>
        <v>19.1</v>
      </c>
    </row>
    <row r="283" spans="2:53">
      <c r="B283" t="s">
        <v>26</v>
      </c>
      <c r="C283" t="s">
        <v>3109</v>
      </c>
      <c r="D283" t="s">
        <v>3110</v>
      </c>
      <c r="E283" t="s">
        <v>29</v>
      </c>
      <c r="F283" t="s">
        <v>30</v>
      </c>
      <c r="G283" t="s">
        <v>31</v>
      </c>
      <c r="J283" t="s">
        <v>3109</v>
      </c>
      <c r="K283" t="s">
        <v>1967</v>
      </c>
      <c r="L283" t="s">
        <v>2322</v>
      </c>
      <c r="M283" s="8">
        <v>2.4405</v>
      </c>
      <c r="N283">
        <v>145.23264029167</v>
      </c>
      <c r="O283">
        <v>1558</v>
      </c>
      <c r="P283" s="9">
        <v>0.266544867854948</v>
      </c>
      <c r="Q283" t="s">
        <v>265</v>
      </c>
      <c r="T283" s="15" t="s">
        <v>89</v>
      </c>
      <c r="W283" s="16" t="str">
        <f t="shared" si="28"/>
        <v>EN_WON_27_c04_BRA</v>
      </c>
      <c r="X283" s="12">
        <f t="shared" si="29"/>
        <v>1558</v>
      </c>
      <c r="Y283" s="11">
        <f t="shared" si="30"/>
        <v>1558</v>
      </c>
      <c r="AC283" t="s">
        <v>26</v>
      </c>
      <c r="AD283" t="s">
        <v>3111</v>
      </c>
      <c r="AE283" t="s">
        <v>3112</v>
      </c>
      <c r="AF283" t="s">
        <v>29</v>
      </c>
      <c r="AG283" t="s">
        <v>30</v>
      </c>
      <c r="AH283" t="s">
        <v>31</v>
      </c>
      <c r="AK283" t="s">
        <v>3111</v>
      </c>
      <c r="AL283" t="s">
        <v>1967</v>
      </c>
      <c r="AM283" t="s">
        <v>3108</v>
      </c>
      <c r="AN283" s="8">
        <v>14.4945</v>
      </c>
      <c r="AO283">
        <v>199.694880401046</v>
      </c>
      <c r="AP283">
        <v>1910</v>
      </c>
      <c r="AQ283" s="9">
        <v>0.310740711994205</v>
      </c>
      <c r="AR283" t="s">
        <v>538</v>
      </c>
      <c r="AT283" s="15" t="s">
        <v>89</v>
      </c>
      <c r="AW283" s="11" t="str">
        <f t="shared" si="31"/>
        <v>EN_WOF_31_c02_CUB</v>
      </c>
      <c r="AX283" s="11">
        <f t="shared" si="32"/>
        <v>1910</v>
      </c>
      <c r="AY283" s="11">
        <f t="shared" si="33"/>
        <v>1910</v>
      </c>
      <c r="AZ283" s="17">
        <v>3</v>
      </c>
      <c r="BA283">
        <f t="shared" si="34"/>
        <v>19.1</v>
      </c>
    </row>
    <row r="284" spans="2:53">
      <c r="B284" t="s">
        <v>26</v>
      </c>
      <c r="C284" t="s">
        <v>3113</v>
      </c>
      <c r="D284" t="s">
        <v>3114</v>
      </c>
      <c r="E284" t="s">
        <v>29</v>
      </c>
      <c r="F284" t="s">
        <v>30</v>
      </c>
      <c r="G284" t="s">
        <v>31</v>
      </c>
      <c r="J284" t="s">
        <v>3113</v>
      </c>
      <c r="K284" t="s">
        <v>1967</v>
      </c>
      <c r="L284" t="s">
        <v>2322</v>
      </c>
      <c r="M284" s="8">
        <v>6.16125</v>
      </c>
      <c r="N284">
        <v>0</v>
      </c>
      <c r="O284">
        <v>1558</v>
      </c>
      <c r="P284" s="9">
        <v>0.278685696895922</v>
      </c>
      <c r="Q284" t="s">
        <v>265</v>
      </c>
      <c r="T284" s="15" t="s">
        <v>89</v>
      </c>
      <c r="W284" s="16" t="str">
        <f t="shared" si="28"/>
        <v>EN_WON_28_c01_BRA</v>
      </c>
      <c r="X284" s="12">
        <f t="shared" si="29"/>
        <v>1558</v>
      </c>
      <c r="Y284" s="11">
        <f t="shared" si="30"/>
        <v>1558</v>
      </c>
      <c r="AC284" t="s">
        <v>26</v>
      </c>
      <c r="AD284" t="s">
        <v>3115</v>
      </c>
      <c r="AE284" t="s">
        <v>3116</v>
      </c>
      <c r="AF284" t="s">
        <v>29</v>
      </c>
      <c r="AG284" t="s">
        <v>30</v>
      </c>
      <c r="AH284" t="s">
        <v>31</v>
      </c>
      <c r="AK284" t="s">
        <v>3115</v>
      </c>
      <c r="AL284" t="s">
        <v>1967</v>
      </c>
      <c r="AM284" t="s">
        <v>3108</v>
      </c>
      <c r="AN284" s="8">
        <v>12.093</v>
      </c>
      <c r="AO284">
        <v>199.694880401046</v>
      </c>
      <c r="AP284">
        <v>1910</v>
      </c>
      <c r="AQ284" s="9">
        <v>0.32173306871744</v>
      </c>
      <c r="AR284" t="s">
        <v>538</v>
      </c>
      <c r="AT284" s="15" t="s">
        <v>89</v>
      </c>
      <c r="AW284" s="11" t="str">
        <f t="shared" si="31"/>
        <v>EN_WOF_32_c02_CUB</v>
      </c>
      <c r="AX284" s="11">
        <f t="shared" si="32"/>
        <v>1910</v>
      </c>
      <c r="AY284" s="11">
        <f t="shared" si="33"/>
        <v>1910</v>
      </c>
      <c r="AZ284" s="17">
        <v>3</v>
      </c>
      <c r="BA284">
        <f t="shared" si="34"/>
        <v>19.1</v>
      </c>
    </row>
    <row r="285" spans="2:53">
      <c r="B285" t="s">
        <v>26</v>
      </c>
      <c r="C285" t="s">
        <v>3117</v>
      </c>
      <c r="D285" t="s">
        <v>3118</v>
      </c>
      <c r="E285" t="s">
        <v>29</v>
      </c>
      <c r="F285" t="s">
        <v>30</v>
      </c>
      <c r="G285" t="s">
        <v>31</v>
      </c>
      <c r="J285" t="s">
        <v>3117</v>
      </c>
      <c r="K285" t="s">
        <v>1967</v>
      </c>
      <c r="L285" t="s">
        <v>2322</v>
      </c>
      <c r="M285" s="8">
        <v>11.442</v>
      </c>
      <c r="N285">
        <v>80.7856561622413</v>
      </c>
      <c r="O285">
        <v>1558</v>
      </c>
      <c r="P285" s="9">
        <v>0.280483678552701</v>
      </c>
      <c r="Q285" t="s">
        <v>265</v>
      </c>
      <c r="T285" s="15" t="s">
        <v>89</v>
      </c>
      <c r="W285" s="16" t="str">
        <f t="shared" si="28"/>
        <v>EN_WON_28_c02_BRA</v>
      </c>
      <c r="X285" s="12">
        <f t="shared" si="29"/>
        <v>1558</v>
      </c>
      <c r="Y285" s="11">
        <f t="shared" si="30"/>
        <v>1558</v>
      </c>
      <c r="AC285" t="s">
        <v>26</v>
      </c>
      <c r="AD285" t="s">
        <v>3119</v>
      </c>
      <c r="AE285" t="s">
        <v>3120</v>
      </c>
      <c r="AF285" t="s">
        <v>29</v>
      </c>
      <c r="AG285" t="s">
        <v>30</v>
      </c>
      <c r="AH285" t="s">
        <v>31</v>
      </c>
      <c r="AK285" t="s">
        <v>3119</v>
      </c>
      <c r="AL285" t="s">
        <v>1967</v>
      </c>
      <c r="AM285" t="s">
        <v>3108</v>
      </c>
      <c r="AN285" s="8">
        <v>8.25225</v>
      </c>
      <c r="AO285">
        <v>199.694880401046</v>
      </c>
      <c r="AP285">
        <v>1910</v>
      </c>
      <c r="AQ285" s="9">
        <v>0.329686540034536</v>
      </c>
      <c r="AR285" t="s">
        <v>538</v>
      </c>
      <c r="AT285" s="15" t="s">
        <v>89</v>
      </c>
      <c r="AW285" s="11" t="str">
        <f t="shared" si="31"/>
        <v>EN_WOF_33_c02_CUB</v>
      </c>
      <c r="AX285" s="11">
        <f t="shared" si="32"/>
        <v>1910</v>
      </c>
      <c r="AY285" s="11">
        <f t="shared" si="33"/>
        <v>1910</v>
      </c>
      <c r="AZ285" s="17">
        <v>3</v>
      </c>
      <c r="BA285">
        <f t="shared" si="34"/>
        <v>19.1</v>
      </c>
    </row>
    <row r="286" spans="2:53">
      <c r="B286" t="s">
        <v>26</v>
      </c>
      <c r="C286" t="s">
        <v>3121</v>
      </c>
      <c r="D286" t="s">
        <v>3122</v>
      </c>
      <c r="E286" t="s">
        <v>29</v>
      </c>
      <c r="F286" t="s">
        <v>30</v>
      </c>
      <c r="G286" t="s">
        <v>31</v>
      </c>
      <c r="J286" t="s">
        <v>3121</v>
      </c>
      <c r="K286" t="s">
        <v>1967</v>
      </c>
      <c r="L286" t="s">
        <v>2322</v>
      </c>
      <c r="M286" s="8">
        <v>7.3935</v>
      </c>
      <c r="N286">
        <v>105.747516212372</v>
      </c>
      <c r="O286">
        <v>1558</v>
      </c>
      <c r="P286" s="9">
        <v>0.278691316697099</v>
      </c>
      <c r="Q286" t="s">
        <v>265</v>
      </c>
      <c r="T286" s="15" t="s">
        <v>89</v>
      </c>
      <c r="W286" s="16" t="str">
        <f t="shared" si="28"/>
        <v>EN_WON_28_c03_BRA</v>
      </c>
      <c r="X286" s="12">
        <f t="shared" si="29"/>
        <v>1558</v>
      </c>
      <c r="Y286" s="11">
        <f t="shared" si="30"/>
        <v>1558</v>
      </c>
      <c r="AC286" t="s">
        <v>26</v>
      </c>
      <c r="AD286" t="s">
        <v>3123</v>
      </c>
      <c r="AE286" t="s">
        <v>3124</v>
      </c>
      <c r="AF286" t="s">
        <v>29</v>
      </c>
      <c r="AG286" t="s">
        <v>30</v>
      </c>
      <c r="AH286" t="s">
        <v>31</v>
      </c>
      <c r="AK286" t="s">
        <v>3123</v>
      </c>
      <c r="AL286" t="s">
        <v>1967</v>
      </c>
      <c r="AM286" t="s">
        <v>3108</v>
      </c>
      <c r="AN286" s="8">
        <v>5.175</v>
      </c>
      <c r="AO286">
        <v>199.694880401046</v>
      </c>
      <c r="AP286">
        <v>1910</v>
      </c>
      <c r="AQ286" s="9">
        <v>0.339305072463768</v>
      </c>
      <c r="AR286" t="s">
        <v>538</v>
      </c>
      <c r="AT286" s="15" t="s">
        <v>89</v>
      </c>
      <c r="AW286" s="11" t="str">
        <f t="shared" si="31"/>
        <v>EN_WOF_34_c02_CUB</v>
      </c>
      <c r="AX286" s="11">
        <f t="shared" si="32"/>
        <v>1910</v>
      </c>
      <c r="AY286" s="11">
        <f t="shared" si="33"/>
        <v>1910</v>
      </c>
      <c r="AZ286" s="17">
        <v>3</v>
      </c>
      <c r="BA286">
        <f t="shared" si="34"/>
        <v>19.1</v>
      </c>
    </row>
    <row r="287" spans="2:53">
      <c r="B287" t="s">
        <v>26</v>
      </c>
      <c r="C287" t="s">
        <v>3125</v>
      </c>
      <c r="D287" t="s">
        <v>3126</v>
      </c>
      <c r="E287" t="s">
        <v>29</v>
      </c>
      <c r="F287" t="s">
        <v>30</v>
      </c>
      <c r="G287" t="s">
        <v>31</v>
      </c>
      <c r="J287" t="s">
        <v>3125</v>
      </c>
      <c r="K287" t="s">
        <v>1967</v>
      </c>
      <c r="L287" t="s">
        <v>2322</v>
      </c>
      <c r="M287" s="8">
        <v>11.3265</v>
      </c>
      <c r="N287">
        <v>145.23264029167</v>
      </c>
      <c r="O287">
        <v>1558</v>
      </c>
      <c r="P287" s="9">
        <v>0.279152959872865</v>
      </c>
      <c r="Q287" t="s">
        <v>265</v>
      </c>
      <c r="T287" s="15" t="s">
        <v>89</v>
      </c>
      <c r="W287" s="16" t="str">
        <f t="shared" si="28"/>
        <v>EN_WON_28_c04_BRA</v>
      </c>
      <c r="X287" s="12">
        <f t="shared" si="29"/>
        <v>1558</v>
      </c>
      <c r="Y287" s="11">
        <f t="shared" si="30"/>
        <v>1558</v>
      </c>
      <c r="AC287" t="s">
        <v>26</v>
      </c>
      <c r="AD287" t="s">
        <v>3127</v>
      </c>
      <c r="AE287" t="s">
        <v>3128</v>
      </c>
      <c r="AF287" t="s">
        <v>29</v>
      </c>
      <c r="AG287" t="s">
        <v>30</v>
      </c>
      <c r="AH287" t="s">
        <v>31</v>
      </c>
      <c r="AK287" t="s">
        <v>3127</v>
      </c>
      <c r="AL287" t="s">
        <v>1967</v>
      </c>
      <c r="AM287" t="s">
        <v>3108</v>
      </c>
      <c r="AN287" s="8">
        <v>1.67325</v>
      </c>
      <c r="AO287">
        <v>199.694880401046</v>
      </c>
      <c r="AP287">
        <v>1910</v>
      </c>
      <c r="AQ287" s="9">
        <v>0.348184670551322</v>
      </c>
      <c r="AR287" t="s">
        <v>538</v>
      </c>
      <c r="AT287" s="15" t="s">
        <v>89</v>
      </c>
      <c r="AW287" s="11" t="str">
        <f t="shared" si="31"/>
        <v>EN_WOF_35_c02_CUB</v>
      </c>
      <c r="AX287" s="11">
        <f t="shared" si="32"/>
        <v>1910</v>
      </c>
      <c r="AY287" s="11">
        <f t="shared" si="33"/>
        <v>1910</v>
      </c>
      <c r="AZ287" s="17">
        <v>3</v>
      </c>
      <c r="BA287">
        <f t="shared" si="34"/>
        <v>19.1</v>
      </c>
    </row>
    <row r="288" spans="2:53">
      <c r="B288" t="s">
        <v>26</v>
      </c>
      <c r="C288" t="s">
        <v>3129</v>
      </c>
      <c r="D288" t="s">
        <v>3130</v>
      </c>
      <c r="E288" t="s">
        <v>29</v>
      </c>
      <c r="F288" t="s">
        <v>30</v>
      </c>
      <c r="G288" t="s">
        <v>31</v>
      </c>
      <c r="J288" t="s">
        <v>3129</v>
      </c>
      <c r="K288" t="s">
        <v>1967</v>
      </c>
      <c r="L288" t="s">
        <v>2322</v>
      </c>
      <c r="M288" s="8">
        <v>8.45325</v>
      </c>
      <c r="N288">
        <v>0</v>
      </c>
      <c r="O288">
        <v>1558</v>
      </c>
      <c r="P288" s="9">
        <v>0.291259249401118</v>
      </c>
      <c r="Q288" t="s">
        <v>265</v>
      </c>
      <c r="T288" s="15" t="s">
        <v>89</v>
      </c>
      <c r="W288" s="16" t="str">
        <f t="shared" si="28"/>
        <v>EN_WON_29_c01_BRA</v>
      </c>
      <c r="X288" s="12">
        <f t="shared" si="29"/>
        <v>1558</v>
      </c>
      <c r="Y288" s="11">
        <f t="shared" si="30"/>
        <v>1558</v>
      </c>
      <c r="AC288" t="s">
        <v>26</v>
      </c>
      <c r="AD288" t="s">
        <v>3131</v>
      </c>
      <c r="AE288" t="s">
        <v>3132</v>
      </c>
      <c r="AF288" t="s">
        <v>29</v>
      </c>
      <c r="AG288" t="s">
        <v>30</v>
      </c>
      <c r="AH288" t="s">
        <v>31</v>
      </c>
      <c r="AK288" t="s">
        <v>3131</v>
      </c>
      <c r="AL288" t="s">
        <v>1967</v>
      </c>
      <c r="AM288" t="s">
        <v>3108</v>
      </c>
      <c r="AN288" s="8">
        <v>3.28425</v>
      </c>
      <c r="AO288">
        <v>199.694880401046</v>
      </c>
      <c r="AP288">
        <v>1910</v>
      </c>
      <c r="AQ288" s="9">
        <v>0.357808175382507</v>
      </c>
      <c r="AR288" t="s">
        <v>538</v>
      </c>
      <c r="AT288" s="15" t="s">
        <v>89</v>
      </c>
      <c r="AW288" s="11" t="str">
        <f t="shared" si="31"/>
        <v>EN_WOF_36_c02_CUB</v>
      </c>
      <c r="AX288" s="11">
        <f t="shared" si="32"/>
        <v>1910</v>
      </c>
      <c r="AY288" s="11">
        <f t="shared" si="33"/>
        <v>1910</v>
      </c>
      <c r="AZ288" s="17">
        <v>3</v>
      </c>
      <c r="BA288">
        <f t="shared" si="34"/>
        <v>19.1</v>
      </c>
    </row>
    <row r="289" spans="2:53">
      <c r="B289" t="s">
        <v>26</v>
      </c>
      <c r="C289" t="s">
        <v>3133</v>
      </c>
      <c r="D289" t="s">
        <v>3134</v>
      </c>
      <c r="E289" t="s">
        <v>29</v>
      </c>
      <c r="F289" t="s">
        <v>30</v>
      </c>
      <c r="G289" t="s">
        <v>31</v>
      </c>
      <c r="J289" t="s">
        <v>3133</v>
      </c>
      <c r="K289" t="s">
        <v>1967</v>
      </c>
      <c r="L289" t="s">
        <v>2322</v>
      </c>
      <c r="M289" s="8">
        <v>4.344</v>
      </c>
      <c r="N289">
        <v>80.7856561622413</v>
      </c>
      <c r="O289">
        <v>1558</v>
      </c>
      <c r="P289" s="9">
        <v>0.287545925414365</v>
      </c>
      <c r="Q289" t="s">
        <v>265</v>
      </c>
      <c r="T289" s="15" t="s">
        <v>89</v>
      </c>
      <c r="W289" s="16" t="str">
        <f t="shared" si="28"/>
        <v>EN_WON_29_c02_BRA</v>
      </c>
      <c r="X289" s="12">
        <f t="shared" si="29"/>
        <v>1558</v>
      </c>
      <c r="Y289" s="11">
        <f t="shared" si="30"/>
        <v>1558</v>
      </c>
      <c r="AC289" t="s">
        <v>26</v>
      </c>
      <c r="AD289" t="s">
        <v>3135</v>
      </c>
      <c r="AE289" t="s">
        <v>3136</v>
      </c>
      <c r="AF289" t="s">
        <v>29</v>
      </c>
      <c r="AG289" t="s">
        <v>30</v>
      </c>
      <c r="AH289" t="s">
        <v>31</v>
      </c>
      <c r="AK289" t="s">
        <v>3135</v>
      </c>
      <c r="AL289" t="s">
        <v>1967</v>
      </c>
      <c r="AM289" t="s">
        <v>3108</v>
      </c>
      <c r="AN289" s="8">
        <v>3.09225</v>
      </c>
      <c r="AO289">
        <v>199.694880401046</v>
      </c>
      <c r="AP289">
        <v>1910</v>
      </c>
      <c r="AQ289" s="9">
        <v>0.36951588649042</v>
      </c>
      <c r="AR289" t="s">
        <v>538</v>
      </c>
      <c r="AT289" s="15" t="s">
        <v>89</v>
      </c>
      <c r="AW289" s="11" t="str">
        <f t="shared" si="31"/>
        <v>EN_WOF_37_c02_CUB</v>
      </c>
      <c r="AX289" s="11">
        <f t="shared" si="32"/>
        <v>1910</v>
      </c>
      <c r="AY289" s="11">
        <f t="shared" si="33"/>
        <v>1910</v>
      </c>
      <c r="AZ289" s="17">
        <v>3</v>
      </c>
      <c r="BA289">
        <f t="shared" si="34"/>
        <v>19.1</v>
      </c>
    </row>
    <row r="290" spans="2:53">
      <c r="B290" t="s">
        <v>26</v>
      </c>
      <c r="C290" t="s">
        <v>3137</v>
      </c>
      <c r="D290" t="s">
        <v>3138</v>
      </c>
      <c r="E290" t="s">
        <v>29</v>
      </c>
      <c r="F290" t="s">
        <v>30</v>
      </c>
      <c r="G290" t="s">
        <v>31</v>
      </c>
      <c r="J290" t="s">
        <v>3137</v>
      </c>
      <c r="K290" t="s">
        <v>1967</v>
      </c>
      <c r="L290" t="s">
        <v>2322</v>
      </c>
      <c r="M290" s="8">
        <v>6.02925</v>
      </c>
      <c r="N290">
        <v>105.747516212372</v>
      </c>
      <c r="O290">
        <v>1558</v>
      </c>
      <c r="P290" s="9">
        <v>0.290419579549695</v>
      </c>
      <c r="Q290" t="s">
        <v>265</v>
      </c>
      <c r="T290" s="15" t="s">
        <v>89</v>
      </c>
      <c r="W290" s="16" t="str">
        <f t="shared" si="28"/>
        <v>EN_WON_29_c03_BRA</v>
      </c>
      <c r="X290" s="12">
        <f t="shared" si="29"/>
        <v>1558</v>
      </c>
      <c r="Y290" s="11">
        <f t="shared" si="30"/>
        <v>1558</v>
      </c>
      <c r="AC290" t="s">
        <v>26</v>
      </c>
      <c r="AD290" t="s">
        <v>3139</v>
      </c>
      <c r="AE290" t="s">
        <v>3140</v>
      </c>
      <c r="AF290" t="s">
        <v>29</v>
      </c>
      <c r="AG290" t="s">
        <v>30</v>
      </c>
      <c r="AH290" t="s">
        <v>31</v>
      </c>
      <c r="AK290" t="s">
        <v>3139</v>
      </c>
      <c r="AL290" t="s">
        <v>1967</v>
      </c>
      <c r="AM290" t="s">
        <v>3108</v>
      </c>
      <c r="AN290" s="8">
        <v>0.591</v>
      </c>
      <c r="AO290">
        <v>199.694880401046</v>
      </c>
      <c r="AP290">
        <v>1910</v>
      </c>
      <c r="AQ290" s="9">
        <v>0.38</v>
      </c>
      <c r="AR290" t="s">
        <v>538</v>
      </c>
      <c r="AT290" s="15" t="s">
        <v>89</v>
      </c>
      <c r="AW290" s="11" t="str">
        <f t="shared" si="31"/>
        <v>EN_WOF_38_c02_CUB</v>
      </c>
      <c r="AX290" s="11">
        <f t="shared" si="32"/>
        <v>1910</v>
      </c>
      <c r="AY290" s="11">
        <f t="shared" si="33"/>
        <v>1910</v>
      </c>
      <c r="AZ290" s="17">
        <v>3</v>
      </c>
      <c r="BA290">
        <f t="shared" si="34"/>
        <v>19.1</v>
      </c>
    </row>
    <row r="291" spans="2:53">
      <c r="B291" t="s">
        <v>26</v>
      </c>
      <c r="C291" t="s">
        <v>3141</v>
      </c>
      <c r="D291" t="s">
        <v>3142</v>
      </c>
      <c r="E291" t="s">
        <v>29</v>
      </c>
      <c r="F291" t="s">
        <v>30</v>
      </c>
      <c r="G291" t="s">
        <v>31</v>
      </c>
      <c r="J291" t="s">
        <v>3141</v>
      </c>
      <c r="K291" t="s">
        <v>1967</v>
      </c>
      <c r="L291" t="s">
        <v>2322</v>
      </c>
      <c r="M291" s="8">
        <v>5.24925</v>
      </c>
      <c r="N291">
        <v>145.23264029167</v>
      </c>
      <c r="O291">
        <v>1558</v>
      </c>
      <c r="P291" s="9">
        <v>0.288550792970424</v>
      </c>
      <c r="Q291" t="s">
        <v>265</v>
      </c>
      <c r="T291" s="15" t="s">
        <v>89</v>
      </c>
      <c r="W291" s="16" t="str">
        <f t="shared" si="28"/>
        <v>EN_WON_29_c04_BRA</v>
      </c>
      <c r="X291" s="12">
        <f t="shared" si="29"/>
        <v>1558</v>
      </c>
      <c r="Y291" s="11">
        <f t="shared" si="30"/>
        <v>1558</v>
      </c>
      <c r="AC291" t="s">
        <v>26</v>
      </c>
      <c r="AD291" t="s">
        <v>3143</v>
      </c>
      <c r="AE291" t="s">
        <v>3144</v>
      </c>
      <c r="AF291" t="s">
        <v>29</v>
      </c>
      <c r="AG291" t="s">
        <v>30</v>
      </c>
      <c r="AH291" t="s">
        <v>31</v>
      </c>
      <c r="AK291" t="s">
        <v>3143</v>
      </c>
      <c r="AL291" t="s">
        <v>1967</v>
      </c>
      <c r="AM291" t="s">
        <v>3145</v>
      </c>
      <c r="AN291" s="8">
        <v>0.696</v>
      </c>
      <c r="AO291">
        <v>199.694880401046</v>
      </c>
      <c r="AP291">
        <v>1762</v>
      </c>
      <c r="AQ291" s="9">
        <v>0.493</v>
      </c>
      <c r="AR291" t="s">
        <v>562</v>
      </c>
      <c r="AT291" s="15" t="s">
        <v>69</v>
      </c>
      <c r="AW291" s="11" t="str">
        <f t="shared" si="31"/>
        <v>EN_WOF_49_c02_DEU</v>
      </c>
      <c r="AX291" s="11">
        <f t="shared" si="32"/>
        <v>1762</v>
      </c>
      <c r="AY291" s="11">
        <f t="shared" si="33"/>
        <v>1762</v>
      </c>
      <c r="AZ291" s="17">
        <v>3</v>
      </c>
      <c r="BA291">
        <f t="shared" si="34"/>
        <v>17.62</v>
      </c>
    </row>
    <row r="292" spans="2:53">
      <c r="B292" t="s">
        <v>26</v>
      </c>
      <c r="C292" t="s">
        <v>3146</v>
      </c>
      <c r="D292" t="s">
        <v>3147</v>
      </c>
      <c r="E292" t="s">
        <v>29</v>
      </c>
      <c r="F292" t="s">
        <v>30</v>
      </c>
      <c r="G292" t="s">
        <v>31</v>
      </c>
      <c r="J292" t="s">
        <v>3146</v>
      </c>
      <c r="K292" t="s">
        <v>1967</v>
      </c>
      <c r="L292" t="s">
        <v>2322</v>
      </c>
      <c r="M292" s="8">
        <v>5.13225</v>
      </c>
      <c r="N292">
        <v>0</v>
      </c>
      <c r="O292">
        <v>1558</v>
      </c>
      <c r="P292" s="9">
        <v>0.301255735788397</v>
      </c>
      <c r="Q292" t="s">
        <v>265</v>
      </c>
      <c r="T292" s="15" t="s">
        <v>89</v>
      </c>
      <c r="W292" s="16" t="str">
        <f t="shared" si="28"/>
        <v>EN_WON_30_c01_BRA</v>
      </c>
      <c r="X292" s="12">
        <f t="shared" si="29"/>
        <v>1558</v>
      </c>
      <c r="Y292" s="11">
        <f t="shared" si="30"/>
        <v>1558</v>
      </c>
      <c r="AC292" t="s">
        <v>26</v>
      </c>
      <c r="AD292" t="s">
        <v>3148</v>
      </c>
      <c r="AE292" t="s">
        <v>3149</v>
      </c>
      <c r="AF292" t="s">
        <v>29</v>
      </c>
      <c r="AG292" t="s">
        <v>30</v>
      </c>
      <c r="AH292" t="s">
        <v>31</v>
      </c>
      <c r="AK292" t="s">
        <v>3148</v>
      </c>
      <c r="AL292" t="s">
        <v>1967</v>
      </c>
      <c r="AM292" t="s">
        <v>3145</v>
      </c>
      <c r="AN292" s="8">
        <v>1.12575</v>
      </c>
      <c r="AO292">
        <v>199.694880401046</v>
      </c>
      <c r="AP292">
        <v>1762</v>
      </c>
      <c r="AQ292" s="9">
        <v>0.524</v>
      </c>
      <c r="AR292" t="s">
        <v>562</v>
      </c>
      <c r="AT292" s="15" t="s">
        <v>69</v>
      </c>
      <c r="AW292" s="11" t="str">
        <f t="shared" si="31"/>
        <v>EN_WOF_52_c02_DEU</v>
      </c>
      <c r="AX292" s="11">
        <f t="shared" si="32"/>
        <v>1762</v>
      </c>
      <c r="AY292" s="11">
        <f t="shared" si="33"/>
        <v>1762</v>
      </c>
      <c r="AZ292" s="17">
        <v>3</v>
      </c>
      <c r="BA292">
        <f t="shared" si="34"/>
        <v>17.62</v>
      </c>
    </row>
    <row r="293" spans="2:53">
      <c r="B293" t="s">
        <v>26</v>
      </c>
      <c r="C293" t="s">
        <v>3150</v>
      </c>
      <c r="D293" t="s">
        <v>3151</v>
      </c>
      <c r="E293" t="s">
        <v>29</v>
      </c>
      <c r="F293" t="s">
        <v>30</v>
      </c>
      <c r="G293" t="s">
        <v>31</v>
      </c>
      <c r="J293" t="s">
        <v>3150</v>
      </c>
      <c r="K293" t="s">
        <v>1967</v>
      </c>
      <c r="L293" t="s">
        <v>2322</v>
      </c>
      <c r="M293" s="8">
        <v>20.817</v>
      </c>
      <c r="N293">
        <v>80.7856561622413</v>
      </c>
      <c r="O293">
        <v>1558</v>
      </c>
      <c r="P293" s="9">
        <v>0.300270247874333</v>
      </c>
      <c r="Q293" t="s">
        <v>265</v>
      </c>
      <c r="T293" s="15" t="s">
        <v>89</v>
      </c>
      <c r="W293" s="16" t="str">
        <f t="shared" si="28"/>
        <v>EN_WON_30_c02_BRA</v>
      </c>
      <c r="X293" s="12">
        <f t="shared" si="29"/>
        <v>1558</v>
      </c>
      <c r="Y293" s="11">
        <f t="shared" si="30"/>
        <v>1558</v>
      </c>
      <c r="AC293" t="s">
        <v>26</v>
      </c>
      <c r="AD293" t="s">
        <v>3152</v>
      </c>
      <c r="AE293" t="s">
        <v>3153</v>
      </c>
      <c r="AF293" t="s">
        <v>29</v>
      </c>
      <c r="AG293" t="s">
        <v>30</v>
      </c>
      <c r="AH293" t="s">
        <v>31</v>
      </c>
      <c r="AK293" t="s">
        <v>3152</v>
      </c>
      <c r="AL293" t="s">
        <v>1967</v>
      </c>
      <c r="AM293" t="s">
        <v>3154</v>
      </c>
      <c r="AN293" s="8">
        <v>5.24175</v>
      </c>
      <c r="AO293">
        <v>199.694880401046</v>
      </c>
      <c r="AP293">
        <v>1952</v>
      </c>
      <c r="AQ293" s="9">
        <v>0.302</v>
      </c>
      <c r="AR293" t="s">
        <v>574</v>
      </c>
      <c r="AT293" s="15" t="s">
        <v>54</v>
      </c>
      <c r="AW293" s="11" t="str">
        <f t="shared" si="31"/>
        <v>EN_WOF_30_c02_DJI</v>
      </c>
      <c r="AX293" s="11">
        <f t="shared" si="32"/>
        <v>1952</v>
      </c>
      <c r="AY293" s="11">
        <f t="shared" si="33"/>
        <v>1952</v>
      </c>
      <c r="AZ293" s="17">
        <v>3</v>
      </c>
      <c r="BA293">
        <f t="shared" si="34"/>
        <v>19.52</v>
      </c>
    </row>
    <row r="294" spans="2:53">
      <c r="B294" t="s">
        <v>26</v>
      </c>
      <c r="C294" t="s">
        <v>3155</v>
      </c>
      <c r="D294" t="s">
        <v>3156</v>
      </c>
      <c r="E294" t="s">
        <v>29</v>
      </c>
      <c r="F294" t="s">
        <v>30</v>
      </c>
      <c r="G294" t="s">
        <v>31</v>
      </c>
      <c r="J294" t="s">
        <v>3155</v>
      </c>
      <c r="K294" t="s">
        <v>1967</v>
      </c>
      <c r="L294" t="s">
        <v>2322</v>
      </c>
      <c r="M294" s="8">
        <v>6.06375</v>
      </c>
      <c r="N294">
        <v>105.747516212372</v>
      </c>
      <c r="O294">
        <v>1558</v>
      </c>
      <c r="P294" s="9">
        <v>0.301774768089054</v>
      </c>
      <c r="Q294" t="s">
        <v>265</v>
      </c>
      <c r="T294" s="15" t="s">
        <v>89</v>
      </c>
      <c r="W294" s="16" t="str">
        <f t="shared" si="28"/>
        <v>EN_WON_30_c03_BRA</v>
      </c>
      <c r="X294" s="12">
        <f t="shared" si="29"/>
        <v>1558</v>
      </c>
      <c r="Y294" s="11">
        <f t="shared" si="30"/>
        <v>1558</v>
      </c>
      <c r="AC294" t="s">
        <v>26</v>
      </c>
      <c r="AD294" t="s">
        <v>3157</v>
      </c>
      <c r="AE294" t="s">
        <v>3158</v>
      </c>
      <c r="AF294" t="s">
        <v>29</v>
      </c>
      <c r="AG294" t="s">
        <v>30</v>
      </c>
      <c r="AH294" t="s">
        <v>31</v>
      </c>
      <c r="AK294" t="s">
        <v>3157</v>
      </c>
      <c r="AL294" t="s">
        <v>1967</v>
      </c>
      <c r="AM294" t="s">
        <v>3159</v>
      </c>
      <c r="AN294" s="8">
        <v>2.709</v>
      </c>
      <c r="AO294">
        <v>199.694880401046</v>
      </c>
      <c r="AP294">
        <v>1997</v>
      </c>
      <c r="AQ294" s="9">
        <v>0.374</v>
      </c>
      <c r="AR294" t="s">
        <v>3160</v>
      </c>
      <c r="AT294" s="15" t="s">
        <v>89</v>
      </c>
      <c r="AW294" s="11" t="str">
        <f t="shared" si="31"/>
        <v>EN_WOF_37_c02_DMA</v>
      </c>
      <c r="AX294" s="11">
        <f t="shared" si="32"/>
        <v>1997</v>
      </c>
      <c r="AY294" s="11">
        <f t="shared" si="33"/>
        <v>1997</v>
      </c>
      <c r="AZ294" s="17">
        <v>3</v>
      </c>
      <c r="BA294">
        <f t="shared" si="34"/>
        <v>19.97</v>
      </c>
    </row>
    <row r="295" spans="2:53">
      <c r="B295" t="s">
        <v>26</v>
      </c>
      <c r="C295" t="s">
        <v>3161</v>
      </c>
      <c r="D295" t="s">
        <v>3162</v>
      </c>
      <c r="E295" t="s">
        <v>29</v>
      </c>
      <c r="F295" t="s">
        <v>30</v>
      </c>
      <c r="G295" t="s">
        <v>31</v>
      </c>
      <c r="J295" t="s">
        <v>3161</v>
      </c>
      <c r="K295" t="s">
        <v>1967</v>
      </c>
      <c r="L295" t="s">
        <v>2322</v>
      </c>
      <c r="M295" s="8">
        <v>7.20525</v>
      </c>
      <c r="N295">
        <v>145.23264029167</v>
      </c>
      <c r="O295">
        <v>1558</v>
      </c>
      <c r="P295" s="9">
        <v>0.302905381492662</v>
      </c>
      <c r="Q295" t="s">
        <v>265</v>
      </c>
      <c r="T295" s="15" t="s">
        <v>89</v>
      </c>
      <c r="W295" s="16" t="str">
        <f t="shared" si="28"/>
        <v>EN_WON_30_c04_BRA</v>
      </c>
      <c r="X295" s="12">
        <f t="shared" si="29"/>
        <v>1558</v>
      </c>
      <c r="Y295" s="11">
        <f t="shared" si="30"/>
        <v>1558</v>
      </c>
      <c r="AC295" t="s">
        <v>26</v>
      </c>
      <c r="AD295" t="s">
        <v>3163</v>
      </c>
      <c r="AE295" t="s">
        <v>3164</v>
      </c>
      <c r="AF295" t="s">
        <v>29</v>
      </c>
      <c r="AG295" t="s">
        <v>30</v>
      </c>
      <c r="AH295" t="s">
        <v>31</v>
      </c>
      <c r="AK295" t="s">
        <v>3163</v>
      </c>
      <c r="AL295" t="s">
        <v>1967</v>
      </c>
      <c r="AM295" t="s">
        <v>3165</v>
      </c>
      <c r="AN295" s="8">
        <v>1.119</v>
      </c>
      <c r="AO295">
        <v>199.694880401046</v>
      </c>
      <c r="AP295">
        <v>1900</v>
      </c>
      <c r="AQ295" s="9">
        <v>0.482</v>
      </c>
      <c r="AR295" t="s">
        <v>580</v>
      </c>
      <c r="AT295" s="15" t="s">
        <v>69</v>
      </c>
      <c r="AW295" s="11" t="str">
        <f t="shared" si="31"/>
        <v>EN_WOF_48_c02_DNK</v>
      </c>
      <c r="AX295" s="11">
        <f t="shared" si="32"/>
        <v>1900</v>
      </c>
      <c r="AY295" s="11">
        <f t="shared" si="33"/>
        <v>1900</v>
      </c>
      <c r="AZ295" s="17">
        <v>3</v>
      </c>
      <c r="BA295">
        <f t="shared" si="34"/>
        <v>19</v>
      </c>
    </row>
    <row r="296" spans="2:53">
      <c r="B296" t="s">
        <v>26</v>
      </c>
      <c r="C296" t="s">
        <v>3166</v>
      </c>
      <c r="D296" t="s">
        <v>3167</v>
      </c>
      <c r="E296" t="s">
        <v>29</v>
      </c>
      <c r="F296" t="s">
        <v>30</v>
      </c>
      <c r="G296" t="s">
        <v>31</v>
      </c>
      <c r="J296" t="s">
        <v>3166</v>
      </c>
      <c r="K296" t="s">
        <v>1967</v>
      </c>
      <c r="L296" t="s">
        <v>2322</v>
      </c>
      <c r="M296" s="8">
        <v>9.4155</v>
      </c>
      <c r="N296">
        <v>0</v>
      </c>
      <c r="O296">
        <v>1558</v>
      </c>
      <c r="P296" s="9">
        <v>0.310275768679305</v>
      </c>
      <c r="Q296" t="s">
        <v>265</v>
      </c>
      <c r="T296" s="15" t="s">
        <v>89</v>
      </c>
      <c r="W296" s="16" t="str">
        <f t="shared" si="28"/>
        <v>EN_WON_31_c01_BRA</v>
      </c>
      <c r="X296" s="12">
        <f t="shared" si="29"/>
        <v>1558</v>
      </c>
      <c r="Y296" s="11">
        <f t="shared" si="30"/>
        <v>1558</v>
      </c>
      <c r="AC296" t="s">
        <v>26</v>
      </c>
      <c r="AD296" t="s">
        <v>3168</v>
      </c>
      <c r="AE296" t="s">
        <v>3169</v>
      </c>
      <c r="AF296" t="s">
        <v>29</v>
      </c>
      <c r="AG296" t="s">
        <v>30</v>
      </c>
      <c r="AH296" t="s">
        <v>31</v>
      </c>
      <c r="AK296" t="s">
        <v>3168</v>
      </c>
      <c r="AL296" t="s">
        <v>1967</v>
      </c>
      <c r="AM296" t="s">
        <v>3165</v>
      </c>
      <c r="AN296" s="8">
        <v>14.10675</v>
      </c>
      <c r="AO296">
        <v>199.694880401046</v>
      </c>
      <c r="AP296">
        <v>1900</v>
      </c>
      <c r="AQ296" s="9">
        <v>0.489164123557871</v>
      </c>
      <c r="AR296" t="s">
        <v>580</v>
      </c>
      <c r="AT296" s="15" t="s">
        <v>69</v>
      </c>
      <c r="AW296" s="11" t="str">
        <f t="shared" si="31"/>
        <v>EN_WOF_49_c02_DNK</v>
      </c>
      <c r="AX296" s="11">
        <f t="shared" si="32"/>
        <v>1900</v>
      </c>
      <c r="AY296" s="11">
        <f t="shared" si="33"/>
        <v>1900</v>
      </c>
      <c r="AZ296" s="17">
        <v>3</v>
      </c>
      <c r="BA296">
        <f t="shared" si="34"/>
        <v>19</v>
      </c>
    </row>
    <row r="297" spans="2:53">
      <c r="B297" t="s">
        <v>26</v>
      </c>
      <c r="C297" t="s">
        <v>3170</v>
      </c>
      <c r="D297" t="s">
        <v>3171</v>
      </c>
      <c r="E297" t="s">
        <v>29</v>
      </c>
      <c r="F297" t="s">
        <v>30</v>
      </c>
      <c r="G297" t="s">
        <v>31</v>
      </c>
      <c r="J297" t="s">
        <v>3170</v>
      </c>
      <c r="K297" t="s">
        <v>1967</v>
      </c>
      <c r="L297" t="s">
        <v>2322</v>
      </c>
      <c r="M297" s="8">
        <v>6.927</v>
      </c>
      <c r="N297">
        <v>80.7856561622413</v>
      </c>
      <c r="O297">
        <v>1558</v>
      </c>
      <c r="P297" s="9">
        <v>0.308002381983543</v>
      </c>
      <c r="Q297" t="s">
        <v>265</v>
      </c>
      <c r="T297" s="15" t="s">
        <v>89</v>
      </c>
      <c r="W297" s="16" t="str">
        <f t="shared" si="28"/>
        <v>EN_WON_31_c02_BRA</v>
      </c>
      <c r="X297" s="12">
        <f t="shared" si="29"/>
        <v>1558</v>
      </c>
      <c r="Y297" s="11">
        <f t="shared" si="30"/>
        <v>1558</v>
      </c>
      <c r="AC297" t="s">
        <v>26</v>
      </c>
      <c r="AD297" t="s">
        <v>3172</v>
      </c>
      <c r="AE297" t="s">
        <v>3173</v>
      </c>
      <c r="AF297" t="s">
        <v>29</v>
      </c>
      <c r="AG297" t="s">
        <v>30</v>
      </c>
      <c r="AH297" t="s">
        <v>31</v>
      </c>
      <c r="AK297" t="s">
        <v>3172</v>
      </c>
      <c r="AL297" t="s">
        <v>1967</v>
      </c>
      <c r="AM297" t="s">
        <v>3165</v>
      </c>
      <c r="AN297" s="8">
        <v>54.171</v>
      </c>
      <c r="AO297">
        <v>199.694880401046</v>
      </c>
      <c r="AP297">
        <v>1900</v>
      </c>
      <c r="AQ297" s="9">
        <v>0.498100487345628</v>
      </c>
      <c r="AR297" t="s">
        <v>580</v>
      </c>
      <c r="AT297" s="15" t="s">
        <v>69</v>
      </c>
      <c r="AW297" s="11" t="str">
        <f t="shared" si="31"/>
        <v>EN_WOF_50_c02_DNK</v>
      </c>
      <c r="AX297" s="11">
        <f t="shared" si="32"/>
        <v>1900</v>
      </c>
      <c r="AY297" s="11">
        <f t="shared" si="33"/>
        <v>1900</v>
      </c>
      <c r="AZ297" s="17">
        <v>3</v>
      </c>
      <c r="BA297">
        <f t="shared" si="34"/>
        <v>19</v>
      </c>
    </row>
    <row r="298" spans="2:53">
      <c r="B298" t="s">
        <v>26</v>
      </c>
      <c r="C298" t="s">
        <v>3174</v>
      </c>
      <c r="D298" t="s">
        <v>3175</v>
      </c>
      <c r="E298" t="s">
        <v>29</v>
      </c>
      <c r="F298" t="s">
        <v>30</v>
      </c>
      <c r="G298" t="s">
        <v>31</v>
      </c>
      <c r="J298" t="s">
        <v>3174</v>
      </c>
      <c r="K298" t="s">
        <v>1967</v>
      </c>
      <c r="L298" t="s">
        <v>2322</v>
      </c>
      <c r="M298" s="8">
        <v>16.67775</v>
      </c>
      <c r="N298">
        <v>145.23264029167</v>
      </c>
      <c r="O298">
        <v>1558</v>
      </c>
      <c r="P298" s="9">
        <v>0.311721680082745</v>
      </c>
      <c r="Q298" t="s">
        <v>265</v>
      </c>
      <c r="T298" s="15" t="s">
        <v>89</v>
      </c>
      <c r="W298" s="16" t="str">
        <f t="shared" si="28"/>
        <v>EN_WON_31_c04_BRA</v>
      </c>
      <c r="X298" s="12">
        <f t="shared" si="29"/>
        <v>1558</v>
      </c>
      <c r="Y298" s="11">
        <f t="shared" si="30"/>
        <v>1558</v>
      </c>
      <c r="AC298" t="s">
        <v>26</v>
      </c>
      <c r="AD298" t="s">
        <v>3176</v>
      </c>
      <c r="AE298" t="s">
        <v>3177</v>
      </c>
      <c r="AF298" t="s">
        <v>29</v>
      </c>
      <c r="AG298" t="s">
        <v>30</v>
      </c>
      <c r="AH298" t="s">
        <v>31</v>
      </c>
      <c r="AK298" t="s">
        <v>3176</v>
      </c>
      <c r="AL298" t="s">
        <v>1967</v>
      </c>
      <c r="AM298" t="s">
        <v>3165</v>
      </c>
      <c r="AN298" s="8">
        <v>28.254</v>
      </c>
      <c r="AO298">
        <v>199.694880401046</v>
      </c>
      <c r="AP298">
        <v>1900</v>
      </c>
      <c r="AQ298" s="9">
        <v>0.508097048205564</v>
      </c>
      <c r="AR298" t="s">
        <v>580</v>
      </c>
      <c r="AT298" s="15" t="s">
        <v>69</v>
      </c>
      <c r="AW298" s="11" t="str">
        <f t="shared" si="31"/>
        <v>EN_WOF_51_c02_DNK</v>
      </c>
      <c r="AX298" s="11">
        <f t="shared" si="32"/>
        <v>1900</v>
      </c>
      <c r="AY298" s="11">
        <f t="shared" si="33"/>
        <v>1900</v>
      </c>
      <c r="AZ298" s="17">
        <v>3</v>
      </c>
      <c r="BA298">
        <f t="shared" si="34"/>
        <v>19</v>
      </c>
    </row>
    <row r="299" spans="2:53">
      <c r="B299" t="s">
        <v>26</v>
      </c>
      <c r="C299" t="s">
        <v>3178</v>
      </c>
      <c r="D299" t="s">
        <v>3179</v>
      </c>
      <c r="E299" t="s">
        <v>29</v>
      </c>
      <c r="F299" t="s">
        <v>30</v>
      </c>
      <c r="G299" t="s">
        <v>31</v>
      </c>
      <c r="J299" t="s">
        <v>3178</v>
      </c>
      <c r="K299" t="s">
        <v>1967</v>
      </c>
      <c r="L299" t="s">
        <v>2322</v>
      </c>
      <c r="M299" s="8">
        <v>12.6405</v>
      </c>
      <c r="N299">
        <v>0</v>
      </c>
      <c r="O299">
        <v>1558</v>
      </c>
      <c r="P299" s="9">
        <v>0.316767414263676</v>
      </c>
      <c r="Q299" t="s">
        <v>265</v>
      </c>
      <c r="T299" s="15" t="s">
        <v>89</v>
      </c>
      <c r="W299" s="16" t="str">
        <f t="shared" si="28"/>
        <v>EN_WON_32_c01_BRA</v>
      </c>
      <c r="X299" s="12">
        <f t="shared" si="29"/>
        <v>1558</v>
      </c>
      <c r="Y299" s="11">
        <f t="shared" si="30"/>
        <v>1558</v>
      </c>
      <c r="AC299" t="s">
        <v>26</v>
      </c>
      <c r="AD299" t="s">
        <v>3180</v>
      </c>
      <c r="AE299" t="s">
        <v>3181</v>
      </c>
      <c r="AF299" t="s">
        <v>29</v>
      </c>
      <c r="AG299" t="s">
        <v>30</v>
      </c>
      <c r="AH299" t="s">
        <v>31</v>
      </c>
      <c r="AK299" t="s">
        <v>3180</v>
      </c>
      <c r="AL299" t="s">
        <v>1967</v>
      </c>
      <c r="AM299" t="s">
        <v>3165</v>
      </c>
      <c r="AN299" s="8">
        <v>9.3495</v>
      </c>
      <c r="AO299">
        <v>199.694880401046</v>
      </c>
      <c r="AP299">
        <v>1900</v>
      </c>
      <c r="AQ299" s="9">
        <v>0.522078854484197</v>
      </c>
      <c r="AR299" t="s">
        <v>580</v>
      </c>
      <c r="AT299" s="15" t="s">
        <v>69</v>
      </c>
      <c r="AW299" s="11" t="str">
        <f t="shared" si="31"/>
        <v>EN_WOF_52_c02_DNK</v>
      </c>
      <c r="AX299" s="11">
        <f t="shared" si="32"/>
        <v>1900</v>
      </c>
      <c r="AY299" s="11">
        <f t="shared" si="33"/>
        <v>1900</v>
      </c>
      <c r="AZ299" s="17">
        <v>3</v>
      </c>
      <c r="BA299">
        <f t="shared" si="34"/>
        <v>19</v>
      </c>
    </row>
    <row r="300" spans="2:53">
      <c r="B300" t="s">
        <v>26</v>
      </c>
      <c r="C300" t="s">
        <v>3182</v>
      </c>
      <c r="D300" t="s">
        <v>3183</v>
      </c>
      <c r="E300" t="s">
        <v>29</v>
      </c>
      <c r="F300" t="s">
        <v>30</v>
      </c>
      <c r="G300" t="s">
        <v>31</v>
      </c>
      <c r="J300" t="s">
        <v>3182</v>
      </c>
      <c r="K300" t="s">
        <v>1967</v>
      </c>
      <c r="L300" t="s">
        <v>2322</v>
      </c>
      <c r="M300" s="8">
        <v>6.87525</v>
      </c>
      <c r="N300">
        <v>80.7856561622413</v>
      </c>
      <c r="O300">
        <v>1558</v>
      </c>
      <c r="P300" s="9">
        <v>0.317243372968256</v>
      </c>
      <c r="Q300" t="s">
        <v>265</v>
      </c>
      <c r="T300" s="15" t="s">
        <v>89</v>
      </c>
      <c r="W300" s="16" t="str">
        <f t="shared" si="28"/>
        <v>EN_WON_32_c02_BRA</v>
      </c>
      <c r="X300" s="12">
        <f t="shared" si="29"/>
        <v>1558</v>
      </c>
      <c r="Y300" s="11">
        <f t="shared" si="30"/>
        <v>1558</v>
      </c>
      <c r="AC300" t="s">
        <v>26</v>
      </c>
      <c r="AD300" t="s">
        <v>3184</v>
      </c>
      <c r="AE300" t="s">
        <v>3185</v>
      </c>
      <c r="AF300" t="s">
        <v>29</v>
      </c>
      <c r="AG300" t="s">
        <v>30</v>
      </c>
      <c r="AH300" t="s">
        <v>31</v>
      </c>
      <c r="AK300" t="s">
        <v>3184</v>
      </c>
      <c r="AL300" t="s">
        <v>1967</v>
      </c>
      <c r="AM300" t="s">
        <v>3165</v>
      </c>
      <c r="AN300" s="8">
        <v>31.95825</v>
      </c>
      <c r="AO300">
        <v>199.694880401046</v>
      </c>
      <c r="AP300">
        <v>1900</v>
      </c>
      <c r="AQ300" s="9">
        <v>0.531223228743752</v>
      </c>
      <c r="AR300" t="s">
        <v>580</v>
      </c>
      <c r="AT300" s="15" t="s">
        <v>69</v>
      </c>
      <c r="AW300" s="11" t="str">
        <f t="shared" si="31"/>
        <v>EN_WOF_53_c02_DNK</v>
      </c>
      <c r="AX300" s="11">
        <f t="shared" si="32"/>
        <v>1900</v>
      </c>
      <c r="AY300" s="11">
        <f t="shared" si="33"/>
        <v>1900</v>
      </c>
      <c r="AZ300" s="17">
        <v>3</v>
      </c>
      <c r="BA300">
        <f t="shared" si="34"/>
        <v>19</v>
      </c>
    </row>
    <row r="301" spans="2:53">
      <c r="B301" t="s">
        <v>26</v>
      </c>
      <c r="C301" t="s">
        <v>3186</v>
      </c>
      <c r="D301" t="s">
        <v>3187</v>
      </c>
      <c r="E301" t="s">
        <v>29</v>
      </c>
      <c r="F301" t="s">
        <v>30</v>
      </c>
      <c r="G301" t="s">
        <v>31</v>
      </c>
      <c r="J301" t="s">
        <v>3186</v>
      </c>
      <c r="K301" t="s">
        <v>1967</v>
      </c>
      <c r="L301" t="s">
        <v>2322</v>
      </c>
      <c r="M301" s="8">
        <v>5.649</v>
      </c>
      <c r="N301">
        <v>105.747516212372</v>
      </c>
      <c r="O301">
        <v>1558</v>
      </c>
      <c r="P301" s="9">
        <v>0.321158789166224</v>
      </c>
      <c r="Q301" t="s">
        <v>265</v>
      </c>
      <c r="T301" s="15" t="s">
        <v>89</v>
      </c>
      <c r="W301" s="16" t="str">
        <f t="shared" si="28"/>
        <v>EN_WON_32_c03_BRA</v>
      </c>
      <c r="X301" s="12">
        <f t="shared" si="29"/>
        <v>1558</v>
      </c>
      <c r="Y301" s="11">
        <f t="shared" si="30"/>
        <v>1558</v>
      </c>
      <c r="AC301" t="s">
        <v>26</v>
      </c>
      <c r="AD301" t="s">
        <v>3188</v>
      </c>
      <c r="AE301" t="s">
        <v>3189</v>
      </c>
      <c r="AF301" t="s">
        <v>29</v>
      </c>
      <c r="AG301" t="s">
        <v>30</v>
      </c>
      <c r="AH301" t="s">
        <v>31</v>
      </c>
      <c r="AK301" t="s">
        <v>3188</v>
      </c>
      <c r="AL301" t="s">
        <v>1967</v>
      </c>
      <c r="AM301" t="s">
        <v>3165</v>
      </c>
      <c r="AN301" s="8">
        <v>14.27325</v>
      </c>
      <c r="AO301">
        <v>199.694880401046</v>
      </c>
      <c r="AP301">
        <v>1900</v>
      </c>
      <c r="AQ301" s="9">
        <v>0.538428616467868</v>
      </c>
      <c r="AR301" t="s">
        <v>580</v>
      </c>
      <c r="AT301" s="15" t="s">
        <v>69</v>
      </c>
      <c r="AW301" s="11" t="str">
        <f t="shared" si="31"/>
        <v>EN_WOF_54_c02_DNK</v>
      </c>
      <c r="AX301" s="11">
        <f t="shared" si="32"/>
        <v>1900</v>
      </c>
      <c r="AY301" s="11">
        <f t="shared" si="33"/>
        <v>1900</v>
      </c>
      <c r="AZ301" s="17">
        <v>3</v>
      </c>
      <c r="BA301">
        <f t="shared" si="34"/>
        <v>19</v>
      </c>
    </row>
    <row r="302" spans="2:53">
      <c r="B302" t="s">
        <v>26</v>
      </c>
      <c r="C302" t="s">
        <v>3190</v>
      </c>
      <c r="D302" t="s">
        <v>3191</v>
      </c>
      <c r="E302" t="s">
        <v>29</v>
      </c>
      <c r="F302" t="s">
        <v>30</v>
      </c>
      <c r="G302" t="s">
        <v>31</v>
      </c>
      <c r="J302" t="s">
        <v>3190</v>
      </c>
      <c r="K302" t="s">
        <v>1967</v>
      </c>
      <c r="L302" t="s">
        <v>2322</v>
      </c>
      <c r="M302" s="8">
        <v>1.49175</v>
      </c>
      <c r="N302">
        <v>145.23264029167</v>
      </c>
      <c r="O302">
        <v>1558</v>
      </c>
      <c r="P302" s="9">
        <v>0.321</v>
      </c>
      <c r="Q302" t="s">
        <v>265</v>
      </c>
      <c r="T302" s="15" t="s">
        <v>89</v>
      </c>
      <c r="W302" s="16" t="str">
        <f t="shared" si="28"/>
        <v>EN_WON_32_c04_BRA</v>
      </c>
      <c r="X302" s="12">
        <f t="shared" si="29"/>
        <v>1558</v>
      </c>
      <c r="Y302" s="11">
        <f t="shared" si="30"/>
        <v>1558</v>
      </c>
      <c r="AC302" t="s">
        <v>26</v>
      </c>
      <c r="AD302" t="s">
        <v>3192</v>
      </c>
      <c r="AE302" t="s">
        <v>3193</v>
      </c>
      <c r="AF302" t="s">
        <v>29</v>
      </c>
      <c r="AG302" t="s">
        <v>30</v>
      </c>
      <c r="AH302" t="s">
        <v>31</v>
      </c>
      <c r="AK302" t="s">
        <v>3192</v>
      </c>
      <c r="AL302" t="s">
        <v>1967</v>
      </c>
      <c r="AM302" t="s">
        <v>3194</v>
      </c>
      <c r="AN302" s="8">
        <v>8.232</v>
      </c>
      <c r="AO302">
        <v>199.694880401046</v>
      </c>
      <c r="AP302">
        <v>1910</v>
      </c>
      <c r="AQ302" s="9">
        <v>0.302368986880467</v>
      </c>
      <c r="AR302" t="s">
        <v>588</v>
      </c>
      <c r="AT302" s="15" t="s">
        <v>89</v>
      </c>
      <c r="AW302" s="11" t="str">
        <f t="shared" si="31"/>
        <v>EN_WOF_30_c02_DOM</v>
      </c>
      <c r="AX302" s="11">
        <f t="shared" si="32"/>
        <v>1910</v>
      </c>
      <c r="AY302" s="11">
        <f t="shared" si="33"/>
        <v>1910</v>
      </c>
      <c r="AZ302" s="17">
        <v>3</v>
      </c>
      <c r="BA302">
        <f t="shared" si="34"/>
        <v>19.1</v>
      </c>
    </row>
    <row r="303" spans="2:53">
      <c r="B303" t="s">
        <v>26</v>
      </c>
      <c r="C303" t="s">
        <v>3195</v>
      </c>
      <c r="D303" t="s">
        <v>3196</v>
      </c>
      <c r="E303" t="s">
        <v>29</v>
      </c>
      <c r="F303" t="s">
        <v>30</v>
      </c>
      <c r="G303" t="s">
        <v>31</v>
      </c>
      <c r="J303" t="s">
        <v>3195</v>
      </c>
      <c r="K303" t="s">
        <v>1967</v>
      </c>
      <c r="L303" t="s">
        <v>2322</v>
      </c>
      <c r="M303" s="8">
        <v>14.598</v>
      </c>
      <c r="N303">
        <v>0</v>
      </c>
      <c r="O303">
        <v>1558</v>
      </c>
      <c r="P303" s="9">
        <v>0.329405312371558</v>
      </c>
      <c r="Q303" t="s">
        <v>265</v>
      </c>
      <c r="T303" s="15" t="s">
        <v>89</v>
      </c>
      <c r="W303" s="16" t="str">
        <f t="shared" si="28"/>
        <v>EN_WON_33_c01_BRA</v>
      </c>
      <c r="X303" s="12">
        <f t="shared" si="29"/>
        <v>1558</v>
      </c>
      <c r="Y303" s="11">
        <f t="shared" si="30"/>
        <v>1558</v>
      </c>
      <c r="AC303" t="s">
        <v>26</v>
      </c>
      <c r="AD303" t="s">
        <v>3197</v>
      </c>
      <c r="AE303" t="s">
        <v>3198</v>
      </c>
      <c r="AF303" t="s">
        <v>29</v>
      </c>
      <c r="AG303" t="s">
        <v>30</v>
      </c>
      <c r="AH303" t="s">
        <v>31</v>
      </c>
      <c r="AK303" t="s">
        <v>3197</v>
      </c>
      <c r="AL303" t="s">
        <v>1967</v>
      </c>
      <c r="AM303" t="s">
        <v>3194</v>
      </c>
      <c r="AN303" s="8">
        <v>6.21225</v>
      </c>
      <c r="AO303">
        <v>199.694880401046</v>
      </c>
      <c r="AP303">
        <v>1910</v>
      </c>
      <c r="AQ303" s="9">
        <v>0.316733067729084</v>
      </c>
      <c r="AR303" t="s">
        <v>588</v>
      </c>
      <c r="AT303" s="15" t="s">
        <v>89</v>
      </c>
      <c r="AW303" s="11" t="str">
        <f t="shared" si="31"/>
        <v>EN_WOF_32_c02_DOM</v>
      </c>
      <c r="AX303" s="11">
        <f t="shared" si="32"/>
        <v>1910</v>
      </c>
      <c r="AY303" s="11">
        <f t="shared" si="33"/>
        <v>1910</v>
      </c>
      <c r="AZ303" s="17">
        <v>3</v>
      </c>
      <c r="BA303">
        <f t="shared" si="34"/>
        <v>19.1</v>
      </c>
    </row>
    <row r="304" spans="2:53">
      <c r="B304" t="s">
        <v>26</v>
      </c>
      <c r="C304" t="s">
        <v>3199</v>
      </c>
      <c r="D304" t="s">
        <v>3200</v>
      </c>
      <c r="E304" t="s">
        <v>29</v>
      </c>
      <c r="F304" t="s">
        <v>30</v>
      </c>
      <c r="G304" t="s">
        <v>31</v>
      </c>
      <c r="J304" t="s">
        <v>3199</v>
      </c>
      <c r="K304" t="s">
        <v>1967</v>
      </c>
      <c r="L304" t="s">
        <v>2322</v>
      </c>
      <c r="M304" s="8">
        <v>7.74825</v>
      </c>
      <c r="N304">
        <v>80.7856561622413</v>
      </c>
      <c r="O304">
        <v>1558</v>
      </c>
      <c r="P304" s="9">
        <v>0.329020230374601</v>
      </c>
      <c r="Q304" t="s">
        <v>265</v>
      </c>
      <c r="T304" s="15" t="s">
        <v>89</v>
      </c>
      <c r="W304" s="16" t="str">
        <f t="shared" si="28"/>
        <v>EN_WON_33_c02_BRA</v>
      </c>
      <c r="X304" s="12">
        <f t="shared" si="29"/>
        <v>1558</v>
      </c>
      <c r="Y304" s="11">
        <f t="shared" si="30"/>
        <v>1558</v>
      </c>
      <c r="AC304" t="s">
        <v>26</v>
      </c>
      <c r="AD304" t="s">
        <v>3201</v>
      </c>
      <c r="AE304" t="s">
        <v>3202</v>
      </c>
      <c r="AF304" t="s">
        <v>29</v>
      </c>
      <c r="AG304" t="s">
        <v>30</v>
      </c>
      <c r="AH304" t="s">
        <v>31</v>
      </c>
      <c r="AK304" t="s">
        <v>3201</v>
      </c>
      <c r="AL304" t="s">
        <v>1967</v>
      </c>
      <c r="AM304" t="s">
        <v>3194</v>
      </c>
      <c r="AN304" s="8">
        <v>0.54825</v>
      </c>
      <c r="AO304">
        <v>199.694880401046</v>
      </c>
      <c r="AP304">
        <v>1910</v>
      </c>
      <c r="AQ304" s="9">
        <v>0.329805745554036</v>
      </c>
      <c r="AR304" t="s">
        <v>588</v>
      </c>
      <c r="AT304" s="15" t="s">
        <v>89</v>
      </c>
      <c r="AW304" s="11" t="str">
        <f t="shared" si="31"/>
        <v>EN_WOF_33_c02_DOM</v>
      </c>
      <c r="AX304" s="11">
        <f t="shared" si="32"/>
        <v>1910</v>
      </c>
      <c r="AY304" s="11">
        <f t="shared" si="33"/>
        <v>1910</v>
      </c>
      <c r="AZ304" s="17">
        <v>3</v>
      </c>
      <c r="BA304">
        <f t="shared" si="34"/>
        <v>19.1</v>
      </c>
    </row>
    <row r="305" spans="2:53">
      <c r="B305" t="s">
        <v>26</v>
      </c>
      <c r="C305" t="s">
        <v>3203</v>
      </c>
      <c r="D305" t="s">
        <v>3204</v>
      </c>
      <c r="E305" t="s">
        <v>29</v>
      </c>
      <c r="F305" t="s">
        <v>30</v>
      </c>
      <c r="G305" t="s">
        <v>31</v>
      </c>
      <c r="J305" t="s">
        <v>3203</v>
      </c>
      <c r="K305" t="s">
        <v>1967</v>
      </c>
      <c r="L305" t="s">
        <v>2322</v>
      </c>
      <c r="M305" s="8">
        <v>1.902</v>
      </c>
      <c r="N305">
        <v>105.747516212372</v>
      </c>
      <c r="O305">
        <v>1558</v>
      </c>
      <c r="P305" s="9">
        <v>0.326888012618297</v>
      </c>
      <c r="Q305" t="s">
        <v>265</v>
      </c>
      <c r="T305" s="15" t="s">
        <v>89</v>
      </c>
      <c r="W305" s="16" t="str">
        <f t="shared" si="28"/>
        <v>EN_WON_33_c03_BRA</v>
      </c>
      <c r="X305" s="12">
        <f t="shared" si="29"/>
        <v>1558</v>
      </c>
      <c r="Y305" s="11">
        <f t="shared" si="30"/>
        <v>1558</v>
      </c>
      <c r="AC305" t="s">
        <v>26</v>
      </c>
      <c r="AD305" t="s">
        <v>3205</v>
      </c>
      <c r="AE305" t="s">
        <v>3206</v>
      </c>
      <c r="AF305" t="s">
        <v>29</v>
      </c>
      <c r="AG305" t="s">
        <v>30</v>
      </c>
      <c r="AH305" t="s">
        <v>31</v>
      </c>
      <c r="AK305" t="s">
        <v>3205</v>
      </c>
      <c r="AL305" t="s">
        <v>1967</v>
      </c>
      <c r="AM305" t="s">
        <v>3194</v>
      </c>
      <c r="AN305" s="8">
        <v>0.7665</v>
      </c>
      <c r="AO305">
        <v>199.694880401046</v>
      </c>
      <c r="AP305">
        <v>1910</v>
      </c>
      <c r="AQ305" s="9">
        <v>0.335</v>
      </c>
      <c r="AR305" t="s">
        <v>588</v>
      </c>
      <c r="AT305" s="15" t="s">
        <v>89</v>
      </c>
      <c r="AW305" s="11" t="str">
        <f t="shared" si="31"/>
        <v>EN_WOF_34_c02_DOM</v>
      </c>
      <c r="AX305" s="11">
        <f t="shared" si="32"/>
        <v>1910</v>
      </c>
      <c r="AY305" s="11">
        <f t="shared" si="33"/>
        <v>1910</v>
      </c>
      <c r="AZ305" s="17">
        <v>3</v>
      </c>
      <c r="BA305">
        <f t="shared" si="34"/>
        <v>19.1</v>
      </c>
    </row>
    <row r="306" spans="2:53">
      <c r="B306" t="s">
        <v>26</v>
      </c>
      <c r="C306" t="s">
        <v>3207</v>
      </c>
      <c r="D306" t="s">
        <v>3208</v>
      </c>
      <c r="E306" t="s">
        <v>29</v>
      </c>
      <c r="F306" t="s">
        <v>30</v>
      </c>
      <c r="G306" t="s">
        <v>31</v>
      </c>
      <c r="J306" t="s">
        <v>3207</v>
      </c>
      <c r="K306" t="s">
        <v>1967</v>
      </c>
      <c r="L306" t="s">
        <v>2322</v>
      </c>
      <c r="M306" s="8">
        <v>2.23575</v>
      </c>
      <c r="N306">
        <v>145.23264029167</v>
      </c>
      <c r="O306">
        <v>1558</v>
      </c>
      <c r="P306" s="9">
        <v>0.328</v>
      </c>
      <c r="Q306" t="s">
        <v>265</v>
      </c>
      <c r="T306" s="15" t="s">
        <v>89</v>
      </c>
      <c r="W306" s="16" t="str">
        <f t="shared" si="28"/>
        <v>EN_WON_33_c04_BRA</v>
      </c>
      <c r="X306" s="12">
        <f t="shared" si="29"/>
        <v>1558</v>
      </c>
      <c r="Y306" s="11">
        <f t="shared" si="30"/>
        <v>1558</v>
      </c>
      <c r="AC306" t="s">
        <v>26</v>
      </c>
      <c r="AD306" t="s">
        <v>3209</v>
      </c>
      <c r="AE306" t="s">
        <v>3210</v>
      </c>
      <c r="AF306" t="s">
        <v>29</v>
      </c>
      <c r="AG306" t="s">
        <v>30</v>
      </c>
      <c r="AH306" t="s">
        <v>31</v>
      </c>
      <c r="AK306" t="s">
        <v>3209</v>
      </c>
      <c r="AL306" t="s">
        <v>1967</v>
      </c>
      <c r="AM306" t="s">
        <v>3194</v>
      </c>
      <c r="AN306" s="8">
        <v>0.552</v>
      </c>
      <c r="AO306">
        <v>199.694880401046</v>
      </c>
      <c r="AP306">
        <v>1910</v>
      </c>
      <c r="AQ306" s="9">
        <v>0.352</v>
      </c>
      <c r="AR306" t="s">
        <v>588</v>
      </c>
      <c r="AT306" s="15" t="s">
        <v>89</v>
      </c>
      <c r="AW306" s="11" t="str">
        <f t="shared" si="31"/>
        <v>EN_WOF_35_c02_DOM</v>
      </c>
      <c r="AX306" s="11">
        <f t="shared" si="32"/>
        <v>1910</v>
      </c>
      <c r="AY306" s="11">
        <f t="shared" si="33"/>
        <v>1910</v>
      </c>
      <c r="AZ306" s="17">
        <v>3</v>
      </c>
      <c r="BA306">
        <f t="shared" si="34"/>
        <v>19.1</v>
      </c>
    </row>
    <row r="307" spans="2:53">
      <c r="B307" t="s">
        <v>26</v>
      </c>
      <c r="C307" t="s">
        <v>3211</v>
      </c>
      <c r="D307" t="s">
        <v>3212</v>
      </c>
      <c r="E307" t="s">
        <v>29</v>
      </c>
      <c r="F307" t="s">
        <v>30</v>
      </c>
      <c r="G307" t="s">
        <v>31</v>
      </c>
      <c r="J307" t="s">
        <v>3211</v>
      </c>
      <c r="K307" t="s">
        <v>1967</v>
      </c>
      <c r="L307" t="s">
        <v>2322</v>
      </c>
      <c r="M307" s="8">
        <v>3.993</v>
      </c>
      <c r="N307">
        <v>0</v>
      </c>
      <c r="O307">
        <v>1558</v>
      </c>
      <c r="P307" s="9">
        <v>0.338206235912848</v>
      </c>
      <c r="Q307" t="s">
        <v>265</v>
      </c>
      <c r="T307" s="15" t="s">
        <v>89</v>
      </c>
      <c r="W307" s="16" t="str">
        <f t="shared" si="28"/>
        <v>EN_WON_34_c01_BRA</v>
      </c>
      <c r="X307" s="12">
        <f t="shared" si="29"/>
        <v>1558</v>
      </c>
      <c r="Y307" s="11">
        <f t="shared" si="30"/>
        <v>1558</v>
      </c>
      <c r="AC307" t="s">
        <v>26</v>
      </c>
      <c r="AD307" t="s">
        <v>3213</v>
      </c>
      <c r="AE307" t="s">
        <v>3214</v>
      </c>
      <c r="AF307" t="s">
        <v>29</v>
      </c>
      <c r="AG307" t="s">
        <v>30</v>
      </c>
      <c r="AH307" t="s">
        <v>31</v>
      </c>
      <c r="AK307" t="s">
        <v>3213</v>
      </c>
      <c r="AL307" t="s">
        <v>1967</v>
      </c>
      <c r="AM307" t="s">
        <v>3194</v>
      </c>
      <c r="AN307" s="8">
        <v>0.66525</v>
      </c>
      <c r="AO307">
        <v>199.694880401046</v>
      </c>
      <c r="AP307">
        <v>1910</v>
      </c>
      <c r="AQ307" s="9">
        <v>0.361</v>
      </c>
      <c r="AR307" t="s">
        <v>588</v>
      </c>
      <c r="AT307" s="15" t="s">
        <v>89</v>
      </c>
      <c r="AW307" s="11" t="str">
        <f t="shared" si="31"/>
        <v>EN_WOF_36_c02_DOM</v>
      </c>
      <c r="AX307" s="11">
        <f t="shared" si="32"/>
        <v>1910</v>
      </c>
      <c r="AY307" s="11">
        <f t="shared" si="33"/>
        <v>1910</v>
      </c>
      <c r="AZ307" s="17">
        <v>3</v>
      </c>
      <c r="BA307">
        <f t="shared" si="34"/>
        <v>19.1</v>
      </c>
    </row>
    <row r="308" spans="2:53">
      <c r="B308" t="s">
        <v>26</v>
      </c>
      <c r="C308" t="s">
        <v>3215</v>
      </c>
      <c r="D308" t="s">
        <v>3216</v>
      </c>
      <c r="E308" t="s">
        <v>29</v>
      </c>
      <c r="F308" t="s">
        <v>30</v>
      </c>
      <c r="G308" t="s">
        <v>31</v>
      </c>
      <c r="J308" t="s">
        <v>3215</v>
      </c>
      <c r="K308" t="s">
        <v>1967</v>
      </c>
      <c r="L308" t="s">
        <v>2322</v>
      </c>
      <c r="M308" s="8">
        <v>2.15025</v>
      </c>
      <c r="N308">
        <v>80.7856561622413</v>
      </c>
      <c r="O308">
        <v>1558</v>
      </c>
      <c r="P308" s="9">
        <v>0.34</v>
      </c>
      <c r="Q308" t="s">
        <v>265</v>
      </c>
      <c r="T308" s="15" t="s">
        <v>89</v>
      </c>
      <c r="W308" s="16" t="str">
        <f t="shared" si="28"/>
        <v>EN_WON_34_c02_BRA</v>
      </c>
      <c r="X308" s="12">
        <f t="shared" si="29"/>
        <v>1558</v>
      </c>
      <c r="Y308" s="11">
        <f t="shared" si="30"/>
        <v>1558</v>
      </c>
      <c r="AC308" t="s">
        <v>26</v>
      </c>
      <c r="AD308" t="s">
        <v>3217</v>
      </c>
      <c r="AE308" t="s">
        <v>3218</v>
      </c>
      <c r="AF308" t="s">
        <v>29</v>
      </c>
      <c r="AG308" t="s">
        <v>30</v>
      </c>
      <c r="AH308" t="s">
        <v>31</v>
      </c>
      <c r="AK308" t="s">
        <v>3217</v>
      </c>
      <c r="AL308" t="s">
        <v>1967</v>
      </c>
      <c r="AM308" t="s">
        <v>3194</v>
      </c>
      <c r="AN308" s="8">
        <v>2.4555</v>
      </c>
      <c r="AO308">
        <v>199.694880401046</v>
      </c>
      <c r="AP308">
        <v>1910</v>
      </c>
      <c r="AQ308" s="9">
        <v>0.375165546731827</v>
      </c>
      <c r="AR308" t="s">
        <v>588</v>
      </c>
      <c r="AT308" s="15" t="s">
        <v>89</v>
      </c>
      <c r="AW308" s="11" t="str">
        <f t="shared" si="31"/>
        <v>EN_WOF_38_c02_DOM</v>
      </c>
      <c r="AX308" s="11">
        <f t="shared" si="32"/>
        <v>1910</v>
      </c>
      <c r="AY308" s="11">
        <f t="shared" si="33"/>
        <v>1910</v>
      </c>
      <c r="AZ308" s="17">
        <v>3</v>
      </c>
      <c r="BA308">
        <f t="shared" si="34"/>
        <v>19.1</v>
      </c>
    </row>
    <row r="309" spans="2:53">
      <c r="B309" t="s">
        <v>26</v>
      </c>
      <c r="C309" t="s">
        <v>3219</v>
      </c>
      <c r="D309" t="s">
        <v>3220</v>
      </c>
      <c r="E309" t="s">
        <v>29</v>
      </c>
      <c r="F309" t="s">
        <v>30</v>
      </c>
      <c r="G309" t="s">
        <v>31</v>
      </c>
      <c r="J309" t="s">
        <v>3219</v>
      </c>
      <c r="K309" t="s">
        <v>1967</v>
      </c>
      <c r="L309" t="s">
        <v>2322</v>
      </c>
      <c r="M309" s="8">
        <v>2.81025</v>
      </c>
      <c r="N309">
        <v>105.747516212372</v>
      </c>
      <c r="O309">
        <v>1558</v>
      </c>
      <c r="P309" s="9">
        <v>0.344</v>
      </c>
      <c r="Q309" t="s">
        <v>265</v>
      </c>
      <c r="T309" s="15" t="s">
        <v>89</v>
      </c>
      <c r="W309" s="16" t="str">
        <f t="shared" si="28"/>
        <v>EN_WON_34_c03_BRA</v>
      </c>
      <c r="X309" s="12">
        <f t="shared" si="29"/>
        <v>1558</v>
      </c>
      <c r="Y309" s="11">
        <f t="shared" si="30"/>
        <v>1558</v>
      </c>
      <c r="AC309" t="s">
        <v>26</v>
      </c>
      <c r="AD309" t="s">
        <v>3221</v>
      </c>
      <c r="AE309" t="s">
        <v>3222</v>
      </c>
      <c r="AF309" t="s">
        <v>29</v>
      </c>
      <c r="AG309" t="s">
        <v>30</v>
      </c>
      <c r="AH309" t="s">
        <v>31</v>
      </c>
      <c r="AK309" t="s">
        <v>3221</v>
      </c>
      <c r="AL309" t="s">
        <v>1967</v>
      </c>
      <c r="AM309" t="s">
        <v>3194</v>
      </c>
      <c r="AN309" s="8">
        <v>1.17075</v>
      </c>
      <c r="AO309">
        <v>199.694880401046</v>
      </c>
      <c r="AP309">
        <v>1910</v>
      </c>
      <c r="AQ309" s="9">
        <v>0.389989750160154</v>
      </c>
      <c r="AR309" t="s">
        <v>588</v>
      </c>
      <c r="AT309" s="15" t="s">
        <v>89</v>
      </c>
      <c r="AW309" s="11" t="str">
        <f t="shared" si="31"/>
        <v>EN_WOF_39_c02_DOM</v>
      </c>
      <c r="AX309" s="11">
        <f t="shared" si="32"/>
        <v>1910</v>
      </c>
      <c r="AY309" s="11">
        <f t="shared" si="33"/>
        <v>1910</v>
      </c>
      <c r="AZ309" s="17">
        <v>3</v>
      </c>
      <c r="BA309">
        <f t="shared" si="34"/>
        <v>19.1</v>
      </c>
    </row>
    <row r="310" spans="2:53">
      <c r="B310" t="s">
        <v>26</v>
      </c>
      <c r="C310" t="s">
        <v>3223</v>
      </c>
      <c r="D310" t="s">
        <v>3224</v>
      </c>
      <c r="E310" t="s">
        <v>29</v>
      </c>
      <c r="F310" t="s">
        <v>30</v>
      </c>
      <c r="G310" t="s">
        <v>31</v>
      </c>
      <c r="J310" t="s">
        <v>3223</v>
      </c>
      <c r="K310" t="s">
        <v>1967</v>
      </c>
      <c r="L310" t="s">
        <v>2322</v>
      </c>
      <c r="M310" s="8">
        <v>8.77575</v>
      </c>
      <c r="N310">
        <v>0</v>
      </c>
      <c r="O310">
        <v>1558</v>
      </c>
      <c r="P310" s="9">
        <v>0.351091530638407</v>
      </c>
      <c r="Q310" t="s">
        <v>265</v>
      </c>
      <c r="T310" s="15" t="s">
        <v>89</v>
      </c>
      <c r="W310" s="16" t="str">
        <f t="shared" si="28"/>
        <v>EN_WON_35_c01_BRA</v>
      </c>
      <c r="X310" s="12">
        <f t="shared" si="29"/>
        <v>1558</v>
      </c>
      <c r="Y310" s="11">
        <f t="shared" si="30"/>
        <v>1558</v>
      </c>
      <c r="AC310" t="s">
        <v>26</v>
      </c>
      <c r="AD310" t="s">
        <v>3225</v>
      </c>
      <c r="AE310" t="s">
        <v>3226</v>
      </c>
      <c r="AF310" t="s">
        <v>29</v>
      </c>
      <c r="AG310" t="s">
        <v>30</v>
      </c>
      <c r="AH310" t="s">
        <v>31</v>
      </c>
      <c r="AK310" t="s">
        <v>3225</v>
      </c>
      <c r="AL310" t="s">
        <v>1967</v>
      </c>
      <c r="AM310" t="s">
        <v>3194</v>
      </c>
      <c r="AN310" s="8">
        <v>4.47375</v>
      </c>
      <c r="AO310">
        <v>199.694880401046</v>
      </c>
      <c r="AP310">
        <v>1910</v>
      </c>
      <c r="AQ310" s="9">
        <v>0.396128248113998</v>
      </c>
      <c r="AR310" t="s">
        <v>588</v>
      </c>
      <c r="AT310" s="15" t="s">
        <v>89</v>
      </c>
      <c r="AW310" s="11" t="str">
        <f t="shared" si="31"/>
        <v>EN_WOF_40_c02_DOM</v>
      </c>
      <c r="AX310" s="11">
        <f t="shared" si="32"/>
        <v>1910</v>
      </c>
      <c r="AY310" s="11">
        <f t="shared" si="33"/>
        <v>1910</v>
      </c>
      <c r="AZ310" s="17">
        <v>3</v>
      </c>
      <c r="BA310">
        <f t="shared" si="34"/>
        <v>19.1</v>
      </c>
    </row>
    <row r="311" spans="2:53">
      <c r="B311" t="s">
        <v>26</v>
      </c>
      <c r="C311" t="s">
        <v>3227</v>
      </c>
      <c r="D311" t="s">
        <v>3228</v>
      </c>
      <c r="E311" t="s">
        <v>29</v>
      </c>
      <c r="F311" t="s">
        <v>30</v>
      </c>
      <c r="G311" t="s">
        <v>31</v>
      </c>
      <c r="J311" t="s">
        <v>3227</v>
      </c>
      <c r="K311" t="s">
        <v>1967</v>
      </c>
      <c r="L311" t="s">
        <v>2322</v>
      </c>
      <c r="M311" s="8">
        <v>9.50775</v>
      </c>
      <c r="N311">
        <v>80.7856561622413</v>
      </c>
      <c r="O311">
        <v>1558</v>
      </c>
      <c r="P311" s="9">
        <v>0.349793878677921</v>
      </c>
      <c r="Q311" t="s">
        <v>265</v>
      </c>
      <c r="T311" s="15" t="s">
        <v>89</v>
      </c>
      <c r="W311" s="16" t="str">
        <f t="shared" si="28"/>
        <v>EN_WON_35_c02_BRA</v>
      </c>
      <c r="X311" s="12">
        <f t="shared" si="29"/>
        <v>1558</v>
      </c>
      <c r="Y311" s="11">
        <f t="shared" si="30"/>
        <v>1558</v>
      </c>
      <c r="AC311" t="s">
        <v>26</v>
      </c>
      <c r="AD311" t="s">
        <v>3229</v>
      </c>
      <c r="AE311" t="s">
        <v>3230</v>
      </c>
      <c r="AF311" t="s">
        <v>29</v>
      </c>
      <c r="AG311" t="s">
        <v>30</v>
      </c>
      <c r="AH311" t="s">
        <v>31</v>
      </c>
      <c r="AK311" t="s">
        <v>3229</v>
      </c>
      <c r="AL311" t="s">
        <v>1967</v>
      </c>
      <c r="AM311" t="s">
        <v>3194</v>
      </c>
      <c r="AN311" s="8">
        <v>3.294</v>
      </c>
      <c r="AO311">
        <v>199.694880401046</v>
      </c>
      <c r="AP311">
        <v>1910</v>
      </c>
      <c r="AQ311" s="9">
        <v>0.413</v>
      </c>
      <c r="AR311" t="s">
        <v>588</v>
      </c>
      <c r="AT311" s="15" t="s">
        <v>89</v>
      </c>
      <c r="AW311" s="11" t="str">
        <f t="shared" si="31"/>
        <v>EN_WOF_41_c02_DOM</v>
      </c>
      <c r="AX311" s="11">
        <f t="shared" si="32"/>
        <v>1910</v>
      </c>
      <c r="AY311" s="11">
        <f t="shared" si="33"/>
        <v>1910</v>
      </c>
      <c r="AZ311" s="17">
        <v>3</v>
      </c>
      <c r="BA311">
        <f t="shared" si="34"/>
        <v>19.1</v>
      </c>
    </row>
    <row r="312" spans="2:53">
      <c r="B312" t="s">
        <v>26</v>
      </c>
      <c r="C312" t="s">
        <v>3231</v>
      </c>
      <c r="D312" t="s">
        <v>3232</v>
      </c>
      <c r="E312" t="s">
        <v>29</v>
      </c>
      <c r="F312" t="s">
        <v>30</v>
      </c>
      <c r="G312" t="s">
        <v>31</v>
      </c>
      <c r="J312" t="s">
        <v>3231</v>
      </c>
      <c r="K312" t="s">
        <v>1967</v>
      </c>
      <c r="L312" t="s">
        <v>2322</v>
      </c>
      <c r="M312" s="8">
        <v>2.055</v>
      </c>
      <c r="N312">
        <v>105.747516212372</v>
      </c>
      <c r="O312">
        <v>1558</v>
      </c>
      <c r="P312" s="9">
        <v>0.345804744525547</v>
      </c>
      <c r="Q312" t="s">
        <v>265</v>
      </c>
      <c r="T312" s="15" t="s">
        <v>89</v>
      </c>
      <c r="W312" s="16" t="str">
        <f t="shared" si="28"/>
        <v>EN_WON_35_c03_BRA</v>
      </c>
      <c r="X312" s="12">
        <f t="shared" si="29"/>
        <v>1558</v>
      </c>
      <c r="Y312" s="11">
        <f t="shared" si="30"/>
        <v>1558</v>
      </c>
      <c r="AC312" t="s">
        <v>26</v>
      </c>
      <c r="AD312" t="s">
        <v>3233</v>
      </c>
      <c r="AE312" t="s">
        <v>3234</v>
      </c>
      <c r="AF312" t="s">
        <v>29</v>
      </c>
      <c r="AG312" t="s">
        <v>30</v>
      </c>
      <c r="AH312" t="s">
        <v>31</v>
      </c>
      <c r="AK312" t="s">
        <v>3233</v>
      </c>
      <c r="AL312" t="s">
        <v>1967</v>
      </c>
      <c r="AM312" t="s">
        <v>3194</v>
      </c>
      <c r="AN312" s="8">
        <v>0.65925</v>
      </c>
      <c r="AO312">
        <v>199.694880401046</v>
      </c>
      <c r="AP312">
        <v>1910</v>
      </c>
      <c r="AQ312" s="9">
        <v>0.422</v>
      </c>
      <c r="AR312" t="s">
        <v>588</v>
      </c>
      <c r="AT312" s="15" t="s">
        <v>89</v>
      </c>
      <c r="AW312" s="11" t="str">
        <f t="shared" si="31"/>
        <v>EN_WOF_42_c02_DOM</v>
      </c>
      <c r="AX312" s="11">
        <f t="shared" si="32"/>
        <v>1910</v>
      </c>
      <c r="AY312" s="11">
        <f t="shared" si="33"/>
        <v>1910</v>
      </c>
      <c r="AZ312" s="17">
        <v>3</v>
      </c>
      <c r="BA312">
        <f t="shared" si="34"/>
        <v>19.1</v>
      </c>
    </row>
    <row r="313" spans="2:53">
      <c r="B313" t="s">
        <v>26</v>
      </c>
      <c r="C313" t="s">
        <v>3235</v>
      </c>
      <c r="D313" t="s">
        <v>3236</v>
      </c>
      <c r="E313" t="s">
        <v>29</v>
      </c>
      <c r="F313" t="s">
        <v>30</v>
      </c>
      <c r="G313" t="s">
        <v>31</v>
      </c>
      <c r="J313" t="s">
        <v>3235</v>
      </c>
      <c r="K313" t="s">
        <v>1967</v>
      </c>
      <c r="L313" t="s">
        <v>2322</v>
      </c>
      <c r="M313" s="8">
        <v>2.51475</v>
      </c>
      <c r="N313">
        <v>145.23264029167</v>
      </c>
      <c r="O313">
        <v>1558</v>
      </c>
      <c r="P313" s="9">
        <v>0.352</v>
      </c>
      <c r="Q313" t="s">
        <v>265</v>
      </c>
      <c r="T313" s="15" t="s">
        <v>89</v>
      </c>
      <c r="W313" s="16" t="str">
        <f t="shared" si="28"/>
        <v>EN_WON_35_c04_BRA</v>
      </c>
      <c r="X313" s="12">
        <f t="shared" si="29"/>
        <v>1558</v>
      </c>
      <c r="Y313" s="11">
        <f t="shared" si="30"/>
        <v>1558</v>
      </c>
      <c r="AC313" t="s">
        <v>26</v>
      </c>
      <c r="AD313" t="s">
        <v>3237</v>
      </c>
      <c r="AE313" t="s">
        <v>3238</v>
      </c>
      <c r="AF313" t="s">
        <v>29</v>
      </c>
      <c r="AG313" t="s">
        <v>30</v>
      </c>
      <c r="AH313" t="s">
        <v>31</v>
      </c>
      <c r="AK313" t="s">
        <v>3237</v>
      </c>
      <c r="AL313" t="s">
        <v>1967</v>
      </c>
      <c r="AM313" t="s">
        <v>3194</v>
      </c>
      <c r="AN313" s="8">
        <v>2.5275</v>
      </c>
      <c r="AO313">
        <v>199.694880401046</v>
      </c>
      <c r="AP313">
        <v>1910</v>
      </c>
      <c r="AQ313" s="9">
        <v>0.435358456973294</v>
      </c>
      <c r="AR313" t="s">
        <v>588</v>
      </c>
      <c r="AT313" s="15" t="s">
        <v>89</v>
      </c>
      <c r="AW313" s="11" t="str">
        <f t="shared" si="31"/>
        <v>EN_WOF_44_c02_DOM</v>
      </c>
      <c r="AX313" s="11">
        <f t="shared" si="32"/>
        <v>1910</v>
      </c>
      <c r="AY313" s="11">
        <f t="shared" si="33"/>
        <v>1910</v>
      </c>
      <c r="AZ313" s="17">
        <v>3</v>
      </c>
      <c r="BA313">
        <f t="shared" si="34"/>
        <v>19.1</v>
      </c>
    </row>
    <row r="314" spans="2:53">
      <c r="B314" t="s">
        <v>26</v>
      </c>
      <c r="C314" t="s">
        <v>3239</v>
      </c>
      <c r="D314" t="s">
        <v>3240</v>
      </c>
      <c r="E314" t="s">
        <v>29</v>
      </c>
      <c r="F314" t="s">
        <v>30</v>
      </c>
      <c r="G314" t="s">
        <v>31</v>
      </c>
      <c r="J314" t="s">
        <v>3239</v>
      </c>
      <c r="K314" t="s">
        <v>1967</v>
      </c>
      <c r="L314" t="s">
        <v>2322</v>
      </c>
      <c r="M314" s="8">
        <v>7.128</v>
      </c>
      <c r="N314">
        <v>0</v>
      </c>
      <c r="O314">
        <v>1558</v>
      </c>
      <c r="P314" s="9">
        <v>0.360095328282828</v>
      </c>
      <c r="Q314" t="s">
        <v>265</v>
      </c>
      <c r="T314" s="15" t="s">
        <v>89</v>
      </c>
      <c r="W314" s="16" t="str">
        <f t="shared" si="28"/>
        <v>EN_WON_36_c01_BRA</v>
      </c>
      <c r="X314" s="12">
        <f t="shared" si="29"/>
        <v>1558</v>
      </c>
      <c r="Y314" s="11">
        <f t="shared" si="30"/>
        <v>1558</v>
      </c>
      <c r="AC314" t="s">
        <v>26</v>
      </c>
      <c r="AD314" t="s">
        <v>3241</v>
      </c>
      <c r="AE314" t="s">
        <v>3242</v>
      </c>
      <c r="AF314" t="s">
        <v>29</v>
      </c>
      <c r="AG314" t="s">
        <v>30</v>
      </c>
      <c r="AH314" t="s">
        <v>31</v>
      </c>
      <c r="AK314" t="s">
        <v>3241</v>
      </c>
      <c r="AL314" t="s">
        <v>1967</v>
      </c>
      <c r="AM314" t="s">
        <v>3194</v>
      </c>
      <c r="AN314" s="8">
        <v>1.359</v>
      </c>
      <c r="AO314">
        <v>199.694880401046</v>
      </c>
      <c r="AP314">
        <v>1910</v>
      </c>
      <c r="AQ314" s="9">
        <v>0.453</v>
      </c>
      <c r="AR314" t="s">
        <v>588</v>
      </c>
      <c r="AT314" s="15" t="s">
        <v>89</v>
      </c>
      <c r="AW314" s="11" t="str">
        <f t="shared" si="31"/>
        <v>EN_WOF_45_c02_DOM</v>
      </c>
      <c r="AX314" s="11">
        <f t="shared" si="32"/>
        <v>1910</v>
      </c>
      <c r="AY314" s="11">
        <f t="shared" si="33"/>
        <v>1910</v>
      </c>
      <c r="AZ314" s="17">
        <v>3</v>
      </c>
      <c r="BA314">
        <f t="shared" si="34"/>
        <v>19.1</v>
      </c>
    </row>
    <row r="315" spans="2:53">
      <c r="B315" t="s">
        <v>26</v>
      </c>
      <c r="C315" t="s">
        <v>3243</v>
      </c>
      <c r="D315" t="s">
        <v>3244</v>
      </c>
      <c r="E315" t="s">
        <v>29</v>
      </c>
      <c r="F315" t="s">
        <v>30</v>
      </c>
      <c r="G315" t="s">
        <v>31</v>
      </c>
      <c r="J315" t="s">
        <v>3243</v>
      </c>
      <c r="K315" t="s">
        <v>1967</v>
      </c>
      <c r="L315" t="s">
        <v>2322</v>
      </c>
      <c r="M315" s="8">
        <v>3.64725</v>
      </c>
      <c r="N315">
        <v>80.7856561622413</v>
      </c>
      <c r="O315">
        <v>1558</v>
      </c>
      <c r="P315" s="9">
        <v>0.357885256014806</v>
      </c>
      <c r="Q315" t="s">
        <v>265</v>
      </c>
      <c r="T315" s="15" t="s">
        <v>89</v>
      </c>
      <c r="W315" s="16" t="str">
        <f t="shared" si="28"/>
        <v>EN_WON_36_c02_BRA</v>
      </c>
      <c r="X315" s="12">
        <f t="shared" si="29"/>
        <v>1558</v>
      </c>
      <c r="Y315" s="11">
        <f t="shared" si="30"/>
        <v>1558</v>
      </c>
      <c r="AC315" t="s">
        <v>26</v>
      </c>
      <c r="AD315" t="s">
        <v>3245</v>
      </c>
      <c r="AE315" t="s">
        <v>3246</v>
      </c>
      <c r="AF315" t="s">
        <v>29</v>
      </c>
      <c r="AG315" t="s">
        <v>30</v>
      </c>
      <c r="AH315" t="s">
        <v>31</v>
      </c>
      <c r="AK315" t="s">
        <v>3245</v>
      </c>
      <c r="AL315" t="s">
        <v>1967</v>
      </c>
      <c r="AM315" t="s">
        <v>3194</v>
      </c>
      <c r="AN315" s="8">
        <v>1.2645</v>
      </c>
      <c r="AO315">
        <v>199.694880401046</v>
      </c>
      <c r="AP315">
        <v>1910</v>
      </c>
      <c r="AQ315" s="9">
        <v>0.555016607354686</v>
      </c>
      <c r="AR315" t="s">
        <v>588</v>
      </c>
      <c r="AT315" s="15" t="s">
        <v>89</v>
      </c>
      <c r="AW315" s="11" t="str">
        <f t="shared" si="31"/>
        <v>EN_WOF_56_c02_DOM</v>
      </c>
      <c r="AX315" s="11">
        <f t="shared" si="32"/>
        <v>1910</v>
      </c>
      <c r="AY315" s="11">
        <f t="shared" si="33"/>
        <v>1910</v>
      </c>
      <c r="AZ315" s="17">
        <v>3</v>
      </c>
      <c r="BA315">
        <f t="shared" si="34"/>
        <v>19.1</v>
      </c>
    </row>
    <row r="316" spans="2:53">
      <c r="B316" t="s">
        <v>26</v>
      </c>
      <c r="C316" t="s">
        <v>3247</v>
      </c>
      <c r="D316" t="s">
        <v>3248</v>
      </c>
      <c r="E316" t="s">
        <v>29</v>
      </c>
      <c r="F316" t="s">
        <v>30</v>
      </c>
      <c r="G316" t="s">
        <v>31</v>
      </c>
      <c r="J316" t="s">
        <v>3247</v>
      </c>
      <c r="K316" t="s">
        <v>1967</v>
      </c>
      <c r="L316" t="s">
        <v>2322</v>
      </c>
      <c r="M316" s="8">
        <v>3.501</v>
      </c>
      <c r="N316">
        <v>105.747516212372</v>
      </c>
      <c r="O316">
        <v>1558</v>
      </c>
      <c r="P316" s="9">
        <v>0.3602941302485</v>
      </c>
      <c r="Q316" t="s">
        <v>265</v>
      </c>
      <c r="T316" s="15" t="s">
        <v>89</v>
      </c>
      <c r="W316" s="16" t="str">
        <f t="shared" si="28"/>
        <v>EN_WON_36_c03_BRA</v>
      </c>
      <c r="X316" s="12">
        <f t="shared" si="29"/>
        <v>1558</v>
      </c>
      <c r="Y316" s="11">
        <f t="shared" si="30"/>
        <v>1558</v>
      </c>
      <c r="AC316" t="s">
        <v>26</v>
      </c>
      <c r="AD316" t="s">
        <v>3249</v>
      </c>
      <c r="AE316" t="s">
        <v>3250</v>
      </c>
      <c r="AF316" t="s">
        <v>29</v>
      </c>
      <c r="AG316" t="s">
        <v>30</v>
      </c>
      <c r="AH316" t="s">
        <v>31</v>
      </c>
      <c r="AK316" t="s">
        <v>3249</v>
      </c>
      <c r="AL316" t="s">
        <v>1967</v>
      </c>
      <c r="AM316" t="s">
        <v>3251</v>
      </c>
      <c r="AN316" s="8">
        <v>9.12975</v>
      </c>
      <c r="AO316">
        <v>199.694880401046</v>
      </c>
      <c r="AP316">
        <v>1514</v>
      </c>
      <c r="AQ316" s="9">
        <v>0.301</v>
      </c>
      <c r="AR316" t="s">
        <v>600</v>
      </c>
      <c r="AT316" s="15" t="s">
        <v>80</v>
      </c>
      <c r="AW316" s="11" t="str">
        <f t="shared" si="31"/>
        <v>EN_WOF_30_c02_DZA</v>
      </c>
      <c r="AX316" s="11">
        <f t="shared" si="32"/>
        <v>1514</v>
      </c>
      <c r="AY316" s="11">
        <f t="shared" si="33"/>
        <v>1514</v>
      </c>
      <c r="AZ316" s="17">
        <v>3</v>
      </c>
      <c r="BA316">
        <f t="shared" si="34"/>
        <v>15.14</v>
      </c>
    </row>
    <row r="317" spans="2:53">
      <c r="B317" t="s">
        <v>26</v>
      </c>
      <c r="C317" t="s">
        <v>3252</v>
      </c>
      <c r="D317" t="s">
        <v>3253</v>
      </c>
      <c r="E317" t="s">
        <v>29</v>
      </c>
      <c r="F317" t="s">
        <v>30</v>
      </c>
      <c r="G317" t="s">
        <v>31</v>
      </c>
      <c r="J317" t="s">
        <v>3252</v>
      </c>
      <c r="K317" t="s">
        <v>1967</v>
      </c>
      <c r="L317" t="s">
        <v>2322</v>
      </c>
      <c r="M317" s="8">
        <v>1.18275</v>
      </c>
      <c r="N317">
        <v>145.23264029167</v>
      </c>
      <c r="O317">
        <v>1558</v>
      </c>
      <c r="P317" s="9">
        <v>0.36</v>
      </c>
      <c r="Q317" t="s">
        <v>265</v>
      </c>
      <c r="T317" s="15" t="s">
        <v>89</v>
      </c>
      <c r="W317" s="16" t="str">
        <f t="shared" si="28"/>
        <v>EN_WON_36_c04_BRA</v>
      </c>
      <c r="X317" s="12">
        <f t="shared" si="29"/>
        <v>1558</v>
      </c>
      <c r="Y317" s="11">
        <f t="shared" si="30"/>
        <v>1558</v>
      </c>
      <c r="AC317" t="s">
        <v>26</v>
      </c>
      <c r="AD317" t="s">
        <v>3254</v>
      </c>
      <c r="AE317" t="s">
        <v>3255</v>
      </c>
      <c r="AF317" t="s">
        <v>29</v>
      </c>
      <c r="AG317" t="s">
        <v>30</v>
      </c>
      <c r="AH317" t="s">
        <v>31</v>
      </c>
      <c r="AK317" t="s">
        <v>3254</v>
      </c>
      <c r="AL317" t="s">
        <v>1967</v>
      </c>
      <c r="AM317" t="s">
        <v>3251</v>
      </c>
      <c r="AN317" s="8">
        <v>1.67475</v>
      </c>
      <c r="AO317">
        <v>199.694880401046</v>
      </c>
      <c r="AP317">
        <v>1514</v>
      </c>
      <c r="AQ317" s="9">
        <v>0.306999104343932</v>
      </c>
      <c r="AR317" t="s">
        <v>600</v>
      </c>
      <c r="AT317" s="15" t="s">
        <v>80</v>
      </c>
      <c r="AW317" s="11" t="str">
        <f t="shared" si="31"/>
        <v>EN_WOF_31_c02_DZA</v>
      </c>
      <c r="AX317" s="11">
        <f t="shared" si="32"/>
        <v>1514</v>
      </c>
      <c r="AY317" s="11">
        <f t="shared" si="33"/>
        <v>1514</v>
      </c>
      <c r="AZ317" s="17">
        <v>3</v>
      </c>
      <c r="BA317">
        <f t="shared" si="34"/>
        <v>15.14</v>
      </c>
    </row>
    <row r="318" spans="2:53">
      <c r="B318" t="s">
        <v>26</v>
      </c>
      <c r="C318" t="s">
        <v>3256</v>
      </c>
      <c r="D318" t="s">
        <v>3257</v>
      </c>
      <c r="E318" t="s">
        <v>29</v>
      </c>
      <c r="F318" t="s">
        <v>30</v>
      </c>
      <c r="G318" t="s">
        <v>31</v>
      </c>
      <c r="J318" t="s">
        <v>3256</v>
      </c>
      <c r="K318" t="s">
        <v>1967</v>
      </c>
      <c r="L318" t="s">
        <v>2322</v>
      </c>
      <c r="M318" s="8">
        <v>6.38925</v>
      </c>
      <c r="N318">
        <v>0</v>
      </c>
      <c r="O318">
        <v>1558</v>
      </c>
      <c r="P318" s="9">
        <v>0.372738819110224</v>
      </c>
      <c r="Q318" t="s">
        <v>265</v>
      </c>
      <c r="T318" s="15" t="s">
        <v>89</v>
      </c>
      <c r="W318" s="16" t="str">
        <f t="shared" si="28"/>
        <v>EN_WON_37_c01_BRA</v>
      </c>
      <c r="X318" s="12">
        <f t="shared" si="29"/>
        <v>1558</v>
      </c>
      <c r="Y318" s="11">
        <f t="shared" si="30"/>
        <v>1558</v>
      </c>
      <c r="AC318" t="s">
        <v>26</v>
      </c>
      <c r="AD318" t="s">
        <v>3258</v>
      </c>
      <c r="AE318" t="s">
        <v>3259</v>
      </c>
      <c r="AF318" t="s">
        <v>29</v>
      </c>
      <c r="AG318" t="s">
        <v>30</v>
      </c>
      <c r="AH318" t="s">
        <v>31</v>
      </c>
      <c r="AK318" t="s">
        <v>3258</v>
      </c>
      <c r="AL318" t="s">
        <v>1967</v>
      </c>
      <c r="AM318" t="s">
        <v>3251</v>
      </c>
      <c r="AN318" s="8">
        <v>0.55725</v>
      </c>
      <c r="AO318">
        <v>199.694880401046</v>
      </c>
      <c r="AP318">
        <v>1514</v>
      </c>
      <c r="AQ318" s="9">
        <v>0.319</v>
      </c>
      <c r="AR318" t="s">
        <v>600</v>
      </c>
      <c r="AT318" s="15" t="s">
        <v>80</v>
      </c>
      <c r="AW318" s="11" t="str">
        <f t="shared" si="31"/>
        <v>EN_WOF_32_c02_DZA</v>
      </c>
      <c r="AX318" s="11">
        <f t="shared" si="32"/>
        <v>1514</v>
      </c>
      <c r="AY318" s="11">
        <f t="shared" si="33"/>
        <v>1514</v>
      </c>
      <c r="AZ318" s="17">
        <v>3</v>
      </c>
      <c r="BA318">
        <f t="shared" si="34"/>
        <v>15.14</v>
      </c>
    </row>
    <row r="319" spans="2:53">
      <c r="B319" t="s">
        <v>26</v>
      </c>
      <c r="C319" t="s">
        <v>3260</v>
      </c>
      <c r="D319" t="s">
        <v>3261</v>
      </c>
      <c r="E319" t="s">
        <v>29</v>
      </c>
      <c r="F319" t="s">
        <v>30</v>
      </c>
      <c r="G319" t="s">
        <v>31</v>
      </c>
      <c r="J319" t="s">
        <v>3260</v>
      </c>
      <c r="K319" t="s">
        <v>1967</v>
      </c>
      <c r="L319" t="s">
        <v>2322</v>
      </c>
      <c r="M319" s="8">
        <v>0.4965</v>
      </c>
      <c r="N319">
        <v>80.7856561622413</v>
      </c>
      <c r="O319">
        <v>1558</v>
      </c>
      <c r="P319" s="9">
        <v>0.367010574018127</v>
      </c>
      <c r="Q319" t="s">
        <v>265</v>
      </c>
      <c r="T319" s="15" t="s">
        <v>89</v>
      </c>
      <c r="W319" s="16" t="str">
        <f t="shared" si="28"/>
        <v>EN_WON_37_c02_BRA</v>
      </c>
      <c r="X319" s="12">
        <f t="shared" si="29"/>
        <v>1558</v>
      </c>
      <c r="Y319" s="11">
        <f t="shared" si="30"/>
        <v>1558</v>
      </c>
      <c r="AC319" t="s">
        <v>26</v>
      </c>
      <c r="AD319" t="s">
        <v>3262</v>
      </c>
      <c r="AE319" t="s">
        <v>3263</v>
      </c>
      <c r="AF319" t="s">
        <v>29</v>
      </c>
      <c r="AG319" t="s">
        <v>30</v>
      </c>
      <c r="AH319" t="s">
        <v>31</v>
      </c>
      <c r="AK319" t="s">
        <v>3262</v>
      </c>
      <c r="AL319" t="s">
        <v>1967</v>
      </c>
      <c r="AM319" t="s">
        <v>3251</v>
      </c>
      <c r="AN319" s="8">
        <v>3.53925</v>
      </c>
      <c r="AO319">
        <v>199.694880401046</v>
      </c>
      <c r="AP319">
        <v>1514</v>
      </c>
      <c r="AQ319" s="9">
        <v>0.336997668997669</v>
      </c>
      <c r="AR319" t="s">
        <v>600</v>
      </c>
      <c r="AT319" s="15" t="s">
        <v>80</v>
      </c>
      <c r="AW319" s="11" t="str">
        <f t="shared" si="31"/>
        <v>EN_WOF_34_c02_DZA</v>
      </c>
      <c r="AX319" s="11">
        <f t="shared" si="32"/>
        <v>1514</v>
      </c>
      <c r="AY319" s="11">
        <f t="shared" si="33"/>
        <v>1514</v>
      </c>
      <c r="AZ319" s="17">
        <v>3</v>
      </c>
      <c r="BA319">
        <f t="shared" si="34"/>
        <v>15.14</v>
      </c>
    </row>
    <row r="320" spans="2:53">
      <c r="B320" t="s">
        <v>26</v>
      </c>
      <c r="C320" t="s">
        <v>3264</v>
      </c>
      <c r="D320" t="s">
        <v>3265</v>
      </c>
      <c r="E320" t="s">
        <v>29</v>
      </c>
      <c r="F320" t="s">
        <v>30</v>
      </c>
      <c r="G320" t="s">
        <v>31</v>
      </c>
      <c r="J320" t="s">
        <v>3264</v>
      </c>
      <c r="K320" t="s">
        <v>1967</v>
      </c>
      <c r="L320" t="s">
        <v>2322</v>
      </c>
      <c r="M320" s="8">
        <v>2.1525</v>
      </c>
      <c r="N320">
        <v>105.747516212372</v>
      </c>
      <c r="O320">
        <v>1558</v>
      </c>
      <c r="P320" s="9">
        <v>0.369</v>
      </c>
      <c r="Q320" t="s">
        <v>265</v>
      </c>
      <c r="T320" s="15" t="s">
        <v>89</v>
      </c>
      <c r="W320" s="16" t="str">
        <f t="shared" si="28"/>
        <v>EN_WON_37_c03_BRA</v>
      </c>
      <c r="X320" s="12">
        <f t="shared" si="29"/>
        <v>1558</v>
      </c>
      <c r="Y320" s="11">
        <f t="shared" si="30"/>
        <v>1558</v>
      </c>
      <c r="AC320" t="s">
        <v>26</v>
      </c>
      <c r="AD320" t="s">
        <v>3266</v>
      </c>
      <c r="AE320" t="s">
        <v>3267</v>
      </c>
      <c r="AF320" t="s">
        <v>29</v>
      </c>
      <c r="AG320" t="s">
        <v>30</v>
      </c>
      <c r="AH320" t="s">
        <v>31</v>
      </c>
      <c r="AK320" t="s">
        <v>3266</v>
      </c>
      <c r="AL320" t="s">
        <v>1967</v>
      </c>
      <c r="AM320" t="s">
        <v>3251</v>
      </c>
      <c r="AN320" s="8">
        <v>2.21325</v>
      </c>
      <c r="AO320">
        <v>199.694880401046</v>
      </c>
      <c r="AP320">
        <v>1514</v>
      </c>
      <c r="AQ320" s="9">
        <v>0.351</v>
      </c>
      <c r="AR320" t="s">
        <v>600</v>
      </c>
      <c r="AT320" s="15" t="s">
        <v>80</v>
      </c>
      <c r="AW320" s="11" t="str">
        <f t="shared" si="31"/>
        <v>EN_WOF_35_c02_DZA</v>
      </c>
      <c r="AX320" s="11">
        <f t="shared" si="32"/>
        <v>1514</v>
      </c>
      <c r="AY320" s="11">
        <f t="shared" si="33"/>
        <v>1514</v>
      </c>
      <c r="AZ320" s="17">
        <v>3</v>
      </c>
      <c r="BA320">
        <f t="shared" si="34"/>
        <v>15.14</v>
      </c>
    </row>
    <row r="321" spans="2:53">
      <c r="B321" t="s">
        <v>26</v>
      </c>
      <c r="C321" t="s">
        <v>3268</v>
      </c>
      <c r="D321" t="s">
        <v>3269</v>
      </c>
      <c r="E321" t="s">
        <v>29</v>
      </c>
      <c r="F321" t="s">
        <v>30</v>
      </c>
      <c r="G321" t="s">
        <v>31</v>
      </c>
      <c r="J321" t="s">
        <v>3268</v>
      </c>
      <c r="K321" t="s">
        <v>1967</v>
      </c>
      <c r="L321" t="s">
        <v>2322</v>
      </c>
      <c r="M321" s="8">
        <v>6.318</v>
      </c>
      <c r="N321">
        <v>145.23264029167</v>
      </c>
      <c r="O321">
        <v>1558</v>
      </c>
      <c r="P321" s="9">
        <v>0.366047008547009</v>
      </c>
      <c r="Q321" t="s">
        <v>265</v>
      </c>
      <c r="T321" s="15" t="s">
        <v>89</v>
      </c>
      <c r="W321" s="16" t="str">
        <f t="shared" si="28"/>
        <v>EN_WON_37_c04_BRA</v>
      </c>
      <c r="X321" s="12">
        <f t="shared" si="29"/>
        <v>1558</v>
      </c>
      <c r="Y321" s="11">
        <f t="shared" si="30"/>
        <v>1558</v>
      </c>
      <c r="AC321" t="s">
        <v>26</v>
      </c>
      <c r="AD321" t="s">
        <v>3270</v>
      </c>
      <c r="AE321" t="s">
        <v>3271</v>
      </c>
      <c r="AF321" t="s">
        <v>29</v>
      </c>
      <c r="AG321" t="s">
        <v>30</v>
      </c>
      <c r="AH321" t="s">
        <v>31</v>
      </c>
      <c r="AK321" t="s">
        <v>3270</v>
      </c>
      <c r="AL321" t="s">
        <v>1967</v>
      </c>
      <c r="AM321" t="s">
        <v>3251</v>
      </c>
      <c r="AN321" s="8">
        <v>1.2555</v>
      </c>
      <c r="AO321">
        <v>199.694880401046</v>
      </c>
      <c r="AP321">
        <v>1514</v>
      </c>
      <c r="AQ321" s="9">
        <v>0.361017921146953</v>
      </c>
      <c r="AR321" t="s">
        <v>600</v>
      </c>
      <c r="AT321" s="15" t="s">
        <v>80</v>
      </c>
      <c r="AW321" s="11" t="str">
        <f t="shared" si="31"/>
        <v>EN_WOF_36_c02_DZA</v>
      </c>
      <c r="AX321" s="11">
        <f t="shared" si="32"/>
        <v>1514</v>
      </c>
      <c r="AY321" s="11">
        <f t="shared" si="33"/>
        <v>1514</v>
      </c>
      <c r="AZ321" s="17">
        <v>3</v>
      </c>
      <c r="BA321">
        <f t="shared" si="34"/>
        <v>15.14</v>
      </c>
    </row>
    <row r="322" spans="2:53">
      <c r="B322" t="s">
        <v>26</v>
      </c>
      <c r="C322" t="s">
        <v>3272</v>
      </c>
      <c r="D322" t="s">
        <v>3273</v>
      </c>
      <c r="E322" t="s">
        <v>29</v>
      </c>
      <c r="F322" t="s">
        <v>30</v>
      </c>
      <c r="G322" t="s">
        <v>31</v>
      </c>
      <c r="J322" t="s">
        <v>3272</v>
      </c>
      <c r="K322" t="s">
        <v>1967</v>
      </c>
      <c r="L322" t="s">
        <v>2322</v>
      </c>
      <c r="M322" s="8">
        <v>7.227</v>
      </c>
      <c r="N322">
        <v>0</v>
      </c>
      <c r="O322">
        <v>1558</v>
      </c>
      <c r="P322" s="9">
        <v>0.377640307181403</v>
      </c>
      <c r="Q322" t="s">
        <v>265</v>
      </c>
      <c r="T322" s="15" t="s">
        <v>89</v>
      </c>
      <c r="W322" s="16" t="str">
        <f t="shared" si="28"/>
        <v>EN_WON_38_c01_BRA</v>
      </c>
      <c r="X322" s="12">
        <f t="shared" si="29"/>
        <v>1558</v>
      </c>
      <c r="Y322" s="11">
        <f t="shared" si="30"/>
        <v>1558</v>
      </c>
      <c r="AC322" t="s">
        <v>26</v>
      </c>
      <c r="AD322" t="s">
        <v>3274</v>
      </c>
      <c r="AE322" t="s">
        <v>3275</v>
      </c>
      <c r="AF322" t="s">
        <v>29</v>
      </c>
      <c r="AG322" t="s">
        <v>30</v>
      </c>
      <c r="AH322" t="s">
        <v>31</v>
      </c>
      <c r="AK322" t="s">
        <v>3274</v>
      </c>
      <c r="AL322" t="s">
        <v>1967</v>
      </c>
      <c r="AM322" t="s">
        <v>3251</v>
      </c>
      <c r="AN322" s="8">
        <v>3.59775</v>
      </c>
      <c r="AO322">
        <v>199.694880401046</v>
      </c>
      <c r="AP322">
        <v>1514</v>
      </c>
      <c r="AQ322" s="9">
        <v>0.371811131957473</v>
      </c>
      <c r="AR322" t="s">
        <v>600</v>
      </c>
      <c r="AT322" s="15" t="s">
        <v>80</v>
      </c>
      <c r="AW322" s="11" t="str">
        <f t="shared" si="31"/>
        <v>EN_WOF_37_c02_DZA</v>
      </c>
      <c r="AX322" s="11">
        <f t="shared" si="32"/>
        <v>1514</v>
      </c>
      <c r="AY322" s="11">
        <f t="shared" si="33"/>
        <v>1514</v>
      </c>
      <c r="AZ322" s="17">
        <v>3</v>
      </c>
      <c r="BA322">
        <f t="shared" si="34"/>
        <v>15.14</v>
      </c>
    </row>
    <row r="323" spans="2:53">
      <c r="B323" t="s">
        <v>26</v>
      </c>
      <c r="C323" t="s">
        <v>3276</v>
      </c>
      <c r="D323" t="s">
        <v>3277</v>
      </c>
      <c r="E323" t="s">
        <v>29</v>
      </c>
      <c r="F323" t="s">
        <v>30</v>
      </c>
      <c r="G323" t="s">
        <v>31</v>
      </c>
      <c r="J323" t="s">
        <v>3276</v>
      </c>
      <c r="K323" t="s">
        <v>1967</v>
      </c>
      <c r="L323" t="s">
        <v>2322</v>
      </c>
      <c r="M323" s="8">
        <v>1.6935</v>
      </c>
      <c r="N323">
        <v>80.7856561622413</v>
      </c>
      <c r="O323">
        <v>1558</v>
      </c>
      <c r="P323" s="9">
        <v>0.375</v>
      </c>
      <c r="Q323" t="s">
        <v>265</v>
      </c>
      <c r="T323" s="15" t="s">
        <v>89</v>
      </c>
      <c r="W323" s="16" t="str">
        <f t="shared" si="28"/>
        <v>EN_WON_38_c02_BRA</v>
      </c>
      <c r="X323" s="12">
        <f t="shared" si="29"/>
        <v>1558</v>
      </c>
      <c r="Y323" s="11">
        <f t="shared" si="30"/>
        <v>1558</v>
      </c>
      <c r="AC323" t="s">
        <v>26</v>
      </c>
      <c r="AD323" t="s">
        <v>3278</v>
      </c>
      <c r="AE323" t="s">
        <v>3279</v>
      </c>
      <c r="AF323" t="s">
        <v>29</v>
      </c>
      <c r="AG323" t="s">
        <v>30</v>
      </c>
      <c r="AH323" t="s">
        <v>31</v>
      </c>
      <c r="AK323" t="s">
        <v>3278</v>
      </c>
      <c r="AL323" t="s">
        <v>1967</v>
      </c>
      <c r="AM323" t="s">
        <v>3280</v>
      </c>
      <c r="AN323" s="8">
        <v>1.7115</v>
      </c>
      <c r="AO323">
        <v>199.694880401046</v>
      </c>
      <c r="AP323">
        <v>1422</v>
      </c>
      <c r="AQ323" s="9">
        <v>0.319624890446976</v>
      </c>
      <c r="AR323" t="s">
        <v>634</v>
      </c>
      <c r="AT323" s="15" t="s">
        <v>80</v>
      </c>
      <c r="AW323" s="11" t="str">
        <f t="shared" si="31"/>
        <v>EN_WOF_32_c02_EGY</v>
      </c>
      <c r="AX323" s="11">
        <f t="shared" si="32"/>
        <v>1422</v>
      </c>
      <c r="AY323" s="11">
        <f t="shared" si="33"/>
        <v>1422</v>
      </c>
      <c r="AZ323" s="17">
        <v>3</v>
      </c>
      <c r="BA323">
        <f t="shared" si="34"/>
        <v>14.22</v>
      </c>
    </row>
    <row r="324" spans="2:53">
      <c r="B324" t="s">
        <v>26</v>
      </c>
      <c r="C324" t="s">
        <v>3281</v>
      </c>
      <c r="D324" t="s">
        <v>3282</v>
      </c>
      <c r="E324" t="s">
        <v>29</v>
      </c>
      <c r="F324" t="s">
        <v>30</v>
      </c>
      <c r="G324" t="s">
        <v>31</v>
      </c>
      <c r="J324" t="s">
        <v>3281</v>
      </c>
      <c r="K324" t="s">
        <v>1967</v>
      </c>
      <c r="L324" t="s">
        <v>2322</v>
      </c>
      <c r="M324" s="8">
        <v>2.526</v>
      </c>
      <c r="N324">
        <v>0</v>
      </c>
      <c r="O324">
        <v>1558</v>
      </c>
      <c r="P324" s="9">
        <v>0.386194180522565</v>
      </c>
      <c r="Q324" t="s">
        <v>265</v>
      </c>
      <c r="T324" s="15" t="s">
        <v>89</v>
      </c>
      <c r="W324" s="16" t="str">
        <f t="shared" si="28"/>
        <v>EN_WON_39_c01_BRA</v>
      </c>
      <c r="X324" s="12">
        <f t="shared" si="29"/>
        <v>1558</v>
      </c>
      <c r="Y324" s="11">
        <f t="shared" si="30"/>
        <v>1558</v>
      </c>
      <c r="AC324" t="s">
        <v>26</v>
      </c>
      <c r="AD324" t="s">
        <v>3283</v>
      </c>
      <c r="AE324" t="s">
        <v>3284</v>
      </c>
      <c r="AF324" t="s">
        <v>29</v>
      </c>
      <c r="AG324" t="s">
        <v>30</v>
      </c>
      <c r="AH324" t="s">
        <v>31</v>
      </c>
      <c r="AK324" t="s">
        <v>3283</v>
      </c>
      <c r="AL324" t="s">
        <v>1967</v>
      </c>
      <c r="AM324" t="s">
        <v>3280</v>
      </c>
      <c r="AN324" s="8">
        <v>5.38425</v>
      </c>
      <c r="AO324">
        <v>199.694880401046</v>
      </c>
      <c r="AP324">
        <v>1422</v>
      </c>
      <c r="AQ324" s="9">
        <v>0.327060871987742</v>
      </c>
      <c r="AR324" t="s">
        <v>634</v>
      </c>
      <c r="AT324" s="15" t="s">
        <v>80</v>
      </c>
      <c r="AW324" s="11" t="str">
        <f t="shared" si="31"/>
        <v>EN_WOF_33_c02_EGY</v>
      </c>
      <c r="AX324" s="11">
        <f t="shared" si="32"/>
        <v>1422</v>
      </c>
      <c r="AY324" s="11">
        <f t="shared" si="33"/>
        <v>1422</v>
      </c>
      <c r="AZ324" s="17">
        <v>3</v>
      </c>
      <c r="BA324">
        <f t="shared" si="34"/>
        <v>14.22</v>
      </c>
    </row>
    <row r="325" spans="2:53">
      <c r="B325" t="s">
        <v>26</v>
      </c>
      <c r="C325" t="s">
        <v>3285</v>
      </c>
      <c r="D325" t="s">
        <v>3286</v>
      </c>
      <c r="E325" t="s">
        <v>29</v>
      </c>
      <c r="F325" t="s">
        <v>30</v>
      </c>
      <c r="G325" t="s">
        <v>31</v>
      </c>
      <c r="J325" t="s">
        <v>3285</v>
      </c>
      <c r="K325" t="s">
        <v>1967</v>
      </c>
      <c r="L325" t="s">
        <v>2322</v>
      </c>
      <c r="M325" s="8">
        <v>2.4705</v>
      </c>
      <c r="N325">
        <v>0</v>
      </c>
      <c r="O325">
        <v>1558</v>
      </c>
      <c r="P325" s="9">
        <v>0.395269581056466</v>
      </c>
      <c r="Q325" t="s">
        <v>265</v>
      </c>
      <c r="T325" s="15" t="s">
        <v>89</v>
      </c>
      <c r="W325" s="16" t="str">
        <f t="shared" si="28"/>
        <v>EN_WON_40_c01_BRA</v>
      </c>
      <c r="X325" s="12">
        <f t="shared" si="29"/>
        <v>1558</v>
      </c>
      <c r="Y325" s="11">
        <f t="shared" si="30"/>
        <v>1558</v>
      </c>
      <c r="AC325" t="s">
        <v>26</v>
      </c>
      <c r="AD325" t="s">
        <v>3287</v>
      </c>
      <c r="AE325" t="s">
        <v>3288</v>
      </c>
      <c r="AF325" t="s">
        <v>29</v>
      </c>
      <c r="AG325" t="s">
        <v>30</v>
      </c>
      <c r="AH325" t="s">
        <v>31</v>
      </c>
      <c r="AK325" t="s">
        <v>3287</v>
      </c>
      <c r="AL325" t="s">
        <v>1967</v>
      </c>
      <c r="AM325" t="s">
        <v>3280</v>
      </c>
      <c r="AN325" s="8">
        <v>8.15775</v>
      </c>
      <c r="AO325">
        <v>199.694880401046</v>
      </c>
      <c r="AP325">
        <v>1422</v>
      </c>
      <c r="AQ325" s="9">
        <v>0.338362967730073</v>
      </c>
      <c r="AR325" t="s">
        <v>634</v>
      </c>
      <c r="AT325" s="15" t="s">
        <v>80</v>
      </c>
      <c r="AW325" s="11" t="str">
        <f t="shared" si="31"/>
        <v>EN_WOF_34_c02_EGY</v>
      </c>
      <c r="AX325" s="11">
        <f t="shared" si="32"/>
        <v>1422</v>
      </c>
      <c r="AY325" s="11">
        <f t="shared" si="33"/>
        <v>1422</v>
      </c>
      <c r="AZ325" s="17">
        <v>3</v>
      </c>
      <c r="BA325">
        <f t="shared" si="34"/>
        <v>14.22</v>
      </c>
    </row>
    <row r="326" spans="2:53">
      <c r="B326" t="s">
        <v>26</v>
      </c>
      <c r="C326" t="s">
        <v>3289</v>
      </c>
      <c r="D326" t="s">
        <v>3290</v>
      </c>
      <c r="E326" t="s">
        <v>29</v>
      </c>
      <c r="F326" t="s">
        <v>30</v>
      </c>
      <c r="G326" t="s">
        <v>31</v>
      </c>
      <c r="J326" t="s">
        <v>3289</v>
      </c>
      <c r="K326" t="s">
        <v>1967</v>
      </c>
      <c r="L326" t="s">
        <v>2322</v>
      </c>
      <c r="M326" s="8">
        <v>2.373</v>
      </c>
      <c r="N326">
        <v>105.747516212372</v>
      </c>
      <c r="O326">
        <v>1558</v>
      </c>
      <c r="P326" s="9">
        <v>0.404</v>
      </c>
      <c r="Q326" t="s">
        <v>265</v>
      </c>
      <c r="T326" s="15" t="s">
        <v>89</v>
      </c>
      <c r="W326" s="16" t="str">
        <f t="shared" ref="W326:W389" si="35">J326</f>
        <v>EN_WON_40_c03_BRA</v>
      </c>
      <c r="X326" s="12">
        <f t="shared" ref="X326:X389" si="36">O326</f>
        <v>1558</v>
      </c>
      <c r="Y326" s="11">
        <f t="shared" ref="Y326:Y389" si="37">X326</f>
        <v>1558</v>
      </c>
      <c r="AC326" t="s">
        <v>26</v>
      </c>
      <c r="AD326" t="s">
        <v>3291</v>
      </c>
      <c r="AE326" t="s">
        <v>3292</v>
      </c>
      <c r="AF326" t="s">
        <v>29</v>
      </c>
      <c r="AG326" t="s">
        <v>30</v>
      </c>
      <c r="AH326" t="s">
        <v>31</v>
      </c>
      <c r="AK326" t="s">
        <v>3291</v>
      </c>
      <c r="AL326" t="s">
        <v>1967</v>
      </c>
      <c r="AM326" t="s">
        <v>3280</v>
      </c>
      <c r="AN326" s="8">
        <v>9.68475</v>
      </c>
      <c r="AO326">
        <v>199.694880401046</v>
      </c>
      <c r="AP326">
        <v>1422</v>
      </c>
      <c r="AQ326" s="9">
        <v>0.347316115542476</v>
      </c>
      <c r="AR326" t="s">
        <v>634</v>
      </c>
      <c r="AT326" s="15" t="s">
        <v>80</v>
      </c>
      <c r="AW326" s="11" t="str">
        <f t="shared" ref="AW326:AW389" si="38">AK326</f>
        <v>EN_WOF_35_c02_EGY</v>
      </c>
      <c r="AX326" s="11">
        <f t="shared" ref="AX326:AX389" si="39">AP326</f>
        <v>1422</v>
      </c>
      <c r="AY326" s="11">
        <f t="shared" ref="AY326:AY389" si="40">AX326</f>
        <v>1422</v>
      </c>
      <c r="AZ326" s="17">
        <v>3</v>
      </c>
      <c r="BA326">
        <f t="shared" ref="BA326:BA389" si="41">AX326*0.01</f>
        <v>14.22</v>
      </c>
    </row>
    <row r="327" spans="2:53">
      <c r="B327" t="s">
        <v>26</v>
      </c>
      <c r="C327" t="s">
        <v>3293</v>
      </c>
      <c r="D327" t="s">
        <v>3294</v>
      </c>
      <c r="E327" t="s">
        <v>29</v>
      </c>
      <c r="F327" t="s">
        <v>30</v>
      </c>
      <c r="G327" t="s">
        <v>31</v>
      </c>
      <c r="J327" t="s">
        <v>3293</v>
      </c>
      <c r="K327" t="s">
        <v>1967</v>
      </c>
      <c r="L327" t="s">
        <v>2322</v>
      </c>
      <c r="M327" s="8">
        <v>4.491</v>
      </c>
      <c r="N327">
        <v>0</v>
      </c>
      <c r="O327">
        <v>1558</v>
      </c>
      <c r="P327" s="9">
        <v>0.409144288577154</v>
      </c>
      <c r="Q327" t="s">
        <v>265</v>
      </c>
      <c r="T327" s="15" t="s">
        <v>89</v>
      </c>
      <c r="W327" s="16" t="str">
        <f t="shared" si="35"/>
        <v>EN_WON_41_c01_BRA</v>
      </c>
      <c r="X327" s="12">
        <f t="shared" si="36"/>
        <v>1558</v>
      </c>
      <c r="Y327" s="11">
        <f t="shared" si="37"/>
        <v>1558</v>
      </c>
      <c r="AC327" t="s">
        <v>26</v>
      </c>
      <c r="AD327" t="s">
        <v>3295</v>
      </c>
      <c r="AE327" t="s">
        <v>3296</v>
      </c>
      <c r="AF327" t="s">
        <v>29</v>
      </c>
      <c r="AG327" t="s">
        <v>30</v>
      </c>
      <c r="AH327" t="s">
        <v>31</v>
      </c>
      <c r="AK327" t="s">
        <v>3295</v>
      </c>
      <c r="AL327" t="s">
        <v>1967</v>
      </c>
      <c r="AM327" t="s">
        <v>3280</v>
      </c>
      <c r="AN327" s="8">
        <v>17.8695</v>
      </c>
      <c r="AO327">
        <v>199.694880401046</v>
      </c>
      <c r="AP327">
        <v>1422</v>
      </c>
      <c r="AQ327" s="9">
        <v>0.363087971123982</v>
      </c>
      <c r="AR327" t="s">
        <v>634</v>
      </c>
      <c r="AT327" s="15" t="s">
        <v>80</v>
      </c>
      <c r="AW327" s="11" t="str">
        <f t="shared" si="38"/>
        <v>EN_WOF_36_c02_EGY</v>
      </c>
      <c r="AX327" s="11">
        <f t="shared" si="39"/>
        <v>1422</v>
      </c>
      <c r="AY327" s="11">
        <f t="shared" si="40"/>
        <v>1422</v>
      </c>
      <c r="AZ327" s="17">
        <v>3</v>
      </c>
      <c r="BA327">
        <f t="shared" si="41"/>
        <v>14.22</v>
      </c>
    </row>
    <row r="328" spans="2:53">
      <c r="B328" t="s">
        <v>26</v>
      </c>
      <c r="C328" t="s">
        <v>3297</v>
      </c>
      <c r="D328" t="s">
        <v>3298</v>
      </c>
      <c r="E328" t="s">
        <v>29</v>
      </c>
      <c r="F328" t="s">
        <v>30</v>
      </c>
      <c r="G328" t="s">
        <v>31</v>
      </c>
      <c r="J328" t="s">
        <v>3297</v>
      </c>
      <c r="K328" t="s">
        <v>1967</v>
      </c>
      <c r="L328" t="s">
        <v>2322</v>
      </c>
      <c r="M328" s="8">
        <v>4.3935</v>
      </c>
      <c r="N328">
        <v>80.7856561622413</v>
      </c>
      <c r="O328">
        <v>1558</v>
      </c>
      <c r="P328" s="9">
        <v>0.444</v>
      </c>
      <c r="Q328" t="s">
        <v>265</v>
      </c>
      <c r="T328" s="15" t="s">
        <v>89</v>
      </c>
      <c r="W328" s="16" t="str">
        <f t="shared" si="35"/>
        <v>EN_WON_44_c02_BRA</v>
      </c>
      <c r="X328" s="12">
        <f t="shared" si="36"/>
        <v>1558</v>
      </c>
      <c r="Y328" s="11">
        <f t="shared" si="37"/>
        <v>1558</v>
      </c>
      <c r="AC328" t="s">
        <v>26</v>
      </c>
      <c r="AD328" t="s">
        <v>3299</v>
      </c>
      <c r="AE328" t="s">
        <v>3300</v>
      </c>
      <c r="AF328" t="s">
        <v>29</v>
      </c>
      <c r="AG328" t="s">
        <v>30</v>
      </c>
      <c r="AH328" t="s">
        <v>31</v>
      </c>
      <c r="AK328" t="s">
        <v>3299</v>
      </c>
      <c r="AL328" t="s">
        <v>1967</v>
      </c>
      <c r="AM328" t="s">
        <v>3280</v>
      </c>
      <c r="AN328" s="8">
        <v>9.2955</v>
      </c>
      <c r="AO328">
        <v>199.694880401046</v>
      </c>
      <c r="AP328">
        <v>1422</v>
      </c>
      <c r="AQ328" s="9">
        <v>0.3683452477005</v>
      </c>
      <c r="AR328" t="s">
        <v>634</v>
      </c>
      <c r="AT328" s="15" t="s">
        <v>80</v>
      </c>
      <c r="AW328" s="11" t="str">
        <f t="shared" si="38"/>
        <v>EN_WOF_37_c02_EGY</v>
      </c>
      <c r="AX328" s="11">
        <f t="shared" si="39"/>
        <v>1422</v>
      </c>
      <c r="AY328" s="11">
        <f t="shared" si="40"/>
        <v>1422</v>
      </c>
      <c r="AZ328" s="17">
        <v>3</v>
      </c>
      <c r="BA328">
        <f t="shared" si="41"/>
        <v>14.22</v>
      </c>
    </row>
    <row r="329" spans="2:53">
      <c r="B329" t="s">
        <v>26</v>
      </c>
      <c r="C329" t="s">
        <v>3301</v>
      </c>
      <c r="D329" t="s">
        <v>3302</v>
      </c>
      <c r="E329" t="s">
        <v>29</v>
      </c>
      <c r="F329" t="s">
        <v>30</v>
      </c>
      <c r="G329" t="s">
        <v>31</v>
      </c>
      <c r="J329" t="s">
        <v>3301</v>
      </c>
      <c r="K329" t="s">
        <v>1967</v>
      </c>
      <c r="L329" t="s">
        <v>3303</v>
      </c>
      <c r="M329" s="8">
        <v>5.1105</v>
      </c>
      <c r="N329">
        <v>0</v>
      </c>
      <c r="O329">
        <v>1952</v>
      </c>
      <c r="P329" s="9">
        <v>0.297</v>
      </c>
      <c r="Q329" t="s">
        <v>298</v>
      </c>
      <c r="T329" s="15" t="s">
        <v>54</v>
      </c>
      <c r="W329" s="16" t="str">
        <f t="shared" si="35"/>
        <v>EN_WON_30_c01_BWA</v>
      </c>
      <c r="X329" s="12">
        <f t="shared" si="36"/>
        <v>1952</v>
      </c>
      <c r="Y329" s="11">
        <f t="shared" si="37"/>
        <v>1952</v>
      </c>
      <c r="AC329" t="s">
        <v>26</v>
      </c>
      <c r="AD329" t="s">
        <v>3304</v>
      </c>
      <c r="AE329" t="s">
        <v>3305</v>
      </c>
      <c r="AF329" t="s">
        <v>29</v>
      </c>
      <c r="AG329" t="s">
        <v>30</v>
      </c>
      <c r="AH329" t="s">
        <v>31</v>
      </c>
      <c r="AK329" t="s">
        <v>3304</v>
      </c>
      <c r="AL329" t="s">
        <v>1967</v>
      </c>
      <c r="AM329" t="s">
        <v>3280</v>
      </c>
      <c r="AN329" s="8">
        <v>5.8245</v>
      </c>
      <c r="AO329">
        <v>199.694880401046</v>
      </c>
      <c r="AP329">
        <v>1422</v>
      </c>
      <c r="AQ329" s="9">
        <v>0.384</v>
      </c>
      <c r="AR329" t="s">
        <v>634</v>
      </c>
      <c r="AT329" s="15" t="s">
        <v>80</v>
      </c>
      <c r="AW329" s="11" t="str">
        <f t="shared" si="38"/>
        <v>EN_WOF_38_c02_EGY</v>
      </c>
      <c r="AX329" s="11">
        <f t="shared" si="39"/>
        <v>1422</v>
      </c>
      <c r="AY329" s="11">
        <f t="shared" si="40"/>
        <v>1422</v>
      </c>
      <c r="AZ329" s="17">
        <v>3</v>
      </c>
      <c r="BA329">
        <f t="shared" si="41"/>
        <v>14.22</v>
      </c>
    </row>
    <row r="330" spans="2:53">
      <c r="B330" t="s">
        <v>26</v>
      </c>
      <c r="C330" t="s">
        <v>3306</v>
      </c>
      <c r="D330" t="s">
        <v>3307</v>
      </c>
      <c r="E330" t="s">
        <v>29</v>
      </c>
      <c r="F330" t="s">
        <v>30</v>
      </c>
      <c r="G330" t="s">
        <v>31</v>
      </c>
      <c r="J330" t="s">
        <v>3306</v>
      </c>
      <c r="K330" t="s">
        <v>1967</v>
      </c>
      <c r="L330" t="s">
        <v>3303</v>
      </c>
      <c r="M330" s="8">
        <v>4.572</v>
      </c>
      <c r="N330">
        <v>80.7856561622413</v>
      </c>
      <c r="O330">
        <v>1952</v>
      </c>
      <c r="P330" s="9">
        <v>0.303</v>
      </c>
      <c r="Q330" t="s">
        <v>298</v>
      </c>
      <c r="T330" s="15" t="s">
        <v>54</v>
      </c>
      <c r="W330" s="16" t="str">
        <f t="shared" si="35"/>
        <v>EN_WON_30_c02_BWA</v>
      </c>
      <c r="X330" s="12">
        <f t="shared" si="36"/>
        <v>1952</v>
      </c>
      <c r="Y330" s="11">
        <f t="shared" si="37"/>
        <v>1952</v>
      </c>
      <c r="AC330" t="s">
        <v>26</v>
      </c>
      <c r="AD330" t="s">
        <v>3308</v>
      </c>
      <c r="AE330" t="s">
        <v>3309</v>
      </c>
      <c r="AF330" t="s">
        <v>29</v>
      </c>
      <c r="AG330" t="s">
        <v>30</v>
      </c>
      <c r="AH330" t="s">
        <v>31</v>
      </c>
      <c r="AK330" t="s">
        <v>3308</v>
      </c>
      <c r="AL330" t="s">
        <v>1967</v>
      </c>
      <c r="AM330" t="s">
        <v>3280</v>
      </c>
      <c r="AN330" s="8">
        <v>8.57475</v>
      </c>
      <c r="AO330">
        <v>199.694880401046</v>
      </c>
      <c r="AP330">
        <v>1422</v>
      </c>
      <c r="AQ330" s="9">
        <v>0.389442665966938</v>
      </c>
      <c r="AR330" t="s">
        <v>634</v>
      </c>
      <c r="AT330" s="15" t="s">
        <v>80</v>
      </c>
      <c r="AW330" s="11" t="str">
        <f t="shared" si="38"/>
        <v>EN_WOF_39_c02_EGY</v>
      </c>
      <c r="AX330" s="11">
        <f t="shared" si="39"/>
        <v>1422</v>
      </c>
      <c r="AY330" s="11">
        <f t="shared" si="40"/>
        <v>1422</v>
      </c>
      <c r="AZ330" s="17">
        <v>3</v>
      </c>
      <c r="BA330">
        <f t="shared" si="41"/>
        <v>14.22</v>
      </c>
    </row>
    <row r="331" spans="2:53">
      <c r="B331" t="s">
        <v>26</v>
      </c>
      <c r="C331" t="s">
        <v>3310</v>
      </c>
      <c r="D331" t="s">
        <v>3311</v>
      </c>
      <c r="E331" t="s">
        <v>29</v>
      </c>
      <c r="F331" t="s">
        <v>30</v>
      </c>
      <c r="G331" t="s">
        <v>31</v>
      </c>
      <c r="J331" t="s">
        <v>3310</v>
      </c>
      <c r="K331" t="s">
        <v>1967</v>
      </c>
      <c r="L331" t="s">
        <v>3303</v>
      </c>
      <c r="M331" s="8">
        <v>4.95</v>
      </c>
      <c r="N331">
        <v>80.7856561622413</v>
      </c>
      <c r="O331">
        <v>1952</v>
      </c>
      <c r="P331" s="9">
        <v>0.317</v>
      </c>
      <c r="Q331" t="s">
        <v>298</v>
      </c>
      <c r="T331" s="15" t="s">
        <v>54</v>
      </c>
      <c r="W331" s="16" t="str">
        <f t="shared" si="35"/>
        <v>EN_WON_32_c02_BWA</v>
      </c>
      <c r="X331" s="12">
        <f t="shared" si="36"/>
        <v>1952</v>
      </c>
      <c r="Y331" s="11">
        <f t="shared" si="37"/>
        <v>1952</v>
      </c>
      <c r="AC331" t="s">
        <v>26</v>
      </c>
      <c r="AD331" t="s">
        <v>3312</v>
      </c>
      <c r="AE331" t="s">
        <v>3313</v>
      </c>
      <c r="AF331" t="s">
        <v>29</v>
      </c>
      <c r="AG331" t="s">
        <v>30</v>
      </c>
      <c r="AH331" t="s">
        <v>31</v>
      </c>
      <c r="AK331" t="s">
        <v>3312</v>
      </c>
      <c r="AL331" t="s">
        <v>1967</v>
      </c>
      <c r="AM331" t="s">
        <v>3280</v>
      </c>
      <c r="AN331" s="8">
        <v>1.6005</v>
      </c>
      <c r="AO331">
        <v>199.694880401046</v>
      </c>
      <c r="AP331">
        <v>1422</v>
      </c>
      <c r="AQ331" s="9">
        <v>0.399</v>
      </c>
      <c r="AR331" t="s">
        <v>634</v>
      </c>
      <c r="AT331" s="15" t="s">
        <v>80</v>
      </c>
      <c r="AW331" s="11" t="str">
        <f t="shared" si="38"/>
        <v>EN_WOF_40_c02_EGY</v>
      </c>
      <c r="AX331" s="11">
        <f t="shared" si="39"/>
        <v>1422</v>
      </c>
      <c r="AY331" s="11">
        <f t="shared" si="40"/>
        <v>1422</v>
      </c>
      <c r="AZ331" s="17">
        <v>3</v>
      </c>
      <c r="BA331">
        <f t="shared" si="41"/>
        <v>14.22</v>
      </c>
    </row>
    <row r="332" spans="2:53">
      <c r="B332" t="s">
        <v>26</v>
      </c>
      <c r="C332" t="s">
        <v>3314</v>
      </c>
      <c r="D332" t="s">
        <v>3315</v>
      </c>
      <c r="E332" t="s">
        <v>29</v>
      </c>
      <c r="F332" t="s">
        <v>30</v>
      </c>
      <c r="G332" t="s">
        <v>31</v>
      </c>
      <c r="J332" t="s">
        <v>3314</v>
      </c>
      <c r="K332" t="s">
        <v>1967</v>
      </c>
      <c r="L332" t="s">
        <v>3316</v>
      </c>
      <c r="M332" s="8">
        <v>7.254</v>
      </c>
      <c r="N332">
        <v>145.23264029167</v>
      </c>
      <c r="O332">
        <v>1952</v>
      </c>
      <c r="P332" s="9">
        <v>0.179164495450786</v>
      </c>
      <c r="Q332" t="s">
        <v>306</v>
      </c>
      <c r="T332" s="15" t="s">
        <v>54</v>
      </c>
      <c r="W332" s="16" t="str">
        <f t="shared" si="35"/>
        <v>EN_WON_18_c04_CAF</v>
      </c>
      <c r="X332" s="12">
        <f t="shared" si="36"/>
        <v>1952</v>
      </c>
      <c r="Y332" s="11">
        <f t="shared" si="37"/>
        <v>1952</v>
      </c>
      <c r="AC332" t="s">
        <v>26</v>
      </c>
      <c r="AD332" t="s">
        <v>3317</v>
      </c>
      <c r="AE332" t="s">
        <v>3318</v>
      </c>
      <c r="AF332" t="s">
        <v>29</v>
      </c>
      <c r="AG332" t="s">
        <v>30</v>
      </c>
      <c r="AH332" t="s">
        <v>31</v>
      </c>
      <c r="AK332" t="s">
        <v>3317</v>
      </c>
      <c r="AL332" t="s">
        <v>1967</v>
      </c>
      <c r="AM332" t="s">
        <v>3280</v>
      </c>
      <c r="AN332" s="8">
        <v>11.643</v>
      </c>
      <c r="AO332">
        <v>199.694880401046</v>
      </c>
      <c r="AP332">
        <v>1422</v>
      </c>
      <c r="AQ332" s="9">
        <v>0.408189899510435</v>
      </c>
      <c r="AR332" t="s">
        <v>634</v>
      </c>
      <c r="AT332" s="15" t="s">
        <v>80</v>
      </c>
      <c r="AW332" s="11" t="str">
        <f t="shared" si="38"/>
        <v>EN_WOF_41_c02_EGY</v>
      </c>
      <c r="AX332" s="11">
        <f t="shared" si="39"/>
        <v>1422</v>
      </c>
      <c r="AY332" s="11">
        <f t="shared" si="40"/>
        <v>1422</v>
      </c>
      <c r="AZ332" s="17">
        <v>3</v>
      </c>
      <c r="BA332">
        <f t="shared" si="41"/>
        <v>14.22</v>
      </c>
    </row>
    <row r="333" spans="2:53">
      <c r="B333" t="s">
        <v>26</v>
      </c>
      <c r="C333" t="s">
        <v>3319</v>
      </c>
      <c r="D333" t="s">
        <v>3320</v>
      </c>
      <c r="E333" t="s">
        <v>29</v>
      </c>
      <c r="F333" t="s">
        <v>30</v>
      </c>
      <c r="G333" t="s">
        <v>31</v>
      </c>
      <c r="J333" t="s">
        <v>3319</v>
      </c>
      <c r="K333" t="s">
        <v>1967</v>
      </c>
      <c r="L333" t="s">
        <v>3316</v>
      </c>
      <c r="M333" s="8">
        <v>2.93625</v>
      </c>
      <c r="N333">
        <v>145.23264029167</v>
      </c>
      <c r="O333">
        <v>1952</v>
      </c>
      <c r="P333" s="9">
        <v>0.187</v>
      </c>
      <c r="Q333" t="s">
        <v>306</v>
      </c>
      <c r="T333" s="15" t="s">
        <v>54</v>
      </c>
      <c r="W333" s="16" t="str">
        <f t="shared" si="35"/>
        <v>EN_WON_19_c04_CAF</v>
      </c>
      <c r="X333" s="12">
        <f t="shared" si="36"/>
        <v>1952</v>
      </c>
      <c r="Y333" s="11">
        <f t="shared" si="37"/>
        <v>1952</v>
      </c>
      <c r="AC333" t="s">
        <v>26</v>
      </c>
      <c r="AD333" t="s">
        <v>3321</v>
      </c>
      <c r="AE333" t="s">
        <v>3322</v>
      </c>
      <c r="AF333" t="s">
        <v>29</v>
      </c>
      <c r="AG333" t="s">
        <v>30</v>
      </c>
      <c r="AH333" t="s">
        <v>31</v>
      </c>
      <c r="AK333" t="s">
        <v>3321</v>
      </c>
      <c r="AL333" t="s">
        <v>1967</v>
      </c>
      <c r="AM333" t="s">
        <v>3280</v>
      </c>
      <c r="AN333" s="8">
        <v>7.41375</v>
      </c>
      <c r="AO333">
        <v>199.694880401046</v>
      </c>
      <c r="AP333">
        <v>1422</v>
      </c>
      <c r="AQ333" s="9">
        <v>0.429</v>
      </c>
      <c r="AR333" t="s">
        <v>634</v>
      </c>
      <c r="AT333" s="15" t="s">
        <v>80</v>
      </c>
      <c r="AW333" s="11" t="str">
        <f t="shared" si="38"/>
        <v>EN_WOF_43_c02_EGY</v>
      </c>
      <c r="AX333" s="11">
        <f t="shared" si="39"/>
        <v>1422</v>
      </c>
      <c r="AY333" s="11">
        <f t="shared" si="40"/>
        <v>1422</v>
      </c>
      <c r="AZ333" s="17">
        <v>3</v>
      </c>
      <c r="BA333">
        <f t="shared" si="41"/>
        <v>14.22</v>
      </c>
    </row>
    <row r="334" spans="2:53">
      <c r="B334" t="s">
        <v>26</v>
      </c>
      <c r="C334" t="s">
        <v>3323</v>
      </c>
      <c r="D334" t="s">
        <v>3324</v>
      </c>
      <c r="E334" t="s">
        <v>29</v>
      </c>
      <c r="F334" t="s">
        <v>30</v>
      </c>
      <c r="G334" t="s">
        <v>31</v>
      </c>
      <c r="J334" t="s">
        <v>3323</v>
      </c>
      <c r="K334" t="s">
        <v>1967</v>
      </c>
      <c r="L334" t="s">
        <v>2422</v>
      </c>
      <c r="M334" s="8">
        <v>33.8565</v>
      </c>
      <c r="N334">
        <v>0</v>
      </c>
      <c r="O334">
        <v>2430</v>
      </c>
      <c r="P334" s="9">
        <v>0.349563909441318</v>
      </c>
      <c r="Q334" t="s">
        <v>310</v>
      </c>
      <c r="T334" s="15" t="s">
        <v>119</v>
      </c>
      <c r="W334" s="16" t="str">
        <f t="shared" si="35"/>
        <v>EN_WON_35_c01_CAN</v>
      </c>
      <c r="X334" s="12">
        <f t="shared" si="36"/>
        <v>2430</v>
      </c>
      <c r="Y334" s="11">
        <f t="shared" si="37"/>
        <v>2430</v>
      </c>
      <c r="AC334" t="s">
        <v>26</v>
      </c>
      <c r="AD334" t="s">
        <v>3325</v>
      </c>
      <c r="AE334" t="s">
        <v>3326</v>
      </c>
      <c r="AF334" t="s">
        <v>29</v>
      </c>
      <c r="AG334" t="s">
        <v>30</v>
      </c>
      <c r="AH334" t="s">
        <v>31</v>
      </c>
      <c r="AK334" t="s">
        <v>3325</v>
      </c>
      <c r="AL334" t="s">
        <v>1967</v>
      </c>
      <c r="AM334" t="s">
        <v>3280</v>
      </c>
      <c r="AN334" s="8">
        <v>4.623</v>
      </c>
      <c r="AO334">
        <v>199.694880401046</v>
      </c>
      <c r="AP334">
        <v>1422</v>
      </c>
      <c r="AQ334" s="9">
        <v>0.438412394548994</v>
      </c>
      <c r="AR334" t="s">
        <v>634</v>
      </c>
      <c r="AT334" s="15" t="s">
        <v>80</v>
      </c>
      <c r="AW334" s="11" t="str">
        <f t="shared" si="38"/>
        <v>EN_WOF_44_c02_EGY</v>
      </c>
      <c r="AX334" s="11">
        <f t="shared" si="39"/>
        <v>1422</v>
      </c>
      <c r="AY334" s="11">
        <f t="shared" si="40"/>
        <v>1422</v>
      </c>
      <c r="AZ334" s="17">
        <v>3</v>
      </c>
      <c r="BA334">
        <f t="shared" si="41"/>
        <v>14.22</v>
      </c>
    </row>
    <row r="335" spans="2:53">
      <c r="B335" t="s">
        <v>26</v>
      </c>
      <c r="C335" t="s">
        <v>3327</v>
      </c>
      <c r="D335" t="s">
        <v>3328</v>
      </c>
      <c r="E335" t="s">
        <v>29</v>
      </c>
      <c r="F335" t="s">
        <v>30</v>
      </c>
      <c r="G335" t="s">
        <v>31</v>
      </c>
      <c r="J335" t="s">
        <v>3327</v>
      </c>
      <c r="K335" t="s">
        <v>1967</v>
      </c>
      <c r="L335" t="s">
        <v>2422</v>
      </c>
      <c r="M335" s="8">
        <v>7.53375</v>
      </c>
      <c r="N335">
        <v>105.747516212372</v>
      </c>
      <c r="O335">
        <v>2430</v>
      </c>
      <c r="P335" s="9">
        <v>0.350469785963166</v>
      </c>
      <c r="Q335" t="s">
        <v>310</v>
      </c>
      <c r="T335" s="15" t="s">
        <v>119</v>
      </c>
      <c r="W335" s="16" t="str">
        <f t="shared" si="35"/>
        <v>EN_WON_35_c03_CAN</v>
      </c>
      <c r="X335" s="12">
        <f t="shared" si="36"/>
        <v>2430</v>
      </c>
      <c r="Y335" s="11">
        <f t="shared" si="37"/>
        <v>2430</v>
      </c>
      <c r="AC335" t="s">
        <v>26</v>
      </c>
      <c r="AD335" t="s">
        <v>3329</v>
      </c>
      <c r="AE335" t="s">
        <v>3330</v>
      </c>
      <c r="AF335" t="s">
        <v>29</v>
      </c>
      <c r="AG335" t="s">
        <v>30</v>
      </c>
      <c r="AH335" t="s">
        <v>31</v>
      </c>
      <c r="AK335" t="s">
        <v>3329</v>
      </c>
      <c r="AL335" t="s">
        <v>1967</v>
      </c>
      <c r="AM335" t="s">
        <v>3280</v>
      </c>
      <c r="AN335" s="8">
        <v>3.27675</v>
      </c>
      <c r="AO335">
        <v>199.694880401046</v>
      </c>
      <c r="AP335">
        <v>1422</v>
      </c>
      <c r="AQ335" s="9">
        <v>0.46</v>
      </c>
      <c r="AR335" t="s">
        <v>634</v>
      </c>
      <c r="AT335" s="15" t="s">
        <v>80</v>
      </c>
      <c r="AW335" s="11" t="str">
        <f t="shared" si="38"/>
        <v>EN_WOF_46_c02_EGY</v>
      </c>
      <c r="AX335" s="11">
        <f t="shared" si="39"/>
        <v>1422</v>
      </c>
      <c r="AY335" s="11">
        <f t="shared" si="40"/>
        <v>1422</v>
      </c>
      <c r="AZ335" s="17">
        <v>3</v>
      </c>
      <c r="BA335">
        <f t="shared" si="41"/>
        <v>14.22</v>
      </c>
    </row>
    <row r="336" spans="2:53">
      <c r="B336" t="s">
        <v>26</v>
      </c>
      <c r="C336" t="s">
        <v>3331</v>
      </c>
      <c r="D336" t="s">
        <v>3332</v>
      </c>
      <c r="E336" t="s">
        <v>29</v>
      </c>
      <c r="F336" t="s">
        <v>30</v>
      </c>
      <c r="G336" t="s">
        <v>31</v>
      </c>
      <c r="J336" t="s">
        <v>3331</v>
      </c>
      <c r="K336" t="s">
        <v>1967</v>
      </c>
      <c r="L336" t="s">
        <v>2422</v>
      </c>
      <c r="M336" s="8">
        <v>34.90575</v>
      </c>
      <c r="N336">
        <v>0</v>
      </c>
      <c r="O336">
        <v>2430</v>
      </c>
      <c r="P336" s="9">
        <v>0.359395178444812</v>
      </c>
      <c r="Q336" t="s">
        <v>310</v>
      </c>
      <c r="T336" s="15" t="s">
        <v>119</v>
      </c>
      <c r="W336" s="16" t="str">
        <f t="shared" si="35"/>
        <v>EN_WON_36_c01_CAN</v>
      </c>
      <c r="X336" s="12">
        <f t="shared" si="36"/>
        <v>2430</v>
      </c>
      <c r="Y336" s="11">
        <f t="shared" si="37"/>
        <v>2430</v>
      </c>
      <c r="AC336" t="s">
        <v>26</v>
      </c>
      <c r="AD336" t="s">
        <v>3333</v>
      </c>
      <c r="AE336" t="s">
        <v>3334</v>
      </c>
      <c r="AF336" t="s">
        <v>29</v>
      </c>
      <c r="AG336" t="s">
        <v>30</v>
      </c>
      <c r="AH336" t="s">
        <v>31</v>
      </c>
      <c r="AK336" t="s">
        <v>3333</v>
      </c>
      <c r="AL336" t="s">
        <v>1967</v>
      </c>
      <c r="AM336" t="s">
        <v>3280</v>
      </c>
      <c r="AN336" s="8">
        <v>10.3815</v>
      </c>
      <c r="AO336">
        <v>199.694880401046</v>
      </c>
      <c r="AP336">
        <v>1422</v>
      </c>
      <c r="AQ336" s="9">
        <v>0.496803207628955</v>
      </c>
      <c r="AR336" t="s">
        <v>634</v>
      </c>
      <c r="AT336" s="15" t="s">
        <v>80</v>
      </c>
      <c r="AW336" s="11" t="str">
        <f t="shared" si="38"/>
        <v>EN_WOF_50_c02_EGY</v>
      </c>
      <c r="AX336" s="11">
        <f t="shared" si="39"/>
        <v>1422</v>
      </c>
      <c r="AY336" s="11">
        <f t="shared" si="40"/>
        <v>1422</v>
      </c>
      <c r="AZ336" s="17">
        <v>3</v>
      </c>
      <c r="BA336">
        <f t="shared" si="41"/>
        <v>14.22</v>
      </c>
    </row>
    <row r="337" spans="2:53">
      <c r="B337" t="s">
        <v>26</v>
      </c>
      <c r="C337" t="s">
        <v>3335</v>
      </c>
      <c r="D337" t="s">
        <v>3336</v>
      </c>
      <c r="E337" t="s">
        <v>29</v>
      </c>
      <c r="F337" t="s">
        <v>30</v>
      </c>
      <c r="G337" t="s">
        <v>31</v>
      </c>
      <c r="J337" t="s">
        <v>3335</v>
      </c>
      <c r="K337" t="s">
        <v>1967</v>
      </c>
      <c r="L337" t="s">
        <v>2422</v>
      </c>
      <c r="M337" s="8">
        <v>9.41625</v>
      </c>
      <c r="N337">
        <v>80.7856561622413</v>
      </c>
      <c r="O337">
        <v>2430</v>
      </c>
      <c r="P337" s="9">
        <v>0.360471604938272</v>
      </c>
      <c r="Q337" t="s">
        <v>310</v>
      </c>
      <c r="T337" s="15" t="s">
        <v>119</v>
      </c>
      <c r="W337" s="16" t="str">
        <f t="shared" si="35"/>
        <v>EN_WON_36_c02_CAN</v>
      </c>
      <c r="X337" s="12">
        <f t="shared" si="36"/>
        <v>2430</v>
      </c>
      <c r="Y337" s="11">
        <f t="shared" si="37"/>
        <v>2430</v>
      </c>
      <c r="AC337" t="s">
        <v>26</v>
      </c>
      <c r="AD337" t="s">
        <v>3337</v>
      </c>
      <c r="AE337" t="s">
        <v>3338</v>
      </c>
      <c r="AF337" t="s">
        <v>29</v>
      </c>
      <c r="AG337" t="s">
        <v>30</v>
      </c>
      <c r="AH337" t="s">
        <v>31</v>
      </c>
      <c r="AK337" t="s">
        <v>3337</v>
      </c>
      <c r="AL337" t="s">
        <v>1967</v>
      </c>
      <c r="AM337" t="s">
        <v>3280</v>
      </c>
      <c r="AN337" s="8">
        <v>2.421</v>
      </c>
      <c r="AO337">
        <v>199.694880401046</v>
      </c>
      <c r="AP337">
        <v>1422</v>
      </c>
      <c r="AQ337" s="9">
        <v>0.52</v>
      </c>
      <c r="AR337" t="s">
        <v>634</v>
      </c>
      <c r="AT337" s="15" t="s">
        <v>80</v>
      </c>
      <c r="AW337" s="11" t="str">
        <f t="shared" si="38"/>
        <v>EN_WOF_52_c02_EGY</v>
      </c>
      <c r="AX337" s="11">
        <f t="shared" si="39"/>
        <v>1422</v>
      </c>
      <c r="AY337" s="11">
        <f t="shared" si="40"/>
        <v>1422</v>
      </c>
      <c r="AZ337" s="17">
        <v>3</v>
      </c>
      <c r="BA337">
        <f t="shared" si="41"/>
        <v>14.22</v>
      </c>
    </row>
    <row r="338" spans="2:53">
      <c r="B338" t="s">
        <v>26</v>
      </c>
      <c r="C338" t="s">
        <v>3339</v>
      </c>
      <c r="D338" t="s">
        <v>3340</v>
      </c>
      <c r="E338" t="s">
        <v>29</v>
      </c>
      <c r="F338" t="s">
        <v>30</v>
      </c>
      <c r="G338" t="s">
        <v>31</v>
      </c>
      <c r="J338" t="s">
        <v>3339</v>
      </c>
      <c r="K338" t="s">
        <v>1967</v>
      </c>
      <c r="L338" t="s">
        <v>2422</v>
      </c>
      <c r="M338" s="8">
        <v>10.9875</v>
      </c>
      <c r="N338">
        <v>105.747516212372</v>
      </c>
      <c r="O338">
        <v>2430</v>
      </c>
      <c r="P338" s="9">
        <v>0.358939317406143</v>
      </c>
      <c r="Q338" t="s">
        <v>310</v>
      </c>
      <c r="T338" s="15" t="s">
        <v>119</v>
      </c>
      <c r="W338" s="16" t="str">
        <f t="shared" si="35"/>
        <v>EN_WON_36_c03_CAN</v>
      </c>
      <c r="X338" s="12">
        <f t="shared" si="36"/>
        <v>2430</v>
      </c>
      <c r="Y338" s="11">
        <f t="shared" si="37"/>
        <v>2430</v>
      </c>
      <c r="AC338" t="s">
        <v>26</v>
      </c>
      <c r="AD338" t="s">
        <v>3341</v>
      </c>
      <c r="AE338" t="s">
        <v>3342</v>
      </c>
      <c r="AF338" t="s">
        <v>29</v>
      </c>
      <c r="AG338" t="s">
        <v>30</v>
      </c>
      <c r="AH338" t="s">
        <v>31</v>
      </c>
      <c r="AK338" t="s">
        <v>3341</v>
      </c>
      <c r="AL338" t="s">
        <v>1967</v>
      </c>
      <c r="AM338" t="s">
        <v>3280</v>
      </c>
      <c r="AN338" s="8">
        <v>0.96075</v>
      </c>
      <c r="AO338">
        <v>199.694880401046</v>
      </c>
      <c r="AP338">
        <v>1422</v>
      </c>
      <c r="AQ338" s="9">
        <v>0.532</v>
      </c>
      <c r="AR338" t="s">
        <v>634</v>
      </c>
      <c r="AT338" s="15" t="s">
        <v>80</v>
      </c>
      <c r="AW338" s="11" t="str">
        <f t="shared" si="38"/>
        <v>EN_WOF_53_c02_EGY</v>
      </c>
      <c r="AX338" s="11">
        <f t="shared" si="39"/>
        <v>1422</v>
      </c>
      <c r="AY338" s="11">
        <f t="shared" si="40"/>
        <v>1422</v>
      </c>
      <c r="AZ338" s="17">
        <v>3</v>
      </c>
      <c r="BA338">
        <f t="shared" si="41"/>
        <v>14.22</v>
      </c>
    </row>
    <row r="339" spans="2:53">
      <c r="B339" t="s">
        <v>26</v>
      </c>
      <c r="C339" t="s">
        <v>3343</v>
      </c>
      <c r="D339" t="s">
        <v>3344</v>
      </c>
      <c r="E339" t="s">
        <v>29</v>
      </c>
      <c r="F339" t="s">
        <v>30</v>
      </c>
      <c r="G339" t="s">
        <v>31</v>
      </c>
      <c r="J339" t="s">
        <v>3343</v>
      </c>
      <c r="K339" t="s">
        <v>1967</v>
      </c>
      <c r="L339" t="s">
        <v>2422</v>
      </c>
      <c r="M339" s="8">
        <v>8.5935</v>
      </c>
      <c r="N339">
        <v>145.23264029167</v>
      </c>
      <c r="O339">
        <v>2430</v>
      </c>
      <c r="P339" s="9">
        <v>0.357732501309129</v>
      </c>
      <c r="Q339" t="s">
        <v>310</v>
      </c>
      <c r="T339" s="15" t="s">
        <v>119</v>
      </c>
      <c r="W339" s="16" t="str">
        <f t="shared" si="35"/>
        <v>EN_WON_36_c04_CAN</v>
      </c>
      <c r="X339" s="12">
        <f t="shared" si="36"/>
        <v>2430</v>
      </c>
      <c r="Y339" s="11">
        <f t="shared" si="37"/>
        <v>2430</v>
      </c>
      <c r="AC339" t="s">
        <v>26</v>
      </c>
      <c r="AD339" t="s">
        <v>3345</v>
      </c>
      <c r="AE339" t="s">
        <v>3346</v>
      </c>
      <c r="AF339" t="s">
        <v>29</v>
      </c>
      <c r="AG339" t="s">
        <v>30</v>
      </c>
      <c r="AH339" t="s">
        <v>31</v>
      </c>
      <c r="AK339" t="s">
        <v>3345</v>
      </c>
      <c r="AL339" t="s">
        <v>1967</v>
      </c>
      <c r="AM339" t="s">
        <v>3280</v>
      </c>
      <c r="AN339" s="8">
        <v>4.5375</v>
      </c>
      <c r="AO339">
        <v>199.694880401046</v>
      </c>
      <c r="AP339">
        <v>1422</v>
      </c>
      <c r="AQ339" s="9">
        <v>0.538308099173554</v>
      </c>
      <c r="AR339" t="s">
        <v>634</v>
      </c>
      <c r="AT339" s="15" t="s">
        <v>80</v>
      </c>
      <c r="AW339" s="11" t="str">
        <f t="shared" si="38"/>
        <v>EN_WOF_54_c02_EGY</v>
      </c>
      <c r="AX339" s="11">
        <f t="shared" si="39"/>
        <v>1422</v>
      </c>
      <c r="AY339" s="11">
        <f t="shared" si="40"/>
        <v>1422</v>
      </c>
      <c r="AZ339" s="17">
        <v>3</v>
      </c>
      <c r="BA339">
        <f t="shared" si="41"/>
        <v>14.22</v>
      </c>
    </row>
    <row r="340" spans="2:53">
      <c r="B340" t="s">
        <v>26</v>
      </c>
      <c r="C340" t="s">
        <v>3347</v>
      </c>
      <c r="D340" t="s">
        <v>3348</v>
      </c>
      <c r="E340" t="s">
        <v>29</v>
      </c>
      <c r="F340" t="s">
        <v>30</v>
      </c>
      <c r="G340" t="s">
        <v>31</v>
      </c>
      <c r="J340" t="s">
        <v>3347</v>
      </c>
      <c r="K340" t="s">
        <v>1967</v>
      </c>
      <c r="L340" t="s">
        <v>2422</v>
      </c>
      <c r="M340" s="8">
        <v>17.56875</v>
      </c>
      <c r="N340">
        <v>0</v>
      </c>
      <c r="O340">
        <v>2430</v>
      </c>
      <c r="P340" s="9">
        <v>0.367682262540021</v>
      </c>
      <c r="Q340" t="s">
        <v>310</v>
      </c>
      <c r="T340" s="15" t="s">
        <v>119</v>
      </c>
      <c r="W340" s="16" t="str">
        <f t="shared" si="35"/>
        <v>EN_WON_37_c01_CAN</v>
      </c>
      <c r="X340" s="12">
        <f t="shared" si="36"/>
        <v>2430</v>
      </c>
      <c r="Y340" s="11">
        <f t="shared" si="37"/>
        <v>2430</v>
      </c>
      <c r="AC340" t="s">
        <v>26</v>
      </c>
      <c r="AD340" t="s">
        <v>3349</v>
      </c>
      <c r="AE340" t="s">
        <v>3350</v>
      </c>
      <c r="AF340" t="s">
        <v>29</v>
      </c>
      <c r="AG340" t="s">
        <v>30</v>
      </c>
      <c r="AH340" t="s">
        <v>31</v>
      </c>
      <c r="AK340" t="s">
        <v>3349</v>
      </c>
      <c r="AL340" t="s">
        <v>1967</v>
      </c>
      <c r="AM340" t="s">
        <v>3280</v>
      </c>
      <c r="AN340" s="8">
        <v>0.822</v>
      </c>
      <c r="AO340">
        <v>199.694880401046</v>
      </c>
      <c r="AP340">
        <v>1422</v>
      </c>
      <c r="AQ340" s="9">
        <v>0.574</v>
      </c>
      <c r="AR340" t="s">
        <v>634</v>
      </c>
      <c r="AT340" s="15" t="s">
        <v>80</v>
      </c>
      <c r="AW340" s="11" t="str">
        <f t="shared" si="38"/>
        <v>EN_WOF_57_c02_EGY</v>
      </c>
      <c r="AX340" s="11">
        <f t="shared" si="39"/>
        <v>1422</v>
      </c>
      <c r="AY340" s="11">
        <f t="shared" si="40"/>
        <v>1422</v>
      </c>
      <c r="AZ340" s="17">
        <v>3</v>
      </c>
      <c r="BA340">
        <f t="shared" si="41"/>
        <v>14.22</v>
      </c>
    </row>
    <row r="341" spans="2:53">
      <c r="B341" t="s">
        <v>26</v>
      </c>
      <c r="C341" t="s">
        <v>3351</v>
      </c>
      <c r="D341" t="s">
        <v>3352</v>
      </c>
      <c r="E341" t="s">
        <v>29</v>
      </c>
      <c r="F341" t="s">
        <v>30</v>
      </c>
      <c r="G341" t="s">
        <v>31</v>
      </c>
      <c r="J341" t="s">
        <v>3351</v>
      </c>
      <c r="K341" t="s">
        <v>1967</v>
      </c>
      <c r="L341" t="s">
        <v>2422</v>
      </c>
      <c r="M341" s="8">
        <v>4.4595</v>
      </c>
      <c r="N341">
        <v>80.7856561622413</v>
      </c>
      <c r="O341">
        <v>2430</v>
      </c>
      <c r="P341" s="9">
        <v>0.370431382441978</v>
      </c>
      <c r="Q341" t="s">
        <v>310</v>
      </c>
      <c r="T341" s="15" t="s">
        <v>119</v>
      </c>
      <c r="W341" s="16" t="str">
        <f t="shared" si="35"/>
        <v>EN_WON_37_c02_CAN</v>
      </c>
      <c r="X341" s="12">
        <f t="shared" si="36"/>
        <v>2430</v>
      </c>
      <c r="Y341" s="11">
        <f t="shared" si="37"/>
        <v>2430</v>
      </c>
      <c r="AC341" t="s">
        <v>26</v>
      </c>
      <c r="AD341" t="s">
        <v>3353</v>
      </c>
      <c r="AE341" t="s">
        <v>3354</v>
      </c>
      <c r="AF341" t="s">
        <v>29</v>
      </c>
      <c r="AG341" t="s">
        <v>30</v>
      </c>
      <c r="AH341" t="s">
        <v>31</v>
      </c>
      <c r="AK341" t="s">
        <v>3353</v>
      </c>
      <c r="AL341" t="s">
        <v>1967</v>
      </c>
      <c r="AM341" t="s">
        <v>3280</v>
      </c>
      <c r="AN341" s="8">
        <v>1.407</v>
      </c>
      <c r="AO341">
        <v>199.694880401046</v>
      </c>
      <c r="AP341">
        <v>1422</v>
      </c>
      <c r="AQ341" s="9">
        <v>0.577018656716418</v>
      </c>
      <c r="AR341" t="s">
        <v>634</v>
      </c>
      <c r="AT341" s="15" t="s">
        <v>80</v>
      </c>
      <c r="AW341" s="11" t="str">
        <f t="shared" si="38"/>
        <v>EN_WOF_58_c02_EGY</v>
      </c>
      <c r="AX341" s="11">
        <f t="shared" si="39"/>
        <v>1422</v>
      </c>
      <c r="AY341" s="11">
        <f t="shared" si="40"/>
        <v>1422</v>
      </c>
      <c r="AZ341" s="17">
        <v>3</v>
      </c>
      <c r="BA341">
        <f t="shared" si="41"/>
        <v>14.22</v>
      </c>
    </row>
    <row r="342" spans="2:53">
      <c r="B342" t="s">
        <v>26</v>
      </c>
      <c r="C342" t="s">
        <v>3355</v>
      </c>
      <c r="D342" t="s">
        <v>3356</v>
      </c>
      <c r="E342" t="s">
        <v>29</v>
      </c>
      <c r="F342" t="s">
        <v>30</v>
      </c>
      <c r="G342" t="s">
        <v>31</v>
      </c>
      <c r="J342" t="s">
        <v>3355</v>
      </c>
      <c r="K342" t="s">
        <v>1967</v>
      </c>
      <c r="L342" t="s">
        <v>2422</v>
      </c>
      <c r="M342" s="8">
        <v>4.7775</v>
      </c>
      <c r="N342">
        <v>105.747516212372</v>
      </c>
      <c r="O342">
        <v>2430</v>
      </c>
      <c r="P342" s="9">
        <v>0.369578335949765</v>
      </c>
      <c r="Q342" t="s">
        <v>310</v>
      </c>
      <c r="T342" s="15" t="s">
        <v>119</v>
      </c>
      <c r="W342" s="16" t="str">
        <f t="shared" si="35"/>
        <v>EN_WON_37_c03_CAN</v>
      </c>
      <c r="X342" s="12">
        <f t="shared" si="36"/>
        <v>2430</v>
      </c>
      <c r="Y342" s="11">
        <f t="shared" si="37"/>
        <v>2430</v>
      </c>
      <c r="AC342" t="s">
        <v>26</v>
      </c>
      <c r="AD342" t="s">
        <v>3357</v>
      </c>
      <c r="AE342" t="s">
        <v>3358</v>
      </c>
      <c r="AF342" t="s">
        <v>29</v>
      </c>
      <c r="AG342" t="s">
        <v>30</v>
      </c>
      <c r="AH342" t="s">
        <v>31</v>
      </c>
      <c r="AK342" t="s">
        <v>3357</v>
      </c>
      <c r="AL342" t="s">
        <v>1967</v>
      </c>
      <c r="AM342" t="s">
        <v>3280</v>
      </c>
      <c r="AN342" s="8">
        <v>0.76725</v>
      </c>
      <c r="AO342">
        <v>199.694880401046</v>
      </c>
      <c r="AP342">
        <v>1422</v>
      </c>
      <c r="AQ342" s="9">
        <v>0.588</v>
      </c>
      <c r="AR342" t="s">
        <v>634</v>
      </c>
      <c r="AT342" s="15" t="s">
        <v>80</v>
      </c>
      <c r="AW342" s="11" t="str">
        <f t="shared" si="38"/>
        <v>EN_WOF_59_c02_EGY</v>
      </c>
      <c r="AX342" s="11">
        <f t="shared" si="39"/>
        <v>1422</v>
      </c>
      <c r="AY342" s="11">
        <f t="shared" si="40"/>
        <v>1422</v>
      </c>
      <c r="AZ342" s="17">
        <v>3</v>
      </c>
      <c r="BA342">
        <f t="shared" si="41"/>
        <v>14.22</v>
      </c>
    </row>
    <row r="343" spans="2:53">
      <c r="B343" t="s">
        <v>26</v>
      </c>
      <c r="C343" t="s">
        <v>3359</v>
      </c>
      <c r="D343" t="s">
        <v>3360</v>
      </c>
      <c r="E343" t="s">
        <v>29</v>
      </c>
      <c r="F343" t="s">
        <v>30</v>
      </c>
      <c r="G343" t="s">
        <v>31</v>
      </c>
      <c r="J343" t="s">
        <v>3359</v>
      </c>
      <c r="K343" t="s">
        <v>1967</v>
      </c>
      <c r="L343" t="s">
        <v>2422</v>
      </c>
      <c r="M343" s="8">
        <v>6.75675</v>
      </c>
      <c r="N343">
        <v>145.23264029167</v>
      </c>
      <c r="O343">
        <v>2430</v>
      </c>
      <c r="P343" s="9">
        <v>0.370658563658563</v>
      </c>
      <c r="Q343" t="s">
        <v>310</v>
      </c>
      <c r="T343" s="15" t="s">
        <v>119</v>
      </c>
      <c r="W343" s="16" t="str">
        <f t="shared" si="35"/>
        <v>EN_WON_37_c04_CAN</v>
      </c>
      <c r="X343" s="12">
        <f t="shared" si="36"/>
        <v>2430</v>
      </c>
      <c r="Y343" s="11">
        <f t="shared" si="37"/>
        <v>2430</v>
      </c>
      <c r="AC343" t="s">
        <v>26</v>
      </c>
      <c r="AD343" t="s">
        <v>3361</v>
      </c>
      <c r="AE343" t="s">
        <v>3362</v>
      </c>
      <c r="AF343" t="s">
        <v>29</v>
      </c>
      <c r="AG343" t="s">
        <v>30</v>
      </c>
      <c r="AH343" t="s">
        <v>31</v>
      </c>
      <c r="AK343" t="s">
        <v>3361</v>
      </c>
      <c r="AL343" t="s">
        <v>1967</v>
      </c>
      <c r="AM343" t="s">
        <v>3280</v>
      </c>
      <c r="AN343" s="8">
        <v>1.16625</v>
      </c>
      <c r="AO343">
        <v>199.694880401046</v>
      </c>
      <c r="AP343">
        <v>1422</v>
      </c>
      <c r="AQ343" s="9">
        <v>0.603</v>
      </c>
      <c r="AR343" t="s">
        <v>634</v>
      </c>
      <c r="AT343" s="15" t="s">
        <v>80</v>
      </c>
      <c r="AW343" s="11" t="str">
        <f t="shared" si="38"/>
        <v>EN_WOF_60_c02_EGY</v>
      </c>
      <c r="AX343" s="11">
        <f t="shared" si="39"/>
        <v>1422</v>
      </c>
      <c r="AY343" s="11">
        <f t="shared" si="40"/>
        <v>1422</v>
      </c>
      <c r="AZ343" s="17">
        <v>3</v>
      </c>
      <c r="BA343">
        <f t="shared" si="41"/>
        <v>14.22</v>
      </c>
    </row>
    <row r="344" spans="2:53">
      <c r="B344" t="s">
        <v>26</v>
      </c>
      <c r="C344" t="s">
        <v>3363</v>
      </c>
      <c r="D344" t="s">
        <v>3364</v>
      </c>
      <c r="E344" t="s">
        <v>29</v>
      </c>
      <c r="F344" t="s">
        <v>30</v>
      </c>
      <c r="G344" t="s">
        <v>31</v>
      </c>
      <c r="J344" t="s">
        <v>3363</v>
      </c>
      <c r="K344" t="s">
        <v>1967</v>
      </c>
      <c r="L344" t="s">
        <v>2422</v>
      </c>
      <c r="M344" s="8">
        <v>20.2785</v>
      </c>
      <c r="N344">
        <v>0</v>
      </c>
      <c r="O344">
        <v>2430</v>
      </c>
      <c r="P344" s="9">
        <v>0.37953765071381</v>
      </c>
      <c r="Q344" t="s">
        <v>310</v>
      </c>
      <c r="T344" s="15" t="s">
        <v>119</v>
      </c>
      <c r="W344" s="16" t="str">
        <f t="shared" si="35"/>
        <v>EN_WON_38_c01_CAN</v>
      </c>
      <c r="X344" s="12">
        <f t="shared" si="36"/>
        <v>2430</v>
      </c>
      <c r="Y344" s="11">
        <f t="shared" si="37"/>
        <v>2430</v>
      </c>
      <c r="AC344" t="s">
        <v>26</v>
      </c>
      <c r="AD344" t="s">
        <v>3365</v>
      </c>
      <c r="AE344" t="s">
        <v>3366</v>
      </c>
      <c r="AF344" t="s">
        <v>29</v>
      </c>
      <c r="AG344" t="s">
        <v>30</v>
      </c>
      <c r="AH344" t="s">
        <v>31</v>
      </c>
      <c r="AK344" t="s">
        <v>3365</v>
      </c>
      <c r="AL344" t="s">
        <v>1967</v>
      </c>
      <c r="AM344" t="s">
        <v>3280</v>
      </c>
      <c r="AN344" s="8">
        <v>0.60825</v>
      </c>
      <c r="AO344">
        <v>199.694880401046</v>
      </c>
      <c r="AP344">
        <v>1422</v>
      </c>
      <c r="AQ344" s="9">
        <v>0.614</v>
      </c>
      <c r="AR344" t="s">
        <v>634</v>
      </c>
      <c r="AT344" s="15" t="s">
        <v>80</v>
      </c>
      <c r="AW344" s="11" t="str">
        <f t="shared" si="38"/>
        <v>EN_WOF_61_c02_EGY</v>
      </c>
      <c r="AX344" s="11">
        <f t="shared" si="39"/>
        <v>1422</v>
      </c>
      <c r="AY344" s="11">
        <f t="shared" si="40"/>
        <v>1422</v>
      </c>
      <c r="AZ344" s="17">
        <v>3</v>
      </c>
      <c r="BA344">
        <f t="shared" si="41"/>
        <v>14.22</v>
      </c>
    </row>
    <row r="345" spans="2:53">
      <c r="B345" t="s">
        <v>26</v>
      </c>
      <c r="C345" t="s">
        <v>3367</v>
      </c>
      <c r="D345" t="s">
        <v>3368</v>
      </c>
      <c r="E345" t="s">
        <v>29</v>
      </c>
      <c r="F345" t="s">
        <v>30</v>
      </c>
      <c r="G345" t="s">
        <v>31</v>
      </c>
      <c r="J345" t="s">
        <v>3367</v>
      </c>
      <c r="K345" t="s">
        <v>1967</v>
      </c>
      <c r="L345" t="s">
        <v>2422</v>
      </c>
      <c r="M345" s="8">
        <v>6.3645</v>
      </c>
      <c r="N345">
        <v>80.7856561622413</v>
      </c>
      <c r="O345">
        <v>2430</v>
      </c>
      <c r="P345" s="9">
        <v>0.379388168748527</v>
      </c>
      <c r="Q345" t="s">
        <v>310</v>
      </c>
      <c r="T345" s="15" t="s">
        <v>119</v>
      </c>
      <c r="W345" s="16" t="str">
        <f t="shared" si="35"/>
        <v>EN_WON_38_c02_CAN</v>
      </c>
      <c r="X345" s="12">
        <f t="shared" si="36"/>
        <v>2430</v>
      </c>
      <c r="Y345" s="11">
        <f t="shared" si="37"/>
        <v>2430</v>
      </c>
      <c r="AC345" t="s">
        <v>26</v>
      </c>
      <c r="AD345" t="s">
        <v>3369</v>
      </c>
      <c r="AE345" t="s">
        <v>3370</v>
      </c>
      <c r="AF345" t="s">
        <v>29</v>
      </c>
      <c r="AG345" t="s">
        <v>30</v>
      </c>
      <c r="AH345" t="s">
        <v>31</v>
      </c>
      <c r="AK345" t="s">
        <v>3369</v>
      </c>
      <c r="AL345" t="s">
        <v>1967</v>
      </c>
      <c r="AM345" t="s">
        <v>3280</v>
      </c>
      <c r="AN345" s="8">
        <v>1.6455</v>
      </c>
      <c r="AO345">
        <v>199.694880401046</v>
      </c>
      <c r="AP345">
        <v>1422</v>
      </c>
      <c r="AQ345" s="9">
        <v>0.636</v>
      </c>
      <c r="AR345" t="s">
        <v>634</v>
      </c>
      <c r="AT345" s="15" t="s">
        <v>80</v>
      </c>
      <c r="AW345" s="11" t="str">
        <f t="shared" si="38"/>
        <v>EN_WOF_64_c02_EGY</v>
      </c>
      <c r="AX345" s="11">
        <f t="shared" si="39"/>
        <v>1422</v>
      </c>
      <c r="AY345" s="11">
        <f t="shared" si="40"/>
        <v>1422</v>
      </c>
      <c r="AZ345" s="17">
        <v>3</v>
      </c>
      <c r="BA345">
        <f t="shared" si="41"/>
        <v>14.22</v>
      </c>
    </row>
    <row r="346" spans="2:53">
      <c r="B346" t="s">
        <v>26</v>
      </c>
      <c r="C346" t="s">
        <v>3371</v>
      </c>
      <c r="D346" t="s">
        <v>3372</v>
      </c>
      <c r="E346" t="s">
        <v>29</v>
      </c>
      <c r="F346" t="s">
        <v>30</v>
      </c>
      <c r="G346" t="s">
        <v>31</v>
      </c>
      <c r="J346" t="s">
        <v>3371</v>
      </c>
      <c r="K346" t="s">
        <v>1967</v>
      </c>
      <c r="L346" t="s">
        <v>2422</v>
      </c>
      <c r="M346" s="8">
        <v>4.93425</v>
      </c>
      <c r="N346">
        <v>105.747516212372</v>
      </c>
      <c r="O346">
        <v>2430</v>
      </c>
      <c r="P346" s="9">
        <v>0.377433348533212</v>
      </c>
      <c r="Q346" t="s">
        <v>310</v>
      </c>
      <c r="T346" s="15" t="s">
        <v>119</v>
      </c>
      <c r="W346" s="16" t="str">
        <f t="shared" si="35"/>
        <v>EN_WON_38_c03_CAN</v>
      </c>
      <c r="X346" s="12">
        <f t="shared" si="36"/>
        <v>2430</v>
      </c>
      <c r="Y346" s="11">
        <f t="shared" si="37"/>
        <v>2430</v>
      </c>
      <c r="AC346" t="s">
        <v>26</v>
      </c>
      <c r="AD346" t="s">
        <v>3373</v>
      </c>
      <c r="AE346" t="s">
        <v>3374</v>
      </c>
      <c r="AF346" t="s">
        <v>29</v>
      </c>
      <c r="AG346" t="s">
        <v>30</v>
      </c>
      <c r="AH346" t="s">
        <v>31</v>
      </c>
      <c r="AK346" t="s">
        <v>3373</v>
      </c>
      <c r="AL346" t="s">
        <v>1967</v>
      </c>
      <c r="AM346" t="s">
        <v>3375</v>
      </c>
      <c r="AN346" s="8">
        <v>5.05875</v>
      </c>
      <c r="AO346">
        <v>199.694880401046</v>
      </c>
      <c r="AP346">
        <v>1952</v>
      </c>
      <c r="AQ346" s="9">
        <v>0.305</v>
      </c>
      <c r="AR346" t="s">
        <v>652</v>
      </c>
      <c r="AT346" s="15" t="s">
        <v>54</v>
      </c>
      <c r="AW346" s="11" t="str">
        <f t="shared" si="38"/>
        <v>EN_WOF_31_c02_ERI</v>
      </c>
      <c r="AX346" s="11">
        <f t="shared" si="39"/>
        <v>1952</v>
      </c>
      <c r="AY346" s="11">
        <f t="shared" si="40"/>
        <v>1952</v>
      </c>
      <c r="AZ346" s="17">
        <v>3</v>
      </c>
      <c r="BA346">
        <f t="shared" si="41"/>
        <v>19.52</v>
      </c>
    </row>
    <row r="347" spans="2:53">
      <c r="B347" t="s">
        <v>26</v>
      </c>
      <c r="C347" t="s">
        <v>3376</v>
      </c>
      <c r="D347" t="s">
        <v>3377</v>
      </c>
      <c r="E347" t="s">
        <v>29</v>
      </c>
      <c r="F347" t="s">
        <v>30</v>
      </c>
      <c r="G347" t="s">
        <v>31</v>
      </c>
      <c r="J347" t="s">
        <v>3376</v>
      </c>
      <c r="K347" t="s">
        <v>1967</v>
      </c>
      <c r="L347" t="s">
        <v>2422</v>
      </c>
      <c r="M347" s="8">
        <v>7.69875</v>
      </c>
      <c r="N347">
        <v>145.23264029167</v>
      </c>
      <c r="O347">
        <v>2430</v>
      </c>
      <c r="P347" s="9">
        <v>0.382015684364345</v>
      </c>
      <c r="Q347" t="s">
        <v>310</v>
      </c>
      <c r="T347" s="15" t="s">
        <v>119</v>
      </c>
      <c r="W347" s="16" t="str">
        <f t="shared" si="35"/>
        <v>EN_WON_38_c04_CAN</v>
      </c>
      <c r="X347" s="12">
        <f t="shared" si="36"/>
        <v>2430</v>
      </c>
      <c r="Y347" s="11">
        <f t="shared" si="37"/>
        <v>2430</v>
      </c>
      <c r="AC347" t="s">
        <v>26</v>
      </c>
      <c r="AD347" t="s">
        <v>3378</v>
      </c>
      <c r="AE347" t="s">
        <v>3379</v>
      </c>
      <c r="AF347" t="s">
        <v>29</v>
      </c>
      <c r="AG347" t="s">
        <v>30</v>
      </c>
      <c r="AH347" t="s">
        <v>31</v>
      </c>
      <c r="AK347" t="s">
        <v>3378</v>
      </c>
      <c r="AL347" t="s">
        <v>1967</v>
      </c>
      <c r="AM347" t="s">
        <v>3375</v>
      </c>
      <c r="AN347" s="8">
        <v>1.842</v>
      </c>
      <c r="AO347">
        <v>199.694880401046</v>
      </c>
      <c r="AP347">
        <v>1952</v>
      </c>
      <c r="AQ347" s="9">
        <v>0.33</v>
      </c>
      <c r="AR347" t="s">
        <v>652</v>
      </c>
      <c r="AT347" s="15" t="s">
        <v>54</v>
      </c>
      <c r="AW347" s="11" t="str">
        <f t="shared" si="38"/>
        <v>EN_WOF_33_c02_ERI</v>
      </c>
      <c r="AX347" s="11">
        <f t="shared" si="39"/>
        <v>1952</v>
      </c>
      <c r="AY347" s="11">
        <f t="shared" si="40"/>
        <v>1952</v>
      </c>
      <c r="AZ347" s="17">
        <v>3</v>
      </c>
      <c r="BA347">
        <f t="shared" si="41"/>
        <v>19.52</v>
      </c>
    </row>
    <row r="348" spans="2:53">
      <c r="B348" t="s">
        <v>26</v>
      </c>
      <c r="C348" t="s">
        <v>3380</v>
      </c>
      <c r="D348" t="s">
        <v>3381</v>
      </c>
      <c r="E348" t="s">
        <v>29</v>
      </c>
      <c r="F348" t="s">
        <v>30</v>
      </c>
      <c r="G348" t="s">
        <v>31</v>
      </c>
      <c r="J348" t="s">
        <v>3380</v>
      </c>
      <c r="K348" t="s">
        <v>1967</v>
      </c>
      <c r="L348" t="s">
        <v>2422</v>
      </c>
      <c r="M348" s="8">
        <v>7.911</v>
      </c>
      <c r="N348">
        <v>0</v>
      </c>
      <c r="O348">
        <v>2430</v>
      </c>
      <c r="P348" s="9">
        <v>0.391558778915434</v>
      </c>
      <c r="Q348" t="s">
        <v>310</v>
      </c>
      <c r="T348" s="15" t="s">
        <v>119</v>
      </c>
      <c r="W348" s="16" t="str">
        <f t="shared" si="35"/>
        <v>EN_WON_39_c01_CAN</v>
      </c>
      <c r="X348" s="12">
        <f t="shared" si="36"/>
        <v>2430</v>
      </c>
      <c r="Y348" s="11">
        <f t="shared" si="37"/>
        <v>2430</v>
      </c>
      <c r="AC348" t="s">
        <v>26</v>
      </c>
      <c r="AD348" t="s">
        <v>3382</v>
      </c>
      <c r="AE348" t="s">
        <v>3383</v>
      </c>
      <c r="AF348" t="s">
        <v>29</v>
      </c>
      <c r="AG348" t="s">
        <v>30</v>
      </c>
      <c r="AH348" t="s">
        <v>31</v>
      </c>
      <c r="AK348" t="s">
        <v>3382</v>
      </c>
      <c r="AL348" t="s">
        <v>1967</v>
      </c>
      <c r="AM348" t="s">
        <v>3375</v>
      </c>
      <c r="AN348" s="8">
        <v>5.742</v>
      </c>
      <c r="AO348">
        <v>199.694880401046</v>
      </c>
      <c r="AP348">
        <v>1952</v>
      </c>
      <c r="AQ348" s="9">
        <v>0.345</v>
      </c>
      <c r="AR348" t="s">
        <v>652</v>
      </c>
      <c r="AT348" s="15" t="s">
        <v>54</v>
      </c>
      <c r="AW348" s="11" t="str">
        <f t="shared" si="38"/>
        <v>EN_WOF_35_c02_ERI</v>
      </c>
      <c r="AX348" s="11">
        <f t="shared" si="39"/>
        <v>1952</v>
      </c>
      <c r="AY348" s="11">
        <f t="shared" si="40"/>
        <v>1952</v>
      </c>
      <c r="AZ348" s="17">
        <v>3</v>
      </c>
      <c r="BA348">
        <f t="shared" si="41"/>
        <v>19.52</v>
      </c>
    </row>
    <row r="349" spans="2:53">
      <c r="B349" t="s">
        <v>26</v>
      </c>
      <c r="C349" t="s">
        <v>3384</v>
      </c>
      <c r="D349" t="s">
        <v>3385</v>
      </c>
      <c r="E349" t="s">
        <v>29</v>
      </c>
      <c r="F349" t="s">
        <v>30</v>
      </c>
      <c r="G349" t="s">
        <v>31</v>
      </c>
      <c r="J349" t="s">
        <v>3384</v>
      </c>
      <c r="K349" t="s">
        <v>1967</v>
      </c>
      <c r="L349" t="s">
        <v>2422</v>
      </c>
      <c r="M349" s="8">
        <v>2.256</v>
      </c>
      <c r="N349">
        <v>80.7856561622413</v>
      </c>
      <c r="O349">
        <v>2430</v>
      </c>
      <c r="P349" s="9">
        <v>0.389255984042553</v>
      </c>
      <c r="Q349" t="s">
        <v>310</v>
      </c>
      <c r="T349" s="15" t="s">
        <v>119</v>
      </c>
      <c r="W349" s="16" t="str">
        <f t="shared" si="35"/>
        <v>EN_WON_39_c02_CAN</v>
      </c>
      <c r="X349" s="12">
        <f t="shared" si="36"/>
        <v>2430</v>
      </c>
      <c r="Y349" s="11">
        <f t="shared" si="37"/>
        <v>2430</v>
      </c>
      <c r="AC349" t="s">
        <v>26</v>
      </c>
      <c r="AD349" t="s">
        <v>3386</v>
      </c>
      <c r="AE349" t="s">
        <v>3387</v>
      </c>
      <c r="AF349" t="s">
        <v>29</v>
      </c>
      <c r="AG349" t="s">
        <v>30</v>
      </c>
      <c r="AH349" t="s">
        <v>31</v>
      </c>
      <c r="AK349" t="s">
        <v>3386</v>
      </c>
      <c r="AL349" t="s">
        <v>1967</v>
      </c>
      <c r="AM349" t="s">
        <v>3375</v>
      </c>
      <c r="AN349" s="8">
        <v>5.34075</v>
      </c>
      <c r="AO349">
        <v>199.694880401046</v>
      </c>
      <c r="AP349">
        <v>1952</v>
      </c>
      <c r="AQ349" s="9">
        <v>0.371</v>
      </c>
      <c r="AR349" t="s">
        <v>652</v>
      </c>
      <c r="AT349" s="15" t="s">
        <v>54</v>
      </c>
      <c r="AW349" s="11" t="str">
        <f t="shared" si="38"/>
        <v>EN_WOF_37_c02_ERI</v>
      </c>
      <c r="AX349" s="11">
        <f t="shared" si="39"/>
        <v>1952</v>
      </c>
      <c r="AY349" s="11">
        <f t="shared" si="40"/>
        <v>1952</v>
      </c>
      <c r="AZ349" s="17">
        <v>3</v>
      </c>
      <c r="BA349">
        <f t="shared" si="41"/>
        <v>19.52</v>
      </c>
    </row>
    <row r="350" spans="2:53">
      <c r="B350" t="s">
        <v>26</v>
      </c>
      <c r="C350" t="s">
        <v>3388</v>
      </c>
      <c r="D350" t="s">
        <v>3389</v>
      </c>
      <c r="E350" t="s">
        <v>29</v>
      </c>
      <c r="F350" t="s">
        <v>30</v>
      </c>
      <c r="G350" t="s">
        <v>31</v>
      </c>
      <c r="J350" t="s">
        <v>3388</v>
      </c>
      <c r="K350" t="s">
        <v>1967</v>
      </c>
      <c r="L350" t="s">
        <v>2422</v>
      </c>
      <c r="M350" s="8">
        <v>3.66825</v>
      </c>
      <c r="N350">
        <v>105.747516212372</v>
      </c>
      <c r="O350">
        <v>2430</v>
      </c>
      <c r="P350" s="9">
        <v>0.388849110611327</v>
      </c>
      <c r="Q350" t="s">
        <v>310</v>
      </c>
      <c r="T350" s="15" t="s">
        <v>119</v>
      </c>
      <c r="W350" s="16" t="str">
        <f t="shared" si="35"/>
        <v>EN_WON_39_c03_CAN</v>
      </c>
      <c r="X350" s="12">
        <f t="shared" si="36"/>
        <v>2430</v>
      </c>
      <c r="Y350" s="11">
        <f t="shared" si="37"/>
        <v>2430</v>
      </c>
      <c r="AC350" t="s">
        <v>26</v>
      </c>
      <c r="AD350" t="s">
        <v>3390</v>
      </c>
      <c r="AE350" t="s">
        <v>3391</v>
      </c>
      <c r="AF350" t="s">
        <v>29</v>
      </c>
      <c r="AG350" t="s">
        <v>30</v>
      </c>
      <c r="AH350" t="s">
        <v>31</v>
      </c>
      <c r="AK350" t="s">
        <v>3390</v>
      </c>
      <c r="AL350" t="s">
        <v>1967</v>
      </c>
      <c r="AM350" t="s">
        <v>3375</v>
      </c>
      <c r="AN350" s="8">
        <v>8.5935</v>
      </c>
      <c r="AO350">
        <v>199.694880401046</v>
      </c>
      <c r="AP350">
        <v>1952</v>
      </c>
      <c r="AQ350" s="9">
        <v>0.418273520684238</v>
      </c>
      <c r="AR350" t="s">
        <v>652</v>
      </c>
      <c r="AT350" s="15" t="s">
        <v>54</v>
      </c>
      <c r="AW350" s="11" t="str">
        <f t="shared" si="38"/>
        <v>EN_WOF_42_c02_ERI</v>
      </c>
      <c r="AX350" s="11">
        <f t="shared" si="39"/>
        <v>1952</v>
      </c>
      <c r="AY350" s="11">
        <f t="shared" si="40"/>
        <v>1952</v>
      </c>
      <c r="AZ350" s="17">
        <v>3</v>
      </c>
      <c r="BA350">
        <f t="shared" si="41"/>
        <v>19.52</v>
      </c>
    </row>
    <row r="351" spans="2:53">
      <c r="B351" t="s">
        <v>26</v>
      </c>
      <c r="C351" t="s">
        <v>3392</v>
      </c>
      <c r="D351" t="s">
        <v>3393</v>
      </c>
      <c r="E351" t="s">
        <v>29</v>
      </c>
      <c r="F351" t="s">
        <v>30</v>
      </c>
      <c r="G351" t="s">
        <v>31</v>
      </c>
      <c r="J351" t="s">
        <v>3392</v>
      </c>
      <c r="K351" t="s">
        <v>1967</v>
      </c>
      <c r="L351" t="s">
        <v>2422</v>
      </c>
      <c r="M351" s="8">
        <v>14.55075</v>
      </c>
      <c r="N351">
        <v>145.23264029167</v>
      </c>
      <c r="O351">
        <v>2430</v>
      </c>
      <c r="P351" s="9">
        <v>0.389183237977424</v>
      </c>
      <c r="Q351" t="s">
        <v>310</v>
      </c>
      <c r="T351" s="15" t="s">
        <v>119</v>
      </c>
      <c r="W351" s="16" t="str">
        <f t="shared" si="35"/>
        <v>EN_WON_39_c04_CAN</v>
      </c>
      <c r="X351" s="12">
        <f t="shared" si="36"/>
        <v>2430</v>
      </c>
      <c r="Y351" s="11">
        <f t="shared" si="37"/>
        <v>2430</v>
      </c>
      <c r="AC351" t="s">
        <v>26</v>
      </c>
      <c r="AD351" t="s">
        <v>3394</v>
      </c>
      <c r="AE351" t="s">
        <v>3395</v>
      </c>
      <c r="AF351" t="s">
        <v>29</v>
      </c>
      <c r="AG351" t="s">
        <v>30</v>
      </c>
      <c r="AH351" t="s">
        <v>31</v>
      </c>
      <c r="AK351" t="s">
        <v>3394</v>
      </c>
      <c r="AL351" t="s">
        <v>1967</v>
      </c>
      <c r="AM351" t="s">
        <v>3375</v>
      </c>
      <c r="AN351" s="8">
        <v>1.92525</v>
      </c>
      <c r="AO351">
        <v>199.694880401046</v>
      </c>
      <c r="AP351">
        <v>1952</v>
      </c>
      <c r="AQ351" s="9">
        <v>0.462</v>
      </c>
      <c r="AR351" t="s">
        <v>652</v>
      </c>
      <c r="AT351" s="15" t="s">
        <v>54</v>
      </c>
      <c r="AW351" s="11" t="str">
        <f t="shared" si="38"/>
        <v>EN_WOF_46_c02_ERI</v>
      </c>
      <c r="AX351" s="11">
        <f t="shared" si="39"/>
        <v>1952</v>
      </c>
      <c r="AY351" s="11">
        <f t="shared" si="40"/>
        <v>1952</v>
      </c>
      <c r="AZ351" s="17">
        <v>3</v>
      </c>
      <c r="BA351">
        <f t="shared" si="41"/>
        <v>19.52</v>
      </c>
    </row>
    <row r="352" spans="2:53">
      <c r="B352" t="s">
        <v>26</v>
      </c>
      <c r="C352" t="s">
        <v>3396</v>
      </c>
      <c r="D352" t="s">
        <v>3397</v>
      </c>
      <c r="E352" t="s">
        <v>29</v>
      </c>
      <c r="F352" t="s">
        <v>30</v>
      </c>
      <c r="G352" t="s">
        <v>31</v>
      </c>
      <c r="J352" t="s">
        <v>3396</v>
      </c>
      <c r="K352" t="s">
        <v>1967</v>
      </c>
      <c r="L352" t="s">
        <v>2422</v>
      </c>
      <c r="M352" s="8">
        <v>4.071</v>
      </c>
      <c r="N352">
        <v>0</v>
      </c>
      <c r="O352">
        <v>2430</v>
      </c>
      <c r="P352" s="9">
        <v>0.399406595431098</v>
      </c>
      <c r="Q352" t="s">
        <v>310</v>
      </c>
      <c r="T352" s="15" t="s">
        <v>119</v>
      </c>
      <c r="W352" s="16" t="str">
        <f t="shared" si="35"/>
        <v>EN_WON_40_c01_CAN</v>
      </c>
      <c r="X352" s="12">
        <f t="shared" si="36"/>
        <v>2430</v>
      </c>
      <c r="Y352" s="11">
        <f t="shared" si="37"/>
        <v>2430</v>
      </c>
      <c r="AC352" t="s">
        <v>26</v>
      </c>
      <c r="AD352" t="s">
        <v>3398</v>
      </c>
      <c r="AE352" t="s">
        <v>3399</v>
      </c>
      <c r="AF352" t="s">
        <v>29</v>
      </c>
      <c r="AG352" t="s">
        <v>30</v>
      </c>
      <c r="AH352" t="s">
        <v>31</v>
      </c>
      <c r="AK352" t="s">
        <v>3398</v>
      </c>
      <c r="AL352" t="s">
        <v>1967</v>
      </c>
      <c r="AM352" t="s">
        <v>3375</v>
      </c>
      <c r="AN352" s="8">
        <v>2.958</v>
      </c>
      <c r="AO352">
        <v>199.694880401046</v>
      </c>
      <c r="AP352">
        <v>1952</v>
      </c>
      <c r="AQ352" s="9">
        <v>0.475</v>
      </c>
      <c r="AR352" t="s">
        <v>652</v>
      </c>
      <c r="AT352" s="15" t="s">
        <v>54</v>
      </c>
      <c r="AW352" s="11" t="str">
        <f t="shared" si="38"/>
        <v>EN_WOF_48_c02_ERI</v>
      </c>
      <c r="AX352" s="11">
        <f t="shared" si="39"/>
        <v>1952</v>
      </c>
      <c r="AY352" s="11">
        <f t="shared" si="40"/>
        <v>1952</v>
      </c>
      <c r="AZ352" s="17">
        <v>3</v>
      </c>
      <c r="BA352">
        <f t="shared" si="41"/>
        <v>19.52</v>
      </c>
    </row>
    <row r="353" spans="2:53">
      <c r="B353" t="s">
        <v>26</v>
      </c>
      <c r="C353" t="s">
        <v>3400</v>
      </c>
      <c r="D353" t="s">
        <v>3401</v>
      </c>
      <c r="E353" t="s">
        <v>29</v>
      </c>
      <c r="F353" t="s">
        <v>30</v>
      </c>
      <c r="G353" t="s">
        <v>31</v>
      </c>
      <c r="J353" t="s">
        <v>3400</v>
      </c>
      <c r="K353" t="s">
        <v>1967</v>
      </c>
      <c r="L353" t="s">
        <v>2422</v>
      </c>
      <c r="M353" s="8">
        <v>2.355</v>
      </c>
      <c r="N353">
        <v>80.7856561622413</v>
      </c>
      <c r="O353">
        <v>2430</v>
      </c>
      <c r="P353" s="9">
        <v>0.400057324840764</v>
      </c>
      <c r="Q353" t="s">
        <v>310</v>
      </c>
      <c r="T353" s="15" t="s">
        <v>119</v>
      </c>
      <c r="W353" s="16" t="str">
        <f t="shared" si="35"/>
        <v>EN_WON_40_c02_CAN</v>
      </c>
      <c r="X353" s="12">
        <f t="shared" si="36"/>
        <v>2430</v>
      </c>
      <c r="Y353" s="11">
        <f t="shared" si="37"/>
        <v>2430</v>
      </c>
      <c r="AC353" t="s">
        <v>26</v>
      </c>
      <c r="AD353" t="s">
        <v>3402</v>
      </c>
      <c r="AE353" t="s">
        <v>3403</v>
      </c>
      <c r="AF353" t="s">
        <v>29</v>
      </c>
      <c r="AG353" t="s">
        <v>30</v>
      </c>
      <c r="AH353" t="s">
        <v>31</v>
      </c>
      <c r="AK353" t="s">
        <v>3402</v>
      </c>
      <c r="AL353" t="s">
        <v>1967</v>
      </c>
      <c r="AM353" t="s">
        <v>3375</v>
      </c>
      <c r="AN353" s="8">
        <v>2.481</v>
      </c>
      <c r="AO353">
        <v>199.694880401046</v>
      </c>
      <c r="AP353">
        <v>1952</v>
      </c>
      <c r="AQ353" s="9">
        <v>0.506</v>
      </c>
      <c r="AR353" t="s">
        <v>652</v>
      </c>
      <c r="AT353" s="15" t="s">
        <v>54</v>
      </c>
      <c r="AW353" s="11" t="str">
        <f t="shared" si="38"/>
        <v>EN_WOF_51_c02_ERI</v>
      </c>
      <c r="AX353" s="11">
        <f t="shared" si="39"/>
        <v>1952</v>
      </c>
      <c r="AY353" s="11">
        <f t="shared" si="40"/>
        <v>1952</v>
      </c>
      <c r="AZ353" s="17">
        <v>3</v>
      </c>
      <c r="BA353">
        <f t="shared" si="41"/>
        <v>19.52</v>
      </c>
    </row>
    <row r="354" spans="2:53">
      <c r="B354" t="s">
        <v>26</v>
      </c>
      <c r="C354" t="s">
        <v>3404</v>
      </c>
      <c r="D354" t="s">
        <v>3405</v>
      </c>
      <c r="E354" t="s">
        <v>29</v>
      </c>
      <c r="F354" t="s">
        <v>30</v>
      </c>
      <c r="G354" t="s">
        <v>31</v>
      </c>
      <c r="J354" t="s">
        <v>3404</v>
      </c>
      <c r="K354" t="s">
        <v>1967</v>
      </c>
      <c r="L354" t="s">
        <v>2422</v>
      </c>
      <c r="M354" s="8">
        <v>4.08075</v>
      </c>
      <c r="N354">
        <v>105.747516212372</v>
      </c>
      <c r="O354">
        <v>2430</v>
      </c>
      <c r="P354" s="9">
        <v>0.398283955155302</v>
      </c>
      <c r="Q354" t="s">
        <v>310</v>
      </c>
      <c r="T354" s="15" t="s">
        <v>119</v>
      </c>
      <c r="W354" s="16" t="str">
        <f t="shared" si="35"/>
        <v>EN_WON_40_c03_CAN</v>
      </c>
      <c r="X354" s="12">
        <f t="shared" si="36"/>
        <v>2430</v>
      </c>
      <c r="Y354" s="11">
        <f t="shared" si="37"/>
        <v>2430</v>
      </c>
      <c r="AC354" t="s">
        <v>26</v>
      </c>
      <c r="AD354" t="s">
        <v>3406</v>
      </c>
      <c r="AE354" t="s">
        <v>3407</v>
      </c>
      <c r="AF354" t="s">
        <v>29</v>
      </c>
      <c r="AG354" t="s">
        <v>30</v>
      </c>
      <c r="AH354" t="s">
        <v>31</v>
      </c>
      <c r="AK354" t="s">
        <v>3406</v>
      </c>
      <c r="AL354" t="s">
        <v>1967</v>
      </c>
      <c r="AM354" t="s">
        <v>3408</v>
      </c>
      <c r="AN354" s="8">
        <v>10.60125</v>
      </c>
      <c r="AO354">
        <v>199.694880401046</v>
      </c>
      <c r="AP354">
        <v>1552</v>
      </c>
      <c r="AQ354" s="9">
        <v>0.302600424478245</v>
      </c>
      <c r="AR354" t="s">
        <v>656</v>
      </c>
      <c r="AT354" s="15" t="s">
        <v>69</v>
      </c>
      <c r="AW354" s="11" t="str">
        <f t="shared" si="38"/>
        <v>EN_WOF_30_c02_ESP</v>
      </c>
      <c r="AX354" s="11">
        <f t="shared" si="39"/>
        <v>1552</v>
      </c>
      <c r="AY354" s="11">
        <f t="shared" si="40"/>
        <v>1552</v>
      </c>
      <c r="AZ354" s="17">
        <v>3</v>
      </c>
      <c r="BA354">
        <f t="shared" si="41"/>
        <v>15.52</v>
      </c>
    </row>
    <row r="355" spans="2:53">
      <c r="B355" t="s">
        <v>26</v>
      </c>
      <c r="C355" t="s">
        <v>3409</v>
      </c>
      <c r="D355" t="s">
        <v>3410</v>
      </c>
      <c r="E355" t="s">
        <v>29</v>
      </c>
      <c r="F355" t="s">
        <v>30</v>
      </c>
      <c r="G355" t="s">
        <v>31</v>
      </c>
      <c r="J355" t="s">
        <v>3409</v>
      </c>
      <c r="K355" t="s">
        <v>1967</v>
      </c>
      <c r="L355" t="s">
        <v>2422</v>
      </c>
      <c r="M355" s="8">
        <v>13.65225</v>
      </c>
      <c r="N355">
        <v>145.23264029167</v>
      </c>
      <c r="O355">
        <v>2430</v>
      </c>
      <c r="P355" s="9">
        <v>0.400256496181948</v>
      </c>
      <c r="Q355" t="s">
        <v>310</v>
      </c>
      <c r="T355" s="15" t="s">
        <v>119</v>
      </c>
      <c r="W355" s="16" t="str">
        <f t="shared" si="35"/>
        <v>EN_WON_40_c04_CAN</v>
      </c>
      <c r="X355" s="12">
        <f t="shared" si="36"/>
        <v>2430</v>
      </c>
      <c r="Y355" s="11">
        <f t="shared" si="37"/>
        <v>2430</v>
      </c>
      <c r="AC355" t="s">
        <v>26</v>
      </c>
      <c r="AD355" t="s">
        <v>3411</v>
      </c>
      <c r="AE355" t="s">
        <v>3412</v>
      </c>
      <c r="AF355" t="s">
        <v>29</v>
      </c>
      <c r="AG355" t="s">
        <v>30</v>
      </c>
      <c r="AH355" t="s">
        <v>31</v>
      </c>
      <c r="AK355" t="s">
        <v>3411</v>
      </c>
      <c r="AL355" t="s">
        <v>1967</v>
      </c>
      <c r="AM355" t="s">
        <v>3408</v>
      </c>
      <c r="AN355" s="8">
        <v>2.448</v>
      </c>
      <c r="AO355">
        <v>199.694880401046</v>
      </c>
      <c r="AP355">
        <v>1552</v>
      </c>
      <c r="AQ355" s="9">
        <v>0.31034068627451</v>
      </c>
      <c r="AR355" t="s">
        <v>656</v>
      </c>
      <c r="AT355" s="15" t="s">
        <v>69</v>
      </c>
      <c r="AW355" s="11" t="str">
        <f t="shared" si="38"/>
        <v>EN_WOF_31_c02_ESP</v>
      </c>
      <c r="AX355" s="11">
        <f t="shared" si="39"/>
        <v>1552</v>
      </c>
      <c r="AY355" s="11">
        <f t="shared" si="40"/>
        <v>1552</v>
      </c>
      <c r="AZ355" s="17">
        <v>3</v>
      </c>
      <c r="BA355">
        <f t="shared" si="41"/>
        <v>15.52</v>
      </c>
    </row>
    <row r="356" spans="2:53">
      <c r="B356" t="s">
        <v>26</v>
      </c>
      <c r="C356" t="s">
        <v>3413</v>
      </c>
      <c r="D356" t="s">
        <v>3414</v>
      </c>
      <c r="E356" t="s">
        <v>29</v>
      </c>
      <c r="F356" t="s">
        <v>30</v>
      </c>
      <c r="G356" t="s">
        <v>31</v>
      </c>
      <c r="J356" t="s">
        <v>3413</v>
      </c>
      <c r="K356" t="s">
        <v>1967</v>
      </c>
      <c r="L356" t="s">
        <v>2422</v>
      </c>
      <c r="M356" s="8">
        <v>11.379</v>
      </c>
      <c r="N356">
        <v>0</v>
      </c>
      <c r="O356">
        <v>2430</v>
      </c>
      <c r="P356" s="9">
        <v>0.409577643026628</v>
      </c>
      <c r="Q356" t="s">
        <v>310</v>
      </c>
      <c r="T356" s="15" t="s">
        <v>119</v>
      </c>
      <c r="W356" s="16" t="str">
        <f t="shared" si="35"/>
        <v>EN_WON_41_c01_CAN</v>
      </c>
      <c r="X356" s="12">
        <f t="shared" si="36"/>
        <v>2430</v>
      </c>
      <c r="Y356" s="11">
        <f t="shared" si="37"/>
        <v>2430</v>
      </c>
      <c r="AC356" t="s">
        <v>26</v>
      </c>
      <c r="AD356" t="s">
        <v>3415</v>
      </c>
      <c r="AE356" t="s">
        <v>3416</v>
      </c>
      <c r="AF356" t="s">
        <v>29</v>
      </c>
      <c r="AG356" t="s">
        <v>30</v>
      </c>
      <c r="AH356" t="s">
        <v>31</v>
      </c>
      <c r="AK356" t="s">
        <v>3415</v>
      </c>
      <c r="AL356" t="s">
        <v>1967</v>
      </c>
      <c r="AM356" t="s">
        <v>3408</v>
      </c>
      <c r="AN356" s="8">
        <v>10.13175</v>
      </c>
      <c r="AO356">
        <v>199.694880401046</v>
      </c>
      <c r="AP356">
        <v>1552</v>
      </c>
      <c r="AQ356" s="9">
        <v>0.317282404323044</v>
      </c>
      <c r="AR356" t="s">
        <v>656</v>
      </c>
      <c r="AT356" s="15" t="s">
        <v>69</v>
      </c>
      <c r="AW356" s="11" t="str">
        <f t="shared" si="38"/>
        <v>EN_WOF_32_c02_ESP</v>
      </c>
      <c r="AX356" s="11">
        <f t="shared" si="39"/>
        <v>1552</v>
      </c>
      <c r="AY356" s="11">
        <f t="shared" si="40"/>
        <v>1552</v>
      </c>
      <c r="AZ356" s="17">
        <v>3</v>
      </c>
      <c r="BA356">
        <f t="shared" si="41"/>
        <v>15.52</v>
      </c>
    </row>
    <row r="357" spans="2:53">
      <c r="B357" t="s">
        <v>26</v>
      </c>
      <c r="C357" t="s">
        <v>3417</v>
      </c>
      <c r="D357" t="s">
        <v>3418</v>
      </c>
      <c r="E357" t="s">
        <v>29</v>
      </c>
      <c r="F357" t="s">
        <v>30</v>
      </c>
      <c r="G357" t="s">
        <v>31</v>
      </c>
      <c r="J357" t="s">
        <v>3417</v>
      </c>
      <c r="K357" t="s">
        <v>1967</v>
      </c>
      <c r="L357" t="s">
        <v>2422</v>
      </c>
      <c r="M357" s="8">
        <v>4.4595</v>
      </c>
      <c r="N357">
        <v>80.7856561622413</v>
      </c>
      <c r="O357">
        <v>2430</v>
      </c>
      <c r="P357" s="9">
        <v>0.411078203834511</v>
      </c>
      <c r="Q357" t="s">
        <v>310</v>
      </c>
      <c r="T357" s="15" t="s">
        <v>119</v>
      </c>
      <c r="W357" s="16" t="str">
        <f t="shared" si="35"/>
        <v>EN_WON_41_c02_CAN</v>
      </c>
      <c r="X357" s="12">
        <f t="shared" si="36"/>
        <v>2430</v>
      </c>
      <c r="Y357" s="11">
        <f t="shared" si="37"/>
        <v>2430</v>
      </c>
      <c r="AC357" t="s">
        <v>26</v>
      </c>
      <c r="AD357" t="s">
        <v>3419</v>
      </c>
      <c r="AE357" t="s">
        <v>3420</v>
      </c>
      <c r="AF357" t="s">
        <v>29</v>
      </c>
      <c r="AG357" t="s">
        <v>30</v>
      </c>
      <c r="AH357" t="s">
        <v>31</v>
      </c>
      <c r="AK357" t="s">
        <v>3419</v>
      </c>
      <c r="AL357" t="s">
        <v>1967</v>
      </c>
      <c r="AM357" t="s">
        <v>3408</v>
      </c>
      <c r="AN357" s="8">
        <v>4.66425</v>
      </c>
      <c r="AO357">
        <v>199.694880401046</v>
      </c>
      <c r="AP357">
        <v>1552</v>
      </c>
      <c r="AQ357" s="9">
        <v>0.326240713941148</v>
      </c>
      <c r="AR357" t="s">
        <v>656</v>
      </c>
      <c r="AT357" s="15" t="s">
        <v>69</v>
      </c>
      <c r="AW357" s="11" t="str">
        <f t="shared" si="38"/>
        <v>EN_WOF_33_c02_ESP</v>
      </c>
      <c r="AX357" s="11">
        <f t="shared" si="39"/>
        <v>1552</v>
      </c>
      <c r="AY357" s="11">
        <f t="shared" si="40"/>
        <v>1552</v>
      </c>
      <c r="AZ357" s="17">
        <v>3</v>
      </c>
      <c r="BA357">
        <f t="shared" si="41"/>
        <v>15.52</v>
      </c>
    </row>
    <row r="358" spans="2:53">
      <c r="B358" t="s">
        <v>26</v>
      </c>
      <c r="C358" t="s">
        <v>3421</v>
      </c>
      <c r="D358" t="s">
        <v>3422</v>
      </c>
      <c r="E358" t="s">
        <v>29</v>
      </c>
      <c r="F358" t="s">
        <v>30</v>
      </c>
      <c r="G358" t="s">
        <v>31</v>
      </c>
      <c r="J358" t="s">
        <v>3421</v>
      </c>
      <c r="K358" t="s">
        <v>1967</v>
      </c>
      <c r="L358" t="s">
        <v>2422</v>
      </c>
      <c r="M358" s="8">
        <v>4.677</v>
      </c>
      <c r="N358">
        <v>105.747516212372</v>
      </c>
      <c r="O358">
        <v>2430</v>
      </c>
      <c r="P358" s="9">
        <v>0.4079409878127</v>
      </c>
      <c r="Q358" t="s">
        <v>310</v>
      </c>
      <c r="T358" s="15" t="s">
        <v>119</v>
      </c>
      <c r="W358" s="16" t="str">
        <f t="shared" si="35"/>
        <v>EN_WON_41_c03_CAN</v>
      </c>
      <c r="X358" s="12">
        <f t="shared" si="36"/>
        <v>2430</v>
      </c>
      <c r="Y358" s="11">
        <f t="shared" si="37"/>
        <v>2430</v>
      </c>
      <c r="AC358" t="s">
        <v>26</v>
      </c>
      <c r="AD358" t="s">
        <v>3423</v>
      </c>
      <c r="AE358" t="s">
        <v>3424</v>
      </c>
      <c r="AF358" t="s">
        <v>29</v>
      </c>
      <c r="AG358" t="s">
        <v>30</v>
      </c>
      <c r="AH358" t="s">
        <v>31</v>
      </c>
      <c r="AK358" t="s">
        <v>3423</v>
      </c>
      <c r="AL358" t="s">
        <v>1967</v>
      </c>
      <c r="AM358" t="s">
        <v>3408</v>
      </c>
      <c r="AN358" s="8">
        <v>23.211</v>
      </c>
      <c r="AO358">
        <v>199.694880401046</v>
      </c>
      <c r="AP358">
        <v>1552</v>
      </c>
      <c r="AQ358" s="9">
        <v>0.33886852139072</v>
      </c>
      <c r="AR358" t="s">
        <v>656</v>
      </c>
      <c r="AT358" s="15" t="s">
        <v>69</v>
      </c>
      <c r="AW358" s="11" t="str">
        <f t="shared" si="38"/>
        <v>EN_WOF_34_c02_ESP</v>
      </c>
      <c r="AX358" s="11">
        <f t="shared" si="39"/>
        <v>1552</v>
      </c>
      <c r="AY358" s="11">
        <f t="shared" si="40"/>
        <v>1552</v>
      </c>
      <c r="AZ358" s="17">
        <v>3</v>
      </c>
      <c r="BA358">
        <f t="shared" si="41"/>
        <v>15.52</v>
      </c>
    </row>
    <row r="359" spans="2:53">
      <c r="B359" t="s">
        <v>26</v>
      </c>
      <c r="C359" t="s">
        <v>3425</v>
      </c>
      <c r="D359" t="s">
        <v>3426</v>
      </c>
      <c r="E359" t="s">
        <v>29</v>
      </c>
      <c r="F359" t="s">
        <v>30</v>
      </c>
      <c r="G359" t="s">
        <v>31</v>
      </c>
      <c r="J359" t="s">
        <v>3425</v>
      </c>
      <c r="K359" t="s">
        <v>1967</v>
      </c>
      <c r="L359" t="s">
        <v>2422</v>
      </c>
      <c r="M359" s="8">
        <v>29.13375</v>
      </c>
      <c r="N359">
        <v>145.23264029167</v>
      </c>
      <c r="O359">
        <v>2430</v>
      </c>
      <c r="P359" s="9">
        <v>0.41026217016347</v>
      </c>
      <c r="Q359" t="s">
        <v>310</v>
      </c>
      <c r="T359" s="15" t="s">
        <v>119</v>
      </c>
      <c r="W359" s="16" t="str">
        <f t="shared" si="35"/>
        <v>EN_WON_41_c04_CAN</v>
      </c>
      <c r="X359" s="12">
        <f t="shared" si="36"/>
        <v>2430</v>
      </c>
      <c r="Y359" s="11">
        <f t="shared" si="37"/>
        <v>2430</v>
      </c>
      <c r="AC359" t="s">
        <v>26</v>
      </c>
      <c r="AD359" t="s">
        <v>3427</v>
      </c>
      <c r="AE359" t="s">
        <v>3428</v>
      </c>
      <c r="AF359" t="s">
        <v>29</v>
      </c>
      <c r="AG359" t="s">
        <v>30</v>
      </c>
      <c r="AH359" t="s">
        <v>31</v>
      </c>
      <c r="AK359" t="s">
        <v>3427</v>
      </c>
      <c r="AL359" t="s">
        <v>1967</v>
      </c>
      <c r="AM359" t="s">
        <v>3408</v>
      </c>
      <c r="AN359" s="8">
        <v>12.522</v>
      </c>
      <c r="AO359">
        <v>199.694880401046</v>
      </c>
      <c r="AP359">
        <v>1552</v>
      </c>
      <c r="AQ359" s="9">
        <v>0.352984966459032</v>
      </c>
      <c r="AR359" t="s">
        <v>656</v>
      </c>
      <c r="AT359" s="15" t="s">
        <v>69</v>
      </c>
      <c r="AW359" s="11" t="str">
        <f t="shared" si="38"/>
        <v>EN_WOF_35_c02_ESP</v>
      </c>
      <c r="AX359" s="11">
        <f t="shared" si="39"/>
        <v>1552</v>
      </c>
      <c r="AY359" s="11">
        <f t="shared" si="40"/>
        <v>1552</v>
      </c>
      <c r="AZ359" s="17">
        <v>3</v>
      </c>
      <c r="BA359">
        <f t="shared" si="41"/>
        <v>15.52</v>
      </c>
    </row>
    <row r="360" spans="2:53">
      <c r="B360" t="s">
        <v>26</v>
      </c>
      <c r="C360" t="s">
        <v>3429</v>
      </c>
      <c r="D360" t="s">
        <v>3430</v>
      </c>
      <c r="E360" t="s">
        <v>29</v>
      </c>
      <c r="F360" t="s">
        <v>30</v>
      </c>
      <c r="G360" t="s">
        <v>31</v>
      </c>
      <c r="J360" t="s">
        <v>3429</v>
      </c>
      <c r="K360" t="s">
        <v>1967</v>
      </c>
      <c r="L360" t="s">
        <v>2422</v>
      </c>
      <c r="M360" s="8">
        <v>3.44925</v>
      </c>
      <c r="N360">
        <v>0</v>
      </c>
      <c r="O360">
        <v>2430</v>
      </c>
      <c r="P360" s="9">
        <v>0.417986518808437</v>
      </c>
      <c r="Q360" t="s">
        <v>310</v>
      </c>
      <c r="T360" s="15" t="s">
        <v>119</v>
      </c>
      <c r="W360" s="16" t="str">
        <f t="shared" si="35"/>
        <v>EN_WON_42_c01_CAN</v>
      </c>
      <c r="X360" s="12">
        <f t="shared" si="36"/>
        <v>2430</v>
      </c>
      <c r="Y360" s="11">
        <f t="shared" si="37"/>
        <v>2430</v>
      </c>
      <c r="AC360" t="s">
        <v>26</v>
      </c>
      <c r="AD360" t="s">
        <v>3431</v>
      </c>
      <c r="AE360" t="s">
        <v>3432</v>
      </c>
      <c r="AF360" t="s">
        <v>29</v>
      </c>
      <c r="AG360" t="s">
        <v>30</v>
      </c>
      <c r="AH360" t="s">
        <v>31</v>
      </c>
      <c r="AK360" t="s">
        <v>3431</v>
      </c>
      <c r="AL360" t="s">
        <v>1967</v>
      </c>
      <c r="AM360" t="s">
        <v>3408</v>
      </c>
      <c r="AN360" s="8">
        <v>17.13975</v>
      </c>
      <c r="AO360">
        <v>199.694880401046</v>
      </c>
      <c r="AP360">
        <v>1552</v>
      </c>
      <c r="AQ360" s="9">
        <v>0.362140681748567</v>
      </c>
      <c r="AR360" t="s">
        <v>656</v>
      </c>
      <c r="AT360" s="15" t="s">
        <v>69</v>
      </c>
      <c r="AW360" s="11" t="str">
        <f t="shared" si="38"/>
        <v>EN_WOF_36_c02_ESP</v>
      </c>
      <c r="AX360" s="11">
        <f t="shared" si="39"/>
        <v>1552</v>
      </c>
      <c r="AY360" s="11">
        <f t="shared" si="40"/>
        <v>1552</v>
      </c>
      <c r="AZ360" s="17">
        <v>3</v>
      </c>
      <c r="BA360">
        <f t="shared" si="41"/>
        <v>15.52</v>
      </c>
    </row>
    <row r="361" spans="2:53">
      <c r="B361" t="s">
        <v>26</v>
      </c>
      <c r="C361" t="s">
        <v>3433</v>
      </c>
      <c r="D361" t="s">
        <v>3434</v>
      </c>
      <c r="E361" t="s">
        <v>29</v>
      </c>
      <c r="F361" t="s">
        <v>30</v>
      </c>
      <c r="G361" t="s">
        <v>31</v>
      </c>
      <c r="J361" t="s">
        <v>3433</v>
      </c>
      <c r="K361" t="s">
        <v>1967</v>
      </c>
      <c r="L361" t="s">
        <v>2422</v>
      </c>
      <c r="M361" s="8">
        <v>2.8185</v>
      </c>
      <c r="N361">
        <v>80.7856561622413</v>
      </c>
      <c r="O361">
        <v>2430</v>
      </c>
      <c r="P361" s="9">
        <v>0.418498935604045</v>
      </c>
      <c r="Q361" t="s">
        <v>310</v>
      </c>
      <c r="T361" s="15" t="s">
        <v>119</v>
      </c>
      <c r="W361" s="16" t="str">
        <f t="shared" si="35"/>
        <v>EN_WON_42_c02_CAN</v>
      </c>
      <c r="X361" s="12">
        <f t="shared" si="36"/>
        <v>2430</v>
      </c>
      <c r="Y361" s="11">
        <f t="shared" si="37"/>
        <v>2430</v>
      </c>
      <c r="AC361" t="s">
        <v>26</v>
      </c>
      <c r="AD361" t="s">
        <v>3435</v>
      </c>
      <c r="AE361" t="s">
        <v>3436</v>
      </c>
      <c r="AF361" t="s">
        <v>29</v>
      </c>
      <c r="AG361" t="s">
        <v>30</v>
      </c>
      <c r="AH361" t="s">
        <v>31</v>
      </c>
      <c r="AK361" t="s">
        <v>3435</v>
      </c>
      <c r="AL361" t="s">
        <v>1967</v>
      </c>
      <c r="AM361" t="s">
        <v>3408</v>
      </c>
      <c r="AN361" s="8">
        <v>23.45625</v>
      </c>
      <c r="AO361">
        <v>199.694880401046</v>
      </c>
      <c r="AP361">
        <v>1552</v>
      </c>
      <c r="AQ361" s="9">
        <v>0.368669896083133</v>
      </c>
      <c r="AR361" t="s">
        <v>656</v>
      </c>
      <c r="AT361" s="15" t="s">
        <v>69</v>
      </c>
      <c r="AW361" s="11" t="str">
        <f t="shared" si="38"/>
        <v>EN_WOF_37_c02_ESP</v>
      </c>
      <c r="AX361" s="11">
        <f t="shared" si="39"/>
        <v>1552</v>
      </c>
      <c r="AY361" s="11">
        <f t="shared" si="40"/>
        <v>1552</v>
      </c>
      <c r="AZ361" s="17">
        <v>3</v>
      </c>
      <c r="BA361">
        <f t="shared" si="41"/>
        <v>15.52</v>
      </c>
    </row>
    <row r="362" spans="2:53">
      <c r="B362" t="s">
        <v>26</v>
      </c>
      <c r="C362" t="s">
        <v>3437</v>
      </c>
      <c r="D362" t="s">
        <v>3438</v>
      </c>
      <c r="E362" t="s">
        <v>29</v>
      </c>
      <c r="F362" t="s">
        <v>30</v>
      </c>
      <c r="G362" t="s">
        <v>31</v>
      </c>
      <c r="J362" t="s">
        <v>3437</v>
      </c>
      <c r="K362" t="s">
        <v>1967</v>
      </c>
      <c r="L362" t="s">
        <v>2422</v>
      </c>
      <c r="M362" s="8">
        <v>1.689</v>
      </c>
      <c r="N362">
        <v>105.747516212372</v>
      </c>
      <c r="O362">
        <v>2430</v>
      </c>
      <c r="P362" s="9">
        <v>0.418458703374778</v>
      </c>
      <c r="Q362" t="s">
        <v>310</v>
      </c>
      <c r="T362" s="15" t="s">
        <v>119</v>
      </c>
      <c r="W362" s="16" t="str">
        <f t="shared" si="35"/>
        <v>EN_WON_42_c03_CAN</v>
      </c>
      <c r="X362" s="12">
        <f t="shared" si="36"/>
        <v>2430</v>
      </c>
      <c r="Y362" s="11">
        <f t="shared" si="37"/>
        <v>2430</v>
      </c>
      <c r="AC362" t="s">
        <v>26</v>
      </c>
      <c r="AD362" t="s">
        <v>3439</v>
      </c>
      <c r="AE362" t="s">
        <v>3440</v>
      </c>
      <c r="AF362" t="s">
        <v>29</v>
      </c>
      <c r="AG362" t="s">
        <v>30</v>
      </c>
      <c r="AH362" t="s">
        <v>31</v>
      </c>
      <c r="AK362" t="s">
        <v>3439</v>
      </c>
      <c r="AL362" t="s">
        <v>1967</v>
      </c>
      <c r="AM362" t="s">
        <v>3408</v>
      </c>
      <c r="AN362" s="8">
        <v>15.1215</v>
      </c>
      <c r="AO362">
        <v>199.694880401046</v>
      </c>
      <c r="AP362">
        <v>1552</v>
      </c>
      <c r="AQ362" s="9">
        <v>0.380873375657177</v>
      </c>
      <c r="AR362" t="s">
        <v>656</v>
      </c>
      <c r="AT362" s="15" t="s">
        <v>69</v>
      </c>
      <c r="AW362" s="11" t="str">
        <f t="shared" si="38"/>
        <v>EN_WOF_38_c02_ESP</v>
      </c>
      <c r="AX362" s="11">
        <f t="shared" si="39"/>
        <v>1552</v>
      </c>
      <c r="AY362" s="11">
        <f t="shared" si="40"/>
        <v>1552</v>
      </c>
      <c r="AZ362" s="17">
        <v>3</v>
      </c>
      <c r="BA362">
        <f t="shared" si="41"/>
        <v>15.52</v>
      </c>
    </row>
    <row r="363" spans="2:53">
      <c r="B363" t="s">
        <v>26</v>
      </c>
      <c r="C363" t="s">
        <v>3441</v>
      </c>
      <c r="D363" t="s">
        <v>3442</v>
      </c>
      <c r="E363" t="s">
        <v>29</v>
      </c>
      <c r="F363" t="s">
        <v>30</v>
      </c>
      <c r="G363" t="s">
        <v>31</v>
      </c>
      <c r="J363" t="s">
        <v>3441</v>
      </c>
      <c r="K363" t="s">
        <v>1967</v>
      </c>
      <c r="L363" t="s">
        <v>2422</v>
      </c>
      <c r="M363" s="8">
        <v>34.62</v>
      </c>
      <c r="N363">
        <v>145.23264029167</v>
      </c>
      <c r="O363">
        <v>2430</v>
      </c>
      <c r="P363" s="9">
        <v>0.419637694974003</v>
      </c>
      <c r="Q363" t="s">
        <v>310</v>
      </c>
      <c r="T363" s="15" t="s">
        <v>119</v>
      </c>
      <c r="W363" s="16" t="str">
        <f t="shared" si="35"/>
        <v>EN_WON_42_c04_CAN</v>
      </c>
      <c r="X363" s="12">
        <f t="shared" si="36"/>
        <v>2430</v>
      </c>
      <c r="Y363" s="11">
        <f t="shared" si="37"/>
        <v>2430</v>
      </c>
      <c r="AC363" t="s">
        <v>26</v>
      </c>
      <c r="AD363" t="s">
        <v>3443</v>
      </c>
      <c r="AE363" t="s">
        <v>3444</v>
      </c>
      <c r="AF363" t="s">
        <v>29</v>
      </c>
      <c r="AG363" t="s">
        <v>30</v>
      </c>
      <c r="AH363" t="s">
        <v>31</v>
      </c>
      <c r="AK363" t="s">
        <v>3443</v>
      </c>
      <c r="AL363" t="s">
        <v>1967</v>
      </c>
      <c r="AM363" t="s">
        <v>3408</v>
      </c>
      <c r="AN363" s="8">
        <v>6.846</v>
      </c>
      <c r="AO363">
        <v>199.694880401046</v>
      </c>
      <c r="AP363">
        <v>1552</v>
      </c>
      <c r="AQ363" s="9">
        <v>0.387487949167397</v>
      </c>
      <c r="AR363" t="s">
        <v>656</v>
      </c>
      <c r="AT363" s="15" t="s">
        <v>69</v>
      </c>
      <c r="AW363" s="11" t="str">
        <f t="shared" si="38"/>
        <v>EN_WOF_39_c02_ESP</v>
      </c>
      <c r="AX363" s="11">
        <f t="shared" si="39"/>
        <v>1552</v>
      </c>
      <c r="AY363" s="11">
        <f t="shared" si="40"/>
        <v>1552</v>
      </c>
      <c r="AZ363" s="17">
        <v>3</v>
      </c>
      <c r="BA363">
        <f t="shared" si="41"/>
        <v>15.52</v>
      </c>
    </row>
    <row r="364" spans="2:53">
      <c r="B364" t="s">
        <v>26</v>
      </c>
      <c r="C364" t="s">
        <v>3445</v>
      </c>
      <c r="D364" t="s">
        <v>3446</v>
      </c>
      <c r="E364" t="s">
        <v>29</v>
      </c>
      <c r="F364" t="s">
        <v>30</v>
      </c>
      <c r="G364" t="s">
        <v>31</v>
      </c>
      <c r="J364" t="s">
        <v>3445</v>
      </c>
      <c r="K364" t="s">
        <v>1967</v>
      </c>
      <c r="L364" t="s">
        <v>2422</v>
      </c>
      <c r="M364" s="8">
        <v>7.7325</v>
      </c>
      <c r="N364">
        <v>0</v>
      </c>
      <c r="O364">
        <v>2430</v>
      </c>
      <c r="P364" s="9">
        <v>0.427671193016489</v>
      </c>
      <c r="Q364" t="s">
        <v>310</v>
      </c>
      <c r="T364" s="15" t="s">
        <v>119</v>
      </c>
      <c r="W364" s="16" t="str">
        <f t="shared" si="35"/>
        <v>EN_WON_43_c01_CAN</v>
      </c>
      <c r="X364" s="12">
        <f t="shared" si="36"/>
        <v>2430</v>
      </c>
      <c r="Y364" s="11">
        <f t="shared" si="37"/>
        <v>2430</v>
      </c>
      <c r="AC364" t="s">
        <v>26</v>
      </c>
      <c r="AD364" t="s">
        <v>3447</v>
      </c>
      <c r="AE364" t="s">
        <v>3448</v>
      </c>
      <c r="AF364" t="s">
        <v>29</v>
      </c>
      <c r="AG364" t="s">
        <v>30</v>
      </c>
      <c r="AH364" t="s">
        <v>31</v>
      </c>
      <c r="AK364" t="s">
        <v>3447</v>
      </c>
      <c r="AL364" t="s">
        <v>1967</v>
      </c>
      <c r="AM364" t="s">
        <v>3408</v>
      </c>
      <c r="AN364" s="8">
        <v>5.415</v>
      </c>
      <c r="AO364">
        <v>199.694880401046</v>
      </c>
      <c r="AP364">
        <v>1552</v>
      </c>
      <c r="AQ364" s="9">
        <v>0.401696398891967</v>
      </c>
      <c r="AR364" t="s">
        <v>656</v>
      </c>
      <c r="AT364" s="15" t="s">
        <v>69</v>
      </c>
      <c r="AW364" s="11" t="str">
        <f t="shared" si="38"/>
        <v>EN_WOF_40_c02_ESP</v>
      </c>
      <c r="AX364" s="11">
        <f t="shared" si="39"/>
        <v>1552</v>
      </c>
      <c r="AY364" s="11">
        <f t="shared" si="40"/>
        <v>1552</v>
      </c>
      <c r="AZ364" s="17">
        <v>3</v>
      </c>
      <c r="BA364">
        <f t="shared" si="41"/>
        <v>15.52</v>
      </c>
    </row>
    <row r="365" spans="2:53">
      <c r="B365" t="s">
        <v>26</v>
      </c>
      <c r="C365" t="s">
        <v>3449</v>
      </c>
      <c r="D365" t="s">
        <v>3450</v>
      </c>
      <c r="E365" t="s">
        <v>29</v>
      </c>
      <c r="F365" t="s">
        <v>30</v>
      </c>
      <c r="G365" t="s">
        <v>31</v>
      </c>
      <c r="J365" t="s">
        <v>3449</v>
      </c>
      <c r="K365" t="s">
        <v>1967</v>
      </c>
      <c r="L365" t="s">
        <v>2422</v>
      </c>
      <c r="M365" s="8">
        <v>3.471</v>
      </c>
      <c r="N365">
        <v>80.7856561622413</v>
      </c>
      <c r="O365">
        <v>2430</v>
      </c>
      <c r="P365" s="9">
        <v>0.42949654278306</v>
      </c>
      <c r="Q365" t="s">
        <v>310</v>
      </c>
      <c r="T365" s="15" t="s">
        <v>119</v>
      </c>
      <c r="W365" s="16" t="str">
        <f t="shared" si="35"/>
        <v>EN_WON_43_c02_CAN</v>
      </c>
      <c r="X365" s="12">
        <f t="shared" si="36"/>
        <v>2430</v>
      </c>
      <c r="Y365" s="11">
        <f t="shared" si="37"/>
        <v>2430</v>
      </c>
      <c r="AC365" t="s">
        <v>26</v>
      </c>
      <c r="AD365" t="s">
        <v>3451</v>
      </c>
      <c r="AE365" t="s">
        <v>3452</v>
      </c>
      <c r="AF365" t="s">
        <v>29</v>
      </c>
      <c r="AG365" t="s">
        <v>30</v>
      </c>
      <c r="AH365" t="s">
        <v>31</v>
      </c>
      <c r="AK365" t="s">
        <v>3451</v>
      </c>
      <c r="AL365" t="s">
        <v>1967</v>
      </c>
      <c r="AM365" t="s">
        <v>3408</v>
      </c>
      <c r="AN365" s="8">
        <v>11.34225</v>
      </c>
      <c r="AO365">
        <v>199.694880401046</v>
      </c>
      <c r="AP365">
        <v>1552</v>
      </c>
      <c r="AQ365" s="9">
        <v>0.407495272102096</v>
      </c>
      <c r="AR365" t="s">
        <v>656</v>
      </c>
      <c r="AT365" s="15" t="s">
        <v>69</v>
      </c>
      <c r="AW365" s="11" t="str">
        <f t="shared" si="38"/>
        <v>EN_WOF_41_c02_ESP</v>
      </c>
      <c r="AX365" s="11">
        <f t="shared" si="39"/>
        <v>1552</v>
      </c>
      <c r="AY365" s="11">
        <f t="shared" si="40"/>
        <v>1552</v>
      </c>
      <c r="AZ365" s="17">
        <v>3</v>
      </c>
      <c r="BA365">
        <f t="shared" si="41"/>
        <v>15.52</v>
      </c>
    </row>
    <row r="366" spans="2:53">
      <c r="B366" t="s">
        <v>26</v>
      </c>
      <c r="C366" t="s">
        <v>3453</v>
      </c>
      <c r="D366" t="s">
        <v>3454</v>
      </c>
      <c r="E366" t="s">
        <v>29</v>
      </c>
      <c r="F366" t="s">
        <v>30</v>
      </c>
      <c r="G366" t="s">
        <v>31</v>
      </c>
      <c r="J366" t="s">
        <v>3453</v>
      </c>
      <c r="K366" t="s">
        <v>1967</v>
      </c>
      <c r="L366" t="s">
        <v>2422</v>
      </c>
      <c r="M366" s="8">
        <v>5.12475</v>
      </c>
      <c r="N366">
        <v>105.747516212372</v>
      </c>
      <c r="O366">
        <v>2430</v>
      </c>
      <c r="P366" s="9">
        <v>0.430347138884824</v>
      </c>
      <c r="Q366" t="s">
        <v>310</v>
      </c>
      <c r="T366" s="15" t="s">
        <v>119</v>
      </c>
      <c r="W366" s="16" t="str">
        <f t="shared" si="35"/>
        <v>EN_WON_43_c03_CAN</v>
      </c>
      <c r="X366" s="12">
        <f t="shared" si="36"/>
        <v>2430</v>
      </c>
      <c r="Y366" s="11">
        <f t="shared" si="37"/>
        <v>2430</v>
      </c>
      <c r="AC366" t="s">
        <v>26</v>
      </c>
      <c r="AD366" t="s">
        <v>3455</v>
      </c>
      <c r="AE366" t="s">
        <v>3456</v>
      </c>
      <c r="AF366" t="s">
        <v>29</v>
      </c>
      <c r="AG366" t="s">
        <v>30</v>
      </c>
      <c r="AH366" t="s">
        <v>31</v>
      </c>
      <c r="AK366" t="s">
        <v>3455</v>
      </c>
      <c r="AL366" t="s">
        <v>1967</v>
      </c>
      <c r="AM366" t="s">
        <v>3408</v>
      </c>
      <c r="AN366" s="8">
        <v>18.1125</v>
      </c>
      <c r="AO366">
        <v>199.694880401046</v>
      </c>
      <c r="AP366">
        <v>1552</v>
      </c>
      <c r="AQ366" s="9">
        <v>0.41999867494824</v>
      </c>
      <c r="AR366" t="s">
        <v>656</v>
      </c>
      <c r="AT366" s="15" t="s">
        <v>69</v>
      </c>
      <c r="AW366" s="11" t="str">
        <f t="shared" si="38"/>
        <v>EN_WOF_42_c02_ESP</v>
      </c>
      <c r="AX366" s="11">
        <f t="shared" si="39"/>
        <v>1552</v>
      </c>
      <c r="AY366" s="11">
        <f t="shared" si="40"/>
        <v>1552</v>
      </c>
      <c r="AZ366" s="17">
        <v>3</v>
      </c>
      <c r="BA366">
        <f t="shared" si="41"/>
        <v>15.52</v>
      </c>
    </row>
    <row r="367" spans="2:53">
      <c r="B367" t="s">
        <v>26</v>
      </c>
      <c r="C367" t="s">
        <v>3457</v>
      </c>
      <c r="D367" t="s">
        <v>3458</v>
      </c>
      <c r="E367" t="s">
        <v>29</v>
      </c>
      <c r="F367" t="s">
        <v>30</v>
      </c>
      <c r="G367" t="s">
        <v>31</v>
      </c>
      <c r="J367" t="s">
        <v>3457</v>
      </c>
      <c r="K367" t="s">
        <v>1967</v>
      </c>
      <c r="L367" t="s">
        <v>2422</v>
      </c>
      <c r="M367" s="8">
        <v>46.89375</v>
      </c>
      <c r="N367">
        <v>145.23264029167</v>
      </c>
      <c r="O367">
        <v>2430</v>
      </c>
      <c r="P367" s="9">
        <v>0.429735961615354</v>
      </c>
      <c r="Q367" t="s">
        <v>310</v>
      </c>
      <c r="T367" s="15" t="s">
        <v>119</v>
      </c>
      <c r="W367" s="16" t="str">
        <f t="shared" si="35"/>
        <v>EN_WON_43_c04_CAN</v>
      </c>
      <c r="X367" s="12">
        <f t="shared" si="36"/>
        <v>2430</v>
      </c>
      <c r="Y367" s="11">
        <f t="shared" si="37"/>
        <v>2430</v>
      </c>
      <c r="AC367" t="s">
        <v>26</v>
      </c>
      <c r="AD367" t="s">
        <v>3459</v>
      </c>
      <c r="AE367" t="s">
        <v>3460</v>
      </c>
      <c r="AF367" t="s">
        <v>29</v>
      </c>
      <c r="AG367" t="s">
        <v>30</v>
      </c>
      <c r="AH367" t="s">
        <v>31</v>
      </c>
      <c r="AK367" t="s">
        <v>3459</v>
      </c>
      <c r="AL367" t="s">
        <v>1967</v>
      </c>
      <c r="AM367" t="s">
        <v>3408</v>
      </c>
      <c r="AN367" s="8">
        <v>8.3715</v>
      </c>
      <c r="AO367">
        <v>199.694880401046</v>
      </c>
      <c r="AP367">
        <v>1552</v>
      </c>
      <c r="AQ367" s="9">
        <v>0.439040673714388</v>
      </c>
      <c r="AR367" t="s">
        <v>656</v>
      </c>
      <c r="AT367" s="15" t="s">
        <v>69</v>
      </c>
      <c r="AW367" s="11" t="str">
        <f t="shared" si="38"/>
        <v>EN_WOF_44_c02_ESP</v>
      </c>
      <c r="AX367" s="11">
        <f t="shared" si="39"/>
        <v>1552</v>
      </c>
      <c r="AY367" s="11">
        <f t="shared" si="40"/>
        <v>1552</v>
      </c>
      <c r="AZ367" s="17">
        <v>3</v>
      </c>
      <c r="BA367">
        <f t="shared" si="41"/>
        <v>15.52</v>
      </c>
    </row>
    <row r="368" spans="2:53">
      <c r="B368" t="s">
        <v>26</v>
      </c>
      <c r="C368" t="s">
        <v>3461</v>
      </c>
      <c r="D368" t="s">
        <v>3462</v>
      </c>
      <c r="E368" t="s">
        <v>29</v>
      </c>
      <c r="F368" t="s">
        <v>30</v>
      </c>
      <c r="G368" t="s">
        <v>31</v>
      </c>
      <c r="J368" t="s">
        <v>3461</v>
      </c>
      <c r="K368" t="s">
        <v>1967</v>
      </c>
      <c r="L368" t="s">
        <v>2422</v>
      </c>
      <c r="M368" s="8">
        <v>1.2945</v>
      </c>
      <c r="N368">
        <v>0</v>
      </c>
      <c r="O368">
        <v>2430</v>
      </c>
      <c r="P368" s="9">
        <v>0.437533603707995</v>
      </c>
      <c r="Q368" t="s">
        <v>310</v>
      </c>
      <c r="T368" s="15" t="s">
        <v>119</v>
      </c>
      <c r="W368" s="16" t="str">
        <f t="shared" si="35"/>
        <v>EN_WON_44_c01_CAN</v>
      </c>
      <c r="X368" s="12">
        <f t="shared" si="36"/>
        <v>2430</v>
      </c>
      <c r="Y368" s="11">
        <f t="shared" si="37"/>
        <v>2430</v>
      </c>
      <c r="AC368" t="s">
        <v>26</v>
      </c>
      <c r="AD368" t="s">
        <v>3463</v>
      </c>
      <c r="AE368" t="s">
        <v>3464</v>
      </c>
      <c r="AF368" t="s">
        <v>29</v>
      </c>
      <c r="AG368" t="s">
        <v>30</v>
      </c>
      <c r="AH368" t="s">
        <v>31</v>
      </c>
      <c r="AK368" t="s">
        <v>3463</v>
      </c>
      <c r="AL368" t="s">
        <v>1967</v>
      </c>
      <c r="AM368" t="s">
        <v>3408</v>
      </c>
      <c r="AN368" s="8">
        <v>3.2475</v>
      </c>
      <c r="AO368">
        <v>199.694880401046</v>
      </c>
      <c r="AP368">
        <v>1552</v>
      </c>
      <c r="AQ368" s="9">
        <v>0.451598152424942</v>
      </c>
      <c r="AR368" t="s">
        <v>656</v>
      </c>
      <c r="AT368" s="15" t="s">
        <v>69</v>
      </c>
      <c r="AW368" s="11" t="str">
        <f t="shared" si="38"/>
        <v>EN_WOF_45_c02_ESP</v>
      </c>
      <c r="AX368" s="11">
        <f t="shared" si="39"/>
        <v>1552</v>
      </c>
      <c r="AY368" s="11">
        <f t="shared" si="40"/>
        <v>1552</v>
      </c>
      <c r="AZ368" s="17">
        <v>3</v>
      </c>
      <c r="BA368">
        <f t="shared" si="41"/>
        <v>15.52</v>
      </c>
    </row>
    <row r="369" spans="2:53">
      <c r="B369" t="s">
        <v>26</v>
      </c>
      <c r="C369" t="s">
        <v>3465</v>
      </c>
      <c r="D369" t="s">
        <v>3466</v>
      </c>
      <c r="E369" t="s">
        <v>29</v>
      </c>
      <c r="F369" t="s">
        <v>30</v>
      </c>
      <c r="G369" t="s">
        <v>31</v>
      </c>
      <c r="J369" t="s">
        <v>3465</v>
      </c>
      <c r="K369" t="s">
        <v>1967</v>
      </c>
      <c r="L369" t="s">
        <v>2422</v>
      </c>
      <c r="M369" s="8">
        <v>2.20125</v>
      </c>
      <c r="N369">
        <v>80.7856561622413</v>
      </c>
      <c r="O369">
        <v>2430</v>
      </c>
      <c r="P369" s="9">
        <v>0.43869199318569</v>
      </c>
      <c r="Q369" t="s">
        <v>310</v>
      </c>
      <c r="T369" s="15" t="s">
        <v>119</v>
      </c>
      <c r="W369" s="16" t="str">
        <f t="shared" si="35"/>
        <v>EN_WON_44_c02_CAN</v>
      </c>
      <c r="X369" s="12">
        <f t="shared" si="36"/>
        <v>2430</v>
      </c>
      <c r="Y369" s="11">
        <f t="shared" si="37"/>
        <v>2430</v>
      </c>
      <c r="AC369" t="s">
        <v>26</v>
      </c>
      <c r="AD369" t="s">
        <v>3467</v>
      </c>
      <c r="AE369" t="s">
        <v>3468</v>
      </c>
      <c r="AF369" t="s">
        <v>29</v>
      </c>
      <c r="AG369" t="s">
        <v>30</v>
      </c>
      <c r="AH369" t="s">
        <v>31</v>
      </c>
      <c r="AK369" t="s">
        <v>3467</v>
      </c>
      <c r="AL369" t="s">
        <v>1967</v>
      </c>
      <c r="AM369" t="s">
        <v>3408</v>
      </c>
      <c r="AN369" s="8">
        <v>7.446</v>
      </c>
      <c r="AO369">
        <v>199.694880401046</v>
      </c>
      <c r="AP369">
        <v>1552</v>
      </c>
      <c r="AQ369" s="9">
        <v>0.461936140209508</v>
      </c>
      <c r="AR369" t="s">
        <v>656</v>
      </c>
      <c r="AT369" s="15" t="s">
        <v>69</v>
      </c>
      <c r="AW369" s="11" t="str">
        <f t="shared" si="38"/>
        <v>EN_WOF_46_c02_ESP</v>
      </c>
      <c r="AX369" s="11">
        <f t="shared" si="39"/>
        <v>1552</v>
      </c>
      <c r="AY369" s="11">
        <f t="shared" si="40"/>
        <v>1552</v>
      </c>
      <c r="AZ369" s="17">
        <v>3</v>
      </c>
      <c r="BA369">
        <f t="shared" si="41"/>
        <v>15.52</v>
      </c>
    </row>
    <row r="370" spans="2:53">
      <c r="B370" t="s">
        <v>26</v>
      </c>
      <c r="C370" t="s">
        <v>3469</v>
      </c>
      <c r="D370" t="s">
        <v>3470</v>
      </c>
      <c r="E370" t="s">
        <v>29</v>
      </c>
      <c r="F370" t="s">
        <v>30</v>
      </c>
      <c r="G370" t="s">
        <v>31</v>
      </c>
      <c r="J370" t="s">
        <v>3469</v>
      </c>
      <c r="K370" t="s">
        <v>1967</v>
      </c>
      <c r="L370" t="s">
        <v>2422</v>
      </c>
      <c r="M370" s="8">
        <v>0.0165</v>
      </c>
      <c r="N370">
        <v>105.747516212372</v>
      </c>
      <c r="O370">
        <v>2430</v>
      </c>
      <c r="P370" s="9">
        <v>0.436</v>
      </c>
      <c r="Q370" t="s">
        <v>310</v>
      </c>
      <c r="T370" s="15" t="s">
        <v>119</v>
      </c>
      <c r="W370" s="16" t="str">
        <f t="shared" si="35"/>
        <v>EN_WON_44_c03_CAN</v>
      </c>
      <c r="X370" s="12">
        <f t="shared" si="36"/>
        <v>2430</v>
      </c>
      <c r="Y370" s="11">
        <f t="shared" si="37"/>
        <v>2430</v>
      </c>
      <c r="AC370" t="s">
        <v>26</v>
      </c>
      <c r="AD370" t="s">
        <v>3471</v>
      </c>
      <c r="AE370" t="s">
        <v>3472</v>
      </c>
      <c r="AF370" t="s">
        <v>29</v>
      </c>
      <c r="AG370" t="s">
        <v>30</v>
      </c>
      <c r="AH370" t="s">
        <v>31</v>
      </c>
      <c r="AK370" t="s">
        <v>3471</v>
      </c>
      <c r="AL370" t="s">
        <v>1967</v>
      </c>
      <c r="AM370" t="s">
        <v>3408</v>
      </c>
      <c r="AN370" s="8">
        <v>19.75575</v>
      </c>
      <c r="AO370">
        <v>199.694880401046</v>
      </c>
      <c r="AP370">
        <v>1552</v>
      </c>
      <c r="AQ370" s="9">
        <v>0.470643255760981</v>
      </c>
      <c r="AR370" t="s">
        <v>656</v>
      </c>
      <c r="AT370" s="15" t="s">
        <v>69</v>
      </c>
      <c r="AW370" s="11" t="str">
        <f t="shared" si="38"/>
        <v>EN_WOF_47_c02_ESP</v>
      </c>
      <c r="AX370" s="11">
        <f t="shared" si="39"/>
        <v>1552</v>
      </c>
      <c r="AY370" s="11">
        <f t="shared" si="40"/>
        <v>1552</v>
      </c>
      <c r="AZ370" s="17">
        <v>3</v>
      </c>
      <c r="BA370">
        <f t="shared" si="41"/>
        <v>15.52</v>
      </c>
    </row>
    <row r="371" spans="2:53">
      <c r="B371" t="s">
        <v>26</v>
      </c>
      <c r="C371" t="s">
        <v>3473</v>
      </c>
      <c r="D371" t="s">
        <v>3474</v>
      </c>
      <c r="E371" t="s">
        <v>29</v>
      </c>
      <c r="F371" t="s">
        <v>30</v>
      </c>
      <c r="G371" t="s">
        <v>31</v>
      </c>
      <c r="J371" t="s">
        <v>3473</v>
      </c>
      <c r="K371" t="s">
        <v>1967</v>
      </c>
      <c r="L371" t="s">
        <v>2422</v>
      </c>
      <c r="M371" s="8">
        <v>26.87175</v>
      </c>
      <c r="N371">
        <v>145.23264029167</v>
      </c>
      <c r="O371">
        <v>2430</v>
      </c>
      <c r="P371" s="9">
        <v>0.438519634932596</v>
      </c>
      <c r="Q371" t="s">
        <v>310</v>
      </c>
      <c r="T371" s="15" t="s">
        <v>119</v>
      </c>
      <c r="W371" s="16" t="str">
        <f t="shared" si="35"/>
        <v>EN_WON_44_c04_CAN</v>
      </c>
      <c r="X371" s="12">
        <f t="shared" si="36"/>
        <v>2430</v>
      </c>
      <c r="Y371" s="11">
        <f t="shared" si="37"/>
        <v>2430</v>
      </c>
      <c r="AC371" t="s">
        <v>26</v>
      </c>
      <c r="AD371" t="s">
        <v>3475</v>
      </c>
      <c r="AE371" t="s">
        <v>3476</v>
      </c>
      <c r="AF371" t="s">
        <v>29</v>
      </c>
      <c r="AG371" t="s">
        <v>30</v>
      </c>
      <c r="AH371" t="s">
        <v>31</v>
      </c>
      <c r="AK371" t="s">
        <v>3475</v>
      </c>
      <c r="AL371" t="s">
        <v>1967</v>
      </c>
      <c r="AM371" t="s">
        <v>3408</v>
      </c>
      <c r="AN371" s="8">
        <v>19.25625</v>
      </c>
      <c r="AO371">
        <v>199.694880401046</v>
      </c>
      <c r="AP371">
        <v>1552</v>
      </c>
      <c r="AQ371" s="9">
        <v>0.481622395326193</v>
      </c>
      <c r="AR371" t="s">
        <v>656</v>
      </c>
      <c r="AT371" s="15" t="s">
        <v>69</v>
      </c>
      <c r="AW371" s="11" t="str">
        <f t="shared" si="38"/>
        <v>EN_WOF_48_c02_ESP</v>
      </c>
      <c r="AX371" s="11">
        <f t="shared" si="39"/>
        <v>1552</v>
      </c>
      <c r="AY371" s="11">
        <f t="shared" si="40"/>
        <v>1552</v>
      </c>
      <c r="AZ371" s="17">
        <v>3</v>
      </c>
      <c r="BA371">
        <f t="shared" si="41"/>
        <v>15.52</v>
      </c>
    </row>
    <row r="372" spans="2:53">
      <c r="B372" t="s">
        <v>26</v>
      </c>
      <c r="C372" t="s">
        <v>3477</v>
      </c>
      <c r="D372" t="s">
        <v>3478</v>
      </c>
      <c r="E372" t="s">
        <v>29</v>
      </c>
      <c r="F372" t="s">
        <v>30</v>
      </c>
      <c r="G372" t="s">
        <v>31</v>
      </c>
      <c r="J372" t="s">
        <v>3477</v>
      </c>
      <c r="K372" t="s">
        <v>1967</v>
      </c>
      <c r="L372" t="s">
        <v>2422</v>
      </c>
      <c r="M372" s="8">
        <v>1.0215</v>
      </c>
      <c r="N372">
        <v>0</v>
      </c>
      <c r="O372">
        <v>2430</v>
      </c>
      <c r="P372" s="9">
        <v>0.449949339207048</v>
      </c>
      <c r="Q372" t="s">
        <v>310</v>
      </c>
      <c r="T372" s="15" t="s">
        <v>119</v>
      </c>
      <c r="W372" s="16" t="str">
        <f t="shared" si="35"/>
        <v>EN_WON_45_c01_CAN</v>
      </c>
      <c r="X372" s="12">
        <f t="shared" si="36"/>
        <v>2430</v>
      </c>
      <c r="Y372" s="11">
        <f t="shared" si="37"/>
        <v>2430</v>
      </c>
      <c r="AC372" t="s">
        <v>26</v>
      </c>
      <c r="AD372" t="s">
        <v>3479</v>
      </c>
      <c r="AE372" t="s">
        <v>3480</v>
      </c>
      <c r="AF372" t="s">
        <v>29</v>
      </c>
      <c r="AG372" t="s">
        <v>30</v>
      </c>
      <c r="AH372" t="s">
        <v>31</v>
      </c>
      <c r="AK372" t="s">
        <v>3479</v>
      </c>
      <c r="AL372" t="s">
        <v>1967</v>
      </c>
      <c r="AM372" t="s">
        <v>3408</v>
      </c>
      <c r="AN372" s="8">
        <v>8.718</v>
      </c>
      <c r="AO372">
        <v>199.694880401046</v>
      </c>
      <c r="AP372">
        <v>1552</v>
      </c>
      <c r="AQ372" s="9">
        <v>0.486505935994494</v>
      </c>
      <c r="AR372" t="s">
        <v>656</v>
      </c>
      <c r="AT372" s="15" t="s">
        <v>69</v>
      </c>
      <c r="AW372" s="11" t="str">
        <f t="shared" si="38"/>
        <v>EN_WOF_49_c02_ESP</v>
      </c>
      <c r="AX372" s="11">
        <f t="shared" si="39"/>
        <v>1552</v>
      </c>
      <c r="AY372" s="11">
        <f t="shared" si="40"/>
        <v>1552</v>
      </c>
      <c r="AZ372" s="17">
        <v>3</v>
      </c>
      <c r="BA372">
        <f t="shared" si="41"/>
        <v>15.52</v>
      </c>
    </row>
    <row r="373" spans="2:53">
      <c r="B373" t="s">
        <v>26</v>
      </c>
      <c r="C373" t="s">
        <v>3481</v>
      </c>
      <c r="D373" t="s">
        <v>3482</v>
      </c>
      <c r="E373" t="s">
        <v>29</v>
      </c>
      <c r="F373" t="s">
        <v>30</v>
      </c>
      <c r="G373" t="s">
        <v>31</v>
      </c>
      <c r="J373" t="s">
        <v>3481</v>
      </c>
      <c r="K373" t="s">
        <v>1967</v>
      </c>
      <c r="L373" t="s">
        <v>2422</v>
      </c>
      <c r="M373" s="8">
        <v>0.6165</v>
      </c>
      <c r="N373">
        <v>80.7856561622413</v>
      </c>
      <c r="O373">
        <v>2430</v>
      </c>
      <c r="P373" s="9">
        <v>0.449244525547445</v>
      </c>
      <c r="Q373" t="s">
        <v>310</v>
      </c>
      <c r="T373" s="15" t="s">
        <v>119</v>
      </c>
      <c r="W373" s="16" t="str">
        <f t="shared" si="35"/>
        <v>EN_WON_45_c02_CAN</v>
      </c>
      <c r="X373" s="12">
        <f t="shared" si="36"/>
        <v>2430</v>
      </c>
      <c r="Y373" s="11">
        <f t="shared" si="37"/>
        <v>2430</v>
      </c>
      <c r="AC373" t="s">
        <v>26</v>
      </c>
      <c r="AD373" t="s">
        <v>3483</v>
      </c>
      <c r="AE373" t="s">
        <v>3484</v>
      </c>
      <c r="AF373" t="s">
        <v>29</v>
      </c>
      <c r="AG373" t="s">
        <v>30</v>
      </c>
      <c r="AH373" t="s">
        <v>31</v>
      </c>
      <c r="AK373" t="s">
        <v>3483</v>
      </c>
      <c r="AL373" t="s">
        <v>1967</v>
      </c>
      <c r="AM373" t="s">
        <v>3485</v>
      </c>
      <c r="AN373" s="8">
        <v>3.048</v>
      </c>
      <c r="AO373">
        <v>199.694880401046</v>
      </c>
      <c r="AP373">
        <v>1637</v>
      </c>
      <c r="AQ373" s="9">
        <v>0.463</v>
      </c>
      <c r="AR373" t="s">
        <v>680</v>
      </c>
      <c r="AT373" s="15" t="s">
        <v>69</v>
      </c>
      <c r="AW373" s="11" t="str">
        <f t="shared" si="38"/>
        <v>EN_WOF_46_c02_EST</v>
      </c>
      <c r="AX373" s="11">
        <f t="shared" si="39"/>
        <v>1637</v>
      </c>
      <c r="AY373" s="11">
        <f t="shared" si="40"/>
        <v>1637</v>
      </c>
      <c r="AZ373" s="17">
        <v>3</v>
      </c>
      <c r="BA373">
        <f t="shared" si="41"/>
        <v>16.37</v>
      </c>
    </row>
    <row r="374" spans="2:53">
      <c r="B374" t="s">
        <v>26</v>
      </c>
      <c r="C374" t="s">
        <v>3486</v>
      </c>
      <c r="D374" t="s">
        <v>3487</v>
      </c>
      <c r="E374" t="s">
        <v>29</v>
      </c>
      <c r="F374" t="s">
        <v>30</v>
      </c>
      <c r="G374" t="s">
        <v>31</v>
      </c>
      <c r="J374" t="s">
        <v>3486</v>
      </c>
      <c r="K374" t="s">
        <v>1967</v>
      </c>
      <c r="L374" t="s">
        <v>2422</v>
      </c>
      <c r="M374" s="8">
        <v>1.905</v>
      </c>
      <c r="N374">
        <v>105.747516212372</v>
      </c>
      <c r="O374">
        <v>2430</v>
      </c>
      <c r="P374" s="9">
        <v>0.452009842519685</v>
      </c>
      <c r="Q374" t="s">
        <v>310</v>
      </c>
      <c r="T374" s="15" t="s">
        <v>119</v>
      </c>
      <c r="W374" s="16" t="str">
        <f t="shared" si="35"/>
        <v>EN_WON_45_c03_CAN</v>
      </c>
      <c r="X374" s="12">
        <f t="shared" si="36"/>
        <v>2430</v>
      </c>
      <c r="Y374" s="11">
        <f t="shared" si="37"/>
        <v>2430</v>
      </c>
      <c r="AC374" t="s">
        <v>26</v>
      </c>
      <c r="AD374" t="s">
        <v>3488</v>
      </c>
      <c r="AE374" t="s">
        <v>3489</v>
      </c>
      <c r="AF374" t="s">
        <v>29</v>
      </c>
      <c r="AG374" t="s">
        <v>30</v>
      </c>
      <c r="AH374" t="s">
        <v>31</v>
      </c>
      <c r="AK374" t="s">
        <v>3488</v>
      </c>
      <c r="AL374" t="s">
        <v>1967</v>
      </c>
      <c r="AM374" t="s">
        <v>3485</v>
      </c>
      <c r="AN374" s="8">
        <v>5.4285</v>
      </c>
      <c r="AO374">
        <v>199.694880401046</v>
      </c>
      <c r="AP374">
        <v>1637</v>
      </c>
      <c r="AQ374" s="9">
        <v>0.471265266648245</v>
      </c>
      <c r="AR374" t="s">
        <v>680</v>
      </c>
      <c r="AT374" s="15" t="s">
        <v>69</v>
      </c>
      <c r="AW374" s="11" t="str">
        <f t="shared" si="38"/>
        <v>EN_WOF_47_c02_EST</v>
      </c>
      <c r="AX374" s="11">
        <f t="shared" si="39"/>
        <v>1637</v>
      </c>
      <c r="AY374" s="11">
        <f t="shared" si="40"/>
        <v>1637</v>
      </c>
      <c r="AZ374" s="17">
        <v>3</v>
      </c>
      <c r="BA374">
        <f t="shared" si="41"/>
        <v>16.37</v>
      </c>
    </row>
    <row r="375" spans="2:53">
      <c r="B375" t="s">
        <v>26</v>
      </c>
      <c r="C375" t="s">
        <v>3490</v>
      </c>
      <c r="D375" t="s">
        <v>3491</v>
      </c>
      <c r="E375" t="s">
        <v>29</v>
      </c>
      <c r="F375" t="s">
        <v>30</v>
      </c>
      <c r="G375" t="s">
        <v>31</v>
      </c>
      <c r="J375" t="s">
        <v>3490</v>
      </c>
      <c r="K375" t="s">
        <v>1967</v>
      </c>
      <c r="L375" t="s">
        <v>2422</v>
      </c>
      <c r="M375" s="8">
        <v>18.62775</v>
      </c>
      <c r="N375">
        <v>145.23264029167</v>
      </c>
      <c r="O375">
        <v>2430</v>
      </c>
      <c r="P375" s="9">
        <v>0.451008777227524</v>
      </c>
      <c r="Q375" t="s">
        <v>310</v>
      </c>
      <c r="T375" s="15" t="s">
        <v>119</v>
      </c>
      <c r="W375" s="16" t="str">
        <f t="shared" si="35"/>
        <v>EN_WON_45_c04_CAN</v>
      </c>
      <c r="X375" s="12">
        <f t="shared" si="36"/>
        <v>2430</v>
      </c>
      <c r="Y375" s="11">
        <f t="shared" si="37"/>
        <v>2430</v>
      </c>
      <c r="AC375" t="s">
        <v>26</v>
      </c>
      <c r="AD375" t="s">
        <v>3492</v>
      </c>
      <c r="AE375" t="s">
        <v>3493</v>
      </c>
      <c r="AF375" t="s">
        <v>29</v>
      </c>
      <c r="AG375" t="s">
        <v>30</v>
      </c>
      <c r="AH375" t="s">
        <v>31</v>
      </c>
      <c r="AK375" t="s">
        <v>3492</v>
      </c>
      <c r="AL375" t="s">
        <v>1967</v>
      </c>
      <c r="AM375" t="s">
        <v>3485</v>
      </c>
      <c r="AN375" s="8">
        <v>76.45575</v>
      </c>
      <c r="AO375">
        <v>199.694880401046</v>
      </c>
      <c r="AP375">
        <v>1637</v>
      </c>
      <c r="AQ375" s="9">
        <v>0.480001432200979</v>
      </c>
      <c r="AR375" t="s">
        <v>680</v>
      </c>
      <c r="AT375" s="15" t="s">
        <v>69</v>
      </c>
      <c r="AW375" s="11" t="str">
        <f t="shared" si="38"/>
        <v>EN_WOF_48_c02_EST</v>
      </c>
      <c r="AX375" s="11">
        <f t="shared" si="39"/>
        <v>1637</v>
      </c>
      <c r="AY375" s="11">
        <f t="shared" si="40"/>
        <v>1637</v>
      </c>
      <c r="AZ375" s="17">
        <v>3</v>
      </c>
      <c r="BA375">
        <f t="shared" si="41"/>
        <v>16.37</v>
      </c>
    </row>
    <row r="376" spans="2:53">
      <c r="B376" t="s">
        <v>26</v>
      </c>
      <c r="C376" t="s">
        <v>3494</v>
      </c>
      <c r="D376" t="s">
        <v>3495</v>
      </c>
      <c r="E376" t="s">
        <v>29</v>
      </c>
      <c r="F376" t="s">
        <v>30</v>
      </c>
      <c r="G376" t="s">
        <v>31</v>
      </c>
      <c r="J376" t="s">
        <v>3494</v>
      </c>
      <c r="K376" t="s">
        <v>1967</v>
      </c>
      <c r="L376" t="s">
        <v>2422</v>
      </c>
      <c r="M376" s="8">
        <v>0.2715</v>
      </c>
      <c r="N376">
        <v>0</v>
      </c>
      <c r="O376">
        <v>2430</v>
      </c>
      <c r="P376" s="9">
        <v>0.463977900552486</v>
      </c>
      <c r="Q376" t="s">
        <v>310</v>
      </c>
      <c r="T376" s="15" t="s">
        <v>119</v>
      </c>
      <c r="W376" s="16" t="str">
        <f t="shared" si="35"/>
        <v>EN_WON_46_c01_CAN</v>
      </c>
      <c r="X376" s="12">
        <f t="shared" si="36"/>
        <v>2430</v>
      </c>
      <c r="Y376" s="11">
        <f t="shared" si="37"/>
        <v>2430</v>
      </c>
      <c r="AC376" t="s">
        <v>26</v>
      </c>
      <c r="AD376" t="s">
        <v>3496</v>
      </c>
      <c r="AE376" t="s">
        <v>3497</v>
      </c>
      <c r="AF376" t="s">
        <v>29</v>
      </c>
      <c r="AG376" t="s">
        <v>30</v>
      </c>
      <c r="AH376" t="s">
        <v>31</v>
      </c>
      <c r="AK376" t="s">
        <v>3496</v>
      </c>
      <c r="AL376" t="s">
        <v>1967</v>
      </c>
      <c r="AM376" t="s">
        <v>3485</v>
      </c>
      <c r="AN376" s="8">
        <v>10.653</v>
      </c>
      <c r="AO376">
        <v>199.694880401046</v>
      </c>
      <c r="AP376">
        <v>1637</v>
      </c>
      <c r="AQ376" s="9">
        <v>0.488524148127288</v>
      </c>
      <c r="AR376" t="s">
        <v>680</v>
      </c>
      <c r="AT376" s="15" t="s">
        <v>69</v>
      </c>
      <c r="AW376" s="11" t="str">
        <f t="shared" si="38"/>
        <v>EN_WOF_49_c02_EST</v>
      </c>
      <c r="AX376" s="11">
        <f t="shared" si="39"/>
        <v>1637</v>
      </c>
      <c r="AY376" s="11">
        <f t="shared" si="40"/>
        <v>1637</v>
      </c>
      <c r="AZ376" s="17">
        <v>3</v>
      </c>
      <c r="BA376">
        <f t="shared" si="41"/>
        <v>16.37</v>
      </c>
    </row>
    <row r="377" spans="2:53">
      <c r="B377" t="s">
        <v>26</v>
      </c>
      <c r="C377" t="s">
        <v>3498</v>
      </c>
      <c r="D377" t="s">
        <v>3499</v>
      </c>
      <c r="E377" t="s">
        <v>29</v>
      </c>
      <c r="F377" t="s">
        <v>30</v>
      </c>
      <c r="G377" t="s">
        <v>31</v>
      </c>
      <c r="J377" t="s">
        <v>3498</v>
      </c>
      <c r="K377" t="s">
        <v>1967</v>
      </c>
      <c r="L377" t="s">
        <v>2422</v>
      </c>
      <c r="M377" s="8">
        <v>0.1245</v>
      </c>
      <c r="N377">
        <v>80.7856561622413</v>
      </c>
      <c r="O377">
        <v>2430</v>
      </c>
      <c r="P377" s="9">
        <v>0.456</v>
      </c>
      <c r="Q377" t="s">
        <v>310</v>
      </c>
      <c r="T377" s="15" t="s">
        <v>119</v>
      </c>
      <c r="W377" s="16" t="str">
        <f t="shared" si="35"/>
        <v>EN_WON_46_c02_CAN</v>
      </c>
      <c r="X377" s="12">
        <f t="shared" si="36"/>
        <v>2430</v>
      </c>
      <c r="Y377" s="11">
        <f t="shared" si="37"/>
        <v>2430</v>
      </c>
      <c r="AC377" t="s">
        <v>26</v>
      </c>
      <c r="AD377" t="s">
        <v>3500</v>
      </c>
      <c r="AE377" t="s">
        <v>3501</v>
      </c>
      <c r="AF377" t="s">
        <v>29</v>
      </c>
      <c r="AG377" t="s">
        <v>30</v>
      </c>
      <c r="AH377" t="s">
        <v>31</v>
      </c>
      <c r="AK377" t="s">
        <v>3500</v>
      </c>
      <c r="AL377" t="s">
        <v>1967</v>
      </c>
      <c r="AM377" t="s">
        <v>3502</v>
      </c>
      <c r="AN377" s="8">
        <v>12.31275</v>
      </c>
      <c r="AO377">
        <v>199.694880401046</v>
      </c>
      <c r="AP377">
        <v>1805</v>
      </c>
      <c r="AQ377" s="9">
        <v>0.421785100810136</v>
      </c>
      <c r="AR377" t="s">
        <v>3503</v>
      </c>
      <c r="AT377" s="15" t="s">
        <v>69</v>
      </c>
      <c r="AW377" s="11" t="str">
        <f t="shared" si="38"/>
        <v>EN_WOF_42_c02_FIN</v>
      </c>
      <c r="AX377" s="11">
        <f t="shared" si="39"/>
        <v>1805</v>
      </c>
      <c r="AY377" s="11">
        <f t="shared" si="40"/>
        <v>1805</v>
      </c>
      <c r="AZ377" s="17">
        <v>3</v>
      </c>
      <c r="BA377">
        <f t="shared" si="41"/>
        <v>18.05</v>
      </c>
    </row>
    <row r="378" spans="2:53">
      <c r="B378" t="s">
        <v>26</v>
      </c>
      <c r="C378" t="s">
        <v>3504</v>
      </c>
      <c r="D378" t="s">
        <v>3505</v>
      </c>
      <c r="E378" t="s">
        <v>29</v>
      </c>
      <c r="F378" t="s">
        <v>30</v>
      </c>
      <c r="G378" t="s">
        <v>31</v>
      </c>
      <c r="J378" t="s">
        <v>3504</v>
      </c>
      <c r="K378" t="s">
        <v>1967</v>
      </c>
      <c r="L378" t="s">
        <v>2422</v>
      </c>
      <c r="M378" s="8">
        <v>0.49575</v>
      </c>
      <c r="N378">
        <v>105.747516212372</v>
      </c>
      <c r="O378">
        <v>2430</v>
      </c>
      <c r="P378" s="9">
        <v>0.463013615733737</v>
      </c>
      <c r="Q378" t="s">
        <v>310</v>
      </c>
      <c r="T378" s="15" t="s">
        <v>119</v>
      </c>
      <c r="W378" s="16" t="str">
        <f t="shared" si="35"/>
        <v>EN_WON_46_c03_CAN</v>
      </c>
      <c r="X378" s="12">
        <f t="shared" si="36"/>
        <v>2430</v>
      </c>
      <c r="Y378" s="11">
        <f t="shared" si="37"/>
        <v>2430</v>
      </c>
      <c r="AC378" t="s">
        <v>26</v>
      </c>
      <c r="AD378" t="s">
        <v>3506</v>
      </c>
      <c r="AE378" t="s">
        <v>3507</v>
      </c>
      <c r="AF378" t="s">
        <v>29</v>
      </c>
      <c r="AG378" t="s">
        <v>30</v>
      </c>
      <c r="AH378" t="s">
        <v>31</v>
      </c>
      <c r="AK378" t="s">
        <v>3506</v>
      </c>
      <c r="AL378" t="s">
        <v>1967</v>
      </c>
      <c r="AM378" t="s">
        <v>3502</v>
      </c>
      <c r="AN378" s="8">
        <v>18.138</v>
      </c>
      <c r="AO378">
        <v>199.694880401046</v>
      </c>
      <c r="AP378">
        <v>1805</v>
      </c>
      <c r="AQ378" s="9">
        <v>0.42963074760172</v>
      </c>
      <c r="AR378" t="s">
        <v>3503</v>
      </c>
      <c r="AT378" s="15" t="s">
        <v>69</v>
      </c>
      <c r="AW378" s="11" t="str">
        <f t="shared" si="38"/>
        <v>EN_WOF_43_c02_FIN</v>
      </c>
      <c r="AX378" s="11">
        <f t="shared" si="39"/>
        <v>1805</v>
      </c>
      <c r="AY378" s="11">
        <f t="shared" si="40"/>
        <v>1805</v>
      </c>
      <c r="AZ378" s="17">
        <v>3</v>
      </c>
      <c r="BA378">
        <f t="shared" si="41"/>
        <v>18.05</v>
      </c>
    </row>
    <row r="379" spans="2:53">
      <c r="B379" t="s">
        <v>26</v>
      </c>
      <c r="C379" t="s">
        <v>3508</v>
      </c>
      <c r="D379" t="s">
        <v>3509</v>
      </c>
      <c r="E379" t="s">
        <v>29</v>
      </c>
      <c r="F379" t="s">
        <v>30</v>
      </c>
      <c r="G379" t="s">
        <v>31</v>
      </c>
      <c r="J379" t="s">
        <v>3508</v>
      </c>
      <c r="K379" t="s">
        <v>1967</v>
      </c>
      <c r="L379" t="s">
        <v>2422</v>
      </c>
      <c r="M379" s="8">
        <v>10.8</v>
      </c>
      <c r="N379">
        <v>145.23264029167</v>
      </c>
      <c r="O379">
        <v>2430</v>
      </c>
      <c r="P379" s="9">
        <v>0.461432986111111</v>
      </c>
      <c r="Q379" t="s">
        <v>310</v>
      </c>
      <c r="T379" s="15" t="s">
        <v>119</v>
      </c>
      <c r="W379" s="16" t="str">
        <f t="shared" si="35"/>
        <v>EN_WON_46_c04_CAN</v>
      </c>
      <c r="X379" s="12">
        <f t="shared" si="36"/>
        <v>2430</v>
      </c>
      <c r="Y379" s="11">
        <f t="shared" si="37"/>
        <v>2430</v>
      </c>
      <c r="AC379" t="s">
        <v>26</v>
      </c>
      <c r="AD379" t="s">
        <v>3510</v>
      </c>
      <c r="AE379" t="s">
        <v>3511</v>
      </c>
      <c r="AF379" t="s">
        <v>29</v>
      </c>
      <c r="AG379" t="s">
        <v>30</v>
      </c>
      <c r="AH379" t="s">
        <v>31</v>
      </c>
      <c r="AK379" t="s">
        <v>3510</v>
      </c>
      <c r="AL379" t="s">
        <v>1967</v>
      </c>
      <c r="AM379" t="s">
        <v>3502</v>
      </c>
      <c r="AN379" s="8">
        <v>26.916</v>
      </c>
      <c r="AO379">
        <v>199.694880401046</v>
      </c>
      <c r="AP379">
        <v>1805</v>
      </c>
      <c r="AQ379" s="9">
        <v>0.438550239634418</v>
      </c>
      <c r="AR379" t="s">
        <v>3503</v>
      </c>
      <c r="AT379" s="15" t="s">
        <v>69</v>
      </c>
      <c r="AW379" s="11" t="str">
        <f t="shared" si="38"/>
        <v>EN_WOF_44_c02_FIN</v>
      </c>
      <c r="AX379" s="11">
        <f t="shared" si="39"/>
        <v>1805</v>
      </c>
      <c r="AY379" s="11">
        <f t="shared" si="40"/>
        <v>1805</v>
      </c>
      <c r="AZ379" s="17">
        <v>3</v>
      </c>
      <c r="BA379">
        <f t="shared" si="41"/>
        <v>18.05</v>
      </c>
    </row>
    <row r="380" spans="2:53">
      <c r="B380" t="s">
        <v>26</v>
      </c>
      <c r="C380" t="s">
        <v>3512</v>
      </c>
      <c r="D380" t="s">
        <v>3513</v>
      </c>
      <c r="E380" t="s">
        <v>29</v>
      </c>
      <c r="F380" t="s">
        <v>30</v>
      </c>
      <c r="G380" t="s">
        <v>31</v>
      </c>
      <c r="J380" t="s">
        <v>3512</v>
      </c>
      <c r="K380" t="s">
        <v>1967</v>
      </c>
      <c r="L380" t="s">
        <v>2422</v>
      </c>
      <c r="M380" s="8">
        <v>0.2985</v>
      </c>
      <c r="N380">
        <v>0</v>
      </c>
      <c r="O380">
        <v>2430</v>
      </c>
      <c r="P380" s="9">
        <v>0.469937185929648</v>
      </c>
      <c r="Q380" t="s">
        <v>310</v>
      </c>
      <c r="T380" s="15" t="s">
        <v>119</v>
      </c>
      <c r="W380" s="16" t="str">
        <f t="shared" si="35"/>
        <v>EN_WON_47_c01_CAN</v>
      </c>
      <c r="X380" s="12">
        <f t="shared" si="36"/>
        <v>2430</v>
      </c>
      <c r="Y380" s="11">
        <f t="shared" si="37"/>
        <v>2430</v>
      </c>
      <c r="AC380" t="s">
        <v>26</v>
      </c>
      <c r="AD380" t="s">
        <v>3514</v>
      </c>
      <c r="AE380" t="s">
        <v>3515</v>
      </c>
      <c r="AF380" t="s">
        <v>29</v>
      </c>
      <c r="AG380" t="s">
        <v>30</v>
      </c>
      <c r="AH380" t="s">
        <v>31</v>
      </c>
      <c r="AK380" t="s">
        <v>3514</v>
      </c>
      <c r="AL380" t="s">
        <v>1967</v>
      </c>
      <c r="AM380" t="s">
        <v>3502</v>
      </c>
      <c r="AN380" s="8">
        <v>16.42575</v>
      </c>
      <c r="AO380">
        <v>199.694880401046</v>
      </c>
      <c r="AP380">
        <v>1805</v>
      </c>
      <c r="AQ380" s="9">
        <v>0.45095817542578</v>
      </c>
      <c r="AR380" t="s">
        <v>3503</v>
      </c>
      <c r="AT380" s="15" t="s">
        <v>69</v>
      </c>
      <c r="AW380" s="11" t="str">
        <f t="shared" si="38"/>
        <v>EN_WOF_45_c02_FIN</v>
      </c>
      <c r="AX380" s="11">
        <f t="shared" si="39"/>
        <v>1805</v>
      </c>
      <c r="AY380" s="11">
        <f t="shared" si="40"/>
        <v>1805</v>
      </c>
      <c r="AZ380" s="17">
        <v>3</v>
      </c>
      <c r="BA380">
        <f t="shared" si="41"/>
        <v>18.05</v>
      </c>
    </row>
    <row r="381" spans="2:53">
      <c r="B381" t="s">
        <v>26</v>
      </c>
      <c r="C381" t="s">
        <v>3516</v>
      </c>
      <c r="D381" t="s">
        <v>3517</v>
      </c>
      <c r="E381" t="s">
        <v>29</v>
      </c>
      <c r="F381" t="s">
        <v>30</v>
      </c>
      <c r="G381" t="s">
        <v>31</v>
      </c>
      <c r="J381" t="s">
        <v>3516</v>
      </c>
      <c r="K381" t="s">
        <v>1967</v>
      </c>
      <c r="L381" t="s">
        <v>2422</v>
      </c>
      <c r="M381" s="8">
        <v>0.08175</v>
      </c>
      <c r="N381">
        <v>80.7856561622413</v>
      </c>
      <c r="O381">
        <v>2430</v>
      </c>
      <c r="P381" s="9">
        <v>0.47</v>
      </c>
      <c r="Q381" t="s">
        <v>310</v>
      </c>
      <c r="T381" s="15" t="s">
        <v>119</v>
      </c>
      <c r="W381" s="16" t="str">
        <f t="shared" si="35"/>
        <v>EN_WON_47_c02_CAN</v>
      </c>
      <c r="X381" s="12">
        <f t="shared" si="36"/>
        <v>2430</v>
      </c>
      <c r="Y381" s="11">
        <f t="shared" si="37"/>
        <v>2430</v>
      </c>
      <c r="AC381" t="s">
        <v>26</v>
      </c>
      <c r="AD381" t="s">
        <v>3518</v>
      </c>
      <c r="AE381" t="s">
        <v>3519</v>
      </c>
      <c r="AF381" t="s">
        <v>29</v>
      </c>
      <c r="AG381" t="s">
        <v>30</v>
      </c>
      <c r="AH381" t="s">
        <v>31</v>
      </c>
      <c r="AK381" t="s">
        <v>3518</v>
      </c>
      <c r="AL381" t="s">
        <v>1967</v>
      </c>
      <c r="AM381" t="s">
        <v>3502</v>
      </c>
      <c r="AN381" s="8">
        <v>64.824</v>
      </c>
      <c r="AO381">
        <v>199.694880401046</v>
      </c>
      <c r="AP381">
        <v>1805</v>
      </c>
      <c r="AQ381" s="9">
        <v>0.460001423084043</v>
      </c>
      <c r="AR381" t="s">
        <v>3503</v>
      </c>
      <c r="AT381" s="15" t="s">
        <v>69</v>
      </c>
      <c r="AW381" s="11" t="str">
        <f t="shared" si="38"/>
        <v>EN_WOF_46_c02_FIN</v>
      </c>
      <c r="AX381" s="11">
        <f t="shared" si="39"/>
        <v>1805</v>
      </c>
      <c r="AY381" s="11">
        <f t="shared" si="40"/>
        <v>1805</v>
      </c>
      <c r="AZ381" s="17">
        <v>3</v>
      </c>
      <c r="BA381">
        <f t="shared" si="41"/>
        <v>18.05</v>
      </c>
    </row>
    <row r="382" spans="2:53">
      <c r="B382" t="s">
        <v>26</v>
      </c>
      <c r="C382" t="s">
        <v>3520</v>
      </c>
      <c r="D382" t="s">
        <v>3521</v>
      </c>
      <c r="E382" t="s">
        <v>29</v>
      </c>
      <c r="F382" t="s">
        <v>30</v>
      </c>
      <c r="G382" t="s">
        <v>31</v>
      </c>
      <c r="J382" t="s">
        <v>3520</v>
      </c>
      <c r="K382" t="s">
        <v>1967</v>
      </c>
      <c r="L382" t="s">
        <v>2422</v>
      </c>
      <c r="M382" s="8">
        <v>1.4895</v>
      </c>
      <c r="N382">
        <v>105.747516212372</v>
      </c>
      <c r="O382">
        <v>2430</v>
      </c>
      <c r="P382" s="9">
        <v>0.466354481369587</v>
      </c>
      <c r="Q382" t="s">
        <v>310</v>
      </c>
      <c r="T382" s="15" t="s">
        <v>119</v>
      </c>
      <c r="W382" s="16" t="str">
        <f t="shared" si="35"/>
        <v>EN_WON_47_c03_CAN</v>
      </c>
      <c r="X382" s="12">
        <f t="shared" si="36"/>
        <v>2430</v>
      </c>
      <c r="Y382" s="11">
        <f t="shared" si="37"/>
        <v>2430</v>
      </c>
      <c r="AC382" t="s">
        <v>26</v>
      </c>
      <c r="AD382" t="s">
        <v>3522</v>
      </c>
      <c r="AE382" t="s">
        <v>3523</v>
      </c>
      <c r="AF382" t="s">
        <v>29</v>
      </c>
      <c r="AG382" t="s">
        <v>30</v>
      </c>
      <c r="AH382" t="s">
        <v>31</v>
      </c>
      <c r="AK382" t="s">
        <v>3522</v>
      </c>
      <c r="AL382" t="s">
        <v>1967</v>
      </c>
      <c r="AM382" t="s">
        <v>3502</v>
      </c>
      <c r="AN382" s="8">
        <v>38.4225</v>
      </c>
      <c r="AO382">
        <v>199.694880401046</v>
      </c>
      <c r="AP382">
        <v>1805</v>
      </c>
      <c r="AQ382" s="9">
        <v>0.467160609018154</v>
      </c>
      <c r="AR382" t="s">
        <v>3503</v>
      </c>
      <c r="AT382" s="15" t="s">
        <v>69</v>
      </c>
      <c r="AW382" s="11" t="str">
        <f t="shared" si="38"/>
        <v>EN_WOF_47_c02_FIN</v>
      </c>
      <c r="AX382" s="11">
        <f t="shared" si="39"/>
        <v>1805</v>
      </c>
      <c r="AY382" s="11">
        <f t="shared" si="40"/>
        <v>1805</v>
      </c>
      <c r="AZ382" s="17">
        <v>3</v>
      </c>
      <c r="BA382">
        <f t="shared" si="41"/>
        <v>18.05</v>
      </c>
    </row>
    <row r="383" spans="2:53">
      <c r="B383" t="s">
        <v>26</v>
      </c>
      <c r="C383" t="s">
        <v>3524</v>
      </c>
      <c r="D383" t="s">
        <v>3525</v>
      </c>
      <c r="E383" t="s">
        <v>29</v>
      </c>
      <c r="F383" t="s">
        <v>30</v>
      </c>
      <c r="G383" t="s">
        <v>31</v>
      </c>
      <c r="J383" t="s">
        <v>3524</v>
      </c>
      <c r="K383" t="s">
        <v>1967</v>
      </c>
      <c r="L383" t="s">
        <v>2422</v>
      </c>
      <c r="M383" s="8">
        <v>17.3655</v>
      </c>
      <c r="N383">
        <v>145.23264029167</v>
      </c>
      <c r="O383">
        <v>2430</v>
      </c>
      <c r="P383" s="9">
        <v>0.470359808240477</v>
      </c>
      <c r="Q383" t="s">
        <v>310</v>
      </c>
      <c r="T383" s="15" t="s">
        <v>119</v>
      </c>
      <c r="W383" s="16" t="str">
        <f t="shared" si="35"/>
        <v>EN_WON_47_c04_CAN</v>
      </c>
      <c r="X383" s="12">
        <f t="shared" si="36"/>
        <v>2430</v>
      </c>
      <c r="Y383" s="11">
        <f t="shared" si="37"/>
        <v>2430</v>
      </c>
      <c r="AC383" t="s">
        <v>26</v>
      </c>
      <c r="AD383" t="s">
        <v>3526</v>
      </c>
      <c r="AE383" t="s">
        <v>3527</v>
      </c>
      <c r="AF383" t="s">
        <v>29</v>
      </c>
      <c r="AG383" t="s">
        <v>30</v>
      </c>
      <c r="AH383" t="s">
        <v>31</v>
      </c>
      <c r="AK383" t="s">
        <v>3526</v>
      </c>
      <c r="AL383" t="s">
        <v>1967</v>
      </c>
      <c r="AM383" t="s">
        <v>3502</v>
      </c>
      <c r="AN383" s="8">
        <v>75.312</v>
      </c>
      <c r="AO383">
        <v>199.694880401046</v>
      </c>
      <c r="AP383">
        <v>1805</v>
      </c>
      <c r="AQ383" s="9">
        <v>0.480217067001275</v>
      </c>
      <c r="AR383" t="s">
        <v>3503</v>
      </c>
      <c r="AT383" s="15" t="s">
        <v>69</v>
      </c>
      <c r="AW383" s="11" t="str">
        <f t="shared" si="38"/>
        <v>EN_WOF_48_c02_FIN</v>
      </c>
      <c r="AX383" s="11">
        <f t="shared" si="39"/>
        <v>1805</v>
      </c>
      <c r="AY383" s="11">
        <f t="shared" si="40"/>
        <v>1805</v>
      </c>
      <c r="AZ383" s="17">
        <v>3</v>
      </c>
      <c r="BA383">
        <f t="shared" si="41"/>
        <v>18.05</v>
      </c>
    </row>
    <row r="384" spans="2:53">
      <c r="B384" t="s">
        <v>26</v>
      </c>
      <c r="C384" t="s">
        <v>3528</v>
      </c>
      <c r="D384" t="s">
        <v>3529</v>
      </c>
      <c r="E384" t="s">
        <v>29</v>
      </c>
      <c r="F384" t="s">
        <v>30</v>
      </c>
      <c r="G384" t="s">
        <v>31</v>
      </c>
      <c r="J384" t="s">
        <v>3528</v>
      </c>
      <c r="K384" t="s">
        <v>1967</v>
      </c>
      <c r="L384" t="s">
        <v>2422</v>
      </c>
      <c r="M384" s="8">
        <v>0.012</v>
      </c>
      <c r="N384">
        <v>0</v>
      </c>
      <c r="O384">
        <v>2430</v>
      </c>
      <c r="P384" s="9">
        <v>0.484</v>
      </c>
      <c r="Q384" t="s">
        <v>310</v>
      </c>
      <c r="T384" s="15" t="s">
        <v>119</v>
      </c>
      <c r="W384" s="16" t="str">
        <f t="shared" si="35"/>
        <v>EN_WON_48_c01_CAN</v>
      </c>
      <c r="X384" s="12">
        <f t="shared" si="36"/>
        <v>2430</v>
      </c>
      <c r="Y384" s="11">
        <f t="shared" si="37"/>
        <v>2430</v>
      </c>
      <c r="AC384" t="s">
        <v>26</v>
      </c>
      <c r="AD384" t="s">
        <v>3530</v>
      </c>
      <c r="AE384" t="s">
        <v>3531</v>
      </c>
      <c r="AF384" t="s">
        <v>29</v>
      </c>
      <c r="AG384" t="s">
        <v>30</v>
      </c>
      <c r="AH384" t="s">
        <v>31</v>
      </c>
      <c r="AK384" t="s">
        <v>3530</v>
      </c>
      <c r="AL384" t="s">
        <v>1967</v>
      </c>
      <c r="AM384" t="s">
        <v>3532</v>
      </c>
      <c r="AN384" s="8">
        <v>1.38</v>
      </c>
      <c r="AO384">
        <v>199.694880401046</v>
      </c>
      <c r="AP384">
        <v>1765</v>
      </c>
      <c r="AQ384" s="9">
        <v>0.304</v>
      </c>
      <c r="AR384" t="s">
        <v>700</v>
      </c>
      <c r="AT384" s="15" t="s">
        <v>69</v>
      </c>
      <c r="AW384" s="11" t="str">
        <f t="shared" si="38"/>
        <v>EN_WOF_30_c02_FRA</v>
      </c>
      <c r="AX384" s="11">
        <f t="shared" si="39"/>
        <v>1765</v>
      </c>
      <c r="AY384" s="11">
        <f t="shared" si="40"/>
        <v>1765</v>
      </c>
      <c r="AZ384" s="17">
        <v>3</v>
      </c>
      <c r="BA384">
        <f t="shared" si="41"/>
        <v>17.65</v>
      </c>
    </row>
    <row r="385" spans="2:53">
      <c r="B385" t="s">
        <v>26</v>
      </c>
      <c r="C385" t="s">
        <v>3533</v>
      </c>
      <c r="D385" t="s">
        <v>3534</v>
      </c>
      <c r="E385" t="s">
        <v>29</v>
      </c>
      <c r="F385" t="s">
        <v>30</v>
      </c>
      <c r="G385" t="s">
        <v>31</v>
      </c>
      <c r="J385" t="s">
        <v>3533</v>
      </c>
      <c r="K385" t="s">
        <v>1967</v>
      </c>
      <c r="L385" t="s">
        <v>2422</v>
      </c>
      <c r="M385" s="8">
        <v>0.25275</v>
      </c>
      <c r="N385">
        <v>80.7856561622413</v>
      </c>
      <c r="O385">
        <v>2430</v>
      </c>
      <c r="P385" s="9">
        <v>0.482005934718101</v>
      </c>
      <c r="Q385" t="s">
        <v>310</v>
      </c>
      <c r="T385" s="15" t="s">
        <v>119</v>
      </c>
      <c r="W385" s="16" t="str">
        <f t="shared" si="35"/>
        <v>EN_WON_48_c02_CAN</v>
      </c>
      <c r="X385" s="12">
        <f t="shared" si="36"/>
        <v>2430</v>
      </c>
      <c r="Y385" s="11">
        <f t="shared" si="37"/>
        <v>2430</v>
      </c>
      <c r="AC385" t="s">
        <v>26</v>
      </c>
      <c r="AD385" t="s">
        <v>3535</v>
      </c>
      <c r="AE385" t="s">
        <v>3536</v>
      </c>
      <c r="AF385" t="s">
        <v>29</v>
      </c>
      <c r="AG385" t="s">
        <v>30</v>
      </c>
      <c r="AH385" t="s">
        <v>31</v>
      </c>
      <c r="AK385" t="s">
        <v>3535</v>
      </c>
      <c r="AL385" t="s">
        <v>1967</v>
      </c>
      <c r="AM385" t="s">
        <v>3532</v>
      </c>
      <c r="AN385" s="8">
        <v>1.54575</v>
      </c>
      <c r="AO385">
        <v>45.3852000911468</v>
      </c>
      <c r="AP385">
        <v>2034</v>
      </c>
      <c r="AQ385" s="9">
        <v>0.307</v>
      </c>
      <c r="AR385" t="s">
        <v>700</v>
      </c>
      <c r="AT385" s="15" t="s">
        <v>69</v>
      </c>
      <c r="AW385" s="11" t="str">
        <f t="shared" si="38"/>
        <v>EN_WOF_31_c01_FRA</v>
      </c>
      <c r="AX385" s="11">
        <f t="shared" si="39"/>
        <v>2034</v>
      </c>
      <c r="AY385" s="11">
        <f t="shared" si="40"/>
        <v>2034</v>
      </c>
      <c r="AZ385" s="17">
        <v>3</v>
      </c>
      <c r="BA385">
        <f t="shared" si="41"/>
        <v>20.34</v>
      </c>
    </row>
    <row r="386" spans="2:53">
      <c r="B386" t="s">
        <v>26</v>
      </c>
      <c r="C386" t="s">
        <v>3537</v>
      </c>
      <c r="D386" t="s">
        <v>3538</v>
      </c>
      <c r="E386" t="s">
        <v>29</v>
      </c>
      <c r="F386" t="s">
        <v>30</v>
      </c>
      <c r="G386" t="s">
        <v>31</v>
      </c>
      <c r="J386" t="s">
        <v>3537</v>
      </c>
      <c r="K386" t="s">
        <v>1967</v>
      </c>
      <c r="L386" t="s">
        <v>2422</v>
      </c>
      <c r="M386" s="8">
        <v>0.6435</v>
      </c>
      <c r="N386">
        <v>105.747516212372</v>
      </c>
      <c r="O386">
        <v>2430</v>
      </c>
      <c r="P386" s="9">
        <v>0.477947552447552</v>
      </c>
      <c r="Q386" t="s">
        <v>310</v>
      </c>
      <c r="T386" s="15" t="s">
        <v>119</v>
      </c>
      <c r="W386" s="16" t="str">
        <f t="shared" si="35"/>
        <v>EN_WON_48_c03_CAN</v>
      </c>
      <c r="X386" s="12">
        <f t="shared" si="36"/>
        <v>2430</v>
      </c>
      <c r="Y386" s="11">
        <f t="shared" si="37"/>
        <v>2430</v>
      </c>
      <c r="AC386" t="s">
        <v>26</v>
      </c>
      <c r="AD386" t="s">
        <v>3539</v>
      </c>
      <c r="AE386" t="s">
        <v>3540</v>
      </c>
      <c r="AF386" t="s">
        <v>29</v>
      </c>
      <c r="AG386" t="s">
        <v>30</v>
      </c>
      <c r="AH386" t="s">
        <v>31</v>
      </c>
      <c r="AK386" t="s">
        <v>3539</v>
      </c>
      <c r="AL386" t="s">
        <v>1967</v>
      </c>
      <c r="AM386" t="s">
        <v>3532</v>
      </c>
      <c r="AN386" s="8">
        <v>14.15775</v>
      </c>
      <c r="AO386">
        <v>199.694880401046</v>
      </c>
      <c r="AP386">
        <v>1765</v>
      </c>
      <c r="AQ386" s="9">
        <v>0.306109180484187</v>
      </c>
      <c r="AR386" t="s">
        <v>700</v>
      </c>
      <c r="AT386" s="15" t="s">
        <v>69</v>
      </c>
      <c r="AW386" s="11" t="str">
        <f t="shared" si="38"/>
        <v>EN_WOF_31_c02_FRA</v>
      </c>
      <c r="AX386" s="11">
        <f t="shared" si="39"/>
        <v>1765</v>
      </c>
      <c r="AY386" s="11">
        <f t="shared" si="40"/>
        <v>1765</v>
      </c>
      <c r="AZ386" s="17">
        <v>3</v>
      </c>
      <c r="BA386">
        <f t="shared" si="41"/>
        <v>17.65</v>
      </c>
    </row>
    <row r="387" spans="2:53">
      <c r="B387" t="s">
        <v>26</v>
      </c>
      <c r="C387" t="s">
        <v>3541</v>
      </c>
      <c r="D387" t="s">
        <v>3542</v>
      </c>
      <c r="E387" t="s">
        <v>29</v>
      </c>
      <c r="F387" t="s">
        <v>30</v>
      </c>
      <c r="G387" t="s">
        <v>31</v>
      </c>
      <c r="J387" t="s">
        <v>3541</v>
      </c>
      <c r="K387" t="s">
        <v>1967</v>
      </c>
      <c r="L387" t="s">
        <v>2422</v>
      </c>
      <c r="M387" s="8">
        <v>9.834</v>
      </c>
      <c r="N387">
        <v>145.23264029167</v>
      </c>
      <c r="O387">
        <v>2430</v>
      </c>
      <c r="P387" s="9">
        <v>0.477479636973764</v>
      </c>
      <c r="Q387" t="s">
        <v>310</v>
      </c>
      <c r="T387" s="15" t="s">
        <v>119</v>
      </c>
      <c r="W387" s="16" t="str">
        <f t="shared" si="35"/>
        <v>EN_WON_48_c04_CAN</v>
      </c>
      <c r="X387" s="12">
        <f t="shared" si="36"/>
        <v>2430</v>
      </c>
      <c r="Y387" s="11">
        <f t="shared" si="37"/>
        <v>2430</v>
      </c>
      <c r="AC387" t="s">
        <v>26</v>
      </c>
      <c r="AD387" t="s">
        <v>3543</v>
      </c>
      <c r="AE387" t="s">
        <v>3544</v>
      </c>
      <c r="AF387" t="s">
        <v>29</v>
      </c>
      <c r="AG387" t="s">
        <v>30</v>
      </c>
      <c r="AH387" t="s">
        <v>31</v>
      </c>
      <c r="AK387" t="s">
        <v>3543</v>
      </c>
      <c r="AL387" t="s">
        <v>1967</v>
      </c>
      <c r="AM387" t="s">
        <v>3532</v>
      </c>
      <c r="AN387" s="8">
        <v>6.558</v>
      </c>
      <c r="AO387">
        <v>45.3852000911468</v>
      </c>
      <c r="AP387">
        <v>2034</v>
      </c>
      <c r="AQ387" s="9">
        <v>0.319247483989021</v>
      </c>
      <c r="AR387" t="s">
        <v>700</v>
      </c>
      <c r="AT387" s="15" t="s">
        <v>69</v>
      </c>
      <c r="AW387" s="11" t="str">
        <f t="shared" si="38"/>
        <v>EN_WOF_32_c01_FRA</v>
      </c>
      <c r="AX387" s="11">
        <f t="shared" si="39"/>
        <v>2034</v>
      </c>
      <c r="AY387" s="11">
        <f t="shared" si="40"/>
        <v>2034</v>
      </c>
      <c r="AZ387" s="17">
        <v>3</v>
      </c>
      <c r="BA387">
        <f t="shared" si="41"/>
        <v>20.34</v>
      </c>
    </row>
    <row r="388" spans="2:53">
      <c r="B388" t="s">
        <v>26</v>
      </c>
      <c r="C388" t="s">
        <v>3545</v>
      </c>
      <c r="D388" t="s">
        <v>3546</v>
      </c>
      <c r="E388" t="s">
        <v>29</v>
      </c>
      <c r="F388" t="s">
        <v>30</v>
      </c>
      <c r="G388" t="s">
        <v>31</v>
      </c>
      <c r="J388" t="s">
        <v>3545</v>
      </c>
      <c r="K388" t="s">
        <v>1967</v>
      </c>
      <c r="L388" t="s">
        <v>2422</v>
      </c>
      <c r="M388" s="8">
        <v>0.07725</v>
      </c>
      <c r="N388">
        <v>80.7856561622413</v>
      </c>
      <c r="O388">
        <v>2430</v>
      </c>
      <c r="P388" s="9">
        <v>0.489504854368932</v>
      </c>
      <c r="Q388" t="s">
        <v>310</v>
      </c>
      <c r="T388" s="15" t="s">
        <v>119</v>
      </c>
      <c r="W388" s="16" t="str">
        <f t="shared" si="35"/>
        <v>EN_WON_49_c02_CAN</v>
      </c>
      <c r="X388" s="12">
        <f t="shared" si="36"/>
        <v>2430</v>
      </c>
      <c r="Y388" s="11">
        <f t="shared" si="37"/>
        <v>2430</v>
      </c>
      <c r="AC388" t="s">
        <v>26</v>
      </c>
      <c r="AD388" t="s">
        <v>3547</v>
      </c>
      <c r="AE388" t="s">
        <v>3548</v>
      </c>
      <c r="AF388" t="s">
        <v>29</v>
      </c>
      <c r="AG388" t="s">
        <v>30</v>
      </c>
      <c r="AH388" t="s">
        <v>31</v>
      </c>
      <c r="AK388" t="s">
        <v>3547</v>
      </c>
      <c r="AL388" t="s">
        <v>1967</v>
      </c>
      <c r="AM388" t="s">
        <v>3532</v>
      </c>
      <c r="AN388" s="8">
        <v>6.558</v>
      </c>
      <c r="AO388">
        <v>199.694880401046</v>
      </c>
      <c r="AP388">
        <v>1765</v>
      </c>
      <c r="AQ388" s="9">
        <v>0.319247483989021</v>
      </c>
      <c r="AR388" t="s">
        <v>700</v>
      </c>
      <c r="AT388" s="15" t="s">
        <v>69</v>
      </c>
      <c r="AW388" s="11" t="str">
        <f t="shared" si="38"/>
        <v>EN_WOF_32_c02_FRA</v>
      </c>
      <c r="AX388" s="11">
        <f t="shared" si="39"/>
        <v>1765</v>
      </c>
      <c r="AY388" s="11">
        <f t="shared" si="40"/>
        <v>1765</v>
      </c>
      <c r="AZ388" s="17">
        <v>3</v>
      </c>
      <c r="BA388">
        <f t="shared" si="41"/>
        <v>17.65</v>
      </c>
    </row>
    <row r="389" spans="2:53">
      <c r="B389" t="s">
        <v>26</v>
      </c>
      <c r="C389" t="s">
        <v>3549</v>
      </c>
      <c r="D389" t="s">
        <v>3550</v>
      </c>
      <c r="E389" t="s">
        <v>29</v>
      </c>
      <c r="F389" t="s">
        <v>30</v>
      </c>
      <c r="G389" t="s">
        <v>31</v>
      </c>
      <c r="J389" t="s">
        <v>3549</v>
      </c>
      <c r="K389" t="s">
        <v>1967</v>
      </c>
      <c r="L389" t="s">
        <v>2422</v>
      </c>
      <c r="M389" s="8">
        <v>0.82425</v>
      </c>
      <c r="N389">
        <v>105.747516212372</v>
      </c>
      <c r="O389">
        <v>2430</v>
      </c>
      <c r="P389" s="9">
        <v>0.491151956323931</v>
      </c>
      <c r="Q389" t="s">
        <v>310</v>
      </c>
      <c r="T389" s="15" t="s">
        <v>119</v>
      </c>
      <c r="W389" s="16" t="str">
        <f t="shared" si="35"/>
        <v>EN_WON_49_c03_CAN</v>
      </c>
      <c r="X389" s="12">
        <f t="shared" si="36"/>
        <v>2430</v>
      </c>
      <c r="Y389" s="11">
        <f t="shared" si="37"/>
        <v>2430</v>
      </c>
      <c r="AC389" t="s">
        <v>26</v>
      </c>
      <c r="AD389" t="s">
        <v>3551</v>
      </c>
      <c r="AE389" t="s">
        <v>3552</v>
      </c>
      <c r="AF389" t="s">
        <v>29</v>
      </c>
      <c r="AG389" t="s">
        <v>30</v>
      </c>
      <c r="AH389" t="s">
        <v>31</v>
      </c>
      <c r="AK389" t="s">
        <v>3551</v>
      </c>
      <c r="AL389" t="s">
        <v>1967</v>
      </c>
      <c r="AM389" t="s">
        <v>3532</v>
      </c>
      <c r="AN389" s="8">
        <v>8.493</v>
      </c>
      <c r="AO389">
        <v>199.694880401046</v>
      </c>
      <c r="AP389">
        <v>1765</v>
      </c>
      <c r="AQ389" s="9">
        <v>0.326</v>
      </c>
      <c r="AR389" t="s">
        <v>700</v>
      </c>
      <c r="AT389" s="15" t="s">
        <v>69</v>
      </c>
      <c r="AW389" s="11" t="str">
        <f t="shared" si="38"/>
        <v>EN_WOF_33_c02_FRA</v>
      </c>
      <c r="AX389" s="11">
        <f t="shared" si="39"/>
        <v>1765</v>
      </c>
      <c r="AY389" s="11">
        <f t="shared" si="40"/>
        <v>1765</v>
      </c>
      <c r="AZ389" s="17">
        <v>3</v>
      </c>
      <c r="BA389">
        <f t="shared" si="41"/>
        <v>17.65</v>
      </c>
    </row>
    <row r="390" spans="2:53">
      <c r="B390" t="s">
        <v>26</v>
      </c>
      <c r="C390" t="s">
        <v>3553</v>
      </c>
      <c r="D390" t="s">
        <v>3554</v>
      </c>
      <c r="E390" t="s">
        <v>29</v>
      </c>
      <c r="F390" t="s">
        <v>30</v>
      </c>
      <c r="G390" t="s">
        <v>31</v>
      </c>
      <c r="J390" t="s">
        <v>3553</v>
      </c>
      <c r="K390" t="s">
        <v>1967</v>
      </c>
      <c r="L390" t="s">
        <v>2422</v>
      </c>
      <c r="M390" s="8">
        <v>2.8695</v>
      </c>
      <c r="N390">
        <v>145.23264029167</v>
      </c>
      <c r="O390">
        <v>2430</v>
      </c>
      <c r="P390" s="9">
        <v>0.485012807109252</v>
      </c>
      <c r="Q390" t="s">
        <v>310</v>
      </c>
      <c r="T390" s="15" t="s">
        <v>119</v>
      </c>
      <c r="W390" s="16" t="str">
        <f t="shared" ref="W390:W453" si="42">J390</f>
        <v>EN_WON_49_c04_CAN</v>
      </c>
      <c r="X390" s="12">
        <f t="shared" ref="X390:X453" si="43">O390</f>
        <v>2430</v>
      </c>
      <c r="Y390" s="11">
        <f t="shared" ref="Y390:Y453" si="44">X390</f>
        <v>2430</v>
      </c>
      <c r="AC390" t="s">
        <v>26</v>
      </c>
      <c r="AD390" t="s">
        <v>3555</v>
      </c>
      <c r="AE390" t="s">
        <v>3556</v>
      </c>
      <c r="AF390" t="s">
        <v>29</v>
      </c>
      <c r="AG390" t="s">
        <v>30</v>
      </c>
      <c r="AH390" t="s">
        <v>31</v>
      </c>
      <c r="AK390" t="s">
        <v>3555</v>
      </c>
      <c r="AL390" t="s">
        <v>1967</v>
      </c>
      <c r="AM390" t="s">
        <v>3532</v>
      </c>
      <c r="AN390" s="8">
        <v>7.4505</v>
      </c>
      <c r="AO390">
        <v>45.3852000911468</v>
      </c>
      <c r="AP390">
        <v>2034</v>
      </c>
      <c r="AQ390" s="9">
        <v>0.337234548016912</v>
      </c>
      <c r="AR390" t="s">
        <v>700</v>
      </c>
      <c r="AT390" s="15" t="s">
        <v>69</v>
      </c>
      <c r="AW390" s="11" t="str">
        <f t="shared" ref="AW390:AW453" si="45">AK390</f>
        <v>EN_WOF_34_c01_FRA</v>
      </c>
      <c r="AX390" s="11">
        <f t="shared" ref="AX390:AX453" si="46">AP390</f>
        <v>2034</v>
      </c>
      <c r="AY390" s="11">
        <f t="shared" ref="AY390:AY453" si="47">AX390</f>
        <v>2034</v>
      </c>
      <c r="AZ390" s="17">
        <v>3</v>
      </c>
      <c r="BA390">
        <f t="shared" ref="BA390:BA453" si="48">AX390*0.01</f>
        <v>20.34</v>
      </c>
    </row>
    <row r="391" spans="2:53">
      <c r="B391" t="s">
        <v>26</v>
      </c>
      <c r="C391" t="s">
        <v>3557</v>
      </c>
      <c r="D391" t="s">
        <v>3558</v>
      </c>
      <c r="E391" t="s">
        <v>29</v>
      </c>
      <c r="F391" t="s">
        <v>30</v>
      </c>
      <c r="G391" t="s">
        <v>31</v>
      </c>
      <c r="J391" t="s">
        <v>3557</v>
      </c>
      <c r="K391" t="s">
        <v>1967</v>
      </c>
      <c r="L391" t="s">
        <v>2422</v>
      </c>
      <c r="M391" s="8">
        <v>1.677</v>
      </c>
      <c r="N391">
        <v>105.747516212372</v>
      </c>
      <c r="O391">
        <v>2430</v>
      </c>
      <c r="P391" s="9">
        <v>0.49603488372093</v>
      </c>
      <c r="Q391" t="s">
        <v>310</v>
      </c>
      <c r="T391" s="15" t="s">
        <v>119</v>
      </c>
      <c r="W391" s="16" t="str">
        <f t="shared" si="42"/>
        <v>EN_WON_50_c03_CAN</v>
      </c>
      <c r="X391" s="12">
        <f t="shared" si="43"/>
        <v>2430</v>
      </c>
      <c r="Y391" s="11">
        <f t="shared" si="44"/>
        <v>2430</v>
      </c>
      <c r="AC391" t="s">
        <v>26</v>
      </c>
      <c r="AD391" t="s">
        <v>3559</v>
      </c>
      <c r="AE391" t="s">
        <v>3560</v>
      </c>
      <c r="AF391" t="s">
        <v>29</v>
      </c>
      <c r="AG391" t="s">
        <v>30</v>
      </c>
      <c r="AH391" t="s">
        <v>31</v>
      </c>
      <c r="AK391" t="s">
        <v>3559</v>
      </c>
      <c r="AL391" t="s">
        <v>1967</v>
      </c>
      <c r="AM391" t="s">
        <v>3532</v>
      </c>
      <c r="AN391" s="8">
        <v>15.8445</v>
      </c>
      <c r="AO391">
        <v>199.694880401046</v>
      </c>
      <c r="AP391">
        <v>1765</v>
      </c>
      <c r="AQ391" s="9">
        <v>0.340818706806778</v>
      </c>
      <c r="AR391" t="s">
        <v>700</v>
      </c>
      <c r="AT391" s="15" t="s">
        <v>69</v>
      </c>
      <c r="AW391" s="11" t="str">
        <f t="shared" si="45"/>
        <v>EN_WOF_34_c02_FRA</v>
      </c>
      <c r="AX391" s="11">
        <f t="shared" si="46"/>
        <v>1765</v>
      </c>
      <c r="AY391" s="11">
        <f t="shared" si="47"/>
        <v>1765</v>
      </c>
      <c r="AZ391" s="17">
        <v>3</v>
      </c>
      <c r="BA391">
        <f t="shared" si="48"/>
        <v>17.65</v>
      </c>
    </row>
    <row r="392" spans="2:53">
      <c r="B392" t="s">
        <v>26</v>
      </c>
      <c r="C392" t="s">
        <v>3561</v>
      </c>
      <c r="D392" t="s">
        <v>3562</v>
      </c>
      <c r="E392" t="s">
        <v>29</v>
      </c>
      <c r="F392" t="s">
        <v>30</v>
      </c>
      <c r="G392" t="s">
        <v>31</v>
      </c>
      <c r="J392" t="s">
        <v>3561</v>
      </c>
      <c r="K392" t="s">
        <v>1967</v>
      </c>
      <c r="L392" t="s">
        <v>2422</v>
      </c>
      <c r="M392" s="8">
        <v>0.183</v>
      </c>
      <c r="N392">
        <v>0</v>
      </c>
      <c r="O392">
        <v>2430</v>
      </c>
      <c r="P392" s="9">
        <v>0.51</v>
      </c>
      <c r="Q392" t="s">
        <v>310</v>
      </c>
      <c r="T392" s="15" t="s">
        <v>119</v>
      </c>
      <c r="W392" s="16" t="str">
        <f t="shared" si="42"/>
        <v>EN_WON_51_c01_CAN</v>
      </c>
      <c r="X392" s="12">
        <f t="shared" si="43"/>
        <v>2430</v>
      </c>
      <c r="Y392" s="11">
        <f t="shared" si="44"/>
        <v>2430</v>
      </c>
      <c r="AC392" t="s">
        <v>26</v>
      </c>
      <c r="AD392" t="s">
        <v>3563</v>
      </c>
      <c r="AE392" t="s">
        <v>3564</v>
      </c>
      <c r="AF392" t="s">
        <v>29</v>
      </c>
      <c r="AG392" t="s">
        <v>30</v>
      </c>
      <c r="AH392" t="s">
        <v>31</v>
      </c>
      <c r="AK392" t="s">
        <v>3563</v>
      </c>
      <c r="AL392" t="s">
        <v>1967</v>
      </c>
      <c r="AM392" t="s">
        <v>3532</v>
      </c>
      <c r="AN392" s="8">
        <v>4.66275</v>
      </c>
      <c r="AO392">
        <v>45.3852000911468</v>
      </c>
      <c r="AP392">
        <v>2034</v>
      </c>
      <c r="AQ392" s="9">
        <v>0.356</v>
      </c>
      <c r="AR392" t="s">
        <v>700</v>
      </c>
      <c r="AT392" s="15" t="s">
        <v>69</v>
      </c>
      <c r="AW392" s="11" t="str">
        <f t="shared" si="45"/>
        <v>EN_WOF_36_c01_FRA</v>
      </c>
      <c r="AX392" s="11">
        <f t="shared" si="46"/>
        <v>2034</v>
      </c>
      <c r="AY392" s="11">
        <f t="shared" si="47"/>
        <v>2034</v>
      </c>
      <c r="AZ392" s="17">
        <v>3</v>
      </c>
      <c r="BA392">
        <f t="shared" si="48"/>
        <v>20.34</v>
      </c>
    </row>
    <row r="393" spans="2:53">
      <c r="B393" t="s">
        <v>26</v>
      </c>
      <c r="C393" t="s">
        <v>3565</v>
      </c>
      <c r="D393" t="s">
        <v>3566</v>
      </c>
      <c r="E393" t="s">
        <v>29</v>
      </c>
      <c r="F393" t="s">
        <v>30</v>
      </c>
      <c r="G393" t="s">
        <v>31</v>
      </c>
      <c r="J393" t="s">
        <v>3565</v>
      </c>
      <c r="K393" t="s">
        <v>1967</v>
      </c>
      <c r="L393" t="s">
        <v>2422</v>
      </c>
      <c r="M393" s="8">
        <v>0.77175</v>
      </c>
      <c r="N393">
        <v>105.747516212372</v>
      </c>
      <c r="O393">
        <v>2430</v>
      </c>
      <c r="P393" s="9">
        <v>0.50988824101069</v>
      </c>
      <c r="Q393" t="s">
        <v>310</v>
      </c>
      <c r="T393" s="15" t="s">
        <v>119</v>
      </c>
      <c r="W393" s="16" t="str">
        <f t="shared" si="42"/>
        <v>EN_WON_51_c03_CAN</v>
      </c>
      <c r="X393" s="12">
        <f t="shared" si="43"/>
        <v>2430</v>
      </c>
      <c r="Y393" s="11">
        <f t="shared" si="44"/>
        <v>2430</v>
      </c>
      <c r="AC393" t="s">
        <v>26</v>
      </c>
      <c r="AD393" t="s">
        <v>3567</v>
      </c>
      <c r="AE393" t="s">
        <v>3568</v>
      </c>
      <c r="AF393" t="s">
        <v>29</v>
      </c>
      <c r="AG393" t="s">
        <v>30</v>
      </c>
      <c r="AH393" t="s">
        <v>31</v>
      </c>
      <c r="AK393" t="s">
        <v>3567</v>
      </c>
      <c r="AL393" t="s">
        <v>1967</v>
      </c>
      <c r="AM393" t="s">
        <v>3532</v>
      </c>
      <c r="AN393" s="8">
        <v>33.62475</v>
      </c>
      <c r="AO393">
        <v>199.694880401046</v>
      </c>
      <c r="AP393">
        <v>1765</v>
      </c>
      <c r="AQ393" s="9">
        <v>0.35941400307809</v>
      </c>
      <c r="AR393" t="s">
        <v>700</v>
      </c>
      <c r="AT393" s="15" t="s">
        <v>69</v>
      </c>
      <c r="AW393" s="11" t="str">
        <f t="shared" si="45"/>
        <v>EN_WOF_36_c02_FRA</v>
      </c>
      <c r="AX393" s="11">
        <f t="shared" si="46"/>
        <v>1765</v>
      </c>
      <c r="AY393" s="11">
        <f t="shared" si="47"/>
        <v>1765</v>
      </c>
      <c r="AZ393" s="17">
        <v>3</v>
      </c>
      <c r="BA393">
        <f t="shared" si="48"/>
        <v>17.65</v>
      </c>
    </row>
    <row r="394" spans="2:53">
      <c r="B394" t="s">
        <v>26</v>
      </c>
      <c r="C394" t="s">
        <v>3569</v>
      </c>
      <c r="D394" t="s">
        <v>3570</v>
      </c>
      <c r="E394" t="s">
        <v>29</v>
      </c>
      <c r="F394" t="s">
        <v>30</v>
      </c>
      <c r="G394" t="s">
        <v>31</v>
      </c>
      <c r="J394" t="s">
        <v>3569</v>
      </c>
      <c r="K394" t="s">
        <v>1967</v>
      </c>
      <c r="L394" t="s">
        <v>2422</v>
      </c>
      <c r="M394" s="8">
        <v>0.0315</v>
      </c>
      <c r="N394">
        <v>80.7856561622413</v>
      </c>
      <c r="O394">
        <v>2430</v>
      </c>
      <c r="P394" s="9">
        <v>0.517</v>
      </c>
      <c r="Q394" t="s">
        <v>310</v>
      </c>
      <c r="T394" s="15" t="s">
        <v>119</v>
      </c>
      <c r="W394" s="16" t="str">
        <f t="shared" si="42"/>
        <v>EN_WON_52_c02_CAN</v>
      </c>
      <c r="X394" s="12">
        <f t="shared" si="43"/>
        <v>2430</v>
      </c>
      <c r="Y394" s="11">
        <f t="shared" si="44"/>
        <v>2430</v>
      </c>
      <c r="AC394" t="s">
        <v>26</v>
      </c>
      <c r="AD394" t="s">
        <v>3571</v>
      </c>
      <c r="AE394" t="s">
        <v>3572</v>
      </c>
      <c r="AF394" t="s">
        <v>29</v>
      </c>
      <c r="AG394" t="s">
        <v>30</v>
      </c>
      <c r="AH394" t="s">
        <v>31</v>
      </c>
      <c r="AK394" t="s">
        <v>3571</v>
      </c>
      <c r="AL394" t="s">
        <v>1967</v>
      </c>
      <c r="AM394" t="s">
        <v>3532</v>
      </c>
      <c r="AN394" s="8">
        <v>3.51825</v>
      </c>
      <c r="AO394">
        <v>199.694880401046</v>
      </c>
      <c r="AP394">
        <v>1765</v>
      </c>
      <c r="AQ394" s="9">
        <v>0.365</v>
      </c>
      <c r="AR394" t="s">
        <v>700</v>
      </c>
      <c r="AT394" s="15" t="s">
        <v>69</v>
      </c>
      <c r="AW394" s="11" t="str">
        <f t="shared" si="45"/>
        <v>EN_WOF_37_c02_FRA</v>
      </c>
      <c r="AX394" s="11">
        <f t="shared" si="46"/>
        <v>1765</v>
      </c>
      <c r="AY394" s="11">
        <f t="shared" si="47"/>
        <v>1765</v>
      </c>
      <c r="AZ394" s="17">
        <v>3</v>
      </c>
      <c r="BA394">
        <f t="shared" si="48"/>
        <v>17.65</v>
      </c>
    </row>
    <row r="395" spans="2:53">
      <c r="B395" t="s">
        <v>26</v>
      </c>
      <c r="C395" t="s">
        <v>3573</v>
      </c>
      <c r="D395" t="s">
        <v>3574</v>
      </c>
      <c r="E395" t="s">
        <v>29</v>
      </c>
      <c r="F395" t="s">
        <v>30</v>
      </c>
      <c r="G395" t="s">
        <v>31</v>
      </c>
      <c r="J395" t="s">
        <v>3573</v>
      </c>
      <c r="K395" t="s">
        <v>1967</v>
      </c>
      <c r="L395" t="s">
        <v>2422</v>
      </c>
      <c r="M395" s="8">
        <v>0.00975</v>
      </c>
      <c r="N395">
        <v>80.7856561622413</v>
      </c>
      <c r="O395">
        <v>2430</v>
      </c>
      <c r="P395" s="9">
        <v>0.530461538461539</v>
      </c>
      <c r="Q395" t="s">
        <v>310</v>
      </c>
      <c r="T395" s="15" t="s">
        <v>119</v>
      </c>
      <c r="W395" s="16" t="str">
        <f t="shared" si="42"/>
        <v>EN_WON_53_c02_CAN</v>
      </c>
      <c r="X395" s="12">
        <f t="shared" si="43"/>
        <v>2430</v>
      </c>
      <c r="Y395" s="11">
        <f t="shared" si="44"/>
        <v>2430</v>
      </c>
      <c r="AC395" t="s">
        <v>26</v>
      </c>
      <c r="AD395" t="s">
        <v>3575</v>
      </c>
      <c r="AE395" t="s">
        <v>3576</v>
      </c>
      <c r="AF395" t="s">
        <v>29</v>
      </c>
      <c r="AG395" t="s">
        <v>30</v>
      </c>
      <c r="AH395" t="s">
        <v>31</v>
      </c>
      <c r="AK395" t="s">
        <v>3575</v>
      </c>
      <c r="AL395" t="s">
        <v>1967</v>
      </c>
      <c r="AM395" t="s">
        <v>3532</v>
      </c>
      <c r="AN395" s="8">
        <v>2.67975</v>
      </c>
      <c r="AO395">
        <v>45.3852000911468</v>
      </c>
      <c r="AP395">
        <v>2034</v>
      </c>
      <c r="AQ395" s="9">
        <v>0.377</v>
      </c>
      <c r="AR395" t="s">
        <v>700</v>
      </c>
      <c r="AT395" s="15" t="s">
        <v>69</v>
      </c>
      <c r="AW395" s="11" t="str">
        <f t="shared" si="45"/>
        <v>EN_WOF_38_c01_FRA</v>
      </c>
      <c r="AX395" s="11">
        <f t="shared" si="46"/>
        <v>2034</v>
      </c>
      <c r="AY395" s="11">
        <f t="shared" si="47"/>
        <v>2034</v>
      </c>
      <c r="AZ395" s="17">
        <v>3</v>
      </c>
      <c r="BA395">
        <f t="shared" si="48"/>
        <v>20.34</v>
      </c>
    </row>
    <row r="396" spans="2:53">
      <c r="B396" t="s">
        <v>26</v>
      </c>
      <c r="C396" t="s">
        <v>3577</v>
      </c>
      <c r="D396" t="s">
        <v>3578</v>
      </c>
      <c r="E396" t="s">
        <v>29</v>
      </c>
      <c r="F396" t="s">
        <v>30</v>
      </c>
      <c r="G396" t="s">
        <v>31</v>
      </c>
      <c r="J396" t="s">
        <v>3577</v>
      </c>
      <c r="K396" t="s">
        <v>1967</v>
      </c>
      <c r="L396" t="s">
        <v>2422</v>
      </c>
      <c r="M396" s="8">
        <v>0.006</v>
      </c>
      <c r="N396">
        <v>105.747516212372</v>
      </c>
      <c r="O396">
        <v>2430</v>
      </c>
      <c r="P396" s="9">
        <v>0.574</v>
      </c>
      <c r="Q396" t="s">
        <v>310</v>
      </c>
      <c r="T396" s="15" t="s">
        <v>119</v>
      </c>
      <c r="W396" s="16" t="str">
        <f t="shared" si="42"/>
        <v>EN_WON_57_c03_CAN</v>
      </c>
      <c r="X396" s="12">
        <f t="shared" si="43"/>
        <v>2430</v>
      </c>
      <c r="Y396" s="11">
        <f t="shared" si="44"/>
        <v>2430</v>
      </c>
      <c r="AC396" t="s">
        <v>26</v>
      </c>
      <c r="AD396" t="s">
        <v>3579</v>
      </c>
      <c r="AE396" t="s">
        <v>3580</v>
      </c>
      <c r="AF396" t="s">
        <v>29</v>
      </c>
      <c r="AG396" t="s">
        <v>30</v>
      </c>
      <c r="AH396" t="s">
        <v>31</v>
      </c>
      <c r="AK396" t="s">
        <v>3579</v>
      </c>
      <c r="AL396" t="s">
        <v>1967</v>
      </c>
      <c r="AM396" t="s">
        <v>3532</v>
      </c>
      <c r="AN396" s="8">
        <v>45.67125</v>
      </c>
      <c r="AO396">
        <v>199.694880401046</v>
      </c>
      <c r="AP396">
        <v>1765</v>
      </c>
      <c r="AQ396" s="9">
        <v>0.377562542080631</v>
      </c>
      <c r="AR396" t="s">
        <v>700</v>
      </c>
      <c r="AT396" s="15" t="s">
        <v>69</v>
      </c>
      <c r="AW396" s="11" t="str">
        <f t="shared" si="45"/>
        <v>EN_WOF_38_c02_FRA</v>
      </c>
      <c r="AX396" s="11">
        <f t="shared" si="46"/>
        <v>1765</v>
      </c>
      <c r="AY396" s="11">
        <f t="shared" si="47"/>
        <v>1765</v>
      </c>
      <c r="AZ396" s="17">
        <v>3</v>
      </c>
      <c r="BA396">
        <f t="shared" si="48"/>
        <v>17.65</v>
      </c>
    </row>
    <row r="397" spans="2:53">
      <c r="B397" t="s">
        <v>26</v>
      </c>
      <c r="C397" t="s">
        <v>3581</v>
      </c>
      <c r="D397" t="s">
        <v>3582</v>
      </c>
      <c r="E397" t="s">
        <v>29</v>
      </c>
      <c r="F397" t="s">
        <v>30</v>
      </c>
      <c r="G397" t="s">
        <v>31</v>
      </c>
      <c r="J397" t="s">
        <v>3581</v>
      </c>
      <c r="K397" t="s">
        <v>1967</v>
      </c>
      <c r="L397" t="s">
        <v>2422</v>
      </c>
      <c r="M397" s="8">
        <v>0.01125</v>
      </c>
      <c r="N397">
        <v>0</v>
      </c>
      <c r="O397">
        <v>2430</v>
      </c>
      <c r="P397" s="9">
        <v>0.591</v>
      </c>
      <c r="Q397" t="s">
        <v>310</v>
      </c>
      <c r="T397" s="15" t="s">
        <v>119</v>
      </c>
      <c r="W397" s="16" t="str">
        <f t="shared" si="42"/>
        <v>EN_WON_59_c01_CAN</v>
      </c>
      <c r="X397" s="12">
        <f t="shared" si="43"/>
        <v>2430</v>
      </c>
      <c r="Y397" s="11">
        <f t="shared" si="44"/>
        <v>2430</v>
      </c>
      <c r="AC397" t="s">
        <v>26</v>
      </c>
      <c r="AD397" t="s">
        <v>3583</v>
      </c>
      <c r="AE397" t="s">
        <v>3584</v>
      </c>
      <c r="AF397" t="s">
        <v>29</v>
      </c>
      <c r="AG397" t="s">
        <v>30</v>
      </c>
      <c r="AH397" t="s">
        <v>31</v>
      </c>
      <c r="AK397" t="s">
        <v>3583</v>
      </c>
      <c r="AL397" t="s">
        <v>1967</v>
      </c>
      <c r="AM397" t="s">
        <v>3532</v>
      </c>
      <c r="AN397" s="8">
        <v>5.043</v>
      </c>
      <c r="AO397">
        <v>45.3852000911468</v>
      </c>
      <c r="AP397">
        <v>2034</v>
      </c>
      <c r="AQ397" s="9">
        <v>0.391786585365854</v>
      </c>
      <c r="AR397" t="s">
        <v>700</v>
      </c>
      <c r="AT397" s="15" t="s">
        <v>69</v>
      </c>
      <c r="AW397" s="11" t="str">
        <f t="shared" si="45"/>
        <v>EN_WOF_39_c01_FRA</v>
      </c>
      <c r="AX397" s="11">
        <f t="shared" si="46"/>
        <v>2034</v>
      </c>
      <c r="AY397" s="11">
        <f t="shared" si="47"/>
        <v>2034</v>
      </c>
      <c r="AZ397" s="17">
        <v>3</v>
      </c>
      <c r="BA397">
        <f t="shared" si="48"/>
        <v>20.34</v>
      </c>
    </row>
    <row r="398" spans="2:53">
      <c r="B398" t="s">
        <v>26</v>
      </c>
      <c r="C398" t="s">
        <v>3585</v>
      </c>
      <c r="D398" t="s">
        <v>3586</v>
      </c>
      <c r="E398" t="s">
        <v>29</v>
      </c>
      <c r="F398" t="s">
        <v>30</v>
      </c>
      <c r="G398" t="s">
        <v>31</v>
      </c>
      <c r="J398" t="s">
        <v>3585</v>
      </c>
      <c r="K398" t="s">
        <v>1967</v>
      </c>
      <c r="L398" t="s">
        <v>3587</v>
      </c>
      <c r="M398" s="8">
        <v>6.7065</v>
      </c>
      <c r="N398">
        <v>145.23264029167</v>
      </c>
      <c r="O398">
        <v>1779</v>
      </c>
      <c r="P398" s="9">
        <v>0.178263923059718</v>
      </c>
      <c r="Q398" t="s">
        <v>356</v>
      </c>
      <c r="T398" s="15" t="s">
        <v>69</v>
      </c>
      <c r="W398" s="16" t="str">
        <f t="shared" si="42"/>
        <v>EN_WON_18_c04_CHE</v>
      </c>
      <c r="X398" s="12">
        <f t="shared" si="43"/>
        <v>1779</v>
      </c>
      <c r="Y398" s="11">
        <f t="shared" si="44"/>
        <v>1779</v>
      </c>
      <c r="AC398" t="s">
        <v>26</v>
      </c>
      <c r="AD398" t="s">
        <v>3588</v>
      </c>
      <c r="AE398" t="s">
        <v>3589</v>
      </c>
      <c r="AF398" t="s">
        <v>29</v>
      </c>
      <c r="AG398" t="s">
        <v>30</v>
      </c>
      <c r="AH398" t="s">
        <v>31</v>
      </c>
      <c r="AK398" t="s">
        <v>3588</v>
      </c>
      <c r="AL398" t="s">
        <v>1967</v>
      </c>
      <c r="AM398" t="s">
        <v>3532</v>
      </c>
      <c r="AN398" s="8">
        <v>36.4665</v>
      </c>
      <c r="AO398">
        <v>199.694880401046</v>
      </c>
      <c r="AP398">
        <v>1765</v>
      </c>
      <c r="AQ398" s="9">
        <v>0.39333324421044</v>
      </c>
      <c r="AR398" t="s">
        <v>700</v>
      </c>
      <c r="AT398" s="15" t="s">
        <v>69</v>
      </c>
      <c r="AW398" s="11" t="str">
        <f t="shared" si="45"/>
        <v>EN_WOF_39_c02_FRA</v>
      </c>
      <c r="AX398" s="11">
        <f t="shared" si="46"/>
        <v>1765</v>
      </c>
      <c r="AY398" s="11">
        <f t="shared" si="47"/>
        <v>1765</v>
      </c>
      <c r="AZ398" s="17">
        <v>3</v>
      </c>
      <c r="BA398">
        <f t="shared" si="48"/>
        <v>17.65</v>
      </c>
    </row>
    <row r="399" spans="2:53">
      <c r="B399" t="s">
        <v>26</v>
      </c>
      <c r="C399" t="s">
        <v>3590</v>
      </c>
      <c r="D399" t="s">
        <v>3591</v>
      </c>
      <c r="E399" t="s">
        <v>29</v>
      </c>
      <c r="F399" t="s">
        <v>30</v>
      </c>
      <c r="G399" t="s">
        <v>31</v>
      </c>
      <c r="J399" t="s">
        <v>3590</v>
      </c>
      <c r="K399" t="s">
        <v>1967</v>
      </c>
      <c r="L399" t="s">
        <v>3587</v>
      </c>
      <c r="M399" s="8">
        <v>4.65825</v>
      </c>
      <c r="N399">
        <v>105.747516212372</v>
      </c>
      <c r="O399">
        <v>1779</v>
      </c>
      <c r="P399" s="9">
        <v>0.196</v>
      </c>
      <c r="Q399" t="s">
        <v>356</v>
      </c>
      <c r="T399" s="15" t="s">
        <v>69</v>
      </c>
      <c r="W399" s="16" t="str">
        <f t="shared" si="42"/>
        <v>EN_WON_20_c03_CHE</v>
      </c>
      <c r="X399" s="12">
        <f t="shared" si="43"/>
        <v>1779</v>
      </c>
      <c r="Y399" s="11">
        <f t="shared" si="44"/>
        <v>1779</v>
      </c>
      <c r="AC399" t="s">
        <v>26</v>
      </c>
      <c r="AD399" t="s">
        <v>3592</v>
      </c>
      <c r="AE399" t="s">
        <v>3593</v>
      </c>
      <c r="AF399" t="s">
        <v>29</v>
      </c>
      <c r="AG399" t="s">
        <v>30</v>
      </c>
      <c r="AH399" t="s">
        <v>31</v>
      </c>
      <c r="AK399" t="s">
        <v>3592</v>
      </c>
      <c r="AL399" t="s">
        <v>1967</v>
      </c>
      <c r="AM399" t="s">
        <v>3532</v>
      </c>
      <c r="AN399" s="8">
        <v>3.13575</v>
      </c>
      <c r="AO399">
        <v>45.3852000911468</v>
      </c>
      <c r="AP399">
        <v>2034</v>
      </c>
      <c r="AQ399" s="9">
        <v>0.398</v>
      </c>
      <c r="AR399" t="s">
        <v>700</v>
      </c>
      <c r="AT399" s="15" t="s">
        <v>69</v>
      </c>
      <c r="AW399" s="11" t="str">
        <f t="shared" si="45"/>
        <v>EN_WOF_40_c01_FRA</v>
      </c>
      <c r="AX399" s="11">
        <f t="shared" si="46"/>
        <v>2034</v>
      </c>
      <c r="AY399" s="11">
        <f t="shared" si="47"/>
        <v>2034</v>
      </c>
      <c r="AZ399" s="17">
        <v>3</v>
      </c>
      <c r="BA399">
        <f t="shared" si="48"/>
        <v>20.34</v>
      </c>
    </row>
    <row r="400" spans="2:53">
      <c r="B400" t="s">
        <v>26</v>
      </c>
      <c r="C400" t="s">
        <v>3594</v>
      </c>
      <c r="D400" t="s">
        <v>3595</v>
      </c>
      <c r="E400" t="s">
        <v>29</v>
      </c>
      <c r="F400" t="s">
        <v>30</v>
      </c>
      <c r="G400" t="s">
        <v>31</v>
      </c>
      <c r="J400" t="s">
        <v>3594</v>
      </c>
      <c r="K400" t="s">
        <v>1967</v>
      </c>
      <c r="L400" t="s">
        <v>3587</v>
      </c>
      <c r="M400" s="8">
        <v>0.30525</v>
      </c>
      <c r="N400">
        <v>145.23264029167</v>
      </c>
      <c r="O400">
        <v>1779</v>
      </c>
      <c r="P400" s="9">
        <v>0.196</v>
      </c>
      <c r="Q400" t="s">
        <v>356</v>
      </c>
      <c r="T400" s="15" t="s">
        <v>69</v>
      </c>
      <c r="W400" s="16" t="str">
        <f t="shared" si="42"/>
        <v>EN_WON_20_c04_CHE</v>
      </c>
      <c r="X400" s="12">
        <f t="shared" si="43"/>
        <v>1779</v>
      </c>
      <c r="Y400" s="11">
        <f t="shared" si="44"/>
        <v>1779</v>
      </c>
      <c r="AC400" t="s">
        <v>26</v>
      </c>
      <c r="AD400" t="s">
        <v>3596</v>
      </c>
      <c r="AE400" t="s">
        <v>3597</v>
      </c>
      <c r="AF400" t="s">
        <v>29</v>
      </c>
      <c r="AG400" t="s">
        <v>30</v>
      </c>
      <c r="AH400" t="s">
        <v>31</v>
      </c>
      <c r="AK400" t="s">
        <v>3596</v>
      </c>
      <c r="AL400" t="s">
        <v>1967</v>
      </c>
      <c r="AM400" t="s">
        <v>3532</v>
      </c>
      <c r="AN400" s="8">
        <v>15.76275</v>
      </c>
      <c r="AO400">
        <v>199.694880401046</v>
      </c>
      <c r="AP400">
        <v>1765</v>
      </c>
      <c r="AQ400" s="9">
        <v>0.398801065803873</v>
      </c>
      <c r="AR400" t="s">
        <v>700</v>
      </c>
      <c r="AT400" s="15" t="s">
        <v>69</v>
      </c>
      <c r="AW400" s="11" t="str">
        <f t="shared" si="45"/>
        <v>EN_WOF_40_c02_FRA</v>
      </c>
      <c r="AX400" s="11">
        <f t="shared" si="46"/>
        <v>1765</v>
      </c>
      <c r="AY400" s="11">
        <f t="shared" si="47"/>
        <v>1765</v>
      </c>
      <c r="AZ400" s="17">
        <v>3</v>
      </c>
      <c r="BA400">
        <f t="shared" si="48"/>
        <v>17.65</v>
      </c>
    </row>
    <row r="401" spans="2:53">
      <c r="B401" t="s">
        <v>26</v>
      </c>
      <c r="C401" t="s">
        <v>3598</v>
      </c>
      <c r="D401" t="s">
        <v>3599</v>
      </c>
      <c r="E401" t="s">
        <v>29</v>
      </c>
      <c r="F401" t="s">
        <v>30</v>
      </c>
      <c r="G401" t="s">
        <v>31</v>
      </c>
      <c r="J401" t="s">
        <v>3598</v>
      </c>
      <c r="K401" t="s">
        <v>1967</v>
      </c>
      <c r="L401" t="s">
        <v>3587</v>
      </c>
      <c r="M401" s="8">
        <v>7.698</v>
      </c>
      <c r="N401">
        <v>80.7856561622413</v>
      </c>
      <c r="O401">
        <v>1779</v>
      </c>
      <c r="P401" s="9">
        <v>0.223</v>
      </c>
      <c r="Q401" t="s">
        <v>356</v>
      </c>
      <c r="T401" s="15" t="s">
        <v>69</v>
      </c>
      <c r="W401" s="16" t="str">
        <f t="shared" si="42"/>
        <v>EN_WON_22_c02_CHE</v>
      </c>
      <c r="X401" s="12">
        <f t="shared" si="43"/>
        <v>1779</v>
      </c>
      <c r="Y401" s="11">
        <f t="shared" si="44"/>
        <v>1779</v>
      </c>
      <c r="AC401" t="s">
        <v>26</v>
      </c>
      <c r="AD401" t="s">
        <v>3600</v>
      </c>
      <c r="AE401" t="s">
        <v>3601</v>
      </c>
      <c r="AF401" t="s">
        <v>29</v>
      </c>
      <c r="AG401" t="s">
        <v>30</v>
      </c>
      <c r="AH401" t="s">
        <v>31</v>
      </c>
      <c r="AK401" t="s">
        <v>3600</v>
      </c>
      <c r="AL401" t="s">
        <v>1967</v>
      </c>
      <c r="AM401" t="s">
        <v>3532</v>
      </c>
      <c r="AN401" s="8">
        <v>8.06325</v>
      </c>
      <c r="AO401">
        <v>45.3852000911468</v>
      </c>
      <c r="AP401">
        <v>2034</v>
      </c>
      <c r="AQ401" s="9">
        <v>0.410236536136173</v>
      </c>
      <c r="AR401" t="s">
        <v>700</v>
      </c>
      <c r="AT401" s="15" t="s">
        <v>69</v>
      </c>
      <c r="AW401" s="11" t="str">
        <f t="shared" si="45"/>
        <v>EN_WOF_41_c01_FRA</v>
      </c>
      <c r="AX401" s="11">
        <f t="shared" si="46"/>
        <v>2034</v>
      </c>
      <c r="AY401" s="11">
        <f t="shared" si="47"/>
        <v>2034</v>
      </c>
      <c r="AZ401" s="17">
        <v>3</v>
      </c>
      <c r="BA401">
        <f t="shared" si="48"/>
        <v>20.34</v>
      </c>
    </row>
    <row r="402" spans="2:53">
      <c r="B402" t="s">
        <v>26</v>
      </c>
      <c r="C402" t="s">
        <v>3602</v>
      </c>
      <c r="D402" t="s">
        <v>3603</v>
      </c>
      <c r="E402" t="s">
        <v>29</v>
      </c>
      <c r="F402" t="s">
        <v>30</v>
      </c>
      <c r="G402" t="s">
        <v>31</v>
      </c>
      <c r="J402" t="s">
        <v>3602</v>
      </c>
      <c r="K402" t="s">
        <v>1967</v>
      </c>
      <c r="L402" t="s">
        <v>3587</v>
      </c>
      <c r="M402" s="8">
        <v>14.13675</v>
      </c>
      <c r="N402">
        <v>105.747516212372</v>
      </c>
      <c r="O402">
        <v>1779</v>
      </c>
      <c r="P402" s="9">
        <v>0.219525810387819</v>
      </c>
      <c r="Q402" t="s">
        <v>356</v>
      </c>
      <c r="T402" s="15" t="s">
        <v>69</v>
      </c>
      <c r="W402" s="16" t="str">
        <f t="shared" si="42"/>
        <v>EN_WON_22_c03_CHE</v>
      </c>
      <c r="X402" s="12">
        <f t="shared" si="43"/>
        <v>1779</v>
      </c>
      <c r="Y402" s="11">
        <f t="shared" si="44"/>
        <v>1779</v>
      </c>
      <c r="AC402" t="s">
        <v>26</v>
      </c>
      <c r="AD402" t="s">
        <v>3604</v>
      </c>
      <c r="AE402" t="s">
        <v>3605</v>
      </c>
      <c r="AF402" t="s">
        <v>29</v>
      </c>
      <c r="AG402" t="s">
        <v>30</v>
      </c>
      <c r="AH402" t="s">
        <v>31</v>
      </c>
      <c r="AK402" t="s">
        <v>3604</v>
      </c>
      <c r="AL402" t="s">
        <v>1967</v>
      </c>
      <c r="AM402" t="s">
        <v>3532</v>
      </c>
      <c r="AN402" s="8">
        <v>40.09275</v>
      </c>
      <c r="AO402">
        <v>199.694880401046</v>
      </c>
      <c r="AP402">
        <v>1765</v>
      </c>
      <c r="AQ402" s="9">
        <v>0.411334175131414</v>
      </c>
      <c r="AR402" t="s">
        <v>700</v>
      </c>
      <c r="AT402" s="15" t="s">
        <v>69</v>
      </c>
      <c r="AW402" s="11" t="str">
        <f t="shared" si="45"/>
        <v>EN_WOF_41_c02_FRA</v>
      </c>
      <c r="AX402" s="11">
        <f t="shared" si="46"/>
        <v>1765</v>
      </c>
      <c r="AY402" s="11">
        <f t="shared" si="47"/>
        <v>1765</v>
      </c>
      <c r="AZ402" s="17">
        <v>3</v>
      </c>
      <c r="BA402">
        <f t="shared" si="48"/>
        <v>17.65</v>
      </c>
    </row>
    <row r="403" spans="2:53">
      <c r="B403" t="s">
        <v>26</v>
      </c>
      <c r="C403" t="s">
        <v>3606</v>
      </c>
      <c r="D403" t="s">
        <v>3607</v>
      </c>
      <c r="E403" t="s">
        <v>29</v>
      </c>
      <c r="F403" t="s">
        <v>30</v>
      </c>
      <c r="G403" t="s">
        <v>31</v>
      </c>
      <c r="J403" t="s">
        <v>3606</v>
      </c>
      <c r="K403" t="s">
        <v>1967</v>
      </c>
      <c r="L403" t="s">
        <v>3587</v>
      </c>
      <c r="M403" s="8">
        <v>0.468</v>
      </c>
      <c r="N403">
        <v>145.23264029167</v>
      </c>
      <c r="O403">
        <v>1779</v>
      </c>
      <c r="P403" s="9">
        <v>0.221</v>
      </c>
      <c r="Q403" t="s">
        <v>356</v>
      </c>
      <c r="T403" s="15" t="s">
        <v>69</v>
      </c>
      <c r="W403" s="16" t="str">
        <f t="shared" si="42"/>
        <v>EN_WON_22_c04_CHE</v>
      </c>
      <c r="X403" s="12">
        <f t="shared" si="43"/>
        <v>1779</v>
      </c>
      <c r="Y403" s="11">
        <f t="shared" si="44"/>
        <v>1779</v>
      </c>
      <c r="AC403" t="s">
        <v>26</v>
      </c>
      <c r="AD403" t="s">
        <v>3608</v>
      </c>
      <c r="AE403" t="s">
        <v>3609</v>
      </c>
      <c r="AF403" t="s">
        <v>29</v>
      </c>
      <c r="AG403" t="s">
        <v>30</v>
      </c>
      <c r="AH403" t="s">
        <v>31</v>
      </c>
      <c r="AK403" t="s">
        <v>3608</v>
      </c>
      <c r="AL403" t="s">
        <v>1967</v>
      </c>
      <c r="AM403" t="s">
        <v>3532</v>
      </c>
      <c r="AN403" s="8">
        <v>13.86225</v>
      </c>
      <c r="AO403">
        <v>45.3852000911468</v>
      </c>
      <c r="AP403">
        <v>2034</v>
      </c>
      <c r="AQ403" s="9">
        <v>0.421279932911324</v>
      </c>
      <c r="AR403" t="s">
        <v>700</v>
      </c>
      <c r="AT403" s="15" t="s">
        <v>69</v>
      </c>
      <c r="AW403" s="11" t="str">
        <f t="shared" si="45"/>
        <v>EN_WOF_42_c01_FRA</v>
      </c>
      <c r="AX403" s="11">
        <f t="shared" si="46"/>
        <v>2034</v>
      </c>
      <c r="AY403" s="11">
        <f t="shared" si="47"/>
        <v>2034</v>
      </c>
      <c r="AZ403" s="17">
        <v>3</v>
      </c>
      <c r="BA403">
        <f t="shared" si="48"/>
        <v>20.34</v>
      </c>
    </row>
    <row r="404" spans="2:53">
      <c r="B404" t="s">
        <v>26</v>
      </c>
      <c r="C404" t="s">
        <v>3610</v>
      </c>
      <c r="D404" t="s">
        <v>3611</v>
      </c>
      <c r="E404" t="s">
        <v>29</v>
      </c>
      <c r="F404" t="s">
        <v>30</v>
      </c>
      <c r="G404" t="s">
        <v>31</v>
      </c>
      <c r="J404" t="s">
        <v>3610</v>
      </c>
      <c r="K404" t="s">
        <v>1967</v>
      </c>
      <c r="L404" t="s">
        <v>3587</v>
      </c>
      <c r="M404" s="8">
        <v>2.46825</v>
      </c>
      <c r="N404">
        <v>145.23264029167</v>
      </c>
      <c r="O404">
        <v>1779</v>
      </c>
      <c r="P404" s="9">
        <v>0.229867821330902</v>
      </c>
      <c r="Q404" t="s">
        <v>356</v>
      </c>
      <c r="T404" s="15" t="s">
        <v>69</v>
      </c>
      <c r="W404" s="16" t="str">
        <f t="shared" si="42"/>
        <v>EN_WON_23_c04_CHE</v>
      </c>
      <c r="X404" s="12">
        <f t="shared" si="43"/>
        <v>1779</v>
      </c>
      <c r="Y404" s="11">
        <f t="shared" si="44"/>
        <v>1779</v>
      </c>
      <c r="AC404" t="s">
        <v>26</v>
      </c>
      <c r="AD404" t="s">
        <v>3612</v>
      </c>
      <c r="AE404" t="s">
        <v>3613</v>
      </c>
      <c r="AF404" t="s">
        <v>29</v>
      </c>
      <c r="AG404" t="s">
        <v>30</v>
      </c>
      <c r="AH404" t="s">
        <v>31</v>
      </c>
      <c r="AK404" t="s">
        <v>3612</v>
      </c>
      <c r="AL404" t="s">
        <v>1967</v>
      </c>
      <c r="AM404" t="s">
        <v>3532</v>
      </c>
      <c r="AN404" s="8">
        <v>28.34775</v>
      </c>
      <c r="AO404">
        <v>199.694880401046</v>
      </c>
      <c r="AP404">
        <v>1765</v>
      </c>
      <c r="AQ404" s="9">
        <v>0.421647882107046</v>
      </c>
      <c r="AR404" t="s">
        <v>700</v>
      </c>
      <c r="AT404" s="15" t="s">
        <v>69</v>
      </c>
      <c r="AW404" s="11" t="str">
        <f t="shared" si="45"/>
        <v>EN_WOF_42_c02_FRA</v>
      </c>
      <c r="AX404" s="11">
        <f t="shared" si="46"/>
        <v>1765</v>
      </c>
      <c r="AY404" s="11">
        <f t="shared" si="47"/>
        <v>1765</v>
      </c>
      <c r="AZ404" s="17">
        <v>3</v>
      </c>
      <c r="BA404">
        <f t="shared" si="48"/>
        <v>17.65</v>
      </c>
    </row>
    <row r="405" spans="2:53">
      <c r="B405" t="s">
        <v>26</v>
      </c>
      <c r="C405" t="s">
        <v>3614</v>
      </c>
      <c r="D405" t="s">
        <v>3615</v>
      </c>
      <c r="E405" t="s">
        <v>29</v>
      </c>
      <c r="F405" t="s">
        <v>30</v>
      </c>
      <c r="G405" t="s">
        <v>31</v>
      </c>
      <c r="J405" t="s">
        <v>3614</v>
      </c>
      <c r="K405" t="s">
        <v>1967</v>
      </c>
      <c r="L405" t="s">
        <v>3587</v>
      </c>
      <c r="M405" s="8">
        <v>7.5885</v>
      </c>
      <c r="N405">
        <v>80.7856561622413</v>
      </c>
      <c r="O405">
        <v>1779</v>
      </c>
      <c r="P405" s="9">
        <v>0.242</v>
      </c>
      <c r="Q405" t="s">
        <v>356</v>
      </c>
      <c r="T405" s="15" t="s">
        <v>69</v>
      </c>
      <c r="W405" s="16" t="str">
        <f t="shared" si="42"/>
        <v>EN_WON_24_c02_CHE</v>
      </c>
      <c r="X405" s="12">
        <f t="shared" si="43"/>
        <v>1779</v>
      </c>
      <c r="Y405" s="11">
        <f t="shared" si="44"/>
        <v>1779</v>
      </c>
      <c r="AC405" t="s">
        <v>26</v>
      </c>
      <c r="AD405" t="s">
        <v>3616</v>
      </c>
      <c r="AE405" t="s">
        <v>3617</v>
      </c>
      <c r="AF405" t="s">
        <v>29</v>
      </c>
      <c r="AG405" t="s">
        <v>30</v>
      </c>
      <c r="AH405" t="s">
        <v>31</v>
      </c>
      <c r="AK405" t="s">
        <v>3616</v>
      </c>
      <c r="AL405" t="s">
        <v>1967</v>
      </c>
      <c r="AM405" t="s">
        <v>3532</v>
      </c>
      <c r="AN405" s="8">
        <v>14.718</v>
      </c>
      <c r="AO405">
        <v>45.3852000911468</v>
      </c>
      <c r="AP405">
        <v>2034</v>
      </c>
      <c r="AQ405" s="9">
        <v>0.427940990623726</v>
      </c>
      <c r="AR405" t="s">
        <v>700</v>
      </c>
      <c r="AT405" s="15" t="s">
        <v>69</v>
      </c>
      <c r="AW405" s="11" t="str">
        <f t="shared" si="45"/>
        <v>EN_WOF_43_c01_FRA</v>
      </c>
      <c r="AX405" s="11">
        <f t="shared" si="46"/>
        <v>2034</v>
      </c>
      <c r="AY405" s="11">
        <f t="shared" si="47"/>
        <v>2034</v>
      </c>
      <c r="AZ405" s="17">
        <v>3</v>
      </c>
      <c r="BA405">
        <f t="shared" si="48"/>
        <v>20.34</v>
      </c>
    </row>
    <row r="406" spans="2:53">
      <c r="B406" t="s">
        <v>26</v>
      </c>
      <c r="C406" t="s">
        <v>3618</v>
      </c>
      <c r="D406" t="s">
        <v>3619</v>
      </c>
      <c r="E406" t="s">
        <v>29</v>
      </c>
      <c r="F406" t="s">
        <v>30</v>
      </c>
      <c r="G406" t="s">
        <v>31</v>
      </c>
      <c r="J406" t="s">
        <v>3618</v>
      </c>
      <c r="K406" t="s">
        <v>1967</v>
      </c>
      <c r="L406" t="s">
        <v>3587</v>
      </c>
      <c r="M406" s="8">
        <v>0.4485</v>
      </c>
      <c r="N406">
        <v>145.23264029167</v>
      </c>
      <c r="O406">
        <v>1779</v>
      </c>
      <c r="P406" s="9">
        <v>0.246</v>
      </c>
      <c r="Q406" t="s">
        <v>356</v>
      </c>
      <c r="T406" s="15" t="s">
        <v>69</v>
      </c>
      <c r="W406" s="16" t="str">
        <f t="shared" si="42"/>
        <v>EN_WON_25_c04_CHE</v>
      </c>
      <c r="X406" s="12">
        <f t="shared" si="43"/>
        <v>1779</v>
      </c>
      <c r="Y406" s="11">
        <f t="shared" si="44"/>
        <v>1779</v>
      </c>
      <c r="AC406" t="s">
        <v>26</v>
      </c>
      <c r="AD406" t="s">
        <v>3620</v>
      </c>
      <c r="AE406" t="s">
        <v>3621</v>
      </c>
      <c r="AF406" t="s">
        <v>29</v>
      </c>
      <c r="AG406" t="s">
        <v>30</v>
      </c>
      <c r="AH406" t="s">
        <v>31</v>
      </c>
      <c r="AK406" t="s">
        <v>3620</v>
      </c>
      <c r="AL406" t="s">
        <v>1967</v>
      </c>
      <c r="AM406" t="s">
        <v>3532</v>
      </c>
      <c r="AN406" s="8">
        <v>47.736</v>
      </c>
      <c r="AO406">
        <v>199.694880401046</v>
      </c>
      <c r="AP406">
        <v>1765</v>
      </c>
      <c r="AQ406" s="9">
        <v>0.430296757164404</v>
      </c>
      <c r="AR406" t="s">
        <v>700</v>
      </c>
      <c r="AT406" s="15" t="s">
        <v>69</v>
      </c>
      <c r="AW406" s="11" t="str">
        <f t="shared" si="45"/>
        <v>EN_WOF_43_c02_FRA</v>
      </c>
      <c r="AX406" s="11">
        <f t="shared" si="46"/>
        <v>1765</v>
      </c>
      <c r="AY406" s="11">
        <f t="shared" si="47"/>
        <v>1765</v>
      </c>
      <c r="AZ406" s="17">
        <v>3</v>
      </c>
      <c r="BA406">
        <f t="shared" si="48"/>
        <v>17.65</v>
      </c>
    </row>
    <row r="407" spans="2:53">
      <c r="B407" t="s">
        <v>26</v>
      </c>
      <c r="C407" t="s">
        <v>3622</v>
      </c>
      <c r="D407" t="s">
        <v>3623</v>
      </c>
      <c r="E407" t="s">
        <v>29</v>
      </c>
      <c r="F407" t="s">
        <v>30</v>
      </c>
      <c r="G407" t="s">
        <v>31</v>
      </c>
      <c r="J407" t="s">
        <v>3622</v>
      </c>
      <c r="K407" t="s">
        <v>1967</v>
      </c>
      <c r="L407" t="s">
        <v>2689</v>
      </c>
      <c r="M407" s="8">
        <v>20.29725</v>
      </c>
      <c r="N407">
        <v>0</v>
      </c>
      <c r="O407">
        <v>2466</v>
      </c>
      <c r="P407" s="9">
        <v>0.511437128182389</v>
      </c>
      <c r="Q407" t="s">
        <v>366</v>
      </c>
      <c r="T407" s="15" t="s">
        <v>89</v>
      </c>
      <c r="W407" s="16" t="str">
        <f t="shared" si="42"/>
        <v>EN_WON_51_c01_CHL</v>
      </c>
      <c r="X407" s="12">
        <f t="shared" si="43"/>
        <v>2466</v>
      </c>
      <c r="Y407" s="11">
        <f t="shared" si="44"/>
        <v>2466</v>
      </c>
      <c r="AC407" t="s">
        <v>26</v>
      </c>
      <c r="AD407" t="s">
        <v>3624</v>
      </c>
      <c r="AE407" t="s">
        <v>3625</v>
      </c>
      <c r="AF407" t="s">
        <v>29</v>
      </c>
      <c r="AG407" t="s">
        <v>30</v>
      </c>
      <c r="AH407" t="s">
        <v>31</v>
      </c>
      <c r="AK407" t="s">
        <v>3624</v>
      </c>
      <c r="AL407" t="s">
        <v>1967</v>
      </c>
      <c r="AM407" t="s">
        <v>3532</v>
      </c>
      <c r="AN407" s="8">
        <v>10.068</v>
      </c>
      <c r="AO407">
        <v>45.3852000911468</v>
      </c>
      <c r="AP407">
        <v>2034</v>
      </c>
      <c r="AQ407" s="9">
        <v>0.439025476758045</v>
      </c>
      <c r="AR407" t="s">
        <v>700</v>
      </c>
      <c r="AT407" s="15" t="s">
        <v>69</v>
      </c>
      <c r="AW407" s="11" t="str">
        <f t="shared" si="45"/>
        <v>EN_WOF_44_c01_FRA</v>
      </c>
      <c r="AX407" s="11">
        <f t="shared" si="46"/>
        <v>2034</v>
      </c>
      <c r="AY407" s="11">
        <f t="shared" si="47"/>
        <v>2034</v>
      </c>
      <c r="AZ407" s="17">
        <v>3</v>
      </c>
      <c r="BA407">
        <f t="shared" si="48"/>
        <v>20.34</v>
      </c>
    </row>
    <row r="408" spans="2:53">
      <c r="B408" t="s">
        <v>26</v>
      </c>
      <c r="C408" t="s">
        <v>3626</v>
      </c>
      <c r="D408" t="s">
        <v>3627</v>
      </c>
      <c r="E408" t="s">
        <v>29</v>
      </c>
      <c r="F408" t="s">
        <v>30</v>
      </c>
      <c r="G408" t="s">
        <v>31</v>
      </c>
      <c r="J408" t="s">
        <v>3626</v>
      </c>
      <c r="K408" t="s">
        <v>1967</v>
      </c>
      <c r="L408" t="s">
        <v>2689</v>
      </c>
      <c r="M408" s="8">
        <v>8.2095</v>
      </c>
      <c r="N408">
        <v>80.7856561622413</v>
      </c>
      <c r="O408">
        <v>2466</v>
      </c>
      <c r="P408" s="9">
        <v>0.508510140690663</v>
      </c>
      <c r="Q408" t="s">
        <v>366</v>
      </c>
      <c r="T408" s="15" t="s">
        <v>89</v>
      </c>
      <c r="W408" s="16" t="str">
        <f t="shared" si="42"/>
        <v>EN_WON_51_c02_CHL</v>
      </c>
      <c r="X408" s="12">
        <f t="shared" si="43"/>
        <v>2466</v>
      </c>
      <c r="Y408" s="11">
        <f t="shared" si="44"/>
        <v>2466</v>
      </c>
      <c r="AC408" t="s">
        <v>26</v>
      </c>
      <c r="AD408" t="s">
        <v>3628</v>
      </c>
      <c r="AE408" t="s">
        <v>3629</v>
      </c>
      <c r="AF408" t="s">
        <v>29</v>
      </c>
      <c r="AG408" t="s">
        <v>30</v>
      </c>
      <c r="AH408" t="s">
        <v>31</v>
      </c>
      <c r="AK408" t="s">
        <v>3628</v>
      </c>
      <c r="AL408" t="s">
        <v>1967</v>
      </c>
      <c r="AM408" t="s">
        <v>3532</v>
      </c>
      <c r="AN408" s="8">
        <v>31.269</v>
      </c>
      <c r="AO408">
        <v>199.694880401046</v>
      </c>
      <c r="AP408">
        <v>1765</v>
      </c>
      <c r="AQ408" s="9">
        <v>0.440431497649429</v>
      </c>
      <c r="AR408" t="s">
        <v>700</v>
      </c>
      <c r="AT408" s="15" t="s">
        <v>69</v>
      </c>
      <c r="AW408" s="11" t="str">
        <f t="shared" si="45"/>
        <v>EN_WOF_44_c02_FRA</v>
      </c>
      <c r="AX408" s="11">
        <f t="shared" si="46"/>
        <v>1765</v>
      </c>
      <c r="AY408" s="11">
        <f t="shared" si="47"/>
        <v>1765</v>
      </c>
      <c r="AZ408" s="17">
        <v>3</v>
      </c>
      <c r="BA408">
        <f t="shared" si="48"/>
        <v>17.65</v>
      </c>
    </row>
    <row r="409" spans="2:53">
      <c r="B409" t="s">
        <v>26</v>
      </c>
      <c r="C409" t="s">
        <v>3630</v>
      </c>
      <c r="D409" t="s">
        <v>3631</v>
      </c>
      <c r="E409" t="s">
        <v>29</v>
      </c>
      <c r="F409" t="s">
        <v>30</v>
      </c>
      <c r="G409" t="s">
        <v>31</v>
      </c>
      <c r="J409" t="s">
        <v>3630</v>
      </c>
      <c r="K409" t="s">
        <v>1967</v>
      </c>
      <c r="L409" t="s">
        <v>2689</v>
      </c>
      <c r="M409" s="8">
        <v>1.1355</v>
      </c>
      <c r="N409">
        <v>0</v>
      </c>
      <c r="O409">
        <v>2466</v>
      </c>
      <c r="P409" s="9">
        <v>0.518630779392338</v>
      </c>
      <c r="Q409" t="s">
        <v>366</v>
      </c>
      <c r="T409" s="15" t="s">
        <v>89</v>
      </c>
      <c r="W409" s="16" t="str">
        <f t="shared" si="42"/>
        <v>EN_WON_52_c01_CHL</v>
      </c>
      <c r="X409" s="12">
        <f t="shared" si="43"/>
        <v>2466</v>
      </c>
      <c r="Y409" s="11">
        <f t="shared" si="44"/>
        <v>2466</v>
      </c>
      <c r="AC409" t="s">
        <v>26</v>
      </c>
      <c r="AD409" t="s">
        <v>3632</v>
      </c>
      <c r="AE409" t="s">
        <v>3633</v>
      </c>
      <c r="AF409" t="s">
        <v>29</v>
      </c>
      <c r="AG409" t="s">
        <v>30</v>
      </c>
      <c r="AH409" t="s">
        <v>31</v>
      </c>
      <c r="AK409" t="s">
        <v>3632</v>
      </c>
      <c r="AL409" t="s">
        <v>1967</v>
      </c>
      <c r="AM409" t="s">
        <v>3532</v>
      </c>
      <c r="AN409" s="8">
        <v>15.735</v>
      </c>
      <c r="AO409">
        <v>45.3852000911468</v>
      </c>
      <c r="AP409">
        <v>2034</v>
      </c>
      <c r="AQ409" s="9">
        <v>0.447789323164919</v>
      </c>
      <c r="AR409" t="s">
        <v>700</v>
      </c>
      <c r="AT409" s="15" t="s">
        <v>69</v>
      </c>
      <c r="AW409" s="11" t="str">
        <f t="shared" si="45"/>
        <v>EN_WOF_45_c01_FRA</v>
      </c>
      <c r="AX409" s="11">
        <f t="shared" si="46"/>
        <v>2034</v>
      </c>
      <c r="AY409" s="11">
        <f t="shared" si="47"/>
        <v>2034</v>
      </c>
      <c r="AZ409" s="17">
        <v>3</v>
      </c>
      <c r="BA409">
        <f t="shared" si="48"/>
        <v>20.34</v>
      </c>
    </row>
    <row r="410" spans="2:53">
      <c r="B410" t="s">
        <v>26</v>
      </c>
      <c r="C410" t="s">
        <v>3634</v>
      </c>
      <c r="D410" t="s">
        <v>3635</v>
      </c>
      <c r="E410" t="s">
        <v>29</v>
      </c>
      <c r="F410" t="s">
        <v>30</v>
      </c>
      <c r="G410" t="s">
        <v>31</v>
      </c>
      <c r="J410" t="s">
        <v>3634</v>
      </c>
      <c r="K410" t="s">
        <v>1967</v>
      </c>
      <c r="L410" t="s">
        <v>2689</v>
      </c>
      <c r="M410" s="8">
        <v>3.741</v>
      </c>
      <c r="N410">
        <v>80.7856561622413</v>
      </c>
      <c r="O410">
        <v>2466</v>
      </c>
      <c r="P410" s="9">
        <v>0.518</v>
      </c>
      <c r="Q410" t="s">
        <v>366</v>
      </c>
      <c r="T410" s="15" t="s">
        <v>89</v>
      </c>
      <c r="W410" s="16" t="str">
        <f t="shared" si="42"/>
        <v>EN_WON_52_c02_CHL</v>
      </c>
      <c r="X410" s="12">
        <f t="shared" si="43"/>
        <v>2466</v>
      </c>
      <c r="Y410" s="11">
        <f t="shared" si="44"/>
        <v>2466</v>
      </c>
      <c r="AC410" t="s">
        <v>26</v>
      </c>
      <c r="AD410" t="s">
        <v>3636</v>
      </c>
      <c r="AE410" t="s">
        <v>3637</v>
      </c>
      <c r="AF410" t="s">
        <v>29</v>
      </c>
      <c r="AG410" t="s">
        <v>30</v>
      </c>
      <c r="AH410" t="s">
        <v>31</v>
      </c>
      <c r="AK410" t="s">
        <v>3636</v>
      </c>
      <c r="AL410" t="s">
        <v>1967</v>
      </c>
      <c r="AM410" t="s">
        <v>3532</v>
      </c>
      <c r="AN410" s="8">
        <v>83.505</v>
      </c>
      <c r="AO410">
        <v>199.694880401046</v>
      </c>
      <c r="AP410">
        <v>1765</v>
      </c>
      <c r="AQ410" s="9">
        <v>0.448856834920065</v>
      </c>
      <c r="AR410" t="s">
        <v>700</v>
      </c>
      <c r="AT410" s="15" t="s">
        <v>69</v>
      </c>
      <c r="AW410" s="11" t="str">
        <f t="shared" si="45"/>
        <v>EN_WOF_45_c02_FRA</v>
      </c>
      <c r="AX410" s="11">
        <f t="shared" si="46"/>
        <v>1765</v>
      </c>
      <c r="AY410" s="11">
        <f t="shared" si="47"/>
        <v>1765</v>
      </c>
      <c r="AZ410" s="17">
        <v>3</v>
      </c>
      <c r="BA410">
        <f t="shared" si="48"/>
        <v>17.65</v>
      </c>
    </row>
    <row r="411" spans="2:53">
      <c r="B411" t="s">
        <v>26</v>
      </c>
      <c r="C411" t="s">
        <v>3638</v>
      </c>
      <c r="D411" t="s">
        <v>3639</v>
      </c>
      <c r="E411" t="s">
        <v>29</v>
      </c>
      <c r="F411" t="s">
        <v>30</v>
      </c>
      <c r="G411" t="s">
        <v>31</v>
      </c>
      <c r="J411" t="s">
        <v>3638</v>
      </c>
      <c r="K411" t="s">
        <v>1967</v>
      </c>
      <c r="L411" t="s">
        <v>2689</v>
      </c>
      <c r="M411" s="8">
        <v>12.41175</v>
      </c>
      <c r="N411">
        <v>0</v>
      </c>
      <c r="O411">
        <v>2466</v>
      </c>
      <c r="P411" s="9">
        <v>0.528208773944045</v>
      </c>
      <c r="Q411" t="s">
        <v>366</v>
      </c>
      <c r="T411" s="15" t="s">
        <v>89</v>
      </c>
      <c r="W411" s="16" t="str">
        <f t="shared" si="42"/>
        <v>EN_WON_53_c01_CHL</v>
      </c>
      <c r="X411" s="12">
        <f t="shared" si="43"/>
        <v>2466</v>
      </c>
      <c r="Y411" s="11">
        <f t="shared" si="44"/>
        <v>2466</v>
      </c>
      <c r="AC411" t="s">
        <v>26</v>
      </c>
      <c r="AD411" t="s">
        <v>3640</v>
      </c>
      <c r="AE411" t="s">
        <v>3641</v>
      </c>
      <c r="AF411" t="s">
        <v>29</v>
      </c>
      <c r="AG411" t="s">
        <v>30</v>
      </c>
      <c r="AH411" t="s">
        <v>31</v>
      </c>
      <c r="AK411" t="s">
        <v>3640</v>
      </c>
      <c r="AL411" t="s">
        <v>1967</v>
      </c>
      <c r="AM411" t="s">
        <v>3532</v>
      </c>
      <c r="AN411" s="8">
        <v>44.6715</v>
      </c>
      <c r="AO411">
        <v>45.3852000911468</v>
      </c>
      <c r="AP411">
        <v>2034</v>
      </c>
      <c r="AQ411" s="9">
        <v>0.460114301064437</v>
      </c>
      <c r="AR411" t="s">
        <v>700</v>
      </c>
      <c r="AT411" s="15" t="s">
        <v>69</v>
      </c>
      <c r="AW411" s="11" t="str">
        <f t="shared" si="45"/>
        <v>EN_WOF_46_c01_FRA</v>
      </c>
      <c r="AX411" s="11">
        <f t="shared" si="46"/>
        <v>2034</v>
      </c>
      <c r="AY411" s="11">
        <f t="shared" si="47"/>
        <v>2034</v>
      </c>
      <c r="AZ411" s="17">
        <v>3</v>
      </c>
      <c r="BA411">
        <f t="shared" si="48"/>
        <v>20.34</v>
      </c>
    </row>
    <row r="412" spans="2:53">
      <c r="B412" t="s">
        <v>26</v>
      </c>
      <c r="C412" t="s">
        <v>3642</v>
      </c>
      <c r="D412" t="s">
        <v>3643</v>
      </c>
      <c r="E412" t="s">
        <v>29</v>
      </c>
      <c r="F412" t="s">
        <v>30</v>
      </c>
      <c r="G412" t="s">
        <v>31</v>
      </c>
      <c r="J412" t="s">
        <v>3642</v>
      </c>
      <c r="K412" t="s">
        <v>1967</v>
      </c>
      <c r="L412" t="s">
        <v>2689</v>
      </c>
      <c r="M412" s="8">
        <v>0.6435</v>
      </c>
      <c r="N412">
        <v>105.747516212372</v>
      </c>
      <c r="O412">
        <v>2466</v>
      </c>
      <c r="P412" s="9">
        <v>0.531664335664336</v>
      </c>
      <c r="Q412" t="s">
        <v>366</v>
      </c>
      <c r="T412" s="15" t="s">
        <v>89</v>
      </c>
      <c r="W412" s="16" t="str">
        <f t="shared" si="42"/>
        <v>EN_WON_53_c03_CHL</v>
      </c>
      <c r="X412" s="12">
        <f t="shared" si="43"/>
        <v>2466</v>
      </c>
      <c r="Y412" s="11">
        <f t="shared" si="44"/>
        <v>2466</v>
      </c>
      <c r="AC412" t="s">
        <v>26</v>
      </c>
      <c r="AD412" t="s">
        <v>3644</v>
      </c>
      <c r="AE412" t="s">
        <v>3645</v>
      </c>
      <c r="AF412" t="s">
        <v>29</v>
      </c>
      <c r="AG412" t="s">
        <v>30</v>
      </c>
      <c r="AH412" t="s">
        <v>31</v>
      </c>
      <c r="AK412" t="s">
        <v>3644</v>
      </c>
      <c r="AL412" t="s">
        <v>1967</v>
      </c>
      <c r="AM412" t="s">
        <v>3532</v>
      </c>
      <c r="AN412" s="8">
        <v>102.327</v>
      </c>
      <c r="AO412">
        <v>199.694880401046</v>
      </c>
      <c r="AP412">
        <v>1765</v>
      </c>
      <c r="AQ412" s="9">
        <v>0.459491864317336</v>
      </c>
      <c r="AR412" t="s">
        <v>700</v>
      </c>
      <c r="AT412" s="15" t="s">
        <v>69</v>
      </c>
      <c r="AW412" s="11" t="str">
        <f t="shared" si="45"/>
        <v>EN_WOF_46_c02_FRA</v>
      </c>
      <c r="AX412" s="11">
        <f t="shared" si="46"/>
        <v>1765</v>
      </c>
      <c r="AY412" s="11">
        <f t="shared" si="47"/>
        <v>1765</v>
      </c>
      <c r="AZ412" s="17">
        <v>3</v>
      </c>
      <c r="BA412">
        <f t="shared" si="48"/>
        <v>17.65</v>
      </c>
    </row>
    <row r="413" spans="2:53">
      <c r="B413" t="s">
        <v>26</v>
      </c>
      <c r="C413" t="s">
        <v>3646</v>
      </c>
      <c r="D413" t="s">
        <v>3647</v>
      </c>
      <c r="E413" t="s">
        <v>29</v>
      </c>
      <c r="F413" t="s">
        <v>30</v>
      </c>
      <c r="G413" t="s">
        <v>31</v>
      </c>
      <c r="J413" t="s">
        <v>3646</v>
      </c>
      <c r="K413" t="s">
        <v>1967</v>
      </c>
      <c r="L413" t="s">
        <v>2689</v>
      </c>
      <c r="M413" s="8">
        <v>0.258</v>
      </c>
      <c r="N413">
        <v>145.23264029167</v>
      </c>
      <c r="O413">
        <v>2466</v>
      </c>
      <c r="P413" s="9">
        <v>0.532</v>
      </c>
      <c r="Q413" t="s">
        <v>366</v>
      </c>
      <c r="T413" s="15" t="s">
        <v>89</v>
      </c>
      <c r="W413" s="16" t="str">
        <f t="shared" si="42"/>
        <v>EN_WON_53_c04_CHL</v>
      </c>
      <c r="X413" s="12">
        <f t="shared" si="43"/>
        <v>2466</v>
      </c>
      <c r="Y413" s="11">
        <f t="shared" si="44"/>
        <v>2466</v>
      </c>
      <c r="AC413" t="s">
        <v>26</v>
      </c>
      <c r="AD413" t="s">
        <v>3648</v>
      </c>
      <c r="AE413" t="s">
        <v>3649</v>
      </c>
      <c r="AF413" t="s">
        <v>29</v>
      </c>
      <c r="AG413" t="s">
        <v>30</v>
      </c>
      <c r="AH413" t="s">
        <v>31</v>
      </c>
      <c r="AK413" t="s">
        <v>3648</v>
      </c>
      <c r="AL413" t="s">
        <v>1967</v>
      </c>
      <c r="AM413" t="s">
        <v>3532</v>
      </c>
      <c r="AN413" s="8">
        <v>71.91075</v>
      </c>
      <c r="AO413">
        <v>45.3852000911468</v>
      </c>
      <c r="AP413">
        <v>2034</v>
      </c>
      <c r="AQ413" s="9">
        <v>0.469732314014247</v>
      </c>
      <c r="AR413" t="s">
        <v>700</v>
      </c>
      <c r="AT413" s="15" t="s">
        <v>69</v>
      </c>
      <c r="AW413" s="11" t="str">
        <f t="shared" si="45"/>
        <v>EN_WOF_47_c01_FRA</v>
      </c>
      <c r="AX413" s="11">
        <f t="shared" si="46"/>
        <v>2034</v>
      </c>
      <c r="AY413" s="11">
        <f t="shared" si="47"/>
        <v>2034</v>
      </c>
      <c r="AZ413" s="17">
        <v>3</v>
      </c>
      <c r="BA413">
        <f t="shared" si="48"/>
        <v>20.34</v>
      </c>
    </row>
    <row r="414" spans="2:53">
      <c r="B414" t="s">
        <v>26</v>
      </c>
      <c r="C414" t="s">
        <v>3650</v>
      </c>
      <c r="D414" t="s">
        <v>3651</v>
      </c>
      <c r="E414" t="s">
        <v>29</v>
      </c>
      <c r="F414" t="s">
        <v>30</v>
      </c>
      <c r="G414" t="s">
        <v>31</v>
      </c>
      <c r="J414" t="s">
        <v>3650</v>
      </c>
      <c r="K414" t="s">
        <v>1967</v>
      </c>
      <c r="L414" t="s">
        <v>2689</v>
      </c>
      <c r="M414" s="8">
        <v>3.4125</v>
      </c>
      <c r="N414">
        <v>0</v>
      </c>
      <c r="O414">
        <v>2466</v>
      </c>
      <c r="P414" s="9">
        <v>0.54293054945055</v>
      </c>
      <c r="Q414" t="s">
        <v>366</v>
      </c>
      <c r="T414" s="15" t="s">
        <v>89</v>
      </c>
      <c r="W414" s="16" t="str">
        <f t="shared" si="42"/>
        <v>EN_WON_54_c01_CHL</v>
      </c>
      <c r="X414" s="12">
        <f t="shared" si="43"/>
        <v>2466</v>
      </c>
      <c r="Y414" s="11">
        <f t="shared" si="44"/>
        <v>2466</v>
      </c>
      <c r="AC414" t="s">
        <v>26</v>
      </c>
      <c r="AD414" t="s">
        <v>3652</v>
      </c>
      <c r="AE414" t="s">
        <v>3653</v>
      </c>
      <c r="AF414" t="s">
        <v>29</v>
      </c>
      <c r="AG414" t="s">
        <v>30</v>
      </c>
      <c r="AH414" t="s">
        <v>31</v>
      </c>
      <c r="AK414" t="s">
        <v>3652</v>
      </c>
      <c r="AL414" t="s">
        <v>1967</v>
      </c>
      <c r="AM414" t="s">
        <v>3532</v>
      </c>
      <c r="AN414" s="8">
        <v>146.33175</v>
      </c>
      <c r="AO414">
        <v>199.694880401046</v>
      </c>
      <c r="AP414">
        <v>1765</v>
      </c>
      <c r="AQ414" s="9">
        <v>0.46987534147579</v>
      </c>
      <c r="AR414" t="s">
        <v>700</v>
      </c>
      <c r="AT414" s="15" t="s">
        <v>69</v>
      </c>
      <c r="AW414" s="11" t="str">
        <f t="shared" si="45"/>
        <v>EN_WOF_47_c02_FRA</v>
      </c>
      <c r="AX414" s="11">
        <f t="shared" si="46"/>
        <v>1765</v>
      </c>
      <c r="AY414" s="11">
        <f t="shared" si="47"/>
        <v>1765</v>
      </c>
      <c r="AZ414" s="17">
        <v>3</v>
      </c>
      <c r="BA414">
        <f t="shared" si="48"/>
        <v>17.65</v>
      </c>
    </row>
    <row r="415" spans="2:53">
      <c r="B415" t="s">
        <v>26</v>
      </c>
      <c r="C415" t="s">
        <v>3654</v>
      </c>
      <c r="D415" t="s">
        <v>3655</v>
      </c>
      <c r="E415" t="s">
        <v>29</v>
      </c>
      <c r="F415" t="s">
        <v>30</v>
      </c>
      <c r="G415" t="s">
        <v>31</v>
      </c>
      <c r="J415" t="s">
        <v>3654</v>
      </c>
      <c r="K415" t="s">
        <v>1967</v>
      </c>
      <c r="L415" t="s">
        <v>2689</v>
      </c>
      <c r="M415" s="8">
        <v>0.738</v>
      </c>
      <c r="N415">
        <v>80.7856561622413</v>
      </c>
      <c r="O415">
        <v>2466</v>
      </c>
      <c r="P415" s="9">
        <v>0.538737804878049</v>
      </c>
      <c r="Q415" t="s">
        <v>366</v>
      </c>
      <c r="T415" s="15" t="s">
        <v>89</v>
      </c>
      <c r="W415" s="16" t="str">
        <f t="shared" si="42"/>
        <v>EN_WON_54_c02_CHL</v>
      </c>
      <c r="X415" s="12">
        <f t="shared" si="43"/>
        <v>2466</v>
      </c>
      <c r="Y415" s="11">
        <f t="shared" si="44"/>
        <v>2466</v>
      </c>
      <c r="AC415" t="s">
        <v>26</v>
      </c>
      <c r="AD415" t="s">
        <v>3656</v>
      </c>
      <c r="AE415" t="s">
        <v>3657</v>
      </c>
      <c r="AF415" t="s">
        <v>29</v>
      </c>
      <c r="AG415" t="s">
        <v>30</v>
      </c>
      <c r="AH415" t="s">
        <v>31</v>
      </c>
      <c r="AK415" t="s">
        <v>3656</v>
      </c>
      <c r="AL415" t="s">
        <v>1967</v>
      </c>
      <c r="AM415" t="s">
        <v>3532</v>
      </c>
      <c r="AN415" s="8">
        <v>21.1395</v>
      </c>
      <c r="AO415">
        <v>45.3852000911468</v>
      </c>
      <c r="AP415">
        <v>2034</v>
      </c>
      <c r="AQ415" s="9">
        <v>0.478128929255659</v>
      </c>
      <c r="AR415" t="s">
        <v>700</v>
      </c>
      <c r="AT415" s="15" t="s">
        <v>69</v>
      </c>
      <c r="AW415" s="11" t="str">
        <f t="shared" si="45"/>
        <v>EN_WOF_48_c01_FRA</v>
      </c>
      <c r="AX415" s="11">
        <f t="shared" si="46"/>
        <v>2034</v>
      </c>
      <c r="AY415" s="11">
        <f t="shared" si="47"/>
        <v>2034</v>
      </c>
      <c r="AZ415" s="17">
        <v>3</v>
      </c>
      <c r="BA415">
        <f t="shared" si="48"/>
        <v>20.34</v>
      </c>
    </row>
    <row r="416" spans="2:53">
      <c r="B416" t="s">
        <v>26</v>
      </c>
      <c r="C416" t="s">
        <v>3658</v>
      </c>
      <c r="D416" t="s">
        <v>3659</v>
      </c>
      <c r="E416" t="s">
        <v>29</v>
      </c>
      <c r="F416" t="s">
        <v>30</v>
      </c>
      <c r="G416" t="s">
        <v>31</v>
      </c>
      <c r="J416" t="s">
        <v>3658</v>
      </c>
      <c r="K416" t="s">
        <v>1967</v>
      </c>
      <c r="L416" t="s">
        <v>2689</v>
      </c>
      <c r="M416" s="8">
        <v>0.2205</v>
      </c>
      <c r="N416">
        <v>105.747516212372</v>
      </c>
      <c r="O416">
        <v>2466</v>
      </c>
      <c r="P416" s="9">
        <v>0.542</v>
      </c>
      <c r="Q416" t="s">
        <v>366</v>
      </c>
      <c r="T416" s="15" t="s">
        <v>89</v>
      </c>
      <c r="W416" s="16" t="str">
        <f t="shared" si="42"/>
        <v>EN_WON_54_c03_CHL</v>
      </c>
      <c r="X416" s="12">
        <f t="shared" si="43"/>
        <v>2466</v>
      </c>
      <c r="Y416" s="11">
        <f t="shared" si="44"/>
        <v>2466</v>
      </c>
      <c r="AC416" t="s">
        <v>26</v>
      </c>
      <c r="AD416" t="s">
        <v>3660</v>
      </c>
      <c r="AE416" t="s">
        <v>3661</v>
      </c>
      <c r="AF416" t="s">
        <v>29</v>
      </c>
      <c r="AG416" t="s">
        <v>30</v>
      </c>
      <c r="AH416" t="s">
        <v>31</v>
      </c>
      <c r="AK416" t="s">
        <v>3660</v>
      </c>
      <c r="AL416" t="s">
        <v>1967</v>
      </c>
      <c r="AM416" t="s">
        <v>3532</v>
      </c>
      <c r="AN416" s="8">
        <v>45.651</v>
      </c>
      <c r="AO416">
        <v>199.694880401046</v>
      </c>
      <c r="AP416">
        <v>1765</v>
      </c>
      <c r="AQ416" s="9">
        <v>0.477277584280739</v>
      </c>
      <c r="AR416" t="s">
        <v>700</v>
      </c>
      <c r="AT416" s="15" t="s">
        <v>69</v>
      </c>
      <c r="AW416" s="11" t="str">
        <f t="shared" si="45"/>
        <v>EN_WOF_48_c02_FRA</v>
      </c>
      <c r="AX416" s="11">
        <f t="shared" si="46"/>
        <v>1765</v>
      </c>
      <c r="AY416" s="11">
        <f t="shared" si="47"/>
        <v>1765</v>
      </c>
      <c r="AZ416" s="17">
        <v>3</v>
      </c>
      <c r="BA416">
        <f t="shared" si="48"/>
        <v>17.65</v>
      </c>
    </row>
    <row r="417" spans="2:53">
      <c r="B417" t="s">
        <v>26</v>
      </c>
      <c r="C417" t="s">
        <v>3662</v>
      </c>
      <c r="D417" t="s">
        <v>3663</v>
      </c>
      <c r="E417" t="s">
        <v>29</v>
      </c>
      <c r="F417" t="s">
        <v>30</v>
      </c>
      <c r="G417" t="s">
        <v>31</v>
      </c>
      <c r="J417" t="s">
        <v>3662</v>
      </c>
      <c r="K417" t="s">
        <v>1967</v>
      </c>
      <c r="L417" t="s">
        <v>2689</v>
      </c>
      <c r="M417" s="8">
        <v>0.159</v>
      </c>
      <c r="N417">
        <v>145.23264029167</v>
      </c>
      <c r="O417">
        <v>2466</v>
      </c>
      <c r="P417" s="9">
        <v>0.541</v>
      </c>
      <c r="Q417" t="s">
        <v>366</v>
      </c>
      <c r="T417" s="15" t="s">
        <v>89</v>
      </c>
      <c r="W417" s="16" t="str">
        <f t="shared" si="42"/>
        <v>EN_WON_54_c04_CHL</v>
      </c>
      <c r="X417" s="12">
        <f t="shared" si="43"/>
        <v>2466</v>
      </c>
      <c r="Y417" s="11">
        <f t="shared" si="44"/>
        <v>2466</v>
      </c>
      <c r="AC417" t="s">
        <v>26</v>
      </c>
      <c r="AD417" t="s">
        <v>3664</v>
      </c>
      <c r="AE417" t="s">
        <v>3665</v>
      </c>
      <c r="AF417" t="s">
        <v>29</v>
      </c>
      <c r="AG417" t="s">
        <v>30</v>
      </c>
      <c r="AH417" t="s">
        <v>31</v>
      </c>
      <c r="AK417" t="s">
        <v>3664</v>
      </c>
      <c r="AL417" t="s">
        <v>1967</v>
      </c>
      <c r="AM417" t="s">
        <v>3532</v>
      </c>
      <c r="AN417" s="8">
        <v>0.50025</v>
      </c>
      <c r="AO417">
        <v>45.3852000911468</v>
      </c>
      <c r="AP417">
        <v>2034</v>
      </c>
      <c r="AQ417" s="9">
        <v>0.488823088455772</v>
      </c>
      <c r="AR417" t="s">
        <v>700</v>
      </c>
      <c r="AT417" s="15" t="s">
        <v>69</v>
      </c>
      <c r="AW417" s="11" t="str">
        <f t="shared" si="45"/>
        <v>EN_WOF_49_c01_FRA</v>
      </c>
      <c r="AX417" s="11">
        <f t="shared" si="46"/>
        <v>2034</v>
      </c>
      <c r="AY417" s="11">
        <f t="shared" si="47"/>
        <v>2034</v>
      </c>
      <c r="AZ417" s="17">
        <v>3</v>
      </c>
      <c r="BA417">
        <f t="shared" si="48"/>
        <v>20.34</v>
      </c>
    </row>
    <row r="418" spans="2:53">
      <c r="B418" t="s">
        <v>26</v>
      </c>
      <c r="C418" t="s">
        <v>3666</v>
      </c>
      <c r="D418" t="s">
        <v>3667</v>
      </c>
      <c r="E418" t="s">
        <v>29</v>
      </c>
      <c r="F418" t="s">
        <v>30</v>
      </c>
      <c r="G418" t="s">
        <v>31</v>
      </c>
      <c r="J418" t="s">
        <v>3666</v>
      </c>
      <c r="K418" t="s">
        <v>1967</v>
      </c>
      <c r="L418" t="s">
        <v>2689</v>
      </c>
      <c r="M418" s="8">
        <v>6.4935</v>
      </c>
      <c r="N418">
        <v>0</v>
      </c>
      <c r="O418">
        <v>2466</v>
      </c>
      <c r="P418" s="9">
        <v>0.551609494109494</v>
      </c>
      <c r="Q418" t="s">
        <v>366</v>
      </c>
      <c r="T418" s="15" t="s">
        <v>89</v>
      </c>
      <c r="W418" s="16" t="str">
        <f t="shared" si="42"/>
        <v>EN_WON_55_c01_CHL</v>
      </c>
      <c r="X418" s="12">
        <f t="shared" si="43"/>
        <v>2466</v>
      </c>
      <c r="Y418" s="11">
        <f t="shared" si="44"/>
        <v>2466</v>
      </c>
      <c r="AC418" t="s">
        <v>26</v>
      </c>
      <c r="AD418" t="s">
        <v>3668</v>
      </c>
      <c r="AE418" t="s">
        <v>3669</v>
      </c>
      <c r="AF418" t="s">
        <v>29</v>
      </c>
      <c r="AG418" t="s">
        <v>30</v>
      </c>
      <c r="AH418" t="s">
        <v>31</v>
      </c>
      <c r="AK418" t="s">
        <v>3668</v>
      </c>
      <c r="AL418" t="s">
        <v>1967</v>
      </c>
      <c r="AM418" t="s">
        <v>3532</v>
      </c>
      <c r="AN418" s="8">
        <v>0.50025</v>
      </c>
      <c r="AO418">
        <v>199.694880401046</v>
      </c>
      <c r="AP418">
        <v>1765</v>
      </c>
      <c r="AQ418" s="9">
        <v>0.488823088455772</v>
      </c>
      <c r="AR418" t="s">
        <v>700</v>
      </c>
      <c r="AT418" s="15" t="s">
        <v>69</v>
      </c>
      <c r="AW418" s="11" t="str">
        <f t="shared" si="45"/>
        <v>EN_WOF_49_c02_FRA</v>
      </c>
      <c r="AX418" s="11">
        <f t="shared" si="46"/>
        <v>1765</v>
      </c>
      <c r="AY418" s="11">
        <f t="shared" si="47"/>
        <v>1765</v>
      </c>
      <c r="AZ418" s="17">
        <v>3</v>
      </c>
      <c r="BA418">
        <f t="shared" si="48"/>
        <v>17.65</v>
      </c>
    </row>
    <row r="419" spans="2:53">
      <c r="B419" t="s">
        <v>26</v>
      </c>
      <c r="C419" t="s">
        <v>3670</v>
      </c>
      <c r="D419" t="s">
        <v>3671</v>
      </c>
      <c r="E419" t="s">
        <v>29</v>
      </c>
      <c r="F419" t="s">
        <v>30</v>
      </c>
      <c r="G419" t="s">
        <v>31</v>
      </c>
      <c r="J419" t="s">
        <v>3670</v>
      </c>
      <c r="K419" t="s">
        <v>1967</v>
      </c>
      <c r="L419" t="s">
        <v>2689</v>
      </c>
      <c r="M419" s="8">
        <v>0.86325</v>
      </c>
      <c r="N419">
        <v>80.7856561622413</v>
      </c>
      <c r="O419">
        <v>2466</v>
      </c>
      <c r="P419" s="9">
        <v>0.551</v>
      </c>
      <c r="Q419" t="s">
        <v>366</v>
      </c>
      <c r="T419" s="15" t="s">
        <v>89</v>
      </c>
      <c r="W419" s="16" t="str">
        <f t="shared" si="42"/>
        <v>EN_WON_55_c02_CHL</v>
      </c>
      <c r="X419" s="12">
        <f t="shared" si="43"/>
        <v>2466</v>
      </c>
      <c r="Y419" s="11">
        <f t="shared" si="44"/>
        <v>2466</v>
      </c>
      <c r="AC419" t="s">
        <v>26</v>
      </c>
      <c r="AD419" t="s">
        <v>3672</v>
      </c>
      <c r="AE419" t="s">
        <v>3673</v>
      </c>
      <c r="AF419" t="s">
        <v>29</v>
      </c>
      <c r="AG419" t="s">
        <v>30</v>
      </c>
      <c r="AH419" t="s">
        <v>31</v>
      </c>
      <c r="AK419" t="s">
        <v>3672</v>
      </c>
      <c r="AL419" t="s">
        <v>1967</v>
      </c>
      <c r="AM419" t="s">
        <v>3674</v>
      </c>
      <c r="AN419" s="8">
        <v>2.985</v>
      </c>
      <c r="AO419">
        <v>199.694880401046</v>
      </c>
      <c r="AP419">
        <v>1756</v>
      </c>
      <c r="AQ419" s="9">
        <v>0.41</v>
      </c>
      <c r="AR419" t="s">
        <v>736</v>
      </c>
      <c r="AT419" s="15" t="s">
        <v>69</v>
      </c>
      <c r="AW419" s="11" t="str">
        <f t="shared" si="45"/>
        <v>EN_WOF_41_c02_GBR</v>
      </c>
      <c r="AX419" s="11">
        <f t="shared" si="46"/>
        <v>1756</v>
      </c>
      <c r="AY419" s="11">
        <f t="shared" si="47"/>
        <v>1756</v>
      </c>
      <c r="AZ419" s="17">
        <v>3</v>
      </c>
      <c r="BA419">
        <f t="shared" si="48"/>
        <v>17.56</v>
      </c>
    </row>
    <row r="420" spans="2:53">
      <c r="B420" t="s">
        <v>26</v>
      </c>
      <c r="C420" t="s">
        <v>3675</v>
      </c>
      <c r="D420" t="s">
        <v>3676</v>
      </c>
      <c r="E420" t="s">
        <v>29</v>
      </c>
      <c r="F420" t="s">
        <v>30</v>
      </c>
      <c r="G420" t="s">
        <v>31</v>
      </c>
      <c r="J420" t="s">
        <v>3675</v>
      </c>
      <c r="K420" t="s">
        <v>1967</v>
      </c>
      <c r="L420" t="s">
        <v>2689</v>
      </c>
      <c r="M420" s="8">
        <v>2.39175</v>
      </c>
      <c r="N420">
        <v>0</v>
      </c>
      <c r="O420">
        <v>2466</v>
      </c>
      <c r="P420" s="9">
        <v>0.557257447475698</v>
      </c>
      <c r="Q420" t="s">
        <v>366</v>
      </c>
      <c r="T420" s="15" t="s">
        <v>89</v>
      </c>
      <c r="W420" s="16" t="str">
        <f t="shared" si="42"/>
        <v>EN_WON_56_c01_CHL</v>
      </c>
      <c r="X420" s="12">
        <f t="shared" si="43"/>
        <v>2466</v>
      </c>
      <c r="Y420" s="11">
        <f t="shared" si="44"/>
        <v>2466</v>
      </c>
      <c r="AC420" t="s">
        <v>26</v>
      </c>
      <c r="AD420" t="s">
        <v>3677</v>
      </c>
      <c r="AE420" t="s">
        <v>3678</v>
      </c>
      <c r="AF420" t="s">
        <v>29</v>
      </c>
      <c r="AG420" t="s">
        <v>30</v>
      </c>
      <c r="AH420" t="s">
        <v>31</v>
      </c>
      <c r="AK420" t="s">
        <v>3677</v>
      </c>
      <c r="AL420" t="s">
        <v>1967</v>
      </c>
      <c r="AM420" t="s">
        <v>3674</v>
      </c>
      <c r="AN420" s="8">
        <v>3.1635</v>
      </c>
      <c r="AO420">
        <v>199.694880401046</v>
      </c>
      <c r="AP420">
        <v>1756</v>
      </c>
      <c r="AQ420" s="9">
        <v>0.415</v>
      </c>
      <c r="AR420" t="s">
        <v>736</v>
      </c>
      <c r="AT420" s="15" t="s">
        <v>69</v>
      </c>
      <c r="AW420" s="11" t="str">
        <f t="shared" si="45"/>
        <v>EN_WOF_42_c02_GBR</v>
      </c>
      <c r="AX420" s="11">
        <f t="shared" si="46"/>
        <v>1756</v>
      </c>
      <c r="AY420" s="11">
        <f t="shared" si="47"/>
        <v>1756</v>
      </c>
      <c r="AZ420" s="17">
        <v>3</v>
      </c>
      <c r="BA420">
        <f t="shared" si="48"/>
        <v>17.56</v>
      </c>
    </row>
    <row r="421" spans="2:53">
      <c r="B421" t="s">
        <v>26</v>
      </c>
      <c r="C421" t="s">
        <v>3679</v>
      </c>
      <c r="D421" t="s">
        <v>3680</v>
      </c>
      <c r="E421" t="s">
        <v>29</v>
      </c>
      <c r="F421" t="s">
        <v>30</v>
      </c>
      <c r="G421" t="s">
        <v>31</v>
      </c>
      <c r="J421" t="s">
        <v>3679</v>
      </c>
      <c r="K421" t="s">
        <v>1967</v>
      </c>
      <c r="L421" t="s">
        <v>2689</v>
      </c>
      <c r="M421" s="8">
        <v>0.35625</v>
      </c>
      <c r="N421">
        <v>80.7856561622413</v>
      </c>
      <c r="O421">
        <v>2466</v>
      </c>
      <c r="P421" s="9">
        <v>0.557865263157895</v>
      </c>
      <c r="Q421" t="s">
        <v>366</v>
      </c>
      <c r="T421" s="15" t="s">
        <v>89</v>
      </c>
      <c r="W421" s="16" t="str">
        <f t="shared" si="42"/>
        <v>EN_WON_56_c02_CHL</v>
      </c>
      <c r="X421" s="12">
        <f t="shared" si="43"/>
        <v>2466</v>
      </c>
      <c r="Y421" s="11">
        <f t="shared" si="44"/>
        <v>2466</v>
      </c>
      <c r="AC421" t="s">
        <v>26</v>
      </c>
      <c r="AD421" t="s">
        <v>3681</v>
      </c>
      <c r="AE421" t="s">
        <v>3682</v>
      </c>
      <c r="AF421" t="s">
        <v>29</v>
      </c>
      <c r="AG421" t="s">
        <v>30</v>
      </c>
      <c r="AH421" t="s">
        <v>31</v>
      </c>
      <c r="AK421" t="s">
        <v>3681</v>
      </c>
      <c r="AL421" t="s">
        <v>1967</v>
      </c>
      <c r="AM421" t="s">
        <v>3674</v>
      </c>
      <c r="AN421" s="8">
        <v>2.367</v>
      </c>
      <c r="AO421">
        <v>199.694880401046</v>
      </c>
      <c r="AP421">
        <v>1756</v>
      </c>
      <c r="AQ421" s="9">
        <v>0.45</v>
      </c>
      <c r="AR421" t="s">
        <v>736</v>
      </c>
      <c r="AT421" s="15" t="s">
        <v>69</v>
      </c>
      <c r="AW421" s="11" t="str">
        <f t="shared" si="45"/>
        <v>EN_WOF_45_c02_GBR</v>
      </c>
      <c r="AX421" s="11">
        <f t="shared" si="46"/>
        <v>1756</v>
      </c>
      <c r="AY421" s="11">
        <f t="shared" si="47"/>
        <v>1756</v>
      </c>
      <c r="AZ421" s="17">
        <v>3</v>
      </c>
      <c r="BA421">
        <f t="shared" si="48"/>
        <v>17.56</v>
      </c>
    </row>
    <row r="422" spans="2:53">
      <c r="B422" t="s">
        <v>26</v>
      </c>
      <c r="C422" t="s">
        <v>3683</v>
      </c>
      <c r="D422" t="s">
        <v>3684</v>
      </c>
      <c r="E422" t="s">
        <v>29</v>
      </c>
      <c r="F422" t="s">
        <v>30</v>
      </c>
      <c r="G422" t="s">
        <v>31</v>
      </c>
      <c r="J422" t="s">
        <v>3683</v>
      </c>
      <c r="K422" t="s">
        <v>1967</v>
      </c>
      <c r="L422" t="s">
        <v>2689</v>
      </c>
      <c r="M422" s="8">
        <v>0.9495</v>
      </c>
      <c r="N422">
        <v>80.7856561622413</v>
      </c>
      <c r="O422">
        <v>2466</v>
      </c>
      <c r="P422" s="9">
        <v>0.569582938388626</v>
      </c>
      <c r="Q422" t="s">
        <v>366</v>
      </c>
      <c r="T422" s="15" t="s">
        <v>89</v>
      </c>
      <c r="W422" s="16" t="str">
        <f t="shared" si="42"/>
        <v>EN_WON_57_c02_CHL</v>
      </c>
      <c r="X422" s="12">
        <f t="shared" si="43"/>
        <v>2466</v>
      </c>
      <c r="Y422" s="11">
        <f t="shared" si="44"/>
        <v>2466</v>
      </c>
      <c r="AC422" t="s">
        <v>26</v>
      </c>
      <c r="AD422" t="s">
        <v>3685</v>
      </c>
      <c r="AE422" t="s">
        <v>3686</v>
      </c>
      <c r="AF422" t="s">
        <v>29</v>
      </c>
      <c r="AG422" t="s">
        <v>30</v>
      </c>
      <c r="AH422" t="s">
        <v>31</v>
      </c>
      <c r="AK422" t="s">
        <v>3685</v>
      </c>
      <c r="AL422" t="s">
        <v>1967</v>
      </c>
      <c r="AM422" t="s">
        <v>3674</v>
      </c>
      <c r="AN422" s="8">
        <v>7.4265</v>
      </c>
      <c r="AO422">
        <v>199.694880401046</v>
      </c>
      <c r="AP422">
        <v>1756</v>
      </c>
      <c r="AQ422" s="9">
        <v>0.462865885679661</v>
      </c>
      <c r="AR422" t="s">
        <v>736</v>
      </c>
      <c r="AT422" s="15" t="s">
        <v>69</v>
      </c>
      <c r="AW422" s="11" t="str">
        <f t="shared" si="45"/>
        <v>EN_WOF_46_c02_GBR</v>
      </c>
      <c r="AX422" s="11">
        <f t="shared" si="46"/>
        <v>1756</v>
      </c>
      <c r="AY422" s="11">
        <f t="shared" si="47"/>
        <v>1756</v>
      </c>
      <c r="AZ422" s="17">
        <v>3</v>
      </c>
      <c r="BA422">
        <f t="shared" si="48"/>
        <v>17.56</v>
      </c>
    </row>
    <row r="423" spans="2:53">
      <c r="B423" t="s">
        <v>26</v>
      </c>
      <c r="C423" t="s">
        <v>3687</v>
      </c>
      <c r="D423" t="s">
        <v>3688</v>
      </c>
      <c r="E423" t="s">
        <v>29</v>
      </c>
      <c r="F423" t="s">
        <v>30</v>
      </c>
      <c r="G423" t="s">
        <v>31</v>
      </c>
      <c r="J423" t="s">
        <v>3687</v>
      </c>
      <c r="K423" t="s">
        <v>1967</v>
      </c>
      <c r="L423" t="s">
        <v>2689</v>
      </c>
      <c r="M423" s="8">
        <v>0.4605</v>
      </c>
      <c r="N423">
        <v>105.747516212372</v>
      </c>
      <c r="O423">
        <v>2466</v>
      </c>
      <c r="P423" s="9">
        <v>0.568482084690554</v>
      </c>
      <c r="Q423" t="s">
        <v>366</v>
      </c>
      <c r="T423" s="15" t="s">
        <v>89</v>
      </c>
      <c r="W423" s="16" t="str">
        <f t="shared" si="42"/>
        <v>EN_WON_57_c03_CHL</v>
      </c>
      <c r="X423" s="12">
        <f t="shared" si="43"/>
        <v>2466</v>
      </c>
      <c r="Y423" s="11">
        <f t="shared" si="44"/>
        <v>2466</v>
      </c>
      <c r="AC423" t="s">
        <v>26</v>
      </c>
      <c r="AD423" t="s">
        <v>3689</v>
      </c>
      <c r="AE423" t="s">
        <v>3690</v>
      </c>
      <c r="AF423" t="s">
        <v>29</v>
      </c>
      <c r="AG423" t="s">
        <v>30</v>
      </c>
      <c r="AH423" t="s">
        <v>31</v>
      </c>
      <c r="AK423" t="s">
        <v>3689</v>
      </c>
      <c r="AL423" t="s">
        <v>1967</v>
      </c>
      <c r="AM423" t="s">
        <v>3674</v>
      </c>
      <c r="AN423" s="8">
        <v>245.9385</v>
      </c>
      <c r="AO423">
        <v>199.694880401046</v>
      </c>
      <c r="AP423">
        <v>1756</v>
      </c>
      <c r="AQ423" s="9">
        <v>0.471284687025415</v>
      </c>
      <c r="AR423" t="s">
        <v>736</v>
      </c>
      <c r="AT423" s="15" t="s">
        <v>69</v>
      </c>
      <c r="AW423" s="11" t="str">
        <f t="shared" si="45"/>
        <v>EN_WOF_47_c02_GBR</v>
      </c>
      <c r="AX423" s="11">
        <f t="shared" si="46"/>
        <v>1756</v>
      </c>
      <c r="AY423" s="11">
        <f t="shared" si="47"/>
        <v>1756</v>
      </c>
      <c r="AZ423" s="17">
        <v>3</v>
      </c>
      <c r="BA423">
        <f t="shared" si="48"/>
        <v>17.56</v>
      </c>
    </row>
    <row r="424" spans="2:53">
      <c r="B424" t="s">
        <v>26</v>
      </c>
      <c r="C424" t="s">
        <v>3691</v>
      </c>
      <c r="D424" t="s">
        <v>3692</v>
      </c>
      <c r="E424" t="s">
        <v>29</v>
      </c>
      <c r="F424" t="s">
        <v>30</v>
      </c>
      <c r="G424" t="s">
        <v>31</v>
      </c>
      <c r="J424" t="s">
        <v>3691</v>
      </c>
      <c r="K424" t="s">
        <v>1967</v>
      </c>
      <c r="L424" t="s">
        <v>2689</v>
      </c>
      <c r="M424" s="8">
        <v>0.08175</v>
      </c>
      <c r="N424">
        <v>80.7856561622413</v>
      </c>
      <c r="O424">
        <v>2466</v>
      </c>
      <c r="P424" s="9">
        <v>0.577</v>
      </c>
      <c r="Q424" t="s">
        <v>366</v>
      </c>
      <c r="T424" s="15" t="s">
        <v>89</v>
      </c>
      <c r="W424" s="16" t="str">
        <f t="shared" si="42"/>
        <v>EN_WON_58_c02_CHL</v>
      </c>
      <c r="X424" s="12">
        <f t="shared" si="43"/>
        <v>2466</v>
      </c>
      <c r="Y424" s="11">
        <f t="shared" si="44"/>
        <v>2466</v>
      </c>
      <c r="AC424" t="s">
        <v>26</v>
      </c>
      <c r="AD424" t="s">
        <v>3693</v>
      </c>
      <c r="AE424" t="s">
        <v>3694</v>
      </c>
      <c r="AF424" t="s">
        <v>29</v>
      </c>
      <c r="AG424" t="s">
        <v>30</v>
      </c>
      <c r="AH424" t="s">
        <v>31</v>
      </c>
      <c r="AK424" t="s">
        <v>3693</v>
      </c>
      <c r="AL424" t="s">
        <v>1967</v>
      </c>
      <c r="AM424" t="s">
        <v>3674</v>
      </c>
      <c r="AN424" s="8">
        <v>392.526</v>
      </c>
      <c r="AO424">
        <v>199.694880401046</v>
      </c>
      <c r="AP424">
        <v>1756</v>
      </c>
      <c r="AQ424" s="9">
        <v>0.479483522110638</v>
      </c>
      <c r="AR424" t="s">
        <v>736</v>
      </c>
      <c r="AT424" s="15" t="s">
        <v>69</v>
      </c>
      <c r="AW424" s="11" t="str">
        <f t="shared" si="45"/>
        <v>EN_WOF_48_c02_GBR</v>
      </c>
      <c r="AX424" s="11">
        <f t="shared" si="46"/>
        <v>1756</v>
      </c>
      <c r="AY424" s="11">
        <f t="shared" si="47"/>
        <v>1756</v>
      </c>
      <c r="AZ424" s="17">
        <v>3</v>
      </c>
      <c r="BA424">
        <f t="shared" si="48"/>
        <v>17.56</v>
      </c>
    </row>
    <row r="425" spans="2:53">
      <c r="B425" t="s">
        <v>26</v>
      </c>
      <c r="C425" t="s">
        <v>3695</v>
      </c>
      <c r="D425" t="s">
        <v>3696</v>
      </c>
      <c r="E425" t="s">
        <v>29</v>
      </c>
      <c r="F425" t="s">
        <v>30</v>
      </c>
      <c r="G425" t="s">
        <v>31</v>
      </c>
      <c r="J425" t="s">
        <v>3695</v>
      </c>
      <c r="K425" t="s">
        <v>1967</v>
      </c>
      <c r="L425" t="s">
        <v>2689</v>
      </c>
      <c r="M425" s="8">
        <v>1.1145</v>
      </c>
      <c r="N425">
        <v>0</v>
      </c>
      <c r="O425">
        <v>2466</v>
      </c>
      <c r="P425" s="9">
        <v>0.585</v>
      </c>
      <c r="Q425" t="s">
        <v>366</v>
      </c>
      <c r="T425" s="15" t="s">
        <v>89</v>
      </c>
      <c r="W425" s="16" t="str">
        <f t="shared" si="42"/>
        <v>EN_WON_59_c01_CHL</v>
      </c>
      <c r="X425" s="12">
        <f t="shared" si="43"/>
        <v>2466</v>
      </c>
      <c r="Y425" s="11">
        <f t="shared" si="44"/>
        <v>2466</v>
      </c>
      <c r="AC425" t="s">
        <v>26</v>
      </c>
      <c r="AD425" t="s">
        <v>3697</v>
      </c>
      <c r="AE425" t="s">
        <v>3698</v>
      </c>
      <c r="AF425" t="s">
        <v>29</v>
      </c>
      <c r="AG425" t="s">
        <v>30</v>
      </c>
      <c r="AH425" t="s">
        <v>31</v>
      </c>
      <c r="AK425" t="s">
        <v>3697</v>
      </c>
      <c r="AL425" t="s">
        <v>1967</v>
      </c>
      <c r="AM425" t="s">
        <v>3674</v>
      </c>
      <c r="AN425" s="8">
        <v>493.8525</v>
      </c>
      <c r="AO425">
        <v>199.694880401046</v>
      </c>
      <c r="AP425">
        <v>1756</v>
      </c>
      <c r="AQ425" s="9">
        <v>0.490602299269519</v>
      </c>
      <c r="AR425" t="s">
        <v>736</v>
      </c>
      <c r="AT425" s="15" t="s">
        <v>69</v>
      </c>
      <c r="AW425" s="11" t="str">
        <f t="shared" si="45"/>
        <v>EN_WOF_49_c02_GBR</v>
      </c>
      <c r="AX425" s="11">
        <f t="shared" si="46"/>
        <v>1756</v>
      </c>
      <c r="AY425" s="11">
        <f t="shared" si="47"/>
        <v>1756</v>
      </c>
      <c r="AZ425" s="17">
        <v>3</v>
      </c>
      <c r="BA425">
        <f t="shared" si="48"/>
        <v>17.56</v>
      </c>
    </row>
    <row r="426" spans="2:53">
      <c r="B426" t="s">
        <v>26</v>
      </c>
      <c r="C426" t="s">
        <v>3699</v>
      </c>
      <c r="D426" t="s">
        <v>3700</v>
      </c>
      <c r="E426" t="s">
        <v>29</v>
      </c>
      <c r="F426" t="s">
        <v>30</v>
      </c>
      <c r="G426" t="s">
        <v>31</v>
      </c>
      <c r="J426" t="s">
        <v>3699</v>
      </c>
      <c r="K426" t="s">
        <v>1967</v>
      </c>
      <c r="L426" t="s">
        <v>2689</v>
      </c>
      <c r="M426" s="8">
        <v>0.177</v>
      </c>
      <c r="N426">
        <v>80.7856561622413</v>
      </c>
      <c r="O426">
        <v>2466</v>
      </c>
      <c r="P426" s="9">
        <v>0.58843220338983</v>
      </c>
      <c r="Q426" t="s">
        <v>366</v>
      </c>
      <c r="T426" s="15" t="s">
        <v>89</v>
      </c>
      <c r="W426" s="16" t="str">
        <f t="shared" si="42"/>
        <v>EN_WON_59_c02_CHL</v>
      </c>
      <c r="X426" s="12">
        <f t="shared" si="43"/>
        <v>2466</v>
      </c>
      <c r="Y426" s="11">
        <f t="shared" si="44"/>
        <v>2466</v>
      </c>
      <c r="AC426" t="s">
        <v>26</v>
      </c>
      <c r="AD426" t="s">
        <v>3701</v>
      </c>
      <c r="AE426" t="s">
        <v>3702</v>
      </c>
      <c r="AF426" t="s">
        <v>29</v>
      </c>
      <c r="AG426" t="s">
        <v>30</v>
      </c>
      <c r="AH426" t="s">
        <v>31</v>
      </c>
      <c r="AK426" t="s">
        <v>3701</v>
      </c>
      <c r="AL426" t="s">
        <v>1967</v>
      </c>
      <c r="AM426" t="s">
        <v>3674</v>
      </c>
      <c r="AN426" s="8">
        <v>627.105</v>
      </c>
      <c r="AO426">
        <v>199.694880401046</v>
      </c>
      <c r="AP426">
        <v>1756</v>
      </c>
      <c r="AQ426" s="9">
        <v>0.500402545028345</v>
      </c>
      <c r="AR426" t="s">
        <v>736</v>
      </c>
      <c r="AT426" s="15" t="s">
        <v>69</v>
      </c>
      <c r="AW426" s="11" t="str">
        <f t="shared" si="45"/>
        <v>EN_WOF_50_c02_GBR</v>
      </c>
      <c r="AX426" s="11">
        <f t="shared" si="46"/>
        <v>1756</v>
      </c>
      <c r="AY426" s="11">
        <f t="shared" si="47"/>
        <v>1756</v>
      </c>
      <c r="AZ426" s="17">
        <v>3</v>
      </c>
      <c r="BA426">
        <f t="shared" si="48"/>
        <v>17.56</v>
      </c>
    </row>
    <row r="427" spans="2:53">
      <c r="B427" t="s">
        <v>26</v>
      </c>
      <c r="C427" t="s">
        <v>3703</v>
      </c>
      <c r="D427" t="s">
        <v>3704</v>
      </c>
      <c r="E427" t="s">
        <v>29</v>
      </c>
      <c r="F427" t="s">
        <v>30</v>
      </c>
      <c r="G427" t="s">
        <v>31</v>
      </c>
      <c r="J427" t="s">
        <v>3703</v>
      </c>
      <c r="K427" t="s">
        <v>1967</v>
      </c>
      <c r="L427" t="s">
        <v>2689</v>
      </c>
      <c r="M427" s="8">
        <v>0.19875</v>
      </c>
      <c r="N427">
        <v>80.7856561622413</v>
      </c>
      <c r="O427">
        <v>2466</v>
      </c>
      <c r="P427" s="9">
        <v>0.603641509433962</v>
      </c>
      <c r="Q427" t="s">
        <v>366</v>
      </c>
      <c r="T427" s="15" t="s">
        <v>89</v>
      </c>
      <c r="W427" s="16" t="str">
        <f t="shared" si="42"/>
        <v>EN_WON_60_c02_CHL</v>
      </c>
      <c r="X427" s="12">
        <f t="shared" si="43"/>
        <v>2466</v>
      </c>
      <c r="Y427" s="11">
        <f t="shared" si="44"/>
        <v>2466</v>
      </c>
      <c r="AC427" t="s">
        <v>26</v>
      </c>
      <c r="AD427" t="s">
        <v>3705</v>
      </c>
      <c r="AE427" t="s">
        <v>3706</v>
      </c>
      <c r="AF427" t="s">
        <v>29</v>
      </c>
      <c r="AG427" t="s">
        <v>30</v>
      </c>
      <c r="AH427" t="s">
        <v>31</v>
      </c>
      <c r="AK427" t="s">
        <v>3705</v>
      </c>
      <c r="AL427" t="s">
        <v>1967</v>
      </c>
      <c r="AM427" t="s">
        <v>3674</v>
      </c>
      <c r="AN427" s="8">
        <v>587.984999999999</v>
      </c>
      <c r="AO427">
        <v>199.694880401046</v>
      </c>
      <c r="AP427">
        <v>1756</v>
      </c>
      <c r="AQ427" s="9">
        <v>0.508292316130514</v>
      </c>
      <c r="AR427" t="s">
        <v>736</v>
      </c>
      <c r="AT427" s="15" t="s">
        <v>69</v>
      </c>
      <c r="AW427" s="11" t="str">
        <f t="shared" si="45"/>
        <v>EN_WOF_51_c02_GBR</v>
      </c>
      <c r="AX427" s="11">
        <f t="shared" si="46"/>
        <v>1756</v>
      </c>
      <c r="AY427" s="11">
        <f t="shared" si="47"/>
        <v>1756</v>
      </c>
      <c r="AZ427" s="17">
        <v>3</v>
      </c>
      <c r="BA427">
        <f t="shared" si="48"/>
        <v>17.56</v>
      </c>
    </row>
    <row r="428" spans="2:53">
      <c r="B428" t="s">
        <v>26</v>
      </c>
      <c r="C428" t="s">
        <v>3707</v>
      </c>
      <c r="D428" t="s">
        <v>3708</v>
      </c>
      <c r="E428" t="s">
        <v>29</v>
      </c>
      <c r="F428" t="s">
        <v>30</v>
      </c>
      <c r="G428" t="s">
        <v>31</v>
      </c>
      <c r="J428" t="s">
        <v>3707</v>
      </c>
      <c r="K428" t="s">
        <v>1967</v>
      </c>
      <c r="L428" t="s">
        <v>2689</v>
      </c>
      <c r="M428" s="8">
        <v>0.4065</v>
      </c>
      <c r="N428">
        <v>105.747516212372</v>
      </c>
      <c r="O428">
        <v>2466</v>
      </c>
      <c r="P428" s="9">
        <v>0.596420664206642</v>
      </c>
      <c r="Q428" t="s">
        <v>366</v>
      </c>
      <c r="T428" s="15" t="s">
        <v>89</v>
      </c>
      <c r="W428" s="16" t="str">
        <f t="shared" si="42"/>
        <v>EN_WON_60_c03_CHL</v>
      </c>
      <c r="X428" s="12">
        <f t="shared" si="43"/>
        <v>2466</v>
      </c>
      <c r="Y428" s="11">
        <f t="shared" si="44"/>
        <v>2466</v>
      </c>
      <c r="AC428" t="s">
        <v>26</v>
      </c>
      <c r="AD428" t="s">
        <v>3709</v>
      </c>
      <c r="AE428" t="s">
        <v>3710</v>
      </c>
      <c r="AF428" t="s">
        <v>29</v>
      </c>
      <c r="AG428" t="s">
        <v>30</v>
      </c>
      <c r="AH428" t="s">
        <v>31</v>
      </c>
      <c r="AK428" t="s">
        <v>3709</v>
      </c>
      <c r="AL428" t="s">
        <v>1967</v>
      </c>
      <c r="AM428" t="s">
        <v>3674</v>
      </c>
      <c r="AN428" s="8">
        <v>468.894</v>
      </c>
      <c r="AO428">
        <v>199.694880401046</v>
      </c>
      <c r="AP428">
        <v>1756</v>
      </c>
      <c r="AQ428" s="9">
        <v>0.519312374438573</v>
      </c>
      <c r="AR428" t="s">
        <v>736</v>
      </c>
      <c r="AT428" s="15" t="s">
        <v>69</v>
      </c>
      <c r="AW428" s="11" t="str">
        <f t="shared" si="45"/>
        <v>EN_WOF_52_c02_GBR</v>
      </c>
      <c r="AX428" s="11">
        <f t="shared" si="46"/>
        <v>1756</v>
      </c>
      <c r="AY428" s="11">
        <f t="shared" si="47"/>
        <v>1756</v>
      </c>
      <c r="AZ428" s="17">
        <v>3</v>
      </c>
      <c r="BA428">
        <f t="shared" si="48"/>
        <v>17.56</v>
      </c>
    </row>
    <row r="429" spans="2:53">
      <c r="B429" t="s">
        <v>26</v>
      </c>
      <c r="C429" t="s">
        <v>3711</v>
      </c>
      <c r="D429" t="s">
        <v>3712</v>
      </c>
      <c r="E429" t="s">
        <v>29</v>
      </c>
      <c r="F429" t="s">
        <v>30</v>
      </c>
      <c r="G429" t="s">
        <v>31</v>
      </c>
      <c r="J429" t="s">
        <v>3711</v>
      </c>
      <c r="K429" t="s">
        <v>1967</v>
      </c>
      <c r="L429" t="s">
        <v>2689</v>
      </c>
      <c r="M429" s="8">
        <v>1.3335</v>
      </c>
      <c r="N429">
        <v>80.7856561622413</v>
      </c>
      <c r="O429">
        <v>2466</v>
      </c>
      <c r="P429" s="9">
        <v>0.609171541057368</v>
      </c>
      <c r="Q429" t="s">
        <v>366</v>
      </c>
      <c r="T429" s="15" t="s">
        <v>89</v>
      </c>
      <c r="W429" s="16" t="str">
        <f t="shared" si="42"/>
        <v>EN_WON_61_c02_CHL</v>
      </c>
      <c r="X429" s="12">
        <f t="shared" si="43"/>
        <v>2466</v>
      </c>
      <c r="Y429" s="11">
        <f t="shared" si="44"/>
        <v>2466</v>
      </c>
      <c r="AC429" t="s">
        <v>26</v>
      </c>
      <c r="AD429" t="s">
        <v>3713</v>
      </c>
      <c r="AE429" t="s">
        <v>3714</v>
      </c>
      <c r="AF429" t="s">
        <v>29</v>
      </c>
      <c r="AG429" t="s">
        <v>30</v>
      </c>
      <c r="AH429" t="s">
        <v>31</v>
      </c>
      <c r="AK429" t="s">
        <v>3713</v>
      </c>
      <c r="AL429" t="s">
        <v>1967</v>
      </c>
      <c r="AM429" t="s">
        <v>3674</v>
      </c>
      <c r="AN429" s="8">
        <v>335.5545</v>
      </c>
      <c r="AO429">
        <v>199.694880401046</v>
      </c>
      <c r="AP429">
        <v>1756</v>
      </c>
      <c r="AQ429" s="9">
        <v>0.530142680250153</v>
      </c>
      <c r="AR429" t="s">
        <v>736</v>
      </c>
      <c r="AT429" s="15" t="s">
        <v>69</v>
      </c>
      <c r="AW429" s="11" t="str">
        <f t="shared" si="45"/>
        <v>EN_WOF_53_c02_GBR</v>
      </c>
      <c r="AX429" s="11">
        <f t="shared" si="46"/>
        <v>1756</v>
      </c>
      <c r="AY429" s="11">
        <f t="shared" si="47"/>
        <v>1756</v>
      </c>
      <c r="AZ429" s="17">
        <v>3</v>
      </c>
      <c r="BA429">
        <f t="shared" si="48"/>
        <v>17.56</v>
      </c>
    </row>
    <row r="430" spans="2:53">
      <c r="B430" t="s">
        <v>26</v>
      </c>
      <c r="C430" t="s">
        <v>3715</v>
      </c>
      <c r="D430" t="s">
        <v>3716</v>
      </c>
      <c r="E430" t="s">
        <v>29</v>
      </c>
      <c r="F430" t="s">
        <v>30</v>
      </c>
      <c r="G430" t="s">
        <v>31</v>
      </c>
      <c r="J430" t="s">
        <v>3715</v>
      </c>
      <c r="K430" t="s">
        <v>1967</v>
      </c>
      <c r="L430" t="s">
        <v>2689</v>
      </c>
      <c r="M430" s="8">
        <v>0.15825</v>
      </c>
      <c r="N430">
        <v>105.747516212372</v>
      </c>
      <c r="O430">
        <v>2466</v>
      </c>
      <c r="P430" s="9">
        <v>0.60675355450237</v>
      </c>
      <c r="Q430" t="s">
        <v>366</v>
      </c>
      <c r="T430" s="15" t="s">
        <v>89</v>
      </c>
      <c r="W430" s="16" t="str">
        <f t="shared" si="42"/>
        <v>EN_WON_61_c03_CHL</v>
      </c>
      <c r="X430" s="12">
        <f t="shared" si="43"/>
        <v>2466</v>
      </c>
      <c r="Y430" s="11">
        <f t="shared" si="44"/>
        <v>2466</v>
      </c>
      <c r="AC430" t="s">
        <v>26</v>
      </c>
      <c r="AD430" t="s">
        <v>3717</v>
      </c>
      <c r="AE430" t="s">
        <v>3718</v>
      </c>
      <c r="AF430" t="s">
        <v>29</v>
      </c>
      <c r="AG430" t="s">
        <v>30</v>
      </c>
      <c r="AH430" t="s">
        <v>31</v>
      </c>
      <c r="AK430" t="s">
        <v>3717</v>
      </c>
      <c r="AL430" t="s">
        <v>1967</v>
      </c>
      <c r="AM430" t="s">
        <v>3674</v>
      </c>
      <c r="AN430" s="8">
        <v>629.682</v>
      </c>
      <c r="AO430">
        <v>199.694880401046</v>
      </c>
      <c r="AP430">
        <v>1756</v>
      </c>
      <c r="AQ430" s="9">
        <v>0.538771894384785</v>
      </c>
      <c r="AR430" t="s">
        <v>736</v>
      </c>
      <c r="AT430" s="15" t="s">
        <v>69</v>
      </c>
      <c r="AW430" s="11" t="str">
        <f t="shared" si="45"/>
        <v>EN_WOF_54_c02_GBR</v>
      </c>
      <c r="AX430" s="11">
        <f t="shared" si="46"/>
        <v>1756</v>
      </c>
      <c r="AY430" s="11">
        <f t="shared" si="47"/>
        <v>1756</v>
      </c>
      <c r="AZ430" s="17">
        <v>3</v>
      </c>
      <c r="BA430">
        <f t="shared" si="48"/>
        <v>17.56</v>
      </c>
    </row>
    <row r="431" spans="2:53">
      <c r="B431" t="s">
        <v>26</v>
      </c>
      <c r="C431" t="s">
        <v>3719</v>
      </c>
      <c r="D431" t="s">
        <v>3720</v>
      </c>
      <c r="E431" t="s">
        <v>29</v>
      </c>
      <c r="F431" t="s">
        <v>30</v>
      </c>
      <c r="G431" t="s">
        <v>31</v>
      </c>
      <c r="J431" t="s">
        <v>3719</v>
      </c>
      <c r="K431" t="s">
        <v>1967</v>
      </c>
      <c r="L431" t="s">
        <v>2689</v>
      </c>
      <c r="M431" s="8">
        <v>0.681</v>
      </c>
      <c r="N431">
        <v>80.7856561622413</v>
      </c>
      <c r="O431">
        <v>2466</v>
      </c>
      <c r="P431" s="9">
        <v>0.615</v>
      </c>
      <c r="Q431" t="s">
        <v>366</v>
      </c>
      <c r="T431" s="15" t="s">
        <v>89</v>
      </c>
      <c r="W431" s="16" t="str">
        <f t="shared" si="42"/>
        <v>EN_WON_62_c02_CHL</v>
      </c>
      <c r="X431" s="12">
        <f t="shared" si="43"/>
        <v>2466</v>
      </c>
      <c r="Y431" s="11">
        <f t="shared" si="44"/>
        <v>2466</v>
      </c>
      <c r="AC431" t="s">
        <v>26</v>
      </c>
      <c r="AD431" t="s">
        <v>3721</v>
      </c>
      <c r="AE431" t="s">
        <v>3722</v>
      </c>
      <c r="AF431" t="s">
        <v>29</v>
      </c>
      <c r="AG431" t="s">
        <v>30</v>
      </c>
      <c r="AH431" t="s">
        <v>31</v>
      </c>
      <c r="AK431" t="s">
        <v>3721</v>
      </c>
      <c r="AL431" t="s">
        <v>1967</v>
      </c>
      <c r="AM431" t="s">
        <v>3674</v>
      </c>
      <c r="AN431" s="8">
        <v>17.4075</v>
      </c>
      <c r="AO431">
        <v>199.694880401046</v>
      </c>
      <c r="AP431">
        <v>1756</v>
      </c>
      <c r="AQ431" s="9">
        <v>0.552662903920724</v>
      </c>
      <c r="AR431" t="s">
        <v>736</v>
      </c>
      <c r="AT431" s="15" t="s">
        <v>69</v>
      </c>
      <c r="AW431" s="11" t="str">
        <f t="shared" si="45"/>
        <v>EN_WOF_55_c02_GBR</v>
      </c>
      <c r="AX431" s="11">
        <f t="shared" si="46"/>
        <v>1756</v>
      </c>
      <c r="AY431" s="11">
        <f t="shared" si="47"/>
        <v>1756</v>
      </c>
      <c r="AZ431" s="17">
        <v>3</v>
      </c>
      <c r="BA431">
        <f t="shared" si="48"/>
        <v>17.56</v>
      </c>
    </row>
    <row r="432" spans="2:53">
      <c r="B432" t="s">
        <v>26</v>
      </c>
      <c r="C432" t="s">
        <v>3723</v>
      </c>
      <c r="D432" t="s">
        <v>3724</v>
      </c>
      <c r="E432" t="s">
        <v>29</v>
      </c>
      <c r="F432" t="s">
        <v>30</v>
      </c>
      <c r="G432" t="s">
        <v>31</v>
      </c>
      <c r="J432" t="s">
        <v>3723</v>
      </c>
      <c r="K432" t="s">
        <v>1967</v>
      </c>
      <c r="L432" t="s">
        <v>2689</v>
      </c>
      <c r="M432" s="8">
        <v>0.01575</v>
      </c>
      <c r="N432">
        <v>105.747516212372</v>
      </c>
      <c r="O432">
        <v>2466</v>
      </c>
      <c r="P432" s="9">
        <v>0.618</v>
      </c>
      <c r="Q432" t="s">
        <v>366</v>
      </c>
      <c r="T432" s="15" t="s">
        <v>89</v>
      </c>
      <c r="W432" s="16" t="str">
        <f t="shared" si="42"/>
        <v>EN_WON_62_c03_CHL</v>
      </c>
      <c r="X432" s="12">
        <f t="shared" si="43"/>
        <v>2466</v>
      </c>
      <c r="Y432" s="11">
        <f t="shared" si="44"/>
        <v>2466</v>
      </c>
      <c r="AC432" t="s">
        <v>26</v>
      </c>
      <c r="AD432" t="s">
        <v>3725</v>
      </c>
      <c r="AE432" t="s">
        <v>3726</v>
      </c>
      <c r="AF432" t="s">
        <v>29</v>
      </c>
      <c r="AG432" t="s">
        <v>30</v>
      </c>
      <c r="AH432" t="s">
        <v>31</v>
      </c>
      <c r="AK432" t="s">
        <v>3725</v>
      </c>
      <c r="AL432" t="s">
        <v>1967</v>
      </c>
      <c r="AM432" t="s">
        <v>3674</v>
      </c>
      <c r="AN432" s="8">
        <v>50.805</v>
      </c>
      <c r="AO432">
        <v>199.694880401046</v>
      </c>
      <c r="AP432">
        <v>1756</v>
      </c>
      <c r="AQ432" s="9">
        <v>0.559518246235607</v>
      </c>
      <c r="AR432" t="s">
        <v>736</v>
      </c>
      <c r="AT432" s="15" t="s">
        <v>69</v>
      </c>
      <c r="AW432" s="11" t="str">
        <f t="shared" si="45"/>
        <v>EN_WOF_56_c02_GBR</v>
      </c>
      <c r="AX432" s="11">
        <f t="shared" si="46"/>
        <v>1756</v>
      </c>
      <c r="AY432" s="11">
        <f t="shared" si="47"/>
        <v>1756</v>
      </c>
      <c r="AZ432" s="17">
        <v>3</v>
      </c>
      <c r="BA432">
        <f t="shared" si="48"/>
        <v>17.56</v>
      </c>
    </row>
    <row r="433" spans="2:53">
      <c r="B433" t="s">
        <v>26</v>
      </c>
      <c r="C433" t="s">
        <v>3727</v>
      </c>
      <c r="D433" t="s">
        <v>3728</v>
      </c>
      <c r="E433" t="s">
        <v>29</v>
      </c>
      <c r="F433" t="s">
        <v>30</v>
      </c>
      <c r="G433" t="s">
        <v>31</v>
      </c>
      <c r="J433" t="s">
        <v>3727</v>
      </c>
      <c r="K433" t="s">
        <v>1967</v>
      </c>
      <c r="L433" t="s">
        <v>2689</v>
      </c>
      <c r="M433" s="8">
        <v>0.27975</v>
      </c>
      <c r="N433">
        <v>80.7856561622413</v>
      </c>
      <c r="O433">
        <v>2466</v>
      </c>
      <c r="P433" s="9">
        <v>0.629064343163539</v>
      </c>
      <c r="Q433" t="s">
        <v>366</v>
      </c>
      <c r="T433" s="15" t="s">
        <v>89</v>
      </c>
      <c r="W433" s="16" t="str">
        <f t="shared" si="42"/>
        <v>EN_WON_63_c02_CHL</v>
      </c>
      <c r="X433" s="12">
        <f t="shared" si="43"/>
        <v>2466</v>
      </c>
      <c r="Y433" s="11">
        <f t="shared" si="44"/>
        <v>2466</v>
      </c>
      <c r="AC433" t="s">
        <v>26</v>
      </c>
      <c r="AD433" t="s">
        <v>3729</v>
      </c>
      <c r="AE433" t="s">
        <v>3730</v>
      </c>
      <c r="AF433" t="s">
        <v>29</v>
      </c>
      <c r="AG433" t="s">
        <v>30</v>
      </c>
      <c r="AH433" t="s">
        <v>31</v>
      </c>
      <c r="AK433" t="s">
        <v>3729</v>
      </c>
      <c r="AL433" t="s">
        <v>1967</v>
      </c>
      <c r="AM433" t="s">
        <v>3674</v>
      </c>
      <c r="AN433" s="8">
        <v>127.851</v>
      </c>
      <c r="AO433">
        <v>199.694880401046</v>
      </c>
      <c r="AP433">
        <v>1756</v>
      </c>
      <c r="AQ433" s="9">
        <v>0.568199744233522</v>
      </c>
      <c r="AR433" t="s">
        <v>736</v>
      </c>
      <c r="AT433" s="15" t="s">
        <v>69</v>
      </c>
      <c r="AW433" s="11" t="str">
        <f t="shared" si="45"/>
        <v>EN_WOF_57_c02_GBR</v>
      </c>
      <c r="AX433" s="11">
        <f t="shared" si="46"/>
        <v>1756</v>
      </c>
      <c r="AY433" s="11">
        <f t="shared" si="47"/>
        <v>1756</v>
      </c>
      <c r="AZ433" s="17">
        <v>3</v>
      </c>
      <c r="BA433">
        <f t="shared" si="48"/>
        <v>17.56</v>
      </c>
    </row>
    <row r="434" spans="2:53">
      <c r="B434" t="s">
        <v>26</v>
      </c>
      <c r="C434" t="s">
        <v>3731</v>
      </c>
      <c r="D434" t="s">
        <v>3732</v>
      </c>
      <c r="E434" t="s">
        <v>29</v>
      </c>
      <c r="F434" t="s">
        <v>30</v>
      </c>
      <c r="G434" t="s">
        <v>31</v>
      </c>
      <c r="J434" t="s">
        <v>3731</v>
      </c>
      <c r="K434" t="s">
        <v>1967</v>
      </c>
      <c r="L434" t="s">
        <v>2689</v>
      </c>
      <c r="M434" s="8">
        <v>0.02325</v>
      </c>
      <c r="N434">
        <v>105.747516212372</v>
      </c>
      <c r="O434">
        <v>2466</v>
      </c>
      <c r="P434" s="9">
        <v>0.63</v>
      </c>
      <c r="Q434" t="s">
        <v>366</v>
      </c>
      <c r="T434" s="15" t="s">
        <v>89</v>
      </c>
      <c r="W434" s="16" t="str">
        <f t="shared" si="42"/>
        <v>EN_WON_63_c03_CHL</v>
      </c>
      <c r="X434" s="12">
        <f t="shared" si="43"/>
        <v>2466</v>
      </c>
      <c r="Y434" s="11">
        <f t="shared" si="44"/>
        <v>2466</v>
      </c>
      <c r="AC434" t="s">
        <v>26</v>
      </c>
      <c r="AD434" t="s">
        <v>3733</v>
      </c>
      <c r="AE434" t="s">
        <v>3734</v>
      </c>
      <c r="AF434" t="s">
        <v>29</v>
      </c>
      <c r="AG434" t="s">
        <v>30</v>
      </c>
      <c r="AH434" t="s">
        <v>31</v>
      </c>
      <c r="AK434" t="s">
        <v>3733</v>
      </c>
      <c r="AL434" t="s">
        <v>1967</v>
      </c>
      <c r="AM434" t="s">
        <v>3674</v>
      </c>
      <c r="AN434" s="8">
        <v>29.1645</v>
      </c>
      <c r="AO434">
        <v>199.694880401046</v>
      </c>
      <c r="AP434">
        <v>1756</v>
      </c>
      <c r="AQ434" s="9">
        <v>0.576480584271974</v>
      </c>
      <c r="AR434" t="s">
        <v>736</v>
      </c>
      <c r="AT434" s="15" t="s">
        <v>69</v>
      </c>
      <c r="AW434" s="11" t="str">
        <f t="shared" si="45"/>
        <v>EN_WOF_58_c02_GBR</v>
      </c>
      <c r="AX434" s="11">
        <f t="shared" si="46"/>
        <v>1756</v>
      </c>
      <c r="AY434" s="11">
        <f t="shared" si="47"/>
        <v>1756</v>
      </c>
      <c r="AZ434" s="17">
        <v>3</v>
      </c>
      <c r="BA434">
        <f t="shared" si="48"/>
        <v>17.56</v>
      </c>
    </row>
    <row r="435" spans="2:53">
      <c r="B435" t="s">
        <v>26</v>
      </c>
      <c r="C435" t="s">
        <v>3735</v>
      </c>
      <c r="D435" t="s">
        <v>3736</v>
      </c>
      <c r="E435" t="s">
        <v>29</v>
      </c>
      <c r="F435" t="s">
        <v>30</v>
      </c>
      <c r="G435" t="s">
        <v>31</v>
      </c>
      <c r="J435" t="s">
        <v>3735</v>
      </c>
      <c r="K435" t="s">
        <v>1967</v>
      </c>
      <c r="L435" t="s">
        <v>2689</v>
      </c>
      <c r="M435" s="8">
        <v>0.282</v>
      </c>
      <c r="N435">
        <v>80.7856561622413</v>
      </c>
      <c r="O435">
        <v>2466</v>
      </c>
      <c r="P435" s="9">
        <v>0.640779255319149</v>
      </c>
      <c r="Q435" t="s">
        <v>366</v>
      </c>
      <c r="T435" s="15" t="s">
        <v>89</v>
      </c>
      <c r="W435" s="16" t="str">
        <f t="shared" si="42"/>
        <v>EN_WON_64_c02_CHL</v>
      </c>
      <c r="X435" s="12">
        <f t="shared" si="43"/>
        <v>2466</v>
      </c>
      <c r="Y435" s="11">
        <f t="shared" si="44"/>
        <v>2466</v>
      </c>
      <c r="AC435" t="s">
        <v>26</v>
      </c>
      <c r="AD435" t="s">
        <v>3737</v>
      </c>
      <c r="AE435" t="s">
        <v>3738</v>
      </c>
      <c r="AF435" t="s">
        <v>29</v>
      </c>
      <c r="AG435" t="s">
        <v>30</v>
      </c>
      <c r="AH435" t="s">
        <v>31</v>
      </c>
      <c r="AK435" t="s">
        <v>3737</v>
      </c>
      <c r="AL435" t="s">
        <v>1967</v>
      </c>
      <c r="AM435" t="s">
        <v>3739</v>
      </c>
      <c r="AN435" s="8">
        <v>13.5645</v>
      </c>
      <c r="AO435">
        <v>199.694880401046</v>
      </c>
      <c r="AP435">
        <v>1961</v>
      </c>
      <c r="AQ435" s="9">
        <v>0.302248313612739</v>
      </c>
      <c r="AR435" t="s">
        <v>812</v>
      </c>
      <c r="AT435" s="15" t="s">
        <v>69</v>
      </c>
      <c r="AW435" s="11" t="str">
        <f t="shared" si="45"/>
        <v>EN_WOF_30_c02_GRC</v>
      </c>
      <c r="AX435" s="11">
        <f t="shared" si="46"/>
        <v>1961</v>
      </c>
      <c r="AY435" s="11">
        <f t="shared" si="47"/>
        <v>1961</v>
      </c>
      <c r="AZ435" s="17">
        <v>3</v>
      </c>
      <c r="BA435">
        <f t="shared" si="48"/>
        <v>19.61</v>
      </c>
    </row>
    <row r="436" spans="2:53">
      <c r="B436" t="s">
        <v>26</v>
      </c>
      <c r="C436" t="s">
        <v>3740</v>
      </c>
      <c r="D436" t="s">
        <v>3741</v>
      </c>
      <c r="E436" t="s">
        <v>29</v>
      </c>
      <c r="F436" t="s">
        <v>30</v>
      </c>
      <c r="G436" t="s">
        <v>31</v>
      </c>
      <c r="J436" t="s">
        <v>3740</v>
      </c>
      <c r="K436" t="s">
        <v>1967</v>
      </c>
      <c r="L436" t="s">
        <v>2689</v>
      </c>
      <c r="M436" s="8">
        <v>0.33225</v>
      </c>
      <c r="N436">
        <v>105.747516212372</v>
      </c>
      <c r="O436">
        <v>2466</v>
      </c>
      <c r="P436" s="9">
        <v>0.639</v>
      </c>
      <c r="Q436" t="s">
        <v>366</v>
      </c>
      <c r="T436" s="15" t="s">
        <v>89</v>
      </c>
      <c r="W436" s="16" t="str">
        <f t="shared" si="42"/>
        <v>EN_WON_64_c03_CHL</v>
      </c>
      <c r="X436" s="12">
        <f t="shared" si="43"/>
        <v>2466</v>
      </c>
      <c r="Y436" s="11">
        <f t="shared" si="44"/>
        <v>2466</v>
      </c>
      <c r="AC436" t="s">
        <v>26</v>
      </c>
      <c r="AD436" t="s">
        <v>3742</v>
      </c>
      <c r="AE436" t="s">
        <v>3743</v>
      </c>
      <c r="AF436" t="s">
        <v>29</v>
      </c>
      <c r="AG436" t="s">
        <v>30</v>
      </c>
      <c r="AH436" t="s">
        <v>31</v>
      </c>
      <c r="AK436" t="s">
        <v>3742</v>
      </c>
      <c r="AL436" t="s">
        <v>1967</v>
      </c>
      <c r="AM436" t="s">
        <v>3739</v>
      </c>
      <c r="AN436" s="8">
        <v>3.0225</v>
      </c>
      <c r="AO436">
        <v>199.694880401046</v>
      </c>
      <c r="AP436">
        <v>1961</v>
      </c>
      <c r="AQ436" s="9">
        <v>0.311396526054591</v>
      </c>
      <c r="AR436" t="s">
        <v>812</v>
      </c>
      <c r="AT436" s="15" t="s">
        <v>69</v>
      </c>
      <c r="AW436" s="11" t="str">
        <f t="shared" si="45"/>
        <v>EN_WOF_31_c02_GRC</v>
      </c>
      <c r="AX436" s="11">
        <f t="shared" si="46"/>
        <v>1961</v>
      </c>
      <c r="AY436" s="11">
        <f t="shared" si="47"/>
        <v>1961</v>
      </c>
      <c r="AZ436" s="17">
        <v>3</v>
      </c>
      <c r="BA436">
        <f t="shared" si="48"/>
        <v>19.61</v>
      </c>
    </row>
    <row r="437" spans="2:53">
      <c r="B437" t="s">
        <v>26</v>
      </c>
      <c r="C437" t="s">
        <v>3744</v>
      </c>
      <c r="D437" t="s">
        <v>3745</v>
      </c>
      <c r="E437" t="s">
        <v>29</v>
      </c>
      <c r="F437" t="s">
        <v>30</v>
      </c>
      <c r="G437" t="s">
        <v>31</v>
      </c>
      <c r="J437" t="s">
        <v>3744</v>
      </c>
      <c r="K437" t="s">
        <v>1967</v>
      </c>
      <c r="L437" t="s">
        <v>2689</v>
      </c>
      <c r="M437" s="8">
        <v>0.02625</v>
      </c>
      <c r="N437">
        <v>80.7856561622413</v>
      </c>
      <c r="O437">
        <v>2466</v>
      </c>
      <c r="P437" s="9">
        <v>0.648</v>
      </c>
      <c r="Q437" t="s">
        <v>366</v>
      </c>
      <c r="T437" s="15" t="s">
        <v>89</v>
      </c>
      <c r="W437" s="16" t="str">
        <f t="shared" si="42"/>
        <v>EN_WON_65_c02_CHL</v>
      </c>
      <c r="X437" s="12">
        <f t="shared" si="43"/>
        <v>2466</v>
      </c>
      <c r="Y437" s="11">
        <f t="shared" si="44"/>
        <v>2466</v>
      </c>
      <c r="AC437" t="s">
        <v>26</v>
      </c>
      <c r="AD437" t="s">
        <v>3746</v>
      </c>
      <c r="AE437" t="s">
        <v>3747</v>
      </c>
      <c r="AF437" t="s">
        <v>29</v>
      </c>
      <c r="AG437" t="s">
        <v>30</v>
      </c>
      <c r="AH437" t="s">
        <v>31</v>
      </c>
      <c r="AK437" t="s">
        <v>3746</v>
      </c>
      <c r="AL437" t="s">
        <v>1967</v>
      </c>
      <c r="AM437" t="s">
        <v>3739</v>
      </c>
      <c r="AN437" s="8">
        <v>11.679</v>
      </c>
      <c r="AO437">
        <v>199.694880401046</v>
      </c>
      <c r="AP437">
        <v>1961</v>
      </c>
      <c r="AQ437" s="9">
        <v>0.320784613408682</v>
      </c>
      <c r="AR437" t="s">
        <v>812</v>
      </c>
      <c r="AT437" s="15" t="s">
        <v>69</v>
      </c>
      <c r="AW437" s="11" t="str">
        <f t="shared" si="45"/>
        <v>EN_WOF_32_c02_GRC</v>
      </c>
      <c r="AX437" s="11">
        <f t="shared" si="46"/>
        <v>1961</v>
      </c>
      <c r="AY437" s="11">
        <f t="shared" si="47"/>
        <v>1961</v>
      </c>
      <c r="AZ437" s="17">
        <v>3</v>
      </c>
      <c r="BA437">
        <f t="shared" si="48"/>
        <v>19.61</v>
      </c>
    </row>
    <row r="438" spans="2:53">
      <c r="B438" t="s">
        <v>26</v>
      </c>
      <c r="C438" t="s">
        <v>3748</v>
      </c>
      <c r="D438" t="s">
        <v>3749</v>
      </c>
      <c r="E438" t="s">
        <v>29</v>
      </c>
      <c r="F438" t="s">
        <v>30</v>
      </c>
      <c r="G438" t="s">
        <v>31</v>
      </c>
      <c r="J438" t="s">
        <v>3748</v>
      </c>
      <c r="K438" t="s">
        <v>1967</v>
      </c>
      <c r="L438" t="s">
        <v>2689</v>
      </c>
      <c r="M438" s="8">
        <v>0.015</v>
      </c>
      <c r="N438">
        <v>105.747516212372</v>
      </c>
      <c r="O438">
        <v>2466</v>
      </c>
      <c r="P438" s="9">
        <v>0.648</v>
      </c>
      <c r="Q438" t="s">
        <v>366</v>
      </c>
      <c r="T438" s="15" t="s">
        <v>89</v>
      </c>
      <c r="W438" s="16" t="str">
        <f t="shared" si="42"/>
        <v>EN_WON_65_c03_CHL</v>
      </c>
      <c r="X438" s="12">
        <f t="shared" si="43"/>
        <v>2466</v>
      </c>
      <c r="Y438" s="11">
        <f t="shared" si="44"/>
        <v>2466</v>
      </c>
      <c r="AC438" t="s">
        <v>26</v>
      </c>
      <c r="AD438" t="s">
        <v>3750</v>
      </c>
      <c r="AE438" t="s">
        <v>3751</v>
      </c>
      <c r="AF438" t="s">
        <v>29</v>
      </c>
      <c r="AG438" t="s">
        <v>30</v>
      </c>
      <c r="AH438" t="s">
        <v>31</v>
      </c>
      <c r="AK438" t="s">
        <v>3750</v>
      </c>
      <c r="AL438" t="s">
        <v>1967</v>
      </c>
      <c r="AM438" t="s">
        <v>3739</v>
      </c>
      <c r="AN438" s="8">
        <v>27.729</v>
      </c>
      <c r="AO438">
        <v>199.694880401046</v>
      </c>
      <c r="AP438">
        <v>1961</v>
      </c>
      <c r="AQ438" s="9">
        <v>0.328298820729201</v>
      </c>
      <c r="AR438" t="s">
        <v>812</v>
      </c>
      <c r="AT438" s="15" t="s">
        <v>69</v>
      </c>
      <c r="AW438" s="11" t="str">
        <f t="shared" si="45"/>
        <v>EN_WOF_33_c02_GRC</v>
      </c>
      <c r="AX438" s="11">
        <f t="shared" si="46"/>
        <v>1961</v>
      </c>
      <c r="AY438" s="11">
        <f t="shared" si="47"/>
        <v>1961</v>
      </c>
      <c r="AZ438" s="17">
        <v>3</v>
      </c>
      <c r="BA438">
        <f t="shared" si="48"/>
        <v>19.61</v>
      </c>
    </row>
    <row r="439" spans="2:53">
      <c r="B439" t="s">
        <v>26</v>
      </c>
      <c r="C439" t="s">
        <v>3752</v>
      </c>
      <c r="D439" t="s">
        <v>3753</v>
      </c>
      <c r="E439" t="s">
        <v>29</v>
      </c>
      <c r="F439" t="s">
        <v>30</v>
      </c>
      <c r="G439" t="s">
        <v>31</v>
      </c>
      <c r="J439" t="s">
        <v>3752</v>
      </c>
      <c r="K439" t="s">
        <v>1967</v>
      </c>
      <c r="L439" t="s">
        <v>2897</v>
      </c>
      <c r="M439" s="8">
        <v>5.93475</v>
      </c>
      <c r="N439">
        <v>80.7856561622413</v>
      </c>
      <c r="O439">
        <v>1222</v>
      </c>
      <c r="P439" s="9">
        <v>0.151000252748641</v>
      </c>
      <c r="Q439" t="s">
        <v>386</v>
      </c>
      <c r="T439" s="15" t="s">
        <v>290</v>
      </c>
      <c r="W439" s="16" t="str">
        <f t="shared" si="42"/>
        <v>EN_WON_15_c02_CHN</v>
      </c>
      <c r="X439" s="12">
        <f t="shared" si="43"/>
        <v>1222</v>
      </c>
      <c r="Y439" s="11">
        <f t="shared" si="44"/>
        <v>1222</v>
      </c>
      <c r="AC439" t="s">
        <v>26</v>
      </c>
      <c r="AD439" t="s">
        <v>3754</v>
      </c>
      <c r="AE439" t="s">
        <v>3755</v>
      </c>
      <c r="AF439" t="s">
        <v>29</v>
      </c>
      <c r="AG439" t="s">
        <v>30</v>
      </c>
      <c r="AH439" t="s">
        <v>31</v>
      </c>
      <c r="AK439" t="s">
        <v>3754</v>
      </c>
      <c r="AL439" t="s">
        <v>1967</v>
      </c>
      <c r="AM439" t="s">
        <v>3739</v>
      </c>
      <c r="AN439" s="8">
        <v>17.6205</v>
      </c>
      <c r="AO439">
        <v>199.694880401046</v>
      </c>
      <c r="AP439">
        <v>1961</v>
      </c>
      <c r="AQ439" s="9">
        <v>0.33795203030561</v>
      </c>
      <c r="AR439" t="s">
        <v>812</v>
      </c>
      <c r="AT439" s="15" t="s">
        <v>69</v>
      </c>
      <c r="AW439" s="11" t="str">
        <f t="shared" si="45"/>
        <v>EN_WOF_34_c02_GRC</v>
      </c>
      <c r="AX439" s="11">
        <f t="shared" si="46"/>
        <v>1961</v>
      </c>
      <c r="AY439" s="11">
        <f t="shared" si="47"/>
        <v>1961</v>
      </c>
      <c r="AZ439" s="17">
        <v>3</v>
      </c>
      <c r="BA439">
        <f t="shared" si="48"/>
        <v>19.61</v>
      </c>
    </row>
    <row r="440" spans="2:53">
      <c r="B440" t="s">
        <v>26</v>
      </c>
      <c r="C440" t="s">
        <v>3756</v>
      </c>
      <c r="D440" t="s">
        <v>3757</v>
      </c>
      <c r="E440" t="s">
        <v>29</v>
      </c>
      <c r="F440" t="s">
        <v>30</v>
      </c>
      <c r="G440" t="s">
        <v>31</v>
      </c>
      <c r="J440" t="s">
        <v>3756</v>
      </c>
      <c r="K440" t="s">
        <v>1967</v>
      </c>
      <c r="L440" t="s">
        <v>2897</v>
      </c>
      <c r="M440" s="8">
        <v>105.34575</v>
      </c>
      <c r="N440">
        <v>105.747516212372</v>
      </c>
      <c r="O440">
        <v>1222</v>
      </c>
      <c r="P440" s="9">
        <v>0.152837079331629</v>
      </c>
      <c r="Q440" t="s">
        <v>386</v>
      </c>
      <c r="T440" s="15" t="s">
        <v>290</v>
      </c>
      <c r="W440" s="16" t="str">
        <f t="shared" si="42"/>
        <v>EN_WON_15_c03_CHN</v>
      </c>
      <c r="X440" s="12">
        <f t="shared" si="43"/>
        <v>1222</v>
      </c>
      <c r="Y440" s="11">
        <f t="shared" si="44"/>
        <v>1222</v>
      </c>
      <c r="AC440" t="s">
        <v>26</v>
      </c>
      <c r="AD440" t="s">
        <v>3758</v>
      </c>
      <c r="AE440" t="s">
        <v>3759</v>
      </c>
      <c r="AF440" t="s">
        <v>29</v>
      </c>
      <c r="AG440" t="s">
        <v>30</v>
      </c>
      <c r="AH440" t="s">
        <v>31</v>
      </c>
      <c r="AK440" t="s">
        <v>3758</v>
      </c>
      <c r="AL440" t="s">
        <v>1967</v>
      </c>
      <c r="AM440" t="s">
        <v>3739</v>
      </c>
      <c r="AN440" s="8">
        <v>5.811</v>
      </c>
      <c r="AO440">
        <v>199.694880401046</v>
      </c>
      <c r="AP440">
        <v>1961</v>
      </c>
      <c r="AQ440" s="9">
        <v>0.35075413009809</v>
      </c>
      <c r="AR440" t="s">
        <v>812</v>
      </c>
      <c r="AT440" s="15" t="s">
        <v>69</v>
      </c>
      <c r="AW440" s="11" t="str">
        <f t="shared" si="45"/>
        <v>EN_WOF_35_c02_GRC</v>
      </c>
      <c r="AX440" s="11">
        <f t="shared" si="46"/>
        <v>1961</v>
      </c>
      <c r="AY440" s="11">
        <f t="shared" si="47"/>
        <v>1961</v>
      </c>
      <c r="AZ440" s="17">
        <v>3</v>
      </c>
      <c r="BA440">
        <f t="shared" si="48"/>
        <v>19.61</v>
      </c>
    </row>
    <row r="441" spans="2:53">
      <c r="B441" t="s">
        <v>26</v>
      </c>
      <c r="C441" t="s">
        <v>3760</v>
      </c>
      <c r="D441" t="s">
        <v>3761</v>
      </c>
      <c r="E441" t="s">
        <v>29</v>
      </c>
      <c r="F441" t="s">
        <v>30</v>
      </c>
      <c r="G441" t="s">
        <v>31</v>
      </c>
      <c r="J441" t="s">
        <v>3760</v>
      </c>
      <c r="K441" t="s">
        <v>1967</v>
      </c>
      <c r="L441" t="s">
        <v>2897</v>
      </c>
      <c r="M441" s="8">
        <v>359.2995</v>
      </c>
      <c r="N441">
        <v>145.23264029167</v>
      </c>
      <c r="O441">
        <v>1222</v>
      </c>
      <c r="P441" s="9">
        <v>0.15255754530691</v>
      </c>
      <c r="Q441" t="s">
        <v>386</v>
      </c>
      <c r="T441" s="15" t="s">
        <v>290</v>
      </c>
      <c r="W441" s="16" t="str">
        <f t="shared" si="42"/>
        <v>EN_WON_15_c04_CHN</v>
      </c>
      <c r="X441" s="12">
        <f t="shared" si="43"/>
        <v>1222</v>
      </c>
      <c r="Y441" s="11">
        <f t="shared" si="44"/>
        <v>1222</v>
      </c>
      <c r="AC441" t="s">
        <v>26</v>
      </c>
      <c r="AD441" t="s">
        <v>3762</v>
      </c>
      <c r="AE441" t="s">
        <v>3763</v>
      </c>
      <c r="AF441" t="s">
        <v>29</v>
      </c>
      <c r="AG441" t="s">
        <v>30</v>
      </c>
      <c r="AH441" t="s">
        <v>31</v>
      </c>
      <c r="AK441" t="s">
        <v>3762</v>
      </c>
      <c r="AL441" t="s">
        <v>1967</v>
      </c>
      <c r="AM441" t="s">
        <v>3739</v>
      </c>
      <c r="AN441" s="8">
        <v>23.0835</v>
      </c>
      <c r="AO441">
        <v>199.694880401046</v>
      </c>
      <c r="AP441">
        <v>1961</v>
      </c>
      <c r="AQ441" s="9">
        <v>0.358975274546754</v>
      </c>
      <c r="AR441" t="s">
        <v>812</v>
      </c>
      <c r="AT441" s="15" t="s">
        <v>69</v>
      </c>
      <c r="AW441" s="11" t="str">
        <f t="shared" si="45"/>
        <v>EN_WOF_36_c02_GRC</v>
      </c>
      <c r="AX441" s="11">
        <f t="shared" si="46"/>
        <v>1961</v>
      </c>
      <c r="AY441" s="11">
        <f t="shared" si="47"/>
        <v>1961</v>
      </c>
      <c r="AZ441" s="17">
        <v>3</v>
      </c>
      <c r="BA441">
        <f t="shared" si="48"/>
        <v>19.61</v>
      </c>
    </row>
    <row r="442" spans="2:53">
      <c r="B442" t="s">
        <v>26</v>
      </c>
      <c r="C442" t="s">
        <v>3764</v>
      </c>
      <c r="D442" t="s">
        <v>3765</v>
      </c>
      <c r="E442" t="s">
        <v>29</v>
      </c>
      <c r="F442" t="s">
        <v>30</v>
      </c>
      <c r="G442" t="s">
        <v>31</v>
      </c>
      <c r="J442" t="s">
        <v>3764</v>
      </c>
      <c r="K442" t="s">
        <v>1967</v>
      </c>
      <c r="L442" t="s">
        <v>2897</v>
      </c>
      <c r="M442" s="8">
        <v>29.667</v>
      </c>
      <c r="N442">
        <v>80.7856561622413</v>
      </c>
      <c r="O442">
        <v>1222</v>
      </c>
      <c r="P442" s="9">
        <v>0.161801294367479</v>
      </c>
      <c r="Q442" t="s">
        <v>386</v>
      </c>
      <c r="T442" s="15" t="s">
        <v>290</v>
      </c>
      <c r="W442" s="16" t="str">
        <f t="shared" si="42"/>
        <v>EN_WON_16_c02_CHN</v>
      </c>
      <c r="X442" s="12">
        <f t="shared" si="43"/>
        <v>1222</v>
      </c>
      <c r="Y442" s="11">
        <f t="shared" si="44"/>
        <v>1222</v>
      </c>
      <c r="AC442" t="s">
        <v>26</v>
      </c>
      <c r="AD442" t="s">
        <v>3766</v>
      </c>
      <c r="AE442" t="s">
        <v>3767</v>
      </c>
      <c r="AF442" t="s">
        <v>29</v>
      </c>
      <c r="AG442" t="s">
        <v>30</v>
      </c>
      <c r="AH442" t="s">
        <v>31</v>
      </c>
      <c r="AK442" t="s">
        <v>3766</v>
      </c>
      <c r="AL442" t="s">
        <v>1967</v>
      </c>
      <c r="AM442" t="s">
        <v>3739</v>
      </c>
      <c r="AN442" s="8">
        <v>36.4275</v>
      </c>
      <c r="AO442">
        <v>199.694880401046</v>
      </c>
      <c r="AP442">
        <v>1961</v>
      </c>
      <c r="AQ442" s="9">
        <v>0.369028577311097</v>
      </c>
      <c r="AR442" t="s">
        <v>812</v>
      </c>
      <c r="AT442" s="15" t="s">
        <v>69</v>
      </c>
      <c r="AW442" s="11" t="str">
        <f t="shared" si="45"/>
        <v>EN_WOF_37_c02_GRC</v>
      </c>
      <c r="AX442" s="11">
        <f t="shared" si="46"/>
        <v>1961</v>
      </c>
      <c r="AY442" s="11">
        <f t="shared" si="47"/>
        <v>1961</v>
      </c>
      <c r="AZ442" s="17">
        <v>3</v>
      </c>
      <c r="BA442">
        <f t="shared" si="48"/>
        <v>19.61</v>
      </c>
    </row>
    <row r="443" spans="2:53">
      <c r="B443" t="s">
        <v>26</v>
      </c>
      <c r="C443" t="s">
        <v>3768</v>
      </c>
      <c r="D443" t="s">
        <v>3769</v>
      </c>
      <c r="E443" t="s">
        <v>29</v>
      </c>
      <c r="F443" t="s">
        <v>30</v>
      </c>
      <c r="G443" t="s">
        <v>31</v>
      </c>
      <c r="J443" t="s">
        <v>3768</v>
      </c>
      <c r="K443" t="s">
        <v>1967</v>
      </c>
      <c r="L443" t="s">
        <v>2897</v>
      </c>
      <c r="M443" s="8">
        <v>218.28225</v>
      </c>
      <c r="N443">
        <v>105.747516212372</v>
      </c>
      <c r="O443">
        <v>1222</v>
      </c>
      <c r="P443" s="9">
        <v>0.159922358551829</v>
      </c>
      <c r="Q443" t="s">
        <v>386</v>
      </c>
      <c r="T443" s="15" t="s">
        <v>290</v>
      </c>
      <c r="W443" s="16" t="str">
        <f t="shared" si="42"/>
        <v>EN_WON_16_c03_CHN</v>
      </c>
      <c r="X443" s="12">
        <f t="shared" si="43"/>
        <v>1222</v>
      </c>
      <c r="Y443" s="11">
        <f t="shared" si="44"/>
        <v>1222</v>
      </c>
      <c r="AC443" t="s">
        <v>26</v>
      </c>
      <c r="AD443" t="s">
        <v>3770</v>
      </c>
      <c r="AE443" t="s">
        <v>3771</v>
      </c>
      <c r="AF443" t="s">
        <v>29</v>
      </c>
      <c r="AG443" t="s">
        <v>30</v>
      </c>
      <c r="AH443" t="s">
        <v>31</v>
      </c>
      <c r="AK443" t="s">
        <v>3770</v>
      </c>
      <c r="AL443" t="s">
        <v>1967</v>
      </c>
      <c r="AM443" t="s">
        <v>3739</v>
      </c>
      <c r="AN443" s="8">
        <v>10.845</v>
      </c>
      <c r="AO443">
        <v>199.694880401046</v>
      </c>
      <c r="AP443">
        <v>1961</v>
      </c>
      <c r="AQ443" s="9">
        <v>0.378982572614108</v>
      </c>
      <c r="AR443" t="s">
        <v>812</v>
      </c>
      <c r="AT443" s="15" t="s">
        <v>69</v>
      </c>
      <c r="AW443" s="11" t="str">
        <f t="shared" si="45"/>
        <v>EN_WOF_38_c02_GRC</v>
      </c>
      <c r="AX443" s="11">
        <f t="shared" si="46"/>
        <v>1961</v>
      </c>
      <c r="AY443" s="11">
        <f t="shared" si="47"/>
        <v>1961</v>
      </c>
      <c r="AZ443" s="17">
        <v>3</v>
      </c>
      <c r="BA443">
        <f t="shared" si="48"/>
        <v>19.61</v>
      </c>
    </row>
    <row r="444" spans="2:53">
      <c r="B444" t="s">
        <v>26</v>
      </c>
      <c r="C444" t="s">
        <v>3772</v>
      </c>
      <c r="D444" t="s">
        <v>3773</v>
      </c>
      <c r="E444" t="s">
        <v>29</v>
      </c>
      <c r="F444" t="s">
        <v>30</v>
      </c>
      <c r="G444" t="s">
        <v>31</v>
      </c>
      <c r="J444" t="s">
        <v>3772</v>
      </c>
      <c r="K444" t="s">
        <v>1967</v>
      </c>
      <c r="L444" t="s">
        <v>2897</v>
      </c>
      <c r="M444" s="8">
        <v>604.545</v>
      </c>
      <c r="N444">
        <v>145.23264029167</v>
      </c>
      <c r="O444">
        <v>1222</v>
      </c>
      <c r="P444" s="9">
        <v>0.159702907972111</v>
      </c>
      <c r="Q444" t="s">
        <v>386</v>
      </c>
      <c r="T444" s="15" t="s">
        <v>290</v>
      </c>
      <c r="W444" s="16" t="str">
        <f t="shared" si="42"/>
        <v>EN_WON_16_c04_CHN</v>
      </c>
      <c r="X444" s="12">
        <f t="shared" si="43"/>
        <v>1222</v>
      </c>
      <c r="Y444" s="11">
        <f t="shared" si="44"/>
        <v>1222</v>
      </c>
      <c r="AC444" t="s">
        <v>26</v>
      </c>
      <c r="AD444" t="s">
        <v>3774</v>
      </c>
      <c r="AE444" t="s">
        <v>3775</v>
      </c>
      <c r="AF444" t="s">
        <v>29</v>
      </c>
      <c r="AG444" t="s">
        <v>30</v>
      </c>
      <c r="AH444" t="s">
        <v>31</v>
      </c>
      <c r="AK444" t="s">
        <v>3774</v>
      </c>
      <c r="AL444" t="s">
        <v>1967</v>
      </c>
      <c r="AM444" t="s">
        <v>3739</v>
      </c>
      <c r="AN444" s="8">
        <v>49.938</v>
      </c>
      <c r="AO444">
        <v>199.694880401046</v>
      </c>
      <c r="AP444">
        <v>1961</v>
      </c>
      <c r="AQ444" s="9">
        <v>0.388997732187913</v>
      </c>
      <c r="AR444" t="s">
        <v>812</v>
      </c>
      <c r="AT444" s="15" t="s">
        <v>69</v>
      </c>
      <c r="AW444" s="11" t="str">
        <f t="shared" si="45"/>
        <v>EN_WOF_39_c02_GRC</v>
      </c>
      <c r="AX444" s="11">
        <f t="shared" si="46"/>
        <v>1961</v>
      </c>
      <c r="AY444" s="11">
        <f t="shared" si="47"/>
        <v>1961</v>
      </c>
      <c r="AZ444" s="17">
        <v>3</v>
      </c>
      <c r="BA444">
        <f t="shared" si="48"/>
        <v>19.61</v>
      </c>
    </row>
    <row r="445" spans="2:53">
      <c r="B445" t="s">
        <v>26</v>
      </c>
      <c r="C445" t="s">
        <v>3776</v>
      </c>
      <c r="D445" t="s">
        <v>3777</v>
      </c>
      <c r="E445" t="s">
        <v>29</v>
      </c>
      <c r="F445" t="s">
        <v>30</v>
      </c>
      <c r="G445" t="s">
        <v>31</v>
      </c>
      <c r="J445" t="s">
        <v>3776</v>
      </c>
      <c r="K445" t="s">
        <v>1967</v>
      </c>
      <c r="L445" t="s">
        <v>2897</v>
      </c>
      <c r="M445" s="8">
        <v>48.07875</v>
      </c>
      <c r="N445">
        <v>80.7856561622413</v>
      </c>
      <c r="O445">
        <v>1222</v>
      </c>
      <c r="P445" s="9">
        <v>0.170191701115358</v>
      </c>
      <c r="Q445" t="s">
        <v>386</v>
      </c>
      <c r="T445" s="15" t="s">
        <v>290</v>
      </c>
      <c r="W445" s="16" t="str">
        <f t="shared" si="42"/>
        <v>EN_WON_17_c02_CHN</v>
      </c>
      <c r="X445" s="12">
        <f t="shared" si="43"/>
        <v>1222</v>
      </c>
      <c r="Y445" s="11">
        <f t="shared" si="44"/>
        <v>1222</v>
      </c>
      <c r="AC445" t="s">
        <v>26</v>
      </c>
      <c r="AD445" t="s">
        <v>3778</v>
      </c>
      <c r="AE445" t="s">
        <v>3779</v>
      </c>
      <c r="AF445" t="s">
        <v>29</v>
      </c>
      <c r="AG445" t="s">
        <v>30</v>
      </c>
      <c r="AH445" t="s">
        <v>31</v>
      </c>
      <c r="AK445" t="s">
        <v>3778</v>
      </c>
      <c r="AL445" t="s">
        <v>1967</v>
      </c>
      <c r="AM445" t="s">
        <v>3739</v>
      </c>
      <c r="AN445" s="8">
        <v>18.459</v>
      </c>
      <c r="AO445">
        <v>199.694880401046</v>
      </c>
      <c r="AP445">
        <v>1961</v>
      </c>
      <c r="AQ445" s="9">
        <v>0.397552372826264</v>
      </c>
      <c r="AR445" t="s">
        <v>812</v>
      </c>
      <c r="AT445" s="15" t="s">
        <v>69</v>
      </c>
      <c r="AW445" s="11" t="str">
        <f t="shared" si="45"/>
        <v>EN_WOF_40_c02_GRC</v>
      </c>
      <c r="AX445" s="11">
        <f t="shared" si="46"/>
        <v>1961</v>
      </c>
      <c r="AY445" s="11">
        <f t="shared" si="47"/>
        <v>1961</v>
      </c>
      <c r="AZ445" s="17">
        <v>3</v>
      </c>
      <c r="BA445">
        <f t="shared" si="48"/>
        <v>19.61</v>
      </c>
    </row>
    <row r="446" spans="2:53">
      <c r="B446" t="s">
        <v>26</v>
      </c>
      <c r="C446" t="s">
        <v>3780</v>
      </c>
      <c r="D446" t="s">
        <v>3781</v>
      </c>
      <c r="E446" t="s">
        <v>29</v>
      </c>
      <c r="F446" t="s">
        <v>30</v>
      </c>
      <c r="G446" t="s">
        <v>31</v>
      </c>
      <c r="J446" t="s">
        <v>3780</v>
      </c>
      <c r="K446" t="s">
        <v>1967</v>
      </c>
      <c r="L446" t="s">
        <v>2897</v>
      </c>
      <c r="M446" s="8">
        <v>296.65425</v>
      </c>
      <c r="N446">
        <v>105.747516212372</v>
      </c>
      <c r="O446">
        <v>1222</v>
      </c>
      <c r="P446" s="9">
        <v>0.169194377798397</v>
      </c>
      <c r="Q446" t="s">
        <v>386</v>
      </c>
      <c r="T446" s="15" t="s">
        <v>290</v>
      </c>
      <c r="W446" s="16" t="str">
        <f t="shared" si="42"/>
        <v>EN_WON_17_c03_CHN</v>
      </c>
      <c r="X446" s="12">
        <f t="shared" si="43"/>
        <v>1222</v>
      </c>
      <c r="Y446" s="11">
        <f t="shared" si="44"/>
        <v>1222</v>
      </c>
      <c r="AC446" t="s">
        <v>26</v>
      </c>
      <c r="AD446" t="s">
        <v>3782</v>
      </c>
      <c r="AE446" t="s">
        <v>3783</v>
      </c>
      <c r="AF446" t="s">
        <v>29</v>
      </c>
      <c r="AG446" t="s">
        <v>30</v>
      </c>
      <c r="AH446" t="s">
        <v>31</v>
      </c>
      <c r="AK446" t="s">
        <v>3782</v>
      </c>
      <c r="AL446" t="s">
        <v>1967</v>
      </c>
      <c r="AM446" t="s">
        <v>3739</v>
      </c>
      <c r="AN446" s="8">
        <v>6.33225</v>
      </c>
      <c r="AO446">
        <v>199.694880401046</v>
      </c>
      <c r="AP446">
        <v>1961</v>
      </c>
      <c r="AQ446" s="9">
        <v>0.405004974535118</v>
      </c>
      <c r="AR446" t="s">
        <v>812</v>
      </c>
      <c r="AT446" s="15" t="s">
        <v>69</v>
      </c>
      <c r="AW446" s="11" t="str">
        <f t="shared" si="45"/>
        <v>EN_WOF_41_c02_GRC</v>
      </c>
      <c r="AX446" s="11">
        <f t="shared" si="46"/>
        <v>1961</v>
      </c>
      <c r="AY446" s="11">
        <f t="shared" si="47"/>
        <v>1961</v>
      </c>
      <c r="AZ446" s="17">
        <v>3</v>
      </c>
      <c r="BA446">
        <f t="shared" si="48"/>
        <v>19.61</v>
      </c>
    </row>
    <row r="447" spans="2:53">
      <c r="B447" t="s">
        <v>26</v>
      </c>
      <c r="C447" t="s">
        <v>3784</v>
      </c>
      <c r="D447" t="s">
        <v>3785</v>
      </c>
      <c r="E447" t="s">
        <v>29</v>
      </c>
      <c r="F447" t="s">
        <v>30</v>
      </c>
      <c r="G447" t="s">
        <v>31</v>
      </c>
      <c r="J447" t="s">
        <v>3784</v>
      </c>
      <c r="K447" t="s">
        <v>1967</v>
      </c>
      <c r="L447" t="s">
        <v>2897</v>
      </c>
      <c r="M447" s="8">
        <v>608.211</v>
      </c>
      <c r="N447">
        <v>145.23264029167</v>
      </c>
      <c r="O447">
        <v>1222</v>
      </c>
      <c r="P447" s="9">
        <v>0.169282289369972</v>
      </c>
      <c r="Q447" t="s">
        <v>386</v>
      </c>
      <c r="T447" s="15" t="s">
        <v>290</v>
      </c>
      <c r="W447" s="16" t="str">
        <f t="shared" si="42"/>
        <v>EN_WON_17_c04_CHN</v>
      </c>
      <c r="X447" s="12">
        <f t="shared" si="43"/>
        <v>1222</v>
      </c>
      <c r="Y447" s="11">
        <f t="shared" si="44"/>
        <v>1222</v>
      </c>
      <c r="AC447" t="s">
        <v>26</v>
      </c>
      <c r="AD447" t="s">
        <v>3786</v>
      </c>
      <c r="AE447" t="s">
        <v>3787</v>
      </c>
      <c r="AF447" t="s">
        <v>29</v>
      </c>
      <c r="AG447" t="s">
        <v>30</v>
      </c>
      <c r="AH447" t="s">
        <v>31</v>
      </c>
      <c r="AK447" t="s">
        <v>3786</v>
      </c>
      <c r="AL447" t="s">
        <v>1967</v>
      </c>
      <c r="AM447" t="s">
        <v>3739</v>
      </c>
      <c r="AN447" s="8">
        <v>32.13225</v>
      </c>
      <c r="AO447">
        <v>199.694880401046</v>
      </c>
      <c r="AP447">
        <v>1961</v>
      </c>
      <c r="AQ447" s="9">
        <v>0.4187710477791</v>
      </c>
      <c r="AR447" t="s">
        <v>812</v>
      </c>
      <c r="AT447" s="15" t="s">
        <v>69</v>
      </c>
      <c r="AW447" s="11" t="str">
        <f t="shared" si="45"/>
        <v>EN_WOF_42_c02_GRC</v>
      </c>
      <c r="AX447" s="11">
        <f t="shared" si="46"/>
        <v>1961</v>
      </c>
      <c r="AY447" s="11">
        <f t="shared" si="47"/>
        <v>1961</v>
      </c>
      <c r="AZ447" s="17">
        <v>3</v>
      </c>
      <c r="BA447">
        <f t="shared" si="48"/>
        <v>19.61</v>
      </c>
    </row>
    <row r="448" spans="2:53">
      <c r="B448" t="s">
        <v>26</v>
      </c>
      <c r="C448" t="s">
        <v>3788</v>
      </c>
      <c r="D448" t="s">
        <v>3789</v>
      </c>
      <c r="E448" t="s">
        <v>29</v>
      </c>
      <c r="F448" t="s">
        <v>30</v>
      </c>
      <c r="G448" t="s">
        <v>31</v>
      </c>
      <c r="J448" t="s">
        <v>3788</v>
      </c>
      <c r="K448" t="s">
        <v>1967</v>
      </c>
      <c r="L448" t="s">
        <v>2897</v>
      </c>
      <c r="M448" s="8">
        <v>124.425</v>
      </c>
      <c r="N448">
        <v>80.7856561622413</v>
      </c>
      <c r="O448">
        <v>1222</v>
      </c>
      <c r="P448" s="9">
        <v>0.179768167570826</v>
      </c>
      <c r="Q448" t="s">
        <v>386</v>
      </c>
      <c r="T448" s="15" t="s">
        <v>290</v>
      </c>
      <c r="W448" s="16" t="str">
        <f t="shared" si="42"/>
        <v>EN_WON_18_c02_CHN</v>
      </c>
      <c r="X448" s="12">
        <f t="shared" si="43"/>
        <v>1222</v>
      </c>
      <c r="Y448" s="11">
        <f t="shared" si="44"/>
        <v>1222</v>
      </c>
      <c r="AC448" t="s">
        <v>26</v>
      </c>
      <c r="AD448" t="s">
        <v>3790</v>
      </c>
      <c r="AE448" t="s">
        <v>3791</v>
      </c>
      <c r="AF448" t="s">
        <v>29</v>
      </c>
      <c r="AG448" t="s">
        <v>30</v>
      </c>
      <c r="AH448" t="s">
        <v>31</v>
      </c>
      <c r="AK448" t="s">
        <v>3790</v>
      </c>
      <c r="AL448" t="s">
        <v>1967</v>
      </c>
      <c r="AM448" t="s">
        <v>3739</v>
      </c>
      <c r="AN448" s="8">
        <v>34.37775</v>
      </c>
      <c r="AO448">
        <v>199.694880401046</v>
      </c>
      <c r="AP448">
        <v>1961</v>
      </c>
      <c r="AQ448" s="9">
        <v>0.427704758164801</v>
      </c>
      <c r="AR448" t="s">
        <v>812</v>
      </c>
      <c r="AT448" s="15" t="s">
        <v>69</v>
      </c>
      <c r="AW448" s="11" t="str">
        <f t="shared" si="45"/>
        <v>EN_WOF_43_c02_GRC</v>
      </c>
      <c r="AX448" s="11">
        <f t="shared" si="46"/>
        <v>1961</v>
      </c>
      <c r="AY448" s="11">
        <f t="shared" si="47"/>
        <v>1961</v>
      </c>
      <c r="AZ448" s="17">
        <v>3</v>
      </c>
      <c r="BA448">
        <f t="shared" si="48"/>
        <v>19.61</v>
      </c>
    </row>
    <row r="449" spans="2:53">
      <c r="B449" t="s">
        <v>26</v>
      </c>
      <c r="C449" t="s">
        <v>3792</v>
      </c>
      <c r="D449" t="s">
        <v>3793</v>
      </c>
      <c r="E449" t="s">
        <v>29</v>
      </c>
      <c r="F449" t="s">
        <v>30</v>
      </c>
      <c r="G449" t="s">
        <v>31</v>
      </c>
      <c r="J449" t="s">
        <v>3792</v>
      </c>
      <c r="K449" t="s">
        <v>1967</v>
      </c>
      <c r="L449" t="s">
        <v>2897</v>
      </c>
      <c r="M449" s="8">
        <v>291.59925</v>
      </c>
      <c r="N449">
        <v>105.747516212372</v>
      </c>
      <c r="O449">
        <v>1222</v>
      </c>
      <c r="P449" s="9">
        <v>0.17949748327542</v>
      </c>
      <c r="Q449" t="s">
        <v>386</v>
      </c>
      <c r="T449" s="15" t="s">
        <v>290</v>
      </c>
      <c r="W449" s="16" t="str">
        <f t="shared" si="42"/>
        <v>EN_WON_18_c03_CHN</v>
      </c>
      <c r="X449" s="12">
        <f t="shared" si="43"/>
        <v>1222</v>
      </c>
      <c r="Y449" s="11">
        <f t="shared" si="44"/>
        <v>1222</v>
      </c>
      <c r="AC449" t="s">
        <v>26</v>
      </c>
      <c r="AD449" t="s">
        <v>3794</v>
      </c>
      <c r="AE449" t="s">
        <v>3795</v>
      </c>
      <c r="AF449" t="s">
        <v>29</v>
      </c>
      <c r="AG449" t="s">
        <v>30</v>
      </c>
      <c r="AH449" t="s">
        <v>31</v>
      </c>
      <c r="AK449" t="s">
        <v>3794</v>
      </c>
      <c r="AL449" t="s">
        <v>1967</v>
      </c>
      <c r="AM449" t="s">
        <v>3739</v>
      </c>
      <c r="AN449" s="8">
        <v>27.126</v>
      </c>
      <c r="AO449">
        <v>199.694880401046</v>
      </c>
      <c r="AP449">
        <v>1961</v>
      </c>
      <c r="AQ449" s="9">
        <v>0.437963420703384</v>
      </c>
      <c r="AR449" t="s">
        <v>812</v>
      </c>
      <c r="AT449" s="15" t="s">
        <v>69</v>
      </c>
      <c r="AW449" s="11" t="str">
        <f t="shared" si="45"/>
        <v>EN_WOF_44_c02_GRC</v>
      </c>
      <c r="AX449" s="11">
        <f t="shared" si="46"/>
        <v>1961</v>
      </c>
      <c r="AY449" s="11">
        <f t="shared" si="47"/>
        <v>1961</v>
      </c>
      <c r="AZ449" s="17">
        <v>3</v>
      </c>
      <c r="BA449">
        <f t="shared" si="48"/>
        <v>19.61</v>
      </c>
    </row>
    <row r="450" spans="2:53">
      <c r="B450" t="s">
        <v>26</v>
      </c>
      <c r="C450" t="s">
        <v>3796</v>
      </c>
      <c r="D450" t="s">
        <v>3797</v>
      </c>
      <c r="E450" t="s">
        <v>29</v>
      </c>
      <c r="F450" t="s">
        <v>30</v>
      </c>
      <c r="G450" t="s">
        <v>31</v>
      </c>
      <c r="J450" t="s">
        <v>3796</v>
      </c>
      <c r="K450" t="s">
        <v>1967</v>
      </c>
      <c r="L450" t="s">
        <v>2897</v>
      </c>
      <c r="M450" s="8">
        <v>509.5995</v>
      </c>
      <c r="N450">
        <v>145.23264029167</v>
      </c>
      <c r="O450">
        <v>1222</v>
      </c>
      <c r="P450" s="9">
        <v>0.179222852946284</v>
      </c>
      <c r="Q450" t="s">
        <v>386</v>
      </c>
      <c r="T450" s="15" t="s">
        <v>290</v>
      </c>
      <c r="W450" s="16" t="str">
        <f t="shared" si="42"/>
        <v>EN_WON_18_c04_CHN</v>
      </c>
      <c r="X450" s="12">
        <f t="shared" si="43"/>
        <v>1222</v>
      </c>
      <c r="Y450" s="11">
        <f t="shared" si="44"/>
        <v>1222</v>
      </c>
      <c r="AC450" t="s">
        <v>26</v>
      </c>
      <c r="AD450" t="s">
        <v>3798</v>
      </c>
      <c r="AE450" t="s">
        <v>3799</v>
      </c>
      <c r="AF450" t="s">
        <v>29</v>
      </c>
      <c r="AG450" t="s">
        <v>30</v>
      </c>
      <c r="AH450" t="s">
        <v>31</v>
      </c>
      <c r="AK450" t="s">
        <v>3798</v>
      </c>
      <c r="AL450" t="s">
        <v>1967</v>
      </c>
      <c r="AM450" t="s">
        <v>3739</v>
      </c>
      <c r="AN450" s="8">
        <v>14.55975</v>
      </c>
      <c r="AO450">
        <v>199.694880401046</v>
      </c>
      <c r="AP450">
        <v>1961</v>
      </c>
      <c r="AQ450" s="9">
        <v>0.451113532169165</v>
      </c>
      <c r="AR450" t="s">
        <v>812</v>
      </c>
      <c r="AT450" s="15" t="s">
        <v>69</v>
      </c>
      <c r="AW450" s="11" t="str">
        <f t="shared" si="45"/>
        <v>EN_WOF_45_c02_GRC</v>
      </c>
      <c r="AX450" s="11">
        <f t="shared" si="46"/>
        <v>1961</v>
      </c>
      <c r="AY450" s="11">
        <f t="shared" si="47"/>
        <v>1961</v>
      </c>
      <c r="AZ450" s="17">
        <v>3</v>
      </c>
      <c r="BA450">
        <f t="shared" si="48"/>
        <v>19.61</v>
      </c>
    </row>
    <row r="451" spans="2:53">
      <c r="B451" t="s">
        <v>26</v>
      </c>
      <c r="C451" t="s">
        <v>3800</v>
      </c>
      <c r="D451" t="s">
        <v>3801</v>
      </c>
      <c r="E451" t="s">
        <v>29</v>
      </c>
      <c r="F451" t="s">
        <v>30</v>
      </c>
      <c r="G451" t="s">
        <v>31</v>
      </c>
      <c r="J451" t="s">
        <v>3800</v>
      </c>
      <c r="K451" t="s">
        <v>1967</v>
      </c>
      <c r="L451" t="s">
        <v>2897</v>
      </c>
      <c r="M451" s="8">
        <v>5.93775</v>
      </c>
      <c r="N451">
        <v>0</v>
      </c>
      <c r="O451">
        <v>1222</v>
      </c>
      <c r="P451" s="9">
        <v>0.191</v>
      </c>
      <c r="Q451" t="s">
        <v>386</v>
      </c>
      <c r="T451" s="15" t="s">
        <v>290</v>
      </c>
      <c r="W451" s="16" t="str">
        <f t="shared" si="42"/>
        <v>EN_WON_19_c01_CHN</v>
      </c>
      <c r="X451" s="12">
        <f t="shared" si="43"/>
        <v>1222</v>
      </c>
      <c r="Y451" s="11">
        <f t="shared" si="44"/>
        <v>1222</v>
      </c>
      <c r="AC451" t="s">
        <v>26</v>
      </c>
      <c r="AD451" t="s">
        <v>3802</v>
      </c>
      <c r="AE451" t="s">
        <v>3803</v>
      </c>
      <c r="AF451" t="s">
        <v>29</v>
      </c>
      <c r="AG451" t="s">
        <v>30</v>
      </c>
      <c r="AH451" t="s">
        <v>31</v>
      </c>
      <c r="AK451" t="s">
        <v>3802</v>
      </c>
      <c r="AL451" t="s">
        <v>1967</v>
      </c>
      <c r="AM451" t="s">
        <v>3739</v>
      </c>
      <c r="AN451" s="8">
        <v>7.494</v>
      </c>
      <c r="AO451">
        <v>199.694880401046</v>
      </c>
      <c r="AP451">
        <v>1961</v>
      </c>
      <c r="AQ451" s="9">
        <v>0.457766413130504</v>
      </c>
      <c r="AR451" t="s">
        <v>812</v>
      </c>
      <c r="AT451" s="15" t="s">
        <v>69</v>
      </c>
      <c r="AW451" s="11" t="str">
        <f t="shared" si="45"/>
        <v>EN_WOF_46_c02_GRC</v>
      </c>
      <c r="AX451" s="11">
        <f t="shared" si="46"/>
        <v>1961</v>
      </c>
      <c r="AY451" s="11">
        <f t="shared" si="47"/>
        <v>1961</v>
      </c>
      <c r="AZ451" s="17">
        <v>3</v>
      </c>
      <c r="BA451">
        <f t="shared" si="48"/>
        <v>19.61</v>
      </c>
    </row>
    <row r="452" spans="2:53">
      <c r="B452" t="s">
        <v>26</v>
      </c>
      <c r="C452" t="s">
        <v>3804</v>
      </c>
      <c r="D452" t="s">
        <v>3805</v>
      </c>
      <c r="E452" t="s">
        <v>29</v>
      </c>
      <c r="F452" t="s">
        <v>30</v>
      </c>
      <c r="G452" t="s">
        <v>31</v>
      </c>
      <c r="J452" t="s">
        <v>3804</v>
      </c>
      <c r="K452" t="s">
        <v>1967</v>
      </c>
      <c r="L452" t="s">
        <v>2897</v>
      </c>
      <c r="M452" s="8">
        <v>142.16925</v>
      </c>
      <c r="N452">
        <v>80.7856561622413</v>
      </c>
      <c r="O452">
        <v>1222</v>
      </c>
      <c r="P452" s="9">
        <v>0.190756281685386</v>
      </c>
      <c r="Q452" t="s">
        <v>386</v>
      </c>
      <c r="T452" s="15" t="s">
        <v>290</v>
      </c>
      <c r="W452" s="16" t="str">
        <f t="shared" si="42"/>
        <v>EN_WON_19_c02_CHN</v>
      </c>
      <c r="X452" s="12">
        <f t="shared" si="43"/>
        <v>1222</v>
      </c>
      <c r="Y452" s="11">
        <f t="shared" si="44"/>
        <v>1222</v>
      </c>
      <c r="AC452" t="s">
        <v>26</v>
      </c>
      <c r="AD452" t="s">
        <v>3806</v>
      </c>
      <c r="AE452" t="s">
        <v>3807</v>
      </c>
      <c r="AF452" t="s">
        <v>29</v>
      </c>
      <c r="AG452" t="s">
        <v>30</v>
      </c>
      <c r="AH452" t="s">
        <v>31</v>
      </c>
      <c r="AK452" t="s">
        <v>3806</v>
      </c>
      <c r="AL452" t="s">
        <v>1967</v>
      </c>
      <c r="AM452" t="s">
        <v>3739</v>
      </c>
      <c r="AN452" s="8">
        <v>11.43975</v>
      </c>
      <c r="AO452">
        <v>199.694880401046</v>
      </c>
      <c r="AP452">
        <v>1961</v>
      </c>
      <c r="AQ452" s="9">
        <v>0.46776247295614</v>
      </c>
      <c r="AR452" t="s">
        <v>812</v>
      </c>
      <c r="AT452" s="15" t="s">
        <v>69</v>
      </c>
      <c r="AW452" s="11" t="str">
        <f t="shared" si="45"/>
        <v>EN_WOF_47_c02_GRC</v>
      </c>
      <c r="AX452" s="11">
        <f t="shared" si="46"/>
        <v>1961</v>
      </c>
      <c r="AY452" s="11">
        <f t="shared" si="47"/>
        <v>1961</v>
      </c>
      <c r="AZ452" s="17">
        <v>3</v>
      </c>
      <c r="BA452">
        <f t="shared" si="48"/>
        <v>19.61</v>
      </c>
    </row>
    <row r="453" spans="2:53">
      <c r="B453" t="s">
        <v>26</v>
      </c>
      <c r="C453" t="s">
        <v>3808</v>
      </c>
      <c r="D453" t="s">
        <v>3809</v>
      </c>
      <c r="E453" t="s">
        <v>29</v>
      </c>
      <c r="F453" t="s">
        <v>30</v>
      </c>
      <c r="G453" t="s">
        <v>31</v>
      </c>
      <c r="J453" t="s">
        <v>3808</v>
      </c>
      <c r="K453" t="s">
        <v>1967</v>
      </c>
      <c r="L453" t="s">
        <v>2897</v>
      </c>
      <c r="M453" s="8">
        <v>292.758</v>
      </c>
      <c r="N453">
        <v>105.747516212372</v>
      </c>
      <c r="O453">
        <v>1222</v>
      </c>
      <c r="P453" s="9">
        <v>0.190039078351403</v>
      </c>
      <c r="Q453" t="s">
        <v>386</v>
      </c>
      <c r="T453" s="15" t="s">
        <v>290</v>
      </c>
      <c r="W453" s="16" t="str">
        <f t="shared" si="42"/>
        <v>EN_WON_19_c03_CHN</v>
      </c>
      <c r="X453" s="12">
        <f t="shared" si="43"/>
        <v>1222</v>
      </c>
      <c r="Y453" s="11">
        <f t="shared" si="44"/>
        <v>1222</v>
      </c>
      <c r="AC453" t="s">
        <v>26</v>
      </c>
      <c r="AD453" t="s">
        <v>3810</v>
      </c>
      <c r="AE453" t="s">
        <v>3811</v>
      </c>
      <c r="AF453" t="s">
        <v>29</v>
      </c>
      <c r="AG453" t="s">
        <v>30</v>
      </c>
      <c r="AH453" t="s">
        <v>31</v>
      </c>
      <c r="AK453" t="s">
        <v>3810</v>
      </c>
      <c r="AL453" t="s">
        <v>1967</v>
      </c>
      <c r="AM453" t="s">
        <v>3739</v>
      </c>
      <c r="AN453" s="8">
        <v>2.38425</v>
      </c>
      <c r="AO453">
        <v>199.694880401046</v>
      </c>
      <c r="AP453">
        <v>1961</v>
      </c>
      <c r="AQ453" s="9">
        <v>0.49</v>
      </c>
      <c r="AR453" t="s">
        <v>812</v>
      </c>
      <c r="AT453" s="15" t="s">
        <v>69</v>
      </c>
      <c r="AW453" s="11" t="str">
        <f t="shared" si="45"/>
        <v>EN_WOF_49_c02_GRC</v>
      </c>
      <c r="AX453" s="11">
        <f t="shared" si="46"/>
        <v>1961</v>
      </c>
      <c r="AY453" s="11">
        <f t="shared" si="47"/>
        <v>1961</v>
      </c>
      <c r="AZ453" s="17">
        <v>3</v>
      </c>
      <c r="BA453">
        <f t="shared" si="48"/>
        <v>19.61</v>
      </c>
    </row>
    <row r="454" spans="2:53">
      <c r="B454" t="s">
        <v>26</v>
      </c>
      <c r="C454" t="s">
        <v>3812</v>
      </c>
      <c r="D454" t="s">
        <v>3813</v>
      </c>
      <c r="E454" t="s">
        <v>29</v>
      </c>
      <c r="F454" t="s">
        <v>30</v>
      </c>
      <c r="G454" t="s">
        <v>31</v>
      </c>
      <c r="J454" t="s">
        <v>3812</v>
      </c>
      <c r="K454" t="s">
        <v>1967</v>
      </c>
      <c r="L454" t="s">
        <v>2897</v>
      </c>
      <c r="M454" s="8">
        <v>462.19125</v>
      </c>
      <c r="N454">
        <v>145.23264029167</v>
      </c>
      <c r="O454">
        <v>1222</v>
      </c>
      <c r="P454" s="9">
        <v>0.18935219998215</v>
      </c>
      <c r="Q454" t="s">
        <v>386</v>
      </c>
      <c r="T454" s="15" t="s">
        <v>290</v>
      </c>
      <c r="W454" s="16" t="str">
        <f t="shared" ref="W454:W517" si="49">J454</f>
        <v>EN_WON_19_c04_CHN</v>
      </c>
      <c r="X454" s="12">
        <f t="shared" ref="X454:X517" si="50">O454</f>
        <v>1222</v>
      </c>
      <c r="Y454" s="11">
        <f t="shared" ref="Y454:Y517" si="51">X454</f>
        <v>1222</v>
      </c>
      <c r="AC454" t="s">
        <v>26</v>
      </c>
      <c r="AD454" t="s">
        <v>3814</v>
      </c>
      <c r="AE454" t="s">
        <v>3815</v>
      </c>
      <c r="AF454" t="s">
        <v>29</v>
      </c>
      <c r="AG454" t="s">
        <v>30</v>
      </c>
      <c r="AH454" t="s">
        <v>31</v>
      </c>
      <c r="AK454" t="s">
        <v>3814</v>
      </c>
      <c r="AL454" t="s">
        <v>1967</v>
      </c>
      <c r="AM454" t="s">
        <v>3739</v>
      </c>
      <c r="AN454" s="8">
        <v>0.56025</v>
      </c>
      <c r="AO454">
        <v>199.694880401046</v>
      </c>
      <c r="AP454">
        <v>1961</v>
      </c>
      <c r="AQ454" s="9">
        <v>0.498</v>
      </c>
      <c r="AR454" t="s">
        <v>812</v>
      </c>
      <c r="AT454" s="15" t="s">
        <v>69</v>
      </c>
      <c r="AW454" s="11" t="str">
        <f t="shared" ref="AW454:AW517" si="52">AK454</f>
        <v>EN_WOF_50_c02_GRC</v>
      </c>
      <c r="AX454" s="11">
        <f t="shared" ref="AX454:AX517" si="53">AP454</f>
        <v>1961</v>
      </c>
      <c r="AY454" s="11">
        <f t="shared" ref="AY454:AY517" si="54">AX454</f>
        <v>1961</v>
      </c>
      <c r="AZ454" s="17">
        <v>3</v>
      </c>
      <c r="BA454">
        <f t="shared" ref="BA454:BA517" si="55">AX454*0.01</f>
        <v>19.61</v>
      </c>
    </row>
    <row r="455" spans="2:53">
      <c r="B455" t="s">
        <v>26</v>
      </c>
      <c r="C455" t="s">
        <v>3816</v>
      </c>
      <c r="D455" t="s">
        <v>3817</v>
      </c>
      <c r="E455" t="s">
        <v>29</v>
      </c>
      <c r="F455" t="s">
        <v>30</v>
      </c>
      <c r="G455" t="s">
        <v>31</v>
      </c>
      <c r="J455" t="s">
        <v>3816</v>
      </c>
      <c r="K455" t="s">
        <v>1967</v>
      </c>
      <c r="L455" t="s">
        <v>2897</v>
      </c>
      <c r="M455" s="8">
        <v>71.232</v>
      </c>
      <c r="N455">
        <v>0</v>
      </c>
      <c r="O455">
        <v>1222</v>
      </c>
      <c r="P455" s="9">
        <v>0.201248947102426</v>
      </c>
      <c r="Q455" t="s">
        <v>386</v>
      </c>
      <c r="T455" s="15" t="s">
        <v>290</v>
      </c>
      <c r="W455" s="16" t="str">
        <f t="shared" si="49"/>
        <v>EN_WON_20_c01_CHN</v>
      </c>
      <c r="X455" s="12">
        <f t="shared" si="50"/>
        <v>1222</v>
      </c>
      <c r="Y455" s="11">
        <f t="shared" si="51"/>
        <v>1222</v>
      </c>
      <c r="AC455" t="s">
        <v>26</v>
      </c>
      <c r="AD455" t="s">
        <v>3818</v>
      </c>
      <c r="AE455" t="s">
        <v>3819</v>
      </c>
      <c r="AF455" t="s">
        <v>29</v>
      </c>
      <c r="AG455" t="s">
        <v>30</v>
      </c>
      <c r="AH455" t="s">
        <v>31</v>
      </c>
      <c r="AK455" t="s">
        <v>3818</v>
      </c>
      <c r="AL455" t="s">
        <v>1967</v>
      </c>
      <c r="AM455" t="s">
        <v>3739</v>
      </c>
      <c r="AN455" s="8">
        <v>2.1135</v>
      </c>
      <c r="AO455">
        <v>199.694880401046</v>
      </c>
      <c r="AP455">
        <v>1961</v>
      </c>
      <c r="AQ455" s="9">
        <v>0.518</v>
      </c>
      <c r="AR455" t="s">
        <v>812</v>
      </c>
      <c r="AT455" s="15" t="s">
        <v>69</v>
      </c>
      <c r="AW455" s="11" t="str">
        <f t="shared" si="52"/>
        <v>EN_WOF_52_c02_GRC</v>
      </c>
      <c r="AX455" s="11">
        <f t="shared" si="53"/>
        <v>1961</v>
      </c>
      <c r="AY455" s="11">
        <f t="shared" si="54"/>
        <v>1961</v>
      </c>
      <c r="AZ455" s="17">
        <v>3</v>
      </c>
      <c r="BA455">
        <f t="shared" si="55"/>
        <v>19.61</v>
      </c>
    </row>
    <row r="456" spans="2:53">
      <c r="B456" t="s">
        <v>26</v>
      </c>
      <c r="C456" t="s">
        <v>3820</v>
      </c>
      <c r="D456" t="s">
        <v>3821</v>
      </c>
      <c r="E456" t="s">
        <v>29</v>
      </c>
      <c r="F456" t="s">
        <v>30</v>
      </c>
      <c r="G456" t="s">
        <v>31</v>
      </c>
      <c r="J456" t="s">
        <v>3820</v>
      </c>
      <c r="K456" t="s">
        <v>1967</v>
      </c>
      <c r="L456" t="s">
        <v>2897</v>
      </c>
      <c r="M456" s="8">
        <v>227.30175</v>
      </c>
      <c r="N456">
        <v>80.7856561622413</v>
      </c>
      <c r="O456">
        <v>1222</v>
      </c>
      <c r="P456" s="9">
        <v>0.200082974504156</v>
      </c>
      <c r="Q456" t="s">
        <v>386</v>
      </c>
      <c r="T456" s="15" t="s">
        <v>290</v>
      </c>
      <c r="W456" s="16" t="str">
        <f t="shared" si="49"/>
        <v>EN_WON_20_c02_CHN</v>
      </c>
      <c r="X456" s="12">
        <f t="shared" si="50"/>
        <v>1222</v>
      </c>
      <c r="Y456" s="11">
        <f t="shared" si="51"/>
        <v>1222</v>
      </c>
      <c r="AC456" t="s">
        <v>26</v>
      </c>
      <c r="AD456" t="s">
        <v>3822</v>
      </c>
      <c r="AE456" t="s">
        <v>3823</v>
      </c>
      <c r="AF456" t="s">
        <v>29</v>
      </c>
      <c r="AG456" t="s">
        <v>30</v>
      </c>
      <c r="AH456" t="s">
        <v>31</v>
      </c>
      <c r="AK456" t="s">
        <v>3822</v>
      </c>
      <c r="AL456" t="s">
        <v>1967</v>
      </c>
      <c r="AM456" t="s">
        <v>3824</v>
      </c>
      <c r="AN456" s="8">
        <v>4.7865</v>
      </c>
      <c r="AO456">
        <v>199.694880401046</v>
      </c>
      <c r="AP456">
        <v>1997</v>
      </c>
      <c r="AQ456" s="9">
        <v>0.301</v>
      </c>
      <c r="AR456" t="s">
        <v>3825</v>
      </c>
      <c r="AT456" s="15" t="s">
        <v>89</v>
      </c>
      <c r="AW456" s="11" t="str">
        <f t="shared" si="52"/>
        <v>EN_WOF_30_c02_GRD</v>
      </c>
      <c r="AX456" s="11">
        <f t="shared" si="53"/>
        <v>1997</v>
      </c>
      <c r="AY456" s="11">
        <f t="shared" si="54"/>
        <v>1997</v>
      </c>
      <c r="AZ456" s="17">
        <v>3</v>
      </c>
      <c r="BA456">
        <f t="shared" si="55"/>
        <v>19.97</v>
      </c>
    </row>
    <row r="457" spans="2:53">
      <c r="B457" t="s">
        <v>26</v>
      </c>
      <c r="C457" t="s">
        <v>3826</v>
      </c>
      <c r="D457" t="s">
        <v>3827</v>
      </c>
      <c r="E457" t="s">
        <v>29</v>
      </c>
      <c r="F457" t="s">
        <v>30</v>
      </c>
      <c r="G457" t="s">
        <v>31</v>
      </c>
      <c r="J457" t="s">
        <v>3826</v>
      </c>
      <c r="K457" t="s">
        <v>1967</v>
      </c>
      <c r="L457" t="s">
        <v>2897</v>
      </c>
      <c r="M457" s="8">
        <v>292.71075</v>
      </c>
      <c r="N457">
        <v>105.747516212372</v>
      </c>
      <c r="O457">
        <v>1222</v>
      </c>
      <c r="P457" s="9">
        <v>0.19949920441938</v>
      </c>
      <c r="Q457" t="s">
        <v>386</v>
      </c>
      <c r="T457" s="15" t="s">
        <v>290</v>
      </c>
      <c r="W457" s="16" t="str">
        <f t="shared" si="49"/>
        <v>EN_WON_20_c03_CHN</v>
      </c>
      <c r="X457" s="12">
        <f t="shared" si="50"/>
        <v>1222</v>
      </c>
      <c r="Y457" s="11">
        <f t="shared" si="51"/>
        <v>1222</v>
      </c>
      <c r="AC457" t="s">
        <v>26</v>
      </c>
      <c r="AD457" t="s">
        <v>3828</v>
      </c>
      <c r="AE457" t="s">
        <v>3829</v>
      </c>
      <c r="AF457" t="s">
        <v>29</v>
      </c>
      <c r="AG457" t="s">
        <v>30</v>
      </c>
      <c r="AH457" t="s">
        <v>31</v>
      </c>
      <c r="AK457" t="s">
        <v>3828</v>
      </c>
      <c r="AL457" t="s">
        <v>1967</v>
      </c>
      <c r="AM457" t="s">
        <v>3824</v>
      </c>
      <c r="AN457" s="8">
        <v>4.929</v>
      </c>
      <c r="AO457">
        <v>199.694880401046</v>
      </c>
      <c r="AP457">
        <v>1997</v>
      </c>
      <c r="AQ457" s="9">
        <v>0.318</v>
      </c>
      <c r="AR457" t="s">
        <v>3825</v>
      </c>
      <c r="AT457" s="15" t="s">
        <v>89</v>
      </c>
      <c r="AW457" s="11" t="str">
        <f t="shared" si="52"/>
        <v>EN_WOF_32_c02_GRD</v>
      </c>
      <c r="AX457" s="11">
        <f t="shared" si="53"/>
        <v>1997</v>
      </c>
      <c r="AY457" s="11">
        <f t="shared" si="54"/>
        <v>1997</v>
      </c>
      <c r="AZ457" s="17">
        <v>3</v>
      </c>
      <c r="BA457">
        <f t="shared" si="55"/>
        <v>19.97</v>
      </c>
    </row>
    <row r="458" spans="2:53">
      <c r="B458" t="s">
        <v>26</v>
      </c>
      <c r="C458" t="s">
        <v>3830</v>
      </c>
      <c r="D458" t="s">
        <v>3831</v>
      </c>
      <c r="E458" t="s">
        <v>29</v>
      </c>
      <c r="F458" t="s">
        <v>30</v>
      </c>
      <c r="G458" t="s">
        <v>31</v>
      </c>
      <c r="J458" t="s">
        <v>3830</v>
      </c>
      <c r="K458" t="s">
        <v>1967</v>
      </c>
      <c r="L458" t="s">
        <v>2897</v>
      </c>
      <c r="M458" s="8">
        <v>276.03075</v>
      </c>
      <c r="N458">
        <v>145.23264029167</v>
      </c>
      <c r="O458">
        <v>1222</v>
      </c>
      <c r="P458" s="9">
        <v>0.199237239872732</v>
      </c>
      <c r="Q458" t="s">
        <v>386</v>
      </c>
      <c r="T458" s="15" t="s">
        <v>290</v>
      </c>
      <c r="W458" s="16" t="str">
        <f t="shared" si="49"/>
        <v>EN_WON_20_c04_CHN</v>
      </c>
      <c r="X458" s="12">
        <f t="shared" si="50"/>
        <v>1222</v>
      </c>
      <c r="Y458" s="11">
        <f t="shared" si="51"/>
        <v>1222</v>
      </c>
      <c r="AC458" t="s">
        <v>26</v>
      </c>
      <c r="AD458" t="s">
        <v>3832</v>
      </c>
      <c r="AE458" t="s">
        <v>3833</v>
      </c>
      <c r="AF458" t="s">
        <v>29</v>
      </c>
      <c r="AG458" t="s">
        <v>30</v>
      </c>
      <c r="AH458" t="s">
        <v>31</v>
      </c>
      <c r="AK458" t="s">
        <v>3832</v>
      </c>
      <c r="AL458" t="s">
        <v>1967</v>
      </c>
      <c r="AM458" t="s">
        <v>3824</v>
      </c>
      <c r="AN458" s="8">
        <v>6.237</v>
      </c>
      <c r="AO458">
        <v>199.694880401046</v>
      </c>
      <c r="AP458">
        <v>1997</v>
      </c>
      <c r="AQ458" s="9">
        <v>0.332277417027417</v>
      </c>
      <c r="AR458" t="s">
        <v>3825</v>
      </c>
      <c r="AT458" s="15" t="s">
        <v>89</v>
      </c>
      <c r="AW458" s="11" t="str">
        <f t="shared" si="52"/>
        <v>EN_WOF_33_c02_GRD</v>
      </c>
      <c r="AX458" s="11">
        <f t="shared" si="53"/>
        <v>1997</v>
      </c>
      <c r="AY458" s="11">
        <f t="shared" si="54"/>
        <v>1997</v>
      </c>
      <c r="AZ458" s="17">
        <v>3</v>
      </c>
      <c r="BA458">
        <f t="shared" si="55"/>
        <v>19.97</v>
      </c>
    </row>
    <row r="459" spans="2:53">
      <c r="B459" t="s">
        <v>26</v>
      </c>
      <c r="C459" t="s">
        <v>3834</v>
      </c>
      <c r="D459" t="s">
        <v>3835</v>
      </c>
      <c r="E459" t="s">
        <v>29</v>
      </c>
      <c r="F459" t="s">
        <v>30</v>
      </c>
      <c r="G459" t="s">
        <v>31</v>
      </c>
      <c r="J459" t="s">
        <v>3834</v>
      </c>
      <c r="K459" t="s">
        <v>1967</v>
      </c>
      <c r="L459" t="s">
        <v>2897</v>
      </c>
      <c r="M459" s="8">
        <v>154.143</v>
      </c>
      <c r="N459">
        <v>0</v>
      </c>
      <c r="O459">
        <v>1222</v>
      </c>
      <c r="P459" s="9">
        <v>0.209850348377805</v>
      </c>
      <c r="Q459" t="s">
        <v>386</v>
      </c>
      <c r="T459" s="15" t="s">
        <v>290</v>
      </c>
      <c r="W459" s="16" t="str">
        <f t="shared" si="49"/>
        <v>EN_WON_21_c01_CHN</v>
      </c>
      <c r="X459" s="12">
        <f t="shared" si="50"/>
        <v>1222</v>
      </c>
      <c r="Y459" s="11">
        <f t="shared" si="51"/>
        <v>1222</v>
      </c>
      <c r="AC459" t="s">
        <v>26</v>
      </c>
      <c r="AD459" t="s">
        <v>3836</v>
      </c>
      <c r="AE459" t="s">
        <v>3837</v>
      </c>
      <c r="AF459" t="s">
        <v>29</v>
      </c>
      <c r="AG459" t="s">
        <v>30</v>
      </c>
      <c r="AH459" t="s">
        <v>31</v>
      </c>
      <c r="AK459" t="s">
        <v>3836</v>
      </c>
      <c r="AL459" t="s">
        <v>1967</v>
      </c>
      <c r="AM459" t="s">
        <v>3824</v>
      </c>
      <c r="AN459" s="8">
        <v>2.103</v>
      </c>
      <c r="AO459">
        <v>199.694880401046</v>
      </c>
      <c r="AP459">
        <v>1997</v>
      </c>
      <c r="AQ459" s="9">
        <v>0.352594151212553</v>
      </c>
      <c r="AR459" t="s">
        <v>3825</v>
      </c>
      <c r="AT459" s="15" t="s">
        <v>89</v>
      </c>
      <c r="AW459" s="11" t="str">
        <f t="shared" si="52"/>
        <v>EN_WOF_35_c02_GRD</v>
      </c>
      <c r="AX459" s="11">
        <f t="shared" si="53"/>
        <v>1997</v>
      </c>
      <c r="AY459" s="11">
        <f t="shared" si="54"/>
        <v>1997</v>
      </c>
      <c r="AZ459" s="17">
        <v>3</v>
      </c>
      <c r="BA459">
        <f t="shared" si="55"/>
        <v>19.97</v>
      </c>
    </row>
    <row r="460" spans="2:53">
      <c r="B460" t="s">
        <v>26</v>
      </c>
      <c r="C460" t="s">
        <v>3838</v>
      </c>
      <c r="D460" t="s">
        <v>3839</v>
      </c>
      <c r="E460" t="s">
        <v>29</v>
      </c>
      <c r="F460" t="s">
        <v>30</v>
      </c>
      <c r="G460" t="s">
        <v>31</v>
      </c>
      <c r="J460" t="s">
        <v>3838</v>
      </c>
      <c r="K460" t="s">
        <v>1967</v>
      </c>
      <c r="L460" t="s">
        <v>2897</v>
      </c>
      <c r="M460" s="8">
        <v>232.9215</v>
      </c>
      <c r="N460">
        <v>80.7856561622413</v>
      </c>
      <c r="O460">
        <v>1222</v>
      </c>
      <c r="P460" s="9">
        <v>0.208644238509541</v>
      </c>
      <c r="Q460" t="s">
        <v>386</v>
      </c>
      <c r="T460" s="15" t="s">
        <v>290</v>
      </c>
      <c r="W460" s="16" t="str">
        <f t="shared" si="49"/>
        <v>EN_WON_21_c02_CHN</v>
      </c>
      <c r="X460" s="12">
        <f t="shared" si="50"/>
        <v>1222</v>
      </c>
      <c r="Y460" s="11">
        <f t="shared" si="51"/>
        <v>1222</v>
      </c>
      <c r="AC460" t="s">
        <v>26</v>
      </c>
      <c r="AD460" t="s">
        <v>3840</v>
      </c>
      <c r="AE460" t="s">
        <v>3841</v>
      </c>
      <c r="AF460" t="s">
        <v>29</v>
      </c>
      <c r="AG460" t="s">
        <v>30</v>
      </c>
      <c r="AH460" t="s">
        <v>31</v>
      </c>
      <c r="AK460" t="s">
        <v>3840</v>
      </c>
      <c r="AL460" t="s">
        <v>1967</v>
      </c>
      <c r="AM460" t="s">
        <v>3824</v>
      </c>
      <c r="AN460" s="8">
        <v>0.63075</v>
      </c>
      <c r="AO460">
        <v>199.694880401046</v>
      </c>
      <c r="AP460">
        <v>1997</v>
      </c>
      <c r="AQ460" s="9">
        <v>0.373</v>
      </c>
      <c r="AR460" t="s">
        <v>3825</v>
      </c>
      <c r="AT460" s="15" t="s">
        <v>89</v>
      </c>
      <c r="AW460" s="11" t="str">
        <f t="shared" si="52"/>
        <v>EN_WOF_37_c02_GRD</v>
      </c>
      <c r="AX460" s="11">
        <f t="shared" si="53"/>
        <v>1997</v>
      </c>
      <c r="AY460" s="11">
        <f t="shared" si="54"/>
        <v>1997</v>
      </c>
      <c r="AZ460" s="17">
        <v>3</v>
      </c>
      <c r="BA460">
        <f t="shared" si="55"/>
        <v>19.97</v>
      </c>
    </row>
    <row r="461" spans="2:53">
      <c r="B461" t="s">
        <v>26</v>
      </c>
      <c r="C461" t="s">
        <v>3842</v>
      </c>
      <c r="D461" t="s">
        <v>3843</v>
      </c>
      <c r="E461" t="s">
        <v>29</v>
      </c>
      <c r="F461" t="s">
        <v>30</v>
      </c>
      <c r="G461" t="s">
        <v>31</v>
      </c>
      <c r="J461" t="s">
        <v>3842</v>
      </c>
      <c r="K461" t="s">
        <v>1967</v>
      </c>
      <c r="L461" t="s">
        <v>2897</v>
      </c>
      <c r="M461" s="8">
        <v>261.7635</v>
      </c>
      <c r="N461">
        <v>105.747516212372</v>
      </c>
      <c r="O461">
        <v>1222</v>
      </c>
      <c r="P461" s="9">
        <v>0.210059458251437</v>
      </c>
      <c r="Q461" t="s">
        <v>386</v>
      </c>
      <c r="T461" s="15" t="s">
        <v>290</v>
      </c>
      <c r="W461" s="16" t="str">
        <f t="shared" si="49"/>
        <v>EN_WON_21_c03_CHN</v>
      </c>
      <c r="X461" s="12">
        <f t="shared" si="50"/>
        <v>1222</v>
      </c>
      <c r="Y461" s="11">
        <f t="shared" si="51"/>
        <v>1222</v>
      </c>
      <c r="AC461" t="s">
        <v>26</v>
      </c>
      <c r="AD461" t="s">
        <v>3844</v>
      </c>
      <c r="AE461" t="s">
        <v>3845</v>
      </c>
      <c r="AF461" t="s">
        <v>29</v>
      </c>
      <c r="AG461" t="s">
        <v>30</v>
      </c>
      <c r="AH461" t="s">
        <v>31</v>
      </c>
      <c r="AK461" t="s">
        <v>3844</v>
      </c>
      <c r="AL461" t="s">
        <v>1967</v>
      </c>
      <c r="AM461" t="s">
        <v>3846</v>
      </c>
      <c r="AN461" s="8">
        <v>8.21925</v>
      </c>
      <c r="AO461">
        <v>199.694880401046</v>
      </c>
      <c r="AP461">
        <v>1769</v>
      </c>
      <c r="AQ461" s="9">
        <v>0.310790856830003</v>
      </c>
      <c r="AR461" t="s">
        <v>842</v>
      </c>
      <c r="AT461" s="15" t="s">
        <v>89</v>
      </c>
      <c r="AW461" s="11" t="str">
        <f t="shared" si="52"/>
        <v>EN_WOF_31_c02_HND</v>
      </c>
      <c r="AX461" s="11">
        <f t="shared" si="53"/>
        <v>1769</v>
      </c>
      <c r="AY461" s="11">
        <f t="shared" si="54"/>
        <v>1769</v>
      </c>
      <c r="AZ461" s="17">
        <v>3</v>
      </c>
      <c r="BA461">
        <f t="shared" si="55"/>
        <v>17.69</v>
      </c>
    </row>
    <row r="462" spans="2:53">
      <c r="B462" t="s">
        <v>26</v>
      </c>
      <c r="C462" t="s">
        <v>3847</v>
      </c>
      <c r="D462" t="s">
        <v>3848</v>
      </c>
      <c r="E462" t="s">
        <v>29</v>
      </c>
      <c r="F462" t="s">
        <v>30</v>
      </c>
      <c r="G462" t="s">
        <v>31</v>
      </c>
      <c r="J462" t="s">
        <v>3847</v>
      </c>
      <c r="K462" t="s">
        <v>1967</v>
      </c>
      <c r="L462" t="s">
        <v>2897</v>
      </c>
      <c r="M462" s="8">
        <v>212.535</v>
      </c>
      <c r="N462">
        <v>145.23264029167</v>
      </c>
      <c r="O462">
        <v>1222</v>
      </c>
      <c r="P462" s="9">
        <v>0.209709146728774</v>
      </c>
      <c r="Q462" t="s">
        <v>386</v>
      </c>
      <c r="T462" s="15" t="s">
        <v>290</v>
      </c>
      <c r="W462" s="16" t="str">
        <f t="shared" si="49"/>
        <v>EN_WON_21_c04_CHN</v>
      </c>
      <c r="X462" s="12">
        <f t="shared" si="50"/>
        <v>1222</v>
      </c>
      <c r="Y462" s="11">
        <f t="shared" si="51"/>
        <v>1222</v>
      </c>
      <c r="AC462" t="s">
        <v>26</v>
      </c>
      <c r="AD462" t="s">
        <v>3849</v>
      </c>
      <c r="AE462" t="s">
        <v>3850</v>
      </c>
      <c r="AF462" t="s">
        <v>29</v>
      </c>
      <c r="AG462" t="s">
        <v>30</v>
      </c>
      <c r="AH462" t="s">
        <v>31</v>
      </c>
      <c r="AK462" t="s">
        <v>3849</v>
      </c>
      <c r="AL462" t="s">
        <v>1967</v>
      </c>
      <c r="AM462" t="s">
        <v>3846</v>
      </c>
      <c r="AN462" s="8">
        <v>0.8865</v>
      </c>
      <c r="AO462">
        <v>199.694880401046</v>
      </c>
      <c r="AP462">
        <v>1769</v>
      </c>
      <c r="AQ462" s="9">
        <v>0.323</v>
      </c>
      <c r="AR462" t="s">
        <v>842</v>
      </c>
      <c r="AT462" s="15" t="s">
        <v>89</v>
      </c>
      <c r="AW462" s="11" t="str">
        <f t="shared" si="52"/>
        <v>EN_WOF_32_c02_HND</v>
      </c>
      <c r="AX462" s="11">
        <f t="shared" si="53"/>
        <v>1769</v>
      </c>
      <c r="AY462" s="11">
        <f t="shared" si="54"/>
        <v>1769</v>
      </c>
      <c r="AZ462" s="17">
        <v>3</v>
      </c>
      <c r="BA462">
        <f t="shared" si="55"/>
        <v>17.69</v>
      </c>
    </row>
    <row r="463" spans="2:53">
      <c r="B463" t="s">
        <v>26</v>
      </c>
      <c r="C463" t="s">
        <v>3851</v>
      </c>
      <c r="D463" t="s">
        <v>3852</v>
      </c>
      <c r="E463" t="s">
        <v>29</v>
      </c>
      <c r="F463" t="s">
        <v>30</v>
      </c>
      <c r="G463" t="s">
        <v>31</v>
      </c>
      <c r="J463" t="s">
        <v>3851</v>
      </c>
      <c r="K463" t="s">
        <v>1967</v>
      </c>
      <c r="L463" t="s">
        <v>2897</v>
      </c>
      <c r="M463" s="8">
        <v>142.85625</v>
      </c>
      <c r="N463">
        <v>0</v>
      </c>
      <c r="O463">
        <v>1222</v>
      </c>
      <c r="P463" s="9">
        <v>0.219384276151726</v>
      </c>
      <c r="Q463" t="s">
        <v>386</v>
      </c>
      <c r="T463" s="15" t="s">
        <v>290</v>
      </c>
      <c r="W463" s="16" t="str">
        <f t="shared" si="49"/>
        <v>EN_WON_22_c01_CHN</v>
      </c>
      <c r="X463" s="12">
        <f t="shared" si="50"/>
        <v>1222</v>
      </c>
      <c r="Y463" s="11">
        <f t="shared" si="51"/>
        <v>1222</v>
      </c>
      <c r="AC463" t="s">
        <v>26</v>
      </c>
      <c r="AD463" t="s">
        <v>3853</v>
      </c>
      <c r="AE463" t="s">
        <v>3854</v>
      </c>
      <c r="AF463" t="s">
        <v>29</v>
      </c>
      <c r="AG463" t="s">
        <v>30</v>
      </c>
      <c r="AH463" t="s">
        <v>31</v>
      </c>
      <c r="AK463" t="s">
        <v>3853</v>
      </c>
      <c r="AL463" t="s">
        <v>1967</v>
      </c>
      <c r="AM463" t="s">
        <v>3846</v>
      </c>
      <c r="AN463" s="8">
        <v>2.22975</v>
      </c>
      <c r="AO463">
        <v>199.694880401046</v>
      </c>
      <c r="AP463">
        <v>1769</v>
      </c>
      <c r="AQ463" s="9">
        <v>0.342</v>
      </c>
      <c r="AR463" t="s">
        <v>842</v>
      </c>
      <c r="AT463" s="15" t="s">
        <v>89</v>
      </c>
      <c r="AW463" s="11" t="str">
        <f t="shared" si="52"/>
        <v>EN_WOF_34_c02_HND</v>
      </c>
      <c r="AX463" s="11">
        <f t="shared" si="53"/>
        <v>1769</v>
      </c>
      <c r="AY463" s="11">
        <f t="shared" si="54"/>
        <v>1769</v>
      </c>
      <c r="AZ463" s="17">
        <v>3</v>
      </c>
      <c r="BA463">
        <f t="shared" si="55"/>
        <v>17.69</v>
      </c>
    </row>
    <row r="464" spans="2:53">
      <c r="B464" t="s">
        <v>26</v>
      </c>
      <c r="C464" t="s">
        <v>3855</v>
      </c>
      <c r="D464" t="s">
        <v>3856</v>
      </c>
      <c r="E464" t="s">
        <v>29</v>
      </c>
      <c r="F464" t="s">
        <v>30</v>
      </c>
      <c r="G464" t="s">
        <v>31</v>
      </c>
      <c r="J464" t="s">
        <v>3855</v>
      </c>
      <c r="K464" t="s">
        <v>1967</v>
      </c>
      <c r="L464" t="s">
        <v>2897</v>
      </c>
      <c r="M464" s="8">
        <v>214.104</v>
      </c>
      <c r="N464">
        <v>80.7856561622413</v>
      </c>
      <c r="O464">
        <v>1222</v>
      </c>
      <c r="P464" s="9">
        <v>0.2193907913911</v>
      </c>
      <c r="Q464" t="s">
        <v>386</v>
      </c>
      <c r="T464" s="15" t="s">
        <v>290</v>
      </c>
      <c r="W464" s="16" t="str">
        <f t="shared" si="49"/>
        <v>EN_WON_22_c02_CHN</v>
      </c>
      <c r="X464" s="12">
        <f t="shared" si="50"/>
        <v>1222</v>
      </c>
      <c r="Y464" s="11">
        <f t="shared" si="51"/>
        <v>1222</v>
      </c>
      <c r="AC464" t="s">
        <v>26</v>
      </c>
      <c r="AD464" t="s">
        <v>3857</v>
      </c>
      <c r="AE464" t="s">
        <v>3858</v>
      </c>
      <c r="AF464" t="s">
        <v>29</v>
      </c>
      <c r="AG464" t="s">
        <v>30</v>
      </c>
      <c r="AH464" t="s">
        <v>31</v>
      </c>
      <c r="AK464" t="s">
        <v>3857</v>
      </c>
      <c r="AL464" t="s">
        <v>1967</v>
      </c>
      <c r="AM464" t="s">
        <v>3846</v>
      </c>
      <c r="AN464" s="8">
        <v>3.21825</v>
      </c>
      <c r="AO464">
        <v>199.694880401046</v>
      </c>
      <c r="AP464">
        <v>1769</v>
      </c>
      <c r="AQ464" s="9">
        <v>0.347</v>
      </c>
      <c r="AR464" t="s">
        <v>842</v>
      </c>
      <c r="AT464" s="15" t="s">
        <v>89</v>
      </c>
      <c r="AW464" s="11" t="str">
        <f t="shared" si="52"/>
        <v>EN_WOF_35_c02_HND</v>
      </c>
      <c r="AX464" s="11">
        <f t="shared" si="53"/>
        <v>1769</v>
      </c>
      <c r="AY464" s="11">
        <f t="shared" si="54"/>
        <v>1769</v>
      </c>
      <c r="AZ464" s="17">
        <v>3</v>
      </c>
      <c r="BA464">
        <f t="shared" si="55"/>
        <v>17.69</v>
      </c>
    </row>
    <row r="465" spans="2:53">
      <c r="B465" t="s">
        <v>26</v>
      </c>
      <c r="C465" t="s">
        <v>3859</v>
      </c>
      <c r="D465" t="s">
        <v>3860</v>
      </c>
      <c r="E465" t="s">
        <v>29</v>
      </c>
      <c r="F465" t="s">
        <v>30</v>
      </c>
      <c r="G465" t="s">
        <v>31</v>
      </c>
      <c r="J465" t="s">
        <v>3859</v>
      </c>
      <c r="K465" t="s">
        <v>1967</v>
      </c>
      <c r="L465" t="s">
        <v>2897</v>
      </c>
      <c r="M465" s="8">
        <v>184.46775</v>
      </c>
      <c r="N465">
        <v>105.747516212372</v>
      </c>
      <c r="O465">
        <v>1222</v>
      </c>
      <c r="P465" s="9">
        <v>0.219271506808101</v>
      </c>
      <c r="Q465" t="s">
        <v>386</v>
      </c>
      <c r="T465" s="15" t="s">
        <v>290</v>
      </c>
      <c r="W465" s="16" t="str">
        <f t="shared" si="49"/>
        <v>EN_WON_22_c03_CHN</v>
      </c>
      <c r="X465" s="12">
        <f t="shared" si="50"/>
        <v>1222</v>
      </c>
      <c r="Y465" s="11">
        <f t="shared" si="51"/>
        <v>1222</v>
      </c>
      <c r="AC465" t="s">
        <v>26</v>
      </c>
      <c r="AD465" t="s">
        <v>3861</v>
      </c>
      <c r="AE465" t="s">
        <v>3862</v>
      </c>
      <c r="AF465" t="s">
        <v>29</v>
      </c>
      <c r="AG465" t="s">
        <v>30</v>
      </c>
      <c r="AH465" t="s">
        <v>31</v>
      </c>
      <c r="AK465" t="s">
        <v>3861</v>
      </c>
      <c r="AL465" t="s">
        <v>1967</v>
      </c>
      <c r="AM465" t="s">
        <v>3863</v>
      </c>
      <c r="AN465" s="8">
        <v>1.4655</v>
      </c>
      <c r="AO465">
        <v>199.694880401046</v>
      </c>
      <c r="AP465">
        <v>1909</v>
      </c>
      <c r="AQ465" s="9">
        <v>0.304</v>
      </c>
      <c r="AR465" t="s">
        <v>852</v>
      </c>
      <c r="AT465" s="15" t="s">
        <v>69</v>
      </c>
      <c r="AW465" s="11" t="str">
        <f t="shared" si="52"/>
        <v>EN_WOF_30_c02_HRV</v>
      </c>
      <c r="AX465" s="11">
        <f t="shared" si="53"/>
        <v>1909</v>
      </c>
      <c r="AY465" s="11">
        <f t="shared" si="54"/>
        <v>1909</v>
      </c>
      <c r="AZ465" s="17">
        <v>3</v>
      </c>
      <c r="BA465">
        <f t="shared" si="55"/>
        <v>19.09</v>
      </c>
    </row>
    <row r="466" spans="2:53">
      <c r="B466" t="s">
        <v>26</v>
      </c>
      <c r="C466" t="s">
        <v>3864</v>
      </c>
      <c r="D466" t="s">
        <v>3865</v>
      </c>
      <c r="E466" t="s">
        <v>29</v>
      </c>
      <c r="F466" t="s">
        <v>30</v>
      </c>
      <c r="G466" t="s">
        <v>31</v>
      </c>
      <c r="J466" t="s">
        <v>3864</v>
      </c>
      <c r="K466" t="s">
        <v>1967</v>
      </c>
      <c r="L466" t="s">
        <v>2897</v>
      </c>
      <c r="M466" s="8">
        <v>134.7345</v>
      </c>
      <c r="N466">
        <v>145.23264029167</v>
      </c>
      <c r="O466">
        <v>1222</v>
      </c>
      <c r="P466" s="9">
        <v>0.22016903799695</v>
      </c>
      <c r="Q466" t="s">
        <v>386</v>
      </c>
      <c r="T466" s="15" t="s">
        <v>290</v>
      </c>
      <c r="W466" s="16" t="str">
        <f t="shared" si="49"/>
        <v>EN_WON_22_c04_CHN</v>
      </c>
      <c r="X466" s="12">
        <f t="shared" si="50"/>
        <v>1222</v>
      </c>
      <c r="Y466" s="11">
        <f t="shared" si="51"/>
        <v>1222</v>
      </c>
      <c r="AC466" t="s">
        <v>26</v>
      </c>
      <c r="AD466" t="s">
        <v>3866</v>
      </c>
      <c r="AE466" t="s">
        <v>3867</v>
      </c>
      <c r="AF466" t="s">
        <v>29</v>
      </c>
      <c r="AG466" t="s">
        <v>30</v>
      </c>
      <c r="AH466" t="s">
        <v>31</v>
      </c>
      <c r="AK466" t="s">
        <v>3866</v>
      </c>
      <c r="AL466" t="s">
        <v>1967</v>
      </c>
      <c r="AM466" t="s">
        <v>3863</v>
      </c>
      <c r="AN466" s="8">
        <v>3.2235</v>
      </c>
      <c r="AO466">
        <v>199.694880401046</v>
      </c>
      <c r="AP466">
        <v>1909</v>
      </c>
      <c r="AQ466" s="9">
        <v>0.322884597487203</v>
      </c>
      <c r="AR466" t="s">
        <v>852</v>
      </c>
      <c r="AT466" s="15" t="s">
        <v>69</v>
      </c>
      <c r="AW466" s="11" t="str">
        <f t="shared" si="52"/>
        <v>EN_WOF_32_c02_HRV</v>
      </c>
      <c r="AX466" s="11">
        <f t="shared" si="53"/>
        <v>1909</v>
      </c>
      <c r="AY466" s="11">
        <f t="shared" si="54"/>
        <v>1909</v>
      </c>
      <c r="AZ466" s="17">
        <v>3</v>
      </c>
      <c r="BA466">
        <f t="shared" si="55"/>
        <v>19.09</v>
      </c>
    </row>
    <row r="467" spans="2:53">
      <c r="B467" t="s">
        <v>26</v>
      </c>
      <c r="C467" t="s">
        <v>3868</v>
      </c>
      <c r="D467" t="s">
        <v>3869</v>
      </c>
      <c r="E467" t="s">
        <v>29</v>
      </c>
      <c r="F467" t="s">
        <v>30</v>
      </c>
      <c r="G467" t="s">
        <v>31</v>
      </c>
      <c r="J467" t="s">
        <v>3868</v>
      </c>
      <c r="K467" t="s">
        <v>1967</v>
      </c>
      <c r="L467" t="s">
        <v>2897</v>
      </c>
      <c r="M467" s="8">
        <v>188.9175</v>
      </c>
      <c r="N467">
        <v>0</v>
      </c>
      <c r="O467">
        <v>1222</v>
      </c>
      <c r="P467" s="9">
        <v>0.228950466473461</v>
      </c>
      <c r="Q467" t="s">
        <v>386</v>
      </c>
      <c r="T467" s="15" t="s">
        <v>290</v>
      </c>
      <c r="W467" s="16" t="str">
        <f t="shared" si="49"/>
        <v>EN_WON_23_c01_CHN</v>
      </c>
      <c r="X467" s="12">
        <f t="shared" si="50"/>
        <v>1222</v>
      </c>
      <c r="Y467" s="11">
        <f t="shared" si="51"/>
        <v>1222</v>
      </c>
      <c r="AC467" t="s">
        <v>26</v>
      </c>
      <c r="AD467" t="s">
        <v>3870</v>
      </c>
      <c r="AE467" t="s">
        <v>3871</v>
      </c>
      <c r="AF467" t="s">
        <v>29</v>
      </c>
      <c r="AG467" t="s">
        <v>30</v>
      </c>
      <c r="AH467" t="s">
        <v>31</v>
      </c>
      <c r="AK467" t="s">
        <v>3870</v>
      </c>
      <c r="AL467" t="s">
        <v>1967</v>
      </c>
      <c r="AM467" t="s">
        <v>3863</v>
      </c>
      <c r="AN467" s="8">
        <v>1.9815</v>
      </c>
      <c r="AO467">
        <v>199.694880401046</v>
      </c>
      <c r="AP467">
        <v>1909</v>
      </c>
      <c r="AQ467" s="9">
        <v>0.326726722180167</v>
      </c>
      <c r="AR467" t="s">
        <v>852</v>
      </c>
      <c r="AT467" s="15" t="s">
        <v>69</v>
      </c>
      <c r="AW467" s="11" t="str">
        <f t="shared" si="52"/>
        <v>EN_WOF_33_c02_HRV</v>
      </c>
      <c r="AX467" s="11">
        <f t="shared" si="53"/>
        <v>1909</v>
      </c>
      <c r="AY467" s="11">
        <f t="shared" si="54"/>
        <v>1909</v>
      </c>
      <c r="AZ467" s="17">
        <v>3</v>
      </c>
      <c r="BA467">
        <f t="shared" si="55"/>
        <v>19.09</v>
      </c>
    </row>
    <row r="468" spans="2:53">
      <c r="B468" t="s">
        <v>26</v>
      </c>
      <c r="C468" t="s">
        <v>3872</v>
      </c>
      <c r="D468" t="s">
        <v>3873</v>
      </c>
      <c r="E468" t="s">
        <v>29</v>
      </c>
      <c r="F468" t="s">
        <v>30</v>
      </c>
      <c r="G468" t="s">
        <v>31</v>
      </c>
      <c r="J468" t="s">
        <v>3872</v>
      </c>
      <c r="K468" t="s">
        <v>1967</v>
      </c>
      <c r="L468" t="s">
        <v>2897</v>
      </c>
      <c r="M468" s="8">
        <v>248.83125</v>
      </c>
      <c r="N468">
        <v>80.7856561622413</v>
      </c>
      <c r="O468">
        <v>1222</v>
      </c>
      <c r="P468" s="9">
        <v>0.229466828422877</v>
      </c>
      <c r="Q468" t="s">
        <v>386</v>
      </c>
      <c r="T468" s="15" t="s">
        <v>290</v>
      </c>
      <c r="W468" s="16" t="str">
        <f t="shared" si="49"/>
        <v>EN_WON_23_c02_CHN</v>
      </c>
      <c r="X468" s="12">
        <f t="shared" si="50"/>
        <v>1222</v>
      </c>
      <c r="Y468" s="11">
        <f t="shared" si="51"/>
        <v>1222</v>
      </c>
      <c r="AC468" t="s">
        <v>26</v>
      </c>
      <c r="AD468" t="s">
        <v>3874</v>
      </c>
      <c r="AE468" t="s">
        <v>3875</v>
      </c>
      <c r="AF468" t="s">
        <v>29</v>
      </c>
      <c r="AG468" t="s">
        <v>30</v>
      </c>
      <c r="AH468" t="s">
        <v>31</v>
      </c>
      <c r="AK468" t="s">
        <v>3874</v>
      </c>
      <c r="AL468" t="s">
        <v>1967</v>
      </c>
      <c r="AM468" t="s">
        <v>3863</v>
      </c>
      <c r="AN468" s="8">
        <v>1.017</v>
      </c>
      <c r="AO468">
        <v>199.694880401046</v>
      </c>
      <c r="AP468">
        <v>1909</v>
      </c>
      <c r="AQ468" s="9">
        <v>0.343</v>
      </c>
      <c r="AR468" t="s">
        <v>852</v>
      </c>
      <c r="AT468" s="15" t="s">
        <v>69</v>
      </c>
      <c r="AW468" s="11" t="str">
        <f t="shared" si="52"/>
        <v>EN_WOF_34_c02_HRV</v>
      </c>
      <c r="AX468" s="11">
        <f t="shared" si="53"/>
        <v>1909</v>
      </c>
      <c r="AY468" s="11">
        <f t="shared" si="54"/>
        <v>1909</v>
      </c>
      <c r="AZ468" s="17">
        <v>3</v>
      </c>
      <c r="BA468">
        <f t="shared" si="55"/>
        <v>19.09</v>
      </c>
    </row>
    <row r="469" spans="2:53">
      <c r="B469" t="s">
        <v>26</v>
      </c>
      <c r="C469" t="s">
        <v>3876</v>
      </c>
      <c r="D469" t="s">
        <v>3877</v>
      </c>
      <c r="E469" t="s">
        <v>29</v>
      </c>
      <c r="F469" t="s">
        <v>30</v>
      </c>
      <c r="G469" t="s">
        <v>31</v>
      </c>
      <c r="J469" t="s">
        <v>3876</v>
      </c>
      <c r="K469" t="s">
        <v>1967</v>
      </c>
      <c r="L469" t="s">
        <v>2897</v>
      </c>
      <c r="M469" s="8">
        <v>242.0655</v>
      </c>
      <c r="N469">
        <v>105.747516212372</v>
      </c>
      <c r="O469">
        <v>1222</v>
      </c>
      <c r="P469" s="9">
        <v>0.228413441816368</v>
      </c>
      <c r="Q469" t="s">
        <v>386</v>
      </c>
      <c r="T469" s="15" t="s">
        <v>290</v>
      </c>
      <c r="W469" s="16" t="str">
        <f t="shared" si="49"/>
        <v>EN_WON_23_c03_CHN</v>
      </c>
      <c r="X469" s="12">
        <f t="shared" si="50"/>
        <v>1222</v>
      </c>
      <c r="Y469" s="11">
        <f t="shared" si="51"/>
        <v>1222</v>
      </c>
      <c r="AC469" t="s">
        <v>26</v>
      </c>
      <c r="AD469" t="s">
        <v>3878</v>
      </c>
      <c r="AE469" t="s">
        <v>3879</v>
      </c>
      <c r="AF469" t="s">
        <v>29</v>
      </c>
      <c r="AG469" t="s">
        <v>30</v>
      </c>
      <c r="AH469" t="s">
        <v>31</v>
      </c>
      <c r="AK469" t="s">
        <v>3878</v>
      </c>
      <c r="AL469" t="s">
        <v>1967</v>
      </c>
      <c r="AM469" t="s">
        <v>3880</v>
      </c>
      <c r="AN469" s="8">
        <v>2.53275</v>
      </c>
      <c r="AO469">
        <v>199.694880401046</v>
      </c>
      <c r="AP469">
        <v>1997</v>
      </c>
      <c r="AQ469" s="9">
        <v>0.330697068403909</v>
      </c>
      <c r="AR469" t="s">
        <v>862</v>
      </c>
      <c r="AT469" s="15" t="s">
        <v>89</v>
      </c>
      <c r="AW469" s="11" t="str">
        <f t="shared" si="52"/>
        <v>EN_WOF_33_c02_HTI</v>
      </c>
      <c r="AX469" s="11">
        <f t="shared" si="53"/>
        <v>1997</v>
      </c>
      <c r="AY469" s="11">
        <f t="shared" si="54"/>
        <v>1997</v>
      </c>
      <c r="AZ469" s="17">
        <v>3</v>
      </c>
      <c r="BA469">
        <f t="shared" si="55"/>
        <v>19.97</v>
      </c>
    </row>
    <row r="470" spans="2:53">
      <c r="B470" t="s">
        <v>26</v>
      </c>
      <c r="C470" t="s">
        <v>3881</v>
      </c>
      <c r="D470" t="s">
        <v>3882</v>
      </c>
      <c r="E470" t="s">
        <v>29</v>
      </c>
      <c r="F470" t="s">
        <v>30</v>
      </c>
      <c r="G470" t="s">
        <v>31</v>
      </c>
      <c r="J470" t="s">
        <v>3881</v>
      </c>
      <c r="K470" t="s">
        <v>1967</v>
      </c>
      <c r="L470" t="s">
        <v>2897</v>
      </c>
      <c r="M470" s="8">
        <v>118.40025</v>
      </c>
      <c r="N470">
        <v>145.23264029167</v>
      </c>
      <c r="O470">
        <v>1222</v>
      </c>
      <c r="P470" s="9">
        <v>0.22935277797133</v>
      </c>
      <c r="Q470" t="s">
        <v>386</v>
      </c>
      <c r="T470" s="15" t="s">
        <v>290</v>
      </c>
      <c r="W470" s="16" t="str">
        <f t="shared" si="49"/>
        <v>EN_WON_23_c04_CHN</v>
      </c>
      <c r="X470" s="12">
        <f t="shared" si="50"/>
        <v>1222</v>
      </c>
      <c r="Y470" s="11">
        <f t="shared" si="51"/>
        <v>1222</v>
      </c>
      <c r="AC470" t="s">
        <v>26</v>
      </c>
      <c r="AD470" t="s">
        <v>3883</v>
      </c>
      <c r="AE470" t="s">
        <v>3884</v>
      </c>
      <c r="AF470" t="s">
        <v>29</v>
      </c>
      <c r="AG470" t="s">
        <v>30</v>
      </c>
      <c r="AH470" t="s">
        <v>31</v>
      </c>
      <c r="AK470" t="s">
        <v>3883</v>
      </c>
      <c r="AL470" t="s">
        <v>1967</v>
      </c>
      <c r="AM470" t="s">
        <v>3880</v>
      </c>
      <c r="AN470" s="8">
        <v>1.6935</v>
      </c>
      <c r="AO470">
        <v>199.694880401046</v>
      </c>
      <c r="AP470">
        <v>1997</v>
      </c>
      <c r="AQ470" s="9">
        <v>0.346521257750221</v>
      </c>
      <c r="AR470" t="s">
        <v>862</v>
      </c>
      <c r="AT470" s="15" t="s">
        <v>89</v>
      </c>
      <c r="AW470" s="11" t="str">
        <f t="shared" si="52"/>
        <v>EN_WOF_35_c02_HTI</v>
      </c>
      <c r="AX470" s="11">
        <f t="shared" si="53"/>
        <v>1997</v>
      </c>
      <c r="AY470" s="11">
        <f t="shared" si="54"/>
        <v>1997</v>
      </c>
      <c r="AZ470" s="17">
        <v>3</v>
      </c>
      <c r="BA470">
        <f t="shared" si="55"/>
        <v>19.97</v>
      </c>
    </row>
    <row r="471" spans="2:53">
      <c r="B471" t="s">
        <v>26</v>
      </c>
      <c r="C471" t="s">
        <v>3885</v>
      </c>
      <c r="D471" t="s">
        <v>3886</v>
      </c>
      <c r="E471" t="s">
        <v>29</v>
      </c>
      <c r="F471" t="s">
        <v>30</v>
      </c>
      <c r="G471" t="s">
        <v>31</v>
      </c>
      <c r="J471" t="s">
        <v>3885</v>
      </c>
      <c r="K471" t="s">
        <v>1967</v>
      </c>
      <c r="L471" t="s">
        <v>2897</v>
      </c>
      <c r="M471" s="8">
        <v>69.27075</v>
      </c>
      <c r="N471">
        <v>0</v>
      </c>
      <c r="O471">
        <v>1222</v>
      </c>
      <c r="P471" s="9">
        <v>0.239842617555029</v>
      </c>
      <c r="Q471" t="s">
        <v>386</v>
      </c>
      <c r="T471" s="15" t="s">
        <v>290</v>
      </c>
      <c r="W471" s="16" t="str">
        <f t="shared" si="49"/>
        <v>EN_WON_24_c01_CHN</v>
      </c>
      <c r="X471" s="12">
        <f t="shared" si="50"/>
        <v>1222</v>
      </c>
      <c r="Y471" s="11">
        <f t="shared" si="51"/>
        <v>1222</v>
      </c>
      <c r="AC471" t="s">
        <v>26</v>
      </c>
      <c r="AD471" t="s">
        <v>3887</v>
      </c>
      <c r="AE471" t="s">
        <v>3888</v>
      </c>
      <c r="AF471" t="s">
        <v>29</v>
      </c>
      <c r="AG471" t="s">
        <v>30</v>
      </c>
      <c r="AH471" t="s">
        <v>31</v>
      </c>
      <c r="AK471" t="s">
        <v>3887</v>
      </c>
      <c r="AL471" t="s">
        <v>1967</v>
      </c>
      <c r="AM471" t="s">
        <v>3880</v>
      </c>
      <c r="AN471" s="8">
        <v>0.975</v>
      </c>
      <c r="AO471">
        <v>199.694880401046</v>
      </c>
      <c r="AP471">
        <v>1997</v>
      </c>
      <c r="AQ471" s="9">
        <v>0.374</v>
      </c>
      <c r="AR471" t="s">
        <v>862</v>
      </c>
      <c r="AT471" s="15" t="s">
        <v>89</v>
      </c>
      <c r="AW471" s="11" t="str">
        <f t="shared" si="52"/>
        <v>EN_WOF_37_c02_HTI</v>
      </c>
      <c r="AX471" s="11">
        <f t="shared" si="53"/>
        <v>1997</v>
      </c>
      <c r="AY471" s="11">
        <f t="shared" si="54"/>
        <v>1997</v>
      </c>
      <c r="AZ471" s="17">
        <v>3</v>
      </c>
      <c r="BA471">
        <f t="shared" si="55"/>
        <v>19.97</v>
      </c>
    </row>
    <row r="472" spans="2:53">
      <c r="B472" t="s">
        <v>26</v>
      </c>
      <c r="C472" t="s">
        <v>3889</v>
      </c>
      <c r="D472" t="s">
        <v>3890</v>
      </c>
      <c r="E472" t="s">
        <v>29</v>
      </c>
      <c r="F472" t="s">
        <v>30</v>
      </c>
      <c r="G472" t="s">
        <v>31</v>
      </c>
      <c r="J472" t="s">
        <v>3889</v>
      </c>
      <c r="K472" t="s">
        <v>1967</v>
      </c>
      <c r="L472" t="s">
        <v>2897</v>
      </c>
      <c r="M472" s="8">
        <v>230.4255</v>
      </c>
      <c r="N472">
        <v>80.7856561622413</v>
      </c>
      <c r="O472">
        <v>1222</v>
      </c>
      <c r="P472" s="9">
        <v>0.239930733577664</v>
      </c>
      <c r="Q472" t="s">
        <v>386</v>
      </c>
      <c r="T472" s="15" t="s">
        <v>290</v>
      </c>
      <c r="W472" s="16" t="str">
        <f t="shared" si="49"/>
        <v>EN_WON_24_c02_CHN</v>
      </c>
      <c r="X472" s="12">
        <f t="shared" si="50"/>
        <v>1222</v>
      </c>
      <c r="Y472" s="11">
        <f t="shared" si="51"/>
        <v>1222</v>
      </c>
      <c r="AC472" t="s">
        <v>26</v>
      </c>
      <c r="AD472" t="s">
        <v>3891</v>
      </c>
      <c r="AE472" t="s">
        <v>3892</v>
      </c>
      <c r="AF472" t="s">
        <v>29</v>
      </c>
      <c r="AG472" t="s">
        <v>30</v>
      </c>
      <c r="AH472" t="s">
        <v>31</v>
      </c>
      <c r="AK472" t="s">
        <v>3891</v>
      </c>
      <c r="AL472" t="s">
        <v>1967</v>
      </c>
      <c r="AM472" t="s">
        <v>3880</v>
      </c>
      <c r="AN472" s="8">
        <v>1.40775</v>
      </c>
      <c r="AO472">
        <v>199.694880401046</v>
      </c>
      <c r="AP472">
        <v>1997</v>
      </c>
      <c r="AQ472" s="9">
        <v>0.397509323388386</v>
      </c>
      <c r="AR472" t="s">
        <v>862</v>
      </c>
      <c r="AT472" s="15" t="s">
        <v>89</v>
      </c>
      <c r="AW472" s="11" t="str">
        <f t="shared" si="52"/>
        <v>EN_WOF_40_c02_HTI</v>
      </c>
      <c r="AX472" s="11">
        <f t="shared" si="53"/>
        <v>1997</v>
      </c>
      <c r="AY472" s="11">
        <f t="shared" si="54"/>
        <v>1997</v>
      </c>
      <c r="AZ472" s="17">
        <v>3</v>
      </c>
      <c r="BA472">
        <f t="shared" si="55"/>
        <v>19.97</v>
      </c>
    </row>
    <row r="473" spans="2:53">
      <c r="B473" t="s">
        <v>26</v>
      </c>
      <c r="C473" t="s">
        <v>3893</v>
      </c>
      <c r="D473" t="s">
        <v>3894</v>
      </c>
      <c r="E473" t="s">
        <v>29</v>
      </c>
      <c r="F473" t="s">
        <v>30</v>
      </c>
      <c r="G473" t="s">
        <v>31</v>
      </c>
      <c r="J473" t="s">
        <v>3893</v>
      </c>
      <c r="K473" t="s">
        <v>1967</v>
      </c>
      <c r="L473" t="s">
        <v>2897</v>
      </c>
      <c r="M473" s="8">
        <v>180.82875</v>
      </c>
      <c r="N473">
        <v>105.747516212372</v>
      </c>
      <c r="O473">
        <v>1222</v>
      </c>
      <c r="P473" s="9">
        <v>0.240058891354389</v>
      </c>
      <c r="Q473" t="s">
        <v>386</v>
      </c>
      <c r="T473" s="15" t="s">
        <v>290</v>
      </c>
      <c r="W473" s="16" t="str">
        <f t="shared" si="49"/>
        <v>EN_WON_24_c03_CHN</v>
      </c>
      <c r="X473" s="12">
        <f t="shared" si="50"/>
        <v>1222</v>
      </c>
      <c r="Y473" s="11">
        <f t="shared" si="51"/>
        <v>1222</v>
      </c>
      <c r="AC473" t="s">
        <v>26</v>
      </c>
      <c r="AD473" t="s">
        <v>3895</v>
      </c>
      <c r="AE473" t="s">
        <v>3896</v>
      </c>
      <c r="AF473" t="s">
        <v>29</v>
      </c>
      <c r="AG473" t="s">
        <v>30</v>
      </c>
      <c r="AH473" t="s">
        <v>31</v>
      </c>
      <c r="AK473" t="s">
        <v>3895</v>
      </c>
      <c r="AL473" t="s">
        <v>1967</v>
      </c>
      <c r="AM473" t="s">
        <v>3897</v>
      </c>
      <c r="AN473" s="8">
        <v>33.74775</v>
      </c>
      <c r="AO473">
        <v>199.694880401046</v>
      </c>
      <c r="AP473">
        <v>2213</v>
      </c>
      <c r="AQ473" s="9">
        <v>0.302244682978865</v>
      </c>
      <c r="AR473" t="s">
        <v>880</v>
      </c>
      <c r="AT473" s="15" t="s">
        <v>290</v>
      </c>
      <c r="AW473" s="11" t="str">
        <f t="shared" si="52"/>
        <v>EN_WOF_30_c02_IDN</v>
      </c>
      <c r="AX473" s="11">
        <f t="shared" si="53"/>
        <v>2213</v>
      </c>
      <c r="AY473" s="11">
        <f t="shared" si="54"/>
        <v>2213</v>
      </c>
      <c r="AZ473" s="17">
        <v>3</v>
      </c>
      <c r="BA473">
        <f t="shared" si="55"/>
        <v>22.13</v>
      </c>
    </row>
    <row r="474" spans="2:53">
      <c r="B474" t="s">
        <v>26</v>
      </c>
      <c r="C474" t="s">
        <v>3898</v>
      </c>
      <c r="D474" t="s">
        <v>3899</v>
      </c>
      <c r="E474" t="s">
        <v>29</v>
      </c>
      <c r="F474" t="s">
        <v>30</v>
      </c>
      <c r="G474" t="s">
        <v>31</v>
      </c>
      <c r="J474" t="s">
        <v>3898</v>
      </c>
      <c r="K474" t="s">
        <v>1967</v>
      </c>
      <c r="L474" t="s">
        <v>2897</v>
      </c>
      <c r="M474" s="8">
        <v>77.3205</v>
      </c>
      <c r="N474">
        <v>145.23264029167</v>
      </c>
      <c r="O474">
        <v>1222</v>
      </c>
      <c r="P474" s="9">
        <v>0.240368692649427</v>
      </c>
      <c r="Q474" t="s">
        <v>386</v>
      </c>
      <c r="T474" s="15" t="s">
        <v>290</v>
      </c>
      <c r="W474" s="16" t="str">
        <f t="shared" si="49"/>
        <v>EN_WON_24_c04_CHN</v>
      </c>
      <c r="X474" s="12">
        <f t="shared" si="50"/>
        <v>1222</v>
      </c>
      <c r="Y474" s="11">
        <f t="shared" si="51"/>
        <v>1222</v>
      </c>
      <c r="AC474" t="s">
        <v>26</v>
      </c>
      <c r="AD474" t="s">
        <v>3900</v>
      </c>
      <c r="AE474" t="s">
        <v>3901</v>
      </c>
      <c r="AF474" t="s">
        <v>29</v>
      </c>
      <c r="AG474" t="s">
        <v>30</v>
      </c>
      <c r="AH474" t="s">
        <v>31</v>
      </c>
      <c r="AK474" t="s">
        <v>3900</v>
      </c>
      <c r="AL474" t="s">
        <v>1967</v>
      </c>
      <c r="AM474" t="s">
        <v>3897</v>
      </c>
      <c r="AN474" s="8">
        <v>37.233</v>
      </c>
      <c r="AO474">
        <v>199.694880401046</v>
      </c>
      <c r="AP474">
        <v>2213</v>
      </c>
      <c r="AQ474" s="9">
        <v>0.308646805253404</v>
      </c>
      <c r="AR474" t="s">
        <v>880</v>
      </c>
      <c r="AT474" s="15" t="s">
        <v>290</v>
      </c>
      <c r="AW474" s="11" t="str">
        <f t="shared" si="52"/>
        <v>EN_WOF_31_c02_IDN</v>
      </c>
      <c r="AX474" s="11">
        <f t="shared" si="53"/>
        <v>2213</v>
      </c>
      <c r="AY474" s="11">
        <f t="shared" si="54"/>
        <v>2213</v>
      </c>
      <c r="AZ474" s="17">
        <v>3</v>
      </c>
      <c r="BA474">
        <f t="shared" si="55"/>
        <v>22.13</v>
      </c>
    </row>
    <row r="475" spans="2:53">
      <c r="B475" t="s">
        <v>26</v>
      </c>
      <c r="C475" t="s">
        <v>3902</v>
      </c>
      <c r="D475" t="s">
        <v>3903</v>
      </c>
      <c r="E475" t="s">
        <v>29</v>
      </c>
      <c r="F475" t="s">
        <v>30</v>
      </c>
      <c r="G475" t="s">
        <v>31</v>
      </c>
      <c r="J475" t="s">
        <v>3902</v>
      </c>
      <c r="K475" t="s">
        <v>1967</v>
      </c>
      <c r="L475" t="s">
        <v>2897</v>
      </c>
      <c r="M475" s="8">
        <v>96.237</v>
      </c>
      <c r="N475">
        <v>0</v>
      </c>
      <c r="O475">
        <v>1222</v>
      </c>
      <c r="P475" s="9">
        <v>0.250632516599645</v>
      </c>
      <c r="Q475" t="s">
        <v>386</v>
      </c>
      <c r="T475" s="15" t="s">
        <v>290</v>
      </c>
      <c r="W475" s="16" t="str">
        <f t="shared" si="49"/>
        <v>EN_WON_25_c01_CHN</v>
      </c>
      <c r="X475" s="12">
        <f t="shared" si="50"/>
        <v>1222</v>
      </c>
      <c r="Y475" s="11">
        <f t="shared" si="51"/>
        <v>1222</v>
      </c>
      <c r="AC475" t="s">
        <v>26</v>
      </c>
      <c r="AD475" t="s">
        <v>3904</v>
      </c>
      <c r="AE475" t="s">
        <v>3905</v>
      </c>
      <c r="AF475" t="s">
        <v>29</v>
      </c>
      <c r="AG475" t="s">
        <v>30</v>
      </c>
      <c r="AH475" t="s">
        <v>31</v>
      </c>
      <c r="AK475" t="s">
        <v>3904</v>
      </c>
      <c r="AL475" t="s">
        <v>1967</v>
      </c>
      <c r="AM475" t="s">
        <v>3897</v>
      </c>
      <c r="AN475" s="8">
        <v>25.0125</v>
      </c>
      <c r="AO475">
        <v>199.694880401046</v>
      </c>
      <c r="AP475">
        <v>2213</v>
      </c>
      <c r="AQ475" s="9">
        <v>0.319779340329835</v>
      </c>
      <c r="AR475" t="s">
        <v>880</v>
      </c>
      <c r="AT475" s="15" t="s">
        <v>290</v>
      </c>
      <c r="AW475" s="11" t="str">
        <f t="shared" si="52"/>
        <v>EN_WOF_32_c02_IDN</v>
      </c>
      <c r="AX475" s="11">
        <f t="shared" si="53"/>
        <v>2213</v>
      </c>
      <c r="AY475" s="11">
        <f t="shared" si="54"/>
        <v>2213</v>
      </c>
      <c r="AZ475" s="17">
        <v>3</v>
      </c>
      <c r="BA475">
        <f t="shared" si="55"/>
        <v>22.13</v>
      </c>
    </row>
    <row r="476" spans="2:53">
      <c r="B476" t="s">
        <v>26</v>
      </c>
      <c r="C476" t="s">
        <v>3906</v>
      </c>
      <c r="D476" t="s">
        <v>3907</v>
      </c>
      <c r="E476" t="s">
        <v>29</v>
      </c>
      <c r="F476" t="s">
        <v>30</v>
      </c>
      <c r="G476" t="s">
        <v>31</v>
      </c>
      <c r="J476" t="s">
        <v>3906</v>
      </c>
      <c r="K476" t="s">
        <v>1967</v>
      </c>
      <c r="L476" t="s">
        <v>2897</v>
      </c>
      <c r="M476" s="8">
        <v>226.22475</v>
      </c>
      <c r="N476">
        <v>80.7856561622413</v>
      </c>
      <c r="O476">
        <v>1222</v>
      </c>
      <c r="P476" s="9">
        <v>0.248477752765778</v>
      </c>
      <c r="Q476" t="s">
        <v>386</v>
      </c>
      <c r="T476" s="15" t="s">
        <v>290</v>
      </c>
      <c r="W476" s="16" t="str">
        <f t="shared" si="49"/>
        <v>EN_WON_25_c02_CHN</v>
      </c>
      <c r="X476" s="12">
        <f t="shared" si="50"/>
        <v>1222</v>
      </c>
      <c r="Y476" s="11">
        <f t="shared" si="51"/>
        <v>1222</v>
      </c>
      <c r="AC476" t="s">
        <v>26</v>
      </c>
      <c r="AD476" t="s">
        <v>3908</v>
      </c>
      <c r="AE476" t="s">
        <v>3909</v>
      </c>
      <c r="AF476" t="s">
        <v>29</v>
      </c>
      <c r="AG476" t="s">
        <v>30</v>
      </c>
      <c r="AH476" t="s">
        <v>31</v>
      </c>
      <c r="AK476" t="s">
        <v>3908</v>
      </c>
      <c r="AL476" t="s">
        <v>1967</v>
      </c>
      <c r="AM476" t="s">
        <v>3897</v>
      </c>
      <c r="AN476" s="8">
        <v>39.063</v>
      </c>
      <c r="AO476">
        <v>199.694880401046</v>
      </c>
      <c r="AP476">
        <v>2213</v>
      </c>
      <c r="AQ476" s="9">
        <v>0.328227977881883</v>
      </c>
      <c r="AR476" t="s">
        <v>880</v>
      </c>
      <c r="AT476" s="15" t="s">
        <v>290</v>
      </c>
      <c r="AW476" s="11" t="str">
        <f t="shared" si="52"/>
        <v>EN_WOF_33_c02_IDN</v>
      </c>
      <c r="AX476" s="11">
        <f t="shared" si="53"/>
        <v>2213</v>
      </c>
      <c r="AY476" s="11">
        <f t="shared" si="54"/>
        <v>2213</v>
      </c>
      <c r="AZ476" s="17">
        <v>3</v>
      </c>
      <c r="BA476">
        <f t="shared" si="55"/>
        <v>22.13</v>
      </c>
    </row>
    <row r="477" spans="2:53">
      <c r="B477" t="s">
        <v>26</v>
      </c>
      <c r="C477" t="s">
        <v>3910</v>
      </c>
      <c r="D477" t="s">
        <v>3911</v>
      </c>
      <c r="E477" t="s">
        <v>29</v>
      </c>
      <c r="F477" t="s">
        <v>30</v>
      </c>
      <c r="G477" t="s">
        <v>31</v>
      </c>
      <c r="J477" t="s">
        <v>3910</v>
      </c>
      <c r="K477" t="s">
        <v>1967</v>
      </c>
      <c r="L477" t="s">
        <v>2897</v>
      </c>
      <c r="M477" s="8">
        <v>148.31925</v>
      </c>
      <c r="N477">
        <v>105.747516212372</v>
      </c>
      <c r="O477">
        <v>1222</v>
      </c>
      <c r="P477" s="9">
        <v>0.249845053828144</v>
      </c>
      <c r="Q477" t="s">
        <v>386</v>
      </c>
      <c r="T477" s="15" t="s">
        <v>290</v>
      </c>
      <c r="W477" s="16" t="str">
        <f t="shared" si="49"/>
        <v>EN_WON_25_c03_CHN</v>
      </c>
      <c r="X477" s="12">
        <f t="shared" si="50"/>
        <v>1222</v>
      </c>
      <c r="Y477" s="11">
        <f t="shared" si="51"/>
        <v>1222</v>
      </c>
      <c r="AC477" t="s">
        <v>26</v>
      </c>
      <c r="AD477" t="s">
        <v>3912</v>
      </c>
      <c r="AE477" t="s">
        <v>3913</v>
      </c>
      <c r="AF477" t="s">
        <v>29</v>
      </c>
      <c r="AG477" t="s">
        <v>30</v>
      </c>
      <c r="AH477" t="s">
        <v>31</v>
      </c>
      <c r="AK477" t="s">
        <v>3912</v>
      </c>
      <c r="AL477" t="s">
        <v>1967</v>
      </c>
      <c r="AM477" t="s">
        <v>3897</v>
      </c>
      <c r="AN477" s="8">
        <v>32.817</v>
      </c>
      <c r="AO477">
        <v>199.694880401046</v>
      </c>
      <c r="AP477">
        <v>2213</v>
      </c>
      <c r="AQ477" s="9">
        <v>0.339161760672822</v>
      </c>
      <c r="AR477" t="s">
        <v>880</v>
      </c>
      <c r="AT477" s="15" t="s">
        <v>290</v>
      </c>
      <c r="AW477" s="11" t="str">
        <f t="shared" si="52"/>
        <v>EN_WOF_34_c02_IDN</v>
      </c>
      <c r="AX477" s="11">
        <f t="shared" si="53"/>
        <v>2213</v>
      </c>
      <c r="AY477" s="11">
        <f t="shared" si="54"/>
        <v>2213</v>
      </c>
      <c r="AZ477" s="17">
        <v>3</v>
      </c>
      <c r="BA477">
        <f t="shared" si="55"/>
        <v>22.13</v>
      </c>
    </row>
    <row r="478" spans="2:53">
      <c r="B478" t="s">
        <v>26</v>
      </c>
      <c r="C478" t="s">
        <v>3914</v>
      </c>
      <c r="D478" t="s">
        <v>3915</v>
      </c>
      <c r="E478" t="s">
        <v>29</v>
      </c>
      <c r="F478" t="s">
        <v>30</v>
      </c>
      <c r="G478" t="s">
        <v>31</v>
      </c>
      <c r="J478" t="s">
        <v>3914</v>
      </c>
      <c r="K478" t="s">
        <v>1967</v>
      </c>
      <c r="L478" t="s">
        <v>2897</v>
      </c>
      <c r="M478" s="8">
        <v>54.29475</v>
      </c>
      <c r="N478">
        <v>145.23264029167</v>
      </c>
      <c r="O478">
        <v>1222</v>
      </c>
      <c r="P478" s="9">
        <v>0.249172060834611</v>
      </c>
      <c r="Q478" t="s">
        <v>386</v>
      </c>
      <c r="T478" s="15" t="s">
        <v>290</v>
      </c>
      <c r="W478" s="16" t="str">
        <f t="shared" si="49"/>
        <v>EN_WON_25_c04_CHN</v>
      </c>
      <c r="X478" s="12">
        <f t="shared" si="50"/>
        <v>1222</v>
      </c>
      <c r="Y478" s="11">
        <f t="shared" si="51"/>
        <v>1222</v>
      </c>
      <c r="AC478" t="s">
        <v>26</v>
      </c>
      <c r="AD478" t="s">
        <v>3916</v>
      </c>
      <c r="AE478" t="s">
        <v>3917</v>
      </c>
      <c r="AF478" t="s">
        <v>29</v>
      </c>
      <c r="AG478" t="s">
        <v>30</v>
      </c>
      <c r="AH478" t="s">
        <v>31</v>
      </c>
      <c r="AK478" t="s">
        <v>3916</v>
      </c>
      <c r="AL478" t="s">
        <v>1967</v>
      </c>
      <c r="AM478" t="s">
        <v>3918</v>
      </c>
      <c r="AN478" s="8">
        <v>5.20425</v>
      </c>
      <c r="AO478">
        <v>199.694880401046</v>
      </c>
      <c r="AP478">
        <v>1054</v>
      </c>
      <c r="AQ478" s="9">
        <v>0.302737426142095</v>
      </c>
      <c r="AR478" t="s">
        <v>926</v>
      </c>
      <c r="AT478" s="15" t="s">
        <v>35</v>
      </c>
      <c r="AW478" s="11" t="str">
        <f t="shared" si="52"/>
        <v>EN_WOF_30_c02_IND</v>
      </c>
      <c r="AX478" s="11">
        <f t="shared" si="53"/>
        <v>1054</v>
      </c>
      <c r="AY478" s="11">
        <f t="shared" si="54"/>
        <v>1054</v>
      </c>
      <c r="AZ478" s="17">
        <v>3</v>
      </c>
      <c r="BA478">
        <f t="shared" si="55"/>
        <v>10.54</v>
      </c>
    </row>
    <row r="479" spans="2:53">
      <c r="B479" t="s">
        <v>26</v>
      </c>
      <c r="C479" t="s">
        <v>3919</v>
      </c>
      <c r="D479" t="s">
        <v>3920</v>
      </c>
      <c r="E479" t="s">
        <v>29</v>
      </c>
      <c r="F479" t="s">
        <v>30</v>
      </c>
      <c r="G479" t="s">
        <v>31</v>
      </c>
      <c r="J479" t="s">
        <v>3919</v>
      </c>
      <c r="K479" t="s">
        <v>1967</v>
      </c>
      <c r="L479" t="s">
        <v>2897</v>
      </c>
      <c r="M479" s="8">
        <v>81.4365</v>
      </c>
      <c r="N479">
        <v>0</v>
      </c>
      <c r="O479">
        <v>1222</v>
      </c>
      <c r="P479" s="9">
        <v>0.260185518778435</v>
      </c>
      <c r="Q479" t="s">
        <v>386</v>
      </c>
      <c r="T479" s="15" t="s">
        <v>290</v>
      </c>
      <c r="W479" s="16" t="str">
        <f t="shared" si="49"/>
        <v>EN_WON_26_c01_CHN</v>
      </c>
      <c r="X479" s="12">
        <f t="shared" si="50"/>
        <v>1222</v>
      </c>
      <c r="Y479" s="11">
        <f t="shared" si="51"/>
        <v>1222</v>
      </c>
      <c r="AC479" t="s">
        <v>26</v>
      </c>
      <c r="AD479" t="s">
        <v>3921</v>
      </c>
      <c r="AE479" t="s">
        <v>3922</v>
      </c>
      <c r="AF479" t="s">
        <v>29</v>
      </c>
      <c r="AG479" t="s">
        <v>30</v>
      </c>
      <c r="AH479" t="s">
        <v>31</v>
      </c>
      <c r="AK479" t="s">
        <v>3921</v>
      </c>
      <c r="AL479" t="s">
        <v>1967</v>
      </c>
      <c r="AM479" t="s">
        <v>3918</v>
      </c>
      <c r="AN479" s="8">
        <v>12.56625</v>
      </c>
      <c r="AO479">
        <v>199.694880401046</v>
      </c>
      <c r="AP479">
        <v>1054</v>
      </c>
      <c r="AQ479" s="9">
        <v>0.308940137272456</v>
      </c>
      <c r="AR479" t="s">
        <v>926</v>
      </c>
      <c r="AT479" s="15" t="s">
        <v>35</v>
      </c>
      <c r="AW479" s="11" t="str">
        <f t="shared" si="52"/>
        <v>EN_WOF_31_c02_IND</v>
      </c>
      <c r="AX479" s="11">
        <f t="shared" si="53"/>
        <v>1054</v>
      </c>
      <c r="AY479" s="11">
        <f t="shared" si="54"/>
        <v>1054</v>
      </c>
      <c r="AZ479" s="17">
        <v>3</v>
      </c>
      <c r="BA479">
        <f t="shared" si="55"/>
        <v>10.54</v>
      </c>
    </row>
    <row r="480" spans="2:53">
      <c r="B480" t="s">
        <v>26</v>
      </c>
      <c r="C480" t="s">
        <v>3923</v>
      </c>
      <c r="D480" t="s">
        <v>3924</v>
      </c>
      <c r="E480" t="s">
        <v>29</v>
      </c>
      <c r="F480" t="s">
        <v>30</v>
      </c>
      <c r="G480" t="s">
        <v>31</v>
      </c>
      <c r="J480" t="s">
        <v>3923</v>
      </c>
      <c r="K480" t="s">
        <v>1967</v>
      </c>
      <c r="L480" t="s">
        <v>2897</v>
      </c>
      <c r="M480" s="8">
        <v>180.59475</v>
      </c>
      <c r="N480">
        <v>80.7856561622413</v>
      </c>
      <c r="O480">
        <v>1222</v>
      </c>
      <c r="P480" s="9">
        <v>0.259891205309124</v>
      </c>
      <c r="Q480" t="s">
        <v>386</v>
      </c>
      <c r="T480" s="15" t="s">
        <v>290</v>
      </c>
      <c r="W480" s="16" t="str">
        <f t="shared" si="49"/>
        <v>EN_WON_26_c02_CHN</v>
      </c>
      <c r="X480" s="12">
        <f t="shared" si="50"/>
        <v>1222</v>
      </c>
      <c r="Y480" s="11">
        <f t="shared" si="51"/>
        <v>1222</v>
      </c>
      <c r="AC480" t="s">
        <v>26</v>
      </c>
      <c r="AD480" t="s">
        <v>3925</v>
      </c>
      <c r="AE480" t="s">
        <v>3926</v>
      </c>
      <c r="AF480" t="s">
        <v>29</v>
      </c>
      <c r="AG480" t="s">
        <v>30</v>
      </c>
      <c r="AH480" t="s">
        <v>31</v>
      </c>
      <c r="AK480" t="s">
        <v>3925</v>
      </c>
      <c r="AL480" t="s">
        <v>1967</v>
      </c>
      <c r="AM480" t="s">
        <v>3918</v>
      </c>
      <c r="AN480" s="8">
        <v>5.25225</v>
      </c>
      <c r="AO480">
        <v>199.694880401046</v>
      </c>
      <c r="AP480">
        <v>1054</v>
      </c>
      <c r="AQ480" s="9">
        <v>0.318965300585463</v>
      </c>
      <c r="AR480" t="s">
        <v>926</v>
      </c>
      <c r="AT480" s="15" t="s">
        <v>35</v>
      </c>
      <c r="AW480" s="11" t="str">
        <f t="shared" si="52"/>
        <v>EN_WOF_32_c02_IND</v>
      </c>
      <c r="AX480" s="11">
        <f t="shared" si="53"/>
        <v>1054</v>
      </c>
      <c r="AY480" s="11">
        <f t="shared" si="54"/>
        <v>1054</v>
      </c>
      <c r="AZ480" s="17">
        <v>3</v>
      </c>
      <c r="BA480">
        <f t="shared" si="55"/>
        <v>10.54</v>
      </c>
    </row>
    <row r="481" spans="2:53">
      <c r="B481" t="s">
        <v>26</v>
      </c>
      <c r="C481" t="s">
        <v>3927</v>
      </c>
      <c r="D481" t="s">
        <v>3928</v>
      </c>
      <c r="E481" t="s">
        <v>29</v>
      </c>
      <c r="F481" t="s">
        <v>30</v>
      </c>
      <c r="G481" t="s">
        <v>31</v>
      </c>
      <c r="J481" t="s">
        <v>3927</v>
      </c>
      <c r="K481" t="s">
        <v>1967</v>
      </c>
      <c r="L481" t="s">
        <v>2897</v>
      </c>
      <c r="M481" s="8">
        <v>92.6415</v>
      </c>
      <c r="N481">
        <v>105.747516212372</v>
      </c>
      <c r="O481">
        <v>1222</v>
      </c>
      <c r="P481" s="9">
        <v>0.258611486212982</v>
      </c>
      <c r="Q481" t="s">
        <v>386</v>
      </c>
      <c r="T481" s="15" t="s">
        <v>290</v>
      </c>
      <c r="W481" s="16" t="str">
        <f t="shared" si="49"/>
        <v>EN_WON_26_c03_CHN</v>
      </c>
      <c r="X481" s="12">
        <f t="shared" si="50"/>
        <v>1222</v>
      </c>
      <c r="Y481" s="11">
        <f t="shared" si="51"/>
        <v>1222</v>
      </c>
      <c r="AC481" t="s">
        <v>26</v>
      </c>
      <c r="AD481" t="s">
        <v>3929</v>
      </c>
      <c r="AE481" t="s">
        <v>3930</v>
      </c>
      <c r="AF481" t="s">
        <v>29</v>
      </c>
      <c r="AG481" t="s">
        <v>30</v>
      </c>
      <c r="AH481" t="s">
        <v>31</v>
      </c>
      <c r="AK481" t="s">
        <v>3929</v>
      </c>
      <c r="AL481" t="s">
        <v>1967</v>
      </c>
      <c r="AM481" t="s">
        <v>3918</v>
      </c>
      <c r="AN481" s="8">
        <v>0.6975</v>
      </c>
      <c r="AO481">
        <v>199.694880401046</v>
      </c>
      <c r="AP481">
        <v>1054</v>
      </c>
      <c r="AQ481" s="9">
        <v>0.332</v>
      </c>
      <c r="AR481" t="s">
        <v>926</v>
      </c>
      <c r="AT481" s="15" t="s">
        <v>35</v>
      </c>
      <c r="AW481" s="11" t="str">
        <f t="shared" si="52"/>
        <v>EN_WOF_33_c02_IND</v>
      </c>
      <c r="AX481" s="11">
        <f t="shared" si="53"/>
        <v>1054</v>
      </c>
      <c r="AY481" s="11">
        <f t="shared" si="54"/>
        <v>1054</v>
      </c>
      <c r="AZ481" s="17">
        <v>3</v>
      </c>
      <c r="BA481">
        <f t="shared" si="55"/>
        <v>10.54</v>
      </c>
    </row>
    <row r="482" spans="2:53">
      <c r="B482" t="s">
        <v>26</v>
      </c>
      <c r="C482" t="s">
        <v>3931</v>
      </c>
      <c r="D482" t="s">
        <v>3932</v>
      </c>
      <c r="E482" t="s">
        <v>29</v>
      </c>
      <c r="F482" t="s">
        <v>30</v>
      </c>
      <c r="G482" t="s">
        <v>31</v>
      </c>
      <c r="J482" t="s">
        <v>3931</v>
      </c>
      <c r="K482" t="s">
        <v>1967</v>
      </c>
      <c r="L482" t="s">
        <v>2897</v>
      </c>
      <c r="M482" s="8">
        <v>21.2775</v>
      </c>
      <c r="N482">
        <v>145.23264029167</v>
      </c>
      <c r="O482">
        <v>1222</v>
      </c>
      <c r="P482" s="9">
        <v>0.256698202326401</v>
      </c>
      <c r="Q482" t="s">
        <v>386</v>
      </c>
      <c r="T482" s="15" t="s">
        <v>290</v>
      </c>
      <c r="W482" s="16" t="str">
        <f t="shared" si="49"/>
        <v>EN_WON_26_c04_CHN</v>
      </c>
      <c r="X482" s="12">
        <f t="shared" si="50"/>
        <v>1222</v>
      </c>
      <c r="Y482" s="11">
        <f t="shared" si="51"/>
        <v>1222</v>
      </c>
      <c r="AC482" t="s">
        <v>26</v>
      </c>
      <c r="AD482" t="s">
        <v>3933</v>
      </c>
      <c r="AE482" t="s">
        <v>3934</v>
      </c>
      <c r="AF482" t="s">
        <v>29</v>
      </c>
      <c r="AG482" t="s">
        <v>30</v>
      </c>
      <c r="AH482" t="s">
        <v>31</v>
      </c>
      <c r="AK482" t="s">
        <v>3933</v>
      </c>
      <c r="AL482" t="s">
        <v>1967</v>
      </c>
      <c r="AM482" t="s">
        <v>3918</v>
      </c>
      <c r="AN482" s="8">
        <v>1.731</v>
      </c>
      <c r="AO482">
        <v>199.694880401046</v>
      </c>
      <c r="AP482">
        <v>1054</v>
      </c>
      <c r="AQ482" s="9">
        <v>0.34</v>
      </c>
      <c r="AR482" t="s">
        <v>926</v>
      </c>
      <c r="AT482" s="15" t="s">
        <v>35</v>
      </c>
      <c r="AW482" s="11" t="str">
        <f t="shared" si="52"/>
        <v>EN_WOF_34_c02_IND</v>
      </c>
      <c r="AX482" s="11">
        <f t="shared" si="53"/>
        <v>1054</v>
      </c>
      <c r="AY482" s="11">
        <f t="shared" si="54"/>
        <v>1054</v>
      </c>
      <c r="AZ482" s="17">
        <v>3</v>
      </c>
      <c r="BA482">
        <f t="shared" si="55"/>
        <v>10.54</v>
      </c>
    </row>
    <row r="483" spans="2:53">
      <c r="B483" t="s">
        <v>26</v>
      </c>
      <c r="C483" t="s">
        <v>3935</v>
      </c>
      <c r="D483" t="s">
        <v>3936</v>
      </c>
      <c r="E483" t="s">
        <v>29</v>
      </c>
      <c r="F483" t="s">
        <v>30</v>
      </c>
      <c r="G483" t="s">
        <v>31</v>
      </c>
      <c r="J483" t="s">
        <v>3935</v>
      </c>
      <c r="K483" t="s">
        <v>1967</v>
      </c>
      <c r="L483" t="s">
        <v>2897</v>
      </c>
      <c r="M483" s="8">
        <v>162.09825</v>
      </c>
      <c r="N483">
        <v>0</v>
      </c>
      <c r="O483">
        <v>1222</v>
      </c>
      <c r="P483" s="9">
        <v>0.269526939680102</v>
      </c>
      <c r="Q483" t="s">
        <v>386</v>
      </c>
      <c r="T483" s="15" t="s">
        <v>290</v>
      </c>
      <c r="W483" s="16" t="str">
        <f t="shared" si="49"/>
        <v>EN_WON_27_c01_CHN</v>
      </c>
      <c r="X483" s="12">
        <f t="shared" si="50"/>
        <v>1222</v>
      </c>
      <c r="Y483" s="11">
        <f t="shared" si="51"/>
        <v>1222</v>
      </c>
      <c r="AC483" t="s">
        <v>26</v>
      </c>
      <c r="AD483" t="s">
        <v>3937</v>
      </c>
      <c r="AE483" t="s">
        <v>3938</v>
      </c>
      <c r="AF483" t="s">
        <v>29</v>
      </c>
      <c r="AG483" t="s">
        <v>30</v>
      </c>
      <c r="AH483" t="s">
        <v>31</v>
      </c>
      <c r="AK483" t="s">
        <v>3937</v>
      </c>
      <c r="AL483" t="s">
        <v>1967</v>
      </c>
      <c r="AM483" t="s">
        <v>3918</v>
      </c>
      <c r="AN483" s="8">
        <v>1.22925</v>
      </c>
      <c r="AO483">
        <v>199.694880401046</v>
      </c>
      <c r="AP483">
        <v>1054</v>
      </c>
      <c r="AQ483" s="9">
        <v>0.34803355704698</v>
      </c>
      <c r="AR483" t="s">
        <v>926</v>
      </c>
      <c r="AT483" s="15" t="s">
        <v>35</v>
      </c>
      <c r="AW483" s="11" t="str">
        <f t="shared" si="52"/>
        <v>EN_WOF_35_c02_IND</v>
      </c>
      <c r="AX483" s="11">
        <f t="shared" si="53"/>
        <v>1054</v>
      </c>
      <c r="AY483" s="11">
        <f t="shared" si="54"/>
        <v>1054</v>
      </c>
      <c r="AZ483" s="17">
        <v>3</v>
      </c>
      <c r="BA483">
        <f t="shared" si="55"/>
        <v>10.54</v>
      </c>
    </row>
    <row r="484" spans="2:53">
      <c r="B484" t="s">
        <v>26</v>
      </c>
      <c r="C484" t="s">
        <v>3939</v>
      </c>
      <c r="D484" t="s">
        <v>3940</v>
      </c>
      <c r="E484" t="s">
        <v>29</v>
      </c>
      <c r="F484" t="s">
        <v>30</v>
      </c>
      <c r="G484" t="s">
        <v>31</v>
      </c>
      <c r="J484" t="s">
        <v>3939</v>
      </c>
      <c r="K484" t="s">
        <v>1967</v>
      </c>
      <c r="L484" t="s">
        <v>2897</v>
      </c>
      <c r="M484" s="8">
        <v>131.90475</v>
      </c>
      <c r="N484">
        <v>80.7856561622413</v>
      </c>
      <c r="O484">
        <v>1222</v>
      </c>
      <c r="P484" s="9">
        <v>0.268460667640855</v>
      </c>
      <c r="Q484" t="s">
        <v>386</v>
      </c>
      <c r="T484" s="15" t="s">
        <v>290</v>
      </c>
      <c r="W484" s="16" t="str">
        <f t="shared" si="49"/>
        <v>EN_WON_27_c02_CHN</v>
      </c>
      <c r="X484" s="12">
        <f t="shared" si="50"/>
        <v>1222</v>
      </c>
      <c r="Y484" s="11">
        <f t="shared" si="51"/>
        <v>1222</v>
      </c>
      <c r="AC484" t="s">
        <v>26</v>
      </c>
      <c r="AD484" t="s">
        <v>3941</v>
      </c>
      <c r="AE484" t="s">
        <v>3942</v>
      </c>
      <c r="AF484" t="s">
        <v>29</v>
      </c>
      <c r="AG484" t="s">
        <v>30</v>
      </c>
      <c r="AH484" t="s">
        <v>31</v>
      </c>
      <c r="AK484" t="s">
        <v>3941</v>
      </c>
      <c r="AL484" t="s">
        <v>1967</v>
      </c>
      <c r="AM484" t="s">
        <v>3918</v>
      </c>
      <c r="AN484" s="8">
        <v>10.458</v>
      </c>
      <c r="AO484">
        <v>199.694880401046</v>
      </c>
      <c r="AP484">
        <v>1054</v>
      </c>
      <c r="AQ484" s="9">
        <v>0.357710484796328</v>
      </c>
      <c r="AR484" t="s">
        <v>926</v>
      </c>
      <c r="AT484" s="15" t="s">
        <v>35</v>
      </c>
      <c r="AW484" s="11" t="str">
        <f t="shared" si="52"/>
        <v>EN_WOF_36_c02_IND</v>
      </c>
      <c r="AX484" s="11">
        <f t="shared" si="53"/>
        <v>1054</v>
      </c>
      <c r="AY484" s="11">
        <f t="shared" si="54"/>
        <v>1054</v>
      </c>
      <c r="AZ484" s="17">
        <v>3</v>
      </c>
      <c r="BA484">
        <f t="shared" si="55"/>
        <v>10.54</v>
      </c>
    </row>
    <row r="485" spans="2:53">
      <c r="B485" t="s">
        <v>26</v>
      </c>
      <c r="C485" t="s">
        <v>3943</v>
      </c>
      <c r="D485" t="s">
        <v>3944</v>
      </c>
      <c r="E485" t="s">
        <v>29</v>
      </c>
      <c r="F485" t="s">
        <v>30</v>
      </c>
      <c r="G485" t="s">
        <v>31</v>
      </c>
      <c r="J485" t="s">
        <v>3943</v>
      </c>
      <c r="K485" t="s">
        <v>1967</v>
      </c>
      <c r="L485" t="s">
        <v>2897</v>
      </c>
      <c r="M485" s="8">
        <v>78.5895</v>
      </c>
      <c r="N485">
        <v>105.747516212372</v>
      </c>
      <c r="O485">
        <v>1222</v>
      </c>
      <c r="P485" s="9">
        <v>0.268806978031416</v>
      </c>
      <c r="Q485" t="s">
        <v>386</v>
      </c>
      <c r="T485" s="15" t="s">
        <v>290</v>
      </c>
      <c r="W485" s="16" t="str">
        <f t="shared" si="49"/>
        <v>EN_WON_27_c03_CHN</v>
      </c>
      <c r="X485" s="12">
        <f t="shared" si="50"/>
        <v>1222</v>
      </c>
      <c r="Y485" s="11">
        <f t="shared" si="51"/>
        <v>1222</v>
      </c>
      <c r="AC485" t="s">
        <v>26</v>
      </c>
      <c r="AD485" t="s">
        <v>3945</v>
      </c>
      <c r="AE485" t="s">
        <v>3946</v>
      </c>
      <c r="AF485" t="s">
        <v>29</v>
      </c>
      <c r="AG485" t="s">
        <v>30</v>
      </c>
      <c r="AH485" t="s">
        <v>31</v>
      </c>
      <c r="AK485" t="s">
        <v>3945</v>
      </c>
      <c r="AL485" t="s">
        <v>1967</v>
      </c>
      <c r="AM485" t="s">
        <v>3918</v>
      </c>
      <c r="AN485" s="8">
        <v>4.9365</v>
      </c>
      <c r="AO485">
        <v>199.694880401046</v>
      </c>
      <c r="AP485">
        <v>1054</v>
      </c>
      <c r="AQ485" s="9">
        <v>0.36682710422364</v>
      </c>
      <c r="AR485" t="s">
        <v>926</v>
      </c>
      <c r="AT485" s="15" t="s">
        <v>35</v>
      </c>
      <c r="AW485" s="11" t="str">
        <f t="shared" si="52"/>
        <v>EN_WOF_37_c02_IND</v>
      </c>
      <c r="AX485" s="11">
        <f t="shared" si="53"/>
        <v>1054</v>
      </c>
      <c r="AY485" s="11">
        <f t="shared" si="54"/>
        <v>1054</v>
      </c>
      <c r="AZ485" s="17">
        <v>3</v>
      </c>
      <c r="BA485">
        <f t="shared" si="55"/>
        <v>10.54</v>
      </c>
    </row>
    <row r="486" spans="2:53">
      <c r="B486" t="s">
        <v>26</v>
      </c>
      <c r="C486" t="s">
        <v>3947</v>
      </c>
      <c r="D486" t="s">
        <v>3948</v>
      </c>
      <c r="E486" t="s">
        <v>29</v>
      </c>
      <c r="F486" t="s">
        <v>30</v>
      </c>
      <c r="G486" t="s">
        <v>31</v>
      </c>
      <c r="J486" t="s">
        <v>3947</v>
      </c>
      <c r="K486" t="s">
        <v>1967</v>
      </c>
      <c r="L486" t="s">
        <v>2897</v>
      </c>
      <c r="M486" s="8">
        <v>25.9635</v>
      </c>
      <c r="N486">
        <v>145.23264029167</v>
      </c>
      <c r="O486">
        <v>1222</v>
      </c>
      <c r="P486" s="9">
        <v>0.268840660927841</v>
      </c>
      <c r="Q486" t="s">
        <v>386</v>
      </c>
      <c r="T486" s="15" t="s">
        <v>290</v>
      </c>
      <c r="W486" s="16" t="str">
        <f t="shared" si="49"/>
        <v>EN_WON_27_c04_CHN</v>
      </c>
      <c r="X486" s="12">
        <f t="shared" si="50"/>
        <v>1222</v>
      </c>
      <c r="Y486" s="11">
        <f t="shared" si="51"/>
        <v>1222</v>
      </c>
      <c r="AC486" t="s">
        <v>26</v>
      </c>
      <c r="AD486" t="s">
        <v>3949</v>
      </c>
      <c r="AE486" t="s">
        <v>3950</v>
      </c>
      <c r="AF486" t="s">
        <v>29</v>
      </c>
      <c r="AG486" t="s">
        <v>30</v>
      </c>
      <c r="AH486" t="s">
        <v>31</v>
      </c>
      <c r="AK486" t="s">
        <v>3949</v>
      </c>
      <c r="AL486" t="s">
        <v>1967</v>
      </c>
      <c r="AM486" t="s">
        <v>3918</v>
      </c>
      <c r="AN486" s="8">
        <v>3.17925</v>
      </c>
      <c r="AO486">
        <v>199.694880401046</v>
      </c>
      <c r="AP486">
        <v>1054</v>
      </c>
      <c r="AQ486" s="9">
        <v>0.39689525831564</v>
      </c>
      <c r="AR486" t="s">
        <v>926</v>
      </c>
      <c r="AT486" s="15" t="s">
        <v>35</v>
      </c>
      <c r="AW486" s="11" t="str">
        <f t="shared" si="52"/>
        <v>EN_WOF_40_c02_IND</v>
      </c>
      <c r="AX486" s="11">
        <f t="shared" si="53"/>
        <v>1054</v>
      </c>
      <c r="AY486" s="11">
        <f t="shared" si="54"/>
        <v>1054</v>
      </c>
      <c r="AZ486" s="17">
        <v>3</v>
      </c>
      <c r="BA486">
        <f t="shared" si="55"/>
        <v>10.54</v>
      </c>
    </row>
    <row r="487" spans="2:53">
      <c r="B487" t="s">
        <v>26</v>
      </c>
      <c r="C487" t="s">
        <v>3951</v>
      </c>
      <c r="D487" t="s">
        <v>3952</v>
      </c>
      <c r="E487" t="s">
        <v>29</v>
      </c>
      <c r="F487" t="s">
        <v>30</v>
      </c>
      <c r="G487" t="s">
        <v>31</v>
      </c>
      <c r="J487" t="s">
        <v>3951</v>
      </c>
      <c r="K487" t="s">
        <v>1967</v>
      </c>
      <c r="L487" t="s">
        <v>2897</v>
      </c>
      <c r="M487" s="8">
        <v>198.9135</v>
      </c>
      <c r="N487">
        <v>0</v>
      </c>
      <c r="O487">
        <v>1222</v>
      </c>
      <c r="P487" s="9">
        <v>0.280215219178186</v>
      </c>
      <c r="Q487" t="s">
        <v>386</v>
      </c>
      <c r="T487" s="15" t="s">
        <v>290</v>
      </c>
      <c r="W487" s="16" t="str">
        <f t="shared" si="49"/>
        <v>EN_WON_28_c01_CHN</v>
      </c>
      <c r="X487" s="12">
        <f t="shared" si="50"/>
        <v>1222</v>
      </c>
      <c r="Y487" s="11">
        <f t="shared" si="51"/>
        <v>1222</v>
      </c>
      <c r="AC487" t="s">
        <v>26</v>
      </c>
      <c r="AD487" t="s">
        <v>3953</v>
      </c>
      <c r="AE487" t="s">
        <v>3954</v>
      </c>
      <c r="AF487" t="s">
        <v>29</v>
      </c>
      <c r="AG487" t="s">
        <v>30</v>
      </c>
      <c r="AH487" t="s">
        <v>31</v>
      </c>
      <c r="AK487" t="s">
        <v>3953</v>
      </c>
      <c r="AL487" t="s">
        <v>1967</v>
      </c>
      <c r="AM487" t="s">
        <v>3918</v>
      </c>
      <c r="AN487" s="8">
        <v>4.878</v>
      </c>
      <c r="AO487">
        <v>199.694880401046</v>
      </c>
      <c r="AP487">
        <v>1054</v>
      </c>
      <c r="AQ487" s="9">
        <v>0.416</v>
      </c>
      <c r="AR487" t="s">
        <v>926</v>
      </c>
      <c r="AT487" s="15" t="s">
        <v>35</v>
      </c>
      <c r="AW487" s="11" t="str">
        <f t="shared" si="52"/>
        <v>EN_WOF_42_c02_IND</v>
      </c>
      <c r="AX487" s="11">
        <f t="shared" si="53"/>
        <v>1054</v>
      </c>
      <c r="AY487" s="11">
        <f t="shared" si="54"/>
        <v>1054</v>
      </c>
      <c r="AZ487" s="17">
        <v>3</v>
      </c>
      <c r="BA487">
        <f t="shared" si="55"/>
        <v>10.54</v>
      </c>
    </row>
    <row r="488" spans="2:53">
      <c r="B488" t="s">
        <v>26</v>
      </c>
      <c r="C488" t="s">
        <v>3955</v>
      </c>
      <c r="D488" t="s">
        <v>3956</v>
      </c>
      <c r="E488" t="s">
        <v>29</v>
      </c>
      <c r="F488" t="s">
        <v>30</v>
      </c>
      <c r="G488" t="s">
        <v>31</v>
      </c>
      <c r="J488" t="s">
        <v>3955</v>
      </c>
      <c r="K488" t="s">
        <v>1967</v>
      </c>
      <c r="L488" t="s">
        <v>2897</v>
      </c>
      <c r="M488" s="8">
        <v>243.42</v>
      </c>
      <c r="N488">
        <v>80.7856561622413</v>
      </c>
      <c r="O488">
        <v>1222</v>
      </c>
      <c r="P488" s="9">
        <v>0.280121675499137</v>
      </c>
      <c r="Q488" t="s">
        <v>386</v>
      </c>
      <c r="T488" s="15" t="s">
        <v>290</v>
      </c>
      <c r="W488" s="16" t="str">
        <f t="shared" si="49"/>
        <v>EN_WON_28_c02_CHN</v>
      </c>
      <c r="X488" s="12">
        <f t="shared" si="50"/>
        <v>1222</v>
      </c>
      <c r="Y488" s="11">
        <f t="shared" si="51"/>
        <v>1222</v>
      </c>
      <c r="AC488" t="s">
        <v>26</v>
      </c>
      <c r="AD488" t="s">
        <v>3957</v>
      </c>
      <c r="AE488" t="s">
        <v>3958</v>
      </c>
      <c r="AF488" t="s">
        <v>29</v>
      </c>
      <c r="AG488" t="s">
        <v>30</v>
      </c>
      <c r="AH488" t="s">
        <v>31</v>
      </c>
      <c r="AK488" t="s">
        <v>3957</v>
      </c>
      <c r="AL488" t="s">
        <v>1967</v>
      </c>
      <c r="AM488" t="s">
        <v>3918</v>
      </c>
      <c r="AN488" s="8">
        <v>4.67775</v>
      </c>
      <c r="AO488">
        <v>199.694880401046</v>
      </c>
      <c r="AP488">
        <v>1054</v>
      </c>
      <c r="AQ488" s="9">
        <v>0.432342151675485</v>
      </c>
      <c r="AR488" t="s">
        <v>926</v>
      </c>
      <c r="AT488" s="15" t="s">
        <v>35</v>
      </c>
      <c r="AW488" s="11" t="str">
        <f t="shared" si="52"/>
        <v>EN_WOF_43_c02_IND</v>
      </c>
      <c r="AX488" s="11">
        <f t="shared" si="53"/>
        <v>1054</v>
      </c>
      <c r="AY488" s="11">
        <f t="shared" si="54"/>
        <v>1054</v>
      </c>
      <c r="AZ488" s="17">
        <v>3</v>
      </c>
      <c r="BA488">
        <f t="shared" si="55"/>
        <v>10.54</v>
      </c>
    </row>
    <row r="489" spans="2:53">
      <c r="B489" t="s">
        <v>26</v>
      </c>
      <c r="C489" t="s">
        <v>3959</v>
      </c>
      <c r="D489" t="s">
        <v>3960</v>
      </c>
      <c r="E489" t="s">
        <v>29</v>
      </c>
      <c r="F489" t="s">
        <v>30</v>
      </c>
      <c r="G489" t="s">
        <v>31</v>
      </c>
      <c r="J489" t="s">
        <v>3959</v>
      </c>
      <c r="K489" t="s">
        <v>1967</v>
      </c>
      <c r="L489" t="s">
        <v>2897</v>
      </c>
      <c r="M489" s="8">
        <v>53.69625</v>
      </c>
      <c r="N489">
        <v>105.747516212372</v>
      </c>
      <c r="O489">
        <v>1222</v>
      </c>
      <c r="P489" s="9">
        <v>0.278826342621691</v>
      </c>
      <c r="Q489" t="s">
        <v>386</v>
      </c>
      <c r="T489" s="15" t="s">
        <v>290</v>
      </c>
      <c r="W489" s="16" t="str">
        <f t="shared" si="49"/>
        <v>EN_WON_28_c03_CHN</v>
      </c>
      <c r="X489" s="12">
        <f t="shared" si="50"/>
        <v>1222</v>
      </c>
      <c r="Y489" s="11">
        <f t="shared" si="51"/>
        <v>1222</v>
      </c>
      <c r="AC489" t="s">
        <v>26</v>
      </c>
      <c r="AD489" t="s">
        <v>3961</v>
      </c>
      <c r="AE489" t="s">
        <v>3962</v>
      </c>
      <c r="AF489" t="s">
        <v>29</v>
      </c>
      <c r="AG489" t="s">
        <v>30</v>
      </c>
      <c r="AH489" t="s">
        <v>31</v>
      </c>
      <c r="AK489" t="s">
        <v>3961</v>
      </c>
      <c r="AL489" t="s">
        <v>1967</v>
      </c>
      <c r="AM489" t="s">
        <v>3918</v>
      </c>
      <c r="AN489" s="8">
        <v>2.76375</v>
      </c>
      <c r="AO489">
        <v>199.694880401046</v>
      </c>
      <c r="AP489">
        <v>1054</v>
      </c>
      <c r="AQ489" s="9">
        <v>0.473</v>
      </c>
      <c r="AR489" t="s">
        <v>926</v>
      </c>
      <c r="AT489" s="15" t="s">
        <v>35</v>
      </c>
      <c r="AW489" s="11" t="str">
        <f t="shared" si="52"/>
        <v>EN_WOF_47_c02_IND</v>
      </c>
      <c r="AX489" s="11">
        <f t="shared" si="53"/>
        <v>1054</v>
      </c>
      <c r="AY489" s="11">
        <f t="shared" si="54"/>
        <v>1054</v>
      </c>
      <c r="AZ489" s="17">
        <v>3</v>
      </c>
      <c r="BA489">
        <f t="shared" si="55"/>
        <v>10.54</v>
      </c>
    </row>
    <row r="490" spans="2:53">
      <c r="B490" t="s">
        <v>26</v>
      </c>
      <c r="C490" t="s">
        <v>3963</v>
      </c>
      <c r="D490" t="s">
        <v>3964</v>
      </c>
      <c r="E490" t="s">
        <v>29</v>
      </c>
      <c r="F490" t="s">
        <v>30</v>
      </c>
      <c r="G490" t="s">
        <v>31</v>
      </c>
      <c r="J490" t="s">
        <v>3963</v>
      </c>
      <c r="K490" t="s">
        <v>1967</v>
      </c>
      <c r="L490" t="s">
        <v>2897</v>
      </c>
      <c r="M490" s="8">
        <v>24.5565</v>
      </c>
      <c r="N490">
        <v>145.23264029167</v>
      </c>
      <c r="O490">
        <v>1222</v>
      </c>
      <c r="P490" s="9">
        <v>0.280945055280679</v>
      </c>
      <c r="Q490" t="s">
        <v>386</v>
      </c>
      <c r="T490" s="15" t="s">
        <v>290</v>
      </c>
      <c r="W490" s="16" t="str">
        <f t="shared" si="49"/>
        <v>EN_WON_28_c04_CHN</v>
      </c>
      <c r="X490" s="12">
        <f t="shared" si="50"/>
        <v>1222</v>
      </c>
      <c r="Y490" s="11">
        <f t="shared" si="51"/>
        <v>1222</v>
      </c>
      <c r="AC490" t="s">
        <v>26</v>
      </c>
      <c r="AD490" t="s">
        <v>3965</v>
      </c>
      <c r="AE490" t="s">
        <v>3966</v>
      </c>
      <c r="AF490" t="s">
        <v>29</v>
      </c>
      <c r="AG490" t="s">
        <v>30</v>
      </c>
      <c r="AH490" t="s">
        <v>31</v>
      </c>
      <c r="AK490" t="s">
        <v>3965</v>
      </c>
      <c r="AL490" t="s">
        <v>1967</v>
      </c>
      <c r="AM490" t="s">
        <v>3918</v>
      </c>
      <c r="AN490" s="8">
        <v>2.50575</v>
      </c>
      <c r="AO490">
        <v>199.694880401046</v>
      </c>
      <c r="AP490">
        <v>1054</v>
      </c>
      <c r="AQ490" s="9">
        <v>0.477790481891649</v>
      </c>
      <c r="AR490" t="s">
        <v>926</v>
      </c>
      <c r="AT490" s="15" t="s">
        <v>35</v>
      </c>
      <c r="AW490" s="11" t="str">
        <f t="shared" si="52"/>
        <v>EN_WOF_48_c02_IND</v>
      </c>
      <c r="AX490" s="11">
        <f t="shared" si="53"/>
        <v>1054</v>
      </c>
      <c r="AY490" s="11">
        <f t="shared" si="54"/>
        <v>1054</v>
      </c>
      <c r="AZ490" s="17">
        <v>3</v>
      </c>
      <c r="BA490">
        <f t="shared" si="55"/>
        <v>10.54</v>
      </c>
    </row>
    <row r="491" spans="2:53">
      <c r="B491" t="s">
        <v>26</v>
      </c>
      <c r="C491" t="s">
        <v>3967</v>
      </c>
      <c r="D491" t="s">
        <v>3968</v>
      </c>
      <c r="E491" t="s">
        <v>29</v>
      </c>
      <c r="F491" t="s">
        <v>30</v>
      </c>
      <c r="G491" t="s">
        <v>31</v>
      </c>
      <c r="J491" t="s">
        <v>3967</v>
      </c>
      <c r="K491" t="s">
        <v>1967</v>
      </c>
      <c r="L491" t="s">
        <v>2897</v>
      </c>
      <c r="M491" s="8">
        <v>264.38025</v>
      </c>
      <c r="N491">
        <v>0</v>
      </c>
      <c r="O491">
        <v>1222</v>
      </c>
      <c r="P491" s="9">
        <v>0.289782832681337</v>
      </c>
      <c r="Q491" t="s">
        <v>386</v>
      </c>
      <c r="T491" s="15" t="s">
        <v>290</v>
      </c>
      <c r="W491" s="16" t="str">
        <f t="shared" si="49"/>
        <v>EN_WON_29_c01_CHN</v>
      </c>
      <c r="X491" s="12">
        <f t="shared" si="50"/>
        <v>1222</v>
      </c>
      <c r="Y491" s="11">
        <f t="shared" si="51"/>
        <v>1222</v>
      </c>
      <c r="AC491" t="s">
        <v>26</v>
      </c>
      <c r="AD491" t="s">
        <v>3969</v>
      </c>
      <c r="AE491" t="s">
        <v>3970</v>
      </c>
      <c r="AF491" t="s">
        <v>29</v>
      </c>
      <c r="AG491" t="s">
        <v>30</v>
      </c>
      <c r="AH491" t="s">
        <v>31</v>
      </c>
      <c r="AK491" t="s">
        <v>3969</v>
      </c>
      <c r="AL491" t="s">
        <v>1967</v>
      </c>
      <c r="AM491" t="s">
        <v>3971</v>
      </c>
      <c r="AN491" s="8">
        <v>11.664</v>
      </c>
      <c r="AO491">
        <v>199.694880401046</v>
      </c>
      <c r="AP491">
        <v>2141</v>
      </c>
      <c r="AQ491" s="9">
        <v>0.493</v>
      </c>
      <c r="AR491" t="s">
        <v>966</v>
      </c>
      <c r="AT491" s="15" t="s">
        <v>69</v>
      </c>
      <c r="AW491" s="11" t="str">
        <f t="shared" si="52"/>
        <v>EN_WOF_49_c02_IRL</v>
      </c>
      <c r="AX491" s="11">
        <f t="shared" si="53"/>
        <v>2141</v>
      </c>
      <c r="AY491" s="11">
        <f t="shared" si="54"/>
        <v>2141</v>
      </c>
      <c r="AZ491" s="17">
        <v>3</v>
      </c>
      <c r="BA491">
        <f t="shared" si="55"/>
        <v>21.41</v>
      </c>
    </row>
    <row r="492" spans="2:53">
      <c r="B492" t="s">
        <v>26</v>
      </c>
      <c r="C492" t="s">
        <v>3972</v>
      </c>
      <c r="D492" t="s">
        <v>3973</v>
      </c>
      <c r="E492" t="s">
        <v>29</v>
      </c>
      <c r="F492" t="s">
        <v>30</v>
      </c>
      <c r="G492" t="s">
        <v>31</v>
      </c>
      <c r="J492" t="s">
        <v>3972</v>
      </c>
      <c r="K492" t="s">
        <v>1967</v>
      </c>
      <c r="L492" t="s">
        <v>2897</v>
      </c>
      <c r="M492" s="8">
        <v>142.20525</v>
      </c>
      <c r="N492">
        <v>80.7856561622413</v>
      </c>
      <c r="O492">
        <v>1222</v>
      </c>
      <c r="P492" s="9">
        <v>0.289542305927524</v>
      </c>
      <c r="Q492" t="s">
        <v>386</v>
      </c>
      <c r="T492" s="15" t="s">
        <v>290</v>
      </c>
      <c r="W492" s="16" t="str">
        <f t="shared" si="49"/>
        <v>EN_WON_29_c02_CHN</v>
      </c>
      <c r="X492" s="12">
        <f t="shared" si="50"/>
        <v>1222</v>
      </c>
      <c r="Y492" s="11">
        <f t="shared" si="51"/>
        <v>1222</v>
      </c>
      <c r="AC492" t="s">
        <v>26</v>
      </c>
      <c r="AD492" t="s">
        <v>3974</v>
      </c>
      <c r="AE492" t="s">
        <v>3975</v>
      </c>
      <c r="AF492" t="s">
        <v>29</v>
      </c>
      <c r="AG492" t="s">
        <v>30</v>
      </c>
      <c r="AH492" t="s">
        <v>31</v>
      </c>
      <c r="AK492" t="s">
        <v>3974</v>
      </c>
      <c r="AL492" t="s">
        <v>1967</v>
      </c>
      <c r="AM492" t="s">
        <v>3971</v>
      </c>
      <c r="AN492" s="8">
        <v>11.649</v>
      </c>
      <c r="AO492">
        <v>45.3852000911468</v>
      </c>
      <c r="AP492">
        <v>2141</v>
      </c>
      <c r="AQ492" s="9">
        <v>0.503065284573783</v>
      </c>
      <c r="AR492" t="s">
        <v>966</v>
      </c>
      <c r="AT492" s="15" t="s">
        <v>69</v>
      </c>
      <c r="AW492" s="11" t="str">
        <f t="shared" si="52"/>
        <v>EN_WOF_50_c01_IRL</v>
      </c>
      <c r="AX492" s="11">
        <f t="shared" si="53"/>
        <v>2141</v>
      </c>
      <c r="AY492" s="11">
        <f t="shared" si="54"/>
        <v>2141</v>
      </c>
      <c r="AZ492" s="17">
        <v>3</v>
      </c>
      <c r="BA492">
        <f t="shared" si="55"/>
        <v>21.41</v>
      </c>
    </row>
    <row r="493" spans="2:53">
      <c r="B493" t="s">
        <v>26</v>
      </c>
      <c r="C493" t="s">
        <v>3976</v>
      </c>
      <c r="D493" t="s">
        <v>3977</v>
      </c>
      <c r="E493" t="s">
        <v>29</v>
      </c>
      <c r="F493" t="s">
        <v>30</v>
      </c>
      <c r="G493" t="s">
        <v>31</v>
      </c>
      <c r="J493" t="s">
        <v>3976</v>
      </c>
      <c r="K493" t="s">
        <v>1967</v>
      </c>
      <c r="L493" t="s">
        <v>2897</v>
      </c>
      <c r="M493" s="8">
        <v>62.709</v>
      </c>
      <c r="N493">
        <v>105.747516212372</v>
      </c>
      <c r="O493">
        <v>1222</v>
      </c>
      <c r="P493" s="9">
        <v>0.290340178443286</v>
      </c>
      <c r="Q493" t="s">
        <v>386</v>
      </c>
      <c r="T493" s="15" t="s">
        <v>290</v>
      </c>
      <c r="W493" s="16" t="str">
        <f t="shared" si="49"/>
        <v>EN_WON_29_c03_CHN</v>
      </c>
      <c r="X493" s="12">
        <f t="shared" si="50"/>
        <v>1222</v>
      </c>
      <c r="Y493" s="11">
        <f t="shared" si="51"/>
        <v>1222</v>
      </c>
      <c r="AC493" t="s">
        <v>26</v>
      </c>
      <c r="AD493" t="s">
        <v>3978</v>
      </c>
      <c r="AE493" t="s">
        <v>3979</v>
      </c>
      <c r="AF493" t="s">
        <v>29</v>
      </c>
      <c r="AG493" t="s">
        <v>30</v>
      </c>
      <c r="AH493" t="s">
        <v>31</v>
      </c>
      <c r="AK493" t="s">
        <v>3978</v>
      </c>
      <c r="AL493" t="s">
        <v>1967</v>
      </c>
      <c r="AM493" t="s">
        <v>3971</v>
      </c>
      <c r="AN493" s="8">
        <v>103.10025</v>
      </c>
      <c r="AO493">
        <v>199.694880401046</v>
      </c>
      <c r="AP493">
        <v>2141</v>
      </c>
      <c r="AQ493" s="9">
        <v>0.500303818370955</v>
      </c>
      <c r="AR493" t="s">
        <v>966</v>
      </c>
      <c r="AT493" s="15" t="s">
        <v>69</v>
      </c>
      <c r="AW493" s="11" t="str">
        <f t="shared" si="52"/>
        <v>EN_WOF_50_c02_IRL</v>
      </c>
      <c r="AX493" s="11">
        <f t="shared" si="53"/>
        <v>2141</v>
      </c>
      <c r="AY493" s="11">
        <f t="shared" si="54"/>
        <v>2141</v>
      </c>
      <c r="AZ493" s="17">
        <v>3</v>
      </c>
      <c r="BA493">
        <f t="shared" si="55"/>
        <v>21.41</v>
      </c>
    </row>
    <row r="494" spans="2:53">
      <c r="B494" t="s">
        <v>26</v>
      </c>
      <c r="C494" t="s">
        <v>3980</v>
      </c>
      <c r="D494" t="s">
        <v>3981</v>
      </c>
      <c r="E494" t="s">
        <v>29</v>
      </c>
      <c r="F494" t="s">
        <v>30</v>
      </c>
      <c r="G494" t="s">
        <v>31</v>
      </c>
      <c r="J494" t="s">
        <v>3980</v>
      </c>
      <c r="K494" t="s">
        <v>1967</v>
      </c>
      <c r="L494" t="s">
        <v>2897</v>
      </c>
      <c r="M494" s="8">
        <v>17.823</v>
      </c>
      <c r="N494">
        <v>145.23264029167</v>
      </c>
      <c r="O494">
        <v>1222</v>
      </c>
      <c r="P494" s="9">
        <v>0.289328395892947</v>
      </c>
      <c r="Q494" t="s">
        <v>386</v>
      </c>
      <c r="T494" s="15" t="s">
        <v>290</v>
      </c>
      <c r="W494" s="16" t="str">
        <f t="shared" si="49"/>
        <v>EN_WON_29_c04_CHN</v>
      </c>
      <c r="X494" s="12">
        <f t="shared" si="50"/>
        <v>1222</v>
      </c>
      <c r="Y494" s="11">
        <f t="shared" si="51"/>
        <v>1222</v>
      </c>
      <c r="AC494" t="s">
        <v>26</v>
      </c>
      <c r="AD494" t="s">
        <v>3982</v>
      </c>
      <c r="AE494" t="s">
        <v>3983</v>
      </c>
      <c r="AF494" t="s">
        <v>29</v>
      </c>
      <c r="AG494" t="s">
        <v>30</v>
      </c>
      <c r="AH494" t="s">
        <v>31</v>
      </c>
      <c r="AK494" t="s">
        <v>3982</v>
      </c>
      <c r="AL494" t="s">
        <v>1967</v>
      </c>
      <c r="AM494" t="s">
        <v>3971</v>
      </c>
      <c r="AN494" s="8">
        <v>32.2575</v>
      </c>
      <c r="AO494">
        <v>45.3852000911468</v>
      </c>
      <c r="AP494">
        <v>2141</v>
      </c>
      <c r="AQ494" s="9">
        <v>0.508993861892583</v>
      </c>
      <c r="AR494" t="s">
        <v>966</v>
      </c>
      <c r="AT494" s="15" t="s">
        <v>69</v>
      </c>
      <c r="AW494" s="11" t="str">
        <f t="shared" si="52"/>
        <v>EN_WOF_51_c01_IRL</v>
      </c>
      <c r="AX494" s="11">
        <f t="shared" si="53"/>
        <v>2141</v>
      </c>
      <c r="AY494" s="11">
        <f t="shared" si="54"/>
        <v>2141</v>
      </c>
      <c r="AZ494" s="17">
        <v>3</v>
      </c>
      <c r="BA494">
        <f t="shared" si="55"/>
        <v>21.41</v>
      </c>
    </row>
    <row r="495" spans="2:53">
      <c r="B495" t="s">
        <v>26</v>
      </c>
      <c r="C495" t="s">
        <v>3984</v>
      </c>
      <c r="D495" t="s">
        <v>3985</v>
      </c>
      <c r="E495" t="s">
        <v>29</v>
      </c>
      <c r="F495" t="s">
        <v>30</v>
      </c>
      <c r="G495" t="s">
        <v>31</v>
      </c>
      <c r="J495" t="s">
        <v>3984</v>
      </c>
      <c r="K495" t="s">
        <v>1967</v>
      </c>
      <c r="L495" t="s">
        <v>2897</v>
      </c>
      <c r="M495" s="8">
        <v>279.897</v>
      </c>
      <c r="N495">
        <v>0</v>
      </c>
      <c r="O495">
        <v>1222</v>
      </c>
      <c r="P495" s="9">
        <v>0.300024330378675</v>
      </c>
      <c r="Q495" t="s">
        <v>386</v>
      </c>
      <c r="T495" s="15" t="s">
        <v>290</v>
      </c>
      <c r="W495" s="16" t="str">
        <f t="shared" si="49"/>
        <v>EN_WON_30_c01_CHN</v>
      </c>
      <c r="X495" s="12">
        <f t="shared" si="50"/>
        <v>1222</v>
      </c>
      <c r="Y495" s="11">
        <f t="shared" si="51"/>
        <v>1222</v>
      </c>
      <c r="AC495" t="s">
        <v>26</v>
      </c>
      <c r="AD495" t="s">
        <v>3986</v>
      </c>
      <c r="AE495" t="s">
        <v>3987</v>
      </c>
      <c r="AF495" t="s">
        <v>29</v>
      </c>
      <c r="AG495" t="s">
        <v>30</v>
      </c>
      <c r="AH495" t="s">
        <v>31</v>
      </c>
      <c r="AK495" t="s">
        <v>3986</v>
      </c>
      <c r="AL495" t="s">
        <v>1967</v>
      </c>
      <c r="AM495" t="s">
        <v>3971</v>
      </c>
      <c r="AN495" s="8">
        <v>52.869</v>
      </c>
      <c r="AO495">
        <v>199.694880401046</v>
      </c>
      <c r="AP495">
        <v>2141</v>
      </c>
      <c r="AQ495" s="9">
        <v>0.510451412926289</v>
      </c>
      <c r="AR495" t="s">
        <v>966</v>
      </c>
      <c r="AT495" s="15" t="s">
        <v>69</v>
      </c>
      <c r="AW495" s="11" t="str">
        <f t="shared" si="52"/>
        <v>EN_WOF_51_c02_IRL</v>
      </c>
      <c r="AX495" s="11">
        <f t="shared" si="53"/>
        <v>2141</v>
      </c>
      <c r="AY495" s="11">
        <f t="shared" si="54"/>
        <v>2141</v>
      </c>
      <c r="AZ495" s="17">
        <v>3</v>
      </c>
      <c r="BA495">
        <f t="shared" si="55"/>
        <v>21.41</v>
      </c>
    </row>
    <row r="496" spans="2:53">
      <c r="B496" t="s">
        <v>26</v>
      </c>
      <c r="C496" t="s">
        <v>3988</v>
      </c>
      <c r="D496" t="s">
        <v>3989</v>
      </c>
      <c r="E496" t="s">
        <v>29</v>
      </c>
      <c r="F496" t="s">
        <v>30</v>
      </c>
      <c r="G496" t="s">
        <v>31</v>
      </c>
      <c r="J496" t="s">
        <v>3988</v>
      </c>
      <c r="K496" t="s">
        <v>1967</v>
      </c>
      <c r="L496" t="s">
        <v>2897</v>
      </c>
      <c r="M496" s="8">
        <v>171.183</v>
      </c>
      <c r="N496">
        <v>80.7856561622413</v>
      </c>
      <c r="O496">
        <v>1222</v>
      </c>
      <c r="P496" s="9">
        <v>0.299793545503934</v>
      </c>
      <c r="Q496" t="s">
        <v>386</v>
      </c>
      <c r="T496" s="15" t="s">
        <v>290</v>
      </c>
      <c r="W496" s="16" t="str">
        <f t="shared" si="49"/>
        <v>EN_WON_30_c02_CHN</v>
      </c>
      <c r="X496" s="12">
        <f t="shared" si="50"/>
        <v>1222</v>
      </c>
      <c r="Y496" s="11">
        <f t="shared" si="51"/>
        <v>1222</v>
      </c>
      <c r="AC496" t="s">
        <v>26</v>
      </c>
      <c r="AD496" t="s">
        <v>3990</v>
      </c>
      <c r="AE496" t="s">
        <v>3991</v>
      </c>
      <c r="AF496" t="s">
        <v>29</v>
      </c>
      <c r="AG496" t="s">
        <v>30</v>
      </c>
      <c r="AH496" t="s">
        <v>31</v>
      </c>
      <c r="AK496" t="s">
        <v>3990</v>
      </c>
      <c r="AL496" t="s">
        <v>1967</v>
      </c>
      <c r="AM496" t="s">
        <v>3971</v>
      </c>
      <c r="AN496" s="8">
        <v>48.34575</v>
      </c>
      <c r="AO496">
        <v>45.3852000911468</v>
      </c>
      <c r="AP496">
        <v>2141</v>
      </c>
      <c r="AQ496" s="9">
        <v>0.518973782597229</v>
      </c>
      <c r="AR496" t="s">
        <v>966</v>
      </c>
      <c r="AT496" s="15" t="s">
        <v>69</v>
      </c>
      <c r="AW496" s="11" t="str">
        <f t="shared" si="52"/>
        <v>EN_WOF_52_c01_IRL</v>
      </c>
      <c r="AX496" s="11">
        <f t="shared" si="53"/>
        <v>2141</v>
      </c>
      <c r="AY496" s="11">
        <f t="shared" si="54"/>
        <v>2141</v>
      </c>
      <c r="AZ496" s="17">
        <v>3</v>
      </c>
      <c r="BA496">
        <f t="shared" si="55"/>
        <v>21.41</v>
      </c>
    </row>
    <row r="497" spans="2:53">
      <c r="B497" t="s">
        <v>26</v>
      </c>
      <c r="C497" t="s">
        <v>3992</v>
      </c>
      <c r="D497" t="s">
        <v>3993</v>
      </c>
      <c r="E497" t="s">
        <v>29</v>
      </c>
      <c r="F497" t="s">
        <v>30</v>
      </c>
      <c r="G497" t="s">
        <v>31</v>
      </c>
      <c r="J497" t="s">
        <v>3992</v>
      </c>
      <c r="K497" t="s">
        <v>1967</v>
      </c>
      <c r="L497" t="s">
        <v>2897</v>
      </c>
      <c r="M497" s="8">
        <v>46.254</v>
      </c>
      <c r="N497">
        <v>105.747516212372</v>
      </c>
      <c r="O497">
        <v>1222</v>
      </c>
      <c r="P497" s="9">
        <v>0.299586392528214</v>
      </c>
      <c r="Q497" t="s">
        <v>386</v>
      </c>
      <c r="T497" s="15" t="s">
        <v>290</v>
      </c>
      <c r="W497" s="16" t="str">
        <f t="shared" si="49"/>
        <v>EN_WON_30_c03_CHN</v>
      </c>
      <c r="X497" s="12">
        <f t="shared" si="50"/>
        <v>1222</v>
      </c>
      <c r="Y497" s="11">
        <f t="shared" si="51"/>
        <v>1222</v>
      </c>
      <c r="AC497" t="s">
        <v>26</v>
      </c>
      <c r="AD497" t="s">
        <v>3994</v>
      </c>
      <c r="AE497" t="s">
        <v>3995</v>
      </c>
      <c r="AF497" t="s">
        <v>29</v>
      </c>
      <c r="AG497" t="s">
        <v>30</v>
      </c>
      <c r="AH497" t="s">
        <v>31</v>
      </c>
      <c r="AK497" t="s">
        <v>3994</v>
      </c>
      <c r="AL497" t="s">
        <v>1967</v>
      </c>
      <c r="AM497" t="s">
        <v>3971</v>
      </c>
      <c r="AN497" s="8">
        <v>88.5495</v>
      </c>
      <c r="AO497">
        <v>199.694880401046</v>
      </c>
      <c r="AP497">
        <v>2141</v>
      </c>
      <c r="AQ497" s="9">
        <v>0.519771407517829</v>
      </c>
      <c r="AR497" t="s">
        <v>966</v>
      </c>
      <c r="AT497" s="15" t="s">
        <v>69</v>
      </c>
      <c r="AW497" s="11" t="str">
        <f t="shared" si="52"/>
        <v>EN_WOF_52_c02_IRL</v>
      </c>
      <c r="AX497" s="11">
        <f t="shared" si="53"/>
        <v>2141</v>
      </c>
      <c r="AY497" s="11">
        <f t="shared" si="54"/>
        <v>2141</v>
      </c>
      <c r="AZ497" s="17">
        <v>3</v>
      </c>
      <c r="BA497">
        <f t="shared" si="55"/>
        <v>21.41</v>
      </c>
    </row>
    <row r="498" spans="2:53">
      <c r="B498" t="s">
        <v>26</v>
      </c>
      <c r="C498" t="s">
        <v>3996</v>
      </c>
      <c r="D498" t="s">
        <v>3997</v>
      </c>
      <c r="E498" t="s">
        <v>29</v>
      </c>
      <c r="F498" t="s">
        <v>30</v>
      </c>
      <c r="G498" t="s">
        <v>31</v>
      </c>
      <c r="J498" t="s">
        <v>3996</v>
      </c>
      <c r="K498" t="s">
        <v>1967</v>
      </c>
      <c r="L498" t="s">
        <v>2897</v>
      </c>
      <c r="M498" s="8">
        <v>3.597</v>
      </c>
      <c r="N498">
        <v>145.23264029167</v>
      </c>
      <c r="O498">
        <v>1222</v>
      </c>
      <c r="P498" s="9">
        <v>0.296</v>
      </c>
      <c r="Q498" t="s">
        <v>386</v>
      </c>
      <c r="T498" s="15" t="s">
        <v>290</v>
      </c>
      <c r="W498" s="16" t="str">
        <f t="shared" si="49"/>
        <v>EN_WON_30_c04_CHN</v>
      </c>
      <c r="X498" s="12">
        <f t="shared" si="50"/>
        <v>1222</v>
      </c>
      <c r="Y498" s="11">
        <f t="shared" si="51"/>
        <v>1222</v>
      </c>
      <c r="AC498" t="s">
        <v>26</v>
      </c>
      <c r="AD498" t="s">
        <v>3998</v>
      </c>
      <c r="AE498" t="s">
        <v>3999</v>
      </c>
      <c r="AF498" t="s">
        <v>29</v>
      </c>
      <c r="AG498" t="s">
        <v>30</v>
      </c>
      <c r="AH498" t="s">
        <v>31</v>
      </c>
      <c r="AK498" t="s">
        <v>3998</v>
      </c>
      <c r="AL498" t="s">
        <v>1967</v>
      </c>
      <c r="AM498" t="s">
        <v>3971</v>
      </c>
      <c r="AN498" s="8">
        <v>26.47125</v>
      </c>
      <c r="AO498">
        <v>45.3852000911468</v>
      </c>
      <c r="AP498">
        <v>2141</v>
      </c>
      <c r="AQ498" s="9">
        <v>0.533199121688624</v>
      </c>
      <c r="AR498" t="s">
        <v>966</v>
      </c>
      <c r="AT498" s="15" t="s">
        <v>69</v>
      </c>
      <c r="AW498" s="11" t="str">
        <f t="shared" si="52"/>
        <v>EN_WOF_53_c01_IRL</v>
      </c>
      <c r="AX498" s="11">
        <f t="shared" si="53"/>
        <v>2141</v>
      </c>
      <c r="AY498" s="11">
        <f t="shared" si="54"/>
        <v>2141</v>
      </c>
      <c r="AZ498" s="17">
        <v>3</v>
      </c>
      <c r="BA498">
        <f t="shared" si="55"/>
        <v>21.41</v>
      </c>
    </row>
    <row r="499" spans="2:53">
      <c r="B499" t="s">
        <v>26</v>
      </c>
      <c r="C499" t="s">
        <v>4000</v>
      </c>
      <c r="D499" t="s">
        <v>4001</v>
      </c>
      <c r="E499" t="s">
        <v>29</v>
      </c>
      <c r="F499" t="s">
        <v>30</v>
      </c>
      <c r="G499" t="s">
        <v>31</v>
      </c>
      <c r="J499" t="s">
        <v>4000</v>
      </c>
      <c r="K499" t="s">
        <v>1967</v>
      </c>
      <c r="L499" t="s">
        <v>2897</v>
      </c>
      <c r="M499" s="8">
        <v>250.95975</v>
      </c>
      <c r="N499">
        <v>0</v>
      </c>
      <c r="O499">
        <v>1222</v>
      </c>
      <c r="P499" s="9">
        <v>0.310034897030301</v>
      </c>
      <c r="Q499" t="s">
        <v>386</v>
      </c>
      <c r="T499" s="15" t="s">
        <v>290</v>
      </c>
      <c r="W499" s="16" t="str">
        <f t="shared" si="49"/>
        <v>EN_WON_31_c01_CHN</v>
      </c>
      <c r="X499" s="12">
        <f t="shared" si="50"/>
        <v>1222</v>
      </c>
      <c r="Y499" s="11">
        <f t="shared" si="51"/>
        <v>1222</v>
      </c>
      <c r="AC499" t="s">
        <v>26</v>
      </c>
      <c r="AD499" t="s">
        <v>4002</v>
      </c>
      <c r="AE499" t="s">
        <v>4003</v>
      </c>
      <c r="AF499" t="s">
        <v>29</v>
      </c>
      <c r="AG499" t="s">
        <v>30</v>
      </c>
      <c r="AH499" t="s">
        <v>31</v>
      </c>
      <c r="AK499" t="s">
        <v>4002</v>
      </c>
      <c r="AL499" t="s">
        <v>1967</v>
      </c>
      <c r="AM499" t="s">
        <v>3971</v>
      </c>
      <c r="AN499" s="8">
        <v>44.22375</v>
      </c>
      <c r="AO499">
        <v>199.694880401046</v>
      </c>
      <c r="AP499">
        <v>2141</v>
      </c>
      <c r="AQ499" s="9">
        <v>0.529968252353091</v>
      </c>
      <c r="AR499" t="s">
        <v>966</v>
      </c>
      <c r="AT499" s="15" t="s">
        <v>69</v>
      </c>
      <c r="AW499" s="11" t="str">
        <f t="shared" si="52"/>
        <v>EN_WOF_53_c02_IRL</v>
      </c>
      <c r="AX499" s="11">
        <f t="shared" si="53"/>
        <v>2141</v>
      </c>
      <c r="AY499" s="11">
        <f t="shared" si="54"/>
        <v>2141</v>
      </c>
      <c r="AZ499" s="17">
        <v>3</v>
      </c>
      <c r="BA499">
        <f t="shared" si="55"/>
        <v>21.41</v>
      </c>
    </row>
    <row r="500" spans="2:53">
      <c r="B500" t="s">
        <v>26</v>
      </c>
      <c r="C500" t="s">
        <v>4004</v>
      </c>
      <c r="D500" t="s">
        <v>4005</v>
      </c>
      <c r="E500" t="s">
        <v>29</v>
      </c>
      <c r="F500" t="s">
        <v>30</v>
      </c>
      <c r="G500" t="s">
        <v>31</v>
      </c>
      <c r="J500" t="s">
        <v>4004</v>
      </c>
      <c r="K500" t="s">
        <v>1967</v>
      </c>
      <c r="L500" t="s">
        <v>2897</v>
      </c>
      <c r="M500" s="8">
        <v>196.608</v>
      </c>
      <c r="N500">
        <v>80.7856561622413</v>
      </c>
      <c r="O500">
        <v>1222</v>
      </c>
      <c r="P500" s="9">
        <v>0.309880115509033</v>
      </c>
      <c r="Q500" t="s">
        <v>386</v>
      </c>
      <c r="T500" s="15" t="s">
        <v>290</v>
      </c>
      <c r="W500" s="16" t="str">
        <f t="shared" si="49"/>
        <v>EN_WON_31_c02_CHN</v>
      </c>
      <c r="X500" s="12">
        <f t="shared" si="50"/>
        <v>1222</v>
      </c>
      <c r="Y500" s="11">
        <f t="shared" si="51"/>
        <v>1222</v>
      </c>
      <c r="AC500" t="s">
        <v>26</v>
      </c>
      <c r="AD500" t="s">
        <v>4006</v>
      </c>
      <c r="AE500" t="s">
        <v>4007</v>
      </c>
      <c r="AF500" t="s">
        <v>29</v>
      </c>
      <c r="AG500" t="s">
        <v>30</v>
      </c>
      <c r="AH500" t="s">
        <v>31</v>
      </c>
      <c r="AK500" t="s">
        <v>4006</v>
      </c>
      <c r="AL500" t="s">
        <v>1967</v>
      </c>
      <c r="AM500" t="s">
        <v>3971</v>
      </c>
      <c r="AN500" s="8">
        <v>33.59025</v>
      </c>
      <c r="AO500">
        <v>45.3852000911468</v>
      </c>
      <c r="AP500">
        <v>2141</v>
      </c>
      <c r="AQ500" s="9">
        <v>0.539664210596825</v>
      </c>
      <c r="AR500" t="s">
        <v>966</v>
      </c>
      <c r="AT500" s="15" t="s">
        <v>69</v>
      </c>
      <c r="AW500" s="11" t="str">
        <f t="shared" si="52"/>
        <v>EN_WOF_54_c01_IRL</v>
      </c>
      <c r="AX500" s="11">
        <f t="shared" si="53"/>
        <v>2141</v>
      </c>
      <c r="AY500" s="11">
        <f t="shared" si="54"/>
        <v>2141</v>
      </c>
      <c r="AZ500" s="17">
        <v>3</v>
      </c>
      <c r="BA500">
        <f t="shared" si="55"/>
        <v>21.41</v>
      </c>
    </row>
    <row r="501" spans="2:53">
      <c r="B501" t="s">
        <v>26</v>
      </c>
      <c r="C501" t="s">
        <v>4008</v>
      </c>
      <c r="D501" t="s">
        <v>4009</v>
      </c>
      <c r="E501" t="s">
        <v>29</v>
      </c>
      <c r="F501" t="s">
        <v>30</v>
      </c>
      <c r="G501" t="s">
        <v>31</v>
      </c>
      <c r="J501" t="s">
        <v>4008</v>
      </c>
      <c r="K501" t="s">
        <v>1967</v>
      </c>
      <c r="L501" t="s">
        <v>2897</v>
      </c>
      <c r="M501" s="8">
        <v>23.6565</v>
      </c>
      <c r="N501">
        <v>105.747516212372</v>
      </c>
      <c r="O501">
        <v>1222</v>
      </c>
      <c r="P501" s="9">
        <v>0.308004153192569</v>
      </c>
      <c r="Q501" t="s">
        <v>386</v>
      </c>
      <c r="T501" s="15" t="s">
        <v>290</v>
      </c>
      <c r="W501" s="16" t="str">
        <f t="shared" si="49"/>
        <v>EN_WON_31_c03_CHN</v>
      </c>
      <c r="X501" s="12">
        <f t="shared" si="50"/>
        <v>1222</v>
      </c>
      <c r="Y501" s="11">
        <f t="shared" si="51"/>
        <v>1222</v>
      </c>
      <c r="AC501" t="s">
        <v>26</v>
      </c>
      <c r="AD501" t="s">
        <v>4010</v>
      </c>
      <c r="AE501" t="s">
        <v>4011</v>
      </c>
      <c r="AF501" t="s">
        <v>29</v>
      </c>
      <c r="AG501" t="s">
        <v>30</v>
      </c>
      <c r="AH501" t="s">
        <v>31</v>
      </c>
      <c r="AK501" t="s">
        <v>4010</v>
      </c>
      <c r="AL501" t="s">
        <v>1967</v>
      </c>
      <c r="AM501" t="s">
        <v>3971</v>
      </c>
      <c r="AN501" s="8">
        <v>160.09875</v>
      </c>
      <c r="AO501">
        <v>199.694880401046</v>
      </c>
      <c r="AP501">
        <v>2141</v>
      </c>
      <c r="AQ501" s="9">
        <v>0.540824013304289</v>
      </c>
      <c r="AR501" t="s">
        <v>966</v>
      </c>
      <c r="AT501" s="15" t="s">
        <v>69</v>
      </c>
      <c r="AW501" s="11" t="str">
        <f t="shared" si="52"/>
        <v>EN_WOF_54_c02_IRL</v>
      </c>
      <c r="AX501" s="11">
        <f t="shared" si="53"/>
        <v>2141</v>
      </c>
      <c r="AY501" s="11">
        <f t="shared" si="54"/>
        <v>2141</v>
      </c>
      <c r="AZ501" s="17">
        <v>3</v>
      </c>
      <c r="BA501">
        <f t="shared" si="55"/>
        <v>21.41</v>
      </c>
    </row>
    <row r="502" spans="2:53">
      <c r="B502" t="s">
        <v>26</v>
      </c>
      <c r="C502" t="s">
        <v>4012</v>
      </c>
      <c r="D502" t="s">
        <v>4013</v>
      </c>
      <c r="E502" t="s">
        <v>29</v>
      </c>
      <c r="F502" t="s">
        <v>30</v>
      </c>
      <c r="G502" t="s">
        <v>31</v>
      </c>
      <c r="J502" t="s">
        <v>4012</v>
      </c>
      <c r="K502" t="s">
        <v>1967</v>
      </c>
      <c r="L502" t="s">
        <v>2897</v>
      </c>
      <c r="M502" s="8">
        <v>4.1385</v>
      </c>
      <c r="N502">
        <v>145.23264029167</v>
      </c>
      <c r="O502">
        <v>1222</v>
      </c>
      <c r="P502" s="9">
        <v>0.314</v>
      </c>
      <c r="Q502" t="s">
        <v>386</v>
      </c>
      <c r="T502" s="15" t="s">
        <v>290</v>
      </c>
      <c r="W502" s="16" t="str">
        <f t="shared" si="49"/>
        <v>EN_WON_31_c04_CHN</v>
      </c>
      <c r="X502" s="12">
        <f t="shared" si="50"/>
        <v>1222</v>
      </c>
      <c r="Y502" s="11">
        <f t="shared" si="51"/>
        <v>1222</v>
      </c>
      <c r="AC502" t="s">
        <v>26</v>
      </c>
      <c r="AD502" t="s">
        <v>4014</v>
      </c>
      <c r="AE502" t="s">
        <v>4015</v>
      </c>
      <c r="AF502" t="s">
        <v>29</v>
      </c>
      <c r="AG502" t="s">
        <v>30</v>
      </c>
      <c r="AH502" t="s">
        <v>31</v>
      </c>
      <c r="AK502" t="s">
        <v>4014</v>
      </c>
      <c r="AL502" t="s">
        <v>1967</v>
      </c>
      <c r="AM502" t="s">
        <v>3971</v>
      </c>
      <c r="AN502" s="8">
        <v>63.58875</v>
      </c>
      <c r="AO502">
        <v>199.694880401046</v>
      </c>
      <c r="AP502">
        <v>2141</v>
      </c>
      <c r="AQ502" s="9">
        <v>0.547353694639382</v>
      </c>
      <c r="AR502" t="s">
        <v>966</v>
      </c>
      <c r="AT502" s="15" t="s">
        <v>69</v>
      </c>
      <c r="AW502" s="11" t="str">
        <f t="shared" si="52"/>
        <v>EN_WOF_55_c02_IRL</v>
      </c>
      <c r="AX502" s="11">
        <f t="shared" si="53"/>
        <v>2141</v>
      </c>
      <c r="AY502" s="11">
        <f t="shared" si="54"/>
        <v>2141</v>
      </c>
      <c r="AZ502" s="17">
        <v>3</v>
      </c>
      <c r="BA502">
        <f t="shared" si="55"/>
        <v>21.41</v>
      </c>
    </row>
    <row r="503" spans="2:53">
      <c r="B503" t="s">
        <v>26</v>
      </c>
      <c r="C503" t="s">
        <v>4016</v>
      </c>
      <c r="D503" t="s">
        <v>4017</v>
      </c>
      <c r="E503" t="s">
        <v>29</v>
      </c>
      <c r="F503" t="s">
        <v>30</v>
      </c>
      <c r="G503" t="s">
        <v>31</v>
      </c>
      <c r="J503" t="s">
        <v>4016</v>
      </c>
      <c r="K503" t="s">
        <v>1967</v>
      </c>
      <c r="L503" t="s">
        <v>2897</v>
      </c>
      <c r="M503" s="8">
        <v>396.81</v>
      </c>
      <c r="N503">
        <v>0</v>
      </c>
      <c r="O503">
        <v>1222</v>
      </c>
      <c r="P503" s="9">
        <v>0.319300952596961</v>
      </c>
      <c r="Q503" t="s">
        <v>386</v>
      </c>
      <c r="T503" s="15" t="s">
        <v>290</v>
      </c>
      <c r="W503" s="16" t="str">
        <f t="shared" si="49"/>
        <v>EN_WON_32_c01_CHN</v>
      </c>
      <c r="X503" s="12">
        <f t="shared" si="50"/>
        <v>1222</v>
      </c>
      <c r="Y503" s="11">
        <f t="shared" si="51"/>
        <v>1222</v>
      </c>
      <c r="AC503" t="s">
        <v>26</v>
      </c>
      <c r="AD503" t="s">
        <v>4018</v>
      </c>
      <c r="AE503" t="s">
        <v>4019</v>
      </c>
      <c r="AF503" t="s">
        <v>29</v>
      </c>
      <c r="AG503" t="s">
        <v>30</v>
      </c>
      <c r="AH503" t="s">
        <v>31</v>
      </c>
      <c r="AK503" t="s">
        <v>4018</v>
      </c>
      <c r="AL503" t="s">
        <v>1967</v>
      </c>
      <c r="AM503" t="s">
        <v>3971</v>
      </c>
      <c r="AN503" s="8">
        <v>7.0635</v>
      </c>
      <c r="AO503">
        <v>199.694880401046</v>
      </c>
      <c r="AP503">
        <v>2141</v>
      </c>
      <c r="AQ503" s="9">
        <v>0.559299957528137</v>
      </c>
      <c r="AR503" t="s">
        <v>966</v>
      </c>
      <c r="AT503" s="15" t="s">
        <v>69</v>
      </c>
      <c r="AW503" s="11" t="str">
        <f t="shared" si="52"/>
        <v>EN_WOF_56_c02_IRL</v>
      </c>
      <c r="AX503" s="11">
        <f t="shared" si="53"/>
        <v>2141</v>
      </c>
      <c r="AY503" s="11">
        <f t="shared" si="54"/>
        <v>2141</v>
      </c>
      <c r="AZ503" s="17">
        <v>3</v>
      </c>
      <c r="BA503">
        <f t="shared" si="55"/>
        <v>21.41</v>
      </c>
    </row>
    <row r="504" spans="2:53">
      <c r="B504" t="s">
        <v>26</v>
      </c>
      <c r="C504" t="s">
        <v>4020</v>
      </c>
      <c r="D504" t="s">
        <v>4021</v>
      </c>
      <c r="E504" t="s">
        <v>29</v>
      </c>
      <c r="F504" t="s">
        <v>30</v>
      </c>
      <c r="G504" t="s">
        <v>31</v>
      </c>
      <c r="J504" t="s">
        <v>4020</v>
      </c>
      <c r="K504" t="s">
        <v>1967</v>
      </c>
      <c r="L504" t="s">
        <v>2897</v>
      </c>
      <c r="M504" s="8">
        <v>141.6225</v>
      </c>
      <c r="N504">
        <v>80.7856561622413</v>
      </c>
      <c r="O504">
        <v>1222</v>
      </c>
      <c r="P504" s="9">
        <v>0.318550172112482</v>
      </c>
      <c r="Q504" t="s">
        <v>386</v>
      </c>
      <c r="T504" s="15" t="s">
        <v>290</v>
      </c>
      <c r="W504" s="16" t="str">
        <f t="shared" si="49"/>
        <v>EN_WON_32_c02_CHN</v>
      </c>
      <c r="X504" s="12">
        <f t="shared" si="50"/>
        <v>1222</v>
      </c>
      <c r="Y504" s="11">
        <f t="shared" si="51"/>
        <v>1222</v>
      </c>
      <c r="AC504" t="s">
        <v>26</v>
      </c>
      <c r="AD504" t="s">
        <v>4022</v>
      </c>
      <c r="AE504" t="s">
        <v>4023</v>
      </c>
      <c r="AF504" t="s">
        <v>29</v>
      </c>
      <c r="AG504" t="s">
        <v>30</v>
      </c>
      <c r="AH504" t="s">
        <v>31</v>
      </c>
      <c r="AK504" t="s">
        <v>4022</v>
      </c>
      <c r="AL504" t="s">
        <v>1967</v>
      </c>
      <c r="AM504" t="s">
        <v>3971</v>
      </c>
      <c r="AN504" s="8">
        <v>8.36775</v>
      </c>
      <c r="AO504">
        <v>199.694880401046</v>
      </c>
      <c r="AP504">
        <v>2141</v>
      </c>
      <c r="AQ504" s="9">
        <v>0.57</v>
      </c>
      <c r="AR504" t="s">
        <v>966</v>
      </c>
      <c r="AT504" s="15" t="s">
        <v>69</v>
      </c>
      <c r="AW504" s="11" t="str">
        <f t="shared" si="52"/>
        <v>EN_WOF_57_c02_IRL</v>
      </c>
      <c r="AX504" s="11">
        <f t="shared" si="53"/>
        <v>2141</v>
      </c>
      <c r="AY504" s="11">
        <f t="shared" si="54"/>
        <v>2141</v>
      </c>
      <c r="AZ504" s="17">
        <v>3</v>
      </c>
      <c r="BA504">
        <f t="shared" si="55"/>
        <v>21.41</v>
      </c>
    </row>
    <row r="505" spans="2:53">
      <c r="B505" t="s">
        <v>26</v>
      </c>
      <c r="C505" t="s">
        <v>4024</v>
      </c>
      <c r="D505" t="s">
        <v>4025</v>
      </c>
      <c r="E505" t="s">
        <v>29</v>
      </c>
      <c r="F505" t="s">
        <v>30</v>
      </c>
      <c r="G505" t="s">
        <v>31</v>
      </c>
      <c r="J505" t="s">
        <v>4024</v>
      </c>
      <c r="K505" t="s">
        <v>1967</v>
      </c>
      <c r="L505" t="s">
        <v>2897</v>
      </c>
      <c r="M505" s="8">
        <v>48.36825</v>
      </c>
      <c r="N505">
        <v>105.747516212372</v>
      </c>
      <c r="O505">
        <v>1222</v>
      </c>
      <c r="P505" s="9">
        <v>0.319231706749779</v>
      </c>
      <c r="Q505" t="s">
        <v>386</v>
      </c>
      <c r="T505" s="15" t="s">
        <v>290</v>
      </c>
      <c r="W505" s="16" t="str">
        <f t="shared" si="49"/>
        <v>EN_WON_32_c03_CHN</v>
      </c>
      <c r="X505" s="12">
        <f t="shared" si="50"/>
        <v>1222</v>
      </c>
      <c r="Y505" s="11">
        <f t="shared" si="51"/>
        <v>1222</v>
      </c>
      <c r="AC505" t="s">
        <v>26</v>
      </c>
      <c r="AD505" t="s">
        <v>4026</v>
      </c>
      <c r="AE505" t="s">
        <v>4027</v>
      </c>
      <c r="AF505" t="s">
        <v>29</v>
      </c>
      <c r="AG505" t="s">
        <v>30</v>
      </c>
      <c r="AH505" t="s">
        <v>31</v>
      </c>
      <c r="AK505" t="s">
        <v>4026</v>
      </c>
      <c r="AL505" t="s">
        <v>1967</v>
      </c>
      <c r="AM505" t="s">
        <v>4028</v>
      </c>
      <c r="AN505" s="8">
        <v>5.088</v>
      </c>
      <c r="AO505">
        <v>199.694880401046</v>
      </c>
      <c r="AP505">
        <v>1637</v>
      </c>
      <c r="AQ505" s="9">
        <v>0.343</v>
      </c>
      <c r="AR505" t="s">
        <v>4029</v>
      </c>
      <c r="AT505" s="15" t="s">
        <v>69</v>
      </c>
      <c r="AW505" s="11" t="str">
        <f t="shared" si="52"/>
        <v>EN_WOF_34_c02_ISL</v>
      </c>
      <c r="AX505" s="11">
        <f t="shared" si="53"/>
        <v>1637</v>
      </c>
      <c r="AY505" s="11">
        <f t="shared" si="54"/>
        <v>1637</v>
      </c>
      <c r="AZ505" s="17">
        <v>3</v>
      </c>
      <c r="BA505">
        <f t="shared" si="55"/>
        <v>16.37</v>
      </c>
    </row>
    <row r="506" spans="2:53">
      <c r="B506" t="s">
        <v>26</v>
      </c>
      <c r="C506" t="s">
        <v>4030</v>
      </c>
      <c r="D506" t="s">
        <v>4031</v>
      </c>
      <c r="E506" t="s">
        <v>29</v>
      </c>
      <c r="F506" t="s">
        <v>30</v>
      </c>
      <c r="G506" t="s">
        <v>31</v>
      </c>
      <c r="J506" t="s">
        <v>4030</v>
      </c>
      <c r="K506" t="s">
        <v>1967</v>
      </c>
      <c r="L506" t="s">
        <v>2897</v>
      </c>
      <c r="M506" s="8">
        <v>232.82925</v>
      </c>
      <c r="N506">
        <v>0</v>
      </c>
      <c r="O506">
        <v>1222</v>
      </c>
      <c r="P506" s="9">
        <v>0.330669671014273</v>
      </c>
      <c r="Q506" t="s">
        <v>386</v>
      </c>
      <c r="T506" s="15" t="s">
        <v>290</v>
      </c>
      <c r="W506" s="16" t="str">
        <f t="shared" si="49"/>
        <v>EN_WON_33_c01_CHN</v>
      </c>
      <c r="X506" s="12">
        <f t="shared" si="50"/>
        <v>1222</v>
      </c>
      <c r="Y506" s="11">
        <f t="shared" si="51"/>
        <v>1222</v>
      </c>
      <c r="AC506" t="s">
        <v>26</v>
      </c>
      <c r="AD506" t="s">
        <v>4032</v>
      </c>
      <c r="AE506" t="s">
        <v>4033</v>
      </c>
      <c r="AF506" t="s">
        <v>29</v>
      </c>
      <c r="AG506" t="s">
        <v>30</v>
      </c>
      <c r="AH506" t="s">
        <v>31</v>
      </c>
      <c r="AK506" t="s">
        <v>4032</v>
      </c>
      <c r="AL506" t="s">
        <v>1967</v>
      </c>
      <c r="AM506" t="s">
        <v>4028</v>
      </c>
      <c r="AN506" s="8">
        <v>7.18725</v>
      </c>
      <c r="AO506">
        <v>199.694880401046</v>
      </c>
      <c r="AP506">
        <v>1637</v>
      </c>
      <c r="AQ506" s="9">
        <v>0.353</v>
      </c>
      <c r="AR506" t="s">
        <v>4029</v>
      </c>
      <c r="AT506" s="15" t="s">
        <v>69</v>
      </c>
      <c r="AW506" s="11" t="str">
        <f t="shared" si="52"/>
        <v>EN_WOF_35_c02_ISL</v>
      </c>
      <c r="AX506" s="11">
        <f t="shared" si="53"/>
        <v>1637</v>
      </c>
      <c r="AY506" s="11">
        <f t="shared" si="54"/>
        <v>1637</v>
      </c>
      <c r="AZ506" s="17">
        <v>3</v>
      </c>
      <c r="BA506">
        <f t="shared" si="55"/>
        <v>16.37</v>
      </c>
    </row>
    <row r="507" spans="2:53">
      <c r="B507" t="s">
        <v>26</v>
      </c>
      <c r="C507" t="s">
        <v>4034</v>
      </c>
      <c r="D507" t="s">
        <v>4035</v>
      </c>
      <c r="E507" t="s">
        <v>29</v>
      </c>
      <c r="F507" t="s">
        <v>30</v>
      </c>
      <c r="G507" t="s">
        <v>31</v>
      </c>
      <c r="J507" t="s">
        <v>4034</v>
      </c>
      <c r="K507" t="s">
        <v>1967</v>
      </c>
      <c r="L507" t="s">
        <v>2897</v>
      </c>
      <c r="M507" s="8">
        <v>137.313</v>
      </c>
      <c r="N507">
        <v>80.7856561622413</v>
      </c>
      <c r="O507">
        <v>1222</v>
      </c>
      <c r="P507" s="9">
        <v>0.329343590920015</v>
      </c>
      <c r="Q507" t="s">
        <v>386</v>
      </c>
      <c r="T507" s="15" t="s">
        <v>290</v>
      </c>
      <c r="W507" s="16" t="str">
        <f t="shared" si="49"/>
        <v>EN_WON_33_c02_CHN</v>
      </c>
      <c r="X507" s="12">
        <f t="shared" si="50"/>
        <v>1222</v>
      </c>
      <c r="Y507" s="11">
        <f t="shared" si="51"/>
        <v>1222</v>
      </c>
      <c r="AC507" t="s">
        <v>26</v>
      </c>
      <c r="AD507" t="s">
        <v>4036</v>
      </c>
      <c r="AE507" t="s">
        <v>4037</v>
      </c>
      <c r="AF507" t="s">
        <v>29</v>
      </c>
      <c r="AG507" t="s">
        <v>30</v>
      </c>
      <c r="AH507" t="s">
        <v>31</v>
      </c>
      <c r="AK507" t="s">
        <v>4036</v>
      </c>
      <c r="AL507" t="s">
        <v>1967</v>
      </c>
      <c r="AM507" t="s">
        <v>4028</v>
      </c>
      <c r="AN507" s="8">
        <v>4.86675</v>
      </c>
      <c r="AO507">
        <v>199.694880401046</v>
      </c>
      <c r="AP507">
        <v>1637</v>
      </c>
      <c r="AQ507" s="9">
        <v>0.359</v>
      </c>
      <c r="AR507" t="s">
        <v>4029</v>
      </c>
      <c r="AT507" s="15" t="s">
        <v>69</v>
      </c>
      <c r="AW507" s="11" t="str">
        <f t="shared" si="52"/>
        <v>EN_WOF_36_c02_ISL</v>
      </c>
      <c r="AX507" s="11">
        <f t="shared" si="53"/>
        <v>1637</v>
      </c>
      <c r="AY507" s="11">
        <f t="shared" si="54"/>
        <v>1637</v>
      </c>
      <c r="AZ507" s="17">
        <v>3</v>
      </c>
      <c r="BA507">
        <f t="shared" si="55"/>
        <v>16.37</v>
      </c>
    </row>
    <row r="508" spans="2:53">
      <c r="B508" t="s">
        <v>26</v>
      </c>
      <c r="C508" t="s">
        <v>4038</v>
      </c>
      <c r="D508" t="s">
        <v>4039</v>
      </c>
      <c r="E508" t="s">
        <v>29</v>
      </c>
      <c r="F508" t="s">
        <v>30</v>
      </c>
      <c r="G508" t="s">
        <v>31</v>
      </c>
      <c r="J508" t="s">
        <v>4038</v>
      </c>
      <c r="K508" t="s">
        <v>1967</v>
      </c>
      <c r="L508" t="s">
        <v>2897</v>
      </c>
      <c r="M508" s="8">
        <v>17.6115</v>
      </c>
      <c r="N508">
        <v>105.747516212372</v>
      </c>
      <c r="O508">
        <v>1222</v>
      </c>
      <c r="P508" s="9">
        <v>0.326666553104506</v>
      </c>
      <c r="Q508" t="s">
        <v>386</v>
      </c>
      <c r="T508" s="15" t="s">
        <v>290</v>
      </c>
      <c r="W508" s="16" t="str">
        <f t="shared" si="49"/>
        <v>EN_WON_33_c03_CHN</v>
      </c>
      <c r="X508" s="12">
        <f t="shared" si="50"/>
        <v>1222</v>
      </c>
      <c r="Y508" s="11">
        <f t="shared" si="51"/>
        <v>1222</v>
      </c>
      <c r="AC508" t="s">
        <v>26</v>
      </c>
      <c r="AD508" t="s">
        <v>4040</v>
      </c>
      <c r="AE508" t="s">
        <v>4041</v>
      </c>
      <c r="AF508" t="s">
        <v>29</v>
      </c>
      <c r="AG508" t="s">
        <v>30</v>
      </c>
      <c r="AH508" t="s">
        <v>31</v>
      </c>
      <c r="AK508" t="s">
        <v>4040</v>
      </c>
      <c r="AL508" t="s">
        <v>1967</v>
      </c>
      <c r="AM508" t="s">
        <v>4028</v>
      </c>
      <c r="AN508" s="8">
        <v>17.03025</v>
      </c>
      <c r="AO508">
        <v>199.694880401046</v>
      </c>
      <c r="AP508">
        <v>1637</v>
      </c>
      <c r="AQ508" s="9">
        <v>0.371908442330559</v>
      </c>
      <c r="AR508" t="s">
        <v>4029</v>
      </c>
      <c r="AT508" s="15" t="s">
        <v>69</v>
      </c>
      <c r="AW508" s="11" t="str">
        <f t="shared" si="52"/>
        <v>EN_WOF_37_c02_ISL</v>
      </c>
      <c r="AX508" s="11">
        <f t="shared" si="53"/>
        <v>1637</v>
      </c>
      <c r="AY508" s="11">
        <f t="shared" si="54"/>
        <v>1637</v>
      </c>
      <c r="AZ508" s="17">
        <v>3</v>
      </c>
      <c r="BA508">
        <f t="shared" si="55"/>
        <v>16.37</v>
      </c>
    </row>
    <row r="509" spans="2:53">
      <c r="B509" t="s">
        <v>26</v>
      </c>
      <c r="C509" t="s">
        <v>4042</v>
      </c>
      <c r="D509" t="s">
        <v>4043</v>
      </c>
      <c r="E509" t="s">
        <v>29</v>
      </c>
      <c r="F509" t="s">
        <v>30</v>
      </c>
      <c r="G509" t="s">
        <v>31</v>
      </c>
      <c r="J509" t="s">
        <v>4042</v>
      </c>
      <c r="K509" t="s">
        <v>1967</v>
      </c>
      <c r="L509" t="s">
        <v>2897</v>
      </c>
      <c r="M509" s="8">
        <v>255.81075</v>
      </c>
      <c r="N509">
        <v>0</v>
      </c>
      <c r="O509">
        <v>1222</v>
      </c>
      <c r="P509" s="9">
        <v>0.339659752375536</v>
      </c>
      <c r="Q509" t="s">
        <v>386</v>
      </c>
      <c r="T509" s="15" t="s">
        <v>290</v>
      </c>
      <c r="W509" s="16" t="str">
        <f t="shared" si="49"/>
        <v>EN_WON_34_c01_CHN</v>
      </c>
      <c r="X509" s="12">
        <f t="shared" si="50"/>
        <v>1222</v>
      </c>
      <c r="Y509" s="11">
        <f t="shared" si="51"/>
        <v>1222</v>
      </c>
      <c r="AC509" t="s">
        <v>26</v>
      </c>
      <c r="AD509" t="s">
        <v>4044</v>
      </c>
      <c r="AE509" t="s">
        <v>4045</v>
      </c>
      <c r="AF509" t="s">
        <v>29</v>
      </c>
      <c r="AG509" t="s">
        <v>30</v>
      </c>
      <c r="AH509" t="s">
        <v>31</v>
      </c>
      <c r="AK509" t="s">
        <v>4044</v>
      </c>
      <c r="AL509" t="s">
        <v>1967</v>
      </c>
      <c r="AM509" t="s">
        <v>4028</v>
      </c>
      <c r="AN509" s="8">
        <v>29.553</v>
      </c>
      <c r="AO509">
        <v>199.694880401046</v>
      </c>
      <c r="AP509">
        <v>1637</v>
      </c>
      <c r="AQ509" s="9">
        <v>0.379740483199675</v>
      </c>
      <c r="AR509" t="s">
        <v>4029</v>
      </c>
      <c r="AT509" s="15" t="s">
        <v>69</v>
      </c>
      <c r="AW509" s="11" t="str">
        <f t="shared" si="52"/>
        <v>EN_WOF_38_c02_ISL</v>
      </c>
      <c r="AX509" s="11">
        <f t="shared" si="53"/>
        <v>1637</v>
      </c>
      <c r="AY509" s="11">
        <f t="shared" si="54"/>
        <v>1637</v>
      </c>
      <c r="AZ509" s="17">
        <v>3</v>
      </c>
      <c r="BA509">
        <f t="shared" si="55"/>
        <v>16.37</v>
      </c>
    </row>
    <row r="510" spans="2:53">
      <c r="B510" t="s">
        <v>26</v>
      </c>
      <c r="C510" t="s">
        <v>4046</v>
      </c>
      <c r="D510" t="s">
        <v>4047</v>
      </c>
      <c r="E510" t="s">
        <v>29</v>
      </c>
      <c r="F510" t="s">
        <v>30</v>
      </c>
      <c r="G510" t="s">
        <v>31</v>
      </c>
      <c r="J510" t="s">
        <v>4046</v>
      </c>
      <c r="K510" t="s">
        <v>1967</v>
      </c>
      <c r="L510" t="s">
        <v>2897</v>
      </c>
      <c r="M510" s="8">
        <v>106.224</v>
      </c>
      <c r="N510">
        <v>80.7856561622413</v>
      </c>
      <c r="O510">
        <v>1222</v>
      </c>
      <c r="P510" s="9">
        <v>0.338825929168549</v>
      </c>
      <c r="Q510" t="s">
        <v>386</v>
      </c>
      <c r="T510" s="15" t="s">
        <v>290</v>
      </c>
      <c r="W510" s="16" t="str">
        <f t="shared" si="49"/>
        <v>EN_WON_34_c02_CHN</v>
      </c>
      <c r="X510" s="12">
        <f t="shared" si="50"/>
        <v>1222</v>
      </c>
      <c r="Y510" s="11">
        <f t="shared" si="51"/>
        <v>1222</v>
      </c>
      <c r="AC510" t="s">
        <v>26</v>
      </c>
      <c r="AD510" t="s">
        <v>4048</v>
      </c>
      <c r="AE510" t="s">
        <v>4049</v>
      </c>
      <c r="AF510" t="s">
        <v>29</v>
      </c>
      <c r="AG510" t="s">
        <v>30</v>
      </c>
      <c r="AH510" t="s">
        <v>31</v>
      </c>
      <c r="AK510" t="s">
        <v>4048</v>
      </c>
      <c r="AL510" t="s">
        <v>1967</v>
      </c>
      <c r="AM510" t="s">
        <v>4028</v>
      </c>
      <c r="AN510" s="8">
        <v>19.722</v>
      </c>
      <c r="AO510">
        <v>199.694880401046</v>
      </c>
      <c r="AP510">
        <v>1637</v>
      </c>
      <c r="AQ510" s="9">
        <v>0.388</v>
      </c>
      <c r="AR510" t="s">
        <v>4029</v>
      </c>
      <c r="AT510" s="15" t="s">
        <v>69</v>
      </c>
      <c r="AW510" s="11" t="str">
        <f t="shared" si="52"/>
        <v>EN_WOF_39_c02_ISL</v>
      </c>
      <c r="AX510" s="11">
        <f t="shared" si="53"/>
        <v>1637</v>
      </c>
      <c r="AY510" s="11">
        <f t="shared" si="54"/>
        <v>1637</v>
      </c>
      <c r="AZ510" s="17">
        <v>3</v>
      </c>
      <c r="BA510">
        <f t="shared" si="55"/>
        <v>16.37</v>
      </c>
    </row>
    <row r="511" spans="2:53">
      <c r="B511" t="s">
        <v>26</v>
      </c>
      <c r="C511" t="s">
        <v>4050</v>
      </c>
      <c r="D511" t="s">
        <v>4051</v>
      </c>
      <c r="E511" t="s">
        <v>29</v>
      </c>
      <c r="F511" t="s">
        <v>30</v>
      </c>
      <c r="G511" t="s">
        <v>31</v>
      </c>
      <c r="J511" t="s">
        <v>4050</v>
      </c>
      <c r="K511" t="s">
        <v>1967</v>
      </c>
      <c r="L511" t="s">
        <v>2897</v>
      </c>
      <c r="M511" s="8">
        <v>52.677</v>
      </c>
      <c r="N511">
        <v>105.747516212372</v>
      </c>
      <c r="O511">
        <v>1222</v>
      </c>
      <c r="P511" s="9">
        <v>0.340074320861097</v>
      </c>
      <c r="Q511" t="s">
        <v>386</v>
      </c>
      <c r="T511" s="15" t="s">
        <v>290</v>
      </c>
      <c r="W511" s="16" t="str">
        <f t="shared" si="49"/>
        <v>EN_WON_34_c03_CHN</v>
      </c>
      <c r="X511" s="12">
        <f t="shared" si="50"/>
        <v>1222</v>
      </c>
      <c r="Y511" s="11">
        <f t="shared" si="51"/>
        <v>1222</v>
      </c>
      <c r="AC511" t="s">
        <v>26</v>
      </c>
      <c r="AD511" t="s">
        <v>4052</v>
      </c>
      <c r="AE511" t="s">
        <v>4053</v>
      </c>
      <c r="AF511" t="s">
        <v>29</v>
      </c>
      <c r="AG511" t="s">
        <v>30</v>
      </c>
      <c r="AH511" t="s">
        <v>31</v>
      </c>
      <c r="AK511" t="s">
        <v>4052</v>
      </c>
      <c r="AL511" t="s">
        <v>1967</v>
      </c>
      <c r="AM511" t="s">
        <v>4028</v>
      </c>
      <c r="AN511" s="8">
        <v>57.92175</v>
      </c>
      <c r="AO511">
        <v>199.694880401046</v>
      </c>
      <c r="AP511">
        <v>1637</v>
      </c>
      <c r="AQ511" s="9">
        <v>0.399118491758277</v>
      </c>
      <c r="AR511" t="s">
        <v>4029</v>
      </c>
      <c r="AT511" s="15" t="s">
        <v>69</v>
      </c>
      <c r="AW511" s="11" t="str">
        <f t="shared" si="52"/>
        <v>EN_WOF_40_c02_ISL</v>
      </c>
      <c r="AX511" s="11">
        <f t="shared" si="53"/>
        <v>1637</v>
      </c>
      <c r="AY511" s="11">
        <f t="shared" si="54"/>
        <v>1637</v>
      </c>
      <c r="AZ511" s="17">
        <v>3</v>
      </c>
      <c r="BA511">
        <f t="shared" si="55"/>
        <v>16.37</v>
      </c>
    </row>
    <row r="512" spans="2:53">
      <c r="B512" t="s">
        <v>26</v>
      </c>
      <c r="C512" t="s">
        <v>4054</v>
      </c>
      <c r="D512" t="s">
        <v>4055</v>
      </c>
      <c r="E512" t="s">
        <v>29</v>
      </c>
      <c r="F512" t="s">
        <v>30</v>
      </c>
      <c r="G512" t="s">
        <v>31</v>
      </c>
      <c r="J512" t="s">
        <v>4054</v>
      </c>
      <c r="K512" t="s">
        <v>1967</v>
      </c>
      <c r="L512" t="s">
        <v>2897</v>
      </c>
      <c r="M512" s="8">
        <v>214.52475</v>
      </c>
      <c r="N512">
        <v>0</v>
      </c>
      <c r="O512">
        <v>1222</v>
      </c>
      <c r="P512" s="9">
        <v>0.350067422290435</v>
      </c>
      <c r="Q512" t="s">
        <v>386</v>
      </c>
      <c r="T512" s="15" t="s">
        <v>290</v>
      </c>
      <c r="W512" s="16" t="str">
        <f t="shared" si="49"/>
        <v>EN_WON_35_c01_CHN</v>
      </c>
      <c r="X512" s="12">
        <f t="shared" si="50"/>
        <v>1222</v>
      </c>
      <c r="Y512" s="11">
        <f t="shared" si="51"/>
        <v>1222</v>
      </c>
      <c r="AC512" t="s">
        <v>26</v>
      </c>
      <c r="AD512" t="s">
        <v>4056</v>
      </c>
      <c r="AE512" t="s">
        <v>4057</v>
      </c>
      <c r="AF512" t="s">
        <v>29</v>
      </c>
      <c r="AG512" t="s">
        <v>30</v>
      </c>
      <c r="AH512" t="s">
        <v>31</v>
      </c>
      <c r="AK512" t="s">
        <v>4056</v>
      </c>
      <c r="AL512" t="s">
        <v>1967</v>
      </c>
      <c r="AM512" t="s">
        <v>4028</v>
      </c>
      <c r="AN512" s="8">
        <v>38.34825</v>
      </c>
      <c r="AO512">
        <v>199.694880401046</v>
      </c>
      <c r="AP512">
        <v>1637</v>
      </c>
      <c r="AQ512" s="9">
        <v>0.407783067023919</v>
      </c>
      <c r="AR512" t="s">
        <v>4029</v>
      </c>
      <c r="AT512" s="15" t="s">
        <v>69</v>
      </c>
      <c r="AW512" s="11" t="str">
        <f t="shared" si="52"/>
        <v>EN_WOF_41_c02_ISL</v>
      </c>
      <c r="AX512" s="11">
        <f t="shared" si="53"/>
        <v>1637</v>
      </c>
      <c r="AY512" s="11">
        <f t="shared" si="54"/>
        <v>1637</v>
      </c>
      <c r="AZ512" s="17">
        <v>3</v>
      </c>
      <c r="BA512">
        <f t="shared" si="55"/>
        <v>16.37</v>
      </c>
    </row>
    <row r="513" spans="2:53">
      <c r="B513" t="s">
        <v>26</v>
      </c>
      <c r="C513" t="s">
        <v>4058</v>
      </c>
      <c r="D513" t="s">
        <v>4059</v>
      </c>
      <c r="E513" t="s">
        <v>29</v>
      </c>
      <c r="F513" t="s">
        <v>30</v>
      </c>
      <c r="G513" t="s">
        <v>31</v>
      </c>
      <c r="J513" t="s">
        <v>4058</v>
      </c>
      <c r="K513" t="s">
        <v>1967</v>
      </c>
      <c r="L513" t="s">
        <v>2897</v>
      </c>
      <c r="M513" s="8">
        <v>52.7235</v>
      </c>
      <c r="N513">
        <v>80.7856561622413</v>
      </c>
      <c r="O513">
        <v>1222</v>
      </c>
      <c r="P513" s="9">
        <v>0.348355472417423</v>
      </c>
      <c r="Q513" t="s">
        <v>386</v>
      </c>
      <c r="T513" s="15" t="s">
        <v>290</v>
      </c>
      <c r="W513" s="16" t="str">
        <f t="shared" si="49"/>
        <v>EN_WON_35_c02_CHN</v>
      </c>
      <c r="X513" s="12">
        <f t="shared" si="50"/>
        <v>1222</v>
      </c>
      <c r="Y513" s="11">
        <f t="shared" si="51"/>
        <v>1222</v>
      </c>
      <c r="AC513" t="s">
        <v>26</v>
      </c>
      <c r="AD513" t="s">
        <v>4060</v>
      </c>
      <c r="AE513" t="s">
        <v>4061</v>
      </c>
      <c r="AF513" t="s">
        <v>29</v>
      </c>
      <c r="AG513" t="s">
        <v>30</v>
      </c>
      <c r="AH513" t="s">
        <v>31</v>
      </c>
      <c r="AK513" t="s">
        <v>4060</v>
      </c>
      <c r="AL513" t="s">
        <v>1967</v>
      </c>
      <c r="AM513" t="s">
        <v>4028</v>
      </c>
      <c r="AN513" s="8">
        <v>50.6445</v>
      </c>
      <c r="AO513">
        <v>199.694880401046</v>
      </c>
      <c r="AP513">
        <v>1637</v>
      </c>
      <c r="AQ513" s="9">
        <v>0.418451603826674</v>
      </c>
      <c r="AR513" t="s">
        <v>4029</v>
      </c>
      <c r="AT513" s="15" t="s">
        <v>69</v>
      </c>
      <c r="AW513" s="11" t="str">
        <f t="shared" si="52"/>
        <v>EN_WOF_42_c02_ISL</v>
      </c>
      <c r="AX513" s="11">
        <f t="shared" si="53"/>
        <v>1637</v>
      </c>
      <c r="AY513" s="11">
        <f t="shared" si="54"/>
        <v>1637</v>
      </c>
      <c r="AZ513" s="17">
        <v>3</v>
      </c>
      <c r="BA513">
        <f t="shared" si="55"/>
        <v>16.37</v>
      </c>
    </row>
    <row r="514" spans="2:53">
      <c r="B514" t="s">
        <v>26</v>
      </c>
      <c r="C514" t="s">
        <v>4062</v>
      </c>
      <c r="D514" t="s">
        <v>4063</v>
      </c>
      <c r="E514" t="s">
        <v>29</v>
      </c>
      <c r="F514" t="s">
        <v>30</v>
      </c>
      <c r="G514" t="s">
        <v>31</v>
      </c>
      <c r="J514" t="s">
        <v>4062</v>
      </c>
      <c r="K514" t="s">
        <v>1967</v>
      </c>
      <c r="L514" t="s">
        <v>2897</v>
      </c>
      <c r="M514" s="8">
        <v>11.739</v>
      </c>
      <c r="N514">
        <v>105.747516212372</v>
      </c>
      <c r="O514">
        <v>1222</v>
      </c>
      <c r="P514" s="9">
        <v>0.348978021978022</v>
      </c>
      <c r="Q514" t="s">
        <v>386</v>
      </c>
      <c r="T514" s="15" t="s">
        <v>290</v>
      </c>
      <c r="W514" s="16" t="str">
        <f t="shared" si="49"/>
        <v>EN_WON_35_c03_CHN</v>
      </c>
      <c r="X514" s="12">
        <f t="shared" si="50"/>
        <v>1222</v>
      </c>
      <c r="Y514" s="11">
        <f t="shared" si="51"/>
        <v>1222</v>
      </c>
      <c r="AC514" t="s">
        <v>26</v>
      </c>
      <c r="AD514" t="s">
        <v>4064</v>
      </c>
      <c r="AE514" t="s">
        <v>4065</v>
      </c>
      <c r="AF514" t="s">
        <v>29</v>
      </c>
      <c r="AG514" t="s">
        <v>30</v>
      </c>
      <c r="AH514" t="s">
        <v>31</v>
      </c>
      <c r="AK514" t="s">
        <v>4064</v>
      </c>
      <c r="AL514" t="s">
        <v>1967</v>
      </c>
      <c r="AM514" t="s">
        <v>4028</v>
      </c>
      <c r="AN514" s="8">
        <v>21.52425</v>
      </c>
      <c r="AO514">
        <v>199.694880401046</v>
      </c>
      <c r="AP514">
        <v>1637</v>
      </c>
      <c r="AQ514" s="9">
        <v>0.428487821875327</v>
      </c>
      <c r="AR514" t="s">
        <v>4029</v>
      </c>
      <c r="AT514" s="15" t="s">
        <v>69</v>
      </c>
      <c r="AW514" s="11" t="str">
        <f t="shared" si="52"/>
        <v>EN_WOF_43_c02_ISL</v>
      </c>
      <c r="AX514" s="11">
        <f t="shared" si="53"/>
        <v>1637</v>
      </c>
      <c r="AY514" s="11">
        <f t="shared" si="54"/>
        <v>1637</v>
      </c>
      <c r="AZ514" s="17">
        <v>3</v>
      </c>
      <c r="BA514">
        <f t="shared" si="55"/>
        <v>16.37</v>
      </c>
    </row>
    <row r="515" spans="2:53">
      <c r="B515" t="s">
        <v>26</v>
      </c>
      <c r="C515" t="s">
        <v>4066</v>
      </c>
      <c r="D515" t="s">
        <v>4067</v>
      </c>
      <c r="E515" t="s">
        <v>29</v>
      </c>
      <c r="F515" t="s">
        <v>30</v>
      </c>
      <c r="G515" t="s">
        <v>31</v>
      </c>
      <c r="J515" t="s">
        <v>4066</v>
      </c>
      <c r="K515" t="s">
        <v>1967</v>
      </c>
      <c r="L515" t="s">
        <v>2897</v>
      </c>
      <c r="M515" s="8">
        <v>3.08625</v>
      </c>
      <c r="N515">
        <v>145.23264029167</v>
      </c>
      <c r="O515">
        <v>1222</v>
      </c>
      <c r="P515" s="9">
        <v>0.352</v>
      </c>
      <c r="Q515" t="s">
        <v>386</v>
      </c>
      <c r="T515" s="15" t="s">
        <v>290</v>
      </c>
      <c r="W515" s="16" t="str">
        <f t="shared" si="49"/>
        <v>EN_WON_35_c04_CHN</v>
      </c>
      <c r="X515" s="12">
        <f t="shared" si="50"/>
        <v>1222</v>
      </c>
      <c r="Y515" s="11">
        <f t="shared" si="51"/>
        <v>1222</v>
      </c>
      <c r="AC515" t="s">
        <v>26</v>
      </c>
      <c r="AD515" t="s">
        <v>4068</v>
      </c>
      <c r="AE515" t="s">
        <v>4069</v>
      </c>
      <c r="AF515" t="s">
        <v>29</v>
      </c>
      <c r="AG515" t="s">
        <v>30</v>
      </c>
      <c r="AH515" t="s">
        <v>31</v>
      </c>
      <c r="AK515" t="s">
        <v>4068</v>
      </c>
      <c r="AL515" t="s">
        <v>1967</v>
      </c>
      <c r="AM515" t="s">
        <v>4028</v>
      </c>
      <c r="AN515" s="8">
        <v>87.7485</v>
      </c>
      <c r="AO515">
        <v>199.694880401046</v>
      </c>
      <c r="AP515">
        <v>1637</v>
      </c>
      <c r="AQ515" s="9">
        <v>0.439984153575275</v>
      </c>
      <c r="AR515" t="s">
        <v>4029</v>
      </c>
      <c r="AT515" s="15" t="s">
        <v>69</v>
      </c>
      <c r="AW515" s="11" t="str">
        <f t="shared" si="52"/>
        <v>EN_WOF_44_c02_ISL</v>
      </c>
      <c r="AX515" s="11">
        <f t="shared" si="53"/>
        <v>1637</v>
      </c>
      <c r="AY515" s="11">
        <f t="shared" si="54"/>
        <v>1637</v>
      </c>
      <c r="AZ515" s="17">
        <v>3</v>
      </c>
      <c r="BA515">
        <f t="shared" si="55"/>
        <v>16.37</v>
      </c>
    </row>
    <row r="516" spans="2:53">
      <c r="B516" t="s">
        <v>26</v>
      </c>
      <c r="C516" t="s">
        <v>4070</v>
      </c>
      <c r="D516" t="s">
        <v>4071</v>
      </c>
      <c r="E516" t="s">
        <v>29</v>
      </c>
      <c r="F516" t="s">
        <v>30</v>
      </c>
      <c r="G516" t="s">
        <v>31</v>
      </c>
      <c r="J516" t="s">
        <v>4070</v>
      </c>
      <c r="K516" t="s">
        <v>1967</v>
      </c>
      <c r="L516" t="s">
        <v>2897</v>
      </c>
      <c r="M516" s="8">
        <v>165.858</v>
      </c>
      <c r="N516">
        <v>0</v>
      </c>
      <c r="O516">
        <v>1222</v>
      </c>
      <c r="P516" s="9">
        <v>0.359788599283725</v>
      </c>
      <c r="Q516" t="s">
        <v>386</v>
      </c>
      <c r="T516" s="15" t="s">
        <v>290</v>
      </c>
      <c r="W516" s="16" t="str">
        <f t="shared" si="49"/>
        <v>EN_WON_36_c01_CHN</v>
      </c>
      <c r="X516" s="12">
        <f t="shared" si="50"/>
        <v>1222</v>
      </c>
      <c r="Y516" s="11">
        <f t="shared" si="51"/>
        <v>1222</v>
      </c>
      <c r="AC516" t="s">
        <v>26</v>
      </c>
      <c r="AD516" t="s">
        <v>4072</v>
      </c>
      <c r="AE516" t="s">
        <v>4073</v>
      </c>
      <c r="AF516" t="s">
        <v>29</v>
      </c>
      <c r="AG516" t="s">
        <v>30</v>
      </c>
      <c r="AH516" t="s">
        <v>31</v>
      </c>
      <c r="AK516" t="s">
        <v>4072</v>
      </c>
      <c r="AL516" t="s">
        <v>1967</v>
      </c>
      <c r="AM516" t="s">
        <v>4028</v>
      </c>
      <c r="AN516" s="8">
        <v>55.53525</v>
      </c>
      <c r="AO516">
        <v>199.694880401046</v>
      </c>
      <c r="AP516">
        <v>1637</v>
      </c>
      <c r="AQ516" s="9">
        <v>0.450387780733858</v>
      </c>
      <c r="AR516" t="s">
        <v>4029</v>
      </c>
      <c r="AT516" s="15" t="s">
        <v>69</v>
      </c>
      <c r="AW516" s="11" t="str">
        <f t="shared" si="52"/>
        <v>EN_WOF_45_c02_ISL</v>
      </c>
      <c r="AX516" s="11">
        <f t="shared" si="53"/>
        <v>1637</v>
      </c>
      <c r="AY516" s="11">
        <f t="shared" si="54"/>
        <v>1637</v>
      </c>
      <c r="AZ516" s="17">
        <v>3</v>
      </c>
      <c r="BA516">
        <f t="shared" si="55"/>
        <v>16.37</v>
      </c>
    </row>
    <row r="517" spans="2:53">
      <c r="B517" t="s">
        <v>26</v>
      </c>
      <c r="C517" t="s">
        <v>4074</v>
      </c>
      <c r="D517" t="s">
        <v>4075</v>
      </c>
      <c r="E517" t="s">
        <v>29</v>
      </c>
      <c r="F517" t="s">
        <v>30</v>
      </c>
      <c r="G517" t="s">
        <v>31</v>
      </c>
      <c r="J517" t="s">
        <v>4074</v>
      </c>
      <c r="K517" t="s">
        <v>1967</v>
      </c>
      <c r="L517" t="s">
        <v>2897</v>
      </c>
      <c r="M517" s="8">
        <v>35.51775</v>
      </c>
      <c r="N517">
        <v>80.7856561622413</v>
      </c>
      <c r="O517">
        <v>1222</v>
      </c>
      <c r="P517" s="9">
        <v>0.360670270498554</v>
      </c>
      <c r="Q517" t="s">
        <v>386</v>
      </c>
      <c r="T517" s="15" t="s">
        <v>290</v>
      </c>
      <c r="W517" s="16" t="str">
        <f t="shared" si="49"/>
        <v>EN_WON_36_c02_CHN</v>
      </c>
      <c r="X517" s="12">
        <f t="shared" si="50"/>
        <v>1222</v>
      </c>
      <c r="Y517" s="11">
        <f t="shared" si="51"/>
        <v>1222</v>
      </c>
      <c r="AC517" t="s">
        <v>26</v>
      </c>
      <c r="AD517" t="s">
        <v>4076</v>
      </c>
      <c r="AE517" t="s">
        <v>4077</v>
      </c>
      <c r="AF517" t="s">
        <v>29</v>
      </c>
      <c r="AG517" t="s">
        <v>30</v>
      </c>
      <c r="AH517" t="s">
        <v>31</v>
      </c>
      <c r="AK517" t="s">
        <v>4076</v>
      </c>
      <c r="AL517" t="s">
        <v>1967</v>
      </c>
      <c r="AM517" t="s">
        <v>4028</v>
      </c>
      <c r="AN517" s="8">
        <v>21.51375</v>
      </c>
      <c r="AO517">
        <v>199.694880401046</v>
      </c>
      <c r="AP517">
        <v>1637</v>
      </c>
      <c r="AQ517" s="9">
        <v>0.461098657835105</v>
      </c>
      <c r="AR517" t="s">
        <v>4029</v>
      </c>
      <c r="AT517" s="15" t="s">
        <v>69</v>
      </c>
      <c r="AW517" s="11" t="str">
        <f t="shared" si="52"/>
        <v>EN_WOF_46_c02_ISL</v>
      </c>
      <c r="AX517" s="11">
        <f t="shared" si="53"/>
        <v>1637</v>
      </c>
      <c r="AY517" s="11">
        <f t="shared" si="54"/>
        <v>1637</v>
      </c>
      <c r="AZ517" s="17">
        <v>3</v>
      </c>
      <c r="BA517">
        <f t="shared" si="55"/>
        <v>16.37</v>
      </c>
    </row>
    <row r="518" spans="2:53">
      <c r="B518" t="s">
        <v>26</v>
      </c>
      <c r="C518" t="s">
        <v>4078</v>
      </c>
      <c r="D518" t="s">
        <v>4079</v>
      </c>
      <c r="E518" t="s">
        <v>29</v>
      </c>
      <c r="F518" t="s">
        <v>30</v>
      </c>
      <c r="G518" t="s">
        <v>31</v>
      </c>
      <c r="J518" t="s">
        <v>4078</v>
      </c>
      <c r="K518" t="s">
        <v>1967</v>
      </c>
      <c r="L518" t="s">
        <v>2897</v>
      </c>
      <c r="M518" s="8">
        <v>2.91225</v>
      </c>
      <c r="N518">
        <v>105.747516212372</v>
      </c>
      <c r="O518">
        <v>1222</v>
      </c>
      <c r="P518" s="9">
        <v>0.359</v>
      </c>
      <c r="Q518" t="s">
        <v>386</v>
      </c>
      <c r="T518" s="15" t="s">
        <v>290</v>
      </c>
      <c r="W518" s="16" t="str">
        <f t="shared" ref="W518:W581" si="56">J518</f>
        <v>EN_WON_36_c03_CHN</v>
      </c>
      <c r="X518" s="12">
        <f t="shared" ref="X518:X581" si="57">O518</f>
        <v>1222</v>
      </c>
      <c r="Y518" s="11">
        <f t="shared" ref="Y518:Y581" si="58">X518</f>
        <v>1222</v>
      </c>
      <c r="AC518" t="s">
        <v>26</v>
      </c>
      <c r="AD518" t="s">
        <v>4080</v>
      </c>
      <c r="AE518" t="s">
        <v>4081</v>
      </c>
      <c r="AF518" t="s">
        <v>29</v>
      </c>
      <c r="AG518" t="s">
        <v>30</v>
      </c>
      <c r="AH518" t="s">
        <v>31</v>
      </c>
      <c r="AK518" t="s">
        <v>4080</v>
      </c>
      <c r="AL518" t="s">
        <v>1967</v>
      </c>
      <c r="AM518" t="s">
        <v>4028</v>
      </c>
      <c r="AN518" s="8">
        <v>45.19275</v>
      </c>
      <c r="AO518">
        <v>199.694880401046</v>
      </c>
      <c r="AP518">
        <v>1637</v>
      </c>
      <c r="AQ518" s="9">
        <v>0.468990092437393</v>
      </c>
      <c r="AR518" t="s">
        <v>4029</v>
      </c>
      <c r="AT518" s="15" t="s">
        <v>69</v>
      </c>
      <c r="AW518" s="11" t="str">
        <f t="shared" ref="AW518:AW581" si="59">AK518</f>
        <v>EN_WOF_47_c02_ISL</v>
      </c>
      <c r="AX518" s="11">
        <f t="shared" ref="AX518:AX581" si="60">AP518</f>
        <v>1637</v>
      </c>
      <c r="AY518" s="11">
        <f t="shared" ref="AY518:AY581" si="61">AX518</f>
        <v>1637</v>
      </c>
      <c r="AZ518" s="17">
        <v>3</v>
      </c>
      <c r="BA518">
        <f t="shared" ref="BA518:BA581" si="62">AX518*0.01</f>
        <v>16.37</v>
      </c>
    </row>
    <row r="519" spans="2:53">
      <c r="B519" t="s">
        <v>26</v>
      </c>
      <c r="C519" t="s">
        <v>4082</v>
      </c>
      <c r="D519" t="s">
        <v>4083</v>
      </c>
      <c r="E519" t="s">
        <v>29</v>
      </c>
      <c r="F519" t="s">
        <v>30</v>
      </c>
      <c r="G519" t="s">
        <v>31</v>
      </c>
      <c r="J519" t="s">
        <v>4082</v>
      </c>
      <c r="K519" t="s">
        <v>1967</v>
      </c>
      <c r="L519" t="s">
        <v>2897</v>
      </c>
      <c r="M519" s="8">
        <v>3.44925</v>
      </c>
      <c r="N519">
        <v>145.23264029167</v>
      </c>
      <c r="O519">
        <v>1222</v>
      </c>
      <c r="P519" s="9">
        <v>0.362</v>
      </c>
      <c r="Q519" t="s">
        <v>386</v>
      </c>
      <c r="T519" s="15" t="s">
        <v>290</v>
      </c>
      <c r="W519" s="16" t="str">
        <f t="shared" si="56"/>
        <v>EN_WON_36_c04_CHN</v>
      </c>
      <c r="X519" s="12">
        <f t="shared" si="57"/>
        <v>1222</v>
      </c>
      <c r="Y519" s="11">
        <f t="shared" si="58"/>
        <v>1222</v>
      </c>
      <c r="AC519" t="s">
        <v>26</v>
      </c>
      <c r="AD519" t="s">
        <v>4084</v>
      </c>
      <c r="AE519" t="s">
        <v>4085</v>
      </c>
      <c r="AF519" t="s">
        <v>29</v>
      </c>
      <c r="AG519" t="s">
        <v>30</v>
      </c>
      <c r="AH519" t="s">
        <v>31</v>
      </c>
      <c r="AK519" t="s">
        <v>4084</v>
      </c>
      <c r="AL519" t="s">
        <v>1967</v>
      </c>
      <c r="AM519" t="s">
        <v>4028</v>
      </c>
      <c r="AN519" s="8">
        <v>55.71075</v>
      </c>
      <c r="AO519">
        <v>199.694880401046</v>
      </c>
      <c r="AP519">
        <v>1637</v>
      </c>
      <c r="AQ519" s="9">
        <v>0.48081162073747</v>
      </c>
      <c r="AR519" t="s">
        <v>4029</v>
      </c>
      <c r="AT519" s="15" t="s">
        <v>69</v>
      </c>
      <c r="AW519" s="11" t="str">
        <f t="shared" si="59"/>
        <v>EN_WOF_48_c02_ISL</v>
      </c>
      <c r="AX519" s="11">
        <f t="shared" si="60"/>
        <v>1637</v>
      </c>
      <c r="AY519" s="11">
        <f t="shared" si="61"/>
        <v>1637</v>
      </c>
      <c r="AZ519" s="17">
        <v>3</v>
      </c>
      <c r="BA519">
        <f t="shared" si="62"/>
        <v>16.37</v>
      </c>
    </row>
    <row r="520" spans="2:53">
      <c r="B520" t="s">
        <v>26</v>
      </c>
      <c r="C520" t="s">
        <v>4086</v>
      </c>
      <c r="D520" t="s">
        <v>4087</v>
      </c>
      <c r="E520" t="s">
        <v>29</v>
      </c>
      <c r="F520" t="s">
        <v>30</v>
      </c>
      <c r="G520" t="s">
        <v>31</v>
      </c>
      <c r="J520" t="s">
        <v>4086</v>
      </c>
      <c r="K520" t="s">
        <v>1967</v>
      </c>
      <c r="L520" t="s">
        <v>2897</v>
      </c>
      <c r="M520" s="8">
        <v>178.52775</v>
      </c>
      <c r="N520">
        <v>0</v>
      </c>
      <c r="O520">
        <v>1222</v>
      </c>
      <c r="P520" s="9">
        <v>0.369298928317867</v>
      </c>
      <c r="Q520" t="s">
        <v>386</v>
      </c>
      <c r="T520" s="15" t="s">
        <v>290</v>
      </c>
      <c r="W520" s="16" t="str">
        <f t="shared" si="56"/>
        <v>EN_WON_37_c01_CHN</v>
      </c>
      <c r="X520" s="12">
        <f t="shared" si="57"/>
        <v>1222</v>
      </c>
      <c r="Y520" s="11">
        <f t="shared" si="58"/>
        <v>1222</v>
      </c>
      <c r="AC520" t="s">
        <v>26</v>
      </c>
      <c r="AD520" t="s">
        <v>4088</v>
      </c>
      <c r="AE520" t="s">
        <v>4089</v>
      </c>
      <c r="AF520" t="s">
        <v>29</v>
      </c>
      <c r="AG520" t="s">
        <v>30</v>
      </c>
      <c r="AH520" t="s">
        <v>31</v>
      </c>
      <c r="AK520" t="s">
        <v>4088</v>
      </c>
      <c r="AL520" t="s">
        <v>1967</v>
      </c>
      <c r="AM520" t="s">
        <v>4028</v>
      </c>
      <c r="AN520" s="8">
        <v>108.4545</v>
      </c>
      <c r="AO520">
        <v>199.694880401046</v>
      </c>
      <c r="AP520">
        <v>1637</v>
      </c>
      <c r="AQ520" s="9">
        <v>0.490906131142553</v>
      </c>
      <c r="AR520" t="s">
        <v>4029</v>
      </c>
      <c r="AT520" s="15" t="s">
        <v>69</v>
      </c>
      <c r="AW520" s="11" t="str">
        <f t="shared" si="59"/>
        <v>EN_WOF_49_c02_ISL</v>
      </c>
      <c r="AX520" s="11">
        <f t="shared" si="60"/>
        <v>1637</v>
      </c>
      <c r="AY520" s="11">
        <f t="shared" si="61"/>
        <v>1637</v>
      </c>
      <c r="AZ520" s="17">
        <v>3</v>
      </c>
      <c r="BA520">
        <f t="shared" si="62"/>
        <v>16.37</v>
      </c>
    </row>
    <row r="521" spans="2:53">
      <c r="B521" t="s">
        <v>26</v>
      </c>
      <c r="C521" t="s">
        <v>4090</v>
      </c>
      <c r="D521" t="s">
        <v>4091</v>
      </c>
      <c r="E521" t="s">
        <v>29</v>
      </c>
      <c r="F521" t="s">
        <v>30</v>
      </c>
      <c r="G521" t="s">
        <v>31</v>
      </c>
      <c r="J521" t="s">
        <v>4090</v>
      </c>
      <c r="K521" t="s">
        <v>1967</v>
      </c>
      <c r="L521" t="s">
        <v>2897</v>
      </c>
      <c r="M521" s="8">
        <v>29.55825</v>
      </c>
      <c r="N521">
        <v>80.7856561622413</v>
      </c>
      <c r="O521">
        <v>1222</v>
      </c>
      <c r="P521" s="9">
        <v>0.370600060896704</v>
      </c>
      <c r="Q521" t="s">
        <v>386</v>
      </c>
      <c r="T521" s="15" t="s">
        <v>290</v>
      </c>
      <c r="W521" s="16" t="str">
        <f t="shared" si="56"/>
        <v>EN_WON_37_c02_CHN</v>
      </c>
      <c r="X521" s="12">
        <f t="shared" si="57"/>
        <v>1222</v>
      </c>
      <c r="Y521" s="11">
        <f t="shared" si="58"/>
        <v>1222</v>
      </c>
      <c r="AC521" t="s">
        <v>26</v>
      </c>
      <c r="AD521" t="s">
        <v>4092</v>
      </c>
      <c r="AE521" t="s">
        <v>4093</v>
      </c>
      <c r="AF521" t="s">
        <v>29</v>
      </c>
      <c r="AG521" t="s">
        <v>30</v>
      </c>
      <c r="AH521" t="s">
        <v>31</v>
      </c>
      <c r="AK521" t="s">
        <v>4092</v>
      </c>
      <c r="AL521" t="s">
        <v>1967</v>
      </c>
      <c r="AM521" t="s">
        <v>4028</v>
      </c>
      <c r="AN521" s="8">
        <v>192.5055</v>
      </c>
      <c r="AO521">
        <v>199.694880401046</v>
      </c>
      <c r="AP521">
        <v>1637</v>
      </c>
      <c r="AQ521" s="9">
        <v>0.501369160881118</v>
      </c>
      <c r="AR521" t="s">
        <v>4029</v>
      </c>
      <c r="AT521" s="15" t="s">
        <v>69</v>
      </c>
      <c r="AW521" s="11" t="str">
        <f t="shared" si="59"/>
        <v>EN_WOF_50_c02_ISL</v>
      </c>
      <c r="AX521" s="11">
        <f t="shared" si="60"/>
        <v>1637</v>
      </c>
      <c r="AY521" s="11">
        <f t="shared" si="61"/>
        <v>1637</v>
      </c>
      <c r="AZ521" s="17">
        <v>3</v>
      </c>
      <c r="BA521">
        <f t="shared" si="62"/>
        <v>16.37</v>
      </c>
    </row>
    <row r="522" spans="2:53">
      <c r="B522" t="s">
        <v>26</v>
      </c>
      <c r="C522" t="s">
        <v>4094</v>
      </c>
      <c r="D522" t="s">
        <v>4095</v>
      </c>
      <c r="E522" t="s">
        <v>29</v>
      </c>
      <c r="F522" t="s">
        <v>30</v>
      </c>
      <c r="G522" t="s">
        <v>31</v>
      </c>
      <c r="J522" t="s">
        <v>4094</v>
      </c>
      <c r="K522" t="s">
        <v>1967</v>
      </c>
      <c r="L522" t="s">
        <v>2897</v>
      </c>
      <c r="M522" s="8">
        <v>10.788</v>
      </c>
      <c r="N522">
        <v>105.747516212372</v>
      </c>
      <c r="O522">
        <v>1222</v>
      </c>
      <c r="P522" s="9">
        <v>0.372015294771969</v>
      </c>
      <c r="Q522" t="s">
        <v>386</v>
      </c>
      <c r="T522" s="15" t="s">
        <v>290</v>
      </c>
      <c r="W522" s="16" t="str">
        <f t="shared" si="56"/>
        <v>EN_WON_37_c03_CHN</v>
      </c>
      <c r="X522" s="12">
        <f t="shared" si="57"/>
        <v>1222</v>
      </c>
      <c r="Y522" s="11">
        <f t="shared" si="58"/>
        <v>1222</v>
      </c>
      <c r="AC522" t="s">
        <v>26</v>
      </c>
      <c r="AD522" t="s">
        <v>4096</v>
      </c>
      <c r="AE522" t="s">
        <v>4097</v>
      </c>
      <c r="AF522" t="s">
        <v>29</v>
      </c>
      <c r="AG522" t="s">
        <v>30</v>
      </c>
      <c r="AH522" t="s">
        <v>31</v>
      </c>
      <c r="AK522" t="s">
        <v>4096</v>
      </c>
      <c r="AL522" t="s">
        <v>1967</v>
      </c>
      <c r="AM522" t="s">
        <v>4028</v>
      </c>
      <c r="AN522" s="8">
        <v>610.293</v>
      </c>
      <c r="AO522">
        <v>199.694880401046</v>
      </c>
      <c r="AP522">
        <v>1637</v>
      </c>
      <c r="AQ522" s="9">
        <v>0.509401820518996</v>
      </c>
      <c r="AR522" t="s">
        <v>4029</v>
      </c>
      <c r="AT522" s="15" t="s">
        <v>69</v>
      </c>
      <c r="AW522" s="11" t="str">
        <f t="shared" si="59"/>
        <v>EN_WOF_51_c02_ISL</v>
      </c>
      <c r="AX522" s="11">
        <f t="shared" si="60"/>
        <v>1637</v>
      </c>
      <c r="AY522" s="11">
        <f t="shared" si="61"/>
        <v>1637</v>
      </c>
      <c r="AZ522" s="17">
        <v>3</v>
      </c>
      <c r="BA522">
        <f t="shared" si="62"/>
        <v>16.37</v>
      </c>
    </row>
    <row r="523" spans="2:53">
      <c r="B523" t="s">
        <v>26</v>
      </c>
      <c r="C523" t="s">
        <v>4098</v>
      </c>
      <c r="D523" t="s">
        <v>4099</v>
      </c>
      <c r="E523" t="s">
        <v>29</v>
      </c>
      <c r="F523" t="s">
        <v>30</v>
      </c>
      <c r="G523" t="s">
        <v>31</v>
      </c>
      <c r="J523" t="s">
        <v>4098</v>
      </c>
      <c r="K523" t="s">
        <v>1967</v>
      </c>
      <c r="L523" t="s">
        <v>2897</v>
      </c>
      <c r="M523" s="8">
        <v>212.53125</v>
      </c>
      <c r="N523">
        <v>0</v>
      </c>
      <c r="O523">
        <v>1222</v>
      </c>
      <c r="P523" s="9">
        <v>0.378443821790913</v>
      </c>
      <c r="Q523" t="s">
        <v>386</v>
      </c>
      <c r="T523" s="15" t="s">
        <v>290</v>
      </c>
      <c r="W523" s="16" t="str">
        <f t="shared" si="56"/>
        <v>EN_WON_38_c01_CHN</v>
      </c>
      <c r="X523" s="12">
        <f t="shared" si="57"/>
        <v>1222</v>
      </c>
      <c r="Y523" s="11">
        <f t="shared" si="58"/>
        <v>1222</v>
      </c>
      <c r="AC523" t="s">
        <v>26</v>
      </c>
      <c r="AD523" t="s">
        <v>4100</v>
      </c>
      <c r="AE523" t="s">
        <v>4101</v>
      </c>
      <c r="AF523" t="s">
        <v>29</v>
      </c>
      <c r="AG523" t="s">
        <v>30</v>
      </c>
      <c r="AH523" t="s">
        <v>31</v>
      </c>
      <c r="AK523" t="s">
        <v>4100</v>
      </c>
      <c r="AL523" t="s">
        <v>1967</v>
      </c>
      <c r="AM523" t="s">
        <v>4028</v>
      </c>
      <c r="AN523" s="8">
        <v>532.65225</v>
      </c>
      <c r="AO523">
        <v>199.694880401046</v>
      </c>
      <c r="AP523">
        <v>1637</v>
      </c>
      <c r="AQ523" s="9">
        <v>0.519731720367275</v>
      </c>
      <c r="AR523" t="s">
        <v>4029</v>
      </c>
      <c r="AT523" s="15" t="s">
        <v>69</v>
      </c>
      <c r="AW523" s="11" t="str">
        <f t="shared" si="59"/>
        <v>EN_WOF_52_c02_ISL</v>
      </c>
      <c r="AX523" s="11">
        <f t="shared" si="60"/>
        <v>1637</v>
      </c>
      <c r="AY523" s="11">
        <f t="shared" si="61"/>
        <v>1637</v>
      </c>
      <c r="AZ523" s="17">
        <v>3</v>
      </c>
      <c r="BA523">
        <f t="shared" si="62"/>
        <v>16.37</v>
      </c>
    </row>
    <row r="524" spans="2:53">
      <c r="B524" t="s">
        <v>26</v>
      </c>
      <c r="C524" t="s">
        <v>4102</v>
      </c>
      <c r="D524" t="s">
        <v>4103</v>
      </c>
      <c r="E524" t="s">
        <v>29</v>
      </c>
      <c r="F524" t="s">
        <v>30</v>
      </c>
      <c r="G524" t="s">
        <v>31</v>
      </c>
      <c r="J524" t="s">
        <v>4102</v>
      </c>
      <c r="K524" t="s">
        <v>1967</v>
      </c>
      <c r="L524" t="s">
        <v>2897</v>
      </c>
      <c r="M524" s="8">
        <v>23.0205</v>
      </c>
      <c r="N524">
        <v>80.7856561622413</v>
      </c>
      <c r="O524">
        <v>1222</v>
      </c>
      <c r="P524" s="9">
        <v>0.377494363719294</v>
      </c>
      <c r="Q524" t="s">
        <v>386</v>
      </c>
      <c r="T524" s="15" t="s">
        <v>290</v>
      </c>
      <c r="W524" s="16" t="str">
        <f t="shared" si="56"/>
        <v>EN_WON_38_c02_CHN</v>
      </c>
      <c r="X524" s="12">
        <f t="shared" si="57"/>
        <v>1222</v>
      </c>
      <c r="Y524" s="11">
        <f t="shared" si="58"/>
        <v>1222</v>
      </c>
      <c r="AC524" t="s">
        <v>26</v>
      </c>
      <c r="AD524" t="s">
        <v>4104</v>
      </c>
      <c r="AE524" t="s">
        <v>4105</v>
      </c>
      <c r="AF524" t="s">
        <v>29</v>
      </c>
      <c r="AG524" t="s">
        <v>30</v>
      </c>
      <c r="AH524" t="s">
        <v>31</v>
      </c>
      <c r="AK524" t="s">
        <v>4104</v>
      </c>
      <c r="AL524" t="s">
        <v>1967</v>
      </c>
      <c r="AM524" t="s">
        <v>4028</v>
      </c>
      <c r="AN524" s="8">
        <v>319.9545</v>
      </c>
      <c r="AO524">
        <v>199.694880401046</v>
      </c>
      <c r="AP524">
        <v>1637</v>
      </c>
      <c r="AQ524" s="9">
        <v>0.528945368794626</v>
      </c>
      <c r="AR524" t="s">
        <v>4029</v>
      </c>
      <c r="AT524" s="15" t="s">
        <v>69</v>
      </c>
      <c r="AW524" s="11" t="str">
        <f t="shared" si="59"/>
        <v>EN_WOF_53_c02_ISL</v>
      </c>
      <c r="AX524" s="11">
        <f t="shared" si="60"/>
        <v>1637</v>
      </c>
      <c r="AY524" s="11">
        <f t="shared" si="61"/>
        <v>1637</v>
      </c>
      <c r="AZ524" s="17">
        <v>3</v>
      </c>
      <c r="BA524">
        <f t="shared" si="62"/>
        <v>16.37</v>
      </c>
    </row>
    <row r="525" spans="2:53">
      <c r="B525" t="s">
        <v>26</v>
      </c>
      <c r="C525" t="s">
        <v>4106</v>
      </c>
      <c r="D525" t="s">
        <v>4107</v>
      </c>
      <c r="E525" t="s">
        <v>29</v>
      </c>
      <c r="F525" t="s">
        <v>30</v>
      </c>
      <c r="G525" t="s">
        <v>31</v>
      </c>
      <c r="J525" t="s">
        <v>4106</v>
      </c>
      <c r="K525" t="s">
        <v>1967</v>
      </c>
      <c r="L525" t="s">
        <v>2897</v>
      </c>
      <c r="M525" s="8">
        <v>5.5515</v>
      </c>
      <c r="N525">
        <v>105.747516212372</v>
      </c>
      <c r="O525">
        <v>1222</v>
      </c>
      <c r="P525" s="9">
        <v>0.381</v>
      </c>
      <c r="Q525" t="s">
        <v>386</v>
      </c>
      <c r="T525" s="15" t="s">
        <v>290</v>
      </c>
      <c r="W525" s="16" t="str">
        <f t="shared" si="56"/>
        <v>EN_WON_38_c03_CHN</v>
      </c>
      <c r="X525" s="12">
        <f t="shared" si="57"/>
        <v>1222</v>
      </c>
      <c r="Y525" s="11">
        <f t="shared" si="58"/>
        <v>1222</v>
      </c>
      <c r="AC525" t="s">
        <v>26</v>
      </c>
      <c r="AD525" t="s">
        <v>4108</v>
      </c>
      <c r="AE525" t="s">
        <v>4109</v>
      </c>
      <c r="AF525" t="s">
        <v>29</v>
      </c>
      <c r="AG525" t="s">
        <v>30</v>
      </c>
      <c r="AH525" t="s">
        <v>31</v>
      </c>
      <c r="AK525" t="s">
        <v>4108</v>
      </c>
      <c r="AL525" t="s">
        <v>1967</v>
      </c>
      <c r="AM525" t="s">
        <v>4028</v>
      </c>
      <c r="AN525" s="8">
        <v>148.302</v>
      </c>
      <c r="AO525">
        <v>199.694880401046</v>
      </c>
      <c r="AP525">
        <v>1637</v>
      </c>
      <c r="AQ525" s="9">
        <v>0.537586817777238</v>
      </c>
      <c r="AR525" t="s">
        <v>4029</v>
      </c>
      <c r="AT525" s="15" t="s">
        <v>69</v>
      </c>
      <c r="AW525" s="11" t="str">
        <f t="shared" si="59"/>
        <v>EN_WOF_54_c02_ISL</v>
      </c>
      <c r="AX525" s="11">
        <f t="shared" si="60"/>
        <v>1637</v>
      </c>
      <c r="AY525" s="11">
        <f t="shared" si="61"/>
        <v>1637</v>
      </c>
      <c r="AZ525" s="17">
        <v>3</v>
      </c>
      <c r="BA525">
        <f t="shared" si="62"/>
        <v>16.37</v>
      </c>
    </row>
    <row r="526" spans="2:53">
      <c r="B526" t="s">
        <v>26</v>
      </c>
      <c r="C526" t="s">
        <v>4110</v>
      </c>
      <c r="D526" t="s">
        <v>4111</v>
      </c>
      <c r="E526" t="s">
        <v>29</v>
      </c>
      <c r="F526" t="s">
        <v>30</v>
      </c>
      <c r="G526" t="s">
        <v>31</v>
      </c>
      <c r="J526" t="s">
        <v>4110</v>
      </c>
      <c r="K526" t="s">
        <v>1967</v>
      </c>
      <c r="L526" t="s">
        <v>2897</v>
      </c>
      <c r="M526" s="8">
        <v>124.35075</v>
      </c>
      <c r="N526">
        <v>0</v>
      </c>
      <c r="O526">
        <v>1222</v>
      </c>
      <c r="P526" s="9">
        <v>0.387950796436692</v>
      </c>
      <c r="Q526" t="s">
        <v>386</v>
      </c>
      <c r="T526" s="15" t="s">
        <v>290</v>
      </c>
      <c r="W526" s="16" t="str">
        <f t="shared" si="56"/>
        <v>EN_WON_39_c01_CHN</v>
      </c>
      <c r="X526" s="12">
        <f t="shared" si="57"/>
        <v>1222</v>
      </c>
      <c r="Y526" s="11">
        <f t="shared" si="58"/>
        <v>1222</v>
      </c>
      <c r="AC526" t="s">
        <v>26</v>
      </c>
      <c r="AD526" t="s">
        <v>4112</v>
      </c>
      <c r="AE526" t="s">
        <v>4113</v>
      </c>
      <c r="AF526" t="s">
        <v>29</v>
      </c>
      <c r="AG526" t="s">
        <v>30</v>
      </c>
      <c r="AH526" t="s">
        <v>31</v>
      </c>
      <c r="AK526" t="s">
        <v>4112</v>
      </c>
      <c r="AL526" t="s">
        <v>1967</v>
      </c>
      <c r="AM526" t="s">
        <v>4028</v>
      </c>
      <c r="AN526" s="8">
        <v>220.15425</v>
      </c>
      <c r="AO526">
        <v>199.694880401046</v>
      </c>
      <c r="AP526">
        <v>1637</v>
      </c>
      <c r="AQ526" s="9">
        <v>0.54998864546108</v>
      </c>
      <c r="AR526" t="s">
        <v>4029</v>
      </c>
      <c r="AT526" s="15" t="s">
        <v>69</v>
      </c>
      <c r="AW526" s="11" t="str">
        <f t="shared" si="59"/>
        <v>EN_WOF_55_c02_ISL</v>
      </c>
      <c r="AX526" s="11">
        <f t="shared" si="60"/>
        <v>1637</v>
      </c>
      <c r="AY526" s="11">
        <f t="shared" si="61"/>
        <v>1637</v>
      </c>
      <c r="AZ526" s="17">
        <v>3</v>
      </c>
      <c r="BA526">
        <f t="shared" si="62"/>
        <v>16.37</v>
      </c>
    </row>
    <row r="527" spans="2:53">
      <c r="B527" t="s">
        <v>26</v>
      </c>
      <c r="C527" t="s">
        <v>4114</v>
      </c>
      <c r="D527" t="s">
        <v>4115</v>
      </c>
      <c r="E527" t="s">
        <v>29</v>
      </c>
      <c r="F527" t="s">
        <v>30</v>
      </c>
      <c r="G527" t="s">
        <v>31</v>
      </c>
      <c r="J527" t="s">
        <v>4114</v>
      </c>
      <c r="K527" t="s">
        <v>1967</v>
      </c>
      <c r="L527" t="s">
        <v>2897</v>
      </c>
      <c r="M527" s="8">
        <v>17.5815</v>
      </c>
      <c r="N527">
        <v>80.7856561622413</v>
      </c>
      <c r="O527">
        <v>1222</v>
      </c>
      <c r="P527" s="9">
        <v>0.389370659500043</v>
      </c>
      <c r="Q527" t="s">
        <v>386</v>
      </c>
      <c r="T527" s="15" t="s">
        <v>290</v>
      </c>
      <c r="W527" s="16" t="str">
        <f t="shared" si="56"/>
        <v>EN_WON_39_c02_CHN</v>
      </c>
      <c r="X527" s="12">
        <f t="shared" si="57"/>
        <v>1222</v>
      </c>
      <c r="Y527" s="11">
        <f t="shared" si="58"/>
        <v>1222</v>
      </c>
      <c r="AC527" t="s">
        <v>26</v>
      </c>
      <c r="AD527" t="s">
        <v>4116</v>
      </c>
      <c r="AE527" t="s">
        <v>4117</v>
      </c>
      <c r="AF527" t="s">
        <v>29</v>
      </c>
      <c r="AG527" t="s">
        <v>30</v>
      </c>
      <c r="AH527" t="s">
        <v>31</v>
      </c>
      <c r="AK527" t="s">
        <v>4116</v>
      </c>
      <c r="AL527" t="s">
        <v>1967</v>
      </c>
      <c r="AM527" t="s">
        <v>4028</v>
      </c>
      <c r="AN527" s="8">
        <v>107.67075</v>
      </c>
      <c r="AO527">
        <v>199.694880401046</v>
      </c>
      <c r="AP527">
        <v>1637</v>
      </c>
      <c r="AQ527" s="9">
        <v>0.559106790841524</v>
      </c>
      <c r="AR527" t="s">
        <v>4029</v>
      </c>
      <c r="AT527" s="15" t="s">
        <v>69</v>
      </c>
      <c r="AW527" s="11" t="str">
        <f t="shared" si="59"/>
        <v>EN_WOF_56_c02_ISL</v>
      </c>
      <c r="AX527" s="11">
        <f t="shared" si="60"/>
        <v>1637</v>
      </c>
      <c r="AY527" s="11">
        <f t="shared" si="61"/>
        <v>1637</v>
      </c>
      <c r="AZ527" s="17">
        <v>3</v>
      </c>
      <c r="BA527">
        <f t="shared" si="62"/>
        <v>16.37</v>
      </c>
    </row>
    <row r="528" spans="2:53">
      <c r="B528" t="s">
        <v>26</v>
      </c>
      <c r="C528" t="s">
        <v>4118</v>
      </c>
      <c r="D528" t="s">
        <v>4119</v>
      </c>
      <c r="E528" t="s">
        <v>29</v>
      </c>
      <c r="F528" t="s">
        <v>30</v>
      </c>
      <c r="G528" t="s">
        <v>31</v>
      </c>
      <c r="J528" t="s">
        <v>4118</v>
      </c>
      <c r="K528" t="s">
        <v>1967</v>
      </c>
      <c r="L528" t="s">
        <v>2897</v>
      </c>
      <c r="M528" s="8">
        <v>118.04625</v>
      </c>
      <c r="N528">
        <v>0</v>
      </c>
      <c r="O528">
        <v>1222</v>
      </c>
      <c r="P528" s="9">
        <v>0.398855402014041</v>
      </c>
      <c r="Q528" t="s">
        <v>386</v>
      </c>
      <c r="T528" s="15" t="s">
        <v>290</v>
      </c>
      <c r="W528" s="16" t="str">
        <f t="shared" si="56"/>
        <v>EN_WON_40_c01_CHN</v>
      </c>
      <c r="X528" s="12">
        <f t="shared" si="57"/>
        <v>1222</v>
      </c>
      <c r="Y528" s="11">
        <f t="shared" si="58"/>
        <v>1222</v>
      </c>
      <c r="AC528" t="s">
        <v>26</v>
      </c>
      <c r="AD528" t="s">
        <v>4120</v>
      </c>
      <c r="AE528" t="s">
        <v>4121</v>
      </c>
      <c r="AF528" t="s">
        <v>29</v>
      </c>
      <c r="AG528" t="s">
        <v>30</v>
      </c>
      <c r="AH528" t="s">
        <v>31</v>
      </c>
      <c r="AK528" t="s">
        <v>4120</v>
      </c>
      <c r="AL528" t="s">
        <v>1967</v>
      </c>
      <c r="AM528" t="s">
        <v>4028</v>
      </c>
      <c r="AN528" s="8">
        <v>156.732</v>
      </c>
      <c r="AO528">
        <v>199.694880401046</v>
      </c>
      <c r="AP528">
        <v>1637</v>
      </c>
      <c r="AQ528" s="9">
        <v>0.570406927111247</v>
      </c>
      <c r="AR528" t="s">
        <v>4029</v>
      </c>
      <c r="AT528" s="15" t="s">
        <v>69</v>
      </c>
      <c r="AW528" s="11" t="str">
        <f t="shared" si="59"/>
        <v>EN_WOF_57_c02_ISL</v>
      </c>
      <c r="AX528" s="11">
        <f t="shared" si="60"/>
        <v>1637</v>
      </c>
      <c r="AY528" s="11">
        <f t="shared" si="61"/>
        <v>1637</v>
      </c>
      <c r="AZ528" s="17">
        <v>3</v>
      </c>
      <c r="BA528">
        <f t="shared" si="62"/>
        <v>16.37</v>
      </c>
    </row>
    <row r="529" spans="2:53">
      <c r="B529" t="s">
        <v>26</v>
      </c>
      <c r="C529" t="s">
        <v>4122</v>
      </c>
      <c r="D529" t="s">
        <v>4123</v>
      </c>
      <c r="E529" t="s">
        <v>29</v>
      </c>
      <c r="F529" t="s">
        <v>30</v>
      </c>
      <c r="G529" t="s">
        <v>31</v>
      </c>
      <c r="J529" t="s">
        <v>4122</v>
      </c>
      <c r="K529" t="s">
        <v>1967</v>
      </c>
      <c r="L529" t="s">
        <v>2897</v>
      </c>
      <c r="M529" s="8">
        <v>5.9505</v>
      </c>
      <c r="N529">
        <v>80.7856561622413</v>
      </c>
      <c r="O529">
        <v>1222</v>
      </c>
      <c r="P529" s="9">
        <v>0.397007688429544</v>
      </c>
      <c r="Q529" t="s">
        <v>386</v>
      </c>
      <c r="T529" s="15" t="s">
        <v>290</v>
      </c>
      <c r="W529" s="16" t="str">
        <f t="shared" si="56"/>
        <v>EN_WON_40_c02_CHN</v>
      </c>
      <c r="X529" s="12">
        <f t="shared" si="57"/>
        <v>1222</v>
      </c>
      <c r="Y529" s="11">
        <f t="shared" si="58"/>
        <v>1222</v>
      </c>
      <c r="AC529" t="s">
        <v>26</v>
      </c>
      <c r="AD529" t="s">
        <v>4124</v>
      </c>
      <c r="AE529" t="s">
        <v>4125</v>
      </c>
      <c r="AF529" t="s">
        <v>29</v>
      </c>
      <c r="AG529" t="s">
        <v>30</v>
      </c>
      <c r="AH529" t="s">
        <v>31</v>
      </c>
      <c r="AK529" t="s">
        <v>4124</v>
      </c>
      <c r="AL529" t="s">
        <v>1967</v>
      </c>
      <c r="AM529" t="s">
        <v>4028</v>
      </c>
      <c r="AN529" s="8">
        <v>1.218</v>
      </c>
      <c r="AO529">
        <v>199.694880401046</v>
      </c>
      <c r="AP529">
        <v>1637</v>
      </c>
      <c r="AQ529" s="9">
        <v>0.576</v>
      </c>
      <c r="AR529" t="s">
        <v>4029</v>
      </c>
      <c r="AT529" s="15" t="s">
        <v>69</v>
      </c>
      <c r="AW529" s="11" t="str">
        <f t="shared" si="59"/>
        <v>EN_WOF_58_c02_ISL</v>
      </c>
      <c r="AX529" s="11">
        <f t="shared" si="60"/>
        <v>1637</v>
      </c>
      <c r="AY529" s="11">
        <f t="shared" si="61"/>
        <v>1637</v>
      </c>
      <c r="AZ529" s="17">
        <v>3</v>
      </c>
      <c r="BA529">
        <f t="shared" si="62"/>
        <v>16.37</v>
      </c>
    </row>
    <row r="530" spans="2:53">
      <c r="B530" t="s">
        <v>26</v>
      </c>
      <c r="C530" t="s">
        <v>4126</v>
      </c>
      <c r="D530" t="s">
        <v>4127</v>
      </c>
      <c r="E530" t="s">
        <v>29</v>
      </c>
      <c r="F530" t="s">
        <v>30</v>
      </c>
      <c r="G530" t="s">
        <v>31</v>
      </c>
      <c r="J530" t="s">
        <v>4126</v>
      </c>
      <c r="K530" t="s">
        <v>1967</v>
      </c>
      <c r="L530" t="s">
        <v>2897</v>
      </c>
      <c r="M530" s="8">
        <v>47.259</v>
      </c>
      <c r="N530">
        <v>0</v>
      </c>
      <c r="O530">
        <v>1222</v>
      </c>
      <c r="P530" s="9">
        <v>0.407495413572018</v>
      </c>
      <c r="Q530" t="s">
        <v>386</v>
      </c>
      <c r="T530" s="15" t="s">
        <v>290</v>
      </c>
      <c r="W530" s="16" t="str">
        <f t="shared" si="56"/>
        <v>EN_WON_41_c01_CHN</v>
      </c>
      <c r="X530" s="12">
        <f t="shared" si="57"/>
        <v>1222</v>
      </c>
      <c r="Y530" s="11">
        <f t="shared" si="58"/>
        <v>1222</v>
      </c>
      <c r="AC530" t="s">
        <v>26</v>
      </c>
      <c r="AD530" t="s">
        <v>4128</v>
      </c>
      <c r="AE530" t="s">
        <v>4129</v>
      </c>
      <c r="AF530" t="s">
        <v>29</v>
      </c>
      <c r="AG530" t="s">
        <v>30</v>
      </c>
      <c r="AH530" t="s">
        <v>31</v>
      </c>
      <c r="AK530" t="s">
        <v>4128</v>
      </c>
      <c r="AL530" t="s">
        <v>1967</v>
      </c>
      <c r="AM530" t="s">
        <v>4130</v>
      </c>
      <c r="AN530" s="8">
        <v>10.19925</v>
      </c>
      <c r="AO530">
        <v>199.694880401046</v>
      </c>
      <c r="AP530">
        <v>1670</v>
      </c>
      <c r="AQ530" s="9">
        <v>0.301446135745275</v>
      </c>
      <c r="AR530" t="s">
        <v>1010</v>
      </c>
      <c r="AT530" s="15" t="s">
        <v>69</v>
      </c>
      <c r="AW530" s="11" t="str">
        <f t="shared" si="59"/>
        <v>EN_WOF_30_c02_ITA</v>
      </c>
      <c r="AX530" s="11">
        <f t="shared" si="60"/>
        <v>1670</v>
      </c>
      <c r="AY530" s="11">
        <f t="shared" si="61"/>
        <v>1670</v>
      </c>
      <c r="AZ530" s="17">
        <v>3</v>
      </c>
      <c r="BA530">
        <f t="shared" si="62"/>
        <v>16.7</v>
      </c>
    </row>
    <row r="531" spans="2:53">
      <c r="B531" t="s">
        <v>26</v>
      </c>
      <c r="C531" t="s">
        <v>4131</v>
      </c>
      <c r="D531" t="s">
        <v>4132</v>
      </c>
      <c r="E531" t="s">
        <v>29</v>
      </c>
      <c r="F531" t="s">
        <v>30</v>
      </c>
      <c r="G531" t="s">
        <v>31</v>
      </c>
      <c r="J531" t="s">
        <v>4131</v>
      </c>
      <c r="K531" t="s">
        <v>1967</v>
      </c>
      <c r="L531" t="s">
        <v>2897</v>
      </c>
      <c r="M531" s="8">
        <v>53.073</v>
      </c>
      <c r="N531">
        <v>0</v>
      </c>
      <c r="O531">
        <v>1222</v>
      </c>
      <c r="P531" s="9">
        <v>0.418898083771409</v>
      </c>
      <c r="Q531" t="s">
        <v>386</v>
      </c>
      <c r="T531" s="15" t="s">
        <v>290</v>
      </c>
      <c r="W531" s="16" t="str">
        <f t="shared" si="56"/>
        <v>EN_WON_42_c01_CHN</v>
      </c>
      <c r="X531" s="12">
        <f t="shared" si="57"/>
        <v>1222</v>
      </c>
      <c r="Y531" s="11">
        <f t="shared" si="58"/>
        <v>1222</v>
      </c>
      <c r="AC531" t="s">
        <v>26</v>
      </c>
      <c r="AD531" t="s">
        <v>4133</v>
      </c>
      <c r="AE531" t="s">
        <v>4134</v>
      </c>
      <c r="AF531" t="s">
        <v>29</v>
      </c>
      <c r="AG531" t="s">
        <v>30</v>
      </c>
      <c r="AH531" t="s">
        <v>31</v>
      </c>
      <c r="AK531" t="s">
        <v>4133</v>
      </c>
      <c r="AL531" t="s">
        <v>1967</v>
      </c>
      <c r="AM531" t="s">
        <v>4130</v>
      </c>
      <c r="AN531" s="8">
        <v>28.78725</v>
      </c>
      <c r="AO531">
        <v>199.694880401046</v>
      </c>
      <c r="AP531">
        <v>1670</v>
      </c>
      <c r="AQ531" s="9">
        <v>0.309353594039028</v>
      </c>
      <c r="AR531" t="s">
        <v>1010</v>
      </c>
      <c r="AT531" s="15" t="s">
        <v>69</v>
      </c>
      <c r="AW531" s="11" t="str">
        <f t="shared" si="59"/>
        <v>EN_WOF_31_c02_ITA</v>
      </c>
      <c r="AX531" s="11">
        <f t="shared" si="60"/>
        <v>1670</v>
      </c>
      <c r="AY531" s="11">
        <f t="shared" si="61"/>
        <v>1670</v>
      </c>
      <c r="AZ531" s="17">
        <v>3</v>
      </c>
      <c r="BA531">
        <f t="shared" si="62"/>
        <v>16.7</v>
      </c>
    </row>
    <row r="532" spans="2:53">
      <c r="B532" t="s">
        <v>26</v>
      </c>
      <c r="C532" t="s">
        <v>4135</v>
      </c>
      <c r="D532" t="s">
        <v>4136</v>
      </c>
      <c r="E532" t="s">
        <v>29</v>
      </c>
      <c r="F532" t="s">
        <v>30</v>
      </c>
      <c r="G532" t="s">
        <v>31</v>
      </c>
      <c r="J532" t="s">
        <v>4135</v>
      </c>
      <c r="K532" t="s">
        <v>1967</v>
      </c>
      <c r="L532" t="s">
        <v>2897</v>
      </c>
      <c r="M532" s="8">
        <v>41.169</v>
      </c>
      <c r="N532">
        <v>0</v>
      </c>
      <c r="O532">
        <v>1222</v>
      </c>
      <c r="P532" s="9">
        <v>0.430574783210668</v>
      </c>
      <c r="Q532" t="s">
        <v>386</v>
      </c>
      <c r="T532" s="15" t="s">
        <v>290</v>
      </c>
      <c r="W532" s="16" t="str">
        <f t="shared" si="56"/>
        <v>EN_WON_43_c01_CHN</v>
      </c>
      <c r="X532" s="12">
        <f t="shared" si="57"/>
        <v>1222</v>
      </c>
      <c r="Y532" s="11">
        <f t="shared" si="58"/>
        <v>1222</v>
      </c>
      <c r="AC532" t="s">
        <v>26</v>
      </c>
      <c r="AD532" t="s">
        <v>4137</v>
      </c>
      <c r="AE532" t="s">
        <v>4138</v>
      </c>
      <c r="AF532" t="s">
        <v>29</v>
      </c>
      <c r="AG532" t="s">
        <v>30</v>
      </c>
      <c r="AH532" t="s">
        <v>31</v>
      </c>
      <c r="AK532" t="s">
        <v>4137</v>
      </c>
      <c r="AL532" t="s">
        <v>1967</v>
      </c>
      <c r="AM532" t="s">
        <v>4130</v>
      </c>
      <c r="AN532" s="8">
        <v>46.53</v>
      </c>
      <c r="AO532">
        <v>199.694880401046</v>
      </c>
      <c r="AP532">
        <v>1670</v>
      </c>
      <c r="AQ532" s="9">
        <v>0.321231866537718</v>
      </c>
      <c r="AR532" t="s">
        <v>1010</v>
      </c>
      <c r="AT532" s="15" t="s">
        <v>69</v>
      </c>
      <c r="AW532" s="11" t="str">
        <f t="shared" si="59"/>
        <v>EN_WOF_32_c02_ITA</v>
      </c>
      <c r="AX532" s="11">
        <f t="shared" si="60"/>
        <v>1670</v>
      </c>
      <c r="AY532" s="11">
        <f t="shared" si="61"/>
        <v>1670</v>
      </c>
      <c r="AZ532" s="17">
        <v>3</v>
      </c>
      <c r="BA532">
        <f t="shared" si="62"/>
        <v>16.7</v>
      </c>
    </row>
    <row r="533" spans="2:53">
      <c r="B533" t="s">
        <v>26</v>
      </c>
      <c r="C533" t="s">
        <v>4139</v>
      </c>
      <c r="D533" t="s">
        <v>4140</v>
      </c>
      <c r="E533" t="s">
        <v>29</v>
      </c>
      <c r="F533" t="s">
        <v>30</v>
      </c>
      <c r="G533" t="s">
        <v>31</v>
      </c>
      <c r="J533" t="s">
        <v>4139</v>
      </c>
      <c r="K533" t="s">
        <v>1967</v>
      </c>
      <c r="L533" t="s">
        <v>2897</v>
      </c>
      <c r="M533" s="8">
        <v>17.526</v>
      </c>
      <c r="N533">
        <v>0</v>
      </c>
      <c r="O533">
        <v>1222</v>
      </c>
      <c r="P533" s="9">
        <v>0.438356299212598</v>
      </c>
      <c r="Q533" t="s">
        <v>386</v>
      </c>
      <c r="T533" s="15" t="s">
        <v>290</v>
      </c>
      <c r="W533" s="16" t="str">
        <f t="shared" si="56"/>
        <v>EN_WON_44_c01_CHN</v>
      </c>
      <c r="X533" s="12">
        <f t="shared" si="57"/>
        <v>1222</v>
      </c>
      <c r="Y533" s="11">
        <f t="shared" si="58"/>
        <v>1222</v>
      </c>
      <c r="AC533" t="s">
        <v>26</v>
      </c>
      <c r="AD533" t="s">
        <v>4141</v>
      </c>
      <c r="AE533" t="s">
        <v>4142</v>
      </c>
      <c r="AF533" t="s">
        <v>29</v>
      </c>
      <c r="AG533" t="s">
        <v>30</v>
      </c>
      <c r="AH533" t="s">
        <v>31</v>
      </c>
      <c r="AK533" t="s">
        <v>4141</v>
      </c>
      <c r="AL533" t="s">
        <v>1967</v>
      </c>
      <c r="AM533" t="s">
        <v>4130</v>
      </c>
      <c r="AN533" s="8">
        <v>42.75225</v>
      </c>
      <c r="AO533">
        <v>199.694880401046</v>
      </c>
      <c r="AP533">
        <v>1670</v>
      </c>
      <c r="AQ533" s="9">
        <v>0.32912120414715</v>
      </c>
      <c r="AR533" t="s">
        <v>1010</v>
      </c>
      <c r="AT533" s="15" t="s">
        <v>69</v>
      </c>
      <c r="AW533" s="11" t="str">
        <f t="shared" si="59"/>
        <v>EN_WOF_33_c02_ITA</v>
      </c>
      <c r="AX533" s="11">
        <f t="shared" si="60"/>
        <v>1670</v>
      </c>
      <c r="AY533" s="11">
        <f t="shared" si="61"/>
        <v>1670</v>
      </c>
      <c r="AZ533" s="17">
        <v>3</v>
      </c>
      <c r="BA533">
        <f t="shared" si="62"/>
        <v>16.7</v>
      </c>
    </row>
    <row r="534" spans="2:53">
      <c r="B534" t="s">
        <v>26</v>
      </c>
      <c r="C534" t="s">
        <v>4143</v>
      </c>
      <c r="D534" t="s">
        <v>4144</v>
      </c>
      <c r="E534" t="s">
        <v>29</v>
      </c>
      <c r="F534" t="s">
        <v>30</v>
      </c>
      <c r="G534" t="s">
        <v>31</v>
      </c>
      <c r="J534" t="s">
        <v>4143</v>
      </c>
      <c r="K534" t="s">
        <v>1967</v>
      </c>
      <c r="L534" t="s">
        <v>2897</v>
      </c>
      <c r="M534" s="8">
        <v>6.2205</v>
      </c>
      <c r="N534">
        <v>0</v>
      </c>
      <c r="O534">
        <v>1222</v>
      </c>
      <c r="P534" s="9">
        <v>0.448955389438148</v>
      </c>
      <c r="Q534" t="s">
        <v>386</v>
      </c>
      <c r="T534" s="15" t="s">
        <v>290</v>
      </c>
      <c r="W534" s="16" t="str">
        <f t="shared" si="56"/>
        <v>EN_WON_45_c01_CHN</v>
      </c>
      <c r="X534" s="12">
        <f t="shared" si="57"/>
        <v>1222</v>
      </c>
      <c r="Y534" s="11">
        <f t="shared" si="58"/>
        <v>1222</v>
      </c>
      <c r="AC534" t="s">
        <v>26</v>
      </c>
      <c r="AD534" t="s">
        <v>4145</v>
      </c>
      <c r="AE534" t="s">
        <v>4146</v>
      </c>
      <c r="AF534" t="s">
        <v>29</v>
      </c>
      <c r="AG534" t="s">
        <v>30</v>
      </c>
      <c r="AH534" t="s">
        <v>31</v>
      </c>
      <c r="AK534" t="s">
        <v>4145</v>
      </c>
      <c r="AL534" t="s">
        <v>1967</v>
      </c>
      <c r="AM534" t="s">
        <v>4130</v>
      </c>
      <c r="AN534" s="8">
        <v>38.50425</v>
      </c>
      <c r="AO534">
        <v>199.694880401046</v>
      </c>
      <c r="AP534">
        <v>1670</v>
      </c>
      <c r="AQ534" s="9">
        <v>0.339346130621944</v>
      </c>
      <c r="AR534" t="s">
        <v>1010</v>
      </c>
      <c r="AT534" s="15" t="s">
        <v>69</v>
      </c>
      <c r="AW534" s="11" t="str">
        <f t="shared" si="59"/>
        <v>EN_WOF_34_c02_ITA</v>
      </c>
      <c r="AX534" s="11">
        <f t="shared" si="60"/>
        <v>1670</v>
      </c>
      <c r="AY534" s="11">
        <f t="shared" si="61"/>
        <v>1670</v>
      </c>
      <c r="AZ534" s="17">
        <v>3</v>
      </c>
      <c r="BA534">
        <f t="shared" si="62"/>
        <v>16.7</v>
      </c>
    </row>
    <row r="535" spans="2:53">
      <c r="B535" t="s">
        <v>26</v>
      </c>
      <c r="C535" t="s">
        <v>4147</v>
      </c>
      <c r="D535" t="s">
        <v>4148</v>
      </c>
      <c r="E535" t="s">
        <v>29</v>
      </c>
      <c r="F535" t="s">
        <v>30</v>
      </c>
      <c r="G535" t="s">
        <v>31</v>
      </c>
      <c r="J535" t="s">
        <v>4147</v>
      </c>
      <c r="K535" t="s">
        <v>1967</v>
      </c>
      <c r="L535" t="s">
        <v>2897</v>
      </c>
      <c r="M535" s="8">
        <v>0.0135</v>
      </c>
      <c r="N535">
        <v>0</v>
      </c>
      <c r="O535">
        <v>1222</v>
      </c>
      <c r="P535" s="9">
        <v>0.458</v>
      </c>
      <c r="Q535" t="s">
        <v>386</v>
      </c>
      <c r="T535" s="15" t="s">
        <v>290</v>
      </c>
      <c r="W535" s="16" t="str">
        <f t="shared" si="56"/>
        <v>EN_WON_46_c01_CHN</v>
      </c>
      <c r="X535" s="12">
        <f t="shared" si="57"/>
        <v>1222</v>
      </c>
      <c r="Y535" s="11">
        <f t="shared" si="58"/>
        <v>1222</v>
      </c>
      <c r="AC535" t="s">
        <v>26</v>
      </c>
      <c r="AD535" t="s">
        <v>4149</v>
      </c>
      <c r="AE535" t="s">
        <v>4150</v>
      </c>
      <c r="AF535" t="s">
        <v>29</v>
      </c>
      <c r="AG535" t="s">
        <v>30</v>
      </c>
      <c r="AH535" t="s">
        <v>31</v>
      </c>
      <c r="AK535" t="s">
        <v>4149</v>
      </c>
      <c r="AL535" t="s">
        <v>1967</v>
      </c>
      <c r="AM535" t="s">
        <v>4130</v>
      </c>
      <c r="AN535" s="8">
        <v>39.44025</v>
      </c>
      <c r="AO535">
        <v>199.694880401046</v>
      </c>
      <c r="AP535">
        <v>1670</v>
      </c>
      <c r="AQ535" s="9">
        <v>0.350203244147793</v>
      </c>
      <c r="AR535" t="s">
        <v>1010</v>
      </c>
      <c r="AT535" s="15" t="s">
        <v>69</v>
      </c>
      <c r="AW535" s="11" t="str">
        <f t="shared" si="59"/>
        <v>EN_WOF_35_c02_ITA</v>
      </c>
      <c r="AX535" s="11">
        <f t="shared" si="60"/>
        <v>1670</v>
      </c>
      <c r="AY535" s="11">
        <f t="shared" si="61"/>
        <v>1670</v>
      </c>
      <c r="AZ535" s="17">
        <v>3</v>
      </c>
      <c r="BA535">
        <f t="shared" si="62"/>
        <v>16.7</v>
      </c>
    </row>
    <row r="536" spans="2:53">
      <c r="B536" t="s">
        <v>26</v>
      </c>
      <c r="C536" t="s">
        <v>4151</v>
      </c>
      <c r="D536" t="s">
        <v>4152</v>
      </c>
      <c r="E536" t="s">
        <v>29</v>
      </c>
      <c r="F536" t="s">
        <v>30</v>
      </c>
      <c r="G536" t="s">
        <v>31</v>
      </c>
      <c r="J536" t="s">
        <v>4151</v>
      </c>
      <c r="K536" t="s">
        <v>1967</v>
      </c>
      <c r="L536" t="s">
        <v>2897</v>
      </c>
      <c r="M536" s="8">
        <v>0.12675</v>
      </c>
      <c r="N536">
        <v>0</v>
      </c>
      <c r="O536">
        <v>1222</v>
      </c>
      <c r="P536" s="9">
        <v>0.48</v>
      </c>
      <c r="Q536" t="s">
        <v>386</v>
      </c>
      <c r="T536" s="15" t="s">
        <v>290</v>
      </c>
      <c r="W536" s="16" t="str">
        <f t="shared" si="56"/>
        <v>EN_WON_48_c01_CHN</v>
      </c>
      <c r="X536" s="12">
        <f t="shared" si="57"/>
        <v>1222</v>
      </c>
      <c r="Y536" s="11">
        <f t="shared" si="58"/>
        <v>1222</v>
      </c>
      <c r="AC536" t="s">
        <v>26</v>
      </c>
      <c r="AD536" t="s">
        <v>4153</v>
      </c>
      <c r="AE536" t="s">
        <v>4154</v>
      </c>
      <c r="AF536" t="s">
        <v>29</v>
      </c>
      <c r="AG536" t="s">
        <v>30</v>
      </c>
      <c r="AH536" t="s">
        <v>31</v>
      </c>
      <c r="AK536" t="s">
        <v>4153</v>
      </c>
      <c r="AL536" t="s">
        <v>1967</v>
      </c>
      <c r="AM536" t="s">
        <v>4130</v>
      </c>
      <c r="AN536" s="8">
        <v>22.0875</v>
      </c>
      <c r="AO536">
        <v>199.694880401046</v>
      </c>
      <c r="AP536">
        <v>1670</v>
      </c>
      <c r="AQ536" s="9">
        <v>0.35674427843803</v>
      </c>
      <c r="AR536" t="s">
        <v>1010</v>
      </c>
      <c r="AT536" s="15" t="s">
        <v>69</v>
      </c>
      <c r="AW536" s="11" t="str">
        <f t="shared" si="59"/>
        <v>EN_WOF_36_c02_ITA</v>
      </c>
      <c r="AX536" s="11">
        <f t="shared" si="60"/>
        <v>1670</v>
      </c>
      <c r="AY536" s="11">
        <f t="shared" si="61"/>
        <v>1670</v>
      </c>
      <c r="AZ536" s="17">
        <v>3</v>
      </c>
      <c r="BA536">
        <f t="shared" si="62"/>
        <v>16.7</v>
      </c>
    </row>
    <row r="537" spans="2:53">
      <c r="B537" t="s">
        <v>26</v>
      </c>
      <c r="C537" t="s">
        <v>4155</v>
      </c>
      <c r="D537" t="s">
        <v>4156</v>
      </c>
      <c r="E537" t="s">
        <v>29</v>
      </c>
      <c r="F537" t="s">
        <v>30</v>
      </c>
      <c r="G537" t="s">
        <v>31</v>
      </c>
      <c r="J537" t="s">
        <v>4155</v>
      </c>
      <c r="K537" t="s">
        <v>1967</v>
      </c>
      <c r="L537" t="s">
        <v>2897</v>
      </c>
      <c r="M537" s="8">
        <v>0.22875</v>
      </c>
      <c r="N537">
        <v>0</v>
      </c>
      <c r="O537">
        <v>1222</v>
      </c>
      <c r="P537" s="9">
        <v>0.493</v>
      </c>
      <c r="Q537" t="s">
        <v>386</v>
      </c>
      <c r="T537" s="15" t="s">
        <v>290</v>
      </c>
      <c r="W537" s="16" t="str">
        <f t="shared" si="56"/>
        <v>EN_WON_49_c01_CHN</v>
      </c>
      <c r="X537" s="12">
        <f t="shared" si="57"/>
        <v>1222</v>
      </c>
      <c r="Y537" s="11">
        <f t="shared" si="58"/>
        <v>1222</v>
      </c>
      <c r="AC537" t="s">
        <v>26</v>
      </c>
      <c r="AD537" t="s">
        <v>4157</v>
      </c>
      <c r="AE537" t="s">
        <v>4158</v>
      </c>
      <c r="AF537" t="s">
        <v>29</v>
      </c>
      <c r="AG537" t="s">
        <v>30</v>
      </c>
      <c r="AH537" t="s">
        <v>31</v>
      </c>
      <c r="AK537" t="s">
        <v>4157</v>
      </c>
      <c r="AL537" t="s">
        <v>1967</v>
      </c>
      <c r="AM537" t="s">
        <v>4130</v>
      </c>
      <c r="AN537" s="8">
        <v>13.48125</v>
      </c>
      <c r="AO537">
        <v>199.694880401046</v>
      </c>
      <c r="AP537">
        <v>1670</v>
      </c>
      <c r="AQ537" s="9">
        <v>0.367562447844228</v>
      </c>
      <c r="AR537" t="s">
        <v>1010</v>
      </c>
      <c r="AT537" s="15" t="s">
        <v>69</v>
      </c>
      <c r="AW537" s="11" t="str">
        <f t="shared" si="59"/>
        <v>EN_WOF_37_c02_ITA</v>
      </c>
      <c r="AX537" s="11">
        <f t="shared" si="60"/>
        <v>1670</v>
      </c>
      <c r="AY537" s="11">
        <f t="shared" si="61"/>
        <v>1670</v>
      </c>
      <c r="AZ537" s="17">
        <v>3</v>
      </c>
      <c r="BA537">
        <f t="shared" si="62"/>
        <v>16.7</v>
      </c>
    </row>
    <row r="538" spans="2:53">
      <c r="B538" t="s">
        <v>26</v>
      </c>
      <c r="C538" t="s">
        <v>4159</v>
      </c>
      <c r="D538" t="s">
        <v>4160</v>
      </c>
      <c r="E538" t="s">
        <v>29</v>
      </c>
      <c r="F538" t="s">
        <v>30</v>
      </c>
      <c r="G538" t="s">
        <v>31</v>
      </c>
      <c r="J538" t="s">
        <v>4159</v>
      </c>
      <c r="K538" t="s">
        <v>1967</v>
      </c>
      <c r="L538" t="s">
        <v>2897</v>
      </c>
      <c r="M538" s="8">
        <v>1.065</v>
      </c>
      <c r="N538">
        <v>0</v>
      </c>
      <c r="O538">
        <v>1222</v>
      </c>
      <c r="P538" s="9">
        <v>0.509</v>
      </c>
      <c r="Q538" t="s">
        <v>386</v>
      </c>
      <c r="T538" s="15" t="s">
        <v>290</v>
      </c>
      <c r="W538" s="16" t="str">
        <f t="shared" si="56"/>
        <v>EN_WON_51_c01_CHN</v>
      </c>
      <c r="X538" s="12">
        <f t="shared" si="57"/>
        <v>1222</v>
      </c>
      <c r="Y538" s="11">
        <f t="shared" si="58"/>
        <v>1222</v>
      </c>
      <c r="AC538" t="s">
        <v>26</v>
      </c>
      <c r="AD538" t="s">
        <v>4161</v>
      </c>
      <c r="AE538" t="s">
        <v>4162</v>
      </c>
      <c r="AF538" t="s">
        <v>29</v>
      </c>
      <c r="AG538" t="s">
        <v>30</v>
      </c>
      <c r="AH538" t="s">
        <v>31</v>
      </c>
      <c r="AK538" t="s">
        <v>4161</v>
      </c>
      <c r="AL538" t="s">
        <v>1967</v>
      </c>
      <c r="AM538" t="s">
        <v>4130</v>
      </c>
      <c r="AN538" s="8">
        <v>6.28725</v>
      </c>
      <c r="AO538">
        <v>199.694880401046</v>
      </c>
      <c r="AP538">
        <v>1670</v>
      </c>
      <c r="AQ538" s="9">
        <v>0.385</v>
      </c>
      <c r="AR538" t="s">
        <v>1010</v>
      </c>
      <c r="AT538" s="15" t="s">
        <v>69</v>
      </c>
      <c r="AW538" s="11" t="str">
        <f t="shared" si="59"/>
        <v>EN_WOF_39_c02_ITA</v>
      </c>
      <c r="AX538" s="11">
        <f t="shared" si="60"/>
        <v>1670</v>
      </c>
      <c r="AY538" s="11">
        <f t="shared" si="61"/>
        <v>1670</v>
      </c>
      <c r="AZ538" s="17">
        <v>3</v>
      </c>
      <c r="BA538">
        <f t="shared" si="62"/>
        <v>16.7</v>
      </c>
    </row>
    <row r="539" spans="2:53">
      <c r="B539" t="s">
        <v>26</v>
      </c>
      <c r="C539" t="s">
        <v>4163</v>
      </c>
      <c r="D539" t="s">
        <v>4164</v>
      </c>
      <c r="E539" t="s">
        <v>29</v>
      </c>
      <c r="F539" t="s">
        <v>30</v>
      </c>
      <c r="G539" t="s">
        <v>31</v>
      </c>
      <c r="J539" t="s">
        <v>4163</v>
      </c>
      <c r="K539" t="s">
        <v>1967</v>
      </c>
      <c r="L539" t="s">
        <v>2897</v>
      </c>
      <c r="M539" s="8">
        <v>0.0315</v>
      </c>
      <c r="N539">
        <v>0</v>
      </c>
      <c r="O539">
        <v>1222</v>
      </c>
      <c r="P539" s="9">
        <v>0.567833333333333</v>
      </c>
      <c r="Q539" t="s">
        <v>386</v>
      </c>
      <c r="T539" s="15" t="s">
        <v>290</v>
      </c>
      <c r="W539" s="16" t="str">
        <f t="shared" si="56"/>
        <v>EN_WON_57_c01_CHN</v>
      </c>
      <c r="X539" s="12">
        <f t="shared" si="57"/>
        <v>1222</v>
      </c>
      <c r="Y539" s="11">
        <f t="shared" si="58"/>
        <v>1222</v>
      </c>
      <c r="AC539" t="s">
        <v>26</v>
      </c>
      <c r="AD539" t="s">
        <v>4165</v>
      </c>
      <c r="AE539" t="s">
        <v>4166</v>
      </c>
      <c r="AF539" t="s">
        <v>29</v>
      </c>
      <c r="AG539" t="s">
        <v>30</v>
      </c>
      <c r="AH539" t="s">
        <v>31</v>
      </c>
      <c r="AK539" t="s">
        <v>4165</v>
      </c>
      <c r="AL539" t="s">
        <v>1967</v>
      </c>
      <c r="AM539" t="s">
        <v>4167</v>
      </c>
      <c r="AN539" s="8">
        <v>1.974</v>
      </c>
      <c r="AO539">
        <v>199.694880401046</v>
      </c>
      <c r="AP539">
        <v>1910</v>
      </c>
      <c r="AQ539" s="9">
        <v>0.302</v>
      </c>
      <c r="AR539" t="s">
        <v>1030</v>
      </c>
      <c r="AT539" s="15" t="s">
        <v>89</v>
      </c>
      <c r="AW539" s="11" t="str">
        <f t="shared" si="59"/>
        <v>EN_WOF_30_c02_JAM</v>
      </c>
      <c r="AX539" s="11">
        <f t="shared" si="60"/>
        <v>1910</v>
      </c>
      <c r="AY539" s="11">
        <f t="shared" si="61"/>
        <v>1910</v>
      </c>
      <c r="AZ539" s="17">
        <v>3</v>
      </c>
      <c r="BA539">
        <f t="shared" si="62"/>
        <v>19.1</v>
      </c>
    </row>
    <row r="540" spans="2:53">
      <c r="B540" t="s">
        <v>26</v>
      </c>
      <c r="C540" t="s">
        <v>4168</v>
      </c>
      <c r="D540" t="s">
        <v>4169</v>
      </c>
      <c r="E540" t="s">
        <v>29</v>
      </c>
      <c r="F540" t="s">
        <v>30</v>
      </c>
      <c r="G540" t="s">
        <v>31</v>
      </c>
      <c r="J540" t="s">
        <v>4168</v>
      </c>
      <c r="K540" t="s">
        <v>1967</v>
      </c>
      <c r="L540" t="s">
        <v>4170</v>
      </c>
      <c r="M540" s="8">
        <v>3.62325</v>
      </c>
      <c r="N540">
        <v>105.747516212372</v>
      </c>
      <c r="O540">
        <v>1952</v>
      </c>
      <c r="P540" s="9">
        <v>0.151</v>
      </c>
      <c r="Q540" t="s">
        <v>462</v>
      </c>
      <c r="T540" s="15" t="s">
        <v>54</v>
      </c>
      <c r="W540" s="16" t="str">
        <f t="shared" si="56"/>
        <v>EN_WON_15_c03_CIV</v>
      </c>
      <c r="X540" s="12">
        <f t="shared" si="57"/>
        <v>1952</v>
      </c>
      <c r="Y540" s="11">
        <f t="shared" si="58"/>
        <v>1952</v>
      </c>
      <c r="AC540" t="s">
        <v>26</v>
      </c>
      <c r="AD540" t="s">
        <v>4171</v>
      </c>
      <c r="AE540" t="s">
        <v>4172</v>
      </c>
      <c r="AF540" t="s">
        <v>29</v>
      </c>
      <c r="AG540" t="s">
        <v>30</v>
      </c>
      <c r="AH540" t="s">
        <v>31</v>
      </c>
      <c r="AK540" t="s">
        <v>4171</v>
      </c>
      <c r="AL540" t="s">
        <v>1967</v>
      </c>
      <c r="AM540" t="s">
        <v>4167</v>
      </c>
      <c r="AN540" s="8">
        <v>9.44175</v>
      </c>
      <c r="AO540">
        <v>199.694880401046</v>
      </c>
      <c r="AP540">
        <v>1910</v>
      </c>
      <c r="AQ540" s="9">
        <v>0.311062912066089</v>
      </c>
      <c r="AR540" t="s">
        <v>1030</v>
      </c>
      <c r="AT540" s="15" t="s">
        <v>89</v>
      </c>
      <c r="AW540" s="11" t="str">
        <f t="shared" si="59"/>
        <v>EN_WOF_31_c02_JAM</v>
      </c>
      <c r="AX540" s="11">
        <f t="shared" si="60"/>
        <v>1910</v>
      </c>
      <c r="AY540" s="11">
        <f t="shared" si="61"/>
        <v>1910</v>
      </c>
      <c r="AZ540" s="17">
        <v>3</v>
      </c>
      <c r="BA540">
        <f t="shared" si="62"/>
        <v>19.1</v>
      </c>
    </row>
    <row r="541" spans="2:53">
      <c r="B541" t="s">
        <v>26</v>
      </c>
      <c r="C541" t="s">
        <v>4173</v>
      </c>
      <c r="D541" t="s">
        <v>4174</v>
      </c>
      <c r="E541" t="s">
        <v>29</v>
      </c>
      <c r="F541" t="s">
        <v>30</v>
      </c>
      <c r="G541" t="s">
        <v>31</v>
      </c>
      <c r="J541" t="s">
        <v>4173</v>
      </c>
      <c r="K541" t="s">
        <v>1967</v>
      </c>
      <c r="L541" t="s">
        <v>4170</v>
      </c>
      <c r="M541" s="8">
        <v>0.048</v>
      </c>
      <c r="N541">
        <v>105.747516212372</v>
      </c>
      <c r="O541">
        <v>1952</v>
      </c>
      <c r="P541" s="9">
        <v>0.156</v>
      </c>
      <c r="Q541" t="s">
        <v>462</v>
      </c>
      <c r="T541" s="15" t="s">
        <v>54</v>
      </c>
      <c r="W541" s="16" t="str">
        <f t="shared" si="56"/>
        <v>EN_WON_16_c03_CIV</v>
      </c>
      <c r="X541" s="12">
        <f t="shared" si="57"/>
        <v>1952</v>
      </c>
      <c r="Y541" s="11">
        <f t="shared" si="58"/>
        <v>1952</v>
      </c>
      <c r="AC541" t="s">
        <v>26</v>
      </c>
      <c r="AD541" t="s">
        <v>4175</v>
      </c>
      <c r="AE541" t="s">
        <v>4176</v>
      </c>
      <c r="AF541" t="s">
        <v>29</v>
      </c>
      <c r="AG541" t="s">
        <v>30</v>
      </c>
      <c r="AH541" t="s">
        <v>31</v>
      </c>
      <c r="AK541" t="s">
        <v>4175</v>
      </c>
      <c r="AL541" t="s">
        <v>1967</v>
      </c>
      <c r="AM541" t="s">
        <v>4167</v>
      </c>
      <c r="AN541" s="8">
        <v>3.68325</v>
      </c>
      <c r="AO541">
        <v>199.694880401046</v>
      </c>
      <c r="AP541">
        <v>1910</v>
      </c>
      <c r="AQ541" s="9">
        <v>0.321650376705355</v>
      </c>
      <c r="AR541" t="s">
        <v>1030</v>
      </c>
      <c r="AT541" s="15" t="s">
        <v>89</v>
      </c>
      <c r="AW541" s="11" t="str">
        <f t="shared" si="59"/>
        <v>EN_WOF_32_c02_JAM</v>
      </c>
      <c r="AX541" s="11">
        <f t="shared" si="60"/>
        <v>1910</v>
      </c>
      <c r="AY541" s="11">
        <f t="shared" si="61"/>
        <v>1910</v>
      </c>
      <c r="AZ541" s="17">
        <v>3</v>
      </c>
      <c r="BA541">
        <f t="shared" si="62"/>
        <v>19.1</v>
      </c>
    </row>
    <row r="542" spans="2:53">
      <c r="B542" t="s">
        <v>26</v>
      </c>
      <c r="C542" t="s">
        <v>4177</v>
      </c>
      <c r="D542" t="s">
        <v>4178</v>
      </c>
      <c r="E542" t="s">
        <v>29</v>
      </c>
      <c r="F542" t="s">
        <v>30</v>
      </c>
      <c r="G542" t="s">
        <v>31</v>
      </c>
      <c r="J542" t="s">
        <v>4177</v>
      </c>
      <c r="K542" t="s">
        <v>1967</v>
      </c>
      <c r="L542" t="s">
        <v>4170</v>
      </c>
      <c r="M542" s="8">
        <v>0.03525</v>
      </c>
      <c r="N542">
        <v>105.747516212372</v>
      </c>
      <c r="O542">
        <v>1952</v>
      </c>
      <c r="P542" s="9">
        <v>0.169</v>
      </c>
      <c r="Q542" t="s">
        <v>462</v>
      </c>
      <c r="T542" s="15" t="s">
        <v>54</v>
      </c>
      <c r="W542" s="16" t="str">
        <f t="shared" si="56"/>
        <v>EN_WON_17_c03_CIV</v>
      </c>
      <c r="X542" s="12">
        <f t="shared" si="57"/>
        <v>1952</v>
      </c>
      <c r="Y542" s="11">
        <f t="shared" si="58"/>
        <v>1952</v>
      </c>
      <c r="AC542" t="s">
        <v>26</v>
      </c>
      <c r="AD542" t="s">
        <v>4179</v>
      </c>
      <c r="AE542" t="s">
        <v>4180</v>
      </c>
      <c r="AF542" t="s">
        <v>29</v>
      </c>
      <c r="AG542" t="s">
        <v>30</v>
      </c>
      <c r="AH542" t="s">
        <v>31</v>
      </c>
      <c r="AK542" t="s">
        <v>4179</v>
      </c>
      <c r="AL542" t="s">
        <v>1967</v>
      </c>
      <c r="AM542" t="s">
        <v>4167</v>
      </c>
      <c r="AN542" s="8">
        <v>4.26525</v>
      </c>
      <c r="AO542">
        <v>199.694880401046</v>
      </c>
      <c r="AP542">
        <v>1910</v>
      </c>
      <c r="AQ542" s="9">
        <v>0.330763671531563</v>
      </c>
      <c r="AR542" t="s">
        <v>1030</v>
      </c>
      <c r="AT542" s="15" t="s">
        <v>89</v>
      </c>
      <c r="AW542" s="11" t="str">
        <f t="shared" si="59"/>
        <v>EN_WOF_33_c02_JAM</v>
      </c>
      <c r="AX542" s="11">
        <f t="shared" si="60"/>
        <v>1910</v>
      </c>
      <c r="AY542" s="11">
        <f t="shared" si="61"/>
        <v>1910</v>
      </c>
      <c r="AZ542" s="17">
        <v>3</v>
      </c>
      <c r="BA542">
        <f t="shared" si="62"/>
        <v>19.1</v>
      </c>
    </row>
    <row r="543" spans="2:53">
      <c r="B543" t="s">
        <v>26</v>
      </c>
      <c r="C543" t="s">
        <v>4181</v>
      </c>
      <c r="D543" t="s">
        <v>4182</v>
      </c>
      <c r="E543" t="s">
        <v>29</v>
      </c>
      <c r="F543" t="s">
        <v>30</v>
      </c>
      <c r="G543" t="s">
        <v>31</v>
      </c>
      <c r="J543" t="s">
        <v>4181</v>
      </c>
      <c r="K543" t="s">
        <v>1967</v>
      </c>
      <c r="L543" t="s">
        <v>4183</v>
      </c>
      <c r="M543" s="8">
        <v>5.6115</v>
      </c>
      <c r="N543">
        <v>80.7856561622413</v>
      </c>
      <c r="O543">
        <v>1952</v>
      </c>
      <c r="P543" s="9">
        <v>0.203</v>
      </c>
      <c r="Q543" t="s">
        <v>478</v>
      </c>
      <c r="T543" s="15" t="s">
        <v>54</v>
      </c>
      <c r="W543" s="16" t="str">
        <f t="shared" si="56"/>
        <v>EN_WON_20_c02_CMR</v>
      </c>
      <c r="X543" s="12">
        <f t="shared" si="57"/>
        <v>1952</v>
      </c>
      <c r="Y543" s="11">
        <f t="shared" si="58"/>
        <v>1952</v>
      </c>
      <c r="AC543" t="s">
        <v>26</v>
      </c>
      <c r="AD543" t="s">
        <v>4184</v>
      </c>
      <c r="AE543" t="s">
        <v>4185</v>
      </c>
      <c r="AF543" t="s">
        <v>29</v>
      </c>
      <c r="AG543" t="s">
        <v>30</v>
      </c>
      <c r="AH543" t="s">
        <v>31</v>
      </c>
      <c r="AK543" t="s">
        <v>4184</v>
      </c>
      <c r="AL543" t="s">
        <v>1967</v>
      </c>
      <c r="AM543" t="s">
        <v>4167</v>
      </c>
      <c r="AN543" s="8">
        <v>6.91125</v>
      </c>
      <c r="AO543">
        <v>199.694880401046</v>
      </c>
      <c r="AP543">
        <v>1910</v>
      </c>
      <c r="AQ543" s="9">
        <v>0.342159196961476</v>
      </c>
      <c r="AR543" t="s">
        <v>1030</v>
      </c>
      <c r="AT543" s="15" t="s">
        <v>89</v>
      </c>
      <c r="AW543" s="11" t="str">
        <f t="shared" si="59"/>
        <v>EN_WOF_34_c02_JAM</v>
      </c>
      <c r="AX543" s="11">
        <f t="shared" si="60"/>
        <v>1910</v>
      </c>
      <c r="AY543" s="11">
        <f t="shared" si="61"/>
        <v>1910</v>
      </c>
      <c r="AZ543" s="17">
        <v>3</v>
      </c>
      <c r="BA543">
        <f t="shared" si="62"/>
        <v>19.1</v>
      </c>
    </row>
    <row r="544" spans="2:53">
      <c r="B544" t="s">
        <v>26</v>
      </c>
      <c r="C544" t="s">
        <v>4186</v>
      </c>
      <c r="D544" t="s">
        <v>4187</v>
      </c>
      <c r="E544" t="s">
        <v>29</v>
      </c>
      <c r="F544" t="s">
        <v>30</v>
      </c>
      <c r="G544" t="s">
        <v>31</v>
      </c>
      <c r="J544" t="s">
        <v>4186</v>
      </c>
      <c r="K544" t="s">
        <v>1967</v>
      </c>
      <c r="L544" t="s">
        <v>4183</v>
      </c>
      <c r="M544" s="8">
        <v>10.638</v>
      </c>
      <c r="N544">
        <v>145.23264029167</v>
      </c>
      <c r="O544">
        <v>1952</v>
      </c>
      <c r="P544" s="9">
        <v>0.197980964467005</v>
      </c>
      <c r="Q544" t="s">
        <v>478</v>
      </c>
      <c r="T544" s="15" t="s">
        <v>54</v>
      </c>
      <c r="W544" s="16" t="str">
        <f t="shared" si="56"/>
        <v>EN_WON_20_c04_CMR</v>
      </c>
      <c r="X544" s="12">
        <f t="shared" si="57"/>
        <v>1952</v>
      </c>
      <c r="Y544" s="11">
        <f t="shared" si="58"/>
        <v>1952</v>
      </c>
      <c r="AC544" t="s">
        <v>26</v>
      </c>
      <c r="AD544" t="s">
        <v>4188</v>
      </c>
      <c r="AE544" t="s">
        <v>4189</v>
      </c>
      <c r="AF544" t="s">
        <v>29</v>
      </c>
      <c r="AG544" t="s">
        <v>30</v>
      </c>
      <c r="AH544" t="s">
        <v>31</v>
      </c>
      <c r="AK544" t="s">
        <v>4188</v>
      </c>
      <c r="AL544" t="s">
        <v>1967</v>
      </c>
      <c r="AM544" t="s">
        <v>4167</v>
      </c>
      <c r="AN544" s="8">
        <v>1.581</v>
      </c>
      <c r="AO544">
        <v>199.694880401046</v>
      </c>
      <c r="AP544">
        <v>1910</v>
      </c>
      <c r="AQ544" s="9">
        <v>0.347722960151803</v>
      </c>
      <c r="AR544" t="s">
        <v>1030</v>
      </c>
      <c r="AT544" s="15" t="s">
        <v>89</v>
      </c>
      <c r="AW544" s="11" t="str">
        <f t="shared" si="59"/>
        <v>EN_WOF_35_c02_JAM</v>
      </c>
      <c r="AX544" s="11">
        <f t="shared" si="60"/>
        <v>1910</v>
      </c>
      <c r="AY544" s="11">
        <f t="shared" si="61"/>
        <v>1910</v>
      </c>
      <c r="AZ544" s="17">
        <v>3</v>
      </c>
      <c r="BA544">
        <f t="shared" si="62"/>
        <v>19.1</v>
      </c>
    </row>
    <row r="545" spans="2:53">
      <c r="B545" t="s">
        <v>26</v>
      </c>
      <c r="C545" t="s">
        <v>4190</v>
      </c>
      <c r="D545" t="s">
        <v>4191</v>
      </c>
      <c r="E545" t="s">
        <v>29</v>
      </c>
      <c r="F545" t="s">
        <v>30</v>
      </c>
      <c r="G545" t="s">
        <v>31</v>
      </c>
      <c r="J545" t="s">
        <v>4190</v>
      </c>
      <c r="K545" t="s">
        <v>1967</v>
      </c>
      <c r="L545" t="s">
        <v>4183</v>
      </c>
      <c r="M545" s="8">
        <v>5.30925</v>
      </c>
      <c r="N545">
        <v>105.747516212372</v>
      </c>
      <c r="O545">
        <v>1952</v>
      </c>
      <c r="P545" s="9">
        <v>0.207</v>
      </c>
      <c r="Q545" t="s">
        <v>478</v>
      </c>
      <c r="T545" s="15" t="s">
        <v>54</v>
      </c>
      <c r="W545" s="16" t="str">
        <f t="shared" si="56"/>
        <v>EN_WON_21_c03_CMR</v>
      </c>
      <c r="X545" s="12">
        <f t="shared" si="57"/>
        <v>1952</v>
      </c>
      <c r="Y545" s="11">
        <f t="shared" si="58"/>
        <v>1952</v>
      </c>
      <c r="AC545" t="s">
        <v>26</v>
      </c>
      <c r="AD545" t="s">
        <v>4192</v>
      </c>
      <c r="AE545" t="s">
        <v>4193</v>
      </c>
      <c r="AF545" t="s">
        <v>29</v>
      </c>
      <c r="AG545" t="s">
        <v>30</v>
      </c>
      <c r="AH545" t="s">
        <v>31</v>
      </c>
      <c r="AK545" t="s">
        <v>4192</v>
      </c>
      <c r="AL545" t="s">
        <v>1967</v>
      </c>
      <c r="AM545" t="s">
        <v>4167</v>
      </c>
      <c r="AN545" s="8">
        <v>2.52825</v>
      </c>
      <c r="AO545">
        <v>199.694880401046</v>
      </c>
      <c r="AP545">
        <v>1910</v>
      </c>
      <c r="AQ545" s="9">
        <v>0.35749718184515</v>
      </c>
      <c r="AR545" t="s">
        <v>1030</v>
      </c>
      <c r="AT545" s="15" t="s">
        <v>89</v>
      </c>
      <c r="AW545" s="11" t="str">
        <f t="shared" si="59"/>
        <v>EN_WOF_36_c02_JAM</v>
      </c>
      <c r="AX545" s="11">
        <f t="shared" si="60"/>
        <v>1910</v>
      </c>
      <c r="AY545" s="11">
        <f t="shared" si="61"/>
        <v>1910</v>
      </c>
      <c r="AZ545" s="17">
        <v>3</v>
      </c>
      <c r="BA545">
        <f t="shared" si="62"/>
        <v>19.1</v>
      </c>
    </row>
    <row r="546" spans="2:53">
      <c r="B546" t="s">
        <v>26</v>
      </c>
      <c r="C546" t="s">
        <v>4194</v>
      </c>
      <c r="D546" t="s">
        <v>4195</v>
      </c>
      <c r="E546" t="s">
        <v>29</v>
      </c>
      <c r="F546" t="s">
        <v>30</v>
      </c>
      <c r="G546" t="s">
        <v>31</v>
      </c>
      <c r="J546" t="s">
        <v>4194</v>
      </c>
      <c r="K546" t="s">
        <v>1967</v>
      </c>
      <c r="L546" t="s">
        <v>4183</v>
      </c>
      <c r="M546" s="8">
        <v>11.15325</v>
      </c>
      <c r="N546">
        <v>80.7856561622413</v>
      </c>
      <c r="O546">
        <v>1952</v>
      </c>
      <c r="P546" s="9">
        <v>0.218503126891265</v>
      </c>
      <c r="Q546" t="s">
        <v>478</v>
      </c>
      <c r="T546" s="15" t="s">
        <v>54</v>
      </c>
      <c r="W546" s="16" t="str">
        <f t="shared" si="56"/>
        <v>EN_WON_22_c02_CMR</v>
      </c>
      <c r="X546" s="12">
        <f t="shared" si="57"/>
        <v>1952</v>
      </c>
      <c r="Y546" s="11">
        <f t="shared" si="58"/>
        <v>1952</v>
      </c>
      <c r="AC546" t="s">
        <v>26</v>
      </c>
      <c r="AD546" t="s">
        <v>4196</v>
      </c>
      <c r="AE546" t="s">
        <v>4197</v>
      </c>
      <c r="AF546" t="s">
        <v>29</v>
      </c>
      <c r="AG546" t="s">
        <v>30</v>
      </c>
      <c r="AH546" t="s">
        <v>31</v>
      </c>
      <c r="AK546" t="s">
        <v>4196</v>
      </c>
      <c r="AL546" t="s">
        <v>1967</v>
      </c>
      <c r="AM546" t="s">
        <v>4167</v>
      </c>
      <c r="AN546" s="8">
        <v>3.9405</v>
      </c>
      <c r="AO546">
        <v>199.694880401046</v>
      </c>
      <c r="AP546">
        <v>1910</v>
      </c>
      <c r="AQ546" s="9">
        <v>0.370318233726684</v>
      </c>
      <c r="AR546" t="s">
        <v>1030</v>
      </c>
      <c r="AT546" s="15" t="s">
        <v>89</v>
      </c>
      <c r="AW546" s="11" t="str">
        <f t="shared" si="59"/>
        <v>EN_WOF_37_c02_JAM</v>
      </c>
      <c r="AX546" s="11">
        <f t="shared" si="60"/>
        <v>1910</v>
      </c>
      <c r="AY546" s="11">
        <f t="shared" si="61"/>
        <v>1910</v>
      </c>
      <c r="AZ546" s="17">
        <v>3</v>
      </c>
      <c r="BA546">
        <f t="shared" si="62"/>
        <v>19.1</v>
      </c>
    </row>
    <row r="547" spans="2:53">
      <c r="B547" t="s">
        <v>26</v>
      </c>
      <c r="C547" t="s">
        <v>4198</v>
      </c>
      <c r="D547" t="s">
        <v>4199</v>
      </c>
      <c r="E547" t="s">
        <v>29</v>
      </c>
      <c r="F547" t="s">
        <v>30</v>
      </c>
      <c r="G547" t="s">
        <v>31</v>
      </c>
      <c r="J547" t="s">
        <v>4198</v>
      </c>
      <c r="K547" t="s">
        <v>1967</v>
      </c>
      <c r="L547" t="s">
        <v>4183</v>
      </c>
      <c r="M547" s="8">
        <v>5.67675</v>
      </c>
      <c r="N547">
        <v>80.7856561622413</v>
      </c>
      <c r="O547">
        <v>1952</v>
      </c>
      <c r="P547" s="9">
        <v>0.23</v>
      </c>
      <c r="Q547" t="s">
        <v>478</v>
      </c>
      <c r="T547" s="15" t="s">
        <v>54</v>
      </c>
      <c r="W547" s="16" t="str">
        <f t="shared" si="56"/>
        <v>EN_WON_23_c02_CMR</v>
      </c>
      <c r="X547" s="12">
        <f t="shared" si="57"/>
        <v>1952</v>
      </c>
      <c r="Y547" s="11">
        <f t="shared" si="58"/>
        <v>1952</v>
      </c>
      <c r="AC547" t="s">
        <v>26</v>
      </c>
      <c r="AD547" t="s">
        <v>4200</v>
      </c>
      <c r="AE547" t="s">
        <v>4201</v>
      </c>
      <c r="AF547" t="s">
        <v>29</v>
      </c>
      <c r="AG547" t="s">
        <v>30</v>
      </c>
      <c r="AH547" t="s">
        <v>31</v>
      </c>
      <c r="AK547" t="s">
        <v>4200</v>
      </c>
      <c r="AL547" t="s">
        <v>1967</v>
      </c>
      <c r="AM547" t="s">
        <v>4167</v>
      </c>
      <c r="AN547" s="8">
        <v>3.9</v>
      </c>
      <c r="AO547">
        <v>199.694880401046</v>
      </c>
      <c r="AP547">
        <v>1910</v>
      </c>
      <c r="AQ547" s="9">
        <v>0.38079</v>
      </c>
      <c r="AR547" t="s">
        <v>1030</v>
      </c>
      <c r="AT547" s="15" t="s">
        <v>89</v>
      </c>
      <c r="AW547" s="11" t="str">
        <f t="shared" si="59"/>
        <v>EN_WOF_38_c02_JAM</v>
      </c>
      <c r="AX547" s="11">
        <f t="shared" si="60"/>
        <v>1910</v>
      </c>
      <c r="AY547" s="11">
        <f t="shared" si="61"/>
        <v>1910</v>
      </c>
      <c r="AZ547" s="17">
        <v>3</v>
      </c>
      <c r="BA547">
        <f t="shared" si="62"/>
        <v>19.1</v>
      </c>
    </row>
    <row r="548" spans="2:53">
      <c r="B548" t="s">
        <v>26</v>
      </c>
      <c r="C548" t="s">
        <v>4202</v>
      </c>
      <c r="D548" t="s">
        <v>4203</v>
      </c>
      <c r="E548" t="s">
        <v>29</v>
      </c>
      <c r="F548" t="s">
        <v>30</v>
      </c>
      <c r="G548" t="s">
        <v>31</v>
      </c>
      <c r="J548" t="s">
        <v>4202</v>
      </c>
      <c r="K548" t="s">
        <v>1967</v>
      </c>
      <c r="L548" t="s">
        <v>4183</v>
      </c>
      <c r="M548" s="8">
        <v>5.499</v>
      </c>
      <c r="N548">
        <v>0</v>
      </c>
      <c r="O548">
        <v>1952</v>
      </c>
      <c r="P548" s="9">
        <v>0.235</v>
      </c>
      <c r="Q548" t="s">
        <v>478</v>
      </c>
      <c r="T548" s="15" t="s">
        <v>54</v>
      </c>
      <c r="W548" s="16" t="str">
        <f t="shared" si="56"/>
        <v>EN_WON_24_c01_CMR</v>
      </c>
      <c r="X548" s="12">
        <f t="shared" si="57"/>
        <v>1952</v>
      </c>
      <c r="Y548" s="11">
        <f t="shared" si="58"/>
        <v>1952</v>
      </c>
      <c r="AC548" t="s">
        <v>26</v>
      </c>
      <c r="AD548" t="s">
        <v>4204</v>
      </c>
      <c r="AE548" t="s">
        <v>4205</v>
      </c>
      <c r="AF548" t="s">
        <v>29</v>
      </c>
      <c r="AG548" t="s">
        <v>30</v>
      </c>
      <c r="AH548" t="s">
        <v>31</v>
      </c>
      <c r="AK548" t="s">
        <v>4204</v>
      </c>
      <c r="AL548" t="s">
        <v>1967</v>
      </c>
      <c r="AM548" t="s">
        <v>4167</v>
      </c>
      <c r="AN548" s="8">
        <v>1.35975</v>
      </c>
      <c r="AO548">
        <v>199.694880401046</v>
      </c>
      <c r="AP548">
        <v>1910</v>
      </c>
      <c r="AQ548" s="9">
        <v>0.390878654164368</v>
      </c>
      <c r="AR548" t="s">
        <v>1030</v>
      </c>
      <c r="AT548" s="15" t="s">
        <v>89</v>
      </c>
      <c r="AW548" s="11" t="str">
        <f t="shared" si="59"/>
        <v>EN_WOF_39_c02_JAM</v>
      </c>
      <c r="AX548" s="11">
        <f t="shared" si="60"/>
        <v>1910</v>
      </c>
      <c r="AY548" s="11">
        <f t="shared" si="61"/>
        <v>1910</v>
      </c>
      <c r="AZ548" s="17">
        <v>3</v>
      </c>
      <c r="BA548">
        <f t="shared" si="62"/>
        <v>19.1</v>
      </c>
    </row>
    <row r="549" spans="2:53">
      <c r="B549" t="s">
        <v>26</v>
      </c>
      <c r="C549" t="s">
        <v>4206</v>
      </c>
      <c r="D549" t="s">
        <v>4207</v>
      </c>
      <c r="E549" t="s">
        <v>29</v>
      </c>
      <c r="F549" t="s">
        <v>30</v>
      </c>
      <c r="G549" t="s">
        <v>31</v>
      </c>
      <c r="J549" t="s">
        <v>4206</v>
      </c>
      <c r="K549" t="s">
        <v>1967</v>
      </c>
      <c r="L549" t="s">
        <v>4183</v>
      </c>
      <c r="M549" s="8">
        <v>5.6115</v>
      </c>
      <c r="N549">
        <v>80.7856561622413</v>
      </c>
      <c r="O549">
        <v>1952</v>
      </c>
      <c r="P549" s="9">
        <v>0.239</v>
      </c>
      <c r="Q549" t="s">
        <v>478</v>
      </c>
      <c r="T549" s="15" t="s">
        <v>54</v>
      </c>
      <c r="W549" s="16" t="str">
        <f t="shared" si="56"/>
        <v>EN_WON_24_c02_CMR</v>
      </c>
      <c r="X549" s="12">
        <f t="shared" si="57"/>
        <v>1952</v>
      </c>
      <c r="Y549" s="11">
        <f t="shared" si="58"/>
        <v>1952</v>
      </c>
      <c r="AC549" t="s">
        <v>26</v>
      </c>
      <c r="AD549" t="s">
        <v>4208</v>
      </c>
      <c r="AE549" t="s">
        <v>4209</v>
      </c>
      <c r="AF549" t="s">
        <v>29</v>
      </c>
      <c r="AG549" t="s">
        <v>30</v>
      </c>
      <c r="AH549" t="s">
        <v>31</v>
      </c>
      <c r="AK549" t="s">
        <v>4208</v>
      </c>
      <c r="AL549" t="s">
        <v>1967</v>
      </c>
      <c r="AM549" t="s">
        <v>4167</v>
      </c>
      <c r="AN549" s="8">
        <v>1.17</v>
      </c>
      <c r="AO549">
        <v>199.694880401046</v>
      </c>
      <c r="AP549">
        <v>1910</v>
      </c>
      <c r="AQ549" s="9">
        <v>0.39901858974359</v>
      </c>
      <c r="AR549" t="s">
        <v>1030</v>
      </c>
      <c r="AT549" s="15" t="s">
        <v>89</v>
      </c>
      <c r="AW549" s="11" t="str">
        <f t="shared" si="59"/>
        <v>EN_WOF_40_c02_JAM</v>
      </c>
      <c r="AX549" s="11">
        <f t="shared" si="60"/>
        <v>1910</v>
      </c>
      <c r="AY549" s="11">
        <f t="shared" si="61"/>
        <v>1910</v>
      </c>
      <c r="AZ549" s="17">
        <v>3</v>
      </c>
      <c r="BA549">
        <f t="shared" si="62"/>
        <v>19.1</v>
      </c>
    </row>
    <row r="550" spans="2:53">
      <c r="B550" t="s">
        <v>26</v>
      </c>
      <c r="C550" t="s">
        <v>4210</v>
      </c>
      <c r="D550" t="s">
        <v>4211</v>
      </c>
      <c r="E550" t="s">
        <v>29</v>
      </c>
      <c r="F550" t="s">
        <v>30</v>
      </c>
      <c r="G550" t="s">
        <v>31</v>
      </c>
      <c r="J550" t="s">
        <v>4210</v>
      </c>
      <c r="K550" t="s">
        <v>1967</v>
      </c>
      <c r="L550" t="s">
        <v>4183</v>
      </c>
      <c r="M550" s="8">
        <v>5.6115</v>
      </c>
      <c r="N550">
        <v>105.747516212372</v>
      </c>
      <c r="O550">
        <v>1952</v>
      </c>
      <c r="P550" s="9">
        <v>0.249</v>
      </c>
      <c r="Q550" t="s">
        <v>478</v>
      </c>
      <c r="T550" s="15" t="s">
        <v>54</v>
      </c>
      <c r="W550" s="16" t="str">
        <f t="shared" si="56"/>
        <v>EN_WON_25_c03_CMR</v>
      </c>
      <c r="X550" s="12">
        <f t="shared" si="57"/>
        <v>1952</v>
      </c>
      <c r="Y550" s="11">
        <f t="shared" si="58"/>
        <v>1952</v>
      </c>
      <c r="AC550" t="s">
        <v>26</v>
      </c>
      <c r="AD550" t="s">
        <v>4212</v>
      </c>
      <c r="AE550" t="s">
        <v>4213</v>
      </c>
      <c r="AF550" t="s">
        <v>29</v>
      </c>
      <c r="AG550" t="s">
        <v>30</v>
      </c>
      <c r="AH550" t="s">
        <v>31</v>
      </c>
      <c r="AK550" t="s">
        <v>4212</v>
      </c>
      <c r="AL550" t="s">
        <v>1967</v>
      </c>
      <c r="AM550" t="s">
        <v>4167</v>
      </c>
      <c r="AN550" s="8">
        <v>1.32975</v>
      </c>
      <c r="AO550">
        <v>199.694880401046</v>
      </c>
      <c r="AP550">
        <v>1910</v>
      </c>
      <c r="AQ550" s="9">
        <v>0.415</v>
      </c>
      <c r="AR550" t="s">
        <v>1030</v>
      </c>
      <c r="AT550" s="15" t="s">
        <v>89</v>
      </c>
      <c r="AW550" s="11" t="str">
        <f t="shared" si="59"/>
        <v>EN_WOF_42_c02_JAM</v>
      </c>
      <c r="AX550" s="11">
        <f t="shared" si="60"/>
        <v>1910</v>
      </c>
      <c r="AY550" s="11">
        <f t="shared" si="61"/>
        <v>1910</v>
      </c>
      <c r="AZ550" s="17">
        <v>3</v>
      </c>
      <c r="BA550">
        <f t="shared" si="62"/>
        <v>19.1</v>
      </c>
    </row>
    <row r="551" spans="2:53">
      <c r="B551" t="s">
        <v>26</v>
      </c>
      <c r="C551" t="s">
        <v>4214</v>
      </c>
      <c r="D551" t="s">
        <v>4215</v>
      </c>
      <c r="E551" t="s">
        <v>29</v>
      </c>
      <c r="F551" t="s">
        <v>30</v>
      </c>
      <c r="G551" t="s">
        <v>31</v>
      </c>
      <c r="J551" t="s">
        <v>4214</v>
      </c>
      <c r="K551" t="s">
        <v>1967</v>
      </c>
      <c r="L551" t="s">
        <v>4183</v>
      </c>
      <c r="M551" s="8">
        <v>5.67675</v>
      </c>
      <c r="N551">
        <v>80.7856561622413</v>
      </c>
      <c r="O551">
        <v>1952</v>
      </c>
      <c r="P551" s="9">
        <v>0.258</v>
      </c>
      <c r="Q551" t="s">
        <v>478</v>
      </c>
      <c r="T551" s="15" t="s">
        <v>54</v>
      </c>
      <c r="W551" s="16" t="str">
        <f t="shared" si="56"/>
        <v>EN_WON_26_c02_CMR</v>
      </c>
      <c r="X551" s="12">
        <f t="shared" si="57"/>
        <v>1952</v>
      </c>
      <c r="Y551" s="11">
        <f t="shared" si="58"/>
        <v>1952</v>
      </c>
      <c r="AC551" t="s">
        <v>26</v>
      </c>
      <c r="AD551" t="s">
        <v>4216</v>
      </c>
      <c r="AE551" t="s">
        <v>4217</v>
      </c>
      <c r="AF551" t="s">
        <v>29</v>
      </c>
      <c r="AG551" t="s">
        <v>30</v>
      </c>
      <c r="AH551" t="s">
        <v>31</v>
      </c>
      <c r="AK551" t="s">
        <v>4216</v>
      </c>
      <c r="AL551" t="s">
        <v>1967</v>
      </c>
      <c r="AM551" t="s">
        <v>4167</v>
      </c>
      <c r="AN551" s="8">
        <v>0.591</v>
      </c>
      <c r="AO551">
        <v>199.694880401046</v>
      </c>
      <c r="AP551">
        <v>1910</v>
      </c>
      <c r="AQ551" s="9">
        <v>0.43</v>
      </c>
      <c r="AR551" t="s">
        <v>1030</v>
      </c>
      <c r="AT551" s="15" t="s">
        <v>89</v>
      </c>
      <c r="AW551" s="11" t="str">
        <f t="shared" si="59"/>
        <v>EN_WOF_43_c02_JAM</v>
      </c>
      <c r="AX551" s="11">
        <f t="shared" si="60"/>
        <v>1910</v>
      </c>
      <c r="AY551" s="11">
        <f t="shared" si="61"/>
        <v>1910</v>
      </c>
      <c r="AZ551" s="17">
        <v>3</v>
      </c>
      <c r="BA551">
        <f t="shared" si="62"/>
        <v>19.1</v>
      </c>
    </row>
    <row r="552" spans="2:53">
      <c r="B552" t="s">
        <v>26</v>
      </c>
      <c r="C552" t="s">
        <v>4218</v>
      </c>
      <c r="D552" t="s">
        <v>4219</v>
      </c>
      <c r="E552" t="s">
        <v>29</v>
      </c>
      <c r="F552" t="s">
        <v>30</v>
      </c>
      <c r="G552" t="s">
        <v>31</v>
      </c>
      <c r="J552" t="s">
        <v>4218</v>
      </c>
      <c r="K552" t="s">
        <v>1967</v>
      </c>
      <c r="L552" t="s">
        <v>4183</v>
      </c>
      <c r="M552" s="8">
        <v>5.67675</v>
      </c>
      <c r="N552">
        <v>80.7856561622413</v>
      </c>
      <c r="O552">
        <v>1952</v>
      </c>
      <c r="P552" s="9">
        <v>0.274</v>
      </c>
      <c r="Q552" t="s">
        <v>478</v>
      </c>
      <c r="T552" s="15" t="s">
        <v>54</v>
      </c>
      <c r="W552" s="16" t="str">
        <f t="shared" si="56"/>
        <v>EN_WON_27_c02_CMR</v>
      </c>
      <c r="X552" s="12">
        <f t="shared" si="57"/>
        <v>1952</v>
      </c>
      <c r="Y552" s="11">
        <f t="shared" si="58"/>
        <v>1952</v>
      </c>
      <c r="AC552" t="s">
        <v>26</v>
      </c>
      <c r="AD552" t="s">
        <v>4220</v>
      </c>
      <c r="AE552" t="s">
        <v>4221</v>
      </c>
      <c r="AF552" t="s">
        <v>29</v>
      </c>
      <c r="AG552" t="s">
        <v>30</v>
      </c>
      <c r="AH552" t="s">
        <v>31</v>
      </c>
      <c r="AK552" t="s">
        <v>4220</v>
      </c>
      <c r="AL552" t="s">
        <v>1967</v>
      </c>
      <c r="AM552" t="s">
        <v>4222</v>
      </c>
      <c r="AN552" s="8">
        <v>0.53775</v>
      </c>
      <c r="AO552">
        <v>199.694880401046</v>
      </c>
      <c r="AP552">
        <v>2263</v>
      </c>
      <c r="AQ552" s="9">
        <v>0.365011157601116</v>
      </c>
      <c r="AR552" t="s">
        <v>1042</v>
      </c>
      <c r="AT552" s="15" t="s">
        <v>1043</v>
      </c>
      <c r="AW552" s="11" t="str">
        <f t="shared" si="59"/>
        <v>EN_WOF_37_c02_JPN</v>
      </c>
      <c r="AX552" s="11">
        <f t="shared" si="60"/>
        <v>2263</v>
      </c>
      <c r="AY552" s="11">
        <f t="shared" si="61"/>
        <v>2263</v>
      </c>
      <c r="AZ552" s="17">
        <v>3</v>
      </c>
      <c r="BA552">
        <f t="shared" si="62"/>
        <v>22.63</v>
      </c>
    </row>
    <row r="553" spans="2:53">
      <c r="B553" t="s">
        <v>26</v>
      </c>
      <c r="C553" t="s">
        <v>4223</v>
      </c>
      <c r="D553" t="s">
        <v>4224</v>
      </c>
      <c r="E553" t="s">
        <v>29</v>
      </c>
      <c r="F553" t="s">
        <v>30</v>
      </c>
      <c r="G553" t="s">
        <v>31</v>
      </c>
      <c r="J553" t="s">
        <v>4223</v>
      </c>
      <c r="K553" t="s">
        <v>1967</v>
      </c>
      <c r="L553" t="s">
        <v>4225</v>
      </c>
      <c r="M553" s="8">
        <v>9.26925</v>
      </c>
      <c r="N553">
        <v>145.23264029167</v>
      </c>
      <c r="O553">
        <v>1952</v>
      </c>
      <c r="P553" s="9">
        <v>0.152530382717048</v>
      </c>
      <c r="Q553" t="s">
        <v>488</v>
      </c>
      <c r="T553" s="15" t="s">
        <v>54</v>
      </c>
      <c r="W553" s="16" t="str">
        <f t="shared" si="56"/>
        <v>EN_WON_15_c04_COD</v>
      </c>
      <c r="X553" s="12">
        <f t="shared" si="57"/>
        <v>1952</v>
      </c>
      <c r="Y553" s="11">
        <f t="shared" si="58"/>
        <v>1952</v>
      </c>
      <c r="AC553" t="s">
        <v>26</v>
      </c>
      <c r="AD553" t="s">
        <v>4226</v>
      </c>
      <c r="AE553" t="s">
        <v>4227</v>
      </c>
      <c r="AF553" t="s">
        <v>29</v>
      </c>
      <c r="AG553" t="s">
        <v>30</v>
      </c>
      <c r="AH553" t="s">
        <v>31</v>
      </c>
      <c r="AK553" t="s">
        <v>4226</v>
      </c>
      <c r="AL553" t="s">
        <v>1967</v>
      </c>
      <c r="AM553" t="s">
        <v>4222</v>
      </c>
      <c r="AN553" s="8">
        <v>4.96725</v>
      </c>
      <c r="AO553">
        <v>45.3852000911468</v>
      </c>
      <c r="AP553">
        <v>2263</v>
      </c>
      <c r="AQ553" s="9">
        <v>0.37810312547184</v>
      </c>
      <c r="AR553" t="s">
        <v>1042</v>
      </c>
      <c r="AT553" s="15" t="s">
        <v>1043</v>
      </c>
      <c r="AW553" s="11" t="str">
        <f t="shared" si="59"/>
        <v>EN_WOF_38_c01_JPN</v>
      </c>
      <c r="AX553" s="11">
        <f t="shared" si="60"/>
        <v>2263</v>
      </c>
      <c r="AY553" s="11">
        <f t="shared" si="61"/>
        <v>2263</v>
      </c>
      <c r="AZ553" s="17">
        <v>3</v>
      </c>
      <c r="BA553">
        <f t="shared" si="62"/>
        <v>22.63</v>
      </c>
    </row>
    <row r="554" spans="2:53">
      <c r="B554" t="s">
        <v>26</v>
      </c>
      <c r="C554" t="s">
        <v>4228</v>
      </c>
      <c r="D554" t="s">
        <v>4229</v>
      </c>
      <c r="E554" t="s">
        <v>29</v>
      </c>
      <c r="F554" t="s">
        <v>30</v>
      </c>
      <c r="G554" t="s">
        <v>31</v>
      </c>
      <c r="J554" t="s">
        <v>4228</v>
      </c>
      <c r="K554" t="s">
        <v>1967</v>
      </c>
      <c r="L554" t="s">
        <v>4225</v>
      </c>
      <c r="M554" s="8">
        <v>23.89575</v>
      </c>
      <c r="N554">
        <v>145.23264029167</v>
      </c>
      <c r="O554">
        <v>1952</v>
      </c>
      <c r="P554" s="9">
        <v>0.160212014688804</v>
      </c>
      <c r="Q554" t="s">
        <v>488</v>
      </c>
      <c r="T554" s="15" t="s">
        <v>54</v>
      </c>
      <c r="W554" s="16" t="str">
        <f t="shared" si="56"/>
        <v>EN_WON_16_c04_COD</v>
      </c>
      <c r="X554" s="12">
        <f t="shared" si="57"/>
        <v>1952</v>
      </c>
      <c r="Y554" s="11">
        <f t="shared" si="58"/>
        <v>1952</v>
      </c>
      <c r="AC554" t="s">
        <v>26</v>
      </c>
      <c r="AD554" t="s">
        <v>4230</v>
      </c>
      <c r="AE554" t="s">
        <v>4231</v>
      </c>
      <c r="AF554" t="s">
        <v>29</v>
      </c>
      <c r="AG554" t="s">
        <v>30</v>
      </c>
      <c r="AH554" t="s">
        <v>31</v>
      </c>
      <c r="AK554" t="s">
        <v>4230</v>
      </c>
      <c r="AL554" t="s">
        <v>1967</v>
      </c>
      <c r="AM554" t="s">
        <v>4222</v>
      </c>
      <c r="AN554" s="8">
        <v>1.2315</v>
      </c>
      <c r="AO554">
        <v>199.694880401046</v>
      </c>
      <c r="AP554">
        <v>2263</v>
      </c>
      <c r="AQ554" s="9">
        <v>0.382186358099878</v>
      </c>
      <c r="AR554" t="s">
        <v>1042</v>
      </c>
      <c r="AT554" s="15" t="s">
        <v>1043</v>
      </c>
      <c r="AW554" s="11" t="str">
        <f t="shared" si="59"/>
        <v>EN_WOF_38_c02_JPN</v>
      </c>
      <c r="AX554" s="11">
        <f t="shared" si="60"/>
        <v>2263</v>
      </c>
      <c r="AY554" s="11">
        <f t="shared" si="61"/>
        <v>2263</v>
      </c>
      <c r="AZ554" s="17">
        <v>3</v>
      </c>
      <c r="BA554">
        <f t="shared" si="62"/>
        <v>22.63</v>
      </c>
    </row>
    <row r="555" spans="2:53">
      <c r="B555" t="s">
        <v>26</v>
      </c>
      <c r="C555" t="s">
        <v>4232</v>
      </c>
      <c r="D555" t="s">
        <v>4233</v>
      </c>
      <c r="E555" t="s">
        <v>29</v>
      </c>
      <c r="F555" t="s">
        <v>30</v>
      </c>
      <c r="G555" t="s">
        <v>31</v>
      </c>
      <c r="J555" t="s">
        <v>4232</v>
      </c>
      <c r="K555" t="s">
        <v>1967</v>
      </c>
      <c r="L555" t="s">
        <v>4225</v>
      </c>
      <c r="M555" s="8">
        <v>12.258</v>
      </c>
      <c r="N555">
        <v>145.23264029167</v>
      </c>
      <c r="O555">
        <v>1952</v>
      </c>
      <c r="P555" s="9">
        <v>0.167271536955458</v>
      </c>
      <c r="Q555" t="s">
        <v>488</v>
      </c>
      <c r="T555" s="15" t="s">
        <v>54</v>
      </c>
      <c r="W555" s="16" t="str">
        <f t="shared" si="56"/>
        <v>EN_WON_17_c04_COD</v>
      </c>
      <c r="X555" s="12">
        <f t="shared" si="57"/>
        <v>1952</v>
      </c>
      <c r="Y555" s="11">
        <f t="shared" si="58"/>
        <v>1952</v>
      </c>
      <c r="AC555" t="s">
        <v>26</v>
      </c>
      <c r="AD555" t="s">
        <v>4234</v>
      </c>
      <c r="AE555" t="s">
        <v>4235</v>
      </c>
      <c r="AF555" t="s">
        <v>29</v>
      </c>
      <c r="AG555" t="s">
        <v>30</v>
      </c>
      <c r="AH555" t="s">
        <v>31</v>
      </c>
      <c r="AK555" t="s">
        <v>4234</v>
      </c>
      <c r="AL555" t="s">
        <v>1967</v>
      </c>
      <c r="AM555" t="s">
        <v>4222</v>
      </c>
      <c r="AN555" s="8">
        <v>2.30925</v>
      </c>
      <c r="AO555">
        <v>45.3852000911468</v>
      </c>
      <c r="AP555">
        <v>2263</v>
      </c>
      <c r="AQ555" s="9">
        <v>0.386873335498539</v>
      </c>
      <c r="AR555" t="s">
        <v>1042</v>
      </c>
      <c r="AT555" s="15" t="s">
        <v>1043</v>
      </c>
      <c r="AW555" s="11" t="str">
        <f t="shared" si="59"/>
        <v>EN_WOF_39_c01_JPN</v>
      </c>
      <c r="AX555" s="11">
        <f t="shared" si="60"/>
        <v>2263</v>
      </c>
      <c r="AY555" s="11">
        <f t="shared" si="61"/>
        <v>2263</v>
      </c>
      <c r="AZ555" s="17">
        <v>3</v>
      </c>
      <c r="BA555">
        <f t="shared" si="62"/>
        <v>22.63</v>
      </c>
    </row>
    <row r="556" spans="2:53">
      <c r="B556" t="s">
        <v>26</v>
      </c>
      <c r="C556" t="s">
        <v>4236</v>
      </c>
      <c r="D556" t="s">
        <v>4237</v>
      </c>
      <c r="E556" t="s">
        <v>29</v>
      </c>
      <c r="F556" t="s">
        <v>30</v>
      </c>
      <c r="G556" t="s">
        <v>31</v>
      </c>
      <c r="J556" t="s">
        <v>4236</v>
      </c>
      <c r="K556" t="s">
        <v>1967</v>
      </c>
      <c r="L556" t="s">
        <v>4225</v>
      </c>
      <c r="M556" s="8">
        <v>3.06525</v>
      </c>
      <c r="N556">
        <v>145.23264029167</v>
      </c>
      <c r="O556">
        <v>1952</v>
      </c>
      <c r="P556" s="9">
        <v>0.181813065818449</v>
      </c>
      <c r="Q556" t="s">
        <v>488</v>
      </c>
      <c r="T556" s="15" t="s">
        <v>54</v>
      </c>
      <c r="W556" s="16" t="str">
        <f t="shared" si="56"/>
        <v>EN_WON_18_c04_COD</v>
      </c>
      <c r="X556" s="12">
        <f t="shared" si="57"/>
        <v>1952</v>
      </c>
      <c r="Y556" s="11">
        <f t="shared" si="58"/>
        <v>1952</v>
      </c>
      <c r="AC556" t="s">
        <v>26</v>
      </c>
      <c r="AD556" t="s">
        <v>4238</v>
      </c>
      <c r="AE556" t="s">
        <v>4239</v>
      </c>
      <c r="AF556" t="s">
        <v>29</v>
      </c>
      <c r="AG556" t="s">
        <v>30</v>
      </c>
      <c r="AH556" t="s">
        <v>31</v>
      </c>
      <c r="AK556" t="s">
        <v>4238</v>
      </c>
      <c r="AL556" t="s">
        <v>1967</v>
      </c>
      <c r="AM556" t="s">
        <v>4240</v>
      </c>
      <c r="AN556" s="8">
        <v>4.482</v>
      </c>
      <c r="AO556">
        <v>199.694880401046</v>
      </c>
      <c r="AP556">
        <v>1952</v>
      </c>
      <c r="AQ556" s="9">
        <v>0.304</v>
      </c>
      <c r="AR556" t="s">
        <v>1077</v>
      </c>
      <c r="AT556" s="15" t="s">
        <v>54</v>
      </c>
      <c r="AW556" s="11" t="str">
        <f t="shared" si="59"/>
        <v>EN_WOF_30_c02_KEN</v>
      </c>
      <c r="AX556" s="11">
        <f t="shared" si="60"/>
        <v>1952</v>
      </c>
      <c r="AY556" s="11">
        <f t="shared" si="61"/>
        <v>1952</v>
      </c>
      <c r="AZ556" s="17">
        <v>3</v>
      </c>
      <c r="BA556">
        <f t="shared" si="62"/>
        <v>19.52</v>
      </c>
    </row>
    <row r="557" spans="2:53">
      <c r="B557" t="s">
        <v>26</v>
      </c>
      <c r="C557" t="s">
        <v>4241</v>
      </c>
      <c r="D557" t="s">
        <v>4242</v>
      </c>
      <c r="E557" t="s">
        <v>29</v>
      </c>
      <c r="F557" t="s">
        <v>30</v>
      </c>
      <c r="G557" t="s">
        <v>31</v>
      </c>
      <c r="J557" t="s">
        <v>4241</v>
      </c>
      <c r="K557" t="s">
        <v>1967</v>
      </c>
      <c r="L557" t="s">
        <v>4225</v>
      </c>
      <c r="M557" s="8">
        <v>9.8775</v>
      </c>
      <c r="N557">
        <v>145.23264029167</v>
      </c>
      <c r="O557">
        <v>1952</v>
      </c>
      <c r="P557" s="9">
        <v>0.18825444191344</v>
      </c>
      <c r="Q557" t="s">
        <v>488</v>
      </c>
      <c r="T557" s="15" t="s">
        <v>54</v>
      </c>
      <c r="W557" s="16" t="str">
        <f t="shared" si="56"/>
        <v>EN_WON_19_c04_COD</v>
      </c>
      <c r="X557" s="12">
        <f t="shared" si="57"/>
        <v>1952</v>
      </c>
      <c r="Y557" s="11">
        <f t="shared" si="58"/>
        <v>1952</v>
      </c>
      <c r="AC557" t="s">
        <v>26</v>
      </c>
      <c r="AD557" t="s">
        <v>4243</v>
      </c>
      <c r="AE557" t="s">
        <v>4244</v>
      </c>
      <c r="AF557" t="s">
        <v>29</v>
      </c>
      <c r="AG557" t="s">
        <v>30</v>
      </c>
      <c r="AH557" t="s">
        <v>31</v>
      </c>
      <c r="AK557" t="s">
        <v>4243</v>
      </c>
      <c r="AL557" t="s">
        <v>1967</v>
      </c>
      <c r="AM557" t="s">
        <v>4240</v>
      </c>
      <c r="AN557" s="8">
        <v>10.91625</v>
      </c>
      <c r="AO557">
        <v>199.694880401046</v>
      </c>
      <c r="AP557">
        <v>1952</v>
      </c>
      <c r="AQ557" s="9">
        <v>0.312701820680179</v>
      </c>
      <c r="AR557" t="s">
        <v>1077</v>
      </c>
      <c r="AT557" s="15" t="s">
        <v>54</v>
      </c>
      <c r="AW557" s="11" t="str">
        <f t="shared" si="59"/>
        <v>EN_WOF_31_c02_KEN</v>
      </c>
      <c r="AX557" s="11">
        <f t="shared" si="60"/>
        <v>1952</v>
      </c>
      <c r="AY557" s="11">
        <f t="shared" si="61"/>
        <v>1952</v>
      </c>
      <c r="AZ557" s="17">
        <v>3</v>
      </c>
      <c r="BA557">
        <f t="shared" si="62"/>
        <v>19.52</v>
      </c>
    </row>
    <row r="558" spans="2:53">
      <c r="B558" t="s">
        <v>26</v>
      </c>
      <c r="C558" t="s">
        <v>4245</v>
      </c>
      <c r="D558" t="s">
        <v>4246</v>
      </c>
      <c r="E558" t="s">
        <v>29</v>
      </c>
      <c r="F558" t="s">
        <v>30</v>
      </c>
      <c r="G558" t="s">
        <v>31</v>
      </c>
      <c r="J558" t="s">
        <v>4245</v>
      </c>
      <c r="K558" t="s">
        <v>1967</v>
      </c>
      <c r="L558" t="s">
        <v>4225</v>
      </c>
      <c r="M558" s="8">
        <v>14.3085</v>
      </c>
      <c r="N558">
        <v>145.23264029167</v>
      </c>
      <c r="O558">
        <v>1952</v>
      </c>
      <c r="P558" s="9">
        <v>0.198904130411993</v>
      </c>
      <c r="Q558" t="s">
        <v>488</v>
      </c>
      <c r="T558" s="15" t="s">
        <v>54</v>
      </c>
      <c r="W558" s="16" t="str">
        <f t="shared" si="56"/>
        <v>EN_WON_20_c04_COD</v>
      </c>
      <c r="X558" s="12">
        <f t="shared" si="57"/>
        <v>1952</v>
      </c>
      <c r="Y558" s="11">
        <f t="shared" si="58"/>
        <v>1952</v>
      </c>
      <c r="AC558" t="s">
        <v>26</v>
      </c>
      <c r="AD558" t="s">
        <v>4247</v>
      </c>
      <c r="AE558" t="s">
        <v>4248</v>
      </c>
      <c r="AF558" t="s">
        <v>29</v>
      </c>
      <c r="AG558" t="s">
        <v>30</v>
      </c>
      <c r="AH558" t="s">
        <v>31</v>
      </c>
      <c r="AK558" t="s">
        <v>4247</v>
      </c>
      <c r="AL558" t="s">
        <v>1967</v>
      </c>
      <c r="AM558" t="s">
        <v>4240</v>
      </c>
      <c r="AN558" s="8">
        <v>0.969</v>
      </c>
      <c r="AO558">
        <v>199.694880401046</v>
      </c>
      <c r="AP558">
        <v>1952</v>
      </c>
      <c r="AQ558" s="9">
        <v>0.316354489164087</v>
      </c>
      <c r="AR558" t="s">
        <v>1077</v>
      </c>
      <c r="AT558" s="15" t="s">
        <v>54</v>
      </c>
      <c r="AW558" s="11" t="str">
        <f t="shared" si="59"/>
        <v>EN_WOF_32_c02_KEN</v>
      </c>
      <c r="AX558" s="11">
        <f t="shared" si="60"/>
        <v>1952</v>
      </c>
      <c r="AY558" s="11">
        <f t="shared" si="61"/>
        <v>1952</v>
      </c>
      <c r="AZ558" s="17">
        <v>3</v>
      </c>
      <c r="BA558">
        <f t="shared" si="62"/>
        <v>19.52</v>
      </c>
    </row>
    <row r="559" spans="2:53">
      <c r="B559" t="s">
        <v>26</v>
      </c>
      <c r="C559" t="s">
        <v>4249</v>
      </c>
      <c r="D559" t="s">
        <v>4250</v>
      </c>
      <c r="E559" t="s">
        <v>29</v>
      </c>
      <c r="F559" t="s">
        <v>30</v>
      </c>
      <c r="G559" t="s">
        <v>31</v>
      </c>
      <c r="J559" t="s">
        <v>4249</v>
      </c>
      <c r="K559" t="s">
        <v>1967</v>
      </c>
      <c r="L559" t="s">
        <v>4251</v>
      </c>
      <c r="M559" s="8">
        <v>0.01575</v>
      </c>
      <c r="N559">
        <v>80.7856561622413</v>
      </c>
      <c r="O559">
        <v>1952</v>
      </c>
      <c r="P559" s="9">
        <v>0.159</v>
      </c>
      <c r="Q559" t="s">
        <v>494</v>
      </c>
      <c r="T559" s="15" t="s">
        <v>54</v>
      </c>
      <c r="W559" s="16" t="str">
        <f t="shared" si="56"/>
        <v>EN_WON_16_c02_COG</v>
      </c>
      <c r="X559" s="12">
        <f t="shared" si="57"/>
        <v>1952</v>
      </c>
      <c r="Y559" s="11">
        <f t="shared" si="58"/>
        <v>1952</v>
      </c>
      <c r="AC559" t="s">
        <v>26</v>
      </c>
      <c r="AD559" t="s">
        <v>4252</v>
      </c>
      <c r="AE559" t="s">
        <v>4253</v>
      </c>
      <c r="AF559" t="s">
        <v>29</v>
      </c>
      <c r="AG559" t="s">
        <v>30</v>
      </c>
      <c r="AH559" t="s">
        <v>31</v>
      </c>
      <c r="AK559" t="s">
        <v>4252</v>
      </c>
      <c r="AL559" t="s">
        <v>1967</v>
      </c>
      <c r="AM559" t="s">
        <v>4254</v>
      </c>
      <c r="AN559" s="8">
        <v>3.918</v>
      </c>
      <c r="AO559">
        <v>199.694880401046</v>
      </c>
      <c r="AP559">
        <v>1997</v>
      </c>
      <c r="AQ559" s="9">
        <v>0.313</v>
      </c>
      <c r="AR559" t="s">
        <v>4255</v>
      </c>
      <c r="AT559" s="15" t="s">
        <v>89</v>
      </c>
      <c r="AW559" s="11" t="str">
        <f t="shared" si="59"/>
        <v>EN_WOF_31_c02_KNA</v>
      </c>
      <c r="AX559" s="11">
        <f t="shared" si="60"/>
        <v>1997</v>
      </c>
      <c r="AY559" s="11">
        <f t="shared" si="61"/>
        <v>1997</v>
      </c>
      <c r="AZ559" s="17">
        <v>3</v>
      </c>
      <c r="BA559">
        <f t="shared" si="62"/>
        <v>19.97</v>
      </c>
    </row>
    <row r="560" spans="2:53">
      <c r="B560" t="s">
        <v>26</v>
      </c>
      <c r="C560" t="s">
        <v>4256</v>
      </c>
      <c r="D560" t="s">
        <v>4257</v>
      </c>
      <c r="E560" t="s">
        <v>29</v>
      </c>
      <c r="F560" t="s">
        <v>30</v>
      </c>
      <c r="G560" t="s">
        <v>31</v>
      </c>
      <c r="J560" t="s">
        <v>4256</v>
      </c>
      <c r="K560" t="s">
        <v>1967</v>
      </c>
      <c r="L560" t="s">
        <v>4251</v>
      </c>
      <c r="M560" s="8">
        <v>0.07125</v>
      </c>
      <c r="N560">
        <v>105.747516212372</v>
      </c>
      <c r="O560">
        <v>1952</v>
      </c>
      <c r="P560" s="9">
        <v>0.165</v>
      </c>
      <c r="Q560" t="s">
        <v>494</v>
      </c>
      <c r="T560" s="15" t="s">
        <v>54</v>
      </c>
      <c r="W560" s="16" t="str">
        <f t="shared" si="56"/>
        <v>EN_WON_17_c03_COG</v>
      </c>
      <c r="X560" s="12">
        <f t="shared" si="57"/>
        <v>1952</v>
      </c>
      <c r="Y560" s="11">
        <f t="shared" si="58"/>
        <v>1952</v>
      </c>
      <c r="AC560" t="s">
        <v>26</v>
      </c>
      <c r="AD560" t="s">
        <v>4258</v>
      </c>
      <c r="AE560" t="s">
        <v>4259</v>
      </c>
      <c r="AF560" t="s">
        <v>29</v>
      </c>
      <c r="AG560" t="s">
        <v>30</v>
      </c>
      <c r="AH560" t="s">
        <v>31</v>
      </c>
      <c r="AK560" t="s">
        <v>4258</v>
      </c>
      <c r="AL560" t="s">
        <v>1967</v>
      </c>
      <c r="AM560" t="s">
        <v>4254</v>
      </c>
      <c r="AN560" s="8">
        <v>3.37275</v>
      </c>
      <c r="AO560">
        <v>199.694880401046</v>
      </c>
      <c r="AP560">
        <v>1997</v>
      </c>
      <c r="AQ560" s="9">
        <v>0.349</v>
      </c>
      <c r="AR560" t="s">
        <v>4255</v>
      </c>
      <c r="AT560" s="15" t="s">
        <v>89</v>
      </c>
      <c r="AW560" s="11" t="str">
        <f t="shared" si="59"/>
        <v>EN_WOF_35_c02_KNA</v>
      </c>
      <c r="AX560" s="11">
        <f t="shared" si="60"/>
        <v>1997</v>
      </c>
      <c r="AY560" s="11">
        <f t="shared" si="61"/>
        <v>1997</v>
      </c>
      <c r="AZ560" s="17">
        <v>3</v>
      </c>
      <c r="BA560">
        <f t="shared" si="62"/>
        <v>19.97</v>
      </c>
    </row>
    <row r="561" spans="2:53">
      <c r="B561" t="s">
        <v>26</v>
      </c>
      <c r="C561" t="s">
        <v>4260</v>
      </c>
      <c r="D561" t="s">
        <v>4261</v>
      </c>
      <c r="E561" t="s">
        <v>29</v>
      </c>
      <c r="F561" t="s">
        <v>30</v>
      </c>
      <c r="G561" t="s">
        <v>31</v>
      </c>
      <c r="J561" t="s">
        <v>4260</v>
      </c>
      <c r="K561" t="s">
        <v>1967</v>
      </c>
      <c r="L561" t="s">
        <v>4251</v>
      </c>
      <c r="M561" s="8">
        <v>0.0165</v>
      </c>
      <c r="N561">
        <v>105.747516212372</v>
      </c>
      <c r="O561">
        <v>1952</v>
      </c>
      <c r="P561" s="9">
        <v>0.176</v>
      </c>
      <c r="Q561" t="s">
        <v>494</v>
      </c>
      <c r="T561" s="15" t="s">
        <v>54</v>
      </c>
      <c r="W561" s="16" t="str">
        <f t="shared" si="56"/>
        <v>EN_WON_18_c03_COG</v>
      </c>
      <c r="X561" s="12">
        <f t="shared" si="57"/>
        <v>1952</v>
      </c>
      <c r="Y561" s="11">
        <f t="shared" si="58"/>
        <v>1952</v>
      </c>
      <c r="AC561" t="s">
        <v>26</v>
      </c>
      <c r="AD561" t="s">
        <v>4262</v>
      </c>
      <c r="AE561" t="s">
        <v>4263</v>
      </c>
      <c r="AF561" t="s">
        <v>29</v>
      </c>
      <c r="AG561" t="s">
        <v>30</v>
      </c>
      <c r="AH561" t="s">
        <v>31</v>
      </c>
      <c r="AK561" t="s">
        <v>4262</v>
      </c>
      <c r="AL561" t="s">
        <v>1967</v>
      </c>
      <c r="AM561" t="s">
        <v>4254</v>
      </c>
      <c r="AN561" s="8">
        <v>1.317</v>
      </c>
      <c r="AO561">
        <v>199.694880401046</v>
      </c>
      <c r="AP561">
        <v>1997</v>
      </c>
      <c r="AQ561" s="9">
        <v>0.396</v>
      </c>
      <c r="AR561" t="s">
        <v>4255</v>
      </c>
      <c r="AT561" s="15" t="s">
        <v>89</v>
      </c>
      <c r="AW561" s="11" t="str">
        <f t="shared" si="59"/>
        <v>EN_WOF_40_c02_KNA</v>
      </c>
      <c r="AX561" s="11">
        <f t="shared" si="60"/>
        <v>1997</v>
      </c>
      <c r="AY561" s="11">
        <f t="shared" si="61"/>
        <v>1997</v>
      </c>
      <c r="AZ561" s="17">
        <v>3</v>
      </c>
      <c r="BA561">
        <f t="shared" si="62"/>
        <v>19.97</v>
      </c>
    </row>
    <row r="562" spans="2:53">
      <c r="B562" t="s">
        <v>26</v>
      </c>
      <c r="C562" t="s">
        <v>4264</v>
      </c>
      <c r="D562" t="s">
        <v>4265</v>
      </c>
      <c r="E562" t="s">
        <v>29</v>
      </c>
      <c r="F562" t="s">
        <v>30</v>
      </c>
      <c r="G562" t="s">
        <v>31</v>
      </c>
      <c r="J562" t="s">
        <v>4264</v>
      </c>
      <c r="K562" t="s">
        <v>1967</v>
      </c>
      <c r="L562" t="s">
        <v>4251</v>
      </c>
      <c r="M562" s="8">
        <v>0.01125</v>
      </c>
      <c r="N562">
        <v>80.7856561622413</v>
      </c>
      <c r="O562">
        <v>1952</v>
      </c>
      <c r="P562" s="9">
        <v>0.186</v>
      </c>
      <c r="Q562" t="s">
        <v>494</v>
      </c>
      <c r="T562" s="15" t="s">
        <v>54</v>
      </c>
      <c r="W562" s="16" t="str">
        <f t="shared" si="56"/>
        <v>EN_WON_19_c02_COG</v>
      </c>
      <c r="X562" s="12">
        <f t="shared" si="57"/>
        <v>1952</v>
      </c>
      <c r="Y562" s="11">
        <f t="shared" si="58"/>
        <v>1952</v>
      </c>
      <c r="AC562" t="s">
        <v>26</v>
      </c>
      <c r="AD562" t="s">
        <v>4266</v>
      </c>
      <c r="AE562" t="s">
        <v>4267</v>
      </c>
      <c r="AF562" t="s">
        <v>29</v>
      </c>
      <c r="AG562" t="s">
        <v>30</v>
      </c>
      <c r="AH562" t="s">
        <v>31</v>
      </c>
      <c r="AK562" t="s">
        <v>4266</v>
      </c>
      <c r="AL562" t="s">
        <v>1967</v>
      </c>
      <c r="AM562" t="s">
        <v>4268</v>
      </c>
      <c r="AN562" s="8">
        <v>13.15425</v>
      </c>
      <c r="AO562">
        <v>45.3852000911468</v>
      </c>
      <c r="AP562">
        <v>2236</v>
      </c>
      <c r="AQ562" s="9">
        <v>0.311448201151719</v>
      </c>
      <c r="AR562" t="s">
        <v>1107</v>
      </c>
      <c r="AT562" s="15" t="s">
        <v>1043</v>
      </c>
      <c r="AW562" s="11" t="str">
        <f t="shared" si="59"/>
        <v>EN_WOF_31_c01_KOR</v>
      </c>
      <c r="AX562" s="11">
        <f t="shared" si="60"/>
        <v>2236</v>
      </c>
      <c r="AY562" s="11">
        <f t="shared" si="61"/>
        <v>2236</v>
      </c>
      <c r="AZ562" s="17">
        <v>3</v>
      </c>
      <c r="BA562">
        <f t="shared" si="62"/>
        <v>22.36</v>
      </c>
    </row>
    <row r="563" spans="2:53">
      <c r="B563" t="s">
        <v>26</v>
      </c>
      <c r="C563" t="s">
        <v>4269</v>
      </c>
      <c r="D563" t="s">
        <v>4270</v>
      </c>
      <c r="E563" t="s">
        <v>29</v>
      </c>
      <c r="F563" t="s">
        <v>30</v>
      </c>
      <c r="G563" t="s">
        <v>31</v>
      </c>
      <c r="J563" t="s">
        <v>4269</v>
      </c>
      <c r="K563" t="s">
        <v>1967</v>
      </c>
      <c r="L563" t="s">
        <v>4251</v>
      </c>
      <c r="M563" s="8">
        <v>0.03825</v>
      </c>
      <c r="N563">
        <v>105.747516212372</v>
      </c>
      <c r="O563">
        <v>1952</v>
      </c>
      <c r="P563" s="9">
        <v>0.188882352941177</v>
      </c>
      <c r="Q563" t="s">
        <v>494</v>
      </c>
      <c r="T563" s="15" t="s">
        <v>54</v>
      </c>
      <c r="W563" s="16" t="str">
        <f t="shared" si="56"/>
        <v>EN_WON_19_c03_COG</v>
      </c>
      <c r="X563" s="12">
        <f t="shared" si="57"/>
        <v>1952</v>
      </c>
      <c r="Y563" s="11">
        <f t="shared" si="58"/>
        <v>1952</v>
      </c>
      <c r="AC563" t="s">
        <v>26</v>
      </c>
      <c r="AD563" t="s">
        <v>4271</v>
      </c>
      <c r="AE563" t="s">
        <v>4272</v>
      </c>
      <c r="AF563" t="s">
        <v>29</v>
      </c>
      <c r="AG563" t="s">
        <v>30</v>
      </c>
      <c r="AH563" t="s">
        <v>31</v>
      </c>
      <c r="AK563" t="s">
        <v>4271</v>
      </c>
      <c r="AL563" t="s">
        <v>1967</v>
      </c>
      <c r="AM563" t="s">
        <v>4268</v>
      </c>
      <c r="AN563" s="8">
        <v>14.736</v>
      </c>
      <c r="AO563">
        <v>45.3852000911468</v>
      </c>
      <c r="AP563">
        <v>2236</v>
      </c>
      <c r="AQ563" s="9">
        <v>0.318067793159609</v>
      </c>
      <c r="AR563" t="s">
        <v>1107</v>
      </c>
      <c r="AT563" s="15" t="s">
        <v>1043</v>
      </c>
      <c r="AW563" s="11" t="str">
        <f t="shared" si="59"/>
        <v>EN_WOF_32_c01_KOR</v>
      </c>
      <c r="AX563" s="11">
        <f t="shared" si="60"/>
        <v>2236</v>
      </c>
      <c r="AY563" s="11">
        <f t="shared" si="61"/>
        <v>2236</v>
      </c>
      <c r="AZ563" s="17">
        <v>3</v>
      </c>
      <c r="BA563">
        <f t="shared" si="62"/>
        <v>22.36</v>
      </c>
    </row>
    <row r="564" spans="2:53">
      <c r="B564" t="s">
        <v>26</v>
      </c>
      <c r="C564" t="s">
        <v>4273</v>
      </c>
      <c r="D564" t="s">
        <v>4274</v>
      </c>
      <c r="E564" t="s">
        <v>29</v>
      </c>
      <c r="F564" t="s">
        <v>30</v>
      </c>
      <c r="G564" t="s">
        <v>31</v>
      </c>
      <c r="J564" t="s">
        <v>4273</v>
      </c>
      <c r="K564" t="s">
        <v>1967</v>
      </c>
      <c r="L564" t="s">
        <v>3010</v>
      </c>
      <c r="M564" s="8">
        <v>1.53975</v>
      </c>
      <c r="N564">
        <v>80.7856561622413</v>
      </c>
      <c r="O564">
        <v>1575</v>
      </c>
      <c r="P564" s="9">
        <v>0.152</v>
      </c>
      <c r="Q564" t="s">
        <v>504</v>
      </c>
      <c r="T564" s="15" t="s">
        <v>89</v>
      </c>
      <c r="W564" s="16" t="str">
        <f t="shared" si="56"/>
        <v>EN_WON_15_c02_COL</v>
      </c>
      <c r="X564" s="12">
        <f t="shared" si="57"/>
        <v>1575</v>
      </c>
      <c r="Y564" s="11">
        <f t="shared" si="58"/>
        <v>1575</v>
      </c>
      <c r="AC564" t="s">
        <v>26</v>
      </c>
      <c r="AD564" t="s">
        <v>4275</v>
      </c>
      <c r="AE564" t="s">
        <v>4276</v>
      </c>
      <c r="AF564" t="s">
        <v>29</v>
      </c>
      <c r="AG564" t="s">
        <v>30</v>
      </c>
      <c r="AH564" t="s">
        <v>31</v>
      </c>
      <c r="AK564" t="s">
        <v>4275</v>
      </c>
      <c r="AL564" t="s">
        <v>1967</v>
      </c>
      <c r="AM564" t="s">
        <v>4268</v>
      </c>
      <c r="AN564" s="8">
        <v>19.305</v>
      </c>
      <c r="AO564">
        <v>199.694880401046</v>
      </c>
      <c r="AP564">
        <v>2236</v>
      </c>
      <c r="AQ564" s="9">
        <v>0.321992307692308</v>
      </c>
      <c r="AR564" t="s">
        <v>1107</v>
      </c>
      <c r="AT564" s="15" t="s">
        <v>1043</v>
      </c>
      <c r="AW564" s="11" t="str">
        <f t="shared" si="59"/>
        <v>EN_WOF_32_c02_KOR</v>
      </c>
      <c r="AX564" s="11">
        <f t="shared" si="60"/>
        <v>2236</v>
      </c>
      <c r="AY564" s="11">
        <f t="shared" si="61"/>
        <v>2236</v>
      </c>
      <c r="AZ564" s="17">
        <v>3</v>
      </c>
      <c r="BA564">
        <f t="shared" si="62"/>
        <v>22.36</v>
      </c>
    </row>
    <row r="565" spans="2:53">
      <c r="B565" t="s">
        <v>26</v>
      </c>
      <c r="C565" t="s">
        <v>4277</v>
      </c>
      <c r="D565" t="s">
        <v>4278</v>
      </c>
      <c r="E565" t="s">
        <v>29</v>
      </c>
      <c r="F565" t="s">
        <v>30</v>
      </c>
      <c r="G565" t="s">
        <v>31</v>
      </c>
      <c r="J565" t="s">
        <v>4277</v>
      </c>
      <c r="K565" t="s">
        <v>1967</v>
      </c>
      <c r="L565" t="s">
        <v>3010</v>
      </c>
      <c r="M565" s="8">
        <v>0.0105</v>
      </c>
      <c r="N565">
        <v>145.23264029167</v>
      </c>
      <c r="O565">
        <v>1575</v>
      </c>
      <c r="P565" s="9">
        <v>0.152</v>
      </c>
      <c r="Q565" t="s">
        <v>504</v>
      </c>
      <c r="T565" s="15" t="s">
        <v>89</v>
      </c>
      <c r="W565" s="16" t="str">
        <f t="shared" si="56"/>
        <v>EN_WON_15_c04_COL</v>
      </c>
      <c r="X565" s="12">
        <f t="shared" si="57"/>
        <v>1575</v>
      </c>
      <c r="Y565" s="11">
        <f t="shared" si="58"/>
        <v>1575</v>
      </c>
      <c r="AC565" t="s">
        <v>26</v>
      </c>
      <c r="AD565" t="s">
        <v>4279</v>
      </c>
      <c r="AE565" t="s">
        <v>4280</v>
      </c>
      <c r="AF565" t="s">
        <v>29</v>
      </c>
      <c r="AG565" t="s">
        <v>30</v>
      </c>
      <c r="AH565" t="s">
        <v>31</v>
      </c>
      <c r="AK565" t="s">
        <v>4279</v>
      </c>
      <c r="AL565" t="s">
        <v>1967</v>
      </c>
      <c r="AM565" t="s">
        <v>4268</v>
      </c>
      <c r="AN565" s="8">
        <v>36.18975</v>
      </c>
      <c r="AO565">
        <v>45.3852000911468</v>
      </c>
      <c r="AP565">
        <v>2236</v>
      </c>
      <c r="AQ565" s="9">
        <v>0.329520444324705</v>
      </c>
      <c r="AR565" t="s">
        <v>1107</v>
      </c>
      <c r="AT565" s="15" t="s">
        <v>1043</v>
      </c>
      <c r="AW565" s="11" t="str">
        <f t="shared" si="59"/>
        <v>EN_WOF_33_c01_KOR</v>
      </c>
      <c r="AX565" s="11">
        <f t="shared" si="60"/>
        <v>2236</v>
      </c>
      <c r="AY565" s="11">
        <f t="shared" si="61"/>
        <v>2236</v>
      </c>
      <c r="AZ565" s="17">
        <v>3</v>
      </c>
      <c r="BA565">
        <f t="shared" si="62"/>
        <v>22.36</v>
      </c>
    </row>
    <row r="566" spans="2:53">
      <c r="B566" t="s">
        <v>26</v>
      </c>
      <c r="C566" t="s">
        <v>4281</v>
      </c>
      <c r="D566" t="s">
        <v>4282</v>
      </c>
      <c r="E566" t="s">
        <v>29</v>
      </c>
      <c r="F566" t="s">
        <v>30</v>
      </c>
      <c r="G566" t="s">
        <v>31</v>
      </c>
      <c r="J566" t="s">
        <v>4281</v>
      </c>
      <c r="K566" t="s">
        <v>1967</v>
      </c>
      <c r="L566" t="s">
        <v>3010</v>
      </c>
      <c r="M566" s="8">
        <v>4.851</v>
      </c>
      <c r="N566">
        <v>80.7856561622413</v>
      </c>
      <c r="O566">
        <v>1575</v>
      </c>
      <c r="P566" s="9">
        <v>0.16174025974026</v>
      </c>
      <c r="Q566" t="s">
        <v>504</v>
      </c>
      <c r="T566" s="15" t="s">
        <v>89</v>
      </c>
      <c r="W566" s="16" t="str">
        <f t="shared" si="56"/>
        <v>EN_WON_16_c02_COL</v>
      </c>
      <c r="X566" s="12">
        <f t="shared" si="57"/>
        <v>1575</v>
      </c>
      <c r="Y566" s="11">
        <f t="shared" si="58"/>
        <v>1575</v>
      </c>
      <c r="AC566" t="s">
        <v>26</v>
      </c>
      <c r="AD566" t="s">
        <v>4283</v>
      </c>
      <c r="AE566" t="s">
        <v>4284</v>
      </c>
      <c r="AF566" t="s">
        <v>29</v>
      </c>
      <c r="AG566" t="s">
        <v>30</v>
      </c>
      <c r="AH566" t="s">
        <v>31</v>
      </c>
      <c r="AK566" t="s">
        <v>4283</v>
      </c>
      <c r="AL566" t="s">
        <v>1967</v>
      </c>
      <c r="AM566" t="s">
        <v>4268</v>
      </c>
      <c r="AN566" s="8">
        <v>69.594</v>
      </c>
      <c r="AO566">
        <v>199.694880401046</v>
      </c>
      <c r="AP566">
        <v>2236</v>
      </c>
      <c r="AQ566" s="9">
        <v>0.329075372876972</v>
      </c>
      <c r="AR566" t="s">
        <v>1107</v>
      </c>
      <c r="AT566" s="15" t="s">
        <v>1043</v>
      </c>
      <c r="AW566" s="11" t="str">
        <f t="shared" si="59"/>
        <v>EN_WOF_33_c02_KOR</v>
      </c>
      <c r="AX566" s="11">
        <f t="shared" si="60"/>
        <v>2236</v>
      </c>
      <c r="AY566" s="11">
        <f t="shared" si="61"/>
        <v>2236</v>
      </c>
      <c r="AZ566" s="17">
        <v>3</v>
      </c>
      <c r="BA566">
        <f t="shared" si="62"/>
        <v>22.36</v>
      </c>
    </row>
    <row r="567" spans="2:53">
      <c r="B567" t="s">
        <v>26</v>
      </c>
      <c r="C567" t="s">
        <v>4285</v>
      </c>
      <c r="D567" t="s">
        <v>4286</v>
      </c>
      <c r="E567" t="s">
        <v>29</v>
      </c>
      <c r="F567" t="s">
        <v>30</v>
      </c>
      <c r="G567" t="s">
        <v>31</v>
      </c>
      <c r="J567" t="s">
        <v>4285</v>
      </c>
      <c r="K567" t="s">
        <v>1967</v>
      </c>
      <c r="L567" t="s">
        <v>3010</v>
      </c>
      <c r="M567" s="8">
        <v>6.38775</v>
      </c>
      <c r="N567">
        <v>105.747516212372</v>
      </c>
      <c r="O567">
        <v>1575</v>
      </c>
      <c r="P567" s="9">
        <v>0.161009862627686</v>
      </c>
      <c r="Q567" t="s">
        <v>504</v>
      </c>
      <c r="T567" s="15" t="s">
        <v>89</v>
      </c>
      <c r="W567" s="16" t="str">
        <f t="shared" si="56"/>
        <v>EN_WON_16_c03_COL</v>
      </c>
      <c r="X567" s="12">
        <f t="shared" si="57"/>
        <v>1575</v>
      </c>
      <c r="Y567" s="11">
        <f t="shared" si="58"/>
        <v>1575</v>
      </c>
      <c r="AC567" t="s">
        <v>26</v>
      </c>
      <c r="AD567" t="s">
        <v>4287</v>
      </c>
      <c r="AE567" t="s">
        <v>4288</v>
      </c>
      <c r="AF567" t="s">
        <v>29</v>
      </c>
      <c r="AG567" t="s">
        <v>30</v>
      </c>
      <c r="AH567" t="s">
        <v>31</v>
      </c>
      <c r="AK567" t="s">
        <v>4287</v>
      </c>
      <c r="AL567" t="s">
        <v>1967</v>
      </c>
      <c r="AM567" t="s">
        <v>4268</v>
      </c>
      <c r="AN567" s="8">
        <v>16.42275</v>
      </c>
      <c r="AO567">
        <v>45.3852000911468</v>
      </c>
      <c r="AP567">
        <v>2236</v>
      </c>
      <c r="AQ567" s="9">
        <v>0.338166415490707</v>
      </c>
      <c r="AR567" t="s">
        <v>1107</v>
      </c>
      <c r="AT567" s="15" t="s">
        <v>1043</v>
      </c>
      <c r="AW567" s="11" t="str">
        <f t="shared" si="59"/>
        <v>EN_WOF_34_c01_KOR</v>
      </c>
      <c r="AX567" s="11">
        <f t="shared" si="60"/>
        <v>2236</v>
      </c>
      <c r="AY567" s="11">
        <f t="shared" si="61"/>
        <v>2236</v>
      </c>
      <c r="AZ567" s="17">
        <v>3</v>
      </c>
      <c r="BA567">
        <f t="shared" si="62"/>
        <v>22.36</v>
      </c>
    </row>
    <row r="568" spans="2:53">
      <c r="B568" t="s">
        <v>26</v>
      </c>
      <c r="C568" t="s">
        <v>4289</v>
      </c>
      <c r="D568" t="s">
        <v>4290</v>
      </c>
      <c r="E568" t="s">
        <v>29</v>
      </c>
      <c r="F568" t="s">
        <v>30</v>
      </c>
      <c r="G568" t="s">
        <v>31</v>
      </c>
      <c r="J568" t="s">
        <v>4289</v>
      </c>
      <c r="K568" t="s">
        <v>1967</v>
      </c>
      <c r="L568" t="s">
        <v>3010</v>
      </c>
      <c r="M568" s="8">
        <v>2.28375</v>
      </c>
      <c r="N568">
        <v>145.23264029167</v>
      </c>
      <c r="O568">
        <v>1575</v>
      </c>
      <c r="P568" s="9">
        <v>0.157013464696223</v>
      </c>
      <c r="Q568" t="s">
        <v>504</v>
      </c>
      <c r="T568" s="15" t="s">
        <v>89</v>
      </c>
      <c r="W568" s="16" t="str">
        <f t="shared" si="56"/>
        <v>EN_WON_16_c04_COL</v>
      </c>
      <c r="X568" s="12">
        <f t="shared" si="57"/>
        <v>1575</v>
      </c>
      <c r="Y568" s="11">
        <f t="shared" si="58"/>
        <v>1575</v>
      </c>
      <c r="AC568" t="s">
        <v>26</v>
      </c>
      <c r="AD568" t="s">
        <v>4291</v>
      </c>
      <c r="AE568" t="s">
        <v>4292</v>
      </c>
      <c r="AF568" t="s">
        <v>29</v>
      </c>
      <c r="AG568" t="s">
        <v>30</v>
      </c>
      <c r="AH568" t="s">
        <v>31</v>
      </c>
      <c r="AK568" t="s">
        <v>4291</v>
      </c>
      <c r="AL568" t="s">
        <v>1967</v>
      </c>
      <c r="AM568" t="s">
        <v>4268</v>
      </c>
      <c r="AN568" s="8">
        <v>27.78225</v>
      </c>
      <c r="AO568">
        <v>199.694880401046</v>
      </c>
      <c r="AP568">
        <v>2236</v>
      </c>
      <c r="AQ568" s="9">
        <v>0.340104419188511</v>
      </c>
      <c r="AR568" t="s">
        <v>1107</v>
      </c>
      <c r="AT568" s="15" t="s">
        <v>1043</v>
      </c>
      <c r="AW568" s="11" t="str">
        <f t="shared" si="59"/>
        <v>EN_WOF_34_c02_KOR</v>
      </c>
      <c r="AX568" s="11">
        <f t="shared" si="60"/>
        <v>2236</v>
      </c>
      <c r="AY568" s="11">
        <f t="shared" si="61"/>
        <v>2236</v>
      </c>
      <c r="AZ568" s="17">
        <v>3</v>
      </c>
      <c r="BA568">
        <f t="shared" si="62"/>
        <v>22.36</v>
      </c>
    </row>
    <row r="569" spans="2:53">
      <c r="B569" t="s">
        <v>26</v>
      </c>
      <c r="C569" t="s">
        <v>4293</v>
      </c>
      <c r="D569" t="s">
        <v>4294</v>
      </c>
      <c r="E569" t="s">
        <v>29</v>
      </c>
      <c r="F569" t="s">
        <v>30</v>
      </c>
      <c r="G569" t="s">
        <v>31</v>
      </c>
      <c r="J569" t="s">
        <v>4293</v>
      </c>
      <c r="K569" t="s">
        <v>1967</v>
      </c>
      <c r="L569" t="s">
        <v>3010</v>
      </c>
      <c r="M569" s="8">
        <v>0.15375</v>
      </c>
      <c r="N569">
        <v>80.7856561622413</v>
      </c>
      <c r="O569">
        <v>1575</v>
      </c>
      <c r="P569" s="9">
        <v>0.168317073170732</v>
      </c>
      <c r="Q569" t="s">
        <v>504</v>
      </c>
      <c r="T569" s="15" t="s">
        <v>89</v>
      </c>
      <c r="W569" s="16" t="str">
        <f t="shared" si="56"/>
        <v>EN_WON_17_c02_COL</v>
      </c>
      <c r="X569" s="12">
        <f t="shared" si="57"/>
        <v>1575</v>
      </c>
      <c r="Y569" s="11">
        <f t="shared" si="58"/>
        <v>1575</v>
      </c>
      <c r="AC569" t="s">
        <v>26</v>
      </c>
      <c r="AD569" t="s">
        <v>4295</v>
      </c>
      <c r="AE569" t="s">
        <v>4296</v>
      </c>
      <c r="AF569" t="s">
        <v>29</v>
      </c>
      <c r="AG569" t="s">
        <v>30</v>
      </c>
      <c r="AH569" t="s">
        <v>31</v>
      </c>
      <c r="AK569" t="s">
        <v>4295</v>
      </c>
      <c r="AL569" t="s">
        <v>1967</v>
      </c>
      <c r="AM569" t="s">
        <v>4268</v>
      </c>
      <c r="AN569" s="8">
        <v>44.3565</v>
      </c>
      <c r="AO569">
        <v>45.3852000911468</v>
      </c>
      <c r="AP569">
        <v>2236</v>
      </c>
      <c r="AQ569" s="9">
        <v>0.3510222177133</v>
      </c>
      <c r="AR569" t="s">
        <v>1107</v>
      </c>
      <c r="AT569" s="15" t="s">
        <v>1043</v>
      </c>
      <c r="AW569" s="11" t="str">
        <f t="shared" si="59"/>
        <v>EN_WOF_35_c01_KOR</v>
      </c>
      <c r="AX569" s="11">
        <f t="shared" si="60"/>
        <v>2236</v>
      </c>
      <c r="AY569" s="11">
        <f t="shared" si="61"/>
        <v>2236</v>
      </c>
      <c r="AZ569" s="17">
        <v>3</v>
      </c>
      <c r="BA569">
        <f t="shared" si="62"/>
        <v>22.36</v>
      </c>
    </row>
    <row r="570" spans="2:53">
      <c r="B570" t="s">
        <v>26</v>
      </c>
      <c r="C570" t="s">
        <v>4297</v>
      </c>
      <c r="D570" t="s">
        <v>4298</v>
      </c>
      <c r="E570" t="s">
        <v>29</v>
      </c>
      <c r="F570" t="s">
        <v>30</v>
      </c>
      <c r="G570" t="s">
        <v>31</v>
      </c>
      <c r="J570" t="s">
        <v>4297</v>
      </c>
      <c r="K570" t="s">
        <v>1967</v>
      </c>
      <c r="L570" t="s">
        <v>3010</v>
      </c>
      <c r="M570" s="8">
        <v>3.85275</v>
      </c>
      <c r="N570">
        <v>105.747516212372</v>
      </c>
      <c r="O570">
        <v>1575</v>
      </c>
      <c r="P570" s="9">
        <v>0.167501265329959</v>
      </c>
      <c r="Q570" t="s">
        <v>504</v>
      </c>
      <c r="T570" s="15" t="s">
        <v>89</v>
      </c>
      <c r="W570" s="16" t="str">
        <f t="shared" si="56"/>
        <v>EN_WON_17_c03_COL</v>
      </c>
      <c r="X570" s="12">
        <f t="shared" si="57"/>
        <v>1575</v>
      </c>
      <c r="Y570" s="11">
        <f t="shared" si="58"/>
        <v>1575</v>
      </c>
      <c r="AC570" t="s">
        <v>26</v>
      </c>
      <c r="AD570" t="s">
        <v>4299</v>
      </c>
      <c r="AE570" t="s">
        <v>4300</v>
      </c>
      <c r="AF570" t="s">
        <v>29</v>
      </c>
      <c r="AG570" t="s">
        <v>30</v>
      </c>
      <c r="AH570" t="s">
        <v>31</v>
      </c>
      <c r="AK570" t="s">
        <v>4299</v>
      </c>
      <c r="AL570" t="s">
        <v>1967</v>
      </c>
      <c r="AM570" t="s">
        <v>4268</v>
      </c>
      <c r="AN570" s="8">
        <v>30.459</v>
      </c>
      <c r="AO570">
        <v>199.694880401046</v>
      </c>
      <c r="AP570">
        <v>2236</v>
      </c>
      <c r="AQ570" s="9">
        <v>0.349871860533832</v>
      </c>
      <c r="AR570" t="s">
        <v>1107</v>
      </c>
      <c r="AT570" s="15" t="s">
        <v>1043</v>
      </c>
      <c r="AW570" s="11" t="str">
        <f t="shared" si="59"/>
        <v>EN_WOF_35_c02_KOR</v>
      </c>
      <c r="AX570" s="11">
        <f t="shared" si="60"/>
        <v>2236</v>
      </c>
      <c r="AY570" s="11">
        <f t="shared" si="61"/>
        <v>2236</v>
      </c>
      <c r="AZ570" s="17">
        <v>3</v>
      </c>
      <c r="BA570">
        <f t="shared" si="62"/>
        <v>22.36</v>
      </c>
    </row>
    <row r="571" spans="2:53">
      <c r="B571" t="s">
        <v>26</v>
      </c>
      <c r="C571" t="s">
        <v>4301</v>
      </c>
      <c r="D571" t="s">
        <v>4302</v>
      </c>
      <c r="E571" t="s">
        <v>29</v>
      </c>
      <c r="F571" t="s">
        <v>30</v>
      </c>
      <c r="G571" t="s">
        <v>31</v>
      </c>
      <c r="J571" t="s">
        <v>4301</v>
      </c>
      <c r="K571" t="s">
        <v>1967</v>
      </c>
      <c r="L571" t="s">
        <v>3010</v>
      </c>
      <c r="M571" s="8">
        <v>3.89625</v>
      </c>
      <c r="N571">
        <v>80.7856561622413</v>
      </c>
      <c r="O571">
        <v>1575</v>
      </c>
      <c r="P571" s="9">
        <v>0.175033878729548</v>
      </c>
      <c r="Q571" t="s">
        <v>504</v>
      </c>
      <c r="T571" s="15" t="s">
        <v>89</v>
      </c>
      <c r="W571" s="16" t="str">
        <f t="shared" si="56"/>
        <v>EN_WON_18_c02_COL</v>
      </c>
      <c r="X571" s="12">
        <f t="shared" si="57"/>
        <v>1575</v>
      </c>
      <c r="Y571" s="11">
        <f t="shared" si="58"/>
        <v>1575</v>
      </c>
      <c r="AC571" t="s">
        <v>26</v>
      </c>
      <c r="AD571" t="s">
        <v>4303</v>
      </c>
      <c r="AE571" t="s">
        <v>4304</v>
      </c>
      <c r="AF571" t="s">
        <v>29</v>
      </c>
      <c r="AG571" t="s">
        <v>30</v>
      </c>
      <c r="AH571" t="s">
        <v>31</v>
      </c>
      <c r="AK571" t="s">
        <v>4303</v>
      </c>
      <c r="AL571" t="s">
        <v>1967</v>
      </c>
      <c r="AM571" t="s">
        <v>4268</v>
      </c>
      <c r="AN571" s="8">
        <v>24.92625</v>
      </c>
      <c r="AO571">
        <v>45.3852000911468</v>
      </c>
      <c r="AP571">
        <v>2236</v>
      </c>
      <c r="AQ571" s="9">
        <v>0.360804994734467</v>
      </c>
      <c r="AR571" t="s">
        <v>1107</v>
      </c>
      <c r="AT571" s="15" t="s">
        <v>1043</v>
      </c>
      <c r="AW571" s="11" t="str">
        <f t="shared" si="59"/>
        <v>EN_WOF_36_c01_KOR</v>
      </c>
      <c r="AX571" s="11">
        <f t="shared" si="60"/>
        <v>2236</v>
      </c>
      <c r="AY571" s="11">
        <f t="shared" si="61"/>
        <v>2236</v>
      </c>
      <c r="AZ571" s="17">
        <v>3</v>
      </c>
      <c r="BA571">
        <f t="shared" si="62"/>
        <v>22.36</v>
      </c>
    </row>
    <row r="572" spans="2:53">
      <c r="B572" t="s">
        <v>26</v>
      </c>
      <c r="C572" t="s">
        <v>4305</v>
      </c>
      <c r="D572" t="s">
        <v>4306</v>
      </c>
      <c r="E572" t="s">
        <v>29</v>
      </c>
      <c r="F572" t="s">
        <v>30</v>
      </c>
      <c r="G572" t="s">
        <v>31</v>
      </c>
      <c r="J572" t="s">
        <v>4305</v>
      </c>
      <c r="K572" t="s">
        <v>1967</v>
      </c>
      <c r="L572" t="s">
        <v>3010</v>
      </c>
      <c r="M572" s="8">
        <v>0.1365</v>
      </c>
      <c r="N572">
        <v>105.747516212372</v>
      </c>
      <c r="O572">
        <v>1575</v>
      </c>
      <c r="P572" s="9">
        <v>0.177785714285714</v>
      </c>
      <c r="Q572" t="s">
        <v>504</v>
      </c>
      <c r="T572" s="15" t="s">
        <v>89</v>
      </c>
      <c r="W572" s="16" t="str">
        <f t="shared" si="56"/>
        <v>EN_WON_18_c03_COL</v>
      </c>
      <c r="X572" s="12">
        <f t="shared" si="57"/>
        <v>1575</v>
      </c>
      <c r="Y572" s="11">
        <f t="shared" si="58"/>
        <v>1575</v>
      </c>
      <c r="AC572" t="s">
        <v>26</v>
      </c>
      <c r="AD572" t="s">
        <v>4307</v>
      </c>
      <c r="AE572" t="s">
        <v>4308</v>
      </c>
      <c r="AF572" t="s">
        <v>29</v>
      </c>
      <c r="AG572" t="s">
        <v>30</v>
      </c>
      <c r="AH572" t="s">
        <v>31</v>
      </c>
      <c r="AK572" t="s">
        <v>4307</v>
      </c>
      <c r="AL572" t="s">
        <v>1967</v>
      </c>
      <c r="AM572" t="s">
        <v>4268</v>
      </c>
      <c r="AN572" s="8">
        <v>21.9705</v>
      </c>
      <c r="AO572">
        <v>199.694880401046</v>
      </c>
      <c r="AP572">
        <v>2236</v>
      </c>
      <c r="AQ572" s="9">
        <v>0.360396804806445</v>
      </c>
      <c r="AR572" t="s">
        <v>1107</v>
      </c>
      <c r="AT572" s="15" t="s">
        <v>1043</v>
      </c>
      <c r="AW572" s="11" t="str">
        <f t="shared" si="59"/>
        <v>EN_WOF_36_c02_KOR</v>
      </c>
      <c r="AX572" s="11">
        <f t="shared" si="60"/>
        <v>2236</v>
      </c>
      <c r="AY572" s="11">
        <f t="shared" si="61"/>
        <v>2236</v>
      </c>
      <c r="AZ572" s="17">
        <v>3</v>
      </c>
      <c r="BA572">
        <f t="shared" si="62"/>
        <v>22.36</v>
      </c>
    </row>
    <row r="573" spans="2:53">
      <c r="B573" t="s">
        <v>26</v>
      </c>
      <c r="C573" t="s">
        <v>4309</v>
      </c>
      <c r="D573" t="s">
        <v>4310</v>
      </c>
      <c r="E573" t="s">
        <v>29</v>
      </c>
      <c r="F573" t="s">
        <v>30</v>
      </c>
      <c r="G573" t="s">
        <v>31</v>
      </c>
      <c r="J573" t="s">
        <v>4309</v>
      </c>
      <c r="K573" t="s">
        <v>1967</v>
      </c>
      <c r="L573" t="s">
        <v>3010</v>
      </c>
      <c r="M573" s="8">
        <v>0.05325</v>
      </c>
      <c r="N573">
        <v>145.23264029167</v>
      </c>
      <c r="O573">
        <v>1575</v>
      </c>
      <c r="P573" s="9">
        <v>0.18</v>
      </c>
      <c r="Q573" t="s">
        <v>504</v>
      </c>
      <c r="T573" s="15" t="s">
        <v>89</v>
      </c>
      <c r="W573" s="16" t="str">
        <f t="shared" si="56"/>
        <v>EN_WON_18_c04_COL</v>
      </c>
      <c r="X573" s="12">
        <f t="shared" si="57"/>
        <v>1575</v>
      </c>
      <c r="Y573" s="11">
        <f t="shared" si="58"/>
        <v>1575</v>
      </c>
      <c r="AC573" t="s">
        <v>26</v>
      </c>
      <c r="AD573" t="s">
        <v>4311</v>
      </c>
      <c r="AE573" t="s">
        <v>4312</v>
      </c>
      <c r="AF573" t="s">
        <v>29</v>
      </c>
      <c r="AG573" t="s">
        <v>30</v>
      </c>
      <c r="AH573" t="s">
        <v>31</v>
      </c>
      <c r="AK573" t="s">
        <v>4311</v>
      </c>
      <c r="AL573" t="s">
        <v>1967</v>
      </c>
      <c r="AM573" t="s">
        <v>4268</v>
      </c>
      <c r="AN573" s="8">
        <v>73.635</v>
      </c>
      <c r="AO573">
        <v>45.3852000911468</v>
      </c>
      <c r="AP573">
        <v>2236</v>
      </c>
      <c r="AQ573" s="9">
        <v>0.368878009777959</v>
      </c>
      <c r="AR573" t="s">
        <v>1107</v>
      </c>
      <c r="AT573" s="15" t="s">
        <v>1043</v>
      </c>
      <c r="AW573" s="11" t="str">
        <f t="shared" si="59"/>
        <v>EN_WOF_37_c01_KOR</v>
      </c>
      <c r="AX573" s="11">
        <f t="shared" si="60"/>
        <v>2236</v>
      </c>
      <c r="AY573" s="11">
        <f t="shared" si="61"/>
        <v>2236</v>
      </c>
      <c r="AZ573" s="17">
        <v>3</v>
      </c>
      <c r="BA573">
        <f t="shared" si="62"/>
        <v>22.36</v>
      </c>
    </row>
    <row r="574" spans="2:53">
      <c r="B574" t="s">
        <v>26</v>
      </c>
      <c r="C574" t="s">
        <v>4313</v>
      </c>
      <c r="D574" t="s">
        <v>4314</v>
      </c>
      <c r="E574" t="s">
        <v>29</v>
      </c>
      <c r="F574" t="s">
        <v>30</v>
      </c>
      <c r="G574" t="s">
        <v>31</v>
      </c>
      <c r="J574" t="s">
        <v>4313</v>
      </c>
      <c r="K574" t="s">
        <v>1967</v>
      </c>
      <c r="L574" t="s">
        <v>3010</v>
      </c>
      <c r="M574" s="8">
        <v>0.94725</v>
      </c>
      <c r="N574">
        <v>80.7856561622413</v>
      </c>
      <c r="O574">
        <v>1575</v>
      </c>
      <c r="P574" s="9">
        <v>0.187</v>
      </c>
      <c r="Q574" t="s">
        <v>504</v>
      </c>
      <c r="T574" s="15" t="s">
        <v>89</v>
      </c>
      <c r="W574" s="16" t="str">
        <f t="shared" si="56"/>
        <v>EN_WON_19_c02_COL</v>
      </c>
      <c r="X574" s="12">
        <f t="shared" si="57"/>
        <v>1575</v>
      </c>
      <c r="Y574" s="11">
        <f t="shared" si="58"/>
        <v>1575</v>
      </c>
      <c r="AC574" t="s">
        <v>26</v>
      </c>
      <c r="AD574" t="s">
        <v>4315</v>
      </c>
      <c r="AE574" t="s">
        <v>4316</v>
      </c>
      <c r="AF574" t="s">
        <v>29</v>
      </c>
      <c r="AG574" t="s">
        <v>30</v>
      </c>
      <c r="AH574" t="s">
        <v>31</v>
      </c>
      <c r="AK574" t="s">
        <v>4315</v>
      </c>
      <c r="AL574" t="s">
        <v>1967</v>
      </c>
      <c r="AM574" t="s">
        <v>4268</v>
      </c>
      <c r="AN574" s="8">
        <v>69.93375</v>
      </c>
      <c r="AO574">
        <v>199.694880401046</v>
      </c>
      <c r="AP574">
        <v>2236</v>
      </c>
      <c r="AQ574" s="9">
        <v>0.369265494128372</v>
      </c>
      <c r="AR574" t="s">
        <v>1107</v>
      </c>
      <c r="AT574" s="15" t="s">
        <v>1043</v>
      </c>
      <c r="AW574" s="11" t="str">
        <f t="shared" si="59"/>
        <v>EN_WOF_37_c02_KOR</v>
      </c>
      <c r="AX574" s="11">
        <f t="shared" si="60"/>
        <v>2236</v>
      </c>
      <c r="AY574" s="11">
        <f t="shared" si="61"/>
        <v>2236</v>
      </c>
      <c r="AZ574" s="17">
        <v>3</v>
      </c>
      <c r="BA574">
        <f t="shared" si="62"/>
        <v>22.36</v>
      </c>
    </row>
    <row r="575" spans="2:53">
      <c r="B575" t="s">
        <v>26</v>
      </c>
      <c r="C575" t="s">
        <v>4317</v>
      </c>
      <c r="D575" t="s">
        <v>4318</v>
      </c>
      <c r="E575" t="s">
        <v>29</v>
      </c>
      <c r="F575" t="s">
        <v>30</v>
      </c>
      <c r="G575" t="s">
        <v>31</v>
      </c>
      <c r="J575" t="s">
        <v>4317</v>
      </c>
      <c r="K575" t="s">
        <v>1967</v>
      </c>
      <c r="L575" t="s">
        <v>3010</v>
      </c>
      <c r="M575" s="8">
        <v>0.45225</v>
      </c>
      <c r="N575">
        <v>105.747516212372</v>
      </c>
      <c r="O575">
        <v>1575</v>
      </c>
      <c r="P575" s="9">
        <v>0.188056384742952</v>
      </c>
      <c r="Q575" t="s">
        <v>504</v>
      </c>
      <c r="T575" s="15" t="s">
        <v>89</v>
      </c>
      <c r="W575" s="16" t="str">
        <f t="shared" si="56"/>
        <v>EN_WON_19_c03_COL</v>
      </c>
      <c r="X575" s="12">
        <f t="shared" si="57"/>
        <v>1575</v>
      </c>
      <c r="Y575" s="11">
        <f t="shared" si="58"/>
        <v>1575</v>
      </c>
      <c r="AC575" t="s">
        <v>26</v>
      </c>
      <c r="AD575" t="s">
        <v>4319</v>
      </c>
      <c r="AE575" t="s">
        <v>4320</v>
      </c>
      <c r="AF575" t="s">
        <v>29</v>
      </c>
      <c r="AG575" t="s">
        <v>30</v>
      </c>
      <c r="AH575" t="s">
        <v>31</v>
      </c>
      <c r="AK575" t="s">
        <v>4319</v>
      </c>
      <c r="AL575" t="s">
        <v>1967</v>
      </c>
      <c r="AM575" t="s">
        <v>4268</v>
      </c>
      <c r="AN575" s="8">
        <v>66.9645</v>
      </c>
      <c r="AO575">
        <v>45.3852000911468</v>
      </c>
      <c r="AP575">
        <v>2236</v>
      </c>
      <c r="AQ575" s="9">
        <v>0.37982998454405</v>
      </c>
      <c r="AR575" t="s">
        <v>1107</v>
      </c>
      <c r="AT575" s="15" t="s">
        <v>1043</v>
      </c>
      <c r="AW575" s="11" t="str">
        <f t="shared" si="59"/>
        <v>EN_WOF_38_c01_KOR</v>
      </c>
      <c r="AX575" s="11">
        <f t="shared" si="60"/>
        <v>2236</v>
      </c>
      <c r="AY575" s="11">
        <f t="shared" si="61"/>
        <v>2236</v>
      </c>
      <c r="AZ575" s="17">
        <v>3</v>
      </c>
      <c r="BA575">
        <f t="shared" si="62"/>
        <v>22.36</v>
      </c>
    </row>
    <row r="576" spans="2:53">
      <c r="B576" t="s">
        <v>26</v>
      </c>
      <c r="C576" t="s">
        <v>4321</v>
      </c>
      <c r="D576" t="s">
        <v>4322</v>
      </c>
      <c r="E576" t="s">
        <v>29</v>
      </c>
      <c r="F576" t="s">
        <v>30</v>
      </c>
      <c r="G576" t="s">
        <v>31</v>
      </c>
      <c r="J576" t="s">
        <v>4321</v>
      </c>
      <c r="K576" t="s">
        <v>1967</v>
      </c>
      <c r="L576" t="s">
        <v>3010</v>
      </c>
      <c r="M576" s="8">
        <v>0.22875</v>
      </c>
      <c r="N576">
        <v>145.23264029167</v>
      </c>
      <c r="O576">
        <v>1575</v>
      </c>
      <c r="P576" s="9">
        <v>0.190052459016393</v>
      </c>
      <c r="Q576" t="s">
        <v>504</v>
      </c>
      <c r="T576" s="15" t="s">
        <v>89</v>
      </c>
      <c r="W576" s="16" t="str">
        <f t="shared" si="56"/>
        <v>EN_WON_19_c04_COL</v>
      </c>
      <c r="X576" s="12">
        <f t="shared" si="57"/>
        <v>1575</v>
      </c>
      <c r="Y576" s="11">
        <f t="shared" si="58"/>
        <v>1575</v>
      </c>
      <c r="AC576" t="s">
        <v>26</v>
      </c>
      <c r="AD576" t="s">
        <v>4323</v>
      </c>
      <c r="AE576" t="s">
        <v>4324</v>
      </c>
      <c r="AF576" t="s">
        <v>29</v>
      </c>
      <c r="AG576" t="s">
        <v>30</v>
      </c>
      <c r="AH576" t="s">
        <v>31</v>
      </c>
      <c r="AK576" t="s">
        <v>4323</v>
      </c>
      <c r="AL576" t="s">
        <v>1967</v>
      </c>
      <c r="AM576" t="s">
        <v>4268</v>
      </c>
      <c r="AN576" s="8">
        <v>113.5095</v>
      </c>
      <c r="AO576">
        <v>199.694880401046</v>
      </c>
      <c r="AP576">
        <v>2236</v>
      </c>
      <c r="AQ576" s="9">
        <v>0.379113111677877</v>
      </c>
      <c r="AR576" t="s">
        <v>1107</v>
      </c>
      <c r="AT576" s="15" t="s">
        <v>1043</v>
      </c>
      <c r="AW576" s="11" t="str">
        <f t="shared" si="59"/>
        <v>EN_WOF_38_c02_KOR</v>
      </c>
      <c r="AX576" s="11">
        <f t="shared" si="60"/>
        <v>2236</v>
      </c>
      <c r="AY576" s="11">
        <f t="shared" si="61"/>
        <v>2236</v>
      </c>
      <c r="AZ576" s="17">
        <v>3</v>
      </c>
      <c r="BA576">
        <f t="shared" si="62"/>
        <v>22.36</v>
      </c>
    </row>
    <row r="577" spans="2:53">
      <c r="B577" t="s">
        <v>26</v>
      </c>
      <c r="C577" t="s">
        <v>4325</v>
      </c>
      <c r="D577" t="s">
        <v>4326</v>
      </c>
      <c r="E577" t="s">
        <v>29</v>
      </c>
      <c r="F577" t="s">
        <v>30</v>
      </c>
      <c r="G577" t="s">
        <v>31</v>
      </c>
      <c r="J577" t="s">
        <v>4325</v>
      </c>
      <c r="K577" t="s">
        <v>1967</v>
      </c>
      <c r="L577" t="s">
        <v>3010</v>
      </c>
      <c r="M577" s="8">
        <v>0.273</v>
      </c>
      <c r="N577">
        <v>80.7856561622413</v>
      </c>
      <c r="O577">
        <v>1575</v>
      </c>
      <c r="P577" s="9">
        <v>0.202024725274725</v>
      </c>
      <c r="Q577" t="s">
        <v>504</v>
      </c>
      <c r="T577" s="15" t="s">
        <v>89</v>
      </c>
      <c r="W577" s="16" t="str">
        <f t="shared" si="56"/>
        <v>EN_WON_20_c02_COL</v>
      </c>
      <c r="X577" s="12">
        <f t="shared" si="57"/>
        <v>1575</v>
      </c>
      <c r="Y577" s="11">
        <f t="shared" si="58"/>
        <v>1575</v>
      </c>
      <c r="AC577" t="s">
        <v>26</v>
      </c>
      <c r="AD577" t="s">
        <v>4327</v>
      </c>
      <c r="AE577" t="s">
        <v>4328</v>
      </c>
      <c r="AF577" t="s">
        <v>29</v>
      </c>
      <c r="AG577" t="s">
        <v>30</v>
      </c>
      <c r="AH577" t="s">
        <v>31</v>
      </c>
      <c r="AK577" t="s">
        <v>4327</v>
      </c>
      <c r="AL577" t="s">
        <v>1967</v>
      </c>
      <c r="AM577" t="s">
        <v>4268</v>
      </c>
      <c r="AN577" s="8">
        <v>62.163</v>
      </c>
      <c r="AO577">
        <v>45.3852000911468</v>
      </c>
      <c r="AP577">
        <v>2236</v>
      </c>
      <c r="AQ577" s="9">
        <v>0.388900885575021</v>
      </c>
      <c r="AR577" t="s">
        <v>1107</v>
      </c>
      <c r="AT577" s="15" t="s">
        <v>1043</v>
      </c>
      <c r="AW577" s="11" t="str">
        <f t="shared" si="59"/>
        <v>EN_WOF_39_c01_KOR</v>
      </c>
      <c r="AX577" s="11">
        <f t="shared" si="60"/>
        <v>2236</v>
      </c>
      <c r="AY577" s="11">
        <f t="shared" si="61"/>
        <v>2236</v>
      </c>
      <c r="AZ577" s="17">
        <v>3</v>
      </c>
      <c r="BA577">
        <f t="shared" si="62"/>
        <v>22.36</v>
      </c>
    </row>
    <row r="578" spans="2:53">
      <c r="B578" t="s">
        <v>26</v>
      </c>
      <c r="C578" t="s">
        <v>4329</v>
      </c>
      <c r="D578" t="s">
        <v>4330</v>
      </c>
      <c r="E578" t="s">
        <v>29</v>
      </c>
      <c r="F578" t="s">
        <v>30</v>
      </c>
      <c r="G578" t="s">
        <v>31</v>
      </c>
      <c r="J578" t="s">
        <v>4329</v>
      </c>
      <c r="K578" t="s">
        <v>1967</v>
      </c>
      <c r="L578" t="s">
        <v>3010</v>
      </c>
      <c r="M578" s="8">
        <v>0.2595</v>
      </c>
      <c r="N578">
        <v>105.747516212372</v>
      </c>
      <c r="O578">
        <v>1575</v>
      </c>
      <c r="P578" s="9">
        <v>0.19628901734104</v>
      </c>
      <c r="Q578" t="s">
        <v>504</v>
      </c>
      <c r="T578" s="15" t="s">
        <v>89</v>
      </c>
      <c r="W578" s="16" t="str">
        <f t="shared" si="56"/>
        <v>EN_WON_20_c03_COL</v>
      </c>
      <c r="X578" s="12">
        <f t="shared" si="57"/>
        <v>1575</v>
      </c>
      <c r="Y578" s="11">
        <f t="shared" si="58"/>
        <v>1575</v>
      </c>
      <c r="AC578" t="s">
        <v>26</v>
      </c>
      <c r="AD578" t="s">
        <v>4331</v>
      </c>
      <c r="AE578" t="s">
        <v>4332</v>
      </c>
      <c r="AF578" t="s">
        <v>29</v>
      </c>
      <c r="AG578" t="s">
        <v>30</v>
      </c>
      <c r="AH578" t="s">
        <v>31</v>
      </c>
      <c r="AK578" t="s">
        <v>4331</v>
      </c>
      <c r="AL578" t="s">
        <v>1967</v>
      </c>
      <c r="AM578" t="s">
        <v>4268</v>
      </c>
      <c r="AN578" s="8">
        <v>18.012</v>
      </c>
      <c r="AO578">
        <v>199.694880401046</v>
      </c>
      <c r="AP578">
        <v>2236</v>
      </c>
      <c r="AQ578" s="9">
        <v>0.389901190872752</v>
      </c>
      <c r="AR578" t="s">
        <v>1107</v>
      </c>
      <c r="AT578" s="15" t="s">
        <v>1043</v>
      </c>
      <c r="AW578" s="11" t="str">
        <f t="shared" si="59"/>
        <v>EN_WOF_39_c02_KOR</v>
      </c>
      <c r="AX578" s="11">
        <f t="shared" si="60"/>
        <v>2236</v>
      </c>
      <c r="AY578" s="11">
        <f t="shared" si="61"/>
        <v>2236</v>
      </c>
      <c r="AZ578" s="17">
        <v>3</v>
      </c>
      <c r="BA578">
        <f t="shared" si="62"/>
        <v>22.36</v>
      </c>
    </row>
    <row r="579" spans="2:53">
      <c r="B579" t="s">
        <v>26</v>
      </c>
      <c r="C579" t="s">
        <v>4333</v>
      </c>
      <c r="D579" t="s">
        <v>4334</v>
      </c>
      <c r="E579" t="s">
        <v>29</v>
      </c>
      <c r="F579" t="s">
        <v>30</v>
      </c>
      <c r="G579" t="s">
        <v>31</v>
      </c>
      <c r="J579" t="s">
        <v>4333</v>
      </c>
      <c r="K579" t="s">
        <v>1967</v>
      </c>
      <c r="L579" t="s">
        <v>3010</v>
      </c>
      <c r="M579" s="8">
        <v>0.237</v>
      </c>
      <c r="N579">
        <v>145.23264029167</v>
      </c>
      <c r="O579">
        <v>1575</v>
      </c>
      <c r="P579" s="9">
        <v>0.199</v>
      </c>
      <c r="Q579" t="s">
        <v>504</v>
      </c>
      <c r="T579" s="15" t="s">
        <v>89</v>
      </c>
      <c r="W579" s="16" t="str">
        <f t="shared" si="56"/>
        <v>EN_WON_20_c04_COL</v>
      </c>
      <c r="X579" s="12">
        <f t="shared" si="57"/>
        <v>1575</v>
      </c>
      <c r="Y579" s="11">
        <f t="shared" si="58"/>
        <v>1575</v>
      </c>
      <c r="AC579" t="s">
        <v>26</v>
      </c>
      <c r="AD579" t="s">
        <v>4335</v>
      </c>
      <c r="AE579" t="s">
        <v>4336</v>
      </c>
      <c r="AF579" t="s">
        <v>29</v>
      </c>
      <c r="AG579" t="s">
        <v>30</v>
      </c>
      <c r="AH579" t="s">
        <v>31</v>
      </c>
      <c r="AK579" t="s">
        <v>4335</v>
      </c>
      <c r="AL579" t="s">
        <v>1967</v>
      </c>
      <c r="AM579" t="s">
        <v>4268</v>
      </c>
      <c r="AN579" s="8">
        <v>12.9195</v>
      </c>
      <c r="AO579">
        <v>45.3852000911468</v>
      </c>
      <c r="AP579">
        <v>2236</v>
      </c>
      <c r="AQ579" s="9">
        <v>0.399</v>
      </c>
      <c r="AR579" t="s">
        <v>1107</v>
      </c>
      <c r="AT579" s="15" t="s">
        <v>1043</v>
      </c>
      <c r="AW579" s="11" t="str">
        <f t="shared" si="59"/>
        <v>EN_WOF_40_c01_KOR</v>
      </c>
      <c r="AX579" s="11">
        <f t="shared" si="60"/>
        <v>2236</v>
      </c>
      <c r="AY579" s="11">
        <f t="shared" si="61"/>
        <v>2236</v>
      </c>
      <c r="AZ579" s="17">
        <v>3</v>
      </c>
      <c r="BA579">
        <f t="shared" si="62"/>
        <v>22.36</v>
      </c>
    </row>
    <row r="580" spans="2:53">
      <c r="B580" t="s">
        <v>26</v>
      </c>
      <c r="C580" t="s">
        <v>4337</v>
      </c>
      <c r="D580" t="s">
        <v>4338</v>
      </c>
      <c r="E580" t="s">
        <v>29</v>
      </c>
      <c r="F580" t="s">
        <v>30</v>
      </c>
      <c r="G580" t="s">
        <v>31</v>
      </c>
      <c r="J580" t="s">
        <v>4337</v>
      </c>
      <c r="K580" t="s">
        <v>1967</v>
      </c>
      <c r="L580" t="s">
        <v>3010</v>
      </c>
      <c r="M580" s="8">
        <v>0.03225</v>
      </c>
      <c r="N580">
        <v>80.7856561622413</v>
      </c>
      <c r="O580">
        <v>1575</v>
      </c>
      <c r="P580" s="9">
        <v>0.209302325581395</v>
      </c>
      <c r="Q580" t="s">
        <v>504</v>
      </c>
      <c r="T580" s="15" t="s">
        <v>89</v>
      </c>
      <c r="W580" s="16" t="str">
        <f t="shared" si="56"/>
        <v>EN_WON_21_c02_COL</v>
      </c>
      <c r="X580" s="12">
        <f t="shared" si="57"/>
        <v>1575</v>
      </c>
      <c r="Y580" s="11">
        <f t="shared" si="58"/>
        <v>1575</v>
      </c>
      <c r="AC580" t="s">
        <v>26</v>
      </c>
      <c r="AD580" t="s">
        <v>4339</v>
      </c>
      <c r="AE580" t="s">
        <v>4340</v>
      </c>
      <c r="AF580" t="s">
        <v>29</v>
      </c>
      <c r="AG580" t="s">
        <v>30</v>
      </c>
      <c r="AH580" t="s">
        <v>31</v>
      </c>
      <c r="AK580" t="s">
        <v>4339</v>
      </c>
      <c r="AL580" t="s">
        <v>1967</v>
      </c>
      <c r="AM580" t="s">
        <v>4341</v>
      </c>
      <c r="AN580" s="8">
        <v>37.68525</v>
      </c>
      <c r="AO580">
        <v>199.694880401046</v>
      </c>
      <c r="AP580">
        <v>1514</v>
      </c>
      <c r="AQ580" s="9">
        <v>0.302476525961749</v>
      </c>
      <c r="AR580" t="s">
        <v>1149</v>
      </c>
      <c r="AT580" s="15" t="s">
        <v>80</v>
      </c>
      <c r="AW580" s="11" t="str">
        <f t="shared" si="59"/>
        <v>EN_WOF_30_c02_LBY</v>
      </c>
      <c r="AX580" s="11">
        <f t="shared" si="60"/>
        <v>1514</v>
      </c>
      <c r="AY580" s="11">
        <f t="shared" si="61"/>
        <v>1514</v>
      </c>
      <c r="AZ580" s="17">
        <v>3</v>
      </c>
      <c r="BA580">
        <f t="shared" si="62"/>
        <v>15.14</v>
      </c>
    </row>
    <row r="581" spans="2:53">
      <c r="B581" t="s">
        <v>26</v>
      </c>
      <c r="C581" t="s">
        <v>4342</v>
      </c>
      <c r="D581" t="s">
        <v>4343</v>
      </c>
      <c r="E581" t="s">
        <v>29</v>
      </c>
      <c r="F581" t="s">
        <v>30</v>
      </c>
      <c r="G581" t="s">
        <v>31</v>
      </c>
      <c r="J581" t="s">
        <v>4342</v>
      </c>
      <c r="K581" t="s">
        <v>1967</v>
      </c>
      <c r="L581" t="s">
        <v>3010</v>
      </c>
      <c r="M581" s="8">
        <v>0.51975</v>
      </c>
      <c r="N581">
        <v>105.747516212372</v>
      </c>
      <c r="O581">
        <v>1575</v>
      </c>
      <c r="P581" s="9">
        <v>0.208893217893218</v>
      </c>
      <c r="Q581" t="s">
        <v>504</v>
      </c>
      <c r="T581" s="15" t="s">
        <v>89</v>
      </c>
      <c r="W581" s="16" t="str">
        <f t="shared" si="56"/>
        <v>EN_WON_21_c03_COL</v>
      </c>
      <c r="X581" s="12">
        <f t="shared" si="57"/>
        <v>1575</v>
      </c>
      <c r="Y581" s="11">
        <f t="shared" si="58"/>
        <v>1575</v>
      </c>
      <c r="AC581" t="s">
        <v>26</v>
      </c>
      <c r="AD581" t="s">
        <v>4344</v>
      </c>
      <c r="AE581" t="s">
        <v>4345</v>
      </c>
      <c r="AF581" t="s">
        <v>29</v>
      </c>
      <c r="AG581" t="s">
        <v>30</v>
      </c>
      <c r="AH581" t="s">
        <v>31</v>
      </c>
      <c r="AK581" t="s">
        <v>4344</v>
      </c>
      <c r="AL581" t="s">
        <v>1967</v>
      </c>
      <c r="AM581" t="s">
        <v>4341</v>
      </c>
      <c r="AN581" s="8">
        <v>161.4225</v>
      </c>
      <c r="AO581">
        <v>199.694880401046</v>
      </c>
      <c r="AP581">
        <v>1514</v>
      </c>
      <c r="AQ581" s="9">
        <v>0.307835557310784</v>
      </c>
      <c r="AR581" t="s">
        <v>1149</v>
      </c>
      <c r="AT581" s="15" t="s">
        <v>80</v>
      </c>
      <c r="AW581" s="11" t="str">
        <f t="shared" si="59"/>
        <v>EN_WOF_31_c02_LBY</v>
      </c>
      <c r="AX581" s="11">
        <f t="shared" si="60"/>
        <v>1514</v>
      </c>
      <c r="AY581" s="11">
        <f t="shared" si="61"/>
        <v>1514</v>
      </c>
      <c r="AZ581" s="17">
        <v>3</v>
      </c>
      <c r="BA581">
        <f t="shared" si="62"/>
        <v>15.14</v>
      </c>
    </row>
    <row r="582" spans="2:53">
      <c r="B582" t="s">
        <v>26</v>
      </c>
      <c r="C582" t="s">
        <v>4346</v>
      </c>
      <c r="D582" t="s">
        <v>4347</v>
      </c>
      <c r="E582" t="s">
        <v>29</v>
      </c>
      <c r="F582" t="s">
        <v>30</v>
      </c>
      <c r="G582" t="s">
        <v>31</v>
      </c>
      <c r="J582" t="s">
        <v>4346</v>
      </c>
      <c r="K582" t="s">
        <v>1967</v>
      </c>
      <c r="L582" t="s">
        <v>3010</v>
      </c>
      <c r="M582" s="8">
        <v>0.45675</v>
      </c>
      <c r="N582">
        <v>80.7856561622413</v>
      </c>
      <c r="O582">
        <v>1575</v>
      </c>
      <c r="P582" s="9">
        <v>0.221</v>
      </c>
      <c r="Q582" t="s">
        <v>504</v>
      </c>
      <c r="T582" s="15" t="s">
        <v>89</v>
      </c>
      <c r="W582" s="16" t="str">
        <f t="shared" ref="W582:W645" si="63">J582</f>
        <v>EN_WON_22_c02_COL</v>
      </c>
      <c r="X582" s="12">
        <f t="shared" ref="X582:X645" si="64">O582</f>
        <v>1575</v>
      </c>
      <c r="Y582" s="11">
        <f t="shared" ref="Y582:Y645" si="65">X582</f>
        <v>1575</v>
      </c>
      <c r="AC582" t="s">
        <v>26</v>
      </c>
      <c r="AD582" t="s">
        <v>4348</v>
      </c>
      <c r="AE582" t="s">
        <v>4349</v>
      </c>
      <c r="AF582" t="s">
        <v>29</v>
      </c>
      <c r="AG582" t="s">
        <v>30</v>
      </c>
      <c r="AH582" t="s">
        <v>31</v>
      </c>
      <c r="AK582" t="s">
        <v>4348</v>
      </c>
      <c r="AL582" t="s">
        <v>1967</v>
      </c>
      <c r="AM582" t="s">
        <v>4341</v>
      </c>
      <c r="AN582" s="8">
        <v>32.90175</v>
      </c>
      <c r="AO582">
        <v>199.694880401046</v>
      </c>
      <c r="AP582">
        <v>1514</v>
      </c>
      <c r="AQ582" s="9">
        <v>0.318184663429757</v>
      </c>
      <c r="AR582" t="s">
        <v>1149</v>
      </c>
      <c r="AT582" s="15" t="s">
        <v>80</v>
      </c>
      <c r="AW582" s="11" t="str">
        <f t="shared" ref="AW582:AW645" si="66">AK582</f>
        <v>EN_WOF_32_c02_LBY</v>
      </c>
      <c r="AX582" s="11">
        <f t="shared" ref="AX582:AX645" si="67">AP582</f>
        <v>1514</v>
      </c>
      <c r="AY582" s="11">
        <f t="shared" ref="AY582:AY645" si="68">AX582</f>
        <v>1514</v>
      </c>
      <c r="AZ582" s="17">
        <v>3</v>
      </c>
      <c r="BA582">
        <f t="shared" ref="BA582:BA645" si="69">AX582*0.01</f>
        <v>15.14</v>
      </c>
    </row>
    <row r="583" spans="2:53">
      <c r="B583" t="s">
        <v>26</v>
      </c>
      <c r="C583" t="s">
        <v>4350</v>
      </c>
      <c r="D583" t="s">
        <v>4351</v>
      </c>
      <c r="E583" t="s">
        <v>29</v>
      </c>
      <c r="F583" t="s">
        <v>30</v>
      </c>
      <c r="G583" t="s">
        <v>31</v>
      </c>
      <c r="J583" t="s">
        <v>4350</v>
      </c>
      <c r="K583" t="s">
        <v>1967</v>
      </c>
      <c r="L583" t="s">
        <v>3010</v>
      </c>
      <c r="M583" s="8">
        <v>0.054</v>
      </c>
      <c r="N583">
        <v>105.747516212372</v>
      </c>
      <c r="O583">
        <v>1575</v>
      </c>
      <c r="P583" s="9">
        <v>0.223</v>
      </c>
      <c r="Q583" t="s">
        <v>504</v>
      </c>
      <c r="T583" s="15" t="s">
        <v>89</v>
      </c>
      <c r="W583" s="16" t="str">
        <f t="shared" si="63"/>
        <v>EN_WON_22_c03_COL</v>
      </c>
      <c r="X583" s="12">
        <f t="shared" si="64"/>
        <v>1575</v>
      </c>
      <c r="Y583" s="11">
        <f t="shared" si="65"/>
        <v>1575</v>
      </c>
      <c r="AC583" t="s">
        <v>26</v>
      </c>
      <c r="AD583" t="s">
        <v>4352</v>
      </c>
      <c r="AE583" t="s">
        <v>4353</v>
      </c>
      <c r="AF583" t="s">
        <v>29</v>
      </c>
      <c r="AG583" t="s">
        <v>30</v>
      </c>
      <c r="AH583" t="s">
        <v>31</v>
      </c>
      <c r="AK583" t="s">
        <v>4352</v>
      </c>
      <c r="AL583" t="s">
        <v>1967</v>
      </c>
      <c r="AM583" t="s">
        <v>4341</v>
      </c>
      <c r="AN583" s="8">
        <v>21.73725</v>
      </c>
      <c r="AO583">
        <v>199.694880401046</v>
      </c>
      <c r="AP583">
        <v>1514</v>
      </c>
      <c r="AQ583" s="9">
        <v>0.328138563985785</v>
      </c>
      <c r="AR583" t="s">
        <v>1149</v>
      </c>
      <c r="AT583" s="15" t="s">
        <v>80</v>
      </c>
      <c r="AW583" s="11" t="str">
        <f t="shared" si="66"/>
        <v>EN_WOF_33_c02_LBY</v>
      </c>
      <c r="AX583" s="11">
        <f t="shared" si="67"/>
        <v>1514</v>
      </c>
      <c r="AY583" s="11">
        <f t="shared" si="68"/>
        <v>1514</v>
      </c>
      <c r="AZ583" s="17">
        <v>3</v>
      </c>
      <c r="BA583">
        <f t="shared" si="69"/>
        <v>15.14</v>
      </c>
    </row>
    <row r="584" spans="2:53">
      <c r="B584" t="s">
        <v>26</v>
      </c>
      <c r="C584" t="s">
        <v>4354</v>
      </c>
      <c r="D584" t="s">
        <v>4355</v>
      </c>
      <c r="E584" t="s">
        <v>29</v>
      </c>
      <c r="F584" t="s">
        <v>30</v>
      </c>
      <c r="G584" t="s">
        <v>31</v>
      </c>
      <c r="J584" t="s">
        <v>4354</v>
      </c>
      <c r="K584" t="s">
        <v>1967</v>
      </c>
      <c r="L584" t="s">
        <v>3010</v>
      </c>
      <c r="M584" s="8">
        <v>0.78975</v>
      </c>
      <c r="N584">
        <v>145.23264029167</v>
      </c>
      <c r="O584">
        <v>1575</v>
      </c>
      <c r="P584" s="9">
        <v>0.218393162393162</v>
      </c>
      <c r="Q584" t="s">
        <v>504</v>
      </c>
      <c r="T584" s="15" t="s">
        <v>89</v>
      </c>
      <c r="W584" s="16" t="str">
        <f t="shared" si="63"/>
        <v>EN_WON_22_c04_COL</v>
      </c>
      <c r="X584" s="12">
        <f t="shared" si="64"/>
        <v>1575</v>
      </c>
      <c r="Y584" s="11">
        <f t="shared" si="65"/>
        <v>1575</v>
      </c>
      <c r="AC584" t="s">
        <v>26</v>
      </c>
      <c r="AD584" t="s">
        <v>4356</v>
      </c>
      <c r="AE584" t="s">
        <v>4357</v>
      </c>
      <c r="AF584" t="s">
        <v>29</v>
      </c>
      <c r="AG584" t="s">
        <v>30</v>
      </c>
      <c r="AH584" t="s">
        <v>31</v>
      </c>
      <c r="AK584" t="s">
        <v>4356</v>
      </c>
      <c r="AL584" t="s">
        <v>1967</v>
      </c>
      <c r="AM584" t="s">
        <v>4341</v>
      </c>
      <c r="AN584" s="8">
        <v>8.71425</v>
      </c>
      <c r="AO584">
        <v>199.694880401046</v>
      </c>
      <c r="AP584">
        <v>1514</v>
      </c>
      <c r="AQ584" s="9">
        <v>0.337990963077718</v>
      </c>
      <c r="AR584" t="s">
        <v>1149</v>
      </c>
      <c r="AT584" s="15" t="s">
        <v>80</v>
      </c>
      <c r="AW584" s="11" t="str">
        <f t="shared" si="66"/>
        <v>EN_WOF_34_c02_LBY</v>
      </c>
      <c r="AX584" s="11">
        <f t="shared" si="67"/>
        <v>1514</v>
      </c>
      <c r="AY584" s="11">
        <f t="shared" si="68"/>
        <v>1514</v>
      </c>
      <c r="AZ584" s="17">
        <v>3</v>
      </c>
      <c r="BA584">
        <f t="shared" si="69"/>
        <v>15.14</v>
      </c>
    </row>
    <row r="585" spans="2:53">
      <c r="B585" t="s">
        <v>26</v>
      </c>
      <c r="C585" t="s">
        <v>4358</v>
      </c>
      <c r="D585" t="s">
        <v>4359</v>
      </c>
      <c r="E585" t="s">
        <v>29</v>
      </c>
      <c r="F585" t="s">
        <v>30</v>
      </c>
      <c r="G585" t="s">
        <v>31</v>
      </c>
      <c r="J585" t="s">
        <v>4358</v>
      </c>
      <c r="K585" t="s">
        <v>1967</v>
      </c>
      <c r="L585" t="s">
        <v>3010</v>
      </c>
      <c r="M585" s="8">
        <v>0.98175</v>
      </c>
      <c r="N585">
        <v>80.7856561622413</v>
      </c>
      <c r="O585">
        <v>1575</v>
      </c>
      <c r="P585" s="9">
        <v>0.231016806722689</v>
      </c>
      <c r="Q585" t="s">
        <v>504</v>
      </c>
      <c r="T585" s="15" t="s">
        <v>89</v>
      </c>
      <c r="W585" s="16" t="str">
        <f t="shared" si="63"/>
        <v>EN_WON_23_c02_COL</v>
      </c>
      <c r="X585" s="12">
        <f t="shared" si="64"/>
        <v>1575</v>
      </c>
      <c r="Y585" s="11">
        <f t="shared" si="65"/>
        <v>1575</v>
      </c>
      <c r="AC585" t="s">
        <v>26</v>
      </c>
      <c r="AD585" t="s">
        <v>4360</v>
      </c>
      <c r="AE585" t="s">
        <v>4361</v>
      </c>
      <c r="AF585" t="s">
        <v>29</v>
      </c>
      <c r="AG585" t="s">
        <v>30</v>
      </c>
      <c r="AH585" t="s">
        <v>31</v>
      </c>
      <c r="AK585" t="s">
        <v>4360</v>
      </c>
      <c r="AL585" t="s">
        <v>1967</v>
      </c>
      <c r="AM585" t="s">
        <v>4341</v>
      </c>
      <c r="AN585" s="8">
        <v>5.0655</v>
      </c>
      <c r="AO585">
        <v>199.694880401046</v>
      </c>
      <c r="AP585">
        <v>1514</v>
      </c>
      <c r="AQ585" s="9">
        <v>0.352889102753924</v>
      </c>
      <c r="AR585" t="s">
        <v>1149</v>
      </c>
      <c r="AT585" s="15" t="s">
        <v>80</v>
      </c>
      <c r="AW585" s="11" t="str">
        <f t="shared" si="66"/>
        <v>EN_WOF_35_c02_LBY</v>
      </c>
      <c r="AX585" s="11">
        <f t="shared" si="67"/>
        <v>1514</v>
      </c>
      <c r="AY585" s="11">
        <f t="shared" si="68"/>
        <v>1514</v>
      </c>
      <c r="AZ585" s="17">
        <v>3</v>
      </c>
      <c r="BA585">
        <f t="shared" si="69"/>
        <v>15.14</v>
      </c>
    </row>
    <row r="586" spans="2:53">
      <c r="B586" t="s">
        <v>26</v>
      </c>
      <c r="C586" t="s">
        <v>4362</v>
      </c>
      <c r="D586" t="s">
        <v>4363</v>
      </c>
      <c r="E586" t="s">
        <v>29</v>
      </c>
      <c r="F586" t="s">
        <v>30</v>
      </c>
      <c r="G586" t="s">
        <v>31</v>
      </c>
      <c r="J586" t="s">
        <v>4362</v>
      </c>
      <c r="K586" t="s">
        <v>1967</v>
      </c>
      <c r="L586" t="s">
        <v>3010</v>
      </c>
      <c r="M586" s="8">
        <v>0.393</v>
      </c>
      <c r="N586">
        <v>105.747516212372</v>
      </c>
      <c r="O586">
        <v>1575</v>
      </c>
      <c r="P586" s="9">
        <v>0.226</v>
      </c>
      <c r="Q586" t="s">
        <v>504</v>
      </c>
      <c r="T586" s="15" t="s">
        <v>89</v>
      </c>
      <c r="W586" s="16" t="str">
        <f t="shared" si="63"/>
        <v>EN_WON_23_c03_COL</v>
      </c>
      <c r="X586" s="12">
        <f t="shared" si="64"/>
        <v>1575</v>
      </c>
      <c r="Y586" s="11">
        <f t="shared" si="65"/>
        <v>1575</v>
      </c>
      <c r="AC586" t="s">
        <v>26</v>
      </c>
      <c r="AD586" t="s">
        <v>4364</v>
      </c>
      <c r="AE586" t="s">
        <v>4365</v>
      </c>
      <c r="AF586" t="s">
        <v>29</v>
      </c>
      <c r="AG586" t="s">
        <v>30</v>
      </c>
      <c r="AH586" t="s">
        <v>31</v>
      </c>
      <c r="AK586" t="s">
        <v>4364</v>
      </c>
      <c r="AL586" t="s">
        <v>1967</v>
      </c>
      <c r="AM586" t="s">
        <v>4341</v>
      </c>
      <c r="AN586" s="8">
        <v>2.304</v>
      </c>
      <c r="AO586">
        <v>199.694880401046</v>
      </c>
      <c r="AP586">
        <v>1514</v>
      </c>
      <c r="AQ586" s="9">
        <v>0.366</v>
      </c>
      <c r="AR586" t="s">
        <v>1149</v>
      </c>
      <c r="AT586" s="15" t="s">
        <v>80</v>
      </c>
      <c r="AW586" s="11" t="str">
        <f t="shared" si="66"/>
        <v>EN_WOF_37_c02_LBY</v>
      </c>
      <c r="AX586" s="11">
        <f t="shared" si="67"/>
        <v>1514</v>
      </c>
      <c r="AY586" s="11">
        <f t="shared" si="68"/>
        <v>1514</v>
      </c>
      <c r="AZ586" s="17">
        <v>3</v>
      </c>
      <c r="BA586">
        <f t="shared" si="69"/>
        <v>15.14</v>
      </c>
    </row>
    <row r="587" spans="2:53">
      <c r="B587" t="s">
        <v>26</v>
      </c>
      <c r="C587" t="s">
        <v>4366</v>
      </c>
      <c r="D587" t="s">
        <v>4367</v>
      </c>
      <c r="E587" t="s">
        <v>29</v>
      </c>
      <c r="F587" t="s">
        <v>30</v>
      </c>
      <c r="G587" t="s">
        <v>31</v>
      </c>
      <c r="J587" t="s">
        <v>4366</v>
      </c>
      <c r="K587" t="s">
        <v>1967</v>
      </c>
      <c r="L587" t="s">
        <v>3010</v>
      </c>
      <c r="M587" s="8">
        <v>0.11925</v>
      </c>
      <c r="N587">
        <v>145.23264029167</v>
      </c>
      <c r="O587">
        <v>1575</v>
      </c>
      <c r="P587" s="9">
        <v>0.22725786163522</v>
      </c>
      <c r="Q587" t="s">
        <v>504</v>
      </c>
      <c r="T587" s="15" t="s">
        <v>89</v>
      </c>
      <c r="W587" s="16" t="str">
        <f t="shared" si="63"/>
        <v>EN_WON_23_c04_COL</v>
      </c>
      <c r="X587" s="12">
        <f t="shared" si="64"/>
        <v>1575</v>
      </c>
      <c r="Y587" s="11">
        <f t="shared" si="65"/>
        <v>1575</v>
      </c>
      <c r="AC587" t="s">
        <v>26</v>
      </c>
      <c r="AD587" t="s">
        <v>4368</v>
      </c>
      <c r="AE587" t="s">
        <v>4369</v>
      </c>
      <c r="AF587" t="s">
        <v>29</v>
      </c>
      <c r="AG587" t="s">
        <v>30</v>
      </c>
      <c r="AH587" t="s">
        <v>31</v>
      </c>
      <c r="AK587" t="s">
        <v>4368</v>
      </c>
      <c r="AL587" t="s">
        <v>1967</v>
      </c>
      <c r="AM587" t="s">
        <v>4341</v>
      </c>
      <c r="AN587" s="8">
        <v>8.09025</v>
      </c>
      <c r="AO587">
        <v>199.694880401046</v>
      </c>
      <c r="AP587">
        <v>1514</v>
      </c>
      <c r="AQ587" s="9">
        <v>0.376366459627329</v>
      </c>
      <c r="AR587" t="s">
        <v>1149</v>
      </c>
      <c r="AT587" s="15" t="s">
        <v>80</v>
      </c>
      <c r="AW587" s="11" t="str">
        <f t="shared" si="66"/>
        <v>EN_WOF_38_c02_LBY</v>
      </c>
      <c r="AX587" s="11">
        <f t="shared" si="67"/>
        <v>1514</v>
      </c>
      <c r="AY587" s="11">
        <f t="shared" si="68"/>
        <v>1514</v>
      </c>
      <c r="AZ587" s="17">
        <v>3</v>
      </c>
      <c r="BA587">
        <f t="shared" si="69"/>
        <v>15.14</v>
      </c>
    </row>
    <row r="588" spans="2:53">
      <c r="B588" t="s">
        <v>26</v>
      </c>
      <c r="C588" t="s">
        <v>4370</v>
      </c>
      <c r="D588" t="s">
        <v>4371</v>
      </c>
      <c r="E588" t="s">
        <v>29</v>
      </c>
      <c r="F588" t="s">
        <v>30</v>
      </c>
      <c r="G588" t="s">
        <v>31</v>
      </c>
      <c r="J588" t="s">
        <v>4370</v>
      </c>
      <c r="K588" t="s">
        <v>1967</v>
      </c>
      <c r="L588" t="s">
        <v>3010</v>
      </c>
      <c r="M588" s="8">
        <v>0.05175</v>
      </c>
      <c r="N588">
        <v>145.23264029167</v>
      </c>
      <c r="O588">
        <v>1575</v>
      </c>
      <c r="P588" s="9">
        <v>0.243</v>
      </c>
      <c r="Q588" t="s">
        <v>504</v>
      </c>
      <c r="T588" s="15" t="s">
        <v>89</v>
      </c>
      <c r="W588" s="16" t="str">
        <f t="shared" si="63"/>
        <v>EN_WON_24_c04_COL</v>
      </c>
      <c r="X588" s="12">
        <f t="shared" si="64"/>
        <v>1575</v>
      </c>
      <c r="Y588" s="11">
        <f t="shared" si="65"/>
        <v>1575</v>
      </c>
      <c r="AC588" t="s">
        <v>26</v>
      </c>
      <c r="AD588" t="s">
        <v>4372</v>
      </c>
      <c r="AE588" t="s">
        <v>4373</v>
      </c>
      <c r="AF588" t="s">
        <v>29</v>
      </c>
      <c r="AG588" t="s">
        <v>30</v>
      </c>
      <c r="AH588" t="s">
        <v>31</v>
      </c>
      <c r="AK588" t="s">
        <v>4372</v>
      </c>
      <c r="AL588" t="s">
        <v>1967</v>
      </c>
      <c r="AM588" t="s">
        <v>4341</v>
      </c>
      <c r="AN588" s="8">
        <v>0.7065</v>
      </c>
      <c r="AO588">
        <v>199.694880401046</v>
      </c>
      <c r="AP588">
        <v>1514</v>
      </c>
      <c r="AQ588" s="9">
        <v>0.411</v>
      </c>
      <c r="AR588" t="s">
        <v>1149</v>
      </c>
      <c r="AT588" s="15" t="s">
        <v>80</v>
      </c>
      <c r="AW588" s="11" t="str">
        <f t="shared" si="66"/>
        <v>EN_WOF_41_c02_LBY</v>
      </c>
      <c r="AX588" s="11">
        <f t="shared" si="67"/>
        <v>1514</v>
      </c>
      <c r="AY588" s="11">
        <f t="shared" si="68"/>
        <v>1514</v>
      </c>
      <c r="AZ588" s="17">
        <v>3</v>
      </c>
      <c r="BA588">
        <f t="shared" si="69"/>
        <v>15.14</v>
      </c>
    </row>
    <row r="589" spans="2:53">
      <c r="B589" t="s">
        <v>26</v>
      </c>
      <c r="C589" t="s">
        <v>4374</v>
      </c>
      <c r="D589" t="s">
        <v>4375</v>
      </c>
      <c r="E589" t="s">
        <v>29</v>
      </c>
      <c r="F589" t="s">
        <v>30</v>
      </c>
      <c r="G589" t="s">
        <v>31</v>
      </c>
      <c r="J589" t="s">
        <v>4374</v>
      </c>
      <c r="K589" t="s">
        <v>1967</v>
      </c>
      <c r="L589" t="s">
        <v>3010</v>
      </c>
      <c r="M589" s="8">
        <v>0.3585</v>
      </c>
      <c r="N589">
        <v>105.747516212372</v>
      </c>
      <c r="O589">
        <v>1575</v>
      </c>
      <c r="P589" s="9">
        <v>0.247964435146444</v>
      </c>
      <c r="Q589" t="s">
        <v>504</v>
      </c>
      <c r="T589" s="15" t="s">
        <v>89</v>
      </c>
      <c r="W589" s="16" t="str">
        <f t="shared" si="63"/>
        <v>EN_WON_25_c03_COL</v>
      </c>
      <c r="X589" s="12">
        <f t="shared" si="64"/>
        <v>1575</v>
      </c>
      <c r="Y589" s="11">
        <f t="shared" si="65"/>
        <v>1575</v>
      </c>
      <c r="AC589" t="s">
        <v>26</v>
      </c>
      <c r="AD589" t="s">
        <v>4376</v>
      </c>
      <c r="AE589" t="s">
        <v>4377</v>
      </c>
      <c r="AF589" t="s">
        <v>29</v>
      </c>
      <c r="AG589" t="s">
        <v>30</v>
      </c>
      <c r="AH589" t="s">
        <v>31</v>
      </c>
      <c r="AK589" t="s">
        <v>4376</v>
      </c>
      <c r="AL589" t="s">
        <v>1967</v>
      </c>
      <c r="AM589" t="s">
        <v>4378</v>
      </c>
      <c r="AN589" s="8">
        <v>2.091</v>
      </c>
      <c r="AO589">
        <v>199.694880401046</v>
      </c>
      <c r="AP589">
        <v>1997</v>
      </c>
      <c r="AQ589" s="9">
        <v>0.305</v>
      </c>
      <c r="AR589" t="s">
        <v>4379</v>
      </c>
      <c r="AT589" s="15" t="s">
        <v>89</v>
      </c>
      <c r="AW589" s="11" t="str">
        <f t="shared" si="66"/>
        <v>EN_WOF_31_c02_LCA</v>
      </c>
      <c r="AX589" s="11">
        <f t="shared" si="67"/>
        <v>1997</v>
      </c>
      <c r="AY589" s="11">
        <f t="shared" si="68"/>
        <v>1997</v>
      </c>
      <c r="AZ589" s="17">
        <v>3</v>
      </c>
      <c r="BA589">
        <f t="shared" si="69"/>
        <v>19.97</v>
      </c>
    </row>
    <row r="590" spans="2:53">
      <c r="B590" t="s">
        <v>26</v>
      </c>
      <c r="C590" t="s">
        <v>4380</v>
      </c>
      <c r="D590" t="s">
        <v>4381</v>
      </c>
      <c r="E590" t="s">
        <v>29</v>
      </c>
      <c r="F590" t="s">
        <v>30</v>
      </c>
      <c r="G590" t="s">
        <v>31</v>
      </c>
      <c r="J590" t="s">
        <v>4380</v>
      </c>
      <c r="K590" t="s">
        <v>1967</v>
      </c>
      <c r="L590" t="s">
        <v>3010</v>
      </c>
      <c r="M590" s="8">
        <v>0.0195</v>
      </c>
      <c r="N590">
        <v>145.23264029167</v>
      </c>
      <c r="O590">
        <v>1575</v>
      </c>
      <c r="P590" s="9">
        <v>0.255</v>
      </c>
      <c r="Q590" t="s">
        <v>504</v>
      </c>
      <c r="T590" s="15" t="s">
        <v>89</v>
      </c>
      <c r="W590" s="16" t="str">
        <f t="shared" si="63"/>
        <v>EN_WON_26_c04_COL</v>
      </c>
      <c r="X590" s="12">
        <f t="shared" si="64"/>
        <v>1575</v>
      </c>
      <c r="Y590" s="11">
        <f t="shared" si="65"/>
        <v>1575</v>
      </c>
      <c r="AC590" t="s">
        <v>26</v>
      </c>
      <c r="AD590" t="s">
        <v>4382</v>
      </c>
      <c r="AE590" t="s">
        <v>4383</v>
      </c>
      <c r="AF590" t="s">
        <v>29</v>
      </c>
      <c r="AG590" t="s">
        <v>30</v>
      </c>
      <c r="AH590" t="s">
        <v>31</v>
      </c>
      <c r="AK590" t="s">
        <v>4382</v>
      </c>
      <c r="AL590" t="s">
        <v>1967</v>
      </c>
      <c r="AM590" t="s">
        <v>4378</v>
      </c>
      <c r="AN590" s="8">
        <v>1.66425</v>
      </c>
      <c r="AO590">
        <v>199.694880401046</v>
      </c>
      <c r="AP590">
        <v>1997</v>
      </c>
      <c r="AQ590" s="9">
        <v>0.321</v>
      </c>
      <c r="AR590" t="s">
        <v>4379</v>
      </c>
      <c r="AT590" s="15" t="s">
        <v>89</v>
      </c>
      <c r="AW590" s="11" t="str">
        <f t="shared" si="66"/>
        <v>EN_WOF_32_c02_LCA</v>
      </c>
      <c r="AX590" s="11">
        <f t="shared" si="67"/>
        <v>1997</v>
      </c>
      <c r="AY590" s="11">
        <f t="shared" si="68"/>
        <v>1997</v>
      </c>
      <c r="AZ590" s="17">
        <v>3</v>
      </c>
      <c r="BA590">
        <f t="shared" si="69"/>
        <v>19.97</v>
      </c>
    </row>
    <row r="591" spans="2:53">
      <c r="B591" t="s">
        <v>26</v>
      </c>
      <c r="C591" t="s">
        <v>4384</v>
      </c>
      <c r="D591" t="s">
        <v>4385</v>
      </c>
      <c r="E591" t="s">
        <v>29</v>
      </c>
      <c r="F591" t="s">
        <v>30</v>
      </c>
      <c r="G591" t="s">
        <v>31</v>
      </c>
      <c r="J591" t="s">
        <v>4384</v>
      </c>
      <c r="K591" t="s">
        <v>1967</v>
      </c>
      <c r="L591" t="s">
        <v>3010</v>
      </c>
      <c r="M591" s="8">
        <v>2.16975</v>
      </c>
      <c r="N591">
        <v>80.7856561622413</v>
      </c>
      <c r="O591">
        <v>1575</v>
      </c>
      <c r="P591" s="9">
        <v>0.272538541306602</v>
      </c>
      <c r="Q591" t="s">
        <v>504</v>
      </c>
      <c r="T591" s="15" t="s">
        <v>89</v>
      </c>
      <c r="W591" s="16" t="str">
        <f t="shared" si="63"/>
        <v>EN_WON_27_c02_COL</v>
      </c>
      <c r="X591" s="12">
        <f t="shared" si="64"/>
        <v>1575</v>
      </c>
      <c r="Y591" s="11">
        <f t="shared" si="65"/>
        <v>1575</v>
      </c>
      <c r="AC591" t="s">
        <v>26</v>
      </c>
      <c r="AD591" t="s">
        <v>4386</v>
      </c>
      <c r="AE591" t="s">
        <v>4387</v>
      </c>
      <c r="AF591" t="s">
        <v>29</v>
      </c>
      <c r="AG591" t="s">
        <v>30</v>
      </c>
      <c r="AH591" t="s">
        <v>31</v>
      </c>
      <c r="AK591" t="s">
        <v>4386</v>
      </c>
      <c r="AL591" t="s">
        <v>1967</v>
      </c>
      <c r="AM591" t="s">
        <v>4378</v>
      </c>
      <c r="AN591" s="8">
        <v>1.461</v>
      </c>
      <c r="AO591">
        <v>199.694880401046</v>
      </c>
      <c r="AP591">
        <v>1997</v>
      </c>
      <c r="AQ591" s="9">
        <v>0.325</v>
      </c>
      <c r="AR591" t="s">
        <v>4379</v>
      </c>
      <c r="AT591" s="15" t="s">
        <v>89</v>
      </c>
      <c r="AW591" s="11" t="str">
        <f t="shared" si="66"/>
        <v>EN_WOF_33_c02_LCA</v>
      </c>
      <c r="AX591" s="11">
        <f t="shared" si="67"/>
        <v>1997</v>
      </c>
      <c r="AY591" s="11">
        <f t="shared" si="68"/>
        <v>1997</v>
      </c>
      <c r="AZ591" s="17">
        <v>3</v>
      </c>
      <c r="BA591">
        <f t="shared" si="69"/>
        <v>19.97</v>
      </c>
    </row>
    <row r="592" spans="2:53">
      <c r="B592" t="s">
        <v>26</v>
      </c>
      <c r="C592" t="s">
        <v>4388</v>
      </c>
      <c r="D592" t="s">
        <v>4389</v>
      </c>
      <c r="E592" t="s">
        <v>29</v>
      </c>
      <c r="F592" t="s">
        <v>30</v>
      </c>
      <c r="G592" t="s">
        <v>31</v>
      </c>
      <c r="J592" t="s">
        <v>4388</v>
      </c>
      <c r="K592" t="s">
        <v>1967</v>
      </c>
      <c r="L592" t="s">
        <v>3010</v>
      </c>
      <c r="M592" s="8">
        <v>0.30675</v>
      </c>
      <c r="N592">
        <v>105.747516212372</v>
      </c>
      <c r="O592">
        <v>1575</v>
      </c>
      <c r="P592" s="9">
        <v>0.268</v>
      </c>
      <c r="Q592" t="s">
        <v>504</v>
      </c>
      <c r="T592" s="15" t="s">
        <v>89</v>
      </c>
      <c r="W592" s="16" t="str">
        <f t="shared" si="63"/>
        <v>EN_WON_27_c03_COL</v>
      </c>
      <c r="X592" s="12">
        <f t="shared" si="64"/>
        <v>1575</v>
      </c>
      <c r="Y592" s="11">
        <f t="shared" si="65"/>
        <v>1575</v>
      </c>
      <c r="AC592" t="s">
        <v>26</v>
      </c>
      <c r="AD592" t="s">
        <v>4390</v>
      </c>
      <c r="AE592" t="s">
        <v>4391</v>
      </c>
      <c r="AF592" t="s">
        <v>29</v>
      </c>
      <c r="AG592" t="s">
        <v>30</v>
      </c>
      <c r="AH592" t="s">
        <v>31</v>
      </c>
      <c r="AK592" t="s">
        <v>4390</v>
      </c>
      <c r="AL592" t="s">
        <v>1967</v>
      </c>
      <c r="AM592" t="s">
        <v>4392</v>
      </c>
      <c r="AN592" s="8">
        <v>2.5815</v>
      </c>
      <c r="AO592">
        <v>199.694880401046</v>
      </c>
      <c r="AP592">
        <v>2081</v>
      </c>
      <c r="AQ592" s="9">
        <v>0.307045613015689</v>
      </c>
      <c r="AR592" t="s">
        <v>1155</v>
      </c>
      <c r="AT592" s="15" t="s">
        <v>35</v>
      </c>
      <c r="AW592" s="11" t="str">
        <f t="shared" si="66"/>
        <v>EN_WOF_31_c02_LKA</v>
      </c>
      <c r="AX592" s="11">
        <f t="shared" si="67"/>
        <v>2081</v>
      </c>
      <c r="AY592" s="11">
        <f t="shared" si="68"/>
        <v>2081</v>
      </c>
      <c r="AZ592" s="17">
        <v>3</v>
      </c>
      <c r="BA592">
        <f t="shared" si="69"/>
        <v>20.81</v>
      </c>
    </row>
    <row r="593" spans="2:53">
      <c r="B593" t="s">
        <v>26</v>
      </c>
      <c r="C593" t="s">
        <v>4393</v>
      </c>
      <c r="D593" t="s">
        <v>4394</v>
      </c>
      <c r="E593" t="s">
        <v>29</v>
      </c>
      <c r="F593" t="s">
        <v>30</v>
      </c>
      <c r="G593" t="s">
        <v>31</v>
      </c>
      <c r="J593" t="s">
        <v>4393</v>
      </c>
      <c r="K593" t="s">
        <v>1967</v>
      </c>
      <c r="L593" t="s">
        <v>3010</v>
      </c>
      <c r="M593" s="8">
        <v>0.69075</v>
      </c>
      <c r="N593">
        <v>105.747516212372</v>
      </c>
      <c r="O593">
        <v>1575</v>
      </c>
      <c r="P593" s="9">
        <v>0.325</v>
      </c>
      <c r="Q593" t="s">
        <v>504</v>
      </c>
      <c r="T593" s="15" t="s">
        <v>89</v>
      </c>
      <c r="W593" s="16" t="str">
        <f t="shared" si="63"/>
        <v>EN_WON_33_c03_COL</v>
      </c>
      <c r="X593" s="12">
        <f t="shared" si="64"/>
        <v>1575</v>
      </c>
      <c r="Y593" s="11">
        <f t="shared" si="65"/>
        <v>1575</v>
      </c>
      <c r="AC593" t="s">
        <v>26</v>
      </c>
      <c r="AD593" t="s">
        <v>4395</v>
      </c>
      <c r="AE593" t="s">
        <v>4396</v>
      </c>
      <c r="AF593" t="s">
        <v>29</v>
      </c>
      <c r="AG593" t="s">
        <v>30</v>
      </c>
      <c r="AH593" t="s">
        <v>31</v>
      </c>
      <c r="AK593" t="s">
        <v>4395</v>
      </c>
      <c r="AL593" t="s">
        <v>1967</v>
      </c>
      <c r="AM593" t="s">
        <v>4392</v>
      </c>
      <c r="AN593" s="8">
        <v>7.1925</v>
      </c>
      <c r="AO593">
        <v>199.694880401046</v>
      </c>
      <c r="AP593">
        <v>2081</v>
      </c>
      <c r="AQ593" s="9">
        <v>0.317845776850886</v>
      </c>
      <c r="AR593" t="s">
        <v>1155</v>
      </c>
      <c r="AT593" s="15" t="s">
        <v>35</v>
      </c>
      <c r="AW593" s="11" t="str">
        <f t="shared" si="66"/>
        <v>EN_WOF_32_c02_LKA</v>
      </c>
      <c r="AX593" s="11">
        <f t="shared" si="67"/>
        <v>2081</v>
      </c>
      <c r="AY593" s="11">
        <f t="shared" si="68"/>
        <v>2081</v>
      </c>
      <c r="AZ593" s="17">
        <v>3</v>
      </c>
      <c r="BA593">
        <f t="shared" si="69"/>
        <v>20.81</v>
      </c>
    </row>
    <row r="594" spans="2:53">
      <c r="B594" t="s">
        <v>26</v>
      </c>
      <c r="C594" t="s">
        <v>4397</v>
      </c>
      <c r="D594" t="s">
        <v>4398</v>
      </c>
      <c r="E594" t="s">
        <v>29</v>
      </c>
      <c r="F594" t="s">
        <v>30</v>
      </c>
      <c r="G594" t="s">
        <v>31</v>
      </c>
      <c r="J594" t="s">
        <v>4397</v>
      </c>
      <c r="K594" t="s">
        <v>1967</v>
      </c>
      <c r="L594" t="s">
        <v>3010</v>
      </c>
      <c r="M594" s="8">
        <v>0.10575</v>
      </c>
      <c r="N594">
        <v>105.747516212372</v>
      </c>
      <c r="O594">
        <v>1575</v>
      </c>
      <c r="P594" s="9">
        <v>0.339</v>
      </c>
      <c r="Q594" t="s">
        <v>504</v>
      </c>
      <c r="T594" s="15" t="s">
        <v>89</v>
      </c>
      <c r="W594" s="16" t="str">
        <f t="shared" si="63"/>
        <v>EN_WON_34_c03_COL</v>
      </c>
      <c r="X594" s="12">
        <f t="shared" si="64"/>
        <v>1575</v>
      </c>
      <c r="Y594" s="11">
        <f t="shared" si="65"/>
        <v>1575</v>
      </c>
      <c r="AC594" t="s">
        <v>26</v>
      </c>
      <c r="AD594" t="s">
        <v>4399</v>
      </c>
      <c r="AE594" t="s">
        <v>4400</v>
      </c>
      <c r="AF594" t="s">
        <v>29</v>
      </c>
      <c r="AG594" t="s">
        <v>30</v>
      </c>
      <c r="AH594" t="s">
        <v>31</v>
      </c>
      <c r="AK594" t="s">
        <v>4399</v>
      </c>
      <c r="AL594" t="s">
        <v>1967</v>
      </c>
      <c r="AM594" t="s">
        <v>4392</v>
      </c>
      <c r="AN594" s="8">
        <v>2.07825</v>
      </c>
      <c r="AO594">
        <v>199.694880401046</v>
      </c>
      <c r="AP594">
        <v>2081</v>
      </c>
      <c r="AQ594" s="9">
        <v>0.332555395164201</v>
      </c>
      <c r="AR594" t="s">
        <v>1155</v>
      </c>
      <c r="AT594" s="15" t="s">
        <v>35</v>
      </c>
      <c r="AW594" s="11" t="str">
        <f t="shared" si="66"/>
        <v>EN_WOF_33_c02_LKA</v>
      </c>
      <c r="AX594" s="11">
        <f t="shared" si="67"/>
        <v>2081</v>
      </c>
      <c r="AY594" s="11">
        <f t="shared" si="68"/>
        <v>2081</v>
      </c>
      <c r="AZ594" s="17">
        <v>3</v>
      </c>
      <c r="BA594">
        <f t="shared" si="69"/>
        <v>20.81</v>
      </c>
    </row>
    <row r="595" spans="2:53">
      <c r="B595" t="s">
        <v>26</v>
      </c>
      <c r="C595" t="s">
        <v>4401</v>
      </c>
      <c r="D595" t="s">
        <v>4402</v>
      </c>
      <c r="E595" t="s">
        <v>29</v>
      </c>
      <c r="F595" t="s">
        <v>30</v>
      </c>
      <c r="G595" t="s">
        <v>31</v>
      </c>
      <c r="J595" t="s">
        <v>4401</v>
      </c>
      <c r="K595" t="s">
        <v>1967</v>
      </c>
      <c r="L595" t="s">
        <v>3010</v>
      </c>
      <c r="M595" s="8">
        <v>0.18375</v>
      </c>
      <c r="N595">
        <v>0</v>
      </c>
      <c r="O595">
        <v>1575</v>
      </c>
      <c r="P595" s="9">
        <v>0.347</v>
      </c>
      <c r="Q595" t="s">
        <v>504</v>
      </c>
      <c r="T595" s="15" t="s">
        <v>89</v>
      </c>
      <c r="W595" s="16" t="str">
        <f t="shared" si="63"/>
        <v>EN_WON_35_c01_COL</v>
      </c>
      <c r="X595" s="12">
        <f t="shared" si="64"/>
        <v>1575</v>
      </c>
      <c r="Y595" s="11">
        <f t="shared" si="65"/>
        <v>1575</v>
      </c>
      <c r="AC595" t="s">
        <v>26</v>
      </c>
      <c r="AD595" t="s">
        <v>4403</v>
      </c>
      <c r="AE595" t="s">
        <v>4404</v>
      </c>
      <c r="AF595" t="s">
        <v>29</v>
      </c>
      <c r="AG595" t="s">
        <v>30</v>
      </c>
      <c r="AH595" t="s">
        <v>31</v>
      </c>
      <c r="AK595" t="s">
        <v>4403</v>
      </c>
      <c r="AL595" t="s">
        <v>1967</v>
      </c>
      <c r="AM595" t="s">
        <v>4392</v>
      </c>
      <c r="AN595" s="8">
        <v>5.25975</v>
      </c>
      <c r="AO595">
        <v>199.694880401046</v>
      </c>
      <c r="AP595">
        <v>2081</v>
      </c>
      <c r="AQ595" s="9">
        <v>0.338442321403108</v>
      </c>
      <c r="AR595" t="s">
        <v>1155</v>
      </c>
      <c r="AT595" s="15" t="s">
        <v>35</v>
      </c>
      <c r="AW595" s="11" t="str">
        <f t="shared" si="66"/>
        <v>EN_WOF_34_c02_LKA</v>
      </c>
      <c r="AX595" s="11">
        <f t="shared" si="67"/>
        <v>2081</v>
      </c>
      <c r="AY595" s="11">
        <f t="shared" si="68"/>
        <v>2081</v>
      </c>
      <c r="AZ595" s="17">
        <v>3</v>
      </c>
      <c r="BA595">
        <f t="shared" si="69"/>
        <v>20.81</v>
      </c>
    </row>
    <row r="596" spans="2:53">
      <c r="B596" t="s">
        <v>26</v>
      </c>
      <c r="C596" t="s">
        <v>4405</v>
      </c>
      <c r="D596" t="s">
        <v>4406</v>
      </c>
      <c r="E596" t="s">
        <v>29</v>
      </c>
      <c r="F596" t="s">
        <v>30</v>
      </c>
      <c r="G596" t="s">
        <v>31</v>
      </c>
      <c r="J596" t="s">
        <v>4405</v>
      </c>
      <c r="K596" t="s">
        <v>1967</v>
      </c>
      <c r="L596" t="s">
        <v>3010</v>
      </c>
      <c r="M596" s="8">
        <v>0.00825</v>
      </c>
      <c r="N596">
        <v>80.7856561622413</v>
      </c>
      <c r="O596">
        <v>1575</v>
      </c>
      <c r="P596" s="9">
        <v>0.368</v>
      </c>
      <c r="Q596" t="s">
        <v>504</v>
      </c>
      <c r="T596" s="15" t="s">
        <v>89</v>
      </c>
      <c r="W596" s="16" t="str">
        <f t="shared" si="63"/>
        <v>EN_WON_37_c02_COL</v>
      </c>
      <c r="X596" s="12">
        <f t="shared" si="64"/>
        <v>1575</v>
      </c>
      <c r="Y596" s="11">
        <f t="shared" si="65"/>
        <v>1575</v>
      </c>
      <c r="AC596" t="s">
        <v>26</v>
      </c>
      <c r="AD596" t="s">
        <v>4407</v>
      </c>
      <c r="AE596" t="s">
        <v>4408</v>
      </c>
      <c r="AF596" t="s">
        <v>29</v>
      </c>
      <c r="AG596" t="s">
        <v>30</v>
      </c>
      <c r="AH596" t="s">
        <v>31</v>
      </c>
      <c r="AK596" t="s">
        <v>4407</v>
      </c>
      <c r="AL596" t="s">
        <v>1967</v>
      </c>
      <c r="AM596" t="s">
        <v>4392</v>
      </c>
      <c r="AN596" s="8">
        <v>0.7155</v>
      </c>
      <c r="AO596">
        <v>199.694880401046</v>
      </c>
      <c r="AP596">
        <v>2081</v>
      </c>
      <c r="AQ596" s="9">
        <v>0.357</v>
      </c>
      <c r="AR596" t="s">
        <v>1155</v>
      </c>
      <c r="AT596" s="15" t="s">
        <v>35</v>
      </c>
      <c r="AW596" s="11" t="str">
        <f t="shared" si="66"/>
        <v>EN_WOF_36_c02_LKA</v>
      </c>
      <c r="AX596" s="11">
        <f t="shared" si="67"/>
        <v>2081</v>
      </c>
      <c r="AY596" s="11">
        <f t="shared" si="68"/>
        <v>2081</v>
      </c>
      <c r="AZ596" s="17">
        <v>3</v>
      </c>
      <c r="BA596">
        <f t="shared" si="69"/>
        <v>20.81</v>
      </c>
    </row>
    <row r="597" spans="2:53">
      <c r="B597" t="s">
        <v>26</v>
      </c>
      <c r="C597" t="s">
        <v>4409</v>
      </c>
      <c r="D597" t="s">
        <v>4410</v>
      </c>
      <c r="E597" t="s">
        <v>29</v>
      </c>
      <c r="F597" t="s">
        <v>30</v>
      </c>
      <c r="G597" t="s">
        <v>31</v>
      </c>
      <c r="J597" t="s">
        <v>4409</v>
      </c>
      <c r="K597" t="s">
        <v>1967</v>
      </c>
      <c r="L597" t="s">
        <v>3010</v>
      </c>
      <c r="M597" s="8">
        <v>1.37325</v>
      </c>
      <c r="N597">
        <v>80.7856561622413</v>
      </c>
      <c r="O597">
        <v>1575</v>
      </c>
      <c r="P597" s="9">
        <v>0.402</v>
      </c>
      <c r="Q597" t="s">
        <v>504</v>
      </c>
      <c r="T597" s="15" t="s">
        <v>89</v>
      </c>
      <c r="W597" s="16" t="str">
        <f t="shared" si="63"/>
        <v>EN_WON_40_c02_COL</v>
      </c>
      <c r="X597" s="12">
        <f t="shared" si="64"/>
        <v>1575</v>
      </c>
      <c r="Y597" s="11">
        <f t="shared" si="65"/>
        <v>1575</v>
      </c>
      <c r="AC597" t="s">
        <v>26</v>
      </c>
      <c r="AD597" t="s">
        <v>4411</v>
      </c>
      <c r="AE597" t="s">
        <v>4412</v>
      </c>
      <c r="AF597" t="s">
        <v>29</v>
      </c>
      <c r="AG597" t="s">
        <v>30</v>
      </c>
      <c r="AH597" t="s">
        <v>31</v>
      </c>
      <c r="AK597" t="s">
        <v>4411</v>
      </c>
      <c r="AL597" t="s">
        <v>1967</v>
      </c>
      <c r="AM597" t="s">
        <v>4392</v>
      </c>
      <c r="AN597" s="8">
        <v>1.22025</v>
      </c>
      <c r="AO597">
        <v>199.694880401046</v>
      </c>
      <c r="AP597">
        <v>2081</v>
      </c>
      <c r="AQ597" s="9">
        <v>0.373295636140135</v>
      </c>
      <c r="AR597" t="s">
        <v>1155</v>
      </c>
      <c r="AT597" s="15" t="s">
        <v>35</v>
      </c>
      <c r="AW597" s="11" t="str">
        <f t="shared" si="66"/>
        <v>EN_WOF_37_c02_LKA</v>
      </c>
      <c r="AX597" s="11">
        <f t="shared" si="67"/>
        <v>2081</v>
      </c>
      <c r="AY597" s="11">
        <f t="shared" si="68"/>
        <v>2081</v>
      </c>
      <c r="AZ597" s="17">
        <v>3</v>
      </c>
      <c r="BA597">
        <f t="shared" si="69"/>
        <v>20.81</v>
      </c>
    </row>
    <row r="598" spans="2:53">
      <c r="B598" t="s">
        <v>26</v>
      </c>
      <c r="C598" t="s">
        <v>4413</v>
      </c>
      <c r="D598" t="s">
        <v>4414</v>
      </c>
      <c r="E598" t="s">
        <v>29</v>
      </c>
      <c r="F598" t="s">
        <v>30</v>
      </c>
      <c r="G598" t="s">
        <v>31</v>
      </c>
      <c r="J598" t="s">
        <v>4413</v>
      </c>
      <c r="K598" t="s">
        <v>1967</v>
      </c>
      <c r="L598" t="s">
        <v>3010</v>
      </c>
      <c r="M598" s="8">
        <v>1.73175</v>
      </c>
      <c r="N598">
        <v>0</v>
      </c>
      <c r="O598">
        <v>1575</v>
      </c>
      <c r="P598" s="9">
        <v>0.443499783456042</v>
      </c>
      <c r="Q598" t="s">
        <v>504</v>
      </c>
      <c r="T598" s="15" t="s">
        <v>89</v>
      </c>
      <c r="W598" s="16" t="str">
        <f t="shared" si="63"/>
        <v>EN_WON_44_c01_COL</v>
      </c>
      <c r="X598" s="12">
        <f t="shared" si="64"/>
        <v>1575</v>
      </c>
      <c r="Y598" s="11">
        <f t="shared" si="65"/>
        <v>1575</v>
      </c>
      <c r="AC598" t="s">
        <v>26</v>
      </c>
      <c r="AD598" t="s">
        <v>4415</v>
      </c>
      <c r="AE598" t="s">
        <v>4416</v>
      </c>
      <c r="AF598" t="s">
        <v>29</v>
      </c>
      <c r="AG598" t="s">
        <v>30</v>
      </c>
      <c r="AH598" t="s">
        <v>31</v>
      </c>
      <c r="AK598" t="s">
        <v>4415</v>
      </c>
      <c r="AL598" t="s">
        <v>1967</v>
      </c>
      <c r="AM598" t="s">
        <v>4392</v>
      </c>
      <c r="AN598" s="8">
        <v>5.60625</v>
      </c>
      <c r="AO598">
        <v>199.694880401046</v>
      </c>
      <c r="AP598">
        <v>2081</v>
      </c>
      <c r="AQ598" s="9">
        <v>0.392335652173913</v>
      </c>
      <c r="AR598" t="s">
        <v>1155</v>
      </c>
      <c r="AT598" s="15" t="s">
        <v>35</v>
      </c>
      <c r="AW598" s="11" t="str">
        <f t="shared" si="66"/>
        <v>EN_WOF_39_c02_LKA</v>
      </c>
      <c r="AX598" s="11">
        <f t="shared" si="67"/>
        <v>2081</v>
      </c>
      <c r="AY598" s="11">
        <f t="shared" si="68"/>
        <v>2081</v>
      </c>
      <c r="AZ598" s="17">
        <v>3</v>
      </c>
      <c r="BA598">
        <f t="shared" si="69"/>
        <v>20.81</v>
      </c>
    </row>
    <row r="599" spans="2:53">
      <c r="B599" t="s">
        <v>26</v>
      </c>
      <c r="C599" t="s">
        <v>4417</v>
      </c>
      <c r="D599" t="s">
        <v>4418</v>
      </c>
      <c r="E599" t="s">
        <v>29</v>
      </c>
      <c r="F599" t="s">
        <v>30</v>
      </c>
      <c r="G599" t="s">
        <v>31</v>
      </c>
      <c r="J599" t="s">
        <v>4417</v>
      </c>
      <c r="K599" t="s">
        <v>1967</v>
      </c>
      <c r="L599" t="s">
        <v>3010</v>
      </c>
      <c r="M599" s="8">
        <v>4.32525</v>
      </c>
      <c r="N599">
        <v>0</v>
      </c>
      <c r="O599">
        <v>1575</v>
      </c>
      <c r="P599" s="9">
        <v>0.550197503034507</v>
      </c>
      <c r="Q599" t="s">
        <v>504</v>
      </c>
      <c r="T599" s="15" t="s">
        <v>89</v>
      </c>
      <c r="W599" s="16" t="str">
        <f t="shared" si="63"/>
        <v>EN_WON_55_c01_COL</v>
      </c>
      <c r="X599" s="12">
        <f t="shared" si="64"/>
        <v>1575</v>
      </c>
      <c r="Y599" s="11">
        <f t="shared" si="65"/>
        <v>1575</v>
      </c>
      <c r="AC599" t="s">
        <v>26</v>
      </c>
      <c r="AD599" t="s">
        <v>4419</v>
      </c>
      <c r="AE599" t="s">
        <v>4420</v>
      </c>
      <c r="AF599" t="s">
        <v>29</v>
      </c>
      <c r="AG599" t="s">
        <v>30</v>
      </c>
      <c r="AH599" t="s">
        <v>31</v>
      </c>
      <c r="AK599" t="s">
        <v>4419</v>
      </c>
      <c r="AL599" t="s">
        <v>1967</v>
      </c>
      <c r="AM599" t="s">
        <v>4392</v>
      </c>
      <c r="AN599" s="8">
        <v>2.2425</v>
      </c>
      <c r="AO599">
        <v>199.694880401046</v>
      </c>
      <c r="AP599">
        <v>2081</v>
      </c>
      <c r="AQ599" s="9">
        <v>0.423836789297659</v>
      </c>
      <c r="AR599" t="s">
        <v>1155</v>
      </c>
      <c r="AT599" s="15" t="s">
        <v>35</v>
      </c>
      <c r="AW599" s="11" t="str">
        <f t="shared" si="66"/>
        <v>EN_WOF_42_c02_LKA</v>
      </c>
      <c r="AX599" s="11">
        <f t="shared" si="67"/>
        <v>2081</v>
      </c>
      <c r="AY599" s="11">
        <f t="shared" si="68"/>
        <v>2081</v>
      </c>
      <c r="AZ599" s="17">
        <v>3</v>
      </c>
      <c r="BA599">
        <f t="shared" si="69"/>
        <v>20.81</v>
      </c>
    </row>
    <row r="600" spans="2:53">
      <c r="B600" t="s">
        <v>26</v>
      </c>
      <c r="C600" t="s">
        <v>4421</v>
      </c>
      <c r="D600" t="s">
        <v>4422</v>
      </c>
      <c r="E600" t="s">
        <v>29</v>
      </c>
      <c r="F600" t="s">
        <v>30</v>
      </c>
      <c r="G600" t="s">
        <v>31</v>
      </c>
      <c r="J600" t="s">
        <v>4421</v>
      </c>
      <c r="K600" t="s">
        <v>1967</v>
      </c>
      <c r="L600" t="s">
        <v>3010</v>
      </c>
      <c r="M600" s="8">
        <v>1.4625</v>
      </c>
      <c r="N600">
        <v>0</v>
      </c>
      <c r="O600">
        <v>1575</v>
      </c>
      <c r="P600" s="9">
        <v>0.562</v>
      </c>
      <c r="Q600" t="s">
        <v>504</v>
      </c>
      <c r="T600" s="15" t="s">
        <v>89</v>
      </c>
      <c r="W600" s="16" t="str">
        <f t="shared" si="63"/>
        <v>EN_WON_56_c01_COL</v>
      </c>
      <c r="X600" s="12">
        <f t="shared" si="64"/>
        <v>1575</v>
      </c>
      <c r="Y600" s="11">
        <f t="shared" si="65"/>
        <v>1575</v>
      </c>
      <c r="AC600" t="s">
        <v>26</v>
      </c>
      <c r="AD600" t="s">
        <v>4423</v>
      </c>
      <c r="AE600" t="s">
        <v>4424</v>
      </c>
      <c r="AF600" t="s">
        <v>29</v>
      </c>
      <c r="AG600" t="s">
        <v>30</v>
      </c>
      <c r="AH600" t="s">
        <v>31</v>
      </c>
      <c r="AK600" t="s">
        <v>4423</v>
      </c>
      <c r="AL600" t="s">
        <v>1967</v>
      </c>
      <c r="AM600" t="s">
        <v>4392</v>
      </c>
      <c r="AN600" s="8">
        <v>2.54625</v>
      </c>
      <c r="AO600">
        <v>199.694880401046</v>
      </c>
      <c r="AP600">
        <v>2081</v>
      </c>
      <c r="AQ600" s="9">
        <v>0.428024447717231</v>
      </c>
      <c r="AR600" t="s">
        <v>1155</v>
      </c>
      <c r="AT600" s="15" t="s">
        <v>35</v>
      </c>
      <c r="AW600" s="11" t="str">
        <f t="shared" si="66"/>
        <v>EN_WOF_43_c02_LKA</v>
      </c>
      <c r="AX600" s="11">
        <f t="shared" si="67"/>
        <v>2081</v>
      </c>
      <c r="AY600" s="11">
        <f t="shared" si="68"/>
        <v>2081</v>
      </c>
      <c r="AZ600" s="17">
        <v>3</v>
      </c>
      <c r="BA600">
        <f t="shared" si="69"/>
        <v>20.81</v>
      </c>
    </row>
    <row r="601" spans="2:53">
      <c r="B601" t="s">
        <v>26</v>
      </c>
      <c r="C601" t="s">
        <v>4425</v>
      </c>
      <c r="D601" t="s">
        <v>4426</v>
      </c>
      <c r="E601" t="s">
        <v>29</v>
      </c>
      <c r="F601" t="s">
        <v>30</v>
      </c>
      <c r="G601" t="s">
        <v>31</v>
      </c>
      <c r="J601" t="s">
        <v>4425</v>
      </c>
      <c r="K601" t="s">
        <v>1967</v>
      </c>
      <c r="L601" t="s">
        <v>3010</v>
      </c>
      <c r="M601" s="8">
        <v>0.45075</v>
      </c>
      <c r="N601">
        <v>0</v>
      </c>
      <c r="O601">
        <v>1575</v>
      </c>
      <c r="P601" s="9">
        <v>0.572</v>
      </c>
      <c r="Q601" t="s">
        <v>504</v>
      </c>
      <c r="T601" s="15" t="s">
        <v>89</v>
      </c>
      <c r="W601" s="16" t="str">
        <f t="shared" si="63"/>
        <v>EN_WON_57_c01_COL</v>
      </c>
      <c r="X601" s="12">
        <f t="shared" si="64"/>
        <v>1575</v>
      </c>
      <c r="Y601" s="11">
        <f t="shared" si="65"/>
        <v>1575</v>
      </c>
      <c r="AC601" t="s">
        <v>26</v>
      </c>
      <c r="AD601" t="s">
        <v>4427</v>
      </c>
      <c r="AE601" t="s">
        <v>4428</v>
      </c>
      <c r="AF601" t="s">
        <v>29</v>
      </c>
      <c r="AG601" t="s">
        <v>30</v>
      </c>
      <c r="AH601" t="s">
        <v>31</v>
      </c>
      <c r="AK601" t="s">
        <v>4427</v>
      </c>
      <c r="AL601" t="s">
        <v>1967</v>
      </c>
      <c r="AM601" t="s">
        <v>4392</v>
      </c>
      <c r="AN601" s="8">
        <v>2.577</v>
      </c>
      <c r="AO601">
        <v>199.694880401046</v>
      </c>
      <c r="AP601">
        <v>2081</v>
      </c>
      <c r="AQ601" s="9">
        <v>0.437169965075669</v>
      </c>
      <c r="AR601" t="s">
        <v>1155</v>
      </c>
      <c r="AT601" s="15" t="s">
        <v>35</v>
      </c>
      <c r="AW601" s="11" t="str">
        <f t="shared" si="66"/>
        <v>EN_WOF_44_c02_LKA</v>
      </c>
      <c r="AX601" s="11">
        <f t="shared" si="67"/>
        <v>2081</v>
      </c>
      <c r="AY601" s="11">
        <f t="shared" si="68"/>
        <v>2081</v>
      </c>
      <c r="AZ601" s="17">
        <v>3</v>
      </c>
      <c r="BA601">
        <f t="shared" si="69"/>
        <v>20.81</v>
      </c>
    </row>
    <row r="602" spans="2:53">
      <c r="B602" t="s">
        <v>26</v>
      </c>
      <c r="C602" t="s">
        <v>4429</v>
      </c>
      <c r="D602" t="s">
        <v>4430</v>
      </c>
      <c r="E602" t="s">
        <v>29</v>
      </c>
      <c r="F602" t="s">
        <v>30</v>
      </c>
      <c r="G602" t="s">
        <v>31</v>
      </c>
      <c r="J602" t="s">
        <v>4429</v>
      </c>
      <c r="K602" t="s">
        <v>1967</v>
      </c>
      <c r="L602" t="s">
        <v>3010</v>
      </c>
      <c r="M602" s="8">
        <v>0.16575</v>
      </c>
      <c r="N602">
        <v>0</v>
      </c>
      <c r="O602">
        <v>1575</v>
      </c>
      <c r="P602" s="9">
        <v>0.582</v>
      </c>
      <c r="Q602" t="s">
        <v>504</v>
      </c>
      <c r="T602" s="15" t="s">
        <v>89</v>
      </c>
      <c r="W602" s="16" t="str">
        <f t="shared" si="63"/>
        <v>EN_WON_58_c01_COL</v>
      </c>
      <c r="X602" s="12">
        <f t="shared" si="64"/>
        <v>1575</v>
      </c>
      <c r="Y602" s="11">
        <f t="shared" si="65"/>
        <v>1575</v>
      </c>
      <c r="AC602" t="s">
        <v>26</v>
      </c>
      <c r="AD602" t="s">
        <v>4431</v>
      </c>
      <c r="AE602" t="s">
        <v>4432</v>
      </c>
      <c r="AF602" t="s">
        <v>29</v>
      </c>
      <c r="AG602" t="s">
        <v>30</v>
      </c>
      <c r="AH602" t="s">
        <v>31</v>
      </c>
      <c r="AK602" t="s">
        <v>4431</v>
      </c>
      <c r="AL602" t="s">
        <v>1967</v>
      </c>
      <c r="AM602" t="s">
        <v>4392</v>
      </c>
      <c r="AN602" s="8">
        <v>0.94125</v>
      </c>
      <c r="AO602">
        <v>199.694880401046</v>
      </c>
      <c r="AP602">
        <v>2081</v>
      </c>
      <c r="AQ602" s="9">
        <v>0.462</v>
      </c>
      <c r="AR602" t="s">
        <v>1155</v>
      </c>
      <c r="AT602" s="15" t="s">
        <v>35</v>
      </c>
      <c r="AW602" s="11" t="str">
        <f t="shared" si="66"/>
        <v>EN_WOF_46_c02_LKA</v>
      </c>
      <c r="AX602" s="11">
        <f t="shared" si="67"/>
        <v>2081</v>
      </c>
      <c r="AY602" s="11">
        <f t="shared" si="68"/>
        <v>2081</v>
      </c>
      <c r="AZ602" s="17">
        <v>3</v>
      </c>
      <c r="BA602">
        <f t="shared" si="69"/>
        <v>20.81</v>
      </c>
    </row>
    <row r="603" spans="2:53">
      <c r="B603" t="s">
        <v>26</v>
      </c>
      <c r="C603" t="s">
        <v>4433</v>
      </c>
      <c r="D603" t="s">
        <v>4434</v>
      </c>
      <c r="E603" t="s">
        <v>29</v>
      </c>
      <c r="F603" t="s">
        <v>30</v>
      </c>
      <c r="G603" t="s">
        <v>31</v>
      </c>
      <c r="J603" t="s">
        <v>4433</v>
      </c>
      <c r="K603" t="s">
        <v>1967</v>
      </c>
      <c r="L603" t="s">
        <v>4435</v>
      </c>
      <c r="M603" s="8">
        <v>0.00525</v>
      </c>
      <c r="N603">
        <v>105.747516212372</v>
      </c>
      <c r="O603">
        <v>1952</v>
      </c>
      <c r="P603" s="9">
        <v>0.167</v>
      </c>
      <c r="Q603" t="s">
        <v>4436</v>
      </c>
      <c r="T603" s="15" t="s">
        <v>54</v>
      </c>
      <c r="W603" s="16" t="str">
        <f t="shared" si="63"/>
        <v>EN_WON_17_c03_COM</v>
      </c>
      <c r="X603" s="12">
        <f t="shared" si="64"/>
        <v>1952</v>
      </c>
      <c r="Y603" s="11">
        <f t="shared" si="65"/>
        <v>1952</v>
      </c>
      <c r="AC603" t="s">
        <v>26</v>
      </c>
      <c r="AD603" t="s">
        <v>4437</v>
      </c>
      <c r="AE603" t="s">
        <v>4438</v>
      </c>
      <c r="AF603" t="s">
        <v>29</v>
      </c>
      <c r="AG603" t="s">
        <v>30</v>
      </c>
      <c r="AH603" t="s">
        <v>31</v>
      </c>
      <c r="AK603" t="s">
        <v>4437</v>
      </c>
      <c r="AL603" t="s">
        <v>1967</v>
      </c>
      <c r="AM603" t="s">
        <v>4439</v>
      </c>
      <c r="AN603" s="8">
        <v>23.65275</v>
      </c>
      <c r="AO603">
        <v>199.694880401046</v>
      </c>
      <c r="AP603">
        <v>1637</v>
      </c>
      <c r="AQ603" s="9">
        <v>0.480395440276501</v>
      </c>
      <c r="AR603" t="s">
        <v>1171</v>
      </c>
      <c r="AT603" s="15" t="s">
        <v>69</v>
      </c>
      <c r="AW603" s="11" t="str">
        <f t="shared" si="66"/>
        <v>EN_WOF_48_c02_LTU</v>
      </c>
      <c r="AX603" s="11">
        <f t="shared" si="67"/>
        <v>1637</v>
      </c>
      <c r="AY603" s="11">
        <f t="shared" si="68"/>
        <v>1637</v>
      </c>
      <c r="AZ603" s="17">
        <v>3</v>
      </c>
      <c r="BA603">
        <f t="shared" si="69"/>
        <v>16.37</v>
      </c>
    </row>
    <row r="604" spans="2:53">
      <c r="B604" t="s">
        <v>26</v>
      </c>
      <c r="C604" t="s">
        <v>4440</v>
      </c>
      <c r="D604" t="s">
        <v>4441</v>
      </c>
      <c r="E604" t="s">
        <v>29</v>
      </c>
      <c r="F604" t="s">
        <v>30</v>
      </c>
      <c r="G604" t="s">
        <v>31</v>
      </c>
      <c r="J604" t="s">
        <v>4440</v>
      </c>
      <c r="K604" t="s">
        <v>1967</v>
      </c>
      <c r="L604" t="s">
        <v>3091</v>
      </c>
      <c r="M604" s="8">
        <v>8.84175</v>
      </c>
      <c r="N604">
        <v>145.23264029167</v>
      </c>
      <c r="O604">
        <v>1769</v>
      </c>
      <c r="P604" s="9">
        <v>0.319637034523709</v>
      </c>
      <c r="Q604" t="s">
        <v>530</v>
      </c>
      <c r="T604" s="15" t="s">
        <v>89</v>
      </c>
      <c r="W604" s="16" t="str">
        <f t="shared" si="63"/>
        <v>EN_WON_32_c04_CRI</v>
      </c>
      <c r="X604" s="12">
        <f t="shared" si="64"/>
        <v>1769</v>
      </c>
      <c r="Y604" s="11">
        <f t="shared" si="65"/>
        <v>1769</v>
      </c>
      <c r="AC604" t="s">
        <v>26</v>
      </c>
      <c r="AD604" t="s">
        <v>4442</v>
      </c>
      <c r="AE604" t="s">
        <v>4443</v>
      </c>
      <c r="AF604" t="s">
        <v>29</v>
      </c>
      <c r="AG604" t="s">
        <v>30</v>
      </c>
      <c r="AH604" t="s">
        <v>31</v>
      </c>
      <c r="AK604" t="s">
        <v>4442</v>
      </c>
      <c r="AL604" t="s">
        <v>1967</v>
      </c>
      <c r="AM604" t="s">
        <v>4439</v>
      </c>
      <c r="AN604" s="8">
        <v>8.5755</v>
      </c>
      <c r="AO604">
        <v>199.694880401046</v>
      </c>
      <c r="AP604">
        <v>1637</v>
      </c>
      <c r="AQ604" s="9">
        <v>0.486</v>
      </c>
      <c r="AR604" t="s">
        <v>1171</v>
      </c>
      <c r="AT604" s="15" t="s">
        <v>69</v>
      </c>
      <c r="AW604" s="11" t="str">
        <f t="shared" si="66"/>
        <v>EN_WOF_49_c02_LTU</v>
      </c>
      <c r="AX604" s="11">
        <f t="shared" si="67"/>
        <v>1637</v>
      </c>
      <c r="AY604" s="11">
        <f t="shared" si="68"/>
        <v>1637</v>
      </c>
      <c r="AZ604" s="17">
        <v>3</v>
      </c>
      <c r="BA604">
        <f t="shared" si="69"/>
        <v>16.37</v>
      </c>
    </row>
    <row r="605" spans="2:53">
      <c r="B605" t="s">
        <v>26</v>
      </c>
      <c r="C605" t="s">
        <v>4444</v>
      </c>
      <c r="D605" t="s">
        <v>4445</v>
      </c>
      <c r="E605" t="s">
        <v>29</v>
      </c>
      <c r="F605" t="s">
        <v>30</v>
      </c>
      <c r="G605" t="s">
        <v>31</v>
      </c>
      <c r="J605" t="s">
        <v>4444</v>
      </c>
      <c r="K605" t="s">
        <v>1967</v>
      </c>
      <c r="L605" t="s">
        <v>3108</v>
      </c>
      <c r="M605" s="8">
        <v>0.20625</v>
      </c>
      <c r="N605">
        <v>80.7856561622413</v>
      </c>
      <c r="O605">
        <v>1910</v>
      </c>
      <c r="P605" s="9">
        <v>0.192683636363636</v>
      </c>
      <c r="Q605" t="s">
        <v>538</v>
      </c>
      <c r="T605" s="15" t="s">
        <v>89</v>
      </c>
      <c r="W605" s="16" t="str">
        <f t="shared" si="63"/>
        <v>EN_WON_19_c02_CUB</v>
      </c>
      <c r="X605" s="12">
        <f t="shared" si="64"/>
        <v>1910</v>
      </c>
      <c r="Y605" s="11">
        <f t="shared" si="65"/>
        <v>1910</v>
      </c>
      <c r="AC605" t="s">
        <v>26</v>
      </c>
      <c r="AD605" t="s">
        <v>4446</v>
      </c>
      <c r="AE605" t="s">
        <v>4447</v>
      </c>
      <c r="AF605" t="s">
        <v>29</v>
      </c>
      <c r="AG605" t="s">
        <v>30</v>
      </c>
      <c r="AH605" t="s">
        <v>31</v>
      </c>
      <c r="AK605" t="s">
        <v>4446</v>
      </c>
      <c r="AL605" t="s">
        <v>1967</v>
      </c>
      <c r="AM605" t="s">
        <v>4448</v>
      </c>
      <c r="AN605" s="8">
        <v>1.2705</v>
      </c>
      <c r="AO605">
        <v>199.694880401046</v>
      </c>
      <c r="AP605">
        <v>1637</v>
      </c>
      <c r="AQ605" s="9">
        <v>0.470598583234947</v>
      </c>
      <c r="AR605" t="s">
        <v>1181</v>
      </c>
      <c r="AT605" s="15" t="s">
        <v>69</v>
      </c>
      <c r="AW605" s="11" t="str">
        <f t="shared" si="66"/>
        <v>EN_WOF_47_c02_LVA</v>
      </c>
      <c r="AX605" s="11">
        <f t="shared" si="67"/>
        <v>1637</v>
      </c>
      <c r="AY605" s="11">
        <f t="shared" si="68"/>
        <v>1637</v>
      </c>
      <c r="AZ605" s="17">
        <v>3</v>
      </c>
      <c r="BA605">
        <f t="shared" si="69"/>
        <v>16.37</v>
      </c>
    </row>
    <row r="606" spans="2:53">
      <c r="B606" t="s">
        <v>26</v>
      </c>
      <c r="C606" t="s">
        <v>4449</v>
      </c>
      <c r="D606" t="s">
        <v>4450</v>
      </c>
      <c r="E606" t="s">
        <v>29</v>
      </c>
      <c r="F606" t="s">
        <v>30</v>
      </c>
      <c r="G606" t="s">
        <v>31</v>
      </c>
      <c r="J606" t="s">
        <v>4449</v>
      </c>
      <c r="K606" t="s">
        <v>1967</v>
      </c>
      <c r="L606" t="s">
        <v>3108</v>
      </c>
      <c r="M606" s="8">
        <v>1.82475</v>
      </c>
      <c r="N606">
        <v>105.747516212372</v>
      </c>
      <c r="O606">
        <v>1910</v>
      </c>
      <c r="P606" s="9">
        <v>0.186422112618167</v>
      </c>
      <c r="Q606" t="s">
        <v>538</v>
      </c>
      <c r="T606" s="15" t="s">
        <v>89</v>
      </c>
      <c r="W606" s="16" t="str">
        <f t="shared" si="63"/>
        <v>EN_WON_19_c03_CUB</v>
      </c>
      <c r="X606" s="12">
        <f t="shared" si="64"/>
        <v>1910</v>
      </c>
      <c r="Y606" s="11">
        <f t="shared" si="65"/>
        <v>1910</v>
      </c>
      <c r="AC606" t="s">
        <v>26</v>
      </c>
      <c r="AD606" t="s">
        <v>4451</v>
      </c>
      <c r="AE606" t="s">
        <v>4452</v>
      </c>
      <c r="AF606" t="s">
        <v>29</v>
      </c>
      <c r="AG606" t="s">
        <v>30</v>
      </c>
      <c r="AH606" t="s">
        <v>31</v>
      </c>
      <c r="AK606" t="s">
        <v>4451</v>
      </c>
      <c r="AL606" t="s">
        <v>1967</v>
      </c>
      <c r="AM606" t="s">
        <v>4448</v>
      </c>
      <c r="AN606" s="8">
        <v>33.90675</v>
      </c>
      <c r="AO606">
        <v>199.694880401046</v>
      </c>
      <c r="AP606">
        <v>1637</v>
      </c>
      <c r="AQ606" s="9">
        <v>0.483235948594306</v>
      </c>
      <c r="AR606" t="s">
        <v>1181</v>
      </c>
      <c r="AT606" s="15" t="s">
        <v>69</v>
      </c>
      <c r="AW606" s="11" t="str">
        <f t="shared" si="66"/>
        <v>EN_WOF_48_c02_LVA</v>
      </c>
      <c r="AX606" s="11">
        <f t="shared" si="67"/>
        <v>1637</v>
      </c>
      <c r="AY606" s="11">
        <f t="shared" si="68"/>
        <v>1637</v>
      </c>
      <c r="AZ606" s="17">
        <v>3</v>
      </c>
      <c r="BA606">
        <f t="shared" si="69"/>
        <v>16.37</v>
      </c>
    </row>
    <row r="607" spans="2:53">
      <c r="B607" t="s">
        <v>26</v>
      </c>
      <c r="C607" t="s">
        <v>4453</v>
      </c>
      <c r="D607" t="s">
        <v>4454</v>
      </c>
      <c r="E607" t="s">
        <v>29</v>
      </c>
      <c r="F607" t="s">
        <v>30</v>
      </c>
      <c r="G607" t="s">
        <v>31</v>
      </c>
      <c r="J607" t="s">
        <v>4453</v>
      </c>
      <c r="K607" t="s">
        <v>1967</v>
      </c>
      <c r="L607" t="s">
        <v>3108</v>
      </c>
      <c r="M607" s="8">
        <v>0.0585</v>
      </c>
      <c r="N607">
        <v>145.23264029167</v>
      </c>
      <c r="O607">
        <v>1910</v>
      </c>
      <c r="P607" s="9">
        <v>0.194</v>
      </c>
      <c r="Q607" t="s">
        <v>538</v>
      </c>
      <c r="T607" s="15" t="s">
        <v>89</v>
      </c>
      <c r="W607" s="16" t="str">
        <f t="shared" si="63"/>
        <v>EN_WON_19_c04_CUB</v>
      </c>
      <c r="X607" s="12">
        <f t="shared" si="64"/>
        <v>1910</v>
      </c>
      <c r="Y607" s="11">
        <f t="shared" si="65"/>
        <v>1910</v>
      </c>
      <c r="AC607" t="s">
        <v>26</v>
      </c>
      <c r="AD607" t="s">
        <v>4455</v>
      </c>
      <c r="AE607" t="s">
        <v>4456</v>
      </c>
      <c r="AF607" t="s">
        <v>29</v>
      </c>
      <c r="AG607" t="s">
        <v>30</v>
      </c>
      <c r="AH607" t="s">
        <v>31</v>
      </c>
      <c r="AK607" t="s">
        <v>4455</v>
      </c>
      <c r="AL607" t="s">
        <v>1967</v>
      </c>
      <c r="AM607" t="s">
        <v>4448</v>
      </c>
      <c r="AN607" s="8">
        <v>56.68875</v>
      </c>
      <c r="AO607">
        <v>199.694880401046</v>
      </c>
      <c r="AP607">
        <v>1637</v>
      </c>
      <c r="AQ607" s="9">
        <v>0.487273321426209</v>
      </c>
      <c r="AR607" t="s">
        <v>1181</v>
      </c>
      <c r="AT607" s="15" t="s">
        <v>69</v>
      </c>
      <c r="AW607" s="11" t="str">
        <f t="shared" si="66"/>
        <v>EN_WOF_49_c02_LVA</v>
      </c>
      <c r="AX607" s="11">
        <f t="shared" si="67"/>
        <v>1637</v>
      </c>
      <c r="AY607" s="11">
        <f t="shared" si="68"/>
        <v>1637</v>
      </c>
      <c r="AZ607" s="17">
        <v>3</v>
      </c>
      <c r="BA607">
        <f t="shared" si="69"/>
        <v>16.37</v>
      </c>
    </row>
    <row r="608" spans="2:53">
      <c r="B608" t="s">
        <v>26</v>
      </c>
      <c r="C608" t="s">
        <v>4457</v>
      </c>
      <c r="D608" t="s">
        <v>4458</v>
      </c>
      <c r="E608" t="s">
        <v>29</v>
      </c>
      <c r="F608" t="s">
        <v>30</v>
      </c>
      <c r="G608" t="s">
        <v>31</v>
      </c>
      <c r="J608" t="s">
        <v>4457</v>
      </c>
      <c r="K608" t="s">
        <v>1967</v>
      </c>
      <c r="L608" t="s">
        <v>3108</v>
      </c>
      <c r="M608" s="8">
        <v>2.09175</v>
      </c>
      <c r="N608">
        <v>80.7856561622413</v>
      </c>
      <c r="O608">
        <v>1910</v>
      </c>
      <c r="P608" s="9">
        <v>0.200503406238795</v>
      </c>
      <c r="Q608" t="s">
        <v>538</v>
      </c>
      <c r="T608" s="15" t="s">
        <v>89</v>
      </c>
      <c r="W608" s="16" t="str">
        <f t="shared" si="63"/>
        <v>EN_WON_20_c02_CUB</v>
      </c>
      <c r="X608" s="12">
        <f t="shared" si="64"/>
        <v>1910</v>
      </c>
      <c r="Y608" s="11">
        <f t="shared" si="65"/>
        <v>1910</v>
      </c>
      <c r="AC608" t="s">
        <v>26</v>
      </c>
      <c r="AD608" t="s">
        <v>4459</v>
      </c>
      <c r="AE608" t="s">
        <v>4460</v>
      </c>
      <c r="AF608" t="s">
        <v>29</v>
      </c>
      <c r="AG608" t="s">
        <v>30</v>
      </c>
      <c r="AH608" t="s">
        <v>31</v>
      </c>
      <c r="AK608" t="s">
        <v>4459</v>
      </c>
      <c r="AL608" t="s">
        <v>1967</v>
      </c>
      <c r="AM608" t="s">
        <v>4461</v>
      </c>
      <c r="AN608" s="8">
        <v>1.60875</v>
      </c>
      <c r="AO608">
        <v>199.694880401046</v>
      </c>
      <c r="AP608">
        <v>1514</v>
      </c>
      <c r="AQ608" s="9">
        <v>0.302</v>
      </c>
      <c r="AR608" t="s">
        <v>1187</v>
      </c>
      <c r="AT608" s="15" t="s">
        <v>80</v>
      </c>
      <c r="AW608" s="11" t="str">
        <f t="shared" si="66"/>
        <v>EN_WOF_30_c02_MAR</v>
      </c>
      <c r="AX608" s="11">
        <f t="shared" si="67"/>
        <v>1514</v>
      </c>
      <c r="AY608" s="11">
        <f t="shared" si="68"/>
        <v>1514</v>
      </c>
      <c r="AZ608" s="17">
        <v>3</v>
      </c>
      <c r="BA608">
        <f t="shared" si="69"/>
        <v>15.14</v>
      </c>
    </row>
    <row r="609" spans="2:53">
      <c r="B609" t="s">
        <v>26</v>
      </c>
      <c r="C609" t="s">
        <v>4462</v>
      </c>
      <c r="D609" t="s">
        <v>4463</v>
      </c>
      <c r="E609" t="s">
        <v>29</v>
      </c>
      <c r="F609" t="s">
        <v>30</v>
      </c>
      <c r="G609" t="s">
        <v>31</v>
      </c>
      <c r="J609" t="s">
        <v>4462</v>
      </c>
      <c r="K609" t="s">
        <v>1967</v>
      </c>
      <c r="L609" t="s">
        <v>3108</v>
      </c>
      <c r="M609" s="8">
        <v>2.0475</v>
      </c>
      <c r="N609">
        <v>105.747516212372</v>
      </c>
      <c r="O609">
        <v>1910</v>
      </c>
      <c r="P609" s="9">
        <v>0.198363003663004</v>
      </c>
      <c r="Q609" t="s">
        <v>538</v>
      </c>
      <c r="T609" s="15" t="s">
        <v>89</v>
      </c>
      <c r="W609" s="16" t="str">
        <f t="shared" si="63"/>
        <v>EN_WON_20_c03_CUB</v>
      </c>
      <c r="X609" s="12">
        <f t="shared" si="64"/>
        <v>1910</v>
      </c>
      <c r="Y609" s="11">
        <f t="shared" si="65"/>
        <v>1910</v>
      </c>
      <c r="AC609" t="s">
        <v>26</v>
      </c>
      <c r="AD609" t="s">
        <v>4464</v>
      </c>
      <c r="AE609" t="s">
        <v>4465</v>
      </c>
      <c r="AF609" t="s">
        <v>29</v>
      </c>
      <c r="AG609" t="s">
        <v>30</v>
      </c>
      <c r="AH609" t="s">
        <v>31</v>
      </c>
      <c r="AK609" t="s">
        <v>4464</v>
      </c>
      <c r="AL609" t="s">
        <v>1967</v>
      </c>
      <c r="AM609" t="s">
        <v>4461</v>
      </c>
      <c r="AN609" s="8">
        <v>13.677</v>
      </c>
      <c r="AO609">
        <v>199.694880401046</v>
      </c>
      <c r="AP609">
        <v>1514</v>
      </c>
      <c r="AQ609" s="9">
        <v>0.307724994516341</v>
      </c>
      <c r="AR609" t="s">
        <v>1187</v>
      </c>
      <c r="AT609" s="15" t="s">
        <v>80</v>
      </c>
      <c r="AW609" s="11" t="str">
        <f t="shared" si="66"/>
        <v>EN_WOF_31_c02_MAR</v>
      </c>
      <c r="AX609" s="11">
        <f t="shared" si="67"/>
        <v>1514</v>
      </c>
      <c r="AY609" s="11">
        <f t="shared" si="68"/>
        <v>1514</v>
      </c>
      <c r="AZ609" s="17">
        <v>3</v>
      </c>
      <c r="BA609">
        <f t="shared" si="69"/>
        <v>15.14</v>
      </c>
    </row>
    <row r="610" spans="2:53">
      <c r="B610" t="s">
        <v>26</v>
      </c>
      <c r="C610" t="s">
        <v>4466</v>
      </c>
      <c r="D610" t="s">
        <v>4467</v>
      </c>
      <c r="E610" t="s">
        <v>29</v>
      </c>
      <c r="F610" t="s">
        <v>30</v>
      </c>
      <c r="G610" t="s">
        <v>31</v>
      </c>
      <c r="J610" t="s">
        <v>4466</v>
      </c>
      <c r="K610" t="s">
        <v>1967</v>
      </c>
      <c r="L610" t="s">
        <v>3108</v>
      </c>
      <c r="M610" s="8">
        <v>0.62325</v>
      </c>
      <c r="N610">
        <v>145.23264029167</v>
      </c>
      <c r="O610">
        <v>1910</v>
      </c>
      <c r="P610" s="9">
        <v>0.198</v>
      </c>
      <c r="Q610" t="s">
        <v>538</v>
      </c>
      <c r="T610" s="15" t="s">
        <v>89</v>
      </c>
      <c r="W610" s="16" t="str">
        <f t="shared" si="63"/>
        <v>EN_WON_20_c04_CUB</v>
      </c>
      <c r="X610" s="12">
        <f t="shared" si="64"/>
        <v>1910</v>
      </c>
      <c r="Y610" s="11">
        <f t="shared" si="65"/>
        <v>1910</v>
      </c>
      <c r="AC610" t="s">
        <v>26</v>
      </c>
      <c r="AD610" t="s">
        <v>4468</v>
      </c>
      <c r="AE610" t="s">
        <v>4469</v>
      </c>
      <c r="AF610" t="s">
        <v>29</v>
      </c>
      <c r="AG610" t="s">
        <v>30</v>
      </c>
      <c r="AH610" t="s">
        <v>31</v>
      </c>
      <c r="AK610" t="s">
        <v>4468</v>
      </c>
      <c r="AL610" t="s">
        <v>1967</v>
      </c>
      <c r="AM610" t="s">
        <v>4461</v>
      </c>
      <c r="AN610" s="8">
        <v>10.07925</v>
      </c>
      <c r="AO610">
        <v>199.694880401046</v>
      </c>
      <c r="AP610">
        <v>1514</v>
      </c>
      <c r="AQ610" s="9">
        <v>0.327909442666865</v>
      </c>
      <c r="AR610" t="s">
        <v>1187</v>
      </c>
      <c r="AT610" s="15" t="s">
        <v>80</v>
      </c>
      <c r="AW610" s="11" t="str">
        <f t="shared" si="66"/>
        <v>EN_WOF_33_c02_MAR</v>
      </c>
      <c r="AX610" s="11">
        <f t="shared" si="67"/>
        <v>1514</v>
      </c>
      <c r="AY610" s="11">
        <f t="shared" si="68"/>
        <v>1514</v>
      </c>
      <c r="AZ610" s="17">
        <v>3</v>
      </c>
      <c r="BA610">
        <f t="shared" si="69"/>
        <v>15.14</v>
      </c>
    </row>
    <row r="611" spans="2:53">
      <c r="B611" t="s">
        <v>26</v>
      </c>
      <c r="C611" t="s">
        <v>4470</v>
      </c>
      <c r="D611" t="s">
        <v>4471</v>
      </c>
      <c r="E611" t="s">
        <v>29</v>
      </c>
      <c r="F611" t="s">
        <v>30</v>
      </c>
      <c r="G611" t="s">
        <v>31</v>
      </c>
      <c r="J611" t="s">
        <v>4470</v>
      </c>
      <c r="K611" t="s">
        <v>1967</v>
      </c>
      <c r="L611" t="s">
        <v>3108</v>
      </c>
      <c r="M611" s="8">
        <v>0.759</v>
      </c>
      <c r="N611">
        <v>0</v>
      </c>
      <c r="O611">
        <v>1910</v>
      </c>
      <c r="P611" s="9">
        <v>0.214</v>
      </c>
      <c r="Q611" t="s">
        <v>538</v>
      </c>
      <c r="T611" s="15" t="s">
        <v>89</v>
      </c>
      <c r="W611" s="16" t="str">
        <f t="shared" si="63"/>
        <v>EN_WON_21_c01_CUB</v>
      </c>
      <c r="X611" s="12">
        <f t="shared" si="64"/>
        <v>1910</v>
      </c>
      <c r="Y611" s="11">
        <f t="shared" si="65"/>
        <v>1910</v>
      </c>
      <c r="AC611" t="s">
        <v>26</v>
      </c>
      <c r="AD611" t="s">
        <v>4472</v>
      </c>
      <c r="AE611" t="s">
        <v>4473</v>
      </c>
      <c r="AF611" t="s">
        <v>29</v>
      </c>
      <c r="AG611" t="s">
        <v>30</v>
      </c>
      <c r="AH611" t="s">
        <v>31</v>
      </c>
      <c r="AK611" t="s">
        <v>4472</v>
      </c>
      <c r="AL611" t="s">
        <v>1967</v>
      </c>
      <c r="AM611" t="s">
        <v>4461</v>
      </c>
      <c r="AN611" s="8">
        <v>5.35125</v>
      </c>
      <c r="AO611">
        <v>199.694880401046</v>
      </c>
      <c r="AP611">
        <v>1514</v>
      </c>
      <c r="AQ611" s="9">
        <v>0.339</v>
      </c>
      <c r="AR611" t="s">
        <v>1187</v>
      </c>
      <c r="AT611" s="15" t="s">
        <v>80</v>
      </c>
      <c r="AW611" s="11" t="str">
        <f t="shared" si="66"/>
        <v>EN_WOF_34_c02_MAR</v>
      </c>
      <c r="AX611" s="11">
        <f t="shared" si="67"/>
        <v>1514</v>
      </c>
      <c r="AY611" s="11">
        <f t="shared" si="68"/>
        <v>1514</v>
      </c>
      <c r="AZ611" s="17">
        <v>3</v>
      </c>
      <c r="BA611">
        <f t="shared" si="69"/>
        <v>15.14</v>
      </c>
    </row>
    <row r="612" spans="2:53">
      <c r="B612" t="s">
        <v>26</v>
      </c>
      <c r="C612" t="s">
        <v>4474</v>
      </c>
      <c r="D612" t="s">
        <v>4475</v>
      </c>
      <c r="E612" t="s">
        <v>29</v>
      </c>
      <c r="F612" t="s">
        <v>30</v>
      </c>
      <c r="G612" t="s">
        <v>31</v>
      </c>
      <c r="J612" t="s">
        <v>4474</v>
      </c>
      <c r="K612" t="s">
        <v>1967</v>
      </c>
      <c r="L612" t="s">
        <v>3108</v>
      </c>
      <c r="M612" s="8">
        <v>2.40225</v>
      </c>
      <c r="N612">
        <v>80.7856561622413</v>
      </c>
      <c r="O612">
        <v>1910</v>
      </c>
      <c r="P612" s="9">
        <v>0.209320012488292</v>
      </c>
      <c r="Q612" t="s">
        <v>538</v>
      </c>
      <c r="T612" s="15" t="s">
        <v>89</v>
      </c>
      <c r="W612" s="16" t="str">
        <f t="shared" si="63"/>
        <v>EN_WON_21_c02_CUB</v>
      </c>
      <c r="X612" s="12">
        <f t="shared" si="64"/>
        <v>1910</v>
      </c>
      <c r="Y612" s="11">
        <f t="shared" si="65"/>
        <v>1910</v>
      </c>
      <c r="AC612" t="s">
        <v>26</v>
      </c>
      <c r="AD612" t="s">
        <v>4476</v>
      </c>
      <c r="AE612" t="s">
        <v>4477</v>
      </c>
      <c r="AF612" t="s">
        <v>29</v>
      </c>
      <c r="AG612" t="s">
        <v>30</v>
      </c>
      <c r="AH612" t="s">
        <v>31</v>
      </c>
      <c r="AK612" t="s">
        <v>4476</v>
      </c>
      <c r="AL612" t="s">
        <v>1967</v>
      </c>
      <c r="AM612" t="s">
        <v>4461</v>
      </c>
      <c r="AN612" s="8">
        <v>11.06175</v>
      </c>
      <c r="AO612">
        <v>199.694880401046</v>
      </c>
      <c r="AP612">
        <v>1514</v>
      </c>
      <c r="AQ612" s="9">
        <v>0.349135941419757</v>
      </c>
      <c r="AR612" t="s">
        <v>1187</v>
      </c>
      <c r="AT612" s="15" t="s">
        <v>80</v>
      </c>
      <c r="AW612" s="11" t="str">
        <f t="shared" si="66"/>
        <v>EN_WOF_35_c02_MAR</v>
      </c>
      <c r="AX612" s="11">
        <f t="shared" si="67"/>
        <v>1514</v>
      </c>
      <c r="AY612" s="11">
        <f t="shared" si="68"/>
        <v>1514</v>
      </c>
      <c r="AZ612" s="17">
        <v>3</v>
      </c>
      <c r="BA612">
        <f t="shared" si="69"/>
        <v>15.14</v>
      </c>
    </row>
    <row r="613" spans="2:53">
      <c r="B613" t="s">
        <v>26</v>
      </c>
      <c r="C613" t="s">
        <v>4478</v>
      </c>
      <c r="D613" t="s">
        <v>4479</v>
      </c>
      <c r="E613" t="s">
        <v>29</v>
      </c>
      <c r="F613" t="s">
        <v>30</v>
      </c>
      <c r="G613" t="s">
        <v>31</v>
      </c>
      <c r="J613" t="s">
        <v>4478</v>
      </c>
      <c r="K613" t="s">
        <v>1967</v>
      </c>
      <c r="L613" t="s">
        <v>3108</v>
      </c>
      <c r="M613" s="8">
        <v>0.846</v>
      </c>
      <c r="N613">
        <v>105.747516212372</v>
      </c>
      <c r="O613">
        <v>1910</v>
      </c>
      <c r="P613" s="9">
        <v>0.208</v>
      </c>
      <c r="Q613" t="s">
        <v>538</v>
      </c>
      <c r="T613" s="15" t="s">
        <v>89</v>
      </c>
      <c r="W613" s="16" t="str">
        <f t="shared" si="63"/>
        <v>EN_WON_21_c03_CUB</v>
      </c>
      <c r="X613" s="12">
        <f t="shared" si="64"/>
        <v>1910</v>
      </c>
      <c r="Y613" s="11">
        <f t="shared" si="65"/>
        <v>1910</v>
      </c>
      <c r="AC613" t="s">
        <v>26</v>
      </c>
      <c r="AD613" t="s">
        <v>4480</v>
      </c>
      <c r="AE613" t="s">
        <v>4481</v>
      </c>
      <c r="AF613" t="s">
        <v>29</v>
      </c>
      <c r="AG613" t="s">
        <v>30</v>
      </c>
      <c r="AH613" t="s">
        <v>31</v>
      </c>
      <c r="AK613" t="s">
        <v>4480</v>
      </c>
      <c r="AL613" t="s">
        <v>1967</v>
      </c>
      <c r="AM613" t="s">
        <v>4461</v>
      </c>
      <c r="AN613" s="8">
        <v>11.81625</v>
      </c>
      <c r="AO613">
        <v>199.694880401046</v>
      </c>
      <c r="AP613">
        <v>1514</v>
      </c>
      <c r="AQ613" s="9">
        <v>0.357928974928594</v>
      </c>
      <c r="AR613" t="s">
        <v>1187</v>
      </c>
      <c r="AT613" s="15" t="s">
        <v>80</v>
      </c>
      <c r="AW613" s="11" t="str">
        <f t="shared" si="66"/>
        <v>EN_WOF_36_c02_MAR</v>
      </c>
      <c r="AX613" s="11">
        <f t="shared" si="67"/>
        <v>1514</v>
      </c>
      <c r="AY613" s="11">
        <f t="shared" si="68"/>
        <v>1514</v>
      </c>
      <c r="AZ613" s="17">
        <v>3</v>
      </c>
      <c r="BA613">
        <f t="shared" si="69"/>
        <v>15.14</v>
      </c>
    </row>
    <row r="614" spans="2:53">
      <c r="B614" t="s">
        <v>26</v>
      </c>
      <c r="C614" t="s">
        <v>4482</v>
      </c>
      <c r="D614" t="s">
        <v>4483</v>
      </c>
      <c r="E614" t="s">
        <v>29</v>
      </c>
      <c r="F614" t="s">
        <v>30</v>
      </c>
      <c r="G614" t="s">
        <v>31</v>
      </c>
      <c r="J614" t="s">
        <v>4482</v>
      </c>
      <c r="K614" t="s">
        <v>1967</v>
      </c>
      <c r="L614" t="s">
        <v>3108</v>
      </c>
      <c r="M614" s="8">
        <v>2.2185</v>
      </c>
      <c r="N614">
        <v>80.7856561622413</v>
      </c>
      <c r="O614">
        <v>1910</v>
      </c>
      <c r="P614" s="9">
        <v>0.22163353617309</v>
      </c>
      <c r="Q614" t="s">
        <v>538</v>
      </c>
      <c r="T614" s="15" t="s">
        <v>89</v>
      </c>
      <c r="W614" s="16" t="str">
        <f t="shared" si="63"/>
        <v>EN_WON_22_c02_CUB</v>
      </c>
      <c r="X614" s="12">
        <f t="shared" si="64"/>
        <v>1910</v>
      </c>
      <c r="Y614" s="11">
        <f t="shared" si="65"/>
        <v>1910</v>
      </c>
      <c r="AC614" t="s">
        <v>26</v>
      </c>
      <c r="AD614" t="s">
        <v>4484</v>
      </c>
      <c r="AE614" t="s">
        <v>4485</v>
      </c>
      <c r="AF614" t="s">
        <v>29</v>
      </c>
      <c r="AG614" t="s">
        <v>30</v>
      </c>
      <c r="AH614" t="s">
        <v>31</v>
      </c>
      <c r="AK614" t="s">
        <v>4484</v>
      </c>
      <c r="AL614" t="s">
        <v>1967</v>
      </c>
      <c r="AM614" t="s">
        <v>4461</v>
      </c>
      <c r="AN614" s="8">
        <v>16.977</v>
      </c>
      <c r="AO614">
        <v>199.694880401046</v>
      </c>
      <c r="AP614">
        <v>1514</v>
      </c>
      <c r="AQ614" s="9">
        <v>0.367508261176886</v>
      </c>
      <c r="AR614" t="s">
        <v>1187</v>
      </c>
      <c r="AT614" s="15" t="s">
        <v>80</v>
      </c>
      <c r="AW614" s="11" t="str">
        <f t="shared" si="66"/>
        <v>EN_WOF_37_c02_MAR</v>
      </c>
      <c r="AX614" s="11">
        <f t="shared" si="67"/>
        <v>1514</v>
      </c>
      <c r="AY614" s="11">
        <f t="shared" si="68"/>
        <v>1514</v>
      </c>
      <c r="AZ614" s="17">
        <v>3</v>
      </c>
      <c r="BA614">
        <f t="shared" si="69"/>
        <v>15.14</v>
      </c>
    </row>
    <row r="615" spans="2:53">
      <c r="B615" t="s">
        <v>26</v>
      </c>
      <c r="C615" t="s">
        <v>4486</v>
      </c>
      <c r="D615" t="s">
        <v>4487</v>
      </c>
      <c r="E615" t="s">
        <v>29</v>
      </c>
      <c r="F615" t="s">
        <v>30</v>
      </c>
      <c r="G615" t="s">
        <v>31</v>
      </c>
      <c r="J615" t="s">
        <v>4486</v>
      </c>
      <c r="K615" t="s">
        <v>1967</v>
      </c>
      <c r="L615" t="s">
        <v>3108</v>
      </c>
      <c r="M615" s="8">
        <v>1.00125</v>
      </c>
      <c r="N615">
        <v>105.747516212372</v>
      </c>
      <c r="O615">
        <v>1910</v>
      </c>
      <c r="P615" s="9">
        <v>0.215731835205992</v>
      </c>
      <c r="Q615" t="s">
        <v>538</v>
      </c>
      <c r="T615" s="15" t="s">
        <v>89</v>
      </c>
      <c r="W615" s="16" t="str">
        <f t="shared" si="63"/>
        <v>EN_WON_22_c03_CUB</v>
      </c>
      <c r="X615" s="12">
        <f t="shared" si="64"/>
        <v>1910</v>
      </c>
      <c r="Y615" s="11">
        <f t="shared" si="65"/>
        <v>1910</v>
      </c>
      <c r="AC615" t="s">
        <v>26</v>
      </c>
      <c r="AD615" t="s">
        <v>4488</v>
      </c>
      <c r="AE615" t="s">
        <v>4489</v>
      </c>
      <c r="AF615" t="s">
        <v>29</v>
      </c>
      <c r="AG615" t="s">
        <v>30</v>
      </c>
      <c r="AH615" t="s">
        <v>31</v>
      </c>
      <c r="AK615" t="s">
        <v>4488</v>
      </c>
      <c r="AL615" t="s">
        <v>1967</v>
      </c>
      <c r="AM615" t="s">
        <v>4461</v>
      </c>
      <c r="AN615" s="8">
        <v>19.60125</v>
      </c>
      <c r="AO615">
        <v>199.694880401046</v>
      </c>
      <c r="AP615">
        <v>1514</v>
      </c>
      <c r="AQ615" s="9">
        <v>0.378954122823799</v>
      </c>
      <c r="AR615" t="s">
        <v>1187</v>
      </c>
      <c r="AT615" s="15" t="s">
        <v>80</v>
      </c>
      <c r="AW615" s="11" t="str">
        <f t="shared" si="66"/>
        <v>EN_WOF_38_c02_MAR</v>
      </c>
      <c r="AX615" s="11">
        <f t="shared" si="67"/>
        <v>1514</v>
      </c>
      <c r="AY615" s="11">
        <f t="shared" si="68"/>
        <v>1514</v>
      </c>
      <c r="AZ615" s="17">
        <v>3</v>
      </c>
      <c r="BA615">
        <f t="shared" si="69"/>
        <v>15.14</v>
      </c>
    </row>
    <row r="616" spans="2:53">
      <c r="B616" t="s">
        <v>26</v>
      </c>
      <c r="C616" t="s">
        <v>4490</v>
      </c>
      <c r="D616" t="s">
        <v>4491</v>
      </c>
      <c r="E616" t="s">
        <v>29</v>
      </c>
      <c r="F616" t="s">
        <v>30</v>
      </c>
      <c r="G616" t="s">
        <v>31</v>
      </c>
      <c r="J616" t="s">
        <v>4490</v>
      </c>
      <c r="K616" t="s">
        <v>1967</v>
      </c>
      <c r="L616" t="s">
        <v>3108</v>
      </c>
      <c r="M616" s="8">
        <v>3.73425</v>
      </c>
      <c r="N616">
        <v>80.7856561622413</v>
      </c>
      <c r="O616">
        <v>1910</v>
      </c>
      <c r="P616" s="9">
        <v>0.229915846555533</v>
      </c>
      <c r="Q616" t="s">
        <v>538</v>
      </c>
      <c r="T616" s="15" t="s">
        <v>89</v>
      </c>
      <c r="W616" s="16" t="str">
        <f t="shared" si="63"/>
        <v>EN_WON_23_c02_CUB</v>
      </c>
      <c r="X616" s="12">
        <f t="shared" si="64"/>
        <v>1910</v>
      </c>
      <c r="Y616" s="11">
        <f t="shared" si="65"/>
        <v>1910</v>
      </c>
      <c r="AC616" t="s">
        <v>26</v>
      </c>
      <c r="AD616" t="s">
        <v>4492</v>
      </c>
      <c r="AE616" t="s">
        <v>4493</v>
      </c>
      <c r="AF616" t="s">
        <v>29</v>
      </c>
      <c r="AG616" t="s">
        <v>30</v>
      </c>
      <c r="AH616" t="s">
        <v>31</v>
      </c>
      <c r="AK616" t="s">
        <v>4492</v>
      </c>
      <c r="AL616" t="s">
        <v>1967</v>
      </c>
      <c r="AM616" t="s">
        <v>4461</v>
      </c>
      <c r="AN616" s="8">
        <v>3.9075</v>
      </c>
      <c r="AO616">
        <v>199.694880401046</v>
      </c>
      <c r="AP616">
        <v>1514</v>
      </c>
      <c r="AQ616" s="9">
        <v>0.389</v>
      </c>
      <c r="AR616" t="s">
        <v>1187</v>
      </c>
      <c r="AT616" s="15" t="s">
        <v>80</v>
      </c>
      <c r="AW616" s="11" t="str">
        <f t="shared" si="66"/>
        <v>EN_WOF_39_c02_MAR</v>
      </c>
      <c r="AX616" s="11">
        <f t="shared" si="67"/>
        <v>1514</v>
      </c>
      <c r="AY616" s="11">
        <f t="shared" si="68"/>
        <v>1514</v>
      </c>
      <c r="AZ616" s="17">
        <v>3</v>
      </c>
      <c r="BA616">
        <f t="shared" si="69"/>
        <v>15.14</v>
      </c>
    </row>
    <row r="617" spans="2:53">
      <c r="B617" t="s">
        <v>26</v>
      </c>
      <c r="C617" t="s">
        <v>4494</v>
      </c>
      <c r="D617" t="s">
        <v>4495</v>
      </c>
      <c r="E617" t="s">
        <v>29</v>
      </c>
      <c r="F617" t="s">
        <v>30</v>
      </c>
      <c r="G617" t="s">
        <v>31</v>
      </c>
      <c r="J617" t="s">
        <v>4494</v>
      </c>
      <c r="K617" t="s">
        <v>1967</v>
      </c>
      <c r="L617" t="s">
        <v>3108</v>
      </c>
      <c r="M617" s="8">
        <v>1.33875</v>
      </c>
      <c r="N617">
        <v>105.747516212372</v>
      </c>
      <c r="O617">
        <v>1910</v>
      </c>
      <c r="P617" s="9">
        <v>0.235963025210084</v>
      </c>
      <c r="Q617" t="s">
        <v>538</v>
      </c>
      <c r="T617" s="15" t="s">
        <v>89</v>
      </c>
      <c r="W617" s="16" t="str">
        <f t="shared" si="63"/>
        <v>EN_WON_24_c03_CUB</v>
      </c>
      <c r="X617" s="12">
        <f t="shared" si="64"/>
        <v>1910</v>
      </c>
      <c r="Y617" s="11">
        <f t="shared" si="65"/>
        <v>1910</v>
      </c>
      <c r="AC617" t="s">
        <v>26</v>
      </c>
      <c r="AD617" t="s">
        <v>4496</v>
      </c>
      <c r="AE617" t="s">
        <v>4497</v>
      </c>
      <c r="AF617" t="s">
        <v>29</v>
      </c>
      <c r="AG617" t="s">
        <v>30</v>
      </c>
      <c r="AH617" t="s">
        <v>31</v>
      </c>
      <c r="AK617" t="s">
        <v>4496</v>
      </c>
      <c r="AL617" t="s">
        <v>1967</v>
      </c>
      <c r="AM617" t="s">
        <v>4461</v>
      </c>
      <c r="AN617" s="8">
        <v>19.53225</v>
      </c>
      <c r="AO617">
        <v>199.694880401046</v>
      </c>
      <c r="AP617">
        <v>1514</v>
      </c>
      <c r="AQ617" s="9">
        <v>0.407100718043236</v>
      </c>
      <c r="AR617" t="s">
        <v>1187</v>
      </c>
      <c r="AT617" s="15" t="s">
        <v>80</v>
      </c>
      <c r="AW617" s="11" t="str">
        <f t="shared" si="66"/>
        <v>EN_WOF_41_c02_MAR</v>
      </c>
      <c r="AX617" s="11">
        <f t="shared" si="67"/>
        <v>1514</v>
      </c>
      <c r="AY617" s="11">
        <f t="shared" si="68"/>
        <v>1514</v>
      </c>
      <c r="AZ617" s="17">
        <v>3</v>
      </c>
      <c r="BA617">
        <f t="shared" si="69"/>
        <v>15.14</v>
      </c>
    </row>
    <row r="618" spans="2:53">
      <c r="B618" t="s">
        <v>26</v>
      </c>
      <c r="C618" t="s">
        <v>4498</v>
      </c>
      <c r="D618" t="s">
        <v>4499</v>
      </c>
      <c r="E618" t="s">
        <v>29</v>
      </c>
      <c r="F618" t="s">
        <v>30</v>
      </c>
      <c r="G618" t="s">
        <v>31</v>
      </c>
      <c r="J618" t="s">
        <v>4498</v>
      </c>
      <c r="K618" t="s">
        <v>1967</v>
      </c>
      <c r="L618" t="s">
        <v>3108</v>
      </c>
      <c r="M618" s="8">
        <v>0.53325</v>
      </c>
      <c r="N618">
        <v>105.747516212372</v>
      </c>
      <c r="O618">
        <v>1910</v>
      </c>
      <c r="P618" s="9">
        <v>0.252</v>
      </c>
      <c r="Q618" t="s">
        <v>538</v>
      </c>
      <c r="T618" s="15" t="s">
        <v>89</v>
      </c>
      <c r="W618" s="16" t="str">
        <f t="shared" si="63"/>
        <v>EN_WON_25_c03_CUB</v>
      </c>
      <c r="X618" s="12">
        <f t="shared" si="64"/>
        <v>1910</v>
      </c>
      <c r="Y618" s="11">
        <f t="shared" si="65"/>
        <v>1910</v>
      </c>
      <c r="AC618" t="s">
        <v>26</v>
      </c>
      <c r="AD618" t="s">
        <v>4500</v>
      </c>
      <c r="AE618" t="s">
        <v>4501</v>
      </c>
      <c r="AF618" t="s">
        <v>29</v>
      </c>
      <c r="AG618" t="s">
        <v>30</v>
      </c>
      <c r="AH618" t="s">
        <v>31</v>
      </c>
      <c r="AK618" t="s">
        <v>4500</v>
      </c>
      <c r="AL618" t="s">
        <v>1967</v>
      </c>
      <c r="AM618" t="s">
        <v>4461</v>
      </c>
      <c r="AN618" s="8">
        <v>6.2985</v>
      </c>
      <c r="AO618">
        <v>199.694880401046</v>
      </c>
      <c r="AP618">
        <v>1514</v>
      </c>
      <c r="AQ618" s="9">
        <v>0.421519409383187</v>
      </c>
      <c r="AR618" t="s">
        <v>1187</v>
      </c>
      <c r="AT618" s="15" t="s">
        <v>80</v>
      </c>
      <c r="AW618" s="11" t="str">
        <f t="shared" si="66"/>
        <v>EN_WOF_42_c02_MAR</v>
      </c>
      <c r="AX618" s="11">
        <f t="shared" si="67"/>
        <v>1514</v>
      </c>
      <c r="AY618" s="11">
        <f t="shared" si="68"/>
        <v>1514</v>
      </c>
      <c r="AZ618" s="17">
        <v>3</v>
      </c>
      <c r="BA618">
        <f t="shared" si="69"/>
        <v>15.14</v>
      </c>
    </row>
    <row r="619" spans="2:53">
      <c r="B619" t="s">
        <v>26</v>
      </c>
      <c r="C619" t="s">
        <v>4502</v>
      </c>
      <c r="D619" t="s">
        <v>4503</v>
      </c>
      <c r="E619" t="s">
        <v>29</v>
      </c>
      <c r="F619" t="s">
        <v>30</v>
      </c>
      <c r="G619" t="s">
        <v>31</v>
      </c>
      <c r="J619" t="s">
        <v>4502</v>
      </c>
      <c r="K619" t="s">
        <v>1967</v>
      </c>
      <c r="L619" t="s">
        <v>3108</v>
      </c>
      <c r="M619" s="8">
        <v>0.153</v>
      </c>
      <c r="N619">
        <v>105.747516212372</v>
      </c>
      <c r="O619">
        <v>1910</v>
      </c>
      <c r="P619" s="9">
        <v>0.259</v>
      </c>
      <c r="Q619" t="s">
        <v>538</v>
      </c>
      <c r="T619" s="15" t="s">
        <v>89</v>
      </c>
      <c r="W619" s="16" t="str">
        <f t="shared" si="63"/>
        <v>EN_WON_26_c03_CUB</v>
      </c>
      <c r="X619" s="12">
        <f t="shared" si="64"/>
        <v>1910</v>
      </c>
      <c r="Y619" s="11">
        <f t="shared" si="65"/>
        <v>1910</v>
      </c>
      <c r="AC619" t="s">
        <v>26</v>
      </c>
      <c r="AD619" t="s">
        <v>4504</v>
      </c>
      <c r="AE619" t="s">
        <v>4505</v>
      </c>
      <c r="AF619" t="s">
        <v>29</v>
      </c>
      <c r="AG619" t="s">
        <v>30</v>
      </c>
      <c r="AH619" t="s">
        <v>31</v>
      </c>
      <c r="AK619" t="s">
        <v>4504</v>
      </c>
      <c r="AL619" t="s">
        <v>1967</v>
      </c>
      <c r="AM619" t="s">
        <v>4461</v>
      </c>
      <c r="AN619" s="8">
        <v>9.71625</v>
      </c>
      <c r="AO619">
        <v>199.694880401046</v>
      </c>
      <c r="AP619">
        <v>1514</v>
      </c>
      <c r="AQ619" s="9">
        <v>0.437922655345426</v>
      </c>
      <c r="AR619" t="s">
        <v>1187</v>
      </c>
      <c r="AT619" s="15" t="s">
        <v>80</v>
      </c>
      <c r="AW619" s="11" t="str">
        <f t="shared" si="66"/>
        <v>EN_WOF_44_c02_MAR</v>
      </c>
      <c r="AX619" s="11">
        <f t="shared" si="67"/>
        <v>1514</v>
      </c>
      <c r="AY619" s="11">
        <f t="shared" si="68"/>
        <v>1514</v>
      </c>
      <c r="AZ619" s="17">
        <v>3</v>
      </c>
      <c r="BA619">
        <f t="shared" si="69"/>
        <v>15.14</v>
      </c>
    </row>
    <row r="620" spans="2:53">
      <c r="B620" t="s">
        <v>26</v>
      </c>
      <c r="C620" t="s">
        <v>4506</v>
      </c>
      <c r="D620" t="s">
        <v>4507</v>
      </c>
      <c r="E620" t="s">
        <v>29</v>
      </c>
      <c r="F620" t="s">
        <v>30</v>
      </c>
      <c r="G620" t="s">
        <v>31</v>
      </c>
      <c r="J620" t="s">
        <v>4506</v>
      </c>
      <c r="K620" t="s">
        <v>1967</v>
      </c>
      <c r="L620" t="s">
        <v>3108</v>
      </c>
      <c r="M620" s="8">
        <v>0.048</v>
      </c>
      <c r="N620">
        <v>80.7856561622413</v>
      </c>
      <c r="O620">
        <v>1910</v>
      </c>
      <c r="P620" s="9">
        <v>0.30225</v>
      </c>
      <c r="Q620" t="s">
        <v>538</v>
      </c>
      <c r="T620" s="15" t="s">
        <v>89</v>
      </c>
      <c r="W620" s="16" t="str">
        <f t="shared" si="63"/>
        <v>EN_WON_30_c02_CUB</v>
      </c>
      <c r="X620" s="12">
        <f t="shared" si="64"/>
        <v>1910</v>
      </c>
      <c r="Y620" s="11">
        <f t="shared" si="65"/>
        <v>1910</v>
      </c>
      <c r="AC620" t="s">
        <v>26</v>
      </c>
      <c r="AD620" t="s">
        <v>4508</v>
      </c>
      <c r="AE620" t="s">
        <v>4509</v>
      </c>
      <c r="AF620" t="s">
        <v>29</v>
      </c>
      <c r="AG620" t="s">
        <v>30</v>
      </c>
      <c r="AH620" t="s">
        <v>31</v>
      </c>
      <c r="AK620" t="s">
        <v>4508</v>
      </c>
      <c r="AL620" t="s">
        <v>1967</v>
      </c>
      <c r="AM620" t="s">
        <v>4461</v>
      </c>
      <c r="AN620" s="8">
        <v>2.32575</v>
      </c>
      <c r="AO620">
        <v>199.694880401046</v>
      </c>
      <c r="AP620">
        <v>1514</v>
      </c>
      <c r="AQ620" s="9">
        <v>0.45004321186714</v>
      </c>
      <c r="AR620" t="s">
        <v>1187</v>
      </c>
      <c r="AT620" s="15" t="s">
        <v>80</v>
      </c>
      <c r="AW620" s="11" t="str">
        <f t="shared" si="66"/>
        <v>EN_WOF_45_c02_MAR</v>
      </c>
      <c r="AX620" s="11">
        <f t="shared" si="67"/>
        <v>1514</v>
      </c>
      <c r="AY620" s="11">
        <f t="shared" si="68"/>
        <v>1514</v>
      </c>
      <c r="AZ620" s="17">
        <v>3</v>
      </c>
      <c r="BA620">
        <f t="shared" si="69"/>
        <v>15.14</v>
      </c>
    </row>
    <row r="621" spans="2:53">
      <c r="B621" t="s">
        <v>26</v>
      </c>
      <c r="C621" t="s">
        <v>4510</v>
      </c>
      <c r="D621" t="s">
        <v>4511</v>
      </c>
      <c r="E621" t="s">
        <v>29</v>
      </c>
      <c r="F621" t="s">
        <v>30</v>
      </c>
      <c r="G621" t="s">
        <v>31</v>
      </c>
      <c r="J621" t="s">
        <v>4510</v>
      </c>
      <c r="K621" t="s">
        <v>1967</v>
      </c>
      <c r="L621" t="s">
        <v>4512</v>
      </c>
      <c r="M621" s="8">
        <v>3.18675</v>
      </c>
      <c r="N621">
        <v>105.747516212372</v>
      </c>
      <c r="O621">
        <v>1756</v>
      </c>
      <c r="P621" s="9">
        <v>0.155</v>
      </c>
      <c r="Q621" t="s">
        <v>548</v>
      </c>
      <c r="T621" s="15" t="s">
        <v>69</v>
      </c>
      <c r="W621" s="16" t="str">
        <f t="shared" si="63"/>
        <v>EN_WON_16_c03_CYP</v>
      </c>
      <c r="X621" s="12">
        <f t="shared" si="64"/>
        <v>1756</v>
      </c>
      <c r="Y621" s="11">
        <f t="shared" si="65"/>
        <v>1756</v>
      </c>
      <c r="AC621" t="s">
        <v>26</v>
      </c>
      <c r="AD621" t="s">
        <v>4513</v>
      </c>
      <c r="AE621" t="s">
        <v>4514</v>
      </c>
      <c r="AF621" t="s">
        <v>29</v>
      </c>
      <c r="AG621" t="s">
        <v>30</v>
      </c>
      <c r="AH621" t="s">
        <v>31</v>
      </c>
      <c r="AK621" t="s">
        <v>4513</v>
      </c>
      <c r="AL621" t="s">
        <v>1967</v>
      </c>
      <c r="AM621" t="s">
        <v>4461</v>
      </c>
      <c r="AN621" s="8">
        <v>6.32025</v>
      </c>
      <c r="AO621">
        <v>199.694880401046</v>
      </c>
      <c r="AP621">
        <v>1514</v>
      </c>
      <c r="AQ621" s="9">
        <v>0.49</v>
      </c>
      <c r="AR621" t="s">
        <v>1187</v>
      </c>
      <c r="AT621" s="15" t="s">
        <v>80</v>
      </c>
      <c r="AW621" s="11" t="str">
        <f t="shared" si="66"/>
        <v>EN_WOF_49_c02_MAR</v>
      </c>
      <c r="AX621" s="11">
        <f t="shared" si="67"/>
        <v>1514</v>
      </c>
      <c r="AY621" s="11">
        <f t="shared" si="68"/>
        <v>1514</v>
      </c>
      <c r="AZ621" s="17">
        <v>3</v>
      </c>
      <c r="BA621">
        <f t="shared" si="69"/>
        <v>15.14</v>
      </c>
    </row>
    <row r="622" spans="2:53">
      <c r="B622" t="s">
        <v>26</v>
      </c>
      <c r="C622" t="s">
        <v>4515</v>
      </c>
      <c r="D622" t="s">
        <v>4516</v>
      </c>
      <c r="E622" t="s">
        <v>29</v>
      </c>
      <c r="F622" t="s">
        <v>30</v>
      </c>
      <c r="G622" t="s">
        <v>31</v>
      </c>
      <c r="J622" t="s">
        <v>4515</v>
      </c>
      <c r="K622" t="s">
        <v>1967</v>
      </c>
      <c r="L622" t="s">
        <v>4517</v>
      </c>
      <c r="M622" s="8">
        <v>8.3865</v>
      </c>
      <c r="N622">
        <v>80.7856561622413</v>
      </c>
      <c r="O622">
        <v>1827</v>
      </c>
      <c r="P622" s="9">
        <v>0.255</v>
      </c>
      <c r="Q622" t="s">
        <v>552</v>
      </c>
      <c r="T622" s="15" t="s">
        <v>69</v>
      </c>
      <c r="W622" s="16" t="str">
        <f t="shared" si="63"/>
        <v>EN_WON_26_c02_CZE</v>
      </c>
      <c r="X622" s="12">
        <f t="shared" si="64"/>
        <v>1827</v>
      </c>
      <c r="Y622" s="11">
        <f t="shared" si="65"/>
        <v>1827</v>
      </c>
      <c r="AC622" t="s">
        <v>26</v>
      </c>
      <c r="AD622" t="s">
        <v>4518</v>
      </c>
      <c r="AE622" t="s">
        <v>4519</v>
      </c>
      <c r="AF622" t="s">
        <v>29</v>
      </c>
      <c r="AG622" t="s">
        <v>30</v>
      </c>
      <c r="AH622" t="s">
        <v>31</v>
      </c>
      <c r="AK622" t="s">
        <v>4518</v>
      </c>
      <c r="AL622" t="s">
        <v>1967</v>
      </c>
      <c r="AM622" t="s">
        <v>4461</v>
      </c>
      <c r="AN622" s="8">
        <v>4.82475</v>
      </c>
      <c r="AO622">
        <v>199.694880401046</v>
      </c>
      <c r="AP622">
        <v>1514</v>
      </c>
      <c r="AQ622" s="9">
        <v>0.503047256334525</v>
      </c>
      <c r="AR622" t="s">
        <v>1187</v>
      </c>
      <c r="AT622" s="15" t="s">
        <v>80</v>
      </c>
      <c r="AW622" s="11" t="str">
        <f t="shared" si="66"/>
        <v>EN_WOF_50_c02_MAR</v>
      </c>
      <c r="AX622" s="11">
        <f t="shared" si="67"/>
        <v>1514</v>
      </c>
      <c r="AY622" s="11">
        <f t="shared" si="68"/>
        <v>1514</v>
      </c>
      <c r="AZ622" s="17">
        <v>3</v>
      </c>
      <c r="BA622">
        <f t="shared" si="69"/>
        <v>15.14</v>
      </c>
    </row>
    <row r="623" spans="2:53">
      <c r="B623" t="s">
        <v>26</v>
      </c>
      <c r="C623" t="s">
        <v>4520</v>
      </c>
      <c r="D623" t="s">
        <v>4521</v>
      </c>
      <c r="E623" t="s">
        <v>29</v>
      </c>
      <c r="F623" t="s">
        <v>30</v>
      </c>
      <c r="G623" t="s">
        <v>31</v>
      </c>
      <c r="J623" t="s">
        <v>4520</v>
      </c>
      <c r="K623" t="s">
        <v>1967</v>
      </c>
      <c r="L623" t="s">
        <v>4517</v>
      </c>
      <c r="M623" s="8">
        <v>8.28225</v>
      </c>
      <c r="N623">
        <v>0</v>
      </c>
      <c r="O623">
        <v>1827</v>
      </c>
      <c r="P623" s="9">
        <v>0.267</v>
      </c>
      <c r="Q623" t="s">
        <v>552</v>
      </c>
      <c r="T623" s="15" t="s">
        <v>69</v>
      </c>
      <c r="W623" s="16" t="str">
        <f t="shared" si="63"/>
        <v>EN_WON_27_c01_CZE</v>
      </c>
      <c r="X623" s="12">
        <f t="shared" si="64"/>
        <v>1827</v>
      </c>
      <c r="Y623" s="11">
        <f t="shared" si="65"/>
        <v>1827</v>
      </c>
      <c r="AC623" t="s">
        <v>26</v>
      </c>
      <c r="AD623" t="s">
        <v>4522</v>
      </c>
      <c r="AE623" t="s">
        <v>4523</v>
      </c>
      <c r="AF623" t="s">
        <v>29</v>
      </c>
      <c r="AG623" t="s">
        <v>30</v>
      </c>
      <c r="AH623" t="s">
        <v>31</v>
      </c>
      <c r="AK623" t="s">
        <v>4522</v>
      </c>
      <c r="AL623" t="s">
        <v>1967</v>
      </c>
      <c r="AM623" t="s">
        <v>4461</v>
      </c>
      <c r="AN623" s="8">
        <v>6.23475</v>
      </c>
      <c r="AO623">
        <v>199.694880401046</v>
      </c>
      <c r="AP623">
        <v>1514</v>
      </c>
      <c r="AQ623" s="9">
        <v>0.509</v>
      </c>
      <c r="AR623" t="s">
        <v>1187</v>
      </c>
      <c r="AT623" s="15" t="s">
        <v>80</v>
      </c>
      <c r="AW623" s="11" t="str">
        <f t="shared" si="66"/>
        <v>EN_WOF_51_c02_MAR</v>
      </c>
      <c r="AX623" s="11">
        <f t="shared" si="67"/>
        <v>1514</v>
      </c>
      <c r="AY623" s="11">
        <f t="shared" si="68"/>
        <v>1514</v>
      </c>
      <c r="AZ623" s="17">
        <v>3</v>
      </c>
      <c r="BA623">
        <f t="shared" si="69"/>
        <v>15.14</v>
      </c>
    </row>
    <row r="624" spans="2:53">
      <c r="B624" t="s">
        <v>26</v>
      </c>
      <c r="C624" t="s">
        <v>4524</v>
      </c>
      <c r="D624" t="s">
        <v>4525</v>
      </c>
      <c r="E624" t="s">
        <v>29</v>
      </c>
      <c r="F624" t="s">
        <v>30</v>
      </c>
      <c r="G624" t="s">
        <v>31</v>
      </c>
      <c r="J624" t="s">
        <v>4524</v>
      </c>
      <c r="K624" t="s">
        <v>1967</v>
      </c>
      <c r="L624" t="s">
        <v>4517</v>
      </c>
      <c r="M624" s="8">
        <v>8.043</v>
      </c>
      <c r="N624">
        <v>80.7856561622413</v>
      </c>
      <c r="O624">
        <v>1827</v>
      </c>
      <c r="P624" s="9">
        <v>0.268</v>
      </c>
      <c r="Q624" t="s">
        <v>552</v>
      </c>
      <c r="T624" s="15" t="s">
        <v>69</v>
      </c>
      <c r="W624" s="16" t="str">
        <f t="shared" si="63"/>
        <v>EN_WON_27_c02_CZE</v>
      </c>
      <c r="X624" s="12">
        <f t="shared" si="64"/>
        <v>1827</v>
      </c>
      <c r="Y624" s="11">
        <f t="shared" si="65"/>
        <v>1827</v>
      </c>
      <c r="AC624" t="s">
        <v>26</v>
      </c>
      <c r="AD624" t="s">
        <v>4526</v>
      </c>
      <c r="AE624" t="s">
        <v>4527</v>
      </c>
      <c r="AF624" t="s">
        <v>29</v>
      </c>
      <c r="AG624" t="s">
        <v>30</v>
      </c>
      <c r="AH624" t="s">
        <v>31</v>
      </c>
      <c r="AK624" t="s">
        <v>4526</v>
      </c>
      <c r="AL624" t="s">
        <v>1967</v>
      </c>
      <c r="AM624" t="s">
        <v>4528</v>
      </c>
      <c r="AN624" s="8">
        <v>1.11975</v>
      </c>
      <c r="AO624">
        <v>199.694880401046</v>
      </c>
      <c r="AP624">
        <v>1952</v>
      </c>
      <c r="AQ624" s="9">
        <v>0.321</v>
      </c>
      <c r="AR624" t="s">
        <v>1203</v>
      </c>
      <c r="AT624" s="15" t="s">
        <v>54</v>
      </c>
      <c r="AW624" s="11" t="str">
        <f t="shared" si="66"/>
        <v>EN_WOF_32_c02_MDG</v>
      </c>
      <c r="AX624" s="11">
        <f t="shared" si="67"/>
        <v>1952</v>
      </c>
      <c r="AY624" s="11">
        <f t="shared" si="68"/>
        <v>1952</v>
      </c>
      <c r="AZ624" s="17">
        <v>3</v>
      </c>
      <c r="BA624">
        <f t="shared" si="69"/>
        <v>19.52</v>
      </c>
    </row>
    <row r="625" spans="2:53">
      <c r="B625" t="s">
        <v>26</v>
      </c>
      <c r="C625" t="s">
        <v>4529</v>
      </c>
      <c r="D625" t="s">
        <v>4530</v>
      </c>
      <c r="E625" t="s">
        <v>29</v>
      </c>
      <c r="F625" t="s">
        <v>30</v>
      </c>
      <c r="G625" t="s">
        <v>31</v>
      </c>
      <c r="J625" t="s">
        <v>4529</v>
      </c>
      <c r="K625" t="s">
        <v>1967</v>
      </c>
      <c r="L625" t="s">
        <v>4517</v>
      </c>
      <c r="M625" s="8">
        <v>8.47275</v>
      </c>
      <c r="N625">
        <v>105.747516212372</v>
      </c>
      <c r="O625">
        <v>1827</v>
      </c>
      <c r="P625" s="9">
        <v>0.273</v>
      </c>
      <c r="Q625" t="s">
        <v>552</v>
      </c>
      <c r="T625" s="15" t="s">
        <v>69</v>
      </c>
      <c r="W625" s="16" t="str">
        <f t="shared" si="63"/>
        <v>EN_WON_27_c03_CZE</v>
      </c>
      <c r="X625" s="12">
        <f t="shared" si="64"/>
        <v>1827</v>
      </c>
      <c r="Y625" s="11">
        <f t="shared" si="65"/>
        <v>1827</v>
      </c>
      <c r="AC625" t="s">
        <v>26</v>
      </c>
      <c r="AD625" t="s">
        <v>4531</v>
      </c>
      <c r="AE625" t="s">
        <v>4532</v>
      </c>
      <c r="AF625" t="s">
        <v>29</v>
      </c>
      <c r="AG625" t="s">
        <v>30</v>
      </c>
      <c r="AH625" t="s">
        <v>31</v>
      </c>
      <c r="AK625" t="s">
        <v>4531</v>
      </c>
      <c r="AL625" t="s">
        <v>1967</v>
      </c>
      <c r="AM625" t="s">
        <v>4528</v>
      </c>
      <c r="AN625" s="8">
        <v>3.03</v>
      </c>
      <c r="AO625">
        <v>199.694880401046</v>
      </c>
      <c r="AP625">
        <v>1952</v>
      </c>
      <c r="AQ625" s="9">
        <v>0.34814900990099</v>
      </c>
      <c r="AR625" t="s">
        <v>1203</v>
      </c>
      <c r="AT625" s="15" t="s">
        <v>54</v>
      </c>
      <c r="AW625" s="11" t="str">
        <f t="shared" si="66"/>
        <v>EN_WOF_35_c02_MDG</v>
      </c>
      <c r="AX625" s="11">
        <f t="shared" si="67"/>
        <v>1952</v>
      </c>
      <c r="AY625" s="11">
        <f t="shared" si="68"/>
        <v>1952</v>
      </c>
      <c r="AZ625" s="17">
        <v>3</v>
      </c>
      <c r="BA625">
        <f t="shared" si="69"/>
        <v>19.52</v>
      </c>
    </row>
    <row r="626" spans="2:53">
      <c r="B626" t="s">
        <v>26</v>
      </c>
      <c r="C626" t="s">
        <v>4533</v>
      </c>
      <c r="D626" t="s">
        <v>4534</v>
      </c>
      <c r="E626" t="s">
        <v>29</v>
      </c>
      <c r="F626" t="s">
        <v>30</v>
      </c>
      <c r="G626" t="s">
        <v>31</v>
      </c>
      <c r="J626" t="s">
        <v>4533</v>
      </c>
      <c r="K626" t="s">
        <v>1967</v>
      </c>
      <c r="L626" t="s">
        <v>4517</v>
      </c>
      <c r="M626" s="8">
        <v>8.61225</v>
      </c>
      <c r="N626">
        <v>80.7856561622413</v>
      </c>
      <c r="O626">
        <v>1827</v>
      </c>
      <c r="P626" s="9">
        <v>0.275</v>
      </c>
      <c r="Q626" t="s">
        <v>552</v>
      </c>
      <c r="T626" s="15" t="s">
        <v>69</v>
      </c>
      <c r="W626" s="16" t="str">
        <f t="shared" si="63"/>
        <v>EN_WON_28_c02_CZE</v>
      </c>
      <c r="X626" s="12">
        <f t="shared" si="64"/>
        <v>1827</v>
      </c>
      <c r="Y626" s="11">
        <f t="shared" si="65"/>
        <v>1827</v>
      </c>
      <c r="AC626" t="s">
        <v>26</v>
      </c>
      <c r="AD626" t="s">
        <v>4535</v>
      </c>
      <c r="AE626" t="s">
        <v>4536</v>
      </c>
      <c r="AF626" t="s">
        <v>29</v>
      </c>
      <c r="AG626" t="s">
        <v>30</v>
      </c>
      <c r="AH626" t="s">
        <v>31</v>
      </c>
      <c r="AK626" t="s">
        <v>4535</v>
      </c>
      <c r="AL626" t="s">
        <v>1967</v>
      </c>
      <c r="AM626" t="s">
        <v>4528</v>
      </c>
      <c r="AN626" s="8">
        <v>3.20775</v>
      </c>
      <c r="AO626">
        <v>199.694880401046</v>
      </c>
      <c r="AP626">
        <v>1952</v>
      </c>
      <c r="AQ626" s="9">
        <v>0.358675941080196</v>
      </c>
      <c r="AR626" t="s">
        <v>1203</v>
      </c>
      <c r="AT626" s="15" t="s">
        <v>54</v>
      </c>
      <c r="AW626" s="11" t="str">
        <f t="shared" si="66"/>
        <v>EN_WOF_36_c02_MDG</v>
      </c>
      <c r="AX626" s="11">
        <f t="shared" si="67"/>
        <v>1952</v>
      </c>
      <c r="AY626" s="11">
        <f t="shared" si="68"/>
        <v>1952</v>
      </c>
      <c r="AZ626" s="17">
        <v>3</v>
      </c>
      <c r="BA626">
        <f t="shared" si="69"/>
        <v>19.52</v>
      </c>
    </row>
    <row r="627" spans="2:53">
      <c r="B627" t="s">
        <v>26</v>
      </c>
      <c r="C627" t="s">
        <v>4537</v>
      </c>
      <c r="D627" t="s">
        <v>4538</v>
      </c>
      <c r="E627" t="s">
        <v>29</v>
      </c>
      <c r="F627" t="s">
        <v>30</v>
      </c>
      <c r="G627" t="s">
        <v>31</v>
      </c>
      <c r="J627" t="s">
        <v>4537</v>
      </c>
      <c r="K627" t="s">
        <v>1967</v>
      </c>
      <c r="L627" t="s">
        <v>4517</v>
      </c>
      <c r="M627" s="8">
        <v>8.27325</v>
      </c>
      <c r="N627">
        <v>105.747516212372</v>
      </c>
      <c r="O627">
        <v>1827</v>
      </c>
      <c r="P627" s="9">
        <v>0.279</v>
      </c>
      <c r="Q627" t="s">
        <v>552</v>
      </c>
      <c r="T627" s="15" t="s">
        <v>69</v>
      </c>
      <c r="W627" s="16" t="str">
        <f t="shared" si="63"/>
        <v>EN_WON_28_c03_CZE</v>
      </c>
      <c r="X627" s="12">
        <f t="shared" si="64"/>
        <v>1827</v>
      </c>
      <c r="Y627" s="11">
        <f t="shared" si="65"/>
        <v>1827</v>
      </c>
      <c r="AC627" t="s">
        <v>26</v>
      </c>
      <c r="AD627" t="s">
        <v>4539</v>
      </c>
      <c r="AE627" t="s">
        <v>4540</v>
      </c>
      <c r="AF627" t="s">
        <v>29</v>
      </c>
      <c r="AG627" t="s">
        <v>30</v>
      </c>
      <c r="AH627" t="s">
        <v>31</v>
      </c>
      <c r="AK627" t="s">
        <v>4539</v>
      </c>
      <c r="AL627" t="s">
        <v>1967</v>
      </c>
      <c r="AM627" t="s">
        <v>4528</v>
      </c>
      <c r="AN627" s="8">
        <v>2.02575</v>
      </c>
      <c r="AO627">
        <v>199.694880401046</v>
      </c>
      <c r="AP627">
        <v>1952</v>
      </c>
      <c r="AQ627" s="9">
        <v>0.391553498704184</v>
      </c>
      <c r="AR627" t="s">
        <v>1203</v>
      </c>
      <c r="AT627" s="15" t="s">
        <v>54</v>
      </c>
      <c r="AW627" s="11" t="str">
        <f t="shared" si="66"/>
        <v>EN_WOF_39_c02_MDG</v>
      </c>
      <c r="AX627" s="11">
        <f t="shared" si="67"/>
        <v>1952</v>
      </c>
      <c r="AY627" s="11">
        <f t="shared" si="68"/>
        <v>1952</v>
      </c>
      <c r="AZ627" s="17">
        <v>3</v>
      </c>
      <c r="BA627">
        <f t="shared" si="69"/>
        <v>19.52</v>
      </c>
    </row>
    <row r="628" spans="2:53">
      <c r="B628" t="s">
        <v>26</v>
      </c>
      <c r="C628" t="s">
        <v>4541</v>
      </c>
      <c r="D628" t="s">
        <v>4542</v>
      </c>
      <c r="E628" t="s">
        <v>29</v>
      </c>
      <c r="F628" t="s">
        <v>30</v>
      </c>
      <c r="G628" t="s">
        <v>31</v>
      </c>
      <c r="J628" t="s">
        <v>4541</v>
      </c>
      <c r="K628" t="s">
        <v>1967</v>
      </c>
      <c r="L628" t="s">
        <v>4517</v>
      </c>
      <c r="M628" s="8">
        <v>8.44725</v>
      </c>
      <c r="N628">
        <v>145.23264029167</v>
      </c>
      <c r="O628">
        <v>1827</v>
      </c>
      <c r="P628" s="9">
        <v>0.291</v>
      </c>
      <c r="Q628" t="s">
        <v>552</v>
      </c>
      <c r="T628" s="15" t="s">
        <v>69</v>
      </c>
      <c r="W628" s="16" t="str">
        <f t="shared" si="63"/>
        <v>EN_WON_29_c04_CZE</v>
      </c>
      <c r="X628" s="12">
        <f t="shared" si="64"/>
        <v>1827</v>
      </c>
      <c r="Y628" s="11">
        <f t="shared" si="65"/>
        <v>1827</v>
      </c>
      <c r="AC628" t="s">
        <v>26</v>
      </c>
      <c r="AD628" t="s">
        <v>4543</v>
      </c>
      <c r="AE628" t="s">
        <v>4544</v>
      </c>
      <c r="AF628" t="s">
        <v>29</v>
      </c>
      <c r="AG628" t="s">
        <v>30</v>
      </c>
      <c r="AH628" t="s">
        <v>31</v>
      </c>
      <c r="AK628" t="s">
        <v>4543</v>
      </c>
      <c r="AL628" t="s">
        <v>1967</v>
      </c>
      <c r="AM628" t="s">
        <v>4528</v>
      </c>
      <c r="AN628" s="8">
        <v>1.539</v>
      </c>
      <c r="AO628">
        <v>199.694880401046</v>
      </c>
      <c r="AP628">
        <v>1952</v>
      </c>
      <c r="AQ628" s="9">
        <v>0.406305068226121</v>
      </c>
      <c r="AR628" t="s">
        <v>1203</v>
      </c>
      <c r="AT628" s="15" t="s">
        <v>54</v>
      </c>
      <c r="AW628" s="11" t="str">
        <f t="shared" si="66"/>
        <v>EN_WOF_41_c02_MDG</v>
      </c>
      <c r="AX628" s="11">
        <f t="shared" si="67"/>
        <v>1952</v>
      </c>
      <c r="AY628" s="11">
        <f t="shared" si="68"/>
        <v>1952</v>
      </c>
      <c r="AZ628" s="17">
        <v>3</v>
      </c>
      <c r="BA628">
        <f t="shared" si="69"/>
        <v>19.52</v>
      </c>
    </row>
    <row r="629" spans="2:53">
      <c r="B629" t="s">
        <v>26</v>
      </c>
      <c r="C629" t="s">
        <v>4545</v>
      </c>
      <c r="D629" t="s">
        <v>4546</v>
      </c>
      <c r="E629" t="s">
        <v>29</v>
      </c>
      <c r="F629" t="s">
        <v>30</v>
      </c>
      <c r="G629" t="s">
        <v>31</v>
      </c>
      <c r="J629" t="s">
        <v>4545</v>
      </c>
      <c r="K629" t="s">
        <v>1967</v>
      </c>
      <c r="L629" t="s">
        <v>3145</v>
      </c>
      <c r="M629" s="8">
        <v>40.15425</v>
      </c>
      <c r="N629">
        <v>0</v>
      </c>
      <c r="O629">
        <v>1762</v>
      </c>
      <c r="P629" s="9">
        <v>0.339297017127701</v>
      </c>
      <c r="Q629" t="s">
        <v>562</v>
      </c>
      <c r="T629" s="15" t="s">
        <v>69</v>
      </c>
      <c r="W629" s="16" t="str">
        <f t="shared" si="63"/>
        <v>EN_WON_34_c01_DEU</v>
      </c>
      <c r="X629" s="12">
        <f t="shared" si="64"/>
        <v>1762</v>
      </c>
      <c r="Y629" s="11">
        <f t="shared" si="65"/>
        <v>1762</v>
      </c>
      <c r="AC629" t="s">
        <v>26</v>
      </c>
      <c r="AD629" t="s">
        <v>4547</v>
      </c>
      <c r="AE629" t="s">
        <v>4548</v>
      </c>
      <c r="AF629" t="s">
        <v>29</v>
      </c>
      <c r="AG629" t="s">
        <v>30</v>
      </c>
      <c r="AH629" t="s">
        <v>31</v>
      </c>
      <c r="AK629" t="s">
        <v>4547</v>
      </c>
      <c r="AL629" t="s">
        <v>1967</v>
      </c>
      <c r="AM629" t="s">
        <v>4528</v>
      </c>
      <c r="AN629" s="8">
        <v>1.3035</v>
      </c>
      <c r="AO629">
        <v>199.694880401046</v>
      </c>
      <c r="AP629">
        <v>1952</v>
      </c>
      <c r="AQ629" s="9">
        <v>0.417</v>
      </c>
      <c r="AR629" t="s">
        <v>1203</v>
      </c>
      <c r="AT629" s="15" t="s">
        <v>54</v>
      </c>
      <c r="AW629" s="11" t="str">
        <f t="shared" si="66"/>
        <v>EN_WOF_42_c02_MDG</v>
      </c>
      <c r="AX629" s="11">
        <f t="shared" si="67"/>
        <v>1952</v>
      </c>
      <c r="AY629" s="11">
        <f t="shared" si="68"/>
        <v>1952</v>
      </c>
      <c r="AZ629" s="17">
        <v>3</v>
      </c>
      <c r="BA629">
        <f t="shared" si="69"/>
        <v>19.52</v>
      </c>
    </row>
    <row r="630" spans="2:53">
      <c r="B630" t="s">
        <v>26</v>
      </c>
      <c r="C630" t="s">
        <v>4549</v>
      </c>
      <c r="D630" t="s">
        <v>4550</v>
      </c>
      <c r="E630" t="s">
        <v>29</v>
      </c>
      <c r="F630" t="s">
        <v>30</v>
      </c>
      <c r="G630" t="s">
        <v>31</v>
      </c>
      <c r="J630" t="s">
        <v>4549</v>
      </c>
      <c r="K630" t="s">
        <v>1967</v>
      </c>
      <c r="L630" t="s">
        <v>3145</v>
      </c>
      <c r="M630" s="8">
        <v>34.54575</v>
      </c>
      <c r="N630">
        <v>0</v>
      </c>
      <c r="O630">
        <v>1762</v>
      </c>
      <c r="P630" s="9">
        <v>0.350769023685982</v>
      </c>
      <c r="Q630" t="s">
        <v>562</v>
      </c>
      <c r="T630" s="15" t="s">
        <v>69</v>
      </c>
      <c r="W630" s="16" t="str">
        <f t="shared" si="63"/>
        <v>EN_WON_35_c01_DEU</v>
      </c>
      <c r="X630" s="12">
        <f t="shared" si="64"/>
        <v>1762</v>
      </c>
      <c r="Y630" s="11">
        <f t="shared" si="65"/>
        <v>1762</v>
      </c>
      <c r="AC630" t="s">
        <v>26</v>
      </c>
      <c r="AD630" t="s">
        <v>4551</v>
      </c>
      <c r="AE630" t="s">
        <v>4552</v>
      </c>
      <c r="AF630" t="s">
        <v>29</v>
      </c>
      <c r="AG630" t="s">
        <v>30</v>
      </c>
      <c r="AH630" t="s">
        <v>31</v>
      </c>
      <c r="AK630" t="s">
        <v>4551</v>
      </c>
      <c r="AL630" t="s">
        <v>1967</v>
      </c>
      <c r="AM630" t="s">
        <v>4528</v>
      </c>
      <c r="AN630" s="8">
        <v>4.80825</v>
      </c>
      <c r="AO630">
        <v>199.694880401046</v>
      </c>
      <c r="AP630">
        <v>1952</v>
      </c>
      <c r="AQ630" s="9">
        <v>0.436808142255498</v>
      </c>
      <c r="AR630" t="s">
        <v>1203</v>
      </c>
      <c r="AT630" s="15" t="s">
        <v>54</v>
      </c>
      <c r="AW630" s="11" t="str">
        <f t="shared" si="66"/>
        <v>EN_WOF_44_c02_MDG</v>
      </c>
      <c r="AX630" s="11">
        <f t="shared" si="67"/>
        <v>1952</v>
      </c>
      <c r="AY630" s="11">
        <f t="shared" si="68"/>
        <v>1952</v>
      </c>
      <c r="AZ630" s="17">
        <v>3</v>
      </c>
      <c r="BA630">
        <f t="shared" si="69"/>
        <v>19.52</v>
      </c>
    </row>
    <row r="631" spans="2:53">
      <c r="B631" t="s">
        <v>26</v>
      </c>
      <c r="C631" t="s">
        <v>4553</v>
      </c>
      <c r="D631" t="s">
        <v>4554</v>
      </c>
      <c r="E631" t="s">
        <v>29</v>
      </c>
      <c r="F631" t="s">
        <v>30</v>
      </c>
      <c r="G631" t="s">
        <v>31</v>
      </c>
      <c r="J631" t="s">
        <v>4553</v>
      </c>
      <c r="K631" t="s">
        <v>1967</v>
      </c>
      <c r="L631" t="s">
        <v>3145</v>
      </c>
      <c r="M631" s="8">
        <v>23.613</v>
      </c>
      <c r="N631">
        <v>0</v>
      </c>
      <c r="O631">
        <v>1762</v>
      </c>
      <c r="P631" s="9">
        <v>0.361189238978529</v>
      </c>
      <c r="Q631" t="s">
        <v>562</v>
      </c>
      <c r="T631" s="15" t="s">
        <v>69</v>
      </c>
      <c r="W631" s="16" t="str">
        <f t="shared" si="63"/>
        <v>EN_WON_36_c01_DEU</v>
      </c>
      <c r="X631" s="12">
        <f t="shared" si="64"/>
        <v>1762</v>
      </c>
      <c r="Y631" s="11">
        <f t="shared" si="65"/>
        <v>1762</v>
      </c>
      <c r="AC631" t="s">
        <v>26</v>
      </c>
      <c r="AD631" t="s">
        <v>4555</v>
      </c>
      <c r="AE631" t="s">
        <v>4556</v>
      </c>
      <c r="AF631" t="s">
        <v>29</v>
      </c>
      <c r="AG631" t="s">
        <v>30</v>
      </c>
      <c r="AH631" t="s">
        <v>31</v>
      </c>
      <c r="AK631" t="s">
        <v>4555</v>
      </c>
      <c r="AL631" t="s">
        <v>1967</v>
      </c>
      <c r="AM631" t="s">
        <v>4528</v>
      </c>
      <c r="AN631" s="8">
        <v>2.84475</v>
      </c>
      <c r="AO631">
        <v>199.694880401046</v>
      </c>
      <c r="AP631">
        <v>1952</v>
      </c>
      <c r="AQ631" s="9">
        <v>0.463789612443976</v>
      </c>
      <c r="AR631" t="s">
        <v>1203</v>
      </c>
      <c r="AT631" s="15" t="s">
        <v>54</v>
      </c>
      <c r="AW631" s="11" t="str">
        <f t="shared" si="66"/>
        <v>EN_WOF_46_c02_MDG</v>
      </c>
      <c r="AX631" s="11">
        <f t="shared" si="67"/>
        <v>1952</v>
      </c>
      <c r="AY631" s="11">
        <f t="shared" si="68"/>
        <v>1952</v>
      </c>
      <c r="AZ631" s="17">
        <v>3</v>
      </c>
      <c r="BA631">
        <f t="shared" si="69"/>
        <v>19.52</v>
      </c>
    </row>
    <row r="632" spans="2:53">
      <c r="B632" t="s">
        <v>26</v>
      </c>
      <c r="C632" t="s">
        <v>4557</v>
      </c>
      <c r="D632" t="s">
        <v>4558</v>
      </c>
      <c r="E632" t="s">
        <v>29</v>
      </c>
      <c r="F632" t="s">
        <v>30</v>
      </c>
      <c r="G632" t="s">
        <v>31</v>
      </c>
      <c r="J632" t="s">
        <v>4557</v>
      </c>
      <c r="K632" t="s">
        <v>1967</v>
      </c>
      <c r="L632" t="s">
        <v>3145</v>
      </c>
      <c r="M632" s="8">
        <v>47.86875</v>
      </c>
      <c r="N632">
        <v>0</v>
      </c>
      <c r="O632">
        <v>1762</v>
      </c>
      <c r="P632" s="9">
        <v>0.368785961613788</v>
      </c>
      <c r="Q632" t="s">
        <v>562</v>
      </c>
      <c r="T632" s="15" t="s">
        <v>69</v>
      </c>
      <c r="W632" s="16" t="str">
        <f t="shared" si="63"/>
        <v>EN_WON_37_c01_DEU</v>
      </c>
      <c r="X632" s="12">
        <f t="shared" si="64"/>
        <v>1762</v>
      </c>
      <c r="Y632" s="11">
        <f t="shared" si="65"/>
        <v>1762</v>
      </c>
      <c r="AC632" t="s">
        <v>26</v>
      </c>
      <c r="AD632" t="s">
        <v>4559</v>
      </c>
      <c r="AE632" t="s">
        <v>4560</v>
      </c>
      <c r="AF632" t="s">
        <v>29</v>
      </c>
      <c r="AG632" t="s">
        <v>30</v>
      </c>
      <c r="AH632" t="s">
        <v>31</v>
      </c>
      <c r="AK632" t="s">
        <v>4559</v>
      </c>
      <c r="AL632" t="s">
        <v>1967</v>
      </c>
      <c r="AM632" t="s">
        <v>4528</v>
      </c>
      <c r="AN632" s="8">
        <v>1.16925</v>
      </c>
      <c r="AO632">
        <v>199.694880401046</v>
      </c>
      <c r="AP632">
        <v>1952</v>
      </c>
      <c r="AQ632" s="9">
        <v>0.469565747273893</v>
      </c>
      <c r="AR632" t="s">
        <v>1203</v>
      </c>
      <c r="AT632" s="15" t="s">
        <v>54</v>
      </c>
      <c r="AW632" s="11" t="str">
        <f t="shared" si="66"/>
        <v>EN_WOF_47_c02_MDG</v>
      </c>
      <c r="AX632" s="11">
        <f t="shared" si="67"/>
        <v>1952</v>
      </c>
      <c r="AY632" s="11">
        <f t="shared" si="68"/>
        <v>1952</v>
      </c>
      <c r="AZ632" s="17">
        <v>3</v>
      </c>
      <c r="BA632">
        <f t="shared" si="69"/>
        <v>19.52</v>
      </c>
    </row>
    <row r="633" spans="2:53">
      <c r="B633" t="s">
        <v>26</v>
      </c>
      <c r="C633" t="s">
        <v>4561</v>
      </c>
      <c r="D633" t="s">
        <v>4562</v>
      </c>
      <c r="E633" t="s">
        <v>29</v>
      </c>
      <c r="F633" t="s">
        <v>30</v>
      </c>
      <c r="G633" t="s">
        <v>31</v>
      </c>
      <c r="J633" t="s">
        <v>4561</v>
      </c>
      <c r="K633" t="s">
        <v>1967</v>
      </c>
      <c r="L633" t="s">
        <v>3145</v>
      </c>
      <c r="M633" s="8">
        <v>31.98825</v>
      </c>
      <c r="N633">
        <v>0</v>
      </c>
      <c r="O633">
        <v>1762</v>
      </c>
      <c r="P633" s="9">
        <v>0.379397927363954</v>
      </c>
      <c r="Q633" t="s">
        <v>562</v>
      </c>
      <c r="T633" s="15" t="s">
        <v>69</v>
      </c>
      <c r="W633" s="16" t="str">
        <f t="shared" si="63"/>
        <v>EN_WON_38_c01_DEU</v>
      </c>
      <c r="X633" s="12">
        <f t="shared" si="64"/>
        <v>1762</v>
      </c>
      <c r="Y633" s="11">
        <f t="shared" si="65"/>
        <v>1762</v>
      </c>
      <c r="AC633" t="s">
        <v>26</v>
      </c>
      <c r="AD633" t="s">
        <v>4563</v>
      </c>
      <c r="AE633" t="s">
        <v>4564</v>
      </c>
      <c r="AF633" t="s">
        <v>29</v>
      </c>
      <c r="AG633" t="s">
        <v>30</v>
      </c>
      <c r="AH633" t="s">
        <v>31</v>
      </c>
      <c r="AK633" t="s">
        <v>4563</v>
      </c>
      <c r="AL633" t="s">
        <v>1967</v>
      </c>
      <c r="AM633" t="s">
        <v>4528</v>
      </c>
      <c r="AN633" s="8">
        <v>8.853</v>
      </c>
      <c r="AO633">
        <v>199.694880401046</v>
      </c>
      <c r="AP633">
        <v>1952</v>
      </c>
      <c r="AQ633" s="9">
        <v>0.481975177905795</v>
      </c>
      <c r="AR633" t="s">
        <v>1203</v>
      </c>
      <c r="AT633" s="15" t="s">
        <v>54</v>
      </c>
      <c r="AW633" s="11" t="str">
        <f t="shared" si="66"/>
        <v>EN_WOF_48_c02_MDG</v>
      </c>
      <c r="AX633" s="11">
        <f t="shared" si="67"/>
        <v>1952</v>
      </c>
      <c r="AY633" s="11">
        <f t="shared" si="68"/>
        <v>1952</v>
      </c>
      <c r="AZ633" s="17">
        <v>3</v>
      </c>
      <c r="BA633">
        <f t="shared" si="69"/>
        <v>19.52</v>
      </c>
    </row>
    <row r="634" spans="2:53">
      <c r="B634" t="s">
        <v>26</v>
      </c>
      <c r="C634" t="s">
        <v>4565</v>
      </c>
      <c r="D634" t="s">
        <v>4566</v>
      </c>
      <c r="E634" t="s">
        <v>29</v>
      </c>
      <c r="F634" t="s">
        <v>30</v>
      </c>
      <c r="G634" t="s">
        <v>31</v>
      </c>
      <c r="J634" t="s">
        <v>4565</v>
      </c>
      <c r="K634" t="s">
        <v>1967</v>
      </c>
      <c r="L634" t="s">
        <v>3145</v>
      </c>
      <c r="M634" s="8">
        <v>43.35525</v>
      </c>
      <c r="N634">
        <v>0</v>
      </c>
      <c r="O634">
        <v>1762</v>
      </c>
      <c r="P634" s="9">
        <v>0.388385956718045</v>
      </c>
      <c r="Q634" t="s">
        <v>562</v>
      </c>
      <c r="T634" s="15" t="s">
        <v>69</v>
      </c>
      <c r="W634" s="16" t="str">
        <f t="shared" si="63"/>
        <v>EN_WON_39_c01_DEU</v>
      </c>
      <c r="X634" s="12">
        <f t="shared" si="64"/>
        <v>1762</v>
      </c>
      <c r="Y634" s="11">
        <f t="shared" si="65"/>
        <v>1762</v>
      </c>
      <c r="AC634" t="s">
        <v>26</v>
      </c>
      <c r="AD634" t="s">
        <v>4567</v>
      </c>
      <c r="AE634" t="s">
        <v>4568</v>
      </c>
      <c r="AF634" t="s">
        <v>29</v>
      </c>
      <c r="AG634" t="s">
        <v>30</v>
      </c>
      <c r="AH634" t="s">
        <v>31</v>
      </c>
      <c r="AK634" t="s">
        <v>4567</v>
      </c>
      <c r="AL634" t="s">
        <v>1967</v>
      </c>
      <c r="AM634" t="s">
        <v>4528</v>
      </c>
      <c r="AN634" s="8">
        <v>2.5035</v>
      </c>
      <c r="AO634">
        <v>199.694880401046</v>
      </c>
      <c r="AP634">
        <v>1952</v>
      </c>
      <c r="AQ634" s="9">
        <v>0.492802276812463</v>
      </c>
      <c r="AR634" t="s">
        <v>1203</v>
      </c>
      <c r="AT634" s="15" t="s">
        <v>54</v>
      </c>
      <c r="AW634" s="11" t="str">
        <f t="shared" si="66"/>
        <v>EN_WOF_49_c02_MDG</v>
      </c>
      <c r="AX634" s="11">
        <f t="shared" si="67"/>
        <v>1952</v>
      </c>
      <c r="AY634" s="11">
        <f t="shared" si="68"/>
        <v>1952</v>
      </c>
      <c r="AZ634" s="17">
        <v>3</v>
      </c>
      <c r="BA634">
        <f t="shared" si="69"/>
        <v>19.52</v>
      </c>
    </row>
    <row r="635" spans="2:53">
      <c r="B635" t="s">
        <v>26</v>
      </c>
      <c r="C635" t="s">
        <v>4569</v>
      </c>
      <c r="D635" t="s">
        <v>4570</v>
      </c>
      <c r="E635" t="s">
        <v>29</v>
      </c>
      <c r="F635" t="s">
        <v>30</v>
      </c>
      <c r="G635" t="s">
        <v>31</v>
      </c>
      <c r="J635" t="s">
        <v>4569</v>
      </c>
      <c r="K635" t="s">
        <v>1967</v>
      </c>
      <c r="L635" t="s">
        <v>3145</v>
      </c>
      <c r="M635" s="8">
        <v>28.4355</v>
      </c>
      <c r="N635">
        <v>0</v>
      </c>
      <c r="O635">
        <v>1762</v>
      </c>
      <c r="P635" s="9">
        <v>0.397562325262436</v>
      </c>
      <c r="Q635" t="s">
        <v>562</v>
      </c>
      <c r="T635" s="15" t="s">
        <v>69</v>
      </c>
      <c r="W635" s="16" t="str">
        <f t="shared" si="63"/>
        <v>EN_WON_40_c01_DEU</v>
      </c>
      <c r="X635" s="12">
        <f t="shared" si="64"/>
        <v>1762</v>
      </c>
      <c r="Y635" s="11">
        <f t="shared" si="65"/>
        <v>1762</v>
      </c>
      <c r="AC635" t="s">
        <v>26</v>
      </c>
      <c r="AD635" t="s">
        <v>4571</v>
      </c>
      <c r="AE635" t="s">
        <v>4572</v>
      </c>
      <c r="AF635" t="s">
        <v>29</v>
      </c>
      <c r="AG635" t="s">
        <v>30</v>
      </c>
      <c r="AH635" t="s">
        <v>31</v>
      </c>
      <c r="AK635" t="s">
        <v>4571</v>
      </c>
      <c r="AL635" t="s">
        <v>1967</v>
      </c>
      <c r="AM635" t="s">
        <v>4528</v>
      </c>
      <c r="AN635" s="8">
        <v>9.30675</v>
      </c>
      <c r="AO635">
        <v>199.694880401046</v>
      </c>
      <c r="AP635">
        <v>1952</v>
      </c>
      <c r="AQ635" s="9">
        <v>0.497846885325167</v>
      </c>
      <c r="AR635" t="s">
        <v>1203</v>
      </c>
      <c r="AT635" s="15" t="s">
        <v>54</v>
      </c>
      <c r="AW635" s="11" t="str">
        <f t="shared" si="66"/>
        <v>EN_WOF_50_c02_MDG</v>
      </c>
      <c r="AX635" s="11">
        <f t="shared" si="67"/>
        <v>1952</v>
      </c>
      <c r="AY635" s="11">
        <f t="shared" si="68"/>
        <v>1952</v>
      </c>
      <c r="AZ635" s="17">
        <v>3</v>
      </c>
      <c r="BA635">
        <f t="shared" si="69"/>
        <v>19.52</v>
      </c>
    </row>
    <row r="636" spans="2:53">
      <c r="B636" t="s">
        <v>26</v>
      </c>
      <c r="C636" t="s">
        <v>4573</v>
      </c>
      <c r="D636" t="s">
        <v>4574</v>
      </c>
      <c r="E636" t="s">
        <v>29</v>
      </c>
      <c r="F636" t="s">
        <v>30</v>
      </c>
      <c r="G636" t="s">
        <v>31</v>
      </c>
      <c r="J636" t="s">
        <v>4573</v>
      </c>
      <c r="K636" t="s">
        <v>1967</v>
      </c>
      <c r="L636" t="s">
        <v>3145</v>
      </c>
      <c r="M636" s="8">
        <v>15.6465</v>
      </c>
      <c r="N636">
        <v>0</v>
      </c>
      <c r="O636">
        <v>1762</v>
      </c>
      <c r="P636" s="9">
        <v>0.408471191640303</v>
      </c>
      <c r="Q636" t="s">
        <v>562</v>
      </c>
      <c r="T636" s="15" t="s">
        <v>69</v>
      </c>
      <c r="W636" s="16" t="str">
        <f t="shared" si="63"/>
        <v>EN_WON_41_c01_DEU</v>
      </c>
      <c r="X636" s="12">
        <f t="shared" si="64"/>
        <v>1762</v>
      </c>
      <c r="Y636" s="11">
        <f t="shared" si="65"/>
        <v>1762</v>
      </c>
      <c r="AC636" t="s">
        <v>26</v>
      </c>
      <c r="AD636" t="s">
        <v>4575</v>
      </c>
      <c r="AE636" t="s">
        <v>4576</v>
      </c>
      <c r="AF636" t="s">
        <v>29</v>
      </c>
      <c r="AG636" t="s">
        <v>30</v>
      </c>
      <c r="AH636" t="s">
        <v>31</v>
      </c>
      <c r="AK636" t="s">
        <v>4575</v>
      </c>
      <c r="AL636" t="s">
        <v>1967</v>
      </c>
      <c r="AM636" t="s">
        <v>4528</v>
      </c>
      <c r="AN636" s="8">
        <v>0.71625</v>
      </c>
      <c r="AO636">
        <v>199.694880401046</v>
      </c>
      <c r="AP636">
        <v>1952</v>
      </c>
      <c r="AQ636" s="9">
        <v>0.508</v>
      </c>
      <c r="AR636" t="s">
        <v>1203</v>
      </c>
      <c r="AT636" s="15" t="s">
        <v>54</v>
      </c>
      <c r="AW636" s="11" t="str">
        <f t="shared" si="66"/>
        <v>EN_WOF_51_c02_MDG</v>
      </c>
      <c r="AX636" s="11">
        <f t="shared" si="67"/>
        <v>1952</v>
      </c>
      <c r="AY636" s="11">
        <f t="shared" si="68"/>
        <v>1952</v>
      </c>
      <c r="AZ636" s="17">
        <v>3</v>
      </c>
      <c r="BA636">
        <f t="shared" si="69"/>
        <v>19.52</v>
      </c>
    </row>
    <row r="637" spans="2:53">
      <c r="B637" t="s">
        <v>26</v>
      </c>
      <c r="C637" t="s">
        <v>4577</v>
      </c>
      <c r="D637" t="s">
        <v>4578</v>
      </c>
      <c r="E637" t="s">
        <v>29</v>
      </c>
      <c r="F637" t="s">
        <v>30</v>
      </c>
      <c r="G637" t="s">
        <v>31</v>
      </c>
      <c r="J637" t="s">
        <v>4577</v>
      </c>
      <c r="K637" t="s">
        <v>1967</v>
      </c>
      <c r="L637" t="s">
        <v>3145</v>
      </c>
      <c r="M637" s="8">
        <v>10.59525</v>
      </c>
      <c r="N637">
        <v>0</v>
      </c>
      <c r="O637">
        <v>1762</v>
      </c>
      <c r="P637" s="9">
        <v>0.41925553903872</v>
      </c>
      <c r="Q637" t="s">
        <v>562</v>
      </c>
      <c r="T637" s="15" t="s">
        <v>69</v>
      </c>
      <c r="W637" s="16" t="str">
        <f t="shared" si="63"/>
        <v>EN_WON_42_c01_DEU</v>
      </c>
      <c r="X637" s="12">
        <f t="shared" si="64"/>
        <v>1762</v>
      </c>
      <c r="Y637" s="11">
        <f t="shared" si="65"/>
        <v>1762</v>
      </c>
      <c r="AC637" t="s">
        <v>26</v>
      </c>
      <c r="AD637" t="s">
        <v>4579</v>
      </c>
      <c r="AE637" t="s">
        <v>4580</v>
      </c>
      <c r="AF637" t="s">
        <v>29</v>
      </c>
      <c r="AG637" t="s">
        <v>30</v>
      </c>
      <c r="AH637" t="s">
        <v>31</v>
      </c>
      <c r="AK637" t="s">
        <v>4579</v>
      </c>
      <c r="AL637" t="s">
        <v>1967</v>
      </c>
      <c r="AM637" t="s">
        <v>4528</v>
      </c>
      <c r="AN637" s="8">
        <v>7.20525</v>
      </c>
      <c r="AO637">
        <v>199.694880401046</v>
      </c>
      <c r="AP637">
        <v>1952</v>
      </c>
      <c r="AQ637" s="9">
        <v>0.518595399188092</v>
      </c>
      <c r="AR637" t="s">
        <v>1203</v>
      </c>
      <c r="AT637" s="15" t="s">
        <v>54</v>
      </c>
      <c r="AW637" s="11" t="str">
        <f t="shared" si="66"/>
        <v>EN_WOF_52_c02_MDG</v>
      </c>
      <c r="AX637" s="11">
        <f t="shared" si="67"/>
        <v>1952</v>
      </c>
      <c r="AY637" s="11">
        <f t="shared" si="68"/>
        <v>1952</v>
      </c>
      <c r="AZ637" s="17">
        <v>3</v>
      </c>
      <c r="BA637">
        <f t="shared" si="69"/>
        <v>19.52</v>
      </c>
    </row>
    <row r="638" spans="2:53">
      <c r="B638" t="s">
        <v>26</v>
      </c>
      <c r="C638" t="s">
        <v>4581</v>
      </c>
      <c r="D638" t="s">
        <v>4582</v>
      </c>
      <c r="E638" t="s">
        <v>29</v>
      </c>
      <c r="F638" t="s">
        <v>30</v>
      </c>
      <c r="G638" t="s">
        <v>31</v>
      </c>
      <c r="J638" t="s">
        <v>4581</v>
      </c>
      <c r="K638" t="s">
        <v>1967</v>
      </c>
      <c r="L638" t="s">
        <v>3145</v>
      </c>
      <c r="M638" s="8">
        <v>31.58925</v>
      </c>
      <c r="N638">
        <v>0</v>
      </c>
      <c r="O638">
        <v>1762</v>
      </c>
      <c r="P638" s="9">
        <v>0.42926978323322</v>
      </c>
      <c r="Q638" t="s">
        <v>562</v>
      </c>
      <c r="T638" s="15" t="s">
        <v>69</v>
      </c>
      <c r="W638" s="16" t="str">
        <f t="shared" si="63"/>
        <v>EN_WON_43_c01_DEU</v>
      </c>
      <c r="X638" s="12">
        <f t="shared" si="64"/>
        <v>1762</v>
      </c>
      <c r="Y638" s="11">
        <f t="shared" si="65"/>
        <v>1762</v>
      </c>
      <c r="AC638" t="s">
        <v>26</v>
      </c>
      <c r="AD638" t="s">
        <v>4583</v>
      </c>
      <c r="AE638" t="s">
        <v>4584</v>
      </c>
      <c r="AF638" t="s">
        <v>29</v>
      </c>
      <c r="AG638" t="s">
        <v>30</v>
      </c>
      <c r="AH638" t="s">
        <v>31</v>
      </c>
      <c r="AK638" t="s">
        <v>4583</v>
      </c>
      <c r="AL638" t="s">
        <v>1967</v>
      </c>
      <c r="AM638" t="s">
        <v>4528</v>
      </c>
      <c r="AN638" s="8">
        <v>6.03675</v>
      </c>
      <c r="AO638">
        <v>199.694880401046</v>
      </c>
      <c r="AP638">
        <v>1952</v>
      </c>
      <c r="AQ638" s="9">
        <v>0.532632749409864</v>
      </c>
      <c r="AR638" t="s">
        <v>1203</v>
      </c>
      <c r="AT638" s="15" t="s">
        <v>54</v>
      </c>
      <c r="AW638" s="11" t="str">
        <f t="shared" si="66"/>
        <v>EN_WOF_53_c02_MDG</v>
      </c>
      <c r="AX638" s="11">
        <f t="shared" si="67"/>
        <v>1952</v>
      </c>
      <c r="AY638" s="11">
        <f t="shared" si="68"/>
        <v>1952</v>
      </c>
      <c r="AZ638" s="17">
        <v>3</v>
      </c>
      <c r="BA638">
        <f t="shared" si="69"/>
        <v>19.52</v>
      </c>
    </row>
    <row r="639" spans="2:53">
      <c r="B639" t="s">
        <v>26</v>
      </c>
      <c r="C639" t="s">
        <v>4585</v>
      </c>
      <c r="D639" t="s">
        <v>4586</v>
      </c>
      <c r="E639" t="s">
        <v>29</v>
      </c>
      <c r="F639" t="s">
        <v>30</v>
      </c>
      <c r="G639" t="s">
        <v>31</v>
      </c>
      <c r="J639" t="s">
        <v>4585</v>
      </c>
      <c r="K639" t="s">
        <v>1967</v>
      </c>
      <c r="L639" t="s">
        <v>3145</v>
      </c>
      <c r="M639" s="8">
        <v>2.4225</v>
      </c>
      <c r="N639">
        <v>0</v>
      </c>
      <c r="O639">
        <v>1762</v>
      </c>
      <c r="P639" s="9">
        <v>0.444</v>
      </c>
      <c r="Q639" t="s">
        <v>562</v>
      </c>
      <c r="T639" s="15" t="s">
        <v>69</v>
      </c>
      <c r="W639" s="16" t="str">
        <f t="shared" si="63"/>
        <v>EN_WON_44_c01_DEU</v>
      </c>
      <c r="X639" s="12">
        <f t="shared" si="64"/>
        <v>1762</v>
      </c>
      <c r="Y639" s="11">
        <f t="shared" si="65"/>
        <v>1762</v>
      </c>
      <c r="AC639" t="s">
        <v>26</v>
      </c>
      <c r="AD639" t="s">
        <v>4587</v>
      </c>
      <c r="AE639" t="s">
        <v>4588</v>
      </c>
      <c r="AF639" t="s">
        <v>29</v>
      </c>
      <c r="AG639" t="s">
        <v>30</v>
      </c>
      <c r="AH639" t="s">
        <v>31</v>
      </c>
      <c r="AK639" t="s">
        <v>4587</v>
      </c>
      <c r="AL639" t="s">
        <v>1967</v>
      </c>
      <c r="AM639" t="s">
        <v>4528</v>
      </c>
      <c r="AN639" s="8">
        <v>6.24375</v>
      </c>
      <c r="AO639">
        <v>199.694880401046</v>
      </c>
      <c r="AP639">
        <v>1952</v>
      </c>
      <c r="AQ639" s="9">
        <v>0.547401681681682</v>
      </c>
      <c r="AR639" t="s">
        <v>1203</v>
      </c>
      <c r="AT639" s="15" t="s">
        <v>54</v>
      </c>
      <c r="AW639" s="11" t="str">
        <f t="shared" si="66"/>
        <v>EN_WOF_55_c02_MDG</v>
      </c>
      <c r="AX639" s="11">
        <f t="shared" si="67"/>
        <v>1952</v>
      </c>
      <c r="AY639" s="11">
        <f t="shared" si="68"/>
        <v>1952</v>
      </c>
      <c r="AZ639" s="17">
        <v>3</v>
      </c>
      <c r="BA639">
        <f t="shared" si="69"/>
        <v>19.52</v>
      </c>
    </row>
    <row r="640" spans="2:53">
      <c r="B640" t="s">
        <v>26</v>
      </c>
      <c r="C640" t="s">
        <v>4589</v>
      </c>
      <c r="D640" t="s">
        <v>4590</v>
      </c>
      <c r="E640" t="s">
        <v>29</v>
      </c>
      <c r="F640" t="s">
        <v>30</v>
      </c>
      <c r="G640" t="s">
        <v>31</v>
      </c>
      <c r="J640" t="s">
        <v>4589</v>
      </c>
      <c r="K640" t="s">
        <v>1967</v>
      </c>
      <c r="L640" t="s">
        <v>3145</v>
      </c>
      <c r="M640" s="8">
        <v>6.855</v>
      </c>
      <c r="N640">
        <v>0</v>
      </c>
      <c r="O640">
        <v>1762</v>
      </c>
      <c r="P640" s="9">
        <v>0.448279212253829</v>
      </c>
      <c r="Q640" t="s">
        <v>562</v>
      </c>
      <c r="T640" s="15" t="s">
        <v>69</v>
      </c>
      <c r="W640" s="16" t="str">
        <f t="shared" si="63"/>
        <v>EN_WON_45_c01_DEU</v>
      </c>
      <c r="X640" s="12">
        <f t="shared" si="64"/>
        <v>1762</v>
      </c>
      <c r="Y640" s="11">
        <f t="shared" si="65"/>
        <v>1762</v>
      </c>
      <c r="AC640" t="s">
        <v>26</v>
      </c>
      <c r="AD640" t="s">
        <v>4591</v>
      </c>
      <c r="AE640" t="s">
        <v>4592</v>
      </c>
      <c r="AF640" t="s">
        <v>29</v>
      </c>
      <c r="AG640" t="s">
        <v>30</v>
      </c>
      <c r="AH640" t="s">
        <v>31</v>
      </c>
      <c r="AK640" t="s">
        <v>4591</v>
      </c>
      <c r="AL640" t="s">
        <v>1967</v>
      </c>
      <c r="AM640" t="s">
        <v>4528</v>
      </c>
      <c r="AN640" s="8">
        <v>0.82275</v>
      </c>
      <c r="AO640">
        <v>199.694880401046</v>
      </c>
      <c r="AP640">
        <v>1952</v>
      </c>
      <c r="AQ640" s="9">
        <v>0.558</v>
      </c>
      <c r="AR640" t="s">
        <v>1203</v>
      </c>
      <c r="AT640" s="15" t="s">
        <v>54</v>
      </c>
      <c r="AW640" s="11" t="str">
        <f t="shared" si="66"/>
        <v>EN_WOF_56_c02_MDG</v>
      </c>
      <c r="AX640" s="11">
        <f t="shared" si="67"/>
        <v>1952</v>
      </c>
      <c r="AY640" s="11">
        <f t="shared" si="68"/>
        <v>1952</v>
      </c>
      <c r="AZ640" s="17">
        <v>3</v>
      </c>
      <c r="BA640">
        <f t="shared" si="69"/>
        <v>19.52</v>
      </c>
    </row>
    <row r="641" spans="2:53">
      <c r="B641" t="s">
        <v>26</v>
      </c>
      <c r="C641" t="s">
        <v>4593</v>
      </c>
      <c r="D641" t="s">
        <v>4594</v>
      </c>
      <c r="E641" t="s">
        <v>29</v>
      </c>
      <c r="F641" t="s">
        <v>30</v>
      </c>
      <c r="G641" t="s">
        <v>31</v>
      </c>
      <c r="J641" t="s">
        <v>4593</v>
      </c>
      <c r="K641" t="s">
        <v>1967</v>
      </c>
      <c r="L641" t="s">
        <v>3145</v>
      </c>
      <c r="M641" s="8">
        <v>0.4815</v>
      </c>
      <c r="N641">
        <v>0</v>
      </c>
      <c r="O641">
        <v>1762</v>
      </c>
      <c r="P641" s="9">
        <v>0.463</v>
      </c>
      <c r="Q641" t="s">
        <v>562</v>
      </c>
      <c r="T641" s="15" t="s">
        <v>69</v>
      </c>
      <c r="W641" s="16" t="str">
        <f t="shared" si="63"/>
        <v>EN_WON_46_c01_DEU</v>
      </c>
      <c r="X641" s="12">
        <f t="shared" si="64"/>
        <v>1762</v>
      </c>
      <c r="Y641" s="11">
        <f t="shared" si="65"/>
        <v>1762</v>
      </c>
      <c r="AC641" t="s">
        <v>26</v>
      </c>
      <c r="AD641" t="s">
        <v>4595</v>
      </c>
      <c r="AE641" t="s">
        <v>4596</v>
      </c>
      <c r="AF641" t="s">
        <v>29</v>
      </c>
      <c r="AG641" t="s">
        <v>30</v>
      </c>
      <c r="AH641" t="s">
        <v>31</v>
      </c>
      <c r="AK641" t="s">
        <v>4595</v>
      </c>
      <c r="AL641" t="s">
        <v>1967</v>
      </c>
      <c r="AM641" t="s">
        <v>4528</v>
      </c>
      <c r="AN641" s="8">
        <v>1.443</v>
      </c>
      <c r="AO641">
        <v>199.694880401046</v>
      </c>
      <c r="AP641">
        <v>1952</v>
      </c>
      <c r="AQ641" s="9">
        <v>0.574</v>
      </c>
      <c r="AR641" t="s">
        <v>1203</v>
      </c>
      <c r="AT641" s="15" t="s">
        <v>54</v>
      </c>
      <c r="AW641" s="11" t="str">
        <f t="shared" si="66"/>
        <v>EN_WOF_57_c02_MDG</v>
      </c>
      <c r="AX641" s="11">
        <f t="shared" si="67"/>
        <v>1952</v>
      </c>
      <c r="AY641" s="11">
        <f t="shared" si="68"/>
        <v>1952</v>
      </c>
      <c r="AZ641" s="17">
        <v>3</v>
      </c>
      <c r="BA641">
        <f t="shared" si="69"/>
        <v>19.52</v>
      </c>
    </row>
    <row r="642" spans="2:53">
      <c r="B642" t="s">
        <v>26</v>
      </c>
      <c r="C642" t="s">
        <v>4597</v>
      </c>
      <c r="D642" t="s">
        <v>4598</v>
      </c>
      <c r="E642" t="s">
        <v>29</v>
      </c>
      <c r="F642" t="s">
        <v>30</v>
      </c>
      <c r="G642" t="s">
        <v>31</v>
      </c>
      <c r="J642" t="s">
        <v>4597</v>
      </c>
      <c r="K642" t="s">
        <v>1967</v>
      </c>
      <c r="L642" t="s">
        <v>3145</v>
      </c>
      <c r="M642" s="8">
        <v>1.3695</v>
      </c>
      <c r="N642">
        <v>0</v>
      </c>
      <c r="O642">
        <v>1762</v>
      </c>
      <c r="P642" s="9">
        <v>0.491901423877327</v>
      </c>
      <c r="Q642" t="s">
        <v>562</v>
      </c>
      <c r="T642" s="15" t="s">
        <v>69</v>
      </c>
      <c r="W642" s="16" t="str">
        <f t="shared" si="63"/>
        <v>EN_WON_49_c01_DEU</v>
      </c>
      <c r="X642" s="12">
        <f t="shared" si="64"/>
        <v>1762</v>
      </c>
      <c r="Y642" s="11">
        <f t="shared" si="65"/>
        <v>1762</v>
      </c>
      <c r="AC642" t="s">
        <v>26</v>
      </c>
      <c r="AD642" t="s">
        <v>4599</v>
      </c>
      <c r="AE642" t="s">
        <v>4600</v>
      </c>
      <c r="AF642" t="s">
        <v>29</v>
      </c>
      <c r="AG642" t="s">
        <v>30</v>
      </c>
      <c r="AH642" t="s">
        <v>31</v>
      </c>
      <c r="AK642" t="s">
        <v>4599</v>
      </c>
      <c r="AL642" t="s">
        <v>1967</v>
      </c>
      <c r="AM642" t="s">
        <v>4528</v>
      </c>
      <c r="AN642" s="8">
        <v>1.11675</v>
      </c>
      <c r="AO642">
        <v>199.694880401046</v>
      </c>
      <c r="AP642">
        <v>1952</v>
      </c>
      <c r="AQ642" s="9">
        <v>0.58</v>
      </c>
      <c r="AR642" t="s">
        <v>1203</v>
      </c>
      <c r="AT642" s="15" t="s">
        <v>54</v>
      </c>
      <c r="AW642" s="11" t="str">
        <f t="shared" si="66"/>
        <v>EN_WOF_58_c02_MDG</v>
      </c>
      <c r="AX642" s="11">
        <f t="shared" si="67"/>
        <v>1952</v>
      </c>
      <c r="AY642" s="11">
        <f t="shared" si="68"/>
        <v>1952</v>
      </c>
      <c r="AZ642" s="17">
        <v>3</v>
      </c>
      <c r="BA642">
        <f t="shared" si="69"/>
        <v>19.52</v>
      </c>
    </row>
    <row r="643" spans="2:53">
      <c r="B643" t="s">
        <v>26</v>
      </c>
      <c r="C643" t="s">
        <v>4601</v>
      </c>
      <c r="D643" t="s">
        <v>4602</v>
      </c>
      <c r="E643" t="s">
        <v>29</v>
      </c>
      <c r="F643" t="s">
        <v>30</v>
      </c>
      <c r="G643" t="s">
        <v>31</v>
      </c>
      <c r="J643" t="s">
        <v>4601</v>
      </c>
      <c r="K643" t="s">
        <v>1967</v>
      </c>
      <c r="L643" t="s">
        <v>3145</v>
      </c>
      <c r="M643" s="8">
        <v>0.132</v>
      </c>
      <c r="N643">
        <v>0</v>
      </c>
      <c r="O643">
        <v>1762</v>
      </c>
      <c r="P643" s="9">
        <v>0.501</v>
      </c>
      <c r="Q643" t="s">
        <v>562</v>
      </c>
      <c r="T643" s="15" t="s">
        <v>69</v>
      </c>
      <c r="W643" s="16" t="str">
        <f t="shared" si="63"/>
        <v>EN_WON_50_c01_DEU</v>
      </c>
      <c r="X643" s="12">
        <f t="shared" si="64"/>
        <v>1762</v>
      </c>
      <c r="Y643" s="11">
        <f t="shared" si="65"/>
        <v>1762</v>
      </c>
      <c r="AC643" t="s">
        <v>26</v>
      </c>
      <c r="AD643" t="s">
        <v>4603</v>
      </c>
      <c r="AE643" t="s">
        <v>4604</v>
      </c>
      <c r="AF643" t="s">
        <v>29</v>
      </c>
      <c r="AG643" t="s">
        <v>30</v>
      </c>
      <c r="AH643" t="s">
        <v>31</v>
      </c>
      <c r="AK643" t="s">
        <v>4603</v>
      </c>
      <c r="AL643" t="s">
        <v>1967</v>
      </c>
      <c r="AM643" t="s">
        <v>4528</v>
      </c>
      <c r="AN643" s="8">
        <v>5.001</v>
      </c>
      <c r="AO643">
        <v>199.694880401046</v>
      </c>
      <c r="AP643">
        <v>1952</v>
      </c>
      <c r="AQ643" s="9">
        <v>0.588795140971806</v>
      </c>
      <c r="AR643" t="s">
        <v>1203</v>
      </c>
      <c r="AT643" s="15" t="s">
        <v>54</v>
      </c>
      <c r="AW643" s="11" t="str">
        <f t="shared" si="66"/>
        <v>EN_WOF_59_c02_MDG</v>
      </c>
      <c r="AX643" s="11">
        <f t="shared" si="67"/>
        <v>1952</v>
      </c>
      <c r="AY643" s="11">
        <f t="shared" si="68"/>
        <v>1952</v>
      </c>
      <c r="AZ643" s="17">
        <v>3</v>
      </c>
      <c r="BA643">
        <f t="shared" si="69"/>
        <v>19.52</v>
      </c>
    </row>
    <row r="644" spans="2:53">
      <c r="B644" t="s">
        <v>26</v>
      </c>
      <c r="C644" t="s">
        <v>4605</v>
      </c>
      <c r="D644" t="s">
        <v>4606</v>
      </c>
      <c r="E644" t="s">
        <v>29</v>
      </c>
      <c r="F644" t="s">
        <v>30</v>
      </c>
      <c r="G644" t="s">
        <v>31</v>
      </c>
      <c r="J644" t="s">
        <v>4605</v>
      </c>
      <c r="K644" t="s">
        <v>1967</v>
      </c>
      <c r="L644" t="s">
        <v>3145</v>
      </c>
      <c r="M644" s="8">
        <v>0.01125</v>
      </c>
      <c r="N644">
        <v>0</v>
      </c>
      <c r="O644">
        <v>1762</v>
      </c>
      <c r="P644" s="9">
        <v>0.515</v>
      </c>
      <c r="Q644" t="s">
        <v>562</v>
      </c>
      <c r="T644" s="15" t="s">
        <v>69</v>
      </c>
      <c r="W644" s="16" t="str">
        <f t="shared" si="63"/>
        <v>EN_WON_52_c01_DEU</v>
      </c>
      <c r="X644" s="12">
        <f t="shared" si="64"/>
        <v>1762</v>
      </c>
      <c r="Y644" s="11">
        <f t="shared" si="65"/>
        <v>1762</v>
      </c>
      <c r="AC644" t="s">
        <v>26</v>
      </c>
      <c r="AD644" t="s">
        <v>4607</v>
      </c>
      <c r="AE644" t="s">
        <v>4608</v>
      </c>
      <c r="AF644" t="s">
        <v>29</v>
      </c>
      <c r="AG644" t="s">
        <v>30</v>
      </c>
      <c r="AH644" t="s">
        <v>31</v>
      </c>
      <c r="AK644" t="s">
        <v>4607</v>
      </c>
      <c r="AL644" t="s">
        <v>1967</v>
      </c>
      <c r="AM644" t="s">
        <v>4609</v>
      </c>
      <c r="AN644" s="8">
        <v>22.99875</v>
      </c>
      <c r="AO644">
        <v>199.694880401046</v>
      </c>
      <c r="AP644">
        <v>1769</v>
      </c>
      <c r="AQ644" s="9">
        <v>0.302354051850644</v>
      </c>
      <c r="AR644" t="s">
        <v>1211</v>
      </c>
      <c r="AT644" s="15" t="s">
        <v>89</v>
      </c>
      <c r="AW644" s="11" t="str">
        <f t="shared" si="66"/>
        <v>EN_WOF_30_c02_MEX</v>
      </c>
      <c r="AX644" s="11">
        <f t="shared" si="67"/>
        <v>1769</v>
      </c>
      <c r="AY644" s="11">
        <f t="shared" si="68"/>
        <v>1769</v>
      </c>
      <c r="AZ644" s="17">
        <v>3</v>
      </c>
      <c r="BA644">
        <f t="shared" si="69"/>
        <v>17.69</v>
      </c>
    </row>
    <row r="645" spans="2:53">
      <c r="B645" t="s">
        <v>26</v>
      </c>
      <c r="C645" t="s">
        <v>4610</v>
      </c>
      <c r="D645" t="s">
        <v>4611</v>
      </c>
      <c r="E645" t="s">
        <v>29</v>
      </c>
      <c r="F645" t="s">
        <v>30</v>
      </c>
      <c r="G645" t="s">
        <v>31</v>
      </c>
      <c r="J645" t="s">
        <v>4610</v>
      </c>
      <c r="K645" t="s">
        <v>1967</v>
      </c>
      <c r="L645" t="s">
        <v>3154</v>
      </c>
      <c r="M645" s="8">
        <v>4.6035</v>
      </c>
      <c r="N645">
        <v>105.747516212372</v>
      </c>
      <c r="O645">
        <v>1952</v>
      </c>
      <c r="P645" s="9">
        <v>0.397</v>
      </c>
      <c r="Q645" t="s">
        <v>574</v>
      </c>
      <c r="T645" s="15" t="s">
        <v>54</v>
      </c>
      <c r="W645" s="16" t="str">
        <f t="shared" si="63"/>
        <v>EN_WON_40_c03_DJI</v>
      </c>
      <c r="X645" s="12">
        <f t="shared" si="64"/>
        <v>1952</v>
      </c>
      <c r="Y645" s="11">
        <f t="shared" si="65"/>
        <v>1952</v>
      </c>
      <c r="AC645" t="s">
        <v>26</v>
      </c>
      <c r="AD645" t="s">
        <v>4612</v>
      </c>
      <c r="AE645" t="s">
        <v>4613</v>
      </c>
      <c r="AF645" t="s">
        <v>29</v>
      </c>
      <c r="AG645" t="s">
        <v>30</v>
      </c>
      <c r="AH645" t="s">
        <v>31</v>
      </c>
      <c r="AK645" t="s">
        <v>4612</v>
      </c>
      <c r="AL645" t="s">
        <v>1967</v>
      </c>
      <c r="AM645" t="s">
        <v>4609</v>
      </c>
      <c r="AN645" s="8">
        <v>20.01825</v>
      </c>
      <c r="AO645">
        <v>199.694880401046</v>
      </c>
      <c r="AP645">
        <v>1769</v>
      </c>
      <c r="AQ645" s="9">
        <v>0.310956876849874</v>
      </c>
      <c r="AR645" t="s">
        <v>1211</v>
      </c>
      <c r="AT645" s="15" t="s">
        <v>89</v>
      </c>
      <c r="AW645" s="11" t="str">
        <f t="shared" si="66"/>
        <v>EN_WOF_31_c02_MEX</v>
      </c>
      <c r="AX645" s="11">
        <f t="shared" si="67"/>
        <v>1769</v>
      </c>
      <c r="AY645" s="11">
        <f t="shared" si="68"/>
        <v>1769</v>
      </c>
      <c r="AZ645" s="17">
        <v>3</v>
      </c>
      <c r="BA645">
        <f t="shared" si="69"/>
        <v>17.69</v>
      </c>
    </row>
    <row r="646" spans="2:53">
      <c r="B646" t="s">
        <v>26</v>
      </c>
      <c r="C646" t="s">
        <v>4614</v>
      </c>
      <c r="D646" t="s">
        <v>4615</v>
      </c>
      <c r="E646" t="s">
        <v>29</v>
      </c>
      <c r="F646" t="s">
        <v>30</v>
      </c>
      <c r="G646" t="s">
        <v>31</v>
      </c>
      <c r="J646" t="s">
        <v>4614</v>
      </c>
      <c r="K646" t="s">
        <v>1967</v>
      </c>
      <c r="L646" t="s">
        <v>3165</v>
      </c>
      <c r="M646" s="8">
        <v>8.90625</v>
      </c>
      <c r="N646">
        <v>0</v>
      </c>
      <c r="O646">
        <v>1900</v>
      </c>
      <c r="P646" s="9">
        <v>0.440510652631579</v>
      </c>
      <c r="Q646" t="s">
        <v>580</v>
      </c>
      <c r="T646" s="15" t="s">
        <v>69</v>
      </c>
      <c r="W646" s="16" t="str">
        <f t="shared" ref="W646:W709" si="70">J646</f>
        <v>EN_WON_44_c01_DNK</v>
      </c>
      <c r="X646" s="12">
        <f t="shared" ref="X646:X709" si="71">O646</f>
        <v>1900</v>
      </c>
      <c r="Y646" s="11">
        <f t="shared" ref="Y646:Y709" si="72">X646</f>
        <v>1900</v>
      </c>
      <c r="AC646" t="s">
        <v>26</v>
      </c>
      <c r="AD646" t="s">
        <v>4616</v>
      </c>
      <c r="AE646" t="s">
        <v>4617</v>
      </c>
      <c r="AF646" t="s">
        <v>29</v>
      </c>
      <c r="AG646" t="s">
        <v>30</v>
      </c>
      <c r="AH646" t="s">
        <v>31</v>
      </c>
      <c r="AK646" t="s">
        <v>4616</v>
      </c>
      <c r="AL646" t="s">
        <v>1967</v>
      </c>
      <c r="AM646" t="s">
        <v>4609</v>
      </c>
      <c r="AN646" s="8">
        <v>37.44825</v>
      </c>
      <c r="AO646">
        <v>199.694880401046</v>
      </c>
      <c r="AP646">
        <v>1769</v>
      </c>
      <c r="AQ646" s="9">
        <v>0.320400913260299</v>
      </c>
      <c r="AR646" t="s">
        <v>1211</v>
      </c>
      <c r="AT646" s="15" t="s">
        <v>89</v>
      </c>
      <c r="AW646" s="11" t="str">
        <f t="shared" ref="AW646:AW709" si="73">AK646</f>
        <v>EN_WOF_32_c02_MEX</v>
      </c>
      <c r="AX646" s="11">
        <f t="shared" ref="AX646:AX709" si="74">AP646</f>
        <v>1769</v>
      </c>
      <c r="AY646" s="11">
        <f t="shared" ref="AY646:AY709" si="75">AX646</f>
        <v>1769</v>
      </c>
      <c r="AZ646" s="17">
        <v>3</v>
      </c>
      <c r="BA646">
        <f t="shared" ref="BA646:BA709" si="76">AX646*0.01</f>
        <v>17.69</v>
      </c>
    </row>
    <row r="647" spans="2:53">
      <c r="B647" t="s">
        <v>26</v>
      </c>
      <c r="C647" t="s">
        <v>4618</v>
      </c>
      <c r="D647" t="s">
        <v>4619</v>
      </c>
      <c r="E647" t="s">
        <v>29</v>
      </c>
      <c r="F647" t="s">
        <v>30</v>
      </c>
      <c r="G647" t="s">
        <v>31</v>
      </c>
      <c r="J647" t="s">
        <v>4618</v>
      </c>
      <c r="K647" t="s">
        <v>1967</v>
      </c>
      <c r="L647" t="s">
        <v>3165</v>
      </c>
      <c r="M647" s="8">
        <v>12.45675</v>
      </c>
      <c r="N647">
        <v>0</v>
      </c>
      <c r="O647">
        <v>1900</v>
      </c>
      <c r="P647" s="9">
        <v>0.450306099102896</v>
      </c>
      <c r="Q647" t="s">
        <v>580</v>
      </c>
      <c r="T647" s="15" t="s">
        <v>69</v>
      </c>
      <c r="W647" s="16" t="str">
        <f t="shared" si="70"/>
        <v>EN_WON_45_c01_DNK</v>
      </c>
      <c r="X647" s="12">
        <f t="shared" si="71"/>
        <v>1900</v>
      </c>
      <c r="Y647" s="11">
        <f t="shared" si="72"/>
        <v>1900</v>
      </c>
      <c r="AC647" t="s">
        <v>26</v>
      </c>
      <c r="AD647" t="s">
        <v>4620</v>
      </c>
      <c r="AE647" t="s">
        <v>4621</v>
      </c>
      <c r="AF647" t="s">
        <v>29</v>
      </c>
      <c r="AG647" t="s">
        <v>30</v>
      </c>
      <c r="AH647" t="s">
        <v>31</v>
      </c>
      <c r="AK647" t="s">
        <v>4620</v>
      </c>
      <c r="AL647" t="s">
        <v>1967</v>
      </c>
      <c r="AM647" t="s">
        <v>4609</v>
      </c>
      <c r="AN647" s="8">
        <v>49.788</v>
      </c>
      <c r="AO647">
        <v>199.694880401046</v>
      </c>
      <c r="AP647">
        <v>1769</v>
      </c>
      <c r="AQ647" s="9">
        <v>0.329344164256447</v>
      </c>
      <c r="AR647" t="s">
        <v>1211</v>
      </c>
      <c r="AT647" s="15" t="s">
        <v>89</v>
      </c>
      <c r="AW647" s="11" t="str">
        <f t="shared" si="73"/>
        <v>EN_WOF_33_c02_MEX</v>
      </c>
      <c r="AX647" s="11">
        <f t="shared" si="74"/>
        <v>1769</v>
      </c>
      <c r="AY647" s="11">
        <f t="shared" si="75"/>
        <v>1769</v>
      </c>
      <c r="AZ647" s="17">
        <v>3</v>
      </c>
      <c r="BA647">
        <f t="shared" si="76"/>
        <v>17.69</v>
      </c>
    </row>
    <row r="648" spans="2:53">
      <c r="B648" t="s">
        <v>26</v>
      </c>
      <c r="C648" t="s">
        <v>4622</v>
      </c>
      <c r="D648" t="s">
        <v>4623</v>
      </c>
      <c r="E648" t="s">
        <v>29</v>
      </c>
      <c r="F648" t="s">
        <v>30</v>
      </c>
      <c r="G648" t="s">
        <v>31</v>
      </c>
      <c r="J648" t="s">
        <v>4622</v>
      </c>
      <c r="K648" t="s">
        <v>1967</v>
      </c>
      <c r="L648" t="s">
        <v>3165</v>
      </c>
      <c r="M648" s="8">
        <v>2.29275</v>
      </c>
      <c r="N648">
        <v>0</v>
      </c>
      <c r="O648">
        <v>1900</v>
      </c>
      <c r="P648" s="9">
        <v>0.462922145894668</v>
      </c>
      <c r="Q648" t="s">
        <v>580</v>
      </c>
      <c r="T648" s="15" t="s">
        <v>69</v>
      </c>
      <c r="W648" s="16" t="str">
        <f t="shared" si="70"/>
        <v>EN_WON_46_c01_DNK</v>
      </c>
      <c r="X648" s="12">
        <f t="shared" si="71"/>
        <v>1900</v>
      </c>
      <c r="Y648" s="11">
        <f t="shared" si="72"/>
        <v>1900</v>
      </c>
      <c r="AC648" t="s">
        <v>26</v>
      </c>
      <c r="AD648" t="s">
        <v>4624</v>
      </c>
      <c r="AE648" t="s">
        <v>4625</v>
      </c>
      <c r="AF648" t="s">
        <v>29</v>
      </c>
      <c r="AG648" t="s">
        <v>30</v>
      </c>
      <c r="AH648" t="s">
        <v>31</v>
      </c>
      <c r="AK648" t="s">
        <v>4624</v>
      </c>
      <c r="AL648" t="s">
        <v>1967</v>
      </c>
      <c r="AM648" t="s">
        <v>4609</v>
      </c>
      <c r="AN648" s="8">
        <v>69.234</v>
      </c>
      <c r="AO648">
        <v>199.694880401046</v>
      </c>
      <c r="AP648">
        <v>1769</v>
      </c>
      <c r="AQ648" s="9">
        <v>0.338573479070977</v>
      </c>
      <c r="AR648" t="s">
        <v>1211</v>
      </c>
      <c r="AT648" s="15" t="s">
        <v>89</v>
      </c>
      <c r="AW648" s="11" t="str">
        <f t="shared" si="73"/>
        <v>EN_WOF_34_c02_MEX</v>
      </c>
      <c r="AX648" s="11">
        <f t="shared" si="74"/>
        <v>1769</v>
      </c>
      <c r="AY648" s="11">
        <f t="shared" si="75"/>
        <v>1769</v>
      </c>
      <c r="AZ648" s="17">
        <v>3</v>
      </c>
      <c r="BA648">
        <f t="shared" si="76"/>
        <v>17.69</v>
      </c>
    </row>
    <row r="649" spans="2:53">
      <c r="B649" t="s">
        <v>26</v>
      </c>
      <c r="C649" t="s">
        <v>4626</v>
      </c>
      <c r="D649" t="s">
        <v>4627</v>
      </c>
      <c r="E649" t="s">
        <v>29</v>
      </c>
      <c r="F649" t="s">
        <v>30</v>
      </c>
      <c r="G649" t="s">
        <v>31</v>
      </c>
      <c r="J649" t="s">
        <v>4626</v>
      </c>
      <c r="K649" t="s">
        <v>1967</v>
      </c>
      <c r="L649" t="s">
        <v>3165</v>
      </c>
      <c r="M649" s="8">
        <v>1.83525</v>
      </c>
      <c r="N649">
        <v>0</v>
      </c>
      <c r="O649">
        <v>1900</v>
      </c>
      <c r="P649" s="9">
        <v>0.468</v>
      </c>
      <c r="Q649" t="s">
        <v>580</v>
      </c>
      <c r="T649" s="15" t="s">
        <v>69</v>
      </c>
      <c r="W649" s="16" t="str">
        <f t="shared" si="70"/>
        <v>EN_WON_47_c01_DNK</v>
      </c>
      <c r="X649" s="12">
        <f t="shared" si="71"/>
        <v>1900</v>
      </c>
      <c r="Y649" s="11">
        <f t="shared" si="72"/>
        <v>1900</v>
      </c>
      <c r="AC649" t="s">
        <v>26</v>
      </c>
      <c r="AD649" t="s">
        <v>4628</v>
      </c>
      <c r="AE649" t="s">
        <v>4629</v>
      </c>
      <c r="AF649" t="s">
        <v>29</v>
      </c>
      <c r="AG649" t="s">
        <v>30</v>
      </c>
      <c r="AH649" t="s">
        <v>31</v>
      </c>
      <c r="AK649" t="s">
        <v>4628</v>
      </c>
      <c r="AL649" t="s">
        <v>1967</v>
      </c>
      <c r="AM649" t="s">
        <v>4609</v>
      </c>
      <c r="AN649" s="8">
        <v>43.3485</v>
      </c>
      <c r="AO649">
        <v>199.694880401046</v>
      </c>
      <c r="AP649">
        <v>1769</v>
      </c>
      <c r="AQ649" s="9">
        <v>0.350254974220561</v>
      </c>
      <c r="AR649" t="s">
        <v>1211</v>
      </c>
      <c r="AT649" s="15" t="s">
        <v>89</v>
      </c>
      <c r="AW649" s="11" t="str">
        <f t="shared" si="73"/>
        <v>EN_WOF_35_c02_MEX</v>
      </c>
      <c r="AX649" s="11">
        <f t="shared" si="74"/>
        <v>1769</v>
      </c>
      <c r="AY649" s="11">
        <f t="shared" si="75"/>
        <v>1769</v>
      </c>
      <c r="AZ649" s="17">
        <v>3</v>
      </c>
      <c r="BA649">
        <f t="shared" si="76"/>
        <v>17.69</v>
      </c>
    </row>
    <row r="650" spans="2:53">
      <c r="B650" t="s">
        <v>26</v>
      </c>
      <c r="C650" t="s">
        <v>4630</v>
      </c>
      <c r="D650" t="s">
        <v>4631</v>
      </c>
      <c r="E650" t="s">
        <v>29</v>
      </c>
      <c r="F650" t="s">
        <v>30</v>
      </c>
      <c r="G650" t="s">
        <v>31</v>
      </c>
      <c r="J650" t="s">
        <v>4630</v>
      </c>
      <c r="K650" t="s">
        <v>1967</v>
      </c>
      <c r="L650" t="s">
        <v>3165</v>
      </c>
      <c r="M650" s="8">
        <v>0.0885</v>
      </c>
      <c r="N650">
        <v>0</v>
      </c>
      <c r="O650">
        <v>1900</v>
      </c>
      <c r="P650" s="9">
        <v>0.488</v>
      </c>
      <c r="Q650" t="s">
        <v>580</v>
      </c>
      <c r="T650" s="15" t="s">
        <v>69</v>
      </c>
      <c r="W650" s="16" t="str">
        <f t="shared" si="70"/>
        <v>EN_WON_49_c01_DNK</v>
      </c>
      <c r="X650" s="12">
        <f t="shared" si="71"/>
        <v>1900</v>
      </c>
      <c r="Y650" s="11">
        <f t="shared" si="72"/>
        <v>1900</v>
      </c>
      <c r="AC650" t="s">
        <v>26</v>
      </c>
      <c r="AD650" t="s">
        <v>4632</v>
      </c>
      <c r="AE650" t="s">
        <v>4633</v>
      </c>
      <c r="AF650" t="s">
        <v>29</v>
      </c>
      <c r="AG650" t="s">
        <v>30</v>
      </c>
      <c r="AH650" t="s">
        <v>31</v>
      </c>
      <c r="AK650" t="s">
        <v>4632</v>
      </c>
      <c r="AL650" t="s">
        <v>1967</v>
      </c>
      <c r="AM650" t="s">
        <v>4609</v>
      </c>
      <c r="AN650" s="8">
        <v>23.85675</v>
      </c>
      <c r="AO650">
        <v>199.694880401046</v>
      </c>
      <c r="AP650">
        <v>1769</v>
      </c>
      <c r="AQ650" s="9">
        <v>0.360793674746141</v>
      </c>
      <c r="AR650" t="s">
        <v>1211</v>
      </c>
      <c r="AT650" s="15" t="s">
        <v>89</v>
      </c>
      <c r="AW650" s="11" t="str">
        <f t="shared" si="73"/>
        <v>EN_WOF_36_c02_MEX</v>
      </c>
      <c r="AX650" s="11">
        <f t="shared" si="74"/>
        <v>1769</v>
      </c>
      <c r="AY650" s="11">
        <f t="shared" si="75"/>
        <v>1769</v>
      </c>
      <c r="AZ650" s="17">
        <v>3</v>
      </c>
      <c r="BA650">
        <f t="shared" si="76"/>
        <v>17.69</v>
      </c>
    </row>
    <row r="651" spans="2:53">
      <c r="B651" t="s">
        <v>26</v>
      </c>
      <c r="C651" t="s">
        <v>4634</v>
      </c>
      <c r="D651" t="s">
        <v>4635</v>
      </c>
      <c r="E651" t="s">
        <v>29</v>
      </c>
      <c r="F651" t="s">
        <v>30</v>
      </c>
      <c r="G651" t="s">
        <v>31</v>
      </c>
      <c r="J651" t="s">
        <v>4634</v>
      </c>
      <c r="K651" t="s">
        <v>1967</v>
      </c>
      <c r="L651" t="s">
        <v>3194</v>
      </c>
      <c r="M651" s="8">
        <v>0.00675</v>
      </c>
      <c r="N651">
        <v>105.747516212372</v>
      </c>
      <c r="O651">
        <v>1910</v>
      </c>
      <c r="P651" s="9">
        <v>0.153</v>
      </c>
      <c r="Q651" t="s">
        <v>588</v>
      </c>
      <c r="T651" s="15" t="s">
        <v>89</v>
      </c>
      <c r="W651" s="16" t="str">
        <f t="shared" si="70"/>
        <v>EN_WON_15_c03_DOM</v>
      </c>
      <c r="X651" s="12">
        <f t="shared" si="71"/>
        <v>1910</v>
      </c>
      <c r="Y651" s="11">
        <f t="shared" si="72"/>
        <v>1910</v>
      </c>
      <c r="AC651" t="s">
        <v>26</v>
      </c>
      <c r="AD651" t="s">
        <v>4636</v>
      </c>
      <c r="AE651" t="s">
        <v>4637</v>
      </c>
      <c r="AF651" t="s">
        <v>29</v>
      </c>
      <c r="AG651" t="s">
        <v>30</v>
      </c>
      <c r="AH651" t="s">
        <v>31</v>
      </c>
      <c r="AK651" t="s">
        <v>4636</v>
      </c>
      <c r="AL651" t="s">
        <v>1967</v>
      </c>
      <c r="AM651" t="s">
        <v>4609</v>
      </c>
      <c r="AN651" s="8">
        <v>28.09725</v>
      </c>
      <c r="AO651">
        <v>199.694880401046</v>
      </c>
      <c r="AP651">
        <v>1769</v>
      </c>
      <c r="AQ651" s="9">
        <v>0.36945709099645</v>
      </c>
      <c r="AR651" t="s">
        <v>1211</v>
      </c>
      <c r="AT651" s="15" t="s">
        <v>89</v>
      </c>
      <c r="AW651" s="11" t="str">
        <f t="shared" si="73"/>
        <v>EN_WOF_37_c02_MEX</v>
      </c>
      <c r="AX651" s="11">
        <f t="shared" si="74"/>
        <v>1769</v>
      </c>
      <c r="AY651" s="11">
        <f t="shared" si="75"/>
        <v>1769</v>
      </c>
      <c r="AZ651" s="17">
        <v>3</v>
      </c>
      <c r="BA651">
        <f t="shared" si="76"/>
        <v>17.69</v>
      </c>
    </row>
    <row r="652" spans="2:53">
      <c r="B652" t="s">
        <v>26</v>
      </c>
      <c r="C652" t="s">
        <v>4638</v>
      </c>
      <c r="D652" t="s">
        <v>4639</v>
      </c>
      <c r="E652" t="s">
        <v>29</v>
      </c>
      <c r="F652" t="s">
        <v>30</v>
      </c>
      <c r="G652" t="s">
        <v>31</v>
      </c>
      <c r="J652" t="s">
        <v>4638</v>
      </c>
      <c r="K652" t="s">
        <v>1967</v>
      </c>
      <c r="L652" t="s">
        <v>3194</v>
      </c>
      <c r="M652" s="8">
        <v>0.018</v>
      </c>
      <c r="N652">
        <v>145.23264029167</v>
      </c>
      <c r="O652">
        <v>1910</v>
      </c>
      <c r="P652" s="9">
        <v>0.152</v>
      </c>
      <c r="Q652" t="s">
        <v>588</v>
      </c>
      <c r="T652" s="15" t="s">
        <v>89</v>
      </c>
      <c r="W652" s="16" t="str">
        <f t="shared" si="70"/>
        <v>EN_WON_15_c04_DOM</v>
      </c>
      <c r="X652" s="12">
        <f t="shared" si="71"/>
        <v>1910</v>
      </c>
      <c r="Y652" s="11">
        <f t="shared" si="72"/>
        <v>1910</v>
      </c>
      <c r="AC652" t="s">
        <v>26</v>
      </c>
      <c r="AD652" t="s">
        <v>4640</v>
      </c>
      <c r="AE652" t="s">
        <v>4641</v>
      </c>
      <c r="AF652" t="s">
        <v>29</v>
      </c>
      <c r="AG652" t="s">
        <v>30</v>
      </c>
      <c r="AH652" t="s">
        <v>31</v>
      </c>
      <c r="AK652" t="s">
        <v>4640</v>
      </c>
      <c r="AL652" t="s">
        <v>1967</v>
      </c>
      <c r="AM652" t="s">
        <v>4609</v>
      </c>
      <c r="AN652" s="8">
        <v>5.50125</v>
      </c>
      <c r="AO652">
        <v>199.694880401046</v>
      </c>
      <c r="AP652">
        <v>1769</v>
      </c>
      <c r="AQ652" s="9">
        <v>0.37659427402863</v>
      </c>
      <c r="AR652" t="s">
        <v>1211</v>
      </c>
      <c r="AT652" s="15" t="s">
        <v>89</v>
      </c>
      <c r="AW652" s="11" t="str">
        <f t="shared" si="73"/>
        <v>EN_WOF_38_c02_MEX</v>
      </c>
      <c r="AX652" s="11">
        <f t="shared" si="74"/>
        <v>1769</v>
      </c>
      <c r="AY652" s="11">
        <f t="shared" si="75"/>
        <v>1769</v>
      </c>
      <c r="AZ652" s="17">
        <v>3</v>
      </c>
      <c r="BA652">
        <f t="shared" si="76"/>
        <v>17.69</v>
      </c>
    </row>
    <row r="653" spans="2:53">
      <c r="B653" t="s">
        <v>26</v>
      </c>
      <c r="C653" t="s">
        <v>4642</v>
      </c>
      <c r="D653" t="s">
        <v>4643</v>
      </c>
      <c r="E653" t="s">
        <v>29</v>
      </c>
      <c r="F653" t="s">
        <v>30</v>
      </c>
      <c r="G653" t="s">
        <v>31</v>
      </c>
      <c r="J653" t="s">
        <v>4642</v>
      </c>
      <c r="K653" t="s">
        <v>1967</v>
      </c>
      <c r="L653" t="s">
        <v>3194</v>
      </c>
      <c r="M653" s="8">
        <v>0.93</v>
      </c>
      <c r="N653">
        <v>105.747516212372</v>
      </c>
      <c r="O653">
        <v>1910</v>
      </c>
      <c r="P653" s="9">
        <v>0.163912903225806</v>
      </c>
      <c r="Q653" t="s">
        <v>588</v>
      </c>
      <c r="T653" s="15" t="s">
        <v>89</v>
      </c>
      <c r="W653" s="16" t="str">
        <f t="shared" si="70"/>
        <v>EN_WON_16_c03_DOM</v>
      </c>
      <c r="X653" s="12">
        <f t="shared" si="71"/>
        <v>1910</v>
      </c>
      <c r="Y653" s="11">
        <f t="shared" si="72"/>
        <v>1910</v>
      </c>
      <c r="AC653" t="s">
        <v>26</v>
      </c>
      <c r="AD653" t="s">
        <v>4644</v>
      </c>
      <c r="AE653" t="s">
        <v>4645</v>
      </c>
      <c r="AF653" t="s">
        <v>29</v>
      </c>
      <c r="AG653" t="s">
        <v>30</v>
      </c>
      <c r="AH653" t="s">
        <v>31</v>
      </c>
      <c r="AK653" t="s">
        <v>4644</v>
      </c>
      <c r="AL653" t="s">
        <v>1967</v>
      </c>
      <c r="AM653" t="s">
        <v>4609</v>
      </c>
      <c r="AN653" s="8">
        <v>3.05025</v>
      </c>
      <c r="AO653">
        <v>199.694880401046</v>
      </c>
      <c r="AP653">
        <v>1769</v>
      </c>
      <c r="AQ653" s="9">
        <v>0.387706171625277</v>
      </c>
      <c r="AR653" t="s">
        <v>1211</v>
      </c>
      <c r="AT653" s="15" t="s">
        <v>89</v>
      </c>
      <c r="AW653" s="11" t="str">
        <f t="shared" si="73"/>
        <v>EN_WOF_39_c02_MEX</v>
      </c>
      <c r="AX653" s="11">
        <f t="shared" si="74"/>
        <v>1769</v>
      </c>
      <c r="AY653" s="11">
        <f t="shared" si="75"/>
        <v>1769</v>
      </c>
      <c r="AZ653" s="17">
        <v>3</v>
      </c>
      <c r="BA653">
        <f t="shared" si="76"/>
        <v>17.69</v>
      </c>
    </row>
    <row r="654" spans="2:53">
      <c r="B654" t="s">
        <v>26</v>
      </c>
      <c r="C654" t="s">
        <v>4646</v>
      </c>
      <c r="D654" t="s">
        <v>4647</v>
      </c>
      <c r="E654" t="s">
        <v>29</v>
      </c>
      <c r="F654" t="s">
        <v>30</v>
      </c>
      <c r="G654" t="s">
        <v>31</v>
      </c>
      <c r="J654" t="s">
        <v>4646</v>
      </c>
      <c r="K654" t="s">
        <v>1967</v>
      </c>
      <c r="L654" t="s">
        <v>3194</v>
      </c>
      <c r="M654" s="8">
        <v>0.0195</v>
      </c>
      <c r="N654">
        <v>145.23264029167</v>
      </c>
      <c r="O654">
        <v>1910</v>
      </c>
      <c r="P654" s="9">
        <v>0.163</v>
      </c>
      <c r="Q654" t="s">
        <v>588</v>
      </c>
      <c r="T654" s="15" t="s">
        <v>89</v>
      </c>
      <c r="W654" s="16" t="str">
        <f t="shared" si="70"/>
        <v>EN_WON_16_c04_DOM</v>
      </c>
      <c r="X654" s="12">
        <f t="shared" si="71"/>
        <v>1910</v>
      </c>
      <c r="Y654" s="11">
        <f t="shared" si="72"/>
        <v>1910</v>
      </c>
      <c r="AC654" t="s">
        <v>26</v>
      </c>
      <c r="AD654" t="s">
        <v>4648</v>
      </c>
      <c r="AE654" t="s">
        <v>4649</v>
      </c>
      <c r="AF654" t="s">
        <v>29</v>
      </c>
      <c r="AG654" t="s">
        <v>30</v>
      </c>
      <c r="AH654" t="s">
        <v>31</v>
      </c>
      <c r="AK654" t="s">
        <v>4648</v>
      </c>
      <c r="AL654" t="s">
        <v>1967</v>
      </c>
      <c r="AM654" t="s">
        <v>4609</v>
      </c>
      <c r="AN654" s="8">
        <v>5.607</v>
      </c>
      <c r="AO654">
        <v>199.694880401046</v>
      </c>
      <c r="AP654">
        <v>1769</v>
      </c>
      <c r="AQ654" s="9">
        <v>0.405012172284644</v>
      </c>
      <c r="AR654" t="s">
        <v>1211</v>
      </c>
      <c r="AT654" s="15" t="s">
        <v>89</v>
      </c>
      <c r="AW654" s="11" t="str">
        <f t="shared" si="73"/>
        <v>EN_WOF_41_c02_MEX</v>
      </c>
      <c r="AX654" s="11">
        <f t="shared" si="74"/>
        <v>1769</v>
      </c>
      <c r="AY654" s="11">
        <f t="shared" si="75"/>
        <v>1769</v>
      </c>
      <c r="AZ654" s="17">
        <v>3</v>
      </c>
      <c r="BA654">
        <f t="shared" si="76"/>
        <v>17.69</v>
      </c>
    </row>
    <row r="655" spans="2:53">
      <c r="B655" t="s">
        <v>26</v>
      </c>
      <c r="C655" t="s">
        <v>4650</v>
      </c>
      <c r="D655" t="s">
        <v>4651</v>
      </c>
      <c r="E655" t="s">
        <v>29</v>
      </c>
      <c r="F655" t="s">
        <v>30</v>
      </c>
      <c r="G655" t="s">
        <v>31</v>
      </c>
      <c r="J655" t="s">
        <v>4650</v>
      </c>
      <c r="K655" t="s">
        <v>1967</v>
      </c>
      <c r="L655" t="s">
        <v>3194</v>
      </c>
      <c r="M655" s="8">
        <v>0.11175</v>
      </c>
      <c r="N655">
        <v>105.747516212372</v>
      </c>
      <c r="O655">
        <v>1910</v>
      </c>
      <c r="P655" s="9">
        <v>0.171845637583893</v>
      </c>
      <c r="Q655" t="s">
        <v>588</v>
      </c>
      <c r="T655" s="15" t="s">
        <v>89</v>
      </c>
      <c r="W655" s="16" t="str">
        <f t="shared" si="70"/>
        <v>EN_WON_17_c03_DOM</v>
      </c>
      <c r="X655" s="12">
        <f t="shared" si="71"/>
        <v>1910</v>
      </c>
      <c r="Y655" s="11">
        <f t="shared" si="72"/>
        <v>1910</v>
      </c>
      <c r="AC655" t="s">
        <v>26</v>
      </c>
      <c r="AD655" t="s">
        <v>4652</v>
      </c>
      <c r="AE655" t="s">
        <v>4653</v>
      </c>
      <c r="AF655" t="s">
        <v>29</v>
      </c>
      <c r="AG655" t="s">
        <v>30</v>
      </c>
      <c r="AH655" t="s">
        <v>31</v>
      </c>
      <c r="AK655" t="s">
        <v>4652</v>
      </c>
      <c r="AL655" t="s">
        <v>1967</v>
      </c>
      <c r="AM655" t="s">
        <v>4609</v>
      </c>
      <c r="AN655" s="8">
        <v>2.81025</v>
      </c>
      <c r="AO655">
        <v>199.694880401046</v>
      </c>
      <c r="AP655">
        <v>1769</v>
      </c>
      <c r="AQ655" s="9">
        <v>0.42</v>
      </c>
      <c r="AR655" t="s">
        <v>1211</v>
      </c>
      <c r="AT655" s="15" t="s">
        <v>89</v>
      </c>
      <c r="AW655" s="11" t="str">
        <f t="shared" si="73"/>
        <v>EN_WOF_42_c02_MEX</v>
      </c>
      <c r="AX655" s="11">
        <f t="shared" si="74"/>
        <v>1769</v>
      </c>
      <c r="AY655" s="11">
        <f t="shared" si="75"/>
        <v>1769</v>
      </c>
      <c r="AZ655" s="17">
        <v>3</v>
      </c>
      <c r="BA655">
        <f t="shared" si="76"/>
        <v>17.69</v>
      </c>
    </row>
    <row r="656" spans="2:53">
      <c r="B656" t="s">
        <v>26</v>
      </c>
      <c r="C656" t="s">
        <v>4654</v>
      </c>
      <c r="D656" t="s">
        <v>4655</v>
      </c>
      <c r="E656" t="s">
        <v>29</v>
      </c>
      <c r="F656" t="s">
        <v>30</v>
      </c>
      <c r="G656" t="s">
        <v>31</v>
      </c>
      <c r="J656" t="s">
        <v>4654</v>
      </c>
      <c r="K656" t="s">
        <v>1967</v>
      </c>
      <c r="L656" t="s">
        <v>3194</v>
      </c>
      <c r="M656" s="8">
        <v>0.13275</v>
      </c>
      <c r="N656">
        <v>145.23264029167</v>
      </c>
      <c r="O656">
        <v>1910</v>
      </c>
      <c r="P656" s="9">
        <v>0.172</v>
      </c>
      <c r="Q656" t="s">
        <v>588</v>
      </c>
      <c r="T656" s="15" t="s">
        <v>89</v>
      </c>
      <c r="W656" s="16" t="str">
        <f t="shared" si="70"/>
        <v>EN_WON_17_c04_DOM</v>
      </c>
      <c r="X656" s="12">
        <f t="shared" si="71"/>
        <v>1910</v>
      </c>
      <c r="Y656" s="11">
        <f t="shared" si="72"/>
        <v>1910</v>
      </c>
      <c r="AC656" t="s">
        <v>26</v>
      </c>
      <c r="AD656" t="s">
        <v>4656</v>
      </c>
      <c r="AE656" t="s">
        <v>4657</v>
      </c>
      <c r="AF656" t="s">
        <v>29</v>
      </c>
      <c r="AG656" t="s">
        <v>30</v>
      </c>
      <c r="AH656" t="s">
        <v>31</v>
      </c>
      <c r="AK656" t="s">
        <v>4656</v>
      </c>
      <c r="AL656" t="s">
        <v>1967</v>
      </c>
      <c r="AM656" t="s">
        <v>4609</v>
      </c>
      <c r="AN656" s="8">
        <v>10.50225</v>
      </c>
      <c r="AO656">
        <v>199.694880401046</v>
      </c>
      <c r="AP656">
        <v>1769</v>
      </c>
      <c r="AQ656" s="9">
        <v>0.437243733485682</v>
      </c>
      <c r="AR656" t="s">
        <v>1211</v>
      </c>
      <c r="AT656" s="15" t="s">
        <v>89</v>
      </c>
      <c r="AW656" s="11" t="str">
        <f t="shared" si="73"/>
        <v>EN_WOF_44_c02_MEX</v>
      </c>
      <c r="AX656" s="11">
        <f t="shared" si="74"/>
        <v>1769</v>
      </c>
      <c r="AY656" s="11">
        <f t="shared" si="75"/>
        <v>1769</v>
      </c>
      <c r="AZ656" s="17">
        <v>3</v>
      </c>
      <c r="BA656">
        <f t="shared" si="76"/>
        <v>17.69</v>
      </c>
    </row>
    <row r="657" spans="2:53">
      <c r="B657" t="s">
        <v>26</v>
      </c>
      <c r="C657" t="s">
        <v>4658</v>
      </c>
      <c r="D657" t="s">
        <v>4659</v>
      </c>
      <c r="E657" t="s">
        <v>29</v>
      </c>
      <c r="F657" t="s">
        <v>30</v>
      </c>
      <c r="G657" t="s">
        <v>31</v>
      </c>
      <c r="J657" t="s">
        <v>4658</v>
      </c>
      <c r="K657" t="s">
        <v>1967</v>
      </c>
      <c r="L657" t="s">
        <v>3194</v>
      </c>
      <c r="M657" s="8">
        <v>1.494</v>
      </c>
      <c r="N657">
        <v>105.747516212372</v>
      </c>
      <c r="O657">
        <v>1910</v>
      </c>
      <c r="P657" s="9">
        <v>0.191116465863454</v>
      </c>
      <c r="Q657" t="s">
        <v>588</v>
      </c>
      <c r="T657" s="15" t="s">
        <v>89</v>
      </c>
      <c r="W657" s="16" t="str">
        <f t="shared" si="70"/>
        <v>EN_WON_19_c03_DOM</v>
      </c>
      <c r="X657" s="12">
        <f t="shared" si="71"/>
        <v>1910</v>
      </c>
      <c r="Y657" s="11">
        <f t="shared" si="72"/>
        <v>1910</v>
      </c>
      <c r="AC657" t="s">
        <v>26</v>
      </c>
      <c r="AD657" t="s">
        <v>4660</v>
      </c>
      <c r="AE657" t="s">
        <v>4661</v>
      </c>
      <c r="AF657" t="s">
        <v>29</v>
      </c>
      <c r="AG657" t="s">
        <v>30</v>
      </c>
      <c r="AH657" t="s">
        <v>31</v>
      </c>
      <c r="AK657" t="s">
        <v>4660</v>
      </c>
      <c r="AL657" t="s">
        <v>1967</v>
      </c>
      <c r="AM657" t="s">
        <v>4609</v>
      </c>
      <c r="AN657" s="8">
        <v>0.9045</v>
      </c>
      <c r="AO657">
        <v>199.694880401046</v>
      </c>
      <c r="AP657">
        <v>1769</v>
      </c>
      <c r="AQ657" s="9">
        <v>0.486</v>
      </c>
      <c r="AR657" t="s">
        <v>1211</v>
      </c>
      <c r="AT657" s="15" t="s">
        <v>89</v>
      </c>
      <c r="AW657" s="11" t="str">
        <f t="shared" si="73"/>
        <v>EN_WOF_49_c02_MEX</v>
      </c>
      <c r="AX657" s="11">
        <f t="shared" si="74"/>
        <v>1769</v>
      </c>
      <c r="AY657" s="11">
        <f t="shared" si="75"/>
        <v>1769</v>
      </c>
      <c r="AZ657" s="17">
        <v>3</v>
      </c>
      <c r="BA657">
        <f t="shared" si="76"/>
        <v>17.69</v>
      </c>
    </row>
    <row r="658" spans="2:53">
      <c r="B658" t="s">
        <v>26</v>
      </c>
      <c r="C658" t="s">
        <v>4662</v>
      </c>
      <c r="D658" t="s">
        <v>4663</v>
      </c>
      <c r="E658" t="s">
        <v>29</v>
      </c>
      <c r="F658" t="s">
        <v>30</v>
      </c>
      <c r="G658" t="s">
        <v>31</v>
      </c>
      <c r="J658" t="s">
        <v>4662</v>
      </c>
      <c r="K658" t="s">
        <v>1967</v>
      </c>
      <c r="L658" t="s">
        <v>3194</v>
      </c>
      <c r="M658" s="8">
        <v>0.20325</v>
      </c>
      <c r="N658">
        <v>80.7856561622413</v>
      </c>
      <c r="O658">
        <v>1910</v>
      </c>
      <c r="P658" s="9">
        <v>0.206</v>
      </c>
      <c r="Q658" t="s">
        <v>588</v>
      </c>
      <c r="T658" s="15" t="s">
        <v>89</v>
      </c>
      <c r="W658" s="16" t="str">
        <f t="shared" si="70"/>
        <v>EN_WON_21_c02_DOM</v>
      </c>
      <c r="X658" s="12">
        <f t="shared" si="71"/>
        <v>1910</v>
      </c>
      <c r="Y658" s="11">
        <f t="shared" si="72"/>
        <v>1910</v>
      </c>
      <c r="AC658" t="s">
        <v>26</v>
      </c>
      <c r="AD658" t="s">
        <v>4664</v>
      </c>
      <c r="AE658" t="s">
        <v>4665</v>
      </c>
      <c r="AF658" t="s">
        <v>29</v>
      </c>
      <c r="AG658" t="s">
        <v>30</v>
      </c>
      <c r="AH658" t="s">
        <v>31</v>
      </c>
      <c r="AK658" t="s">
        <v>4664</v>
      </c>
      <c r="AL658" t="s">
        <v>1967</v>
      </c>
      <c r="AM658" t="s">
        <v>4666</v>
      </c>
      <c r="AN658" s="8">
        <v>27.405</v>
      </c>
      <c r="AO658">
        <v>199.694880401046</v>
      </c>
      <c r="AP658">
        <v>1909</v>
      </c>
      <c r="AQ658" s="9">
        <v>0.30225</v>
      </c>
      <c r="AR658" t="s">
        <v>4667</v>
      </c>
      <c r="AT658" s="15" t="s">
        <v>69</v>
      </c>
      <c r="AW658" s="11" t="str">
        <f t="shared" si="73"/>
        <v>EN_WOF_30_c02_MLT</v>
      </c>
      <c r="AX658" s="11">
        <f t="shared" si="74"/>
        <v>1909</v>
      </c>
      <c r="AY658" s="11">
        <f t="shared" si="75"/>
        <v>1909</v>
      </c>
      <c r="AZ658" s="17">
        <v>3</v>
      </c>
      <c r="BA658">
        <f t="shared" si="76"/>
        <v>19.09</v>
      </c>
    </row>
    <row r="659" spans="2:53">
      <c r="B659" t="s">
        <v>26</v>
      </c>
      <c r="C659" t="s">
        <v>4668</v>
      </c>
      <c r="D659" t="s">
        <v>4669</v>
      </c>
      <c r="E659" t="s">
        <v>29</v>
      </c>
      <c r="F659" t="s">
        <v>30</v>
      </c>
      <c r="G659" t="s">
        <v>31</v>
      </c>
      <c r="J659" t="s">
        <v>4668</v>
      </c>
      <c r="K659" t="s">
        <v>1967</v>
      </c>
      <c r="L659" t="s">
        <v>3194</v>
      </c>
      <c r="M659" s="8">
        <v>1.077</v>
      </c>
      <c r="N659">
        <v>105.747516212372</v>
      </c>
      <c r="O659">
        <v>1910</v>
      </c>
      <c r="P659" s="9">
        <v>0.207</v>
      </c>
      <c r="Q659" t="s">
        <v>588</v>
      </c>
      <c r="T659" s="15" t="s">
        <v>89</v>
      </c>
      <c r="W659" s="16" t="str">
        <f t="shared" si="70"/>
        <v>EN_WON_21_c03_DOM</v>
      </c>
      <c r="X659" s="12">
        <f t="shared" si="71"/>
        <v>1910</v>
      </c>
      <c r="Y659" s="11">
        <f t="shared" si="72"/>
        <v>1910</v>
      </c>
      <c r="AC659" t="s">
        <v>26</v>
      </c>
      <c r="AD659" t="s">
        <v>4670</v>
      </c>
      <c r="AE659" t="s">
        <v>4671</v>
      </c>
      <c r="AF659" t="s">
        <v>29</v>
      </c>
      <c r="AG659" t="s">
        <v>30</v>
      </c>
      <c r="AH659" t="s">
        <v>31</v>
      </c>
      <c r="AK659" t="s">
        <v>4670</v>
      </c>
      <c r="AL659" t="s">
        <v>1967</v>
      </c>
      <c r="AM659" t="s">
        <v>4666</v>
      </c>
      <c r="AN659" s="8">
        <v>12.4215</v>
      </c>
      <c r="AO659">
        <v>199.694880401046</v>
      </c>
      <c r="AP659">
        <v>1909</v>
      </c>
      <c r="AQ659" s="9">
        <v>0.305</v>
      </c>
      <c r="AR659" t="s">
        <v>4667</v>
      </c>
      <c r="AT659" s="15" t="s">
        <v>69</v>
      </c>
      <c r="AW659" s="11" t="str">
        <f t="shared" si="73"/>
        <v>EN_WOF_31_c02_MLT</v>
      </c>
      <c r="AX659" s="11">
        <f t="shared" si="74"/>
        <v>1909</v>
      </c>
      <c r="AY659" s="11">
        <f t="shared" si="75"/>
        <v>1909</v>
      </c>
      <c r="AZ659" s="17">
        <v>3</v>
      </c>
      <c r="BA659">
        <f t="shared" si="76"/>
        <v>19.09</v>
      </c>
    </row>
    <row r="660" spans="2:53">
      <c r="B660" t="s">
        <v>26</v>
      </c>
      <c r="C660" t="s">
        <v>4672</v>
      </c>
      <c r="D660" t="s">
        <v>4673</v>
      </c>
      <c r="E660" t="s">
        <v>29</v>
      </c>
      <c r="F660" t="s">
        <v>30</v>
      </c>
      <c r="G660" t="s">
        <v>31</v>
      </c>
      <c r="J660" t="s">
        <v>4672</v>
      </c>
      <c r="K660" t="s">
        <v>1967</v>
      </c>
      <c r="L660" t="s">
        <v>3194</v>
      </c>
      <c r="M660" s="8">
        <v>0.28575</v>
      </c>
      <c r="N660">
        <v>145.23264029167</v>
      </c>
      <c r="O660">
        <v>1910</v>
      </c>
      <c r="P660" s="9">
        <v>0.21</v>
      </c>
      <c r="Q660" t="s">
        <v>588</v>
      </c>
      <c r="T660" s="15" t="s">
        <v>89</v>
      </c>
      <c r="W660" s="16" t="str">
        <f t="shared" si="70"/>
        <v>EN_WON_21_c04_DOM</v>
      </c>
      <c r="X660" s="12">
        <f t="shared" si="71"/>
        <v>1910</v>
      </c>
      <c r="Y660" s="11">
        <f t="shared" si="72"/>
        <v>1910</v>
      </c>
      <c r="AC660" t="s">
        <v>26</v>
      </c>
      <c r="AD660" t="s">
        <v>4674</v>
      </c>
      <c r="AE660" t="s">
        <v>4675</v>
      </c>
      <c r="AF660" t="s">
        <v>29</v>
      </c>
      <c r="AG660" t="s">
        <v>30</v>
      </c>
      <c r="AH660" t="s">
        <v>31</v>
      </c>
      <c r="AK660" t="s">
        <v>4674</v>
      </c>
      <c r="AL660" t="s">
        <v>1967</v>
      </c>
      <c r="AM660" t="s">
        <v>4676</v>
      </c>
      <c r="AN660" s="8">
        <v>1.45575</v>
      </c>
      <c r="AO660">
        <v>199.694880401046</v>
      </c>
      <c r="AP660">
        <v>1952</v>
      </c>
      <c r="AQ660" s="9">
        <v>0.304</v>
      </c>
      <c r="AR660" t="s">
        <v>1253</v>
      </c>
      <c r="AT660" s="15" t="s">
        <v>54</v>
      </c>
      <c r="AW660" s="11" t="str">
        <f t="shared" si="73"/>
        <v>EN_WOF_30_c02_MOZ</v>
      </c>
      <c r="AX660" s="11">
        <f t="shared" si="74"/>
        <v>1952</v>
      </c>
      <c r="AY660" s="11">
        <f t="shared" si="75"/>
        <v>1952</v>
      </c>
      <c r="AZ660" s="17">
        <v>3</v>
      </c>
      <c r="BA660">
        <f t="shared" si="76"/>
        <v>19.52</v>
      </c>
    </row>
    <row r="661" spans="2:53">
      <c r="B661" t="s">
        <v>26</v>
      </c>
      <c r="C661" t="s">
        <v>4677</v>
      </c>
      <c r="D661" t="s">
        <v>4678</v>
      </c>
      <c r="E661" t="s">
        <v>29</v>
      </c>
      <c r="F661" t="s">
        <v>30</v>
      </c>
      <c r="G661" t="s">
        <v>31</v>
      </c>
      <c r="J661" t="s">
        <v>4677</v>
      </c>
      <c r="K661" t="s">
        <v>1967</v>
      </c>
      <c r="L661" t="s">
        <v>3194</v>
      </c>
      <c r="M661" s="8">
        <v>0.72075</v>
      </c>
      <c r="N661">
        <v>105.747516212372</v>
      </c>
      <c r="O661">
        <v>1910</v>
      </c>
      <c r="P661" s="9">
        <v>0.23</v>
      </c>
      <c r="Q661" t="s">
        <v>588</v>
      </c>
      <c r="T661" s="15" t="s">
        <v>89</v>
      </c>
      <c r="W661" s="16" t="str">
        <f t="shared" si="70"/>
        <v>EN_WON_23_c03_DOM</v>
      </c>
      <c r="X661" s="12">
        <f t="shared" si="71"/>
        <v>1910</v>
      </c>
      <c r="Y661" s="11">
        <f t="shared" si="72"/>
        <v>1910</v>
      </c>
      <c r="AC661" t="s">
        <v>26</v>
      </c>
      <c r="AD661" t="s">
        <v>4679</v>
      </c>
      <c r="AE661" t="s">
        <v>4680</v>
      </c>
      <c r="AF661" t="s">
        <v>29</v>
      </c>
      <c r="AG661" t="s">
        <v>30</v>
      </c>
      <c r="AH661" t="s">
        <v>31</v>
      </c>
      <c r="AK661" t="s">
        <v>4679</v>
      </c>
      <c r="AL661" t="s">
        <v>1967</v>
      </c>
      <c r="AM661" t="s">
        <v>4676</v>
      </c>
      <c r="AN661" s="8">
        <v>8.208</v>
      </c>
      <c r="AO661">
        <v>199.694880401046</v>
      </c>
      <c r="AP661">
        <v>1952</v>
      </c>
      <c r="AQ661" s="9">
        <v>0.308220942982456</v>
      </c>
      <c r="AR661" t="s">
        <v>1253</v>
      </c>
      <c r="AT661" s="15" t="s">
        <v>54</v>
      </c>
      <c r="AW661" s="11" t="str">
        <f t="shared" si="73"/>
        <v>EN_WOF_31_c02_MOZ</v>
      </c>
      <c r="AX661" s="11">
        <f t="shared" si="74"/>
        <v>1952</v>
      </c>
      <c r="AY661" s="11">
        <f t="shared" si="75"/>
        <v>1952</v>
      </c>
      <c r="AZ661" s="17">
        <v>3</v>
      </c>
      <c r="BA661">
        <f t="shared" si="76"/>
        <v>19.52</v>
      </c>
    </row>
    <row r="662" spans="2:53">
      <c r="B662" t="s">
        <v>26</v>
      </c>
      <c r="C662" t="s">
        <v>4681</v>
      </c>
      <c r="D662" t="s">
        <v>4682</v>
      </c>
      <c r="E662" t="s">
        <v>29</v>
      </c>
      <c r="F662" t="s">
        <v>30</v>
      </c>
      <c r="G662" t="s">
        <v>31</v>
      </c>
      <c r="J662" t="s">
        <v>4681</v>
      </c>
      <c r="K662" t="s">
        <v>1967</v>
      </c>
      <c r="L662" t="s">
        <v>3194</v>
      </c>
      <c r="M662" s="8">
        <v>0.30975</v>
      </c>
      <c r="N662">
        <v>145.23264029167</v>
      </c>
      <c r="O662">
        <v>1910</v>
      </c>
      <c r="P662" s="9">
        <v>0.225</v>
      </c>
      <c r="Q662" t="s">
        <v>588</v>
      </c>
      <c r="T662" s="15" t="s">
        <v>89</v>
      </c>
      <c r="W662" s="16" t="str">
        <f t="shared" si="70"/>
        <v>EN_WON_23_c04_DOM</v>
      </c>
      <c r="X662" s="12">
        <f t="shared" si="71"/>
        <v>1910</v>
      </c>
      <c r="Y662" s="11">
        <f t="shared" si="72"/>
        <v>1910</v>
      </c>
      <c r="AC662" t="s">
        <v>26</v>
      </c>
      <c r="AD662" t="s">
        <v>4683</v>
      </c>
      <c r="AE662" t="s">
        <v>4684</v>
      </c>
      <c r="AF662" t="s">
        <v>29</v>
      </c>
      <c r="AG662" t="s">
        <v>30</v>
      </c>
      <c r="AH662" t="s">
        <v>31</v>
      </c>
      <c r="AK662" t="s">
        <v>4683</v>
      </c>
      <c r="AL662" t="s">
        <v>1967</v>
      </c>
      <c r="AM662" t="s">
        <v>4676</v>
      </c>
      <c r="AN662" s="8">
        <v>12.39975</v>
      </c>
      <c r="AO662">
        <v>199.694880401046</v>
      </c>
      <c r="AP662">
        <v>1952</v>
      </c>
      <c r="AQ662" s="9">
        <v>0.316961168571947</v>
      </c>
      <c r="AR662" t="s">
        <v>1253</v>
      </c>
      <c r="AT662" s="15" t="s">
        <v>54</v>
      </c>
      <c r="AW662" s="11" t="str">
        <f t="shared" si="73"/>
        <v>EN_WOF_32_c02_MOZ</v>
      </c>
      <c r="AX662" s="11">
        <f t="shared" si="74"/>
        <v>1952</v>
      </c>
      <c r="AY662" s="11">
        <f t="shared" si="75"/>
        <v>1952</v>
      </c>
      <c r="AZ662" s="17">
        <v>3</v>
      </c>
      <c r="BA662">
        <f t="shared" si="76"/>
        <v>19.52</v>
      </c>
    </row>
    <row r="663" spans="2:53">
      <c r="B663" t="s">
        <v>26</v>
      </c>
      <c r="C663" t="s">
        <v>4685</v>
      </c>
      <c r="D663" t="s">
        <v>4686</v>
      </c>
      <c r="E663" t="s">
        <v>29</v>
      </c>
      <c r="F663" t="s">
        <v>30</v>
      </c>
      <c r="G663" t="s">
        <v>31</v>
      </c>
      <c r="J663" t="s">
        <v>4685</v>
      </c>
      <c r="K663" t="s">
        <v>1967</v>
      </c>
      <c r="L663" t="s">
        <v>3194</v>
      </c>
      <c r="M663" s="8">
        <v>0.82125</v>
      </c>
      <c r="N663">
        <v>105.747516212372</v>
      </c>
      <c r="O663">
        <v>1910</v>
      </c>
      <c r="P663" s="9">
        <v>0.27</v>
      </c>
      <c r="Q663" t="s">
        <v>588</v>
      </c>
      <c r="T663" s="15" t="s">
        <v>89</v>
      </c>
      <c r="W663" s="16" t="str">
        <f t="shared" si="70"/>
        <v>EN_WON_27_c03_DOM</v>
      </c>
      <c r="X663" s="12">
        <f t="shared" si="71"/>
        <v>1910</v>
      </c>
      <c r="Y663" s="11">
        <f t="shared" si="72"/>
        <v>1910</v>
      </c>
      <c r="AC663" t="s">
        <v>26</v>
      </c>
      <c r="AD663" t="s">
        <v>4687</v>
      </c>
      <c r="AE663" t="s">
        <v>4688</v>
      </c>
      <c r="AF663" t="s">
        <v>29</v>
      </c>
      <c r="AG663" t="s">
        <v>30</v>
      </c>
      <c r="AH663" t="s">
        <v>31</v>
      </c>
      <c r="AK663" t="s">
        <v>4687</v>
      </c>
      <c r="AL663" t="s">
        <v>1967</v>
      </c>
      <c r="AM663" t="s">
        <v>4676</v>
      </c>
      <c r="AN663" s="8">
        <v>9.7995</v>
      </c>
      <c r="AO663">
        <v>199.694880401046</v>
      </c>
      <c r="AP663">
        <v>1952</v>
      </c>
      <c r="AQ663" s="9">
        <v>0.32708480024491</v>
      </c>
      <c r="AR663" t="s">
        <v>1253</v>
      </c>
      <c r="AT663" s="15" t="s">
        <v>54</v>
      </c>
      <c r="AW663" s="11" t="str">
        <f t="shared" si="73"/>
        <v>EN_WOF_33_c02_MOZ</v>
      </c>
      <c r="AX663" s="11">
        <f t="shared" si="74"/>
        <v>1952</v>
      </c>
      <c r="AY663" s="11">
        <f t="shared" si="75"/>
        <v>1952</v>
      </c>
      <c r="AZ663" s="17">
        <v>3</v>
      </c>
      <c r="BA663">
        <f t="shared" si="76"/>
        <v>19.52</v>
      </c>
    </row>
    <row r="664" spans="2:53">
      <c r="B664" t="s">
        <v>26</v>
      </c>
      <c r="C664" t="s">
        <v>4689</v>
      </c>
      <c r="D664" t="s">
        <v>4690</v>
      </c>
      <c r="E664" t="s">
        <v>29</v>
      </c>
      <c r="F664" t="s">
        <v>30</v>
      </c>
      <c r="G664" t="s">
        <v>31</v>
      </c>
      <c r="J664" t="s">
        <v>4689</v>
      </c>
      <c r="K664" t="s">
        <v>1967</v>
      </c>
      <c r="L664" t="s">
        <v>3194</v>
      </c>
      <c r="M664" s="8">
        <v>0.231</v>
      </c>
      <c r="N664">
        <v>105.747516212372</v>
      </c>
      <c r="O664">
        <v>1910</v>
      </c>
      <c r="P664" s="9">
        <v>0.277</v>
      </c>
      <c r="Q664" t="s">
        <v>588</v>
      </c>
      <c r="T664" s="15" t="s">
        <v>89</v>
      </c>
      <c r="W664" s="16" t="str">
        <f t="shared" si="70"/>
        <v>EN_WON_28_c03_DOM</v>
      </c>
      <c r="X664" s="12">
        <f t="shared" si="71"/>
        <v>1910</v>
      </c>
      <c r="Y664" s="11">
        <f t="shared" si="72"/>
        <v>1910</v>
      </c>
      <c r="AC664" t="s">
        <v>26</v>
      </c>
      <c r="AD664" t="s">
        <v>4691</v>
      </c>
      <c r="AE664" t="s">
        <v>4692</v>
      </c>
      <c r="AF664" t="s">
        <v>29</v>
      </c>
      <c r="AG664" t="s">
        <v>30</v>
      </c>
      <c r="AH664" t="s">
        <v>31</v>
      </c>
      <c r="AK664" t="s">
        <v>4691</v>
      </c>
      <c r="AL664" t="s">
        <v>1967</v>
      </c>
      <c r="AM664" t="s">
        <v>4676</v>
      </c>
      <c r="AN664" s="8">
        <v>6.3945</v>
      </c>
      <c r="AO664">
        <v>199.694880401046</v>
      </c>
      <c r="AP664">
        <v>1952</v>
      </c>
      <c r="AQ664" s="9">
        <v>0.336</v>
      </c>
      <c r="AR664" t="s">
        <v>1253</v>
      </c>
      <c r="AT664" s="15" t="s">
        <v>54</v>
      </c>
      <c r="AW664" s="11" t="str">
        <f t="shared" si="73"/>
        <v>EN_WOF_34_c02_MOZ</v>
      </c>
      <c r="AX664" s="11">
        <f t="shared" si="74"/>
        <v>1952</v>
      </c>
      <c r="AY664" s="11">
        <f t="shared" si="75"/>
        <v>1952</v>
      </c>
      <c r="AZ664" s="17">
        <v>3</v>
      </c>
      <c r="BA664">
        <f t="shared" si="76"/>
        <v>19.52</v>
      </c>
    </row>
    <row r="665" spans="2:53">
      <c r="B665" t="s">
        <v>26</v>
      </c>
      <c r="C665" t="s">
        <v>4693</v>
      </c>
      <c r="D665" t="s">
        <v>4694</v>
      </c>
      <c r="E665" t="s">
        <v>29</v>
      </c>
      <c r="F665" t="s">
        <v>30</v>
      </c>
      <c r="G665" t="s">
        <v>31</v>
      </c>
      <c r="J665" t="s">
        <v>4693</v>
      </c>
      <c r="K665" t="s">
        <v>1967</v>
      </c>
      <c r="L665" t="s">
        <v>3194</v>
      </c>
      <c r="M665" s="8">
        <v>0.09825</v>
      </c>
      <c r="N665">
        <v>80.7856561622413</v>
      </c>
      <c r="O665">
        <v>1910</v>
      </c>
      <c r="P665" s="9">
        <v>0.294</v>
      </c>
      <c r="Q665" t="s">
        <v>588</v>
      </c>
      <c r="T665" s="15" t="s">
        <v>89</v>
      </c>
      <c r="W665" s="16" t="str">
        <f t="shared" si="70"/>
        <v>EN_WON_29_c02_DOM</v>
      </c>
      <c r="X665" s="12">
        <f t="shared" si="71"/>
        <v>1910</v>
      </c>
      <c r="Y665" s="11">
        <f t="shared" si="72"/>
        <v>1910</v>
      </c>
      <c r="AC665" t="s">
        <v>26</v>
      </c>
      <c r="AD665" t="s">
        <v>4695</v>
      </c>
      <c r="AE665" t="s">
        <v>4696</v>
      </c>
      <c r="AF665" t="s">
        <v>29</v>
      </c>
      <c r="AG665" t="s">
        <v>30</v>
      </c>
      <c r="AH665" t="s">
        <v>31</v>
      </c>
      <c r="AK665" t="s">
        <v>4695</v>
      </c>
      <c r="AL665" t="s">
        <v>1967</v>
      </c>
      <c r="AM665" t="s">
        <v>4676</v>
      </c>
      <c r="AN665" s="8">
        <v>7.236</v>
      </c>
      <c r="AO665">
        <v>199.694880401046</v>
      </c>
      <c r="AP665">
        <v>1952</v>
      </c>
      <c r="AQ665" s="9">
        <v>0.350425373134328</v>
      </c>
      <c r="AR665" t="s">
        <v>1253</v>
      </c>
      <c r="AT665" s="15" t="s">
        <v>54</v>
      </c>
      <c r="AW665" s="11" t="str">
        <f t="shared" si="73"/>
        <v>EN_WOF_35_c02_MOZ</v>
      </c>
      <c r="AX665" s="11">
        <f t="shared" si="74"/>
        <v>1952</v>
      </c>
      <c r="AY665" s="11">
        <f t="shared" si="75"/>
        <v>1952</v>
      </c>
      <c r="AZ665" s="17">
        <v>3</v>
      </c>
      <c r="BA665">
        <f t="shared" si="76"/>
        <v>19.52</v>
      </c>
    </row>
    <row r="666" spans="2:53">
      <c r="B666" t="s">
        <v>26</v>
      </c>
      <c r="C666" t="s">
        <v>4697</v>
      </c>
      <c r="D666" t="s">
        <v>4698</v>
      </c>
      <c r="E666" t="s">
        <v>29</v>
      </c>
      <c r="F666" t="s">
        <v>30</v>
      </c>
      <c r="G666" t="s">
        <v>31</v>
      </c>
      <c r="J666" t="s">
        <v>4697</v>
      </c>
      <c r="K666" t="s">
        <v>1967</v>
      </c>
      <c r="L666" t="s">
        <v>3194</v>
      </c>
      <c r="M666" s="8">
        <v>0.0525</v>
      </c>
      <c r="N666">
        <v>105.747516212372</v>
      </c>
      <c r="O666">
        <v>1910</v>
      </c>
      <c r="P666" s="9">
        <v>0.289</v>
      </c>
      <c r="Q666" t="s">
        <v>588</v>
      </c>
      <c r="T666" s="15" t="s">
        <v>89</v>
      </c>
      <c r="W666" s="16" t="str">
        <f t="shared" si="70"/>
        <v>EN_WON_29_c03_DOM</v>
      </c>
      <c r="X666" s="12">
        <f t="shared" si="71"/>
        <v>1910</v>
      </c>
      <c r="Y666" s="11">
        <f t="shared" si="72"/>
        <v>1910</v>
      </c>
      <c r="AC666" t="s">
        <v>26</v>
      </c>
      <c r="AD666" t="s">
        <v>4699</v>
      </c>
      <c r="AE666" t="s">
        <v>4700</v>
      </c>
      <c r="AF666" t="s">
        <v>29</v>
      </c>
      <c r="AG666" t="s">
        <v>30</v>
      </c>
      <c r="AH666" t="s">
        <v>31</v>
      </c>
      <c r="AK666" t="s">
        <v>4699</v>
      </c>
      <c r="AL666" t="s">
        <v>1967</v>
      </c>
      <c r="AM666" t="s">
        <v>4676</v>
      </c>
      <c r="AN666" s="8">
        <v>4.6035</v>
      </c>
      <c r="AO666">
        <v>199.694880401046</v>
      </c>
      <c r="AP666">
        <v>1952</v>
      </c>
      <c r="AQ666" s="9">
        <v>0.365</v>
      </c>
      <c r="AR666" t="s">
        <v>1253</v>
      </c>
      <c r="AT666" s="15" t="s">
        <v>54</v>
      </c>
      <c r="AW666" s="11" t="str">
        <f t="shared" si="73"/>
        <v>EN_WOF_37_c02_MOZ</v>
      </c>
      <c r="AX666" s="11">
        <f t="shared" si="74"/>
        <v>1952</v>
      </c>
      <c r="AY666" s="11">
        <f t="shared" si="75"/>
        <v>1952</v>
      </c>
      <c r="AZ666" s="17">
        <v>3</v>
      </c>
      <c r="BA666">
        <f t="shared" si="76"/>
        <v>19.52</v>
      </c>
    </row>
    <row r="667" spans="2:53">
      <c r="B667" t="s">
        <v>26</v>
      </c>
      <c r="C667" t="s">
        <v>4701</v>
      </c>
      <c r="D667" t="s">
        <v>4702</v>
      </c>
      <c r="E667" t="s">
        <v>29</v>
      </c>
      <c r="F667" t="s">
        <v>30</v>
      </c>
      <c r="G667" t="s">
        <v>31</v>
      </c>
      <c r="J667" t="s">
        <v>4701</v>
      </c>
      <c r="K667" t="s">
        <v>1967</v>
      </c>
      <c r="L667" t="s">
        <v>3194</v>
      </c>
      <c r="M667" s="8">
        <v>0.32775</v>
      </c>
      <c r="N667">
        <v>145.23264029167</v>
      </c>
      <c r="O667">
        <v>1910</v>
      </c>
      <c r="P667" s="9">
        <v>0.314</v>
      </c>
      <c r="Q667" t="s">
        <v>588</v>
      </c>
      <c r="T667" s="15" t="s">
        <v>89</v>
      </c>
      <c r="W667" s="16" t="str">
        <f t="shared" si="70"/>
        <v>EN_WON_31_c04_DOM</v>
      </c>
      <c r="X667" s="12">
        <f t="shared" si="71"/>
        <v>1910</v>
      </c>
      <c r="Y667" s="11">
        <f t="shared" si="72"/>
        <v>1910</v>
      </c>
      <c r="AC667" t="s">
        <v>26</v>
      </c>
      <c r="AD667" t="s">
        <v>4703</v>
      </c>
      <c r="AE667" t="s">
        <v>4704</v>
      </c>
      <c r="AF667" t="s">
        <v>29</v>
      </c>
      <c r="AG667" t="s">
        <v>30</v>
      </c>
      <c r="AH667" t="s">
        <v>31</v>
      </c>
      <c r="AK667" t="s">
        <v>4703</v>
      </c>
      <c r="AL667" t="s">
        <v>1967</v>
      </c>
      <c r="AM667" t="s">
        <v>4676</v>
      </c>
      <c r="AN667" s="8">
        <v>4.94775</v>
      </c>
      <c r="AO667">
        <v>199.694880401046</v>
      </c>
      <c r="AP667">
        <v>1952</v>
      </c>
      <c r="AQ667" s="9">
        <v>0.387</v>
      </c>
      <c r="AR667" t="s">
        <v>1253</v>
      </c>
      <c r="AT667" s="15" t="s">
        <v>54</v>
      </c>
      <c r="AW667" s="11" t="str">
        <f t="shared" si="73"/>
        <v>EN_WOF_39_c02_MOZ</v>
      </c>
      <c r="AX667" s="11">
        <f t="shared" si="74"/>
        <v>1952</v>
      </c>
      <c r="AY667" s="11">
        <f t="shared" si="75"/>
        <v>1952</v>
      </c>
      <c r="AZ667" s="17">
        <v>3</v>
      </c>
      <c r="BA667">
        <f t="shared" si="76"/>
        <v>19.52</v>
      </c>
    </row>
    <row r="668" spans="2:53">
      <c r="B668" t="s">
        <v>26</v>
      </c>
      <c r="C668" t="s">
        <v>4705</v>
      </c>
      <c r="D668" t="s">
        <v>4706</v>
      </c>
      <c r="E668" t="s">
        <v>29</v>
      </c>
      <c r="F668" t="s">
        <v>30</v>
      </c>
      <c r="G668" t="s">
        <v>31</v>
      </c>
      <c r="J668" t="s">
        <v>4705</v>
      </c>
      <c r="K668" t="s">
        <v>1967</v>
      </c>
      <c r="L668" t="s">
        <v>3194</v>
      </c>
      <c r="M668" s="8">
        <v>0.07875</v>
      </c>
      <c r="N668">
        <v>105.747516212372</v>
      </c>
      <c r="O668">
        <v>1910</v>
      </c>
      <c r="P668" s="9">
        <v>0.316</v>
      </c>
      <c r="Q668" t="s">
        <v>588</v>
      </c>
      <c r="T668" s="15" t="s">
        <v>89</v>
      </c>
      <c r="W668" s="16" t="str">
        <f t="shared" si="70"/>
        <v>EN_WON_32_c03_DOM</v>
      </c>
      <c r="X668" s="12">
        <f t="shared" si="71"/>
        <v>1910</v>
      </c>
      <c r="Y668" s="11">
        <f t="shared" si="72"/>
        <v>1910</v>
      </c>
      <c r="AC668" t="s">
        <v>26</v>
      </c>
      <c r="AD668" t="s">
        <v>4707</v>
      </c>
      <c r="AE668" t="s">
        <v>4708</v>
      </c>
      <c r="AF668" t="s">
        <v>29</v>
      </c>
      <c r="AG668" t="s">
        <v>30</v>
      </c>
      <c r="AH668" t="s">
        <v>31</v>
      </c>
      <c r="AK668" t="s">
        <v>4707</v>
      </c>
      <c r="AL668" t="s">
        <v>1967</v>
      </c>
      <c r="AM668" t="s">
        <v>4709</v>
      </c>
      <c r="AN668" s="8">
        <v>1.01775</v>
      </c>
      <c r="AO668">
        <v>199.694880401046</v>
      </c>
      <c r="AP668">
        <v>1952</v>
      </c>
      <c r="AQ668" s="9">
        <v>0.382</v>
      </c>
      <c r="AR668" t="s">
        <v>1273</v>
      </c>
      <c r="AT668" s="15" t="s">
        <v>54</v>
      </c>
      <c r="AW668" s="11" t="str">
        <f t="shared" si="73"/>
        <v>EN_WOF_38_c02_MRT</v>
      </c>
      <c r="AX668" s="11">
        <f t="shared" si="74"/>
        <v>1952</v>
      </c>
      <c r="AY668" s="11">
        <f t="shared" si="75"/>
        <v>1952</v>
      </c>
      <c r="AZ668" s="17">
        <v>3</v>
      </c>
      <c r="BA668">
        <f t="shared" si="76"/>
        <v>19.52</v>
      </c>
    </row>
    <row r="669" spans="2:53">
      <c r="B669" t="s">
        <v>26</v>
      </c>
      <c r="C669" t="s">
        <v>4710</v>
      </c>
      <c r="D669" t="s">
        <v>4711</v>
      </c>
      <c r="E669" t="s">
        <v>29</v>
      </c>
      <c r="F669" t="s">
        <v>30</v>
      </c>
      <c r="G669" t="s">
        <v>31</v>
      </c>
      <c r="J669" t="s">
        <v>4710</v>
      </c>
      <c r="K669" t="s">
        <v>1967</v>
      </c>
      <c r="L669" t="s">
        <v>3251</v>
      </c>
      <c r="M669" s="8">
        <v>35.46525</v>
      </c>
      <c r="N669">
        <v>0</v>
      </c>
      <c r="O669">
        <v>1514</v>
      </c>
      <c r="P669" s="9">
        <v>0.440327024340728</v>
      </c>
      <c r="Q669" t="s">
        <v>600</v>
      </c>
      <c r="T669" s="15" t="s">
        <v>80</v>
      </c>
      <c r="W669" s="16" t="str">
        <f t="shared" si="70"/>
        <v>EN_WON_44_c01_DZA</v>
      </c>
      <c r="X669" s="12">
        <f t="shared" si="71"/>
        <v>1514</v>
      </c>
      <c r="Y669" s="11">
        <f t="shared" si="72"/>
        <v>1514</v>
      </c>
      <c r="AC669" t="s">
        <v>26</v>
      </c>
      <c r="AD669" t="s">
        <v>4712</v>
      </c>
      <c r="AE669" t="s">
        <v>4713</v>
      </c>
      <c r="AF669" t="s">
        <v>29</v>
      </c>
      <c r="AG669" t="s">
        <v>30</v>
      </c>
      <c r="AH669" t="s">
        <v>31</v>
      </c>
      <c r="AK669" t="s">
        <v>4712</v>
      </c>
      <c r="AL669" t="s">
        <v>1967</v>
      </c>
      <c r="AM669" t="s">
        <v>4709</v>
      </c>
      <c r="AN669" s="8">
        <v>3.7395</v>
      </c>
      <c r="AO669">
        <v>199.694880401046</v>
      </c>
      <c r="AP669">
        <v>1952</v>
      </c>
      <c r="AQ669" s="9">
        <v>0.385</v>
      </c>
      <c r="AR669" t="s">
        <v>1273</v>
      </c>
      <c r="AT669" s="15" t="s">
        <v>54</v>
      </c>
      <c r="AW669" s="11" t="str">
        <f t="shared" si="73"/>
        <v>EN_WOF_39_c02_MRT</v>
      </c>
      <c r="AX669" s="11">
        <f t="shared" si="74"/>
        <v>1952</v>
      </c>
      <c r="AY669" s="11">
        <f t="shared" si="75"/>
        <v>1952</v>
      </c>
      <c r="AZ669" s="17">
        <v>3</v>
      </c>
      <c r="BA669">
        <f t="shared" si="76"/>
        <v>19.52</v>
      </c>
    </row>
    <row r="670" spans="2:53">
      <c r="B670" t="s">
        <v>26</v>
      </c>
      <c r="C670" t="s">
        <v>4714</v>
      </c>
      <c r="D670" t="s">
        <v>4715</v>
      </c>
      <c r="E670" t="s">
        <v>29</v>
      </c>
      <c r="F670" t="s">
        <v>30</v>
      </c>
      <c r="G670" t="s">
        <v>31</v>
      </c>
      <c r="J670" t="s">
        <v>4714</v>
      </c>
      <c r="K670" t="s">
        <v>1967</v>
      </c>
      <c r="L670" t="s">
        <v>3251</v>
      </c>
      <c r="M670" s="8">
        <v>5.86875</v>
      </c>
      <c r="N670">
        <v>80.7856561622413</v>
      </c>
      <c r="O670">
        <v>1514</v>
      </c>
      <c r="P670" s="9">
        <v>0.439</v>
      </c>
      <c r="Q670" t="s">
        <v>600</v>
      </c>
      <c r="T670" s="15" t="s">
        <v>80</v>
      </c>
      <c r="W670" s="16" t="str">
        <f t="shared" si="70"/>
        <v>EN_WON_44_c02_DZA</v>
      </c>
      <c r="X670" s="12">
        <f t="shared" si="71"/>
        <v>1514</v>
      </c>
      <c r="Y670" s="11">
        <f t="shared" si="72"/>
        <v>1514</v>
      </c>
      <c r="AC670" t="s">
        <v>26</v>
      </c>
      <c r="AD670" t="s">
        <v>4716</v>
      </c>
      <c r="AE670" t="s">
        <v>4717</v>
      </c>
      <c r="AF670" t="s">
        <v>29</v>
      </c>
      <c r="AG670" t="s">
        <v>30</v>
      </c>
      <c r="AH670" t="s">
        <v>31</v>
      </c>
      <c r="AK670" t="s">
        <v>4716</v>
      </c>
      <c r="AL670" t="s">
        <v>1967</v>
      </c>
      <c r="AM670" t="s">
        <v>4709</v>
      </c>
      <c r="AN670" s="8">
        <v>3.873</v>
      </c>
      <c r="AO670">
        <v>199.694880401046</v>
      </c>
      <c r="AP670">
        <v>1952</v>
      </c>
      <c r="AQ670" s="9">
        <v>0.412</v>
      </c>
      <c r="AR670" t="s">
        <v>1273</v>
      </c>
      <c r="AT670" s="15" t="s">
        <v>54</v>
      </c>
      <c r="AW670" s="11" t="str">
        <f t="shared" si="73"/>
        <v>EN_WOF_41_c02_MRT</v>
      </c>
      <c r="AX670" s="11">
        <f t="shared" si="74"/>
        <v>1952</v>
      </c>
      <c r="AY670" s="11">
        <f t="shared" si="75"/>
        <v>1952</v>
      </c>
      <c r="AZ670" s="17">
        <v>3</v>
      </c>
      <c r="BA670">
        <f t="shared" si="76"/>
        <v>19.52</v>
      </c>
    </row>
    <row r="671" spans="2:53">
      <c r="B671" t="s">
        <v>26</v>
      </c>
      <c r="C671" t="s">
        <v>4718</v>
      </c>
      <c r="D671" t="s">
        <v>4719</v>
      </c>
      <c r="E671" t="s">
        <v>29</v>
      </c>
      <c r="F671" t="s">
        <v>30</v>
      </c>
      <c r="G671" t="s">
        <v>31</v>
      </c>
      <c r="J671" t="s">
        <v>4718</v>
      </c>
      <c r="K671" t="s">
        <v>1967</v>
      </c>
      <c r="L671" t="s">
        <v>3251</v>
      </c>
      <c r="M671" s="8">
        <v>5.934</v>
      </c>
      <c r="N671">
        <v>105.747516212372</v>
      </c>
      <c r="O671">
        <v>1514</v>
      </c>
      <c r="P671" s="9">
        <v>0.435</v>
      </c>
      <c r="Q671" t="s">
        <v>600</v>
      </c>
      <c r="T671" s="15" t="s">
        <v>80</v>
      </c>
      <c r="W671" s="16" t="str">
        <f t="shared" si="70"/>
        <v>EN_WON_44_c03_DZA</v>
      </c>
      <c r="X671" s="12">
        <f t="shared" si="71"/>
        <v>1514</v>
      </c>
      <c r="Y671" s="11">
        <f t="shared" si="72"/>
        <v>1514</v>
      </c>
      <c r="AC671" t="s">
        <v>26</v>
      </c>
      <c r="AD671" t="s">
        <v>4720</v>
      </c>
      <c r="AE671" t="s">
        <v>4721</v>
      </c>
      <c r="AF671" t="s">
        <v>29</v>
      </c>
      <c r="AG671" t="s">
        <v>30</v>
      </c>
      <c r="AH671" t="s">
        <v>31</v>
      </c>
      <c r="AK671" t="s">
        <v>4720</v>
      </c>
      <c r="AL671" t="s">
        <v>1967</v>
      </c>
      <c r="AM671" t="s">
        <v>4709</v>
      </c>
      <c r="AN671" s="8">
        <v>4.4655</v>
      </c>
      <c r="AO671">
        <v>199.694880401046</v>
      </c>
      <c r="AP671">
        <v>1952</v>
      </c>
      <c r="AQ671" s="9">
        <v>0.451</v>
      </c>
      <c r="AR671" t="s">
        <v>1273</v>
      </c>
      <c r="AT671" s="15" t="s">
        <v>54</v>
      </c>
      <c r="AW671" s="11" t="str">
        <f t="shared" si="73"/>
        <v>EN_WOF_45_c02_MRT</v>
      </c>
      <c r="AX671" s="11">
        <f t="shared" si="74"/>
        <v>1952</v>
      </c>
      <c r="AY671" s="11">
        <f t="shared" si="75"/>
        <v>1952</v>
      </c>
      <c r="AZ671" s="17">
        <v>3</v>
      </c>
      <c r="BA671">
        <f t="shared" si="76"/>
        <v>19.52</v>
      </c>
    </row>
    <row r="672" spans="2:53">
      <c r="B672" t="s">
        <v>26</v>
      </c>
      <c r="C672" t="s">
        <v>4722</v>
      </c>
      <c r="D672" t="s">
        <v>4723</v>
      </c>
      <c r="E672" t="s">
        <v>29</v>
      </c>
      <c r="F672" t="s">
        <v>30</v>
      </c>
      <c r="G672" t="s">
        <v>31</v>
      </c>
      <c r="J672" t="s">
        <v>4722</v>
      </c>
      <c r="K672" t="s">
        <v>1967</v>
      </c>
      <c r="L672" t="s">
        <v>3251</v>
      </c>
      <c r="M672" s="8">
        <v>28.97175</v>
      </c>
      <c r="N672">
        <v>0</v>
      </c>
      <c r="O672">
        <v>1514</v>
      </c>
      <c r="P672" s="9">
        <v>0.449625022651376</v>
      </c>
      <c r="Q672" t="s">
        <v>600</v>
      </c>
      <c r="T672" s="15" t="s">
        <v>80</v>
      </c>
      <c r="W672" s="16" t="str">
        <f t="shared" si="70"/>
        <v>EN_WON_45_c01_DZA</v>
      </c>
      <c r="X672" s="12">
        <f t="shared" si="71"/>
        <v>1514</v>
      </c>
      <c r="Y672" s="11">
        <f t="shared" si="72"/>
        <v>1514</v>
      </c>
      <c r="AC672" t="s">
        <v>26</v>
      </c>
      <c r="AD672" t="s">
        <v>4724</v>
      </c>
      <c r="AE672" t="s">
        <v>4725</v>
      </c>
      <c r="AF672" t="s">
        <v>29</v>
      </c>
      <c r="AG672" t="s">
        <v>30</v>
      </c>
      <c r="AH672" t="s">
        <v>31</v>
      </c>
      <c r="AK672" t="s">
        <v>4724</v>
      </c>
      <c r="AL672" t="s">
        <v>1967</v>
      </c>
      <c r="AM672" t="s">
        <v>4709</v>
      </c>
      <c r="AN672" s="8">
        <v>0.5895</v>
      </c>
      <c r="AO672">
        <v>199.694880401046</v>
      </c>
      <c r="AP672">
        <v>1952</v>
      </c>
      <c r="AQ672" s="9">
        <v>0.462</v>
      </c>
      <c r="AR672" t="s">
        <v>1273</v>
      </c>
      <c r="AT672" s="15" t="s">
        <v>54</v>
      </c>
      <c r="AW672" s="11" t="str">
        <f t="shared" si="73"/>
        <v>EN_WOF_46_c02_MRT</v>
      </c>
      <c r="AX672" s="11">
        <f t="shared" si="74"/>
        <v>1952</v>
      </c>
      <c r="AY672" s="11">
        <f t="shared" si="75"/>
        <v>1952</v>
      </c>
      <c r="AZ672" s="17">
        <v>3</v>
      </c>
      <c r="BA672">
        <f t="shared" si="76"/>
        <v>19.52</v>
      </c>
    </row>
    <row r="673" spans="2:53">
      <c r="B673" t="s">
        <v>26</v>
      </c>
      <c r="C673" t="s">
        <v>4726</v>
      </c>
      <c r="D673" t="s">
        <v>4727</v>
      </c>
      <c r="E673" t="s">
        <v>29</v>
      </c>
      <c r="F673" t="s">
        <v>30</v>
      </c>
      <c r="G673" t="s">
        <v>31</v>
      </c>
      <c r="J673" t="s">
        <v>4726</v>
      </c>
      <c r="K673" t="s">
        <v>1967</v>
      </c>
      <c r="L673" t="s">
        <v>3251</v>
      </c>
      <c r="M673" s="8">
        <v>23.562</v>
      </c>
      <c r="N673">
        <v>0</v>
      </c>
      <c r="O673">
        <v>1514</v>
      </c>
      <c r="P673" s="9">
        <v>0.460507257448434</v>
      </c>
      <c r="Q673" t="s">
        <v>600</v>
      </c>
      <c r="T673" s="15" t="s">
        <v>80</v>
      </c>
      <c r="W673" s="16" t="str">
        <f t="shared" si="70"/>
        <v>EN_WON_46_c01_DZA</v>
      </c>
      <c r="X673" s="12">
        <f t="shared" si="71"/>
        <v>1514</v>
      </c>
      <c r="Y673" s="11">
        <f t="shared" si="72"/>
        <v>1514</v>
      </c>
      <c r="AC673" t="s">
        <v>26</v>
      </c>
      <c r="AD673" t="s">
        <v>4728</v>
      </c>
      <c r="AE673" t="s">
        <v>4729</v>
      </c>
      <c r="AF673" t="s">
        <v>29</v>
      </c>
      <c r="AG673" t="s">
        <v>30</v>
      </c>
      <c r="AH673" t="s">
        <v>31</v>
      </c>
      <c r="AK673" t="s">
        <v>4728</v>
      </c>
      <c r="AL673" t="s">
        <v>1967</v>
      </c>
      <c r="AM673" t="s">
        <v>4709</v>
      </c>
      <c r="AN673" s="8">
        <v>4.33275</v>
      </c>
      <c r="AO673">
        <v>199.694880401046</v>
      </c>
      <c r="AP673">
        <v>1952</v>
      </c>
      <c r="AQ673" s="9">
        <v>0.473</v>
      </c>
      <c r="AR673" t="s">
        <v>1273</v>
      </c>
      <c r="AT673" s="15" t="s">
        <v>54</v>
      </c>
      <c r="AW673" s="11" t="str">
        <f t="shared" si="73"/>
        <v>EN_WOF_47_c02_MRT</v>
      </c>
      <c r="AX673" s="11">
        <f t="shared" si="74"/>
        <v>1952</v>
      </c>
      <c r="AY673" s="11">
        <f t="shared" si="75"/>
        <v>1952</v>
      </c>
      <c r="AZ673" s="17">
        <v>3</v>
      </c>
      <c r="BA673">
        <f t="shared" si="76"/>
        <v>19.52</v>
      </c>
    </row>
    <row r="674" spans="2:53">
      <c r="B674" t="s">
        <v>26</v>
      </c>
      <c r="C674" t="s">
        <v>4730</v>
      </c>
      <c r="D674" t="s">
        <v>4731</v>
      </c>
      <c r="E674" t="s">
        <v>29</v>
      </c>
      <c r="F674" t="s">
        <v>30</v>
      </c>
      <c r="G674" t="s">
        <v>31</v>
      </c>
      <c r="J674" t="s">
        <v>4730</v>
      </c>
      <c r="K674" t="s">
        <v>1967</v>
      </c>
      <c r="L674" t="s">
        <v>3251</v>
      </c>
      <c r="M674" s="8">
        <v>11.94075</v>
      </c>
      <c r="N674">
        <v>80.7856561622413</v>
      </c>
      <c r="O674">
        <v>1514</v>
      </c>
      <c r="P674" s="9">
        <v>0.458978142076503</v>
      </c>
      <c r="Q674" t="s">
        <v>600</v>
      </c>
      <c r="T674" s="15" t="s">
        <v>80</v>
      </c>
      <c r="W674" s="16" t="str">
        <f t="shared" si="70"/>
        <v>EN_WON_46_c02_DZA</v>
      </c>
      <c r="X674" s="12">
        <f t="shared" si="71"/>
        <v>1514</v>
      </c>
      <c r="Y674" s="11">
        <f t="shared" si="72"/>
        <v>1514</v>
      </c>
      <c r="AC674" t="s">
        <v>26</v>
      </c>
      <c r="AD674" t="s">
        <v>4732</v>
      </c>
      <c r="AE674" t="s">
        <v>4733</v>
      </c>
      <c r="AF674" t="s">
        <v>29</v>
      </c>
      <c r="AG674" t="s">
        <v>30</v>
      </c>
      <c r="AH674" t="s">
        <v>31</v>
      </c>
      <c r="AK674" t="s">
        <v>4732</v>
      </c>
      <c r="AL674" t="s">
        <v>1967</v>
      </c>
      <c r="AM674" t="s">
        <v>4709</v>
      </c>
      <c r="AN674" s="8">
        <v>2.652</v>
      </c>
      <c r="AO674">
        <v>199.694880401046</v>
      </c>
      <c r="AP674">
        <v>1952</v>
      </c>
      <c r="AQ674" s="9">
        <v>0.481</v>
      </c>
      <c r="AR674" t="s">
        <v>1273</v>
      </c>
      <c r="AT674" s="15" t="s">
        <v>54</v>
      </c>
      <c r="AW674" s="11" t="str">
        <f t="shared" si="73"/>
        <v>EN_WOF_48_c02_MRT</v>
      </c>
      <c r="AX674" s="11">
        <f t="shared" si="74"/>
        <v>1952</v>
      </c>
      <c r="AY674" s="11">
        <f t="shared" si="75"/>
        <v>1952</v>
      </c>
      <c r="AZ674" s="17">
        <v>3</v>
      </c>
      <c r="BA674">
        <f t="shared" si="76"/>
        <v>19.52</v>
      </c>
    </row>
    <row r="675" spans="2:53">
      <c r="B675" t="s">
        <v>26</v>
      </c>
      <c r="C675" t="s">
        <v>4734</v>
      </c>
      <c r="D675" t="s">
        <v>4735</v>
      </c>
      <c r="E675" t="s">
        <v>29</v>
      </c>
      <c r="F675" t="s">
        <v>30</v>
      </c>
      <c r="G675" t="s">
        <v>31</v>
      </c>
      <c r="J675" t="s">
        <v>4734</v>
      </c>
      <c r="K675" t="s">
        <v>1967</v>
      </c>
      <c r="L675" t="s">
        <v>3251</v>
      </c>
      <c r="M675" s="8">
        <v>22.05675</v>
      </c>
      <c r="N675">
        <v>0</v>
      </c>
      <c r="O675">
        <v>1514</v>
      </c>
      <c r="P675" s="9">
        <v>0.467138631031317</v>
      </c>
      <c r="Q675" t="s">
        <v>600</v>
      </c>
      <c r="T675" s="15" t="s">
        <v>80</v>
      </c>
      <c r="W675" s="16" t="str">
        <f t="shared" si="70"/>
        <v>EN_WON_47_c01_DZA</v>
      </c>
      <c r="X675" s="12">
        <f t="shared" si="71"/>
        <v>1514</v>
      </c>
      <c r="Y675" s="11">
        <f t="shared" si="72"/>
        <v>1514</v>
      </c>
      <c r="AC675" t="s">
        <v>26</v>
      </c>
      <c r="AD675" t="s">
        <v>4736</v>
      </c>
      <c r="AE675" t="s">
        <v>4737</v>
      </c>
      <c r="AF675" t="s">
        <v>29</v>
      </c>
      <c r="AG675" t="s">
        <v>30</v>
      </c>
      <c r="AH675" t="s">
        <v>31</v>
      </c>
      <c r="AK675" t="s">
        <v>4736</v>
      </c>
      <c r="AL675" t="s">
        <v>1967</v>
      </c>
      <c r="AM675" t="s">
        <v>4709</v>
      </c>
      <c r="AN675" s="8">
        <v>3.59775</v>
      </c>
      <c r="AO675">
        <v>199.694880401046</v>
      </c>
      <c r="AP675">
        <v>1952</v>
      </c>
      <c r="AQ675" s="9">
        <v>0.494</v>
      </c>
      <c r="AR675" t="s">
        <v>1273</v>
      </c>
      <c r="AT675" s="15" t="s">
        <v>54</v>
      </c>
      <c r="AW675" s="11" t="str">
        <f t="shared" si="73"/>
        <v>EN_WOF_49_c02_MRT</v>
      </c>
      <c r="AX675" s="11">
        <f t="shared" si="74"/>
        <v>1952</v>
      </c>
      <c r="AY675" s="11">
        <f t="shared" si="75"/>
        <v>1952</v>
      </c>
      <c r="AZ675" s="17">
        <v>3</v>
      </c>
      <c r="BA675">
        <f t="shared" si="76"/>
        <v>19.52</v>
      </c>
    </row>
    <row r="676" spans="2:53">
      <c r="B676" t="s">
        <v>26</v>
      </c>
      <c r="C676" t="s">
        <v>4738</v>
      </c>
      <c r="D676" t="s">
        <v>4739</v>
      </c>
      <c r="E676" t="s">
        <v>29</v>
      </c>
      <c r="F676" t="s">
        <v>30</v>
      </c>
      <c r="G676" t="s">
        <v>31</v>
      </c>
      <c r="J676" t="s">
        <v>4738</v>
      </c>
      <c r="K676" t="s">
        <v>1967</v>
      </c>
      <c r="L676" t="s">
        <v>3251</v>
      </c>
      <c r="M676" s="8">
        <v>5.934</v>
      </c>
      <c r="N676">
        <v>80.7856561622413</v>
      </c>
      <c r="O676">
        <v>1514</v>
      </c>
      <c r="P676" s="9">
        <v>0.468</v>
      </c>
      <c r="Q676" t="s">
        <v>600</v>
      </c>
      <c r="T676" s="15" t="s">
        <v>80</v>
      </c>
      <c r="W676" s="16" t="str">
        <f t="shared" si="70"/>
        <v>EN_WON_47_c02_DZA</v>
      </c>
      <c r="X676" s="12">
        <f t="shared" si="71"/>
        <v>1514</v>
      </c>
      <c r="Y676" s="11">
        <f t="shared" si="72"/>
        <v>1514</v>
      </c>
      <c r="AC676" t="s">
        <v>26</v>
      </c>
      <c r="AD676" t="s">
        <v>4740</v>
      </c>
      <c r="AE676" t="s">
        <v>4741</v>
      </c>
      <c r="AF676" t="s">
        <v>29</v>
      </c>
      <c r="AG676" t="s">
        <v>30</v>
      </c>
      <c r="AH676" t="s">
        <v>31</v>
      </c>
      <c r="AK676" t="s">
        <v>4740</v>
      </c>
      <c r="AL676" t="s">
        <v>1967</v>
      </c>
      <c r="AM676" t="s">
        <v>4709</v>
      </c>
      <c r="AN676" s="8">
        <v>3.162</v>
      </c>
      <c r="AO676">
        <v>199.694880401046</v>
      </c>
      <c r="AP676">
        <v>1952</v>
      </c>
      <c r="AQ676" s="9">
        <v>0.502</v>
      </c>
      <c r="AR676" t="s">
        <v>1273</v>
      </c>
      <c r="AT676" s="15" t="s">
        <v>54</v>
      </c>
      <c r="AW676" s="11" t="str">
        <f t="shared" si="73"/>
        <v>EN_WOF_50_c02_MRT</v>
      </c>
      <c r="AX676" s="11">
        <f t="shared" si="74"/>
        <v>1952</v>
      </c>
      <c r="AY676" s="11">
        <f t="shared" si="75"/>
        <v>1952</v>
      </c>
      <c r="AZ676" s="17">
        <v>3</v>
      </c>
      <c r="BA676">
        <f t="shared" si="76"/>
        <v>19.52</v>
      </c>
    </row>
    <row r="677" spans="2:53">
      <c r="B677" t="s">
        <v>26</v>
      </c>
      <c r="C677" t="s">
        <v>4742</v>
      </c>
      <c r="D677" t="s">
        <v>4743</v>
      </c>
      <c r="E677" t="s">
        <v>29</v>
      </c>
      <c r="F677" t="s">
        <v>30</v>
      </c>
      <c r="G677" t="s">
        <v>31</v>
      </c>
      <c r="J677" t="s">
        <v>4742</v>
      </c>
      <c r="K677" t="s">
        <v>1967</v>
      </c>
      <c r="L677" t="s">
        <v>3251</v>
      </c>
      <c r="M677" s="8">
        <v>11.6685</v>
      </c>
      <c r="N677">
        <v>0</v>
      </c>
      <c r="O677">
        <v>1514</v>
      </c>
      <c r="P677" s="9">
        <v>0.47844465869649</v>
      </c>
      <c r="Q677" t="s">
        <v>600</v>
      </c>
      <c r="T677" s="15" t="s">
        <v>80</v>
      </c>
      <c r="W677" s="16" t="str">
        <f t="shared" si="70"/>
        <v>EN_WON_48_c01_DZA</v>
      </c>
      <c r="X677" s="12">
        <f t="shared" si="71"/>
        <v>1514</v>
      </c>
      <c r="Y677" s="11">
        <f t="shared" si="72"/>
        <v>1514</v>
      </c>
      <c r="AC677" t="s">
        <v>26</v>
      </c>
      <c r="AD677" t="s">
        <v>4744</v>
      </c>
      <c r="AE677" t="s">
        <v>4745</v>
      </c>
      <c r="AF677" t="s">
        <v>29</v>
      </c>
      <c r="AG677" t="s">
        <v>30</v>
      </c>
      <c r="AH677" t="s">
        <v>31</v>
      </c>
      <c r="AK677" t="s">
        <v>4744</v>
      </c>
      <c r="AL677" t="s">
        <v>1967</v>
      </c>
      <c r="AM677" t="s">
        <v>4709</v>
      </c>
      <c r="AN677" s="8">
        <v>5.829</v>
      </c>
      <c r="AO677">
        <v>199.694880401046</v>
      </c>
      <c r="AP677">
        <v>1952</v>
      </c>
      <c r="AQ677" s="9">
        <v>0.51856420483788</v>
      </c>
      <c r="AR677" t="s">
        <v>1273</v>
      </c>
      <c r="AT677" s="15" t="s">
        <v>54</v>
      </c>
      <c r="AW677" s="11" t="str">
        <f t="shared" si="73"/>
        <v>EN_WOF_52_c02_MRT</v>
      </c>
      <c r="AX677" s="11">
        <f t="shared" si="74"/>
        <v>1952</v>
      </c>
      <c r="AY677" s="11">
        <f t="shared" si="75"/>
        <v>1952</v>
      </c>
      <c r="AZ677" s="17">
        <v>3</v>
      </c>
      <c r="BA677">
        <f t="shared" si="76"/>
        <v>19.52</v>
      </c>
    </row>
    <row r="678" spans="2:53">
      <c r="B678" t="s">
        <v>26</v>
      </c>
      <c r="C678" t="s">
        <v>4746</v>
      </c>
      <c r="D678" t="s">
        <v>4747</v>
      </c>
      <c r="E678" t="s">
        <v>29</v>
      </c>
      <c r="F678" t="s">
        <v>30</v>
      </c>
      <c r="G678" t="s">
        <v>31</v>
      </c>
      <c r="J678" t="s">
        <v>4746</v>
      </c>
      <c r="K678" t="s">
        <v>1967</v>
      </c>
      <c r="L678" t="s">
        <v>3251</v>
      </c>
      <c r="M678" s="8">
        <v>5.90025</v>
      </c>
      <c r="N678">
        <v>0</v>
      </c>
      <c r="O678">
        <v>1514</v>
      </c>
      <c r="P678" s="9">
        <v>0.485</v>
      </c>
      <c r="Q678" t="s">
        <v>600</v>
      </c>
      <c r="T678" s="15" t="s">
        <v>80</v>
      </c>
      <c r="W678" s="16" t="str">
        <f t="shared" si="70"/>
        <v>EN_WON_49_c01_DZA</v>
      </c>
      <c r="X678" s="12">
        <f t="shared" si="71"/>
        <v>1514</v>
      </c>
      <c r="Y678" s="11">
        <f t="shared" si="72"/>
        <v>1514</v>
      </c>
      <c r="AC678" t="s">
        <v>26</v>
      </c>
      <c r="AD678" t="s">
        <v>4748</v>
      </c>
      <c r="AE678" t="s">
        <v>4749</v>
      </c>
      <c r="AF678" t="s">
        <v>29</v>
      </c>
      <c r="AG678" t="s">
        <v>30</v>
      </c>
      <c r="AH678" t="s">
        <v>31</v>
      </c>
      <c r="AK678" t="s">
        <v>4748</v>
      </c>
      <c r="AL678" t="s">
        <v>1967</v>
      </c>
      <c r="AM678" t="s">
        <v>4709</v>
      </c>
      <c r="AN678" s="8">
        <v>1.87125</v>
      </c>
      <c r="AO678">
        <v>199.694880401046</v>
      </c>
      <c r="AP678">
        <v>1952</v>
      </c>
      <c r="AQ678" s="9">
        <v>0.529</v>
      </c>
      <c r="AR678" t="s">
        <v>1273</v>
      </c>
      <c r="AT678" s="15" t="s">
        <v>54</v>
      </c>
      <c r="AW678" s="11" t="str">
        <f t="shared" si="73"/>
        <v>EN_WOF_53_c02_MRT</v>
      </c>
      <c r="AX678" s="11">
        <f t="shared" si="74"/>
        <v>1952</v>
      </c>
      <c r="AY678" s="11">
        <f t="shared" si="75"/>
        <v>1952</v>
      </c>
      <c r="AZ678" s="17">
        <v>3</v>
      </c>
      <c r="BA678">
        <f t="shared" si="76"/>
        <v>19.52</v>
      </c>
    </row>
    <row r="679" spans="2:53">
      <c r="B679" t="s">
        <v>26</v>
      </c>
      <c r="C679" t="s">
        <v>4750</v>
      </c>
      <c r="D679" t="s">
        <v>4751</v>
      </c>
      <c r="E679" t="s">
        <v>29</v>
      </c>
      <c r="F679" t="s">
        <v>30</v>
      </c>
      <c r="G679" t="s">
        <v>31</v>
      </c>
      <c r="J679" t="s">
        <v>4750</v>
      </c>
      <c r="K679" t="s">
        <v>1967</v>
      </c>
      <c r="L679" t="s">
        <v>3251</v>
      </c>
      <c r="M679" s="8">
        <v>5.8695</v>
      </c>
      <c r="N679">
        <v>80.7856561622413</v>
      </c>
      <c r="O679">
        <v>1514</v>
      </c>
      <c r="P679" s="9">
        <v>0.488</v>
      </c>
      <c r="Q679" t="s">
        <v>600</v>
      </c>
      <c r="T679" s="15" t="s">
        <v>80</v>
      </c>
      <c r="W679" s="16" t="str">
        <f t="shared" si="70"/>
        <v>EN_WON_49_c02_DZA</v>
      </c>
      <c r="X679" s="12">
        <f t="shared" si="71"/>
        <v>1514</v>
      </c>
      <c r="Y679" s="11">
        <f t="shared" si="72"/>
        <v>1514</v>
      </c>
      <c r="AC679" t="s">
        <v>26</v>
      </c>
      <c r="AD679" t="s">
        <v>4752</v>
      </c>
      <c r="AE679" t="s">
        <v>4753</v>
      </c>
      <c r="AF679" t="s">
        <v>29</v>
      </c>
      <c r="AG679" t="s">
        <v>30</v>
      </c>
      <c r="AH679" t="s">
        <v>31</v>
      </c>
      <c r="AK679" t="s">
        <v>4752</v>
      </c>
      <c r="AL679" t="s">
        <v>1967</v>
      </c>
      <c r="AM679" t="s">
        <v>4709</v>
      </c>
      <c r="AN679" s="8">
        <v>12.645</v>
      </c>
      <c r="AO679">
        <v>199.694880401046</v>
      </c>
      <c r="AP679">
        <v>1952</v>
      </c>
      <c r="AQ679" s="9">
        <v>0.537167259786477</v>
      </c>
      <c r="AR679" t="s">
        <v>1273</v>
      </c>
      <c r="AT679" s="15" t="s">
        <v>54</v>
      </c>
      <c r="AW679" s="11" t="str">
        <f t="shared" si="73"/>
        <v>EN_WOF_54_c02_MRT</v>
      </c>
      <c r="AX679" s="11">
        <f t="shared" si="74"/>
        <v>1952</v>
      </c>
      <c r="AY679" s="11">
        <f t="shared" si="75"/>
        <v>1952</v>
      </c>
      <c r="AZ679" s="17">
        <v>3</v>
      </c>
      <c r="BA679">
        <f t="shared" si="76"/>
        <v>19.52</v>
      </c>
    </row>
    <row r="680" spans="2:53">
      <c r="B680" t="s">
        <v>26</v>
      </c>
      <c r="C680" t="s">
        <v>4754</v>
      </c>
      <c r="D680" t="s">
        <v>4755</v>
      </c>
      <c r="E680" t="s">
        <v>29</v>
      </c>
      <c r="F680" t="s">
        <v>30</v>
      </c>
      <c r="G680" t="s">
        <v>31</v>
      </c>
      <c r="J680" t="s">
        <v>4754</v>
      </c>
      <c r="K680" t="s">
        <v>1967</v>
      </c>
      <c r="L680" t="s">
        <v>4756</v>
      </c>
      <c r="M680" s="8">
        <v>0.147</v>
      </c>
      <c r="N680">
        <v>145.23264029167</v>
      </c>
      <c r="O680">
        <v>1575</v>
      </c>
      <c r="P680" s="9">
        <v>0.154</v>
      </c>
      <c r="Q680" t="s">
        <v>612</v>
      </c>
      <c r="T680" s="15" t="s">
        <v>89</v>
      </c>
      <c r="W680" s="16" t="str">
        <f t="shared" si="70"/>
        <v>EN_WON_15_c04_ECU</v>
      </c>
      <c r="X680" s="12">
        <f t="shared" si="71"/>
        <v>1575</v>
      </c>
      <c r="Y680" s="11">
        <f t="shared" si="72"/>
        <v>1575</v>
      </c>
      <c r="AC680" t="s">
        <v>26</v>
      </c>
      <c r="AD680" t="s">
        <v>4757</v>
      </c>
      <c r="AE680" t="s">
        <v>4758</v>
      </c>
      <c r="AF680" t="s">
        <v>29</v>
      </c>
      <c r="AG680" t="s">
        <v>30</v>
      </c>
      <c r="AH680" t="s">
        <v>31</v>
      </c>
      <c r="AK680" t="s">
        <v>4757</v>
      </c>
      <c r="AL680" t="s">
        <v>1967</v>
      </c>
      <c r="AM680" t="s">
        <v>4709</v>
      </c>
      <c r="AN680" s="8">
        <v>4.72425</v>
      </c>
      <c r="AO680">
        <v>199.694880401046</v>
      </c>
      <c r="AP680">
        <v>1952</v>
      </c>
      <c r="AQ680" s="9">
        <v>0.548651690744563</v>
      </c>
      <c r="AR680" t="s">
        <v>1273</v>
      </c>
      <c r="AT680" s="15" t="s">
        <v>54</v>
      </c>
      <c r="AW680" s="11" t="str">
        <f t="shared" si="73"/>
        <v>EN_WOF_55_c02_MRT</v>
      </c>
      <c r="AX680" s="11">
        <f t="shared" si="74"/>
        <v>1952</v>
      </c>
      <c r="AY680" s="11">
        <f t="shared" si="75"/>
        <v>1952</v>
      </c>
      <c r="AZ680" s="17">
        <v>3</v>
      </c>
      <c r="BA680">
        <f t="shared" si="76"/>
        <v>19.52</v>
      </c>
    </row>
    <row r="681" spans="2:53">
      <c r="B681" t="s">
        <v>26</v>
      </c>
      <c r="C681" t="s">
        <v>4759</v>
      </c>
      <c r="D681" t="s">
        <v>4760</v>
      </c>
      <c r="E681" t="s">
        <v>29</v>
      </c>
      <c r="F681" t="s">
        <v>30</v>
      </c>
      <c r="G681" t="s">
        <v>31</v>
      </c>
      <c r="J681" t="s">
        <v>4759</v>
      </c>
      <c r="K681" t="s">
        <v>1967</v>
      </c>
      <c r="L681" t="s">
        <v>4756</v>
      </c>
      <c r="M681" s="8">
        <v>6.5325</v>
      </c>
      <c r="N681">
        <v>145.23264029167</v>
      </c>
      <c r="O681">
        <v>1575</v>
      </c>
      <c r="P681" s="9">
        <v>0.157838346727899</v>
      </c>
      <c r="Q681" t="s">
        <v>612</v>
      </c>
      <c r="T681" s="15" t="s">
        <v>89</v>
      </c>
      <c r="W681" s="16" t="str">
        <f t="shared" si="70"/>
        <v>EN_WON_16_c04_ECU</v>
      </c>
      <c r="X681" s="12">
        <f t="shared" si="71"/>
        <v>1575</v>
      </c>
      <c r="Y681" s="11">
        <f t="shared" si="72"/>
        <v>1575</v>
      </c>
      <c r="AC681" t="s">
        <v>26</v>
      </c>
      <c r="AD681" t="s">
        <v>4761</v>
      </c>
      <c r="AE681" t="s">
        <v>4762</v>
      </c>
      <c r="AF681" t="s">
        <v>29</v>
      </c>
      <c r="AG681" t="s">
        <v>30</v>
      </c>
      <c r="AH681" t="s">
        <v>31</v>
      </c>
      <c r="AK681" t="s">
        <v>4761</v>
      </c>
      <c r="AL681" t="s">
        <v>1967</v>
      </c>
      <c r="AM681" t="s">
        <v>4709</v>
      </c>
      <c r="AN681" s="8">
        <v>5.08575</v>
      </c>
      <c r="AO681">
        <v>199.694880401046</v>
      </c>
      <c r="AP681">
        <v>1952</v>
      </c>
      <c r="AQ681" s="9">
        <v>0.579254092316767</v>
      </c>
      <c r="AR681" t="s">
        <v>1273</v>
      </c>
      <c r="AT681" s="15" t="s">
        <v>54</v>
      </c>
      <c r="AW681" s="11" t="str">
        <f t="shared" si="73"/>
        <v>EN_WOF_58_c02_MRT</v>
      </c>
      <c r="AX681" s="11">
        <f t="shared" si="74"/>
        <v>1952</v>
      </c>
      <c r="AY681" s="11">
        <f t="shared" si="75"/>
        <v>1952</v>
      </c>
      <c r="AZ681" s="17">
        <v>3</v>
      </c>
      <c r="BA681">
        <f t="shared" si="76"/>
        <v>19.52</v>
      </c>
    </row>
    <row r="682" spans="2:53">
      <c r="B682" t="s">
        <v>26</v>
      </c>
      <c r="C682" t="s">
        <v>4763</v>
      </c>
      <c r="D682" t="s">
        <v>4764</v>
      </c>
      <c r="E682" t="s">
        <v>29</v>
      </c>
      <c r="F682" t="s">
        <v>30</v>
      </c>
      <c r="G682" t="s">
        <v>31</v>
      </c>
      <c r="J682" t="s">
        <v>4763</v>
      </c>
      <c r="K682" t="s">
        <v>1967</v>
      </c>
      <c r="L682" t="s">
        <v>4756</v>
      </c>
      <c r="M682" s="8">
        <v>2.316</v>
      </c>
      <c r="N682">
        <v>145.23264029167</v>
      </c>
      <c r="O682">
        <v>1575</v>
      </c>
      <c r="P682" s="9">
        <v>0.168083549222798</v>
      </c>
      <c r="Q682" t="s">
        <v>612</v>
      </c>
      <c r="T682" s="15" t="s">
        <v>89</v>
      </c>
      <c r="W682" s="16" t="str">
        <f t="shared" si="70"/>
        <v>EN_WON_17_c04_ECU</v>
      </c>
      <c r="X682" s="12">
        <f t="shared" si="71"/>
        <v>1575</v>
      </c>
      <c r="Y682" s="11">
        <f t="shared" si="72"/>
        <v>1575</v>
      </c>
      <c r="AC682" t="s">
        <v>26</v>
      </c>
      <c r="AD682" t="s">
        <v>4765</v>
      </c>
      <c r="AE682" t="s">
        <v>4766</v>
      </c>
      <c r="AF682" t="s">
        <v>29</v>
      </c>
      <c r="AG682" t="s">
        <v>30</v>
      </c>
      <c r="AH682" t="s">
        <v>31</v>
      </c>
      <c r="AK682" t="s">
        <v>4765</v>
      </c>
      <c r="AL682" t="s">
        <v>1967</v>
      </c>
      <c r="AM682" t="s">
        <v>4709</v>
      </c>
      <c r="AN682" s="8">
        <v>5.70975</v>
      </c>
      <c r="AO682">
        <v>199.694880401046</v>
      </c>
      <c r="AP682">
        <v>1952</v>
      </c>
      <c r="AQ682" s="9">
        <v>0.603</v>
      </c>
      <c r="AR682" t="s">
        <v>1273</v>
      </c>
      <c r="AT682" s="15" t="s">
        <v>54</v>
      </c>
      <c r="AW682" s="11" t="str">
        <f t="shared" si="73"/>
        <v>EN_WOF_60_c02_MRT</v>
      </c>
      <c r="AX682" s="11">
        <f t="shared" si="74"/>
        <v>1952</v>
      </c>
      <c r="AY682" s="11">
        <f t="shared" si="75"/>
        <v>1952</v>
      </c>
      <c r="AZ682" s="17">
        <v>3</v>
      </c>
      <c r="BA682">
        <f t="shared" si="76"/>
        <v>19.52</v>
      </c>
    </row>
    <row r="683" spans="2:53">
      <c r="B683" t="s">
        <v>26</v>
      </c>
      <c r="C683" t="s">
        <v>4767</v>
      </c>
      <c r="D683" t="s">
        <v>4768</v>
      </c>
      <c r="E683" t="s">
        <v>29</v>
      </c>
      <c r="F683" t="s">
        <v>30</v>
      </c>
      <c r="G683" t="s">
        <v>31</v>
      </c>
      <c r="J683" t="s">
        <v>4767</v>
      </c>
      <c r="K683" t="s">
        <v>1967</v>
      </c>
      <c r="L683" t="s">
        <v>4756</v>
      </c>
      <c r="M683" s="8">
        <v>2.04375</v>
      </c>
      <c r="N683">
        <v>145.23264029167</v>
      </c>
      <c r="O683">
        <v>1575</v>
      </c>
      <c r="P683" s="9">
        <v>0.178037064220184</v>
      </c>
      <c r="Q683" t="s">
        <v>612</v>
      </c>
      <c r="T683" s="15" t="s">
        <v>89</v>
      </c>
      <c r="W683" s="16" t="str">
        <f t="shared" si="70"/>
        <v>EN_WON_18_c04_ECU</v>
      </c>
      <c r="X683" s="12">
        <f t="shared" si="71"/>
        <v>1575</v>
      </c>
      <c r="Y683" s="11">
        <f t="shared" si="72"/>
        <v>1575</v>
      </c>
      <c r="AC683" t="s">
        <v>26</v>
      </c>
      <c r="AD683" t="s">
        <v>4769</v>
      </c>
      <c r="AE683" t="s">
        <v>4770</v>
      </c>
      <c r="AF683" t="s">
        <v>29</v>
      </c>
      <c r="AG683" t="s">
        <v>30</v>
      </c>
      <c r="AH683" t="s">
        <v>31</v>
      </c>
      <c r="AK683" t="s">
        <v>4769</v>
      </c>
      <c r="AL683" t="s">
        <v>1967</v>
      </c>
      <c r="AM683" t="s">
        <v>4709</v>
      </c>
      <c r="AN683" s="8">
        <v>0.57075</v>
      </c>
      <c r="AO683">
        <v>199.694880401046</v>
      </c>
      <c r="AP683">
        <v>1952</v>
      </c>
      <c r="AQ683" s="9">
        <v>0.622</v>
      </c>
      <c r="AR683" t="s">
        <v>1273</v>
      </c>
      <c r="AT683" s="15" t="s">
        <v>54</v>
      </c>
      <c r="AW683" s="11" t="str">
        <f t="shared" si="73"/>
        <v>EN_WOF_62_c02_MRT</v>
      </c>
      <c r="AX683" s="11">
        <f t="shared" si="74"/>
        <v>1952</v>
      </c>
      <c r="AY683" s="11">
        <f t="shared" si="75"/>
        <v>1952</v>
      </c>
      <c r="AZ683" s="17">
        <v>3</v>
      </c>
      <c r="BA683">
        <f t="shared" si="76"/>
        <v>19.52</v>
      </c>
    </row>
    <row r="684" spans="2:53">
      <c r="B684" t="s">
        <v>26</v>
      </c>
      <c r="C684" t="s">
        <v>4771</v>
      </c>
      <c r="D684" t="s">
        <v>4772</v>
      </c>
      <c r="E684" t="s">
        <v>29</v>
      </c>
      <c r="F684" t="s">
        <v>30</v>
      </c>
      <c r="G684" t="s">
        <v>31</v>
      </c>
      <c r="J684" t="s">
        <v>4771</v>
      </c>
      <c r="K684" t="s">
        <v>1967</v>
      </c>
      <c r="L684" t="s">
        <v>4756</v>
      </c>
      <c r="M684" s="8">
        <v>0.05925</v>
      </c>
      <c r="N684">
        <v>145.23264029167</v>
      </c>
      <c r="O684">
        <v>1575</v>
      </c>
      <c r="P684" s="9">
        <v>0.19</v>
      </c>
      <c r="Q684" t="s">
        <v>612</v>
      </c>
      <c r="T684" s="15" t="s">
        <v>89</v>
      </c>
      <c r="W684" s="16" t="str">
        <f t="shared" si="70"/>
        <v>EN_WON_19_c04_ECU</v>
      </c>
      <c r="X684" s="12">
        <f t="shared" si="71"/>
        <v>1575</v>
      </c>
      <c r="Y684" s="11">
        <f t="shared" si="72"/>
        <v>1575</v>
      </c>
      <c r="AC684" t="s">
        <v>26</v>
      </c>
      <c r="AD684" t="s">
        <v>4773</v>
      </c>
      <c r="AE684" t="s">
        <v>4774</v>
      </c>
      <c r="AF684" t="s">
        <v>29</v>
      </c>
      <c r="AG684" t="s">
        <v>30</v>
      </c>
      <c r="AH684" t="s">
        <v>31</v>
      </c>
      <c r="AK684" t="s">
        <v>4773</v>
      </c>
      <c r="AL684" t="s">
        <v>1967</v>
      </c>
      <c r="AM684" t="s">
        <v>4709</v>
      </c>
      <c r="AN684" s="8">
        <v>1.90725</v>
      </c>
      <c r="AO684">
        <v>199.694880401046</v>
      </c>
      <c r="AP684">
        <v>1952</v>
      </c>
      <c r="AQ684" s="9">
        <v>0.642</v>
      </c>
      <c r="AR684" t="s">
        <v>1273</v>
      </c>
      <c r="AT684" s="15" t="s">
        <v>54</v>
      </c>
      <c r="AW684" s="11" t="str">
        <f t="shared" si="73"/>
        <v>EN_WOF_64_c02_MRT</v>
      </c>
      <c r="AX684" s="11">
        <f t="shared" si="74"/>
        <v>1952</v>
      </c>
      <c r="AY684" s="11">
        <f t="shared" si="75"/>
        <v>1952</v>
      </c>
      <c r="AZ684" s="17">
        <v>3</v>
      </c>
      <c r="BA684">
        <f t="shared" si="76"/>
        <v>19.52</v>
      </c>
    </row>
    <row r="685" spans="2:53">
      <c r="B685" t="s">
        <v>26</v>
      </c>
      <c r="C685" t="s">
        <v>4775</v>
      </c>
      <c r="D685" t="s">
        <v>4776</v>
      </c>
      <c r="E685" t="s">
        <v>29</v>
      </c>
      <c r="F685" t="s">
        <v>30</v>
      </c>
      <c r="G685" t="s">
        <v>31</v>
      </c>
      <c r="J685" t="s">
        <v>4775</v>
      </c>
      <c r="K685" t="s">
        <v>1967</v>
      </c>
      <c r="L685" t="s">
        <v>4756</v>
      </c>
      <c r="M685" s="8">
        <v>2.88525</v>
      </c>
      <c r="N685">
        <v>145.23264029167</v>
      </c>
      <c r="O685">
        <v>1575</v>
      </c>
      <c r="P685" s="9">
        <v>0.197071224330647</v>
      </c>
      <c r="Q685" t="s">
        <v>612</v>
      </c>
      <c r="T685" s="15" t="s">
        <v>89</v>
      </c>
      <c r="W685" s="16" t="str">
        <f t="shared" si="70"/>
        <v>EN_WON_20_c04_ECU</v>
      </c>
      <c r="X685" s="12">
        <f t="shared" si="71"/>
        <v>1575</v>
      </c>
      <c r="Y685" s="11">
        <f t="shared" si="72"/>
        <v>1575</v>
      </c>
      <c r="AC685" t="s">
        <v>26</v>
      </c>
      <c r="AD685" t="s">
        <v>4777</v>
      </c>
      <c r="AE685" t="s">
        <v>4778</v>
      </c>
      <c r="AF685" t="s">
        <v>29</v>
      </c>
      <c r="AG685" t="s">
        <v>30</v>
      </c>
      <c r="AH685" t="s">
        <v>31</v>
      </c>
      <c r="AK685" t="s">
        <v>4777</v>
      </c>
      <c r="AL685" t="s">
        <v>1967</v>
      </c>
      <c r="AM685" t="s">
        <v>4779</v>
      </c>
      <c r="AN685" s="8">
        <v>12.84</v>
      </c>
      <c r="AO685">
        <v>199.694880401046</v>
      </c>
      <c r="AP685">
        <v>1952</v>
      </c>
      <c r="AQ685" s="9">
        <v>0.330920443925234</v>
      </c>
      <c r="AR685" t="s">
        <v>1313</v>
      </c>
      <c r="AT685" s="15" t="s">
        <v>54</v>
      </c>
      <c r="AW685" s="11" t="str">
        <f t="shared" si="73"/>
        <v>EN_WOF_33_c02_NAM</v>
      </c>
      <c r="AX685" s="11">
        <f t="shared" si="74"/>
        <v>1952</v>
      </c>
      <c r="AY685" s="11">
        <f t="shared" si="75"/>
        <v>1952</v>
      </c>
      <c r="AZ685" s="17">
        <v>3</v>
      </c>
      <c r="BA685">
        <f t="shared" si="76"/>
        <v>19.52</v>
      </c>
    </row>
    <row r="686" spans="2:53">
      <c r="B686" t="s">
        <v>26</v>
      </c>
      <c r="C686" t="s">
        <v>4780</v>
      </c>
      <c r="D686" t="s">
        <v>4781</v>
      </c>
      <c r="E686" t="s">
        <v>29</v>
      </c>
      <c r="F686" t="s">
        <v>30</v>
      </c>
      <c r="G686" t="s">
        <v>31</v>
      </c>
      <c r="J686" t="s">
        <v>4780</v>
      </c>
      <c r="K686" t="s">
        <v>1967</v>
      </c>
      <c r="L686" t="s">
        <v>4756</v>
      </c>
      <c r="M686" s="8">
        <v>0.64575</v>
      </c>
      <c r="N686">
        <v>145.23264029167</v>
      </c>
      <c r="O686">
        <v>1575</v>
      </c>
      <c r="P686" s="9">
        <v>0.211407665505226</v>
      </c>
      <c r="Q686" t="s">
        <v>612</v>
      </c>
      <c r="T686" s="15" t="s">
        <v>89</v>
      </c>
      <c r="W686" s="16" t="str">
        <f t="shared" si="70"/>
        <v>EN_WON_21_c04_ECU</v>
      </c>
      <c r="X686" s="12">
        <f t="shared" si="71"/>
        <v>1575</v>
      </c>
      <c r="Y686" s="11">
        <f t="shared" si="72"/>
        <v>1575</v>
      </c>
      <c r="AC686" t="s">
        <v>26</v>
      </c>
      <c r="AD686" t="s">
        <v>4782</v>
      </c>
      <c r="AE686" t="s">
        <v>4783</v>
      </c>
      <c r="AF686" t="s">
        <v>29</v>
      </c>
      <c r="AG686" t="s">
        <v>30</v>
      </c>
      <c r="AH686" t="s">
        <v>31</v>
      </c>
      <c r="AK686" t="s">
        <v>4782</v>
      </c>
      <c r="AL686" t="s">
        <v>1967</v>
      </c>
      <c r="AM686" t="s">
        <v>4779</v>
      </c>
      <c r="AN686" s="8">
        <v>5.09175</v>
      </c>
      <c r="AO686">
        <v>199.694880401046</v>
      </c>
      <c r="AP686">
        <v>1952</v>
      </c>
      <c r="AQ686" s="9">
        <v>0.344</v>
      </c>
      <c r="AR686" t="s">
        <v>1313</v>
      </c>
      <c r="AT686" s="15" t="s">
        <v>54</v>
      </c>
      <c r="AW686" s="11" t="str">
        <f t="shared" si="73"/>
        <v>EN_WOF_34_c02_NAM</v>
      </c>
      <c r="AX686" s="11">
        <f t="shared" si="74"/>
        <v>1952</v>
      </c>
      <c r="AY686" s="11">
        <f t="shared" si="75"/>
        <v>1952</v>
      </c>
      <c r="AZ686" s="17">
        <v>3</v>
      </c>
      <c r="BA686">
        <f t="shared" si="76"/>
        <v>19.52</v>
      </c>
    </row>
    <row r="687" spans="2:53">
      <c r="B687" t="s">
        <v>26</v>
      </c>
      <c r="C687" t="s">
        <v>4784</v>
      </c>
      <c r="D687" t="s">
        <v>4785</v>
      </c>
      <c r="E687" t="s">
        <v>29</v>
      </c>
      <c r="F687" t="s">
        <v>30</v>
      </c>
      <c r="G687" t="s">
        <v>31</v>
      </c>
      <c r="J687" t="s">
        <v>4784</v>
      </c>
      <c r="K687" t="s">
        <v>1967</v>
      </c>
      <c r="L687" t="s">
        <v>4756</v>
      </c>
      <c r="M687" s="8">
        <v>3.303</v>
      </c>
      <c r="N687">
        <v>145.23264029167</v>
      </c>
      <c r="O687">
        <v>1575</v>
      </c>
      <c r="P687" s="9">
        <v>0.218316303360581</v>
      </c>
      <c r="Q687" t="s">
        <v>612</v>
      </c>
      <c r="T687" s="15" t="s">
        <v>89</v>
      </c>
      <c r="W687" s="16" t="str">
        <f t="shared" si="70"/>
        <v>EN_WON_22_c04_ECU</v>
      </c>
      <c r="X687" s="12">
        <f t="shared" si="71"/>
        <v>1575</v>
      </c>
      <c r="Y687" s="11">
        <f t="shared" si="72"/>
        <v>1575</v>
      </c>
      <c r="AC687" t="s">
        <v>26</v>
      </c>
      <c r="AD687" t="s">
        <v>4786</v>
      </c>
      <c r="AE687" t="s">
        <v>4787</v>
      </c>
      <c r="AF687" t="s">
        <v>29</v>
      </c>
      <c r="AG687" t="s">
        <v>30</v>
      </c>
      <c r="AH687" t="s">
        <v>31</v>
      </c>
      <c r="AK687" t="s">
        <v>4786</v>
      </c>
      <c r="AL687" t="s">
        <v>1967</v>
      </c>
      <c r="AM687" t="s">
        <v>4779</v>
      </c>
      <c r="AN687" s="8">
        <v>12.48975</v>
      </c>
      <c r="AO687">
        <v>199.694880401046</v>
      </c>
      <c r="AP687">
        <v>1952</v>
      </c>
      <c r="AQ687" s="9">
        <v>0.360246562180988</v>
      </c>
      <c r="AR687" t="s">
        <v>1313</v>
      </c>
      <c r="AT687" s="15" t="s">
        <v>54</v>
      </c>
      <c r="AW687" s="11" t="str">
        <f t="shared" si="73"/>
        <v>EN_WOF_36_c02_NAM</v>
      </c>
      <c r="AX687" s="11">
        <f t="shared" si="74"/>
        <v>1952</v>
      </c>
      <c r="AY687" s="11">
        <f t="shared" si="75"/>
        <v>1952</v>
      </c>
      <c r="AZ687" s="17">
        <v>3</v>
      </c>
      <c r="BA687">
        <f t="shared" si="76"/>
        <v>19.52</v>
      </c>
    </row>
    <row r="688" spans="2:53">
      <c r="B688" t="s">
        <v>26</v>
      </c>
      <c r="C688" t="s">
        <v>4788</v>
      </c>
      <c r="D688" t="s">
        <v>4789</v>
      </c>
      <c r="E688" t="s">
        <v>29</v>
      </c>
      <c r="F688" t="s">
        <v>30</v>
      </c>
      <c r="G688" t="s">
        <v>31</v>
      </c>
      <c r="J688" t="s">
        <v>4788</v>
      </c>
      <c r="K688" t="s">
        <v>1967</v>
      </c>
      <c r="L688" t="s">
        <v>4756</v>
      </c>
      <c r="M688" s="8">
        <v>0.294</v>
      </c>
      <c r="N688">
        <v>105.747516212372</v>
      </c>
      <c r="O688">
        <v>1575</v>
      </c>
      <c r="P688" s="9">
        <v>0.234</v>
      </c>
      <c r="Q688" t="s">
        <v>612</v>
      </c>
      <c r="T688" s="15" t="s">
        <v>89</v>
      </c>
      <c r="W688" s="16" t="str">
        <f t="shared" si="70"/>
        <v>EN_WON_23_c03_ECU</v>
      </c>
      <c r="X688" s="12">
        <f t="shared" si="71"/>
        <v>1575</v>
      </c>
      <c r="Y688" s="11">
        <f t="shared" si="72"/>
        <v>1575</v>
      </c>
      <c r="AC688" t="s">
        <v>26</v>
      </c>
      <c r="AD688" t="s">
        <v>4790</v>
      </c>
      <c r="AE688" t="s">
        <v>4791</v>
      </c>
      <c r="AF688" t="s">
        <v>29</v>
      </c>
      <c r="AG688" t="s">
        <v>30</v>
      </c>
      <c r="AH688" t="s">
        <v>31</v>
      </c>
      <c r="AK688" t="s">
        <v>4790</v>
      </c>
      <c r="AL688" t="s">
        <v>1967</v>
      </c>
      <c r="AM688" t="s">
        <v>4779</v>
      </c>
      <c r="AN688" s="8">
        <v>21.26625</v>
      </c>
      <c r="AO688">
        <v>199.694880401046</v>
      </c>
      <c r="AP688">
        <v>1952</v>
      </c>
      <c r="AQ688" s="9">
        <v>0.369937753482631</v>
      </c>
      <c r="AR688" t="s">
        <v>1313</v>
      </c>
      <c r="AT688" s="15" t="s">
        <v>54</v>
      </c>
      <c r="AW688" s="11" t="str">
        <f t="shared" si="73"/>
        <v>EN_WOF_37_c02_NAM</v>
      </c>
      <c r="AX688" s="11">
        <f t="shared" si="74"/>
        <v>1952</v>
      </c>
      <c r="AY688" s="11">
        <f t="shared" si="75"/>
        <v>1952</v>
      </c>
      <c r="AZ688" s="17">
        <v>3</v>
      </c>
      <c r="BA688">
        <f t="shared" si="76"/>
        <v>19.52</v>
      </c>
    </row>
    <row r="689" spans="2:53">
      <c r="B689" t="s">
        <v>26</v>
      </c>
      <c r="C689" t="s">
        <v>4792</v>
      </c>
      <c r="D689" t="s">
        <v>4793</v>
      </c>
      <c r="E689" t="s">
        <v>29</v>
      </c>
      <c r="F689" t="s">
        <v>30</v>
      </c>
      <c r="G689" t="s">
        <v>31</v>
      </c>
      <c r="J689" t="s">
        <v>4792</v>
      </c>
      <c r="K689" t="s">
        <v>1967</v>
      </c>
      <c r="L689" t="s">
        <v>4756</v>
      </c>
      <c r="M689" s="8">
        <v>0.19275</v>
      </c>
      <c r="N689">
        <v>145.23264029167</v>
      </c>
      <c r="O689">
        <v>1575</v>
      </c>
      <c r="P689" s="9">
        <v>0.233</v>
      </c>
      <c r="Q689" t="s">
        <v>612</v>
      </c>
      <c r="T689" s="15" t="s">
        <v>89</v>
      </c>
      <c r="W689" s="16" t="str">
        <f t="shared" si="70"/>
        <v>EN_WON_23_c04_ECU</v>
      </c>
      <c r="X689" s="12">
        <f t="shared" si="71"/>
        <v>1575</v>
      </c>
      <c r="Y689" s="11">
        <f t="shared" si="72"/>
        <v>1575</v>
      </c>
      <c r="AC689" t="s">
        <v>26</v>
      </c>
      <c r="AD689" t="s">
        <v>4794</v>
      </c>
      <c r="AE689" t="s">
        <v>4795</v>
      </c>
      <c r="AF689" t="s">
        <v>29</v>
      </c>
      <c r="AG689" t="s">
        <v>30</v>
      </c>
      <c r="AH689" t="s">
        <v>31</v>
      </c>
      <c r="AK689" t="s">
        <v>4794</v>
      </c>
      <c r="AL689" t="s">
        <v>1967</v>
      </c>
      <c r="AM689" t="s">
        <v>4779</v>
      </c>
      <c r="AN689" s="8">
        <v>19.75725</v>
      </c>
      <c r="AO689">
        <v>199.694880401046</v>
      </c>
      <c r="AP689">
        <v>1952</v>
      </c>
      <c r="AQ689" s="9">
        <v>0.381487150286604</v>
      </c>
      <c r="AR689" t="s">
        <v>1313</v>
      </c>
      <c r="AT689" s="15" t="s">
        <v>54</v>
      </c>
      <c r="AW689" s="11" t="str">
        <f t="shared" si="73"/>
        <v>EN_WOF_38_c02_NAM</v>
      </c>
      <c r="AX689" s="11">
        <f t="shared" si="74"/>
        <v>1952</v>
      </c>
      <c r="AY689" s="11">
        <f t="shared" si="75"/>
        <v>1952</v>
      </c>
      <c r="AZ689" s="17">
        <v>3</v>
      </c>
      <c r="BA689">
        <f t="shared" si="76"/>
        <v>19.52</v>
      </c>
    </row>
    <row r="690" spans="2:53">
      <c r="B690" t="s">
        <v>26</v>
      </c>
      <c r="C690" t="s">
        <v>4796</v>
      </c>
      <c r="D690" t="s">
        <v>4797</v>
      </c>
      <c r="E690" t="s">
        <v>29</v>
      </c>
      <c r="F690" t="s">
        <v>30</v>
      </c>
      <c r="G690" t="s">
        <v>31</v>
      </c>
      <c r="J690" t="s">
        <v>4796</v>
      </c>
      <c r="K690" t="s">
        <v>1967</v>
      </c>
      <c r="L690" t="s">
        <v>4756</v>
      </c>
      <c r="M690" s="8">
        <v>2.00175</v>
      </c>
      <c r="N690">
        <v>145.23264029167</v>
      </c>
      <c r="O690">
        <v>1575</v>
      </c>
      <c r="P690" s="9">
        <v>0.236101910828025</v>
      </c>
      <c r="Q690" t="s">
        <v>612</v>
      </c>
      <c r="T690" s="15" t="s">
        <v>89</v>
      </c>
      <c r="W690" s="16" t="str">
        <f t="shared" si="70"/>
        <v>EN_WON_24_c04_ECU</v>
      </c>
      <c r="X690" s="12">
        <f t="shared" si="71"/>
        <v>1575</v>
      </c>
      <c r="Y690" s="11">
        <f t="shared" si="72"/>
        <v>1575</v>
      </c>
      <c r="AC690" t="s">
        <v>26</v>
      </c>
      <c r="AD690" t="s">
        <v>4798</v>
      </c>
      <c r="AE690" t="s">
        <v>4799</v>
      </c>
      <c r="AF690" t="s">
        <v>29</v>
      </c>
      <c r="AG690" t="s">
        <v>30</v>
      </c>
      <c r="AH690" t="s">
        <v>31</v>
      </c>
      <c r="AK690" t="s">
        <v>4798</v>
      </c>
      <c r="AL690" t="s">
        <v>1967</v>
      </c>
      <c r="AM690" t="s">
        <v>4779</v>
      </c>
      <c r="AN690" s="8">
        <v>23.1855</v>
      </c>
      <c r="AO690">
        <v>199.694880401046</v>
      </c>
      <c r="AP690">
        <v>1952</v>
      </c>
      <c r="AQ690" s="9">
        <v>0.387431519699812</v>
      </c>
      <c r="AR690" t="s">
        <v>1313</v>
      </c>
      <c r="AT690" s="15" t="s">
        <v>54</v>
      </c>
      <c r="AW690" s="11" t="str">
        <f t="shared" si="73"/>
        <v>EN_WOF_39_c02_NAM</v>
      </c>
      <c r="AX690" s="11">
        <f t="shared" si="74"/>
        <v>1952</v>
      </c>
      <c r="AY690" s="11">
        <f t="shared" si="75"/>
        <v>1952</v>
      </c>
      <c r="AZ690" s="17">
        <v>3</v>
      </c>
      <c r="BA690">
        <f t="shared" si="76"/>
        <v>19.52</v>
      </c>
    </row>
    <row r="691" spans="2:53">
      <c r="B691" t="s">
        <v>26</v>
      </c>
      <c r="C691" t="s">
        <v>4800</v>
      </c>
      <c r="D691" t="s">
        <v>4801</v>
      </c>
      <c r="E691" t="s">
        <v>29</v>
      </c>
      <c r="F691" t="s">
        <v>30</v>
      </c>
      <c r="G691" t="s">
        <v>31</v>
      </c>
      <c r="J691" t="s">
        <v>4800</v>
      </c>
      <c r="K691" t="s">
        <v>1967</v>
      </c>
      <c r="L691" t="s">
        <v>4756</v>
      </c>
      <c r="M691" s="8">
        <v>0.08025</v>
      </c>
      <c r="N691">
        <v>105.747516212372</v>
      </c>
      <c r="O691">
        <v>1575</v>
      </c>
      <c r="P691" s="9">
        <v>0.249</v>
      </c>
      <c r="Q691" t="s">
        <v>612</v>
      </c>
      <c r="T691" s="15" t="s">
        <v>89</v>
      </c>
      <c r="W691" s="16" t="str">
        <f t="shared" si="70"/>
        <v>EN_WON_25_c03_ECU</v>
      </c>
      <c r="X691" s="12">
        <f t="shared" si="71"/>
        <v>1575</v>
      </c>
      <c r="Y691" s="11">
        <f t="shared" si="72"/>
        <v>1575</v>
      </c>
      <c r="AC691" t="s">
        <v>26</v>
      </c>
      <c r="AD691" t="s">
        <v>4802</v>
      </c>
      <c r="AE691" t="s">
        <v>4803</v>
      </c>
      <c r="AF691" t="s">
        <v>29</v>
      </c>
      <c r="AG691" t="s">
        <v>30</v>
      </c>
      <c r="AH691" t="s">
        <v>31</v>
      </c>
      <c r="AK691" t="s">
        <v>4802</v>
      </c>
      <c r="AL691" t="s">
        <v>1967</v>
      </c>
      <c r="AM691" t="s">
        <v>4779</v>
      </c>
      <c r="AN691" s="8">
        <v>11.27475</v>
      </c>
      <c r="AO691">
        <v>199.694880401046</v>
      </c>
      <c r="AP691">
        <v>1952</v>
      </c>
      <c r="AQ691" s="9">
        <v>0.397845606332735</v>
      </c>
      <c r="AR691" t="s">
        <v>1313</v>
      </c>
      <c r="AT691" s="15" t="s">
        <v>54</v>
      </c>
      <c r="AW691" s="11" t="str">
        <f t="shared" si="73"/>
        <v>EN_WOF_40_c02_NAM</v>
      </c>
      <c r="AX691" s="11">
        <f t="shared" si="74"/>
        <v>1952</v>
      </c>
      <c r="AY691" s="11">
        <f t="shared" si="75"/>
        <v>1952</v>
      </c>
      <c r="AZ691" s="17">
        <v>3</v>
      </c>
      <c r="BA691">
        <f t="shared" si="76"/>
        <v>19.52</v>
      </c>
    </row>
    <row r="692" spans="2:53">
      <c r="B692" t="s">
        <v>26</v>
      </c>
      <c r="C692" t="s">
        <v>4804</v>
      </c>
      <c r="D692" t="s">
        <v>4805</v>
      </c>
      <c r="E692" t="s">
        <v>29</v>
      </c>
      <c r="F692" t="s">
        <v>30</v>
      </c>
      <c r="G692" t="s">
        <v>31</v>
      </c>
      <c r="J692" t="s">
        <v>4804</v>
      </c>
      <c r="K692" t="s">
        <v>1967</v>
      </c>
      <c r="L692" t="s">
        <v>4756</v>
      </c>
      <c r="M692" s="8">
        <v>1.152</v>
      </c>
      <c r="N692">
        <v>145.23264029167</v>
      </c>
      <c r="O692">
        <v>1575</v>
      </c>
      <c r="P692" s="9">
        <v>0.246</v>
      </c>
      <c r="Q692" t="s">
        <v>612</v>
      </c>
      <c r="T692" s="15" t="s">
        <v>89</v>
      </c>
      <c r="W692" s="16" t="str">
        <f t="shared" si="70"/>
        <v>EN_WON_25_c04_ECU</v>
      </c>
      <c r="X692" s="12">
        <f t="shared" si="71"/>
        <v>1575</v>
      </c>
      <c r="Y692" s="11">
        <f t="shared" si="72"/>
        <v>1575</v>
      </c>
      <c r="AC692" t="s">
        <v>26</v>
      </c>
      <c r="AD692" t="s">
        <v>4806</v>
      </c>
      <c r="AE692" t="s">
        <v>4807</v>
      </c>
      <c r="AF692" t="s">
        <v>29</v>
      </c>
      <c r="AG692" t="s">
        <v>30</v>
      </c>
      <c r="AH692" t="s">
        <v>31</v>
      </c>
      <c r="AK692" t="s">
        <v>4806</v>
      </c>
      <c r="AL692" t="s">
        <v>1967</v>
      </c>
      <c r="AM692" t="s">
        <v>4779</v>
      </c>
      <c r="AN692" s="8">
        <v>24.8085</v>
      </c>
      <c r="AO692">
        <v>199.694880401046</v>
      </c>
      <c r="AP692">
        <v>1952</v>
      </c>
      <c r="AQ692" s="9">
        <v>0.410286897635891</v>
      </c>
      <c r="AR692" t="s">
        <v>1313</v>
      </c>
      <c r="AT692" s="15" t="s">
        <v>54</v>
      </c>
      <c r="AW692" s="11" t="str">
        <f t="shared" si="73"/>
        <v>EN_WOF_41_c02_NAM</v>
      </c>
      <c r="AX692" s="11">
        <f t="shared" si="74"/>
        <v>1952</v>
      </c>
      <c r="AY692" s="11">
        <f t="shared" si="75"/>
        <v>1952</v>
      </c>
      <c r="AZ692" s="17">
        <v>3</v>
      </c>
      <c r="BA692">
        <f t="shared" si="76"/>
        <v>19.52</v>
      </c>
    </row>
    <row r="693" spans="2:53">
      <c r="B693" t="s">
        <v>26</v>
      </c>
      <c r="C693" t="s">
        <v>4808</v>
      </c>
      <c r="D693" t="s">
        <v>4809</v>
      </c>
      <c r="E693" t="s">
        <v>29</v>
      </c>
      <c r="F693" t="s">
        <v>30</v>
      </c>
      <c r="G693" t="s">
        <v>31</v>
      </c>
      <c r="J693" t="s">
        <v>4808</v>
      </c>
      <c r="K693" t="s">
        <v>1967</v>
      </c>
      <c r="L693" t="s">
        <v>4756</v>
      </c>
      <c r="M693" s="8">
        <v>1.062</v>
      </c>
      <c r="N693">
        <v>145.23264029167</v>
      </c>
      <c r="O693">
        <v>1575</v>
      </c>
      <c r="P693" s="9">
        <v>0.29</v>
      </c>
      <c r="Q693" t="s">
        <v>612</v>
      </c>
      <c r="T693" s="15" t="s">
        <v>89</v>
      </c>
      <c r="W693" s="16" t="str">
        <f t="shared" si="70"/>
        <v>EN_WON_29_c04_ECU</v>
      </c>
      <c r="X693" s="12">
        <f t="shared" si="71"/>
        <v>1575</v>
      </c>
      <c r="Y693" s="11">
        <f t="shared" si="72"/>
        <v>1575</v>
      </c>
      <c r="AC693" t="s">
        <v>26</v>
      </c>
      <c r="AD693" t="s">
        <v>4810</v>
      </c>
      <c r="AE693" t="s">
        <v>4811</v>
      </c>
      <c r="AF693" t="s">
        <v>29</v>
      </c>
      <c r="AG693" t="s">
        <v>30</v>
      </c>
      <c r="AH693" t="s">
        <v>31</v>
      </c>
      <c r="AK693" t="s">
        <v>4810</v>
      </c>
      <c r="AL693" t="s">
        <v>1967</v>
      </c>
      <c r="AM693" t="s">
        <v>4779</v>
      </c>
      <c r="AN693" s="8">
        <v>7.9635</v>
      </c>
      <c r="AO693">
        <v>199.694880401046</v>
      </c>
      <c r="AP693">
        <v>1952</v>
      </c>
      <c r="AQ693" s="9">
        <v>0.417455641363722</v>
      </c>
      <c r="AR693" t="s">
        <v>1313</v>
      </c>
      <c r="AT693" s="15" t="s">
        <v>54</v>
      </c>
      <c r="AW693" s="11" t="str">
        <f t="shared" si="73"/>
        <v>EN_WOF_42_c02_NAM</v>
      </c>
      <c r="AX693" s="11">
        <f t="shared" si="74"/>
        <v>1952</v>
      </c>
      <c r="AY693" s="11">
        <f t="shared" si="75"/>
        <v>1952</v>
      </c>
      <c r="AZ693" s="17">
        <v>3</v>
      </c>
      <c r="BA693">
        <f t="shared" si="76"/>
        <v>19.52</v>
      </c>
    </row>
    <row r="694" spans="2:53">
      <c r="B694" t="s">
        <v>26</v>
      </c>
      <c r="C694" t="s">
        <v>4812</v>
      </c>
      <c r="D694" t="s">
        <v>4813</v>
      </c>
      <c r="E694" t="s">
        <v>29</v>
      </c>
      <c r="F694" t="s">
        <v>30</v>
      </c>
      <c r="G694" t="s">
        <v>31</v>
      </c>
      <c r="J694" t="s">
        <v>4812</v>
      </c>
      <c r="K694" t="s">
        <v>1967</v>
      </c>
      <c r="L694" t="s">
        <v>4756</v>
      </c>
      <c r="M694" s="8">
        <v>0.009</v>
      </c>
      <c r="N694">
        <v>105.747516212372</v>
      </c>
      <c r="O694">
        <v>1575</v>
      </c>
      <c r="P694" s="9">
        <v>0.344</v>
      </c>
      <c r="Q694" t="s">
        <v>612</v>
      </c>
      <c r="T694" s="15" t="s">
        <v>89</v>
      </c>
      <c r="W694" s="16" t="str">
        <f t="shared" si="70"/>
        <v>EN_WON_34_c03_ECU</v>
      </c>
      <c r="X694" s="12">
        <f t="shared" si="71"/>
        <v>1575</v>
      </c>
      <c r="Y694" s="11">
        <f t="shared" si="72"/>
        <v>1575</v>
      </c>
      <c r="AC694" t="s">
        <v>26</v>
      </c>
      <c r="AD694" t="s">
        <v>4814</v>
      </c>
      <c r="AE694" t="s">
        <v>4815</v>
      </c>
      <c r="AF694" t="s">
        <v>29</v>
      </c>
      <c r="AG694" t="s">
        <v>30</v>
      </c>
      <c r="AH694" t="s">
        <v>31</v>
      </c>
      <c r="AK694" t="s">
        <v>4814</v>
      </c>
      <c r="AL694" t="s">
        <v>1967</v>
      </c>
      <c r="AM694" t="s">
        <v>4779</v>
      </c>
      <c r="AN694" s="8">
        <v>27.969</v>
      </c>
      <c r="AO694">
        <v>199.694880401046</v>
      </c>
      <c r="AP694">
        <v>1952</v>
      </c>
      <c r="AQ694" s="9">
        <v>0.429229620293897</v>
      </c>
      <c r="AR694" t="s">
        <v>1313</v>
      </c>
      <c r="AT694" s="15" t="s">
        <v>54</v>
      </c>
      <c r="AW694" s="11" t="str">
        <f t="shared" si="73"/>
        <v>EN_WOF_43_c02_NAM</v>
      </c>
      <c r="AX694" s="11">
        <f t="shared" si="74"/>
        <v>1952</v>
      </c>
      <c r="AY694" s="11">
        <f t="shared" si="75"/>
        <v>1952</v>
      </c>
      <c r="AZ694" s="17">
        <v>3</v>
      </c>
      <c r="BA694">
        <f t="shared" si="76"/>
        <v>19.52</v>
      </c>
    </row>
    <row r="695" spans="2:53">
      <c r="B695" t="s">
        <v>26</v>
      </c>
      <c r="C695" t="s">
        <v>4816</v>
      </c>
      <c r="D695" t="s">
        <v>4817</v>
      </c>
      <c r="E695" t="s">
        <v>29</v>
      </c>
      <c r="F695" t="s">
        <v>30</v>
      </c>
      <c r="G695" t="s">
        <v>31</v>
      </c>
      <c r="J695" t="s">
        <v>4816</v>
      </c>
      <c r="K695" t="s">
        <v>1967</v>
      </c>
      <c r="L695" t="s">
        <v>3280</v>
      </c>
      <c r="M695" s="8">
        <v>45.8535</v>
      </c>
      <c r="N695">
        <v>0</v>
      </c>
      <c r="O695">
        <v>1422</v>
      </c>
      <c r="P695" s="9">
        <v>0.37945927246557</v>
      </c>
      <c r="Q695" t="s">
        <v>634</v>
      </c>
      <c r="T695" s="15" t="s">
        <v>80</v>
      </c>
      <c r="W695" s="16" t="str">
        <f t="shared" si="70"/>
        <v>EN_WON_38_c01_EGY</v>
      </c>
      <c r="X695" s="12">
        <f t="shared" si="71"/>
        <v>1422</v>
      </c>
      <c r="Y695" s="11">
        <f t="shared" si="72"/>
        <v>1422</v>
      </c>
      <c r="AC695" t="s">
        <v>26</v>
      </c>
      <c r="AD695" t="s">
        <v>4818</v>
      </c>
      <c r="AE695" t="s">
        <v>4819</v>
      </c>
      <c r="AF695" t="s">
        <v>29</v>
      </c>
      <c r="AG695" t="s">
        <v>30</v>
      </c>
      <c r="AH695" t="s">
        <v>31</v>
      </c>
      <c r="AK695" t="s">
        <v>4818</v>
      </c>
      <c r="AL695" t="s">
        <v>1967</v>
      </c>
      <c r="AM695" t="s">
        <v>4779</v>
      </c>
      <c r="AN695" s="8">
        <v>11.71425</v>
      </c>
      <c r="AO695">
        <v>199.694880401046</v>
      </c>
      <c r="AP695">
        <v>1952</v>
      </c>
      <c r="AQ695" s="9">
        <v>0.439597221332992</v>
      </c>
      <c r="AR695" t="s">
        <v>1313</v>
      </c>
      <c r="AT695" s="15" t="s">
        <v>54</v>
      </c>
      <c r="AW695" s="11" t="str">
        <f t="shared" si="73"/>
        <v>EN_WOF_44_c02_NAM</v>
      </c>
      <c r="AX695" s="11">
        <f t="shared" si="74"/>
        <v>1952</v>
      </c>
      <c r="AY695" s="11">
        <f t="shared" si="75"/>
        <v>1952</v>
      </c>
      <c r="AZ695" s="17">
        <v>3</v>
      </c>
      <c r="BA695">
        <f t="shared" si="76"/>
        <v>19.52</v>
      </c>
    </row>
    <row r="696" spans="2:53">
      <c r="B696" t="s">
        <v>26</v>
      </c>
      <c r="C696" t="s">
        <v>4820</v>
      </c>
      <c r="D696" t="s">
        <v>4821</v>
      </c>
      <c r="E696" t="s">
        <v>29</v>
      </c>
      <c r="F696" t="s">
        <v>30</v>
      </c>
      <c r="G696" t="s">
        <v>31</v>
      </c>
      <c r="J696" t="s">
        <v>4820</v>
      </c>
      <c r="K696" t="s">
        <v>1967</v>
      </c>
      <c r="L696" t="s">
        <v>3280</v>
      </c>
      <c r="M696" s="8">
        <v>24.18225</v>
      </c>
      <c r="N696">
        <v>105.747516212372</v>
      </c>
      <c r="O696">
        <v>1422</v>
      </c>
      <c r="P696" s="9">
        <v>0.381731817758893</v>
      </c>
      <c r="Q696" t="s">
        <v>634</v>
      </c>
      <c r="T696" s="15" t="s">
        <v>80</v>
      </c>
      <c r="W696" s="16" t="str">
        <f t="shared" si="70"/>
        <v>EN_WON_38_c03_EGY</v>
      </c>
      <c r="X696" s="12">
        <f t="shared" si="71"/>
        <v>1422</v>
      </c>
      <c r="Y696" s="11">
        <f t="shared" si="72"/>
        <v>1422</v>
      </c>
      <c r="AC696" t="s">
        <v>26</v>
      </c>
      <c r="AD696" t="s">
        <v>4822</v>
      </c>
      <c r="AE696" t="s">
        <v>4823</v>
      </c>
      <c r="AF696" t="s">
        <v>29</v>
      </c>
      <c r="AG696" t="s">
        <v>30</v>
      </c>
      <c r="AH696" t="s">
        <v>31</v>
      </c>
      <c r="AK696" t="s">
        <v>4822</v>
      </c>
      <c r="AL696" t="s">
        <v>1967</v>
      </c>
      <c r="AM696" t="s">
        <v>4779</v>
      </c>
      <c r="AN696" s="8">
        <v>14.32875</v>
      </c>
      <c r="AO696">
        <v>199.694880401046</v>
      </c>
      <c r="AP696">
        <v>1952</v>
      </c>
      <c r="AQ696" s="9">
        <v>0.450264433394399</v>
      </c>
      <c r="AR696" t="s">
        <v>1313</v>
      </c>
      <c r="AT696" s="15" t="s">
        <v>54</v>
      </c>
      <c r="AW696" s="11" t="str">
        <f t="shared" si="73"/>
        <v>EN_WOF_45_c02_NAM</v>
      </c>
      <c r="AX696" s="11">
        <f t="shared" si="74"/>
        <v>1952</v>
      </c>
      <c r="AY696" s="11">
        <f t="shared" si="75"/>
        <v>1952</v>
      </c>
      <c r="AZ696" s="17">
        <v>3</v>
      </c>
      <c r="BA696">
        <f t="shared" si="76"/>
        <v>19.52</v>
      </c>
    </row>
    <row r="697" spans="2:53">
      <c r="B697" t="s">
        <v>26</v>
      </c>
      <c r="C697" t="s">
        <v>4824</v>
      </c>
      <c r="D697" t="s">
        <v>4825</v>
      </c>
      <c r="E697" t="s">
        <v>29</v>
      </c>
      <c r="F697" t="s">
        <v>30</v>
      </c>
      <c r="G697" t="s">
        <v>31</v>
      </c>
      <c r="J697" t="s">
        <v>4824</v>
      </c>
      <c r="K697" t="s">
        <v>1967</v>
      </c>
      <c r="L697" t="s">
        <v>3280</v>
      </c>
      <c r="M697" s="8">
        <v>23.18775</v>
      </c>
      <c r="N697">
        <v>0</v>
      </c>
      <c r="O697">
        <v>1422</v>
      </c>
      <c r="P697" s="9">
        <v>0.388711388556458</v>
      </c>
      <c r="Q697" t="s">
        <v>634</v>
      </c>
      <c r="T697" s="15" t="s">
        <v>80</v>
      </c>
      <c r="W697" s="16" t="str">
        <f t="shared" si="70"/>
        <v>EN_WON_39_c01_EGY</v>
      </c>
      <c r="X697" s="12">
        <f t="shared" si="71"/>
        <v>1422</v>
      </c>
      <c r="Y697" s="11">
        <f t="shared" si="72"/>
        <v>1422</v>
      </c>
      <c r="AC697" t="s">
        <v>26</v>
      </c>
      <c r="AD697" t="s">
        <v>4826</v>
      </c>
      <c r="AE697" t="s">
        <v>4827</v>
      </c>
      <c r="AF697" t="s">
        <v>29</v>
      </c>
      <c r="AG697" t="s">
        <v>30</v>
      </c>
      <c r="AH697" t="s">
        <v>31</v>
      </c>
      <c r="AK697" t="s">
        <v>4826</v>
      </c>
      <c r="AL697" t="s">
        <v>1967</v>
      </c>
      <c r="AM697" t="s">
        <v>4779</v>
      </c>
      <c r="AN697" s="8">
        <v>17.922</v>
      </c>
      <c r="AO697">
        <v>199.694880401046</v>
      </c>
      <c r="AP697">
        <v>1952</v>
      </c>
      <c r="AQ697" s="9">
        <v>0.459077795446937</v>
      </c>
      <c r="AR697" t="s">
        <v>1313</v>
      </c>
      <c r="AT697" s="15" t="s">
        <v>54</v>
      </c>
      <c r="AW697" s="11" t="str">
        <f t="shared" si="73"/>
        <v>EN_WOF_46_c02_NAM</v>
      </c>
      <c r="AX697" s="11">
        <f t="shared" si="74"/>
        <v>1952</v>
      </c>
      <c r="AY697" s="11">
        <f t="shared" si="75"/>
        <v>1952</v>
      </c>
      <c r="AZ697" s="17">
        <v>3</v>
      </c>
      <c r="BA697">
        <f t="shared" si="76"/>
        <v>19.52</v>
      </c>
    </row>
    <row r="698" spans="2:53">
      <c r="B698" t="s">
        <v>26</v>
      </c>
      <c r="C698" t="s">
        <v>4828</v>
      </c>
      <c r="D698" t="s">
        <v>4829</v>
      </c>
      <c r="E698" t="s">
        <v>29</v>
      </c>
      <c r="F698" t="s">
        <v>30</v>
      </c>
      <c r="G698" t="s">
        <v>31</v>
      </c>
      <c r="J698" t="s">
        <v>4828</v>
      </c>
      <c r="K698" t="s">
        <v>1967</v>
      </c>
      <c r="L698" t="s">
        <v>3280</v>
      </c>
      <c r="M698" s="8">
        <v>23.55675</v>
      </c>
      <c r="N698">
        <v>80.7856561622413</v>
      </c>
      <c r="O698">
        <v>1422</v>
      </c>
      <c r="P698" s="9">
        <v>0.388026839440925</v>
      </c>
      <c r="Q698" t="s">
        <v>634</v>
      </c>
      <c r="T698" s="15" t="s">
        <v>80</v>
      </c>
      <c r="W698" s="16" t="str">
        <f t="shared" si="70"/>
        <v>EN_WON_39_c02_EGY</v>
      </c>
      <c r="X698" s="12">
        <f t="shared" si="71"/>
        <v>1422</v>
      </c>
      <c r="Y698" s="11">
        <f t="shared" si="72"/>
        <v>1422</v>
      </c>
      <c r="AC698" t="s">
        <v>26</v>
      </c>
      <c r="AD698" t="s">
        <v>4830</v>
      </c>
      <c r="AE698" t="s">
        <v>4831</v>
      </c>
      <c r="AF698" t="s">
        <v>29</v>
      </c>
      <c r="AG698" t="s">
        <v>30</v>
      </c>
      <c r="AH698" t="s">
        <v>31</v>
      </c>
      <c r="AK698" t="s">
        <v>4830</v>
      </c>
      <c r="AL698" t="s">
        <v>1967</v>
      </c>
      <c r="AM698" t="s">
        <v>4779</v>
      </c>
      <c r="AN698" s="8">
        <v>37.3155</v>
      </c>
      <c r="AO698">
        <v>199.694880401046</v>
      </c>
      <c r="AP698">
        <v>1952</v>
      </c>
      <c r="AQ698" s="9">
        <v>0.470622884592194</v>
      </c>
      <c r="AR698" t="s">
        <v>1313</v>
      </c>
      <c r="AT698" s="15" t="s">
        <v>54</v>
      </c>
      <c r="AW698" s="11" t="str">
        <f t="shared" si="73"/>
        <v>EN_WOF_47_c02_NAM</v>
      </c>
      <c r="AX698" s="11">
        <f t="shared" si="74"/>
        <v>1952</v>
      </c>
      <c r="AY698" s="11">
        <f t="shared" si="75"/>
        <v>1952</v>
      </c>
      <c r="AZ698" s="17">
        <v>3</v>
      </c>
      <c r="BA698">
        <f t="shared" si="76"/>
        <v>19.52</v>
      </c>
    </row>
    <row r="699" spans="2:53">
      <c r="B699" t="s">
        <v>26</v>
      </c>
      <c r="C699" t="s">
        <v>4832</v>
      </c>
      <c r="D699" t="s">
        <v>4833</v>
      </c>
      <c r="E699" t="s">
        <v>29</v>
      </c>
      <c r="F699" t="s">
        <v>30</v>
      </c>
      <c r="G699" t="s">
        <v>31</v>
      </c>
      <c r="J699" t="s">
        <v>4832</v>
      </c>
      <c r="K699" t="s">
        <v>1967</v>
      </c>
      <c r="L699" t="s">
        <v>3280</v>
      </c>
      <c r="M699" s="8">
        <v>11.1705</v>
      </c>
      <c r="N699">
        <v>105.747516212372</v>
      </c>
      <c r="O699">
        <v>1422</v>
      </c>
      <c r="P699" s="9">
        <v>0.393516785282664</v>
      </c>
      <c r="Q699" t="s">
        <v>634</v>
      </c>
      <c r="T699" s="15" t="s">
        <v>80</v>
      </c>
      <c r="W699" s="16" t="str">
        <f t="shared" si="70"/>
        <v>EN_WON_39_c03_EGY</v>
      </c>
      <c r="X699" s="12">
        <f t="shared" si="71"/>
        <v>1422</v>
      </c>
      <c r="Y699" s="11">
        <f t="shared" si="72"/>
        <v>1422</v>
      </c>
      <c r="AC699" t="s">
        <v>26</v>
      </c>
      <c r="AD699" t="s">
        <v>4834</v>
      </c>
      <c r="AE699" t="s">
        <v>4835</v>
      </c>
      <c r="AF699" t="s">
        <v>29</v>
      </c>
      <c r="AG699" t="s">
        <v>30</v>
      </c>
      <c r="AH699" t="s">
        <v>31</v>
      </c>
      <c r="AK699" t="s">
        <v>4834</v>
      </c>
      <c r="AL699" t="s">
        <v>1967</v>
      </c>
      <c r="AM699" t="s">
        <v>4779</v>
      </c>
      <c r="AN699" s="8">
        <v>3.68775</v>
      </c>
      <c r="AO699">
        <v>199.694880401046</v>
      </c>
      <c r="AP699">
        <v>1952</v>
      </c>
      <c r="AQ699" s="9">
        <v>0.479</v>
      </c>
      <c r="AR699" t="s">
        <v>1313</v>
      </c>
      <c r="AT699" s="15" t="s">
        <v>54</v>
      </c>
      <c r="AW699" s="11" t="str">
        <f t="shared" si="73"/>
        <v>EN_WOF_48_c02_NAM</v>
      </c>
      <c r="AX699" s="11">
        <f t="shared" si="74"/>
        <v>1952</v>
      </c>
      <c r="AY699" s="11">
        <f t="shared" si="75"/>
        <v>1952</v>
      </c>
      <c r="AZ699" s="17">
        <v>3</v>
      </c>
      <c r="BA699">
        <f t="shared" si="76"/>
        <v>19.52</v>
      </c>
    </row>
    <row r="700" spans="2:53">
      <c r="B700" t="s">
        <v>26</v>
      </c>
      <c r="C700" t="s">
        <v>4836</v>
      </c>
      <c r="D700" t="s">
        <v>4837</v>
      </c>
      <c r="E700" t="s">
        <v>29</v>
      </c>
      <c r="F700" t="s">
        <v>30</v>
      </c>
      <c r="G700" t="s">
        <v>31</v>
      </c>
      <c r="J700" t="s">
        <v>4836</v>
      </c>
      <c r="K700" t="s">
        <v>1967</v>
      </c>
      <c r="L700" t="s">
        <v>3280</v>
      </c>
      <c r="M700" s="8">
        <v>28.212</v>
      </c>
      <c r="N700">
        <v>0</v>
      </c>
      <c r="O700">
        <v>1422</v>
      </c>
      <c r="P700" s="9">
        <v>0.398758852615908</v>
      </c>
      <c r="Q700" t="s">
        <v>634</v>
      </c>
      <c r="T700" s="15" t="s">
        <v>80</v>
      </c>
      <c r="W700" s="16" t="str">
        <f t="shared" si="70"/>
        <v>EN_WON_40_c01_EGY</v>
      </c>
      <c r="X700" s="12">
        <f t="shared" si="71"/>
        <v>1422</v>
      </c>
      <c r="Y700" s="11">
        <f t="shared" si="72"/>
        <v>1422</v>
      </c>
      <c r="AC700" t="s">
        <v>26</v>
      </c>
      <c r="AD700" t="s">
        <v>4838</v>
      </c>
      <c r="AE700" t="s">
        <v>4839</v>
      </c>
      <c r="AF700" t="s">
        <v>29</v>
      </c>
      <c r="AG700" t="s">
        <v>30</v>
      </c>
      <c r="AH700" t="s">
        <v>31</v>
      </c>
      <c r="AK700" t="s">
        <v>4838</v>
      </c>
      <c r="AL700" t="s">
        <v>1967</v>
      </c>
      <c r="AM700" t="s">
        <v>4779</v>
      </c>
      <c r="AN700" s="8">
        <v>40.9905</v>
      </c>
      <c r="AO700">
        <v>199.694880401046</v>
      </c>
      <c r="AP700">
        <v>1952</v>
      </c>
      <c r="AQ700" s="9">
        <v>0.488795806345373</v>
      </c>
      <c r="AR700" t="s">
        <v>1313</v>
      </c>
      <c r="AT700" s="15" t="s">
        <v>54</v>
      </c>
      <c r="AW700" s="11" t="str">
        <f t="shared" si="73"/>
        <v>EN_WOF_49_c02_NAM</v>
      </c>
      <c r="AX700" s="11">
        <f t="shared" si="74"/>
        <v>1952</v>
      </c>
      <c r="AY700" s="11">
        <f t="shared" si="75"/>
        <v>1952</v>
      </c>
      <c r="AZ700" s="17">
        <v>3</v>
      </c>
      <c r="BA700">
        <f t="shared" si="76"/>
        <v>19.52</v>
      </c>
    </row>
    <row r="701" spans="2:53">
      <c r="B701" t="s">
        <v>26</v>
      </c>
      <c r="C701" t="s">
        <v>4840</v>
      </c>
      <c r="D701" t="s">
        <v>4841</v>
      </c>
      <c r="E701" t="s">
        <v>29</v>
      </c>
      <c r="F701" t="s">
        <v>30</v>
      </c>
      <c r="G701" t="s">
        <v>31</v>
      </c>
      <c r="J701" t="s">
        <v>4840</v>
      </c>
      <c r="K701" t="s">
        <v>1967</v>
      </c>
      <c r="L701" t="s">
        <v>3280</v>
      </c>
      <c r="M701" s="8">
        <v>18.195</v>
      </c>
      <c r="N701">
        <v>80.7856561622413</v>
      </c>
      <c r="O701">
        <v>1422</v>
      </c>
      <c r="P701" s="9">
        <v>0.400319043693322</v>
      </c>
      <c r="Q701" t="s">
        <v>634</v>
      </c>
      <c r="T701" s="15" t="s">
        <v>80</v>
      </c>
      <c r="W701" s="16" t="str">
        <f t="shared" si="70"/>
        <v>EN_WON_40_c02_EGY</v>
      </c>
      <c r="X701" s="12">
        <f t="shared" si="71"/>
        <v>1422</v>
      </c>
      <c r="Y701" s="11">
        <f t="shared" si="72"/>
        <v>1422</v>
      </c>
      <c r="AC701" t="s">
        <v>26</v>
      </c>
      <c r="AD701" t="s">
        <v>4842</v>
      </c>
      <c r="AE701" t="s">
        <v>4843</v>
      </c>
      <c r="AF701" t="s">
        <v>29</v>
      </c>
      <c r="AG701" t="s">
        <v>30</v>
      </c>
      <c r="AH701" t="s">
        <v>31</v>
      </c>
      <c r="AK701" t="s">
        <v>4842</v>
      </c>
      <c r="AL701" t="s">
        <v>1967</v>
      </c>
      <c r="AM701" t="s">
        <v>4779</v>
      </c>
      <c r="AN701" s="8">
        <v>41.7285</v>
      </c>
      <c r="AO701">
        <v>199.694880401046</v>
      </c>
      <c r="AP701">
        <v>1952</v>
      </c>
      <c r="AQ701" s="9">
        <v>0.498471134835904</v>
      </c>
      <c r="AR701" t="s">
        <v>1313</v>
      </c>
      <c r="AT701" s="15" t="s">
        <v>54</v>
      </c>
      <c r="AW701" s="11" t="str">
        <f t="shared" si="73"/>
        <v>EN_WOF_50_c02_NAM</v>
      </c>
      <c r="AX701" s="11">
        <f t="shared" si="74"/>
        <v>1952</v>
      </c>
      <c r="AY701" s="11">
        <f t="shared" si="75"/>
        <v>1952</v>
      </c>
      <c r="AZ701" s="17">
        <v>3</v>
      </c>
      <c r="BA701">
        <f t="shared" si="76"/>
        <v>19.52</v>
      </c>
    </row>
    <row r="702" spans="2:53">
      <c r="B702" t="s">
        <v>26</v>
      </c>
      <c r="C702" t="s">
        <v>4844</v>
      </c>
      <c r="D702" t="s">
        <v>4845</v>
      </c>
      <c r="E702" t="s">
        <v>29</v>
      </c>
      <c r="F702" t="s">
        <v>30</v>
      </c>
      <c r="G702" t="s">
        <v>31</v>
      </c>
      <c r="J702" t="s">
        <v>4844</v>
      </c>
      <c r="K702" t="s">
        <v>1967</v>
      </c>
      <c r="L702" t="s">
        <v>3280</v>
      </c>
      <c r="M702" s="8">
        <v>46.58025</v>
      </c>
      <c r="N702">
        <v>0</v>
      </c>
      <c r="O702">
        <v>1422</v>
      </c>
      <c r="P702" s="9">
        <v>0.411110647753071</v>
      </c>
      <c r="Q702" t="s">
        <v>634</v>
      </c>
      <c r="T702" s="15" t="s">
        <v>80</v>
      </c>
      <c r="W702" s="16" t="str">
        <f t="shared" si="70"/>
        <v>EN_WON_41_c01_EGY</v>
      </c>
      <c r="X702" s="12">
        <f t="shared" si="71"/>
        <v>1422</v>
      </c>
      <c r="Y702" s="11">
        <f t="shared" si="72"/>
        <v>1422</v>
      </c>
      <c r="AC702" t="s">
        <v>26</v>
      </c>
      <c r="AD702" t="s">
        <v>4846</v>
      </c>
      <c r="AE702" t="s">
        <v>4847</v>
      </c>
      <c r="AF702" t="s">
        <v>29</v>
      </c>
      <c r="AG702" t="s">
        <v>30</v>
      </c>
      <c r="AH702" t="s">
        <v>31</v>
      </c>
      <c r="AK702" t="s">
        <v>4846</v>
      </c>
      <c r="AL702" t="s">
        <v>1967</v>
      </c>
      <c r="AM702" t="s">
        <v>4779</v>
      </c>
      <c r="AN702" s="8">
        <v>21.20175</v>
      </c>
      <c r="AO702">
        <v>199.694880401046</v>
      </c>
      <c r="AP702">
        <v>1952</v>
      </c>
      <c r="AQ702" s="9">
        <v>0.507983692383884</v>
      </c>
      <c r="AR702" t="s">
        <v>1313</v>
      </c>
      <c r="AT702" s="15" t="s">
        <v>54</v>
      </c>
      <c r="AW702" s="11" t="str">
        <f t="shared" si="73"/>
        <v>EN_WOF_51_c02_NAM</v>
      </c>
      <c r="AX702" s="11">
        <f t="shared" si="74"/>
        <v>1952</v>
      </c>
      <c r="AY702" s="11">
        <f t="shared" si="75"/>
        <v>1952</v>
      </c>
      <c r="AZ702" s="17">
        <v>3</v>
      </c>
      <c r="BA702">
        <f t="shared" si="76"/>
        <v>19.52</v>
      </c>
    </row>
    <row r="703" spans="2:53">
      <c r="B703" t="s">
        <v>26</v>
      </c>
      <c r="C703" t="s">
        <v>4848</v>
      </c>
      <c r="D703" t="s">
        <v>4849</v>
      </c>
      <c r="E703" t="s">
        <v>29</v>
      </c>
      <c r="F703" t="s">
        <v>30</v>
      </c>
      <c r="G703" t="s">
        <v>31</v>
      </c>
      <c r="J703" t="s">
        <v>4848</v>
      </c>
      <c r="K703" t="s">
        <v>1967</v>
      </c>
      <c r="L703" t="s">
        <v>3280</v>
      </c>
      <c r="M703" s="8">
        <v>21.50025</v>
      </c>
      <c r="N703">
        <v>80.7856561622413</v>
      </c>
      <c r="O703">
        <v>1422</v>
      </c>
      <c r="P703" s="9">
        <v>0.409140719293962</v>
      </c>
      <c r="Q703" t="s">
        <v>634</v>
      </c>
      <c r="T703" s="15" t="s">
        <v>80</v>
      </c>
      <c r="W703" s="16" t="str">
        <f t="shared" si="70"/>
        <v>EN_WON_41_c02_EGY</v>
      </c>
      <c r="X703" s="12">
        <f t="shared" si="71"/>
        <v>1422</v>
      </c>
      <c r="Y703" s="11">
        <f t="shared" si="72"/>
        <v>1422</v>
      </c>
      <c r="AC703" t="s">
        <v>26</v>
      </c>
      <c r="AD703" t="s">
        <v>4850</v>
      </c>
      <c r="AE703" t="s">
        <v>4851</v>
      </c>
      <c r="AF703" t="s">
        <v>29</v>
      </c>
      <c r="AG703" t="s">
        <v>30</v>
      </c>
      <c r="AH703" t="s">
        <v>31</v>
      </c>
      <c r="AK703" t="s">
        <v>4850</v>
      </c>
      <c r="AL703" t="s">
        <v>1967</v>
      </c>
      <c r="AM703" t="s">
        <v>4779</v>
      </c>
      <c r="AN703" s="8">
        <v>8.31375</v>
      </c>
      <c r="AO703">
        <v>199.694880401046</v>
      </c>
      <c r="AP703">
        <v>1952</v>
      </c>
      <c r="AQ703" s="9">
        <v>0.520310419485792</v>
      </c>
      <c r="AR703" t="s">
        <v>1313</v>
      </c>
      <c r="AT703" s="15" t="s">
        <v>54</v>
      </c>
      <c r="AW703" s="11" t="str">
        <f t="shared" si="73"/>
        <v>EN_WOF_52_c02_NAM</v>
      </c>
      <c r="AX703" s="11">
        <f t="shared" si="74"/>
        <v>1952</v>
      </c>
      <c r="AY703" s="11">
        <f t="shared" si="75"/>
        <v>1952</v>
      </c>
      <c r="AZ703" s="17">
        <v>3</v>
      </c>
      <c r="BA703">
        <f t="shared" si="76"/>
        <v>19.52</v>
      </c>
    </row>
    <row r="704" spans="2:53">
      <c r="B704" t="s">
        <v>26</v>
      </c>
      <c r="C704" t="s">
        <v>4852</v>
      </c>
      <c r="D704" t="s">
        <v>4853</v>
      </c>
      <c r="E704" t="s">
        <v>29</v>
      </c>
      <c r="F704" t="s">
        <v>30</v>
      </c>
      <c r="G704" t="s">
        <v>31</v>
      </c>
      <c r="J704" t="s">
        <v>4852</v>
      </c>
      <c r="K704" t="s">
        <v>1967</v>
      </c>
      <c r="L704" t="s">
        <v>3280</v>
      </c>
      <c r="M704" s="8">
        <v>24.084</v>
      </c>
      <c r="N704">
        <v>0</v>
      </c>
      <c r="O704">
        <v>1422</v>
      </c>
      <c r="P704" s="9">
        <v>0.418068011958146</v>
      </c>
      <c r="Q704" t="s">
        <v>634</v>
      </c>
      <c r="T704" s="15" t="s">
        <v>80</v>
      </c>
      <c r="W704" s="16" t="str">
        <f t="shared" si="70"/>
        <v>EN_WON_42_c01_EGY</v>
      </c>
      <c r="X704" s="12">
        <f t="shared" si="71"/>
        <v>1422</v>
      </c>
      <c r="Y704" s="11">
        <f t="shared" si="72"/>
        <v>1422</v>
      </c>
      <c r="AC704" t="s">
        <v>26</v>
      </c>
      <c r="AD704" t="s">
        <v>4854</v>
      </c>
      <c r="AE704" t="s">
        <v>4855</v>
      </c>
      <c r="AF704" t="s">
        <v>29</v>
      </c>
      <c r="AG704" t="s">
        <v>30</v>
      </c>
      <c r="AH704" t="s">
        <v>31</v>
      </c>
      <c r="AK704" t="s">
        <v>4854</v>
      </c>
      <c r="AL704" t="s">
        <v>1967</v>
      </c>
      <c r="AM704" t="s">
        <v>4779</v>
      </c>
      <c r="AN704" s="8">
        <v>17.45775</v>
      </c>
      <c r="AO704">
        <v>199.694880401046</v>
      </c>
      <c r="AP704">
        <v>1952</v>
      </c>
      <c r="AQ704" s="9">
        <v>0.530069381793186</v>
      </c>
      <c r="AR704" t="s">
        <v>1313</v>
      </c>
      <c r="AT704" s="15" t="s">
        <v>54</v>
      </c>
      <c r="AW704" s="11" t="str">
        <f t="shared" si="73"/>
        <v>EN_WOF_53_c02_NAM</v>
      </c>
      <c r="AX704" s="11">
        <f t="shared" si="74"/>
        <v>1952</v>
      </c>
      <c r="AY704" s="11">
        <f t="shared" si="75"/>
        <v>1952</v>
      </c>
      <c r="AZ704" s="17">
        <v>3</v>
      </c>
      <c r="BA704">
        <f t="shared" si="76"/>
        <v>19.52</v>
      </c>
    </row>
    <row r="705" spans="2:53">
      <c r="B705" t="s">
        <v>26</v>
      </c>
      <c r="C705" t="s">
        <v>4856</v>
      </c>
      <c r="D705" t="s">
        <v>4857</v>
      </c>
      <c r="E705" t="s">
        <v>29</v>
      </c>
      <c r="F705" t="s">
        <v>30</v>
      </c>
      <c r="G705" t="s">
        <v>31</v>
      </c>
      <c r="J705" t="s">
        <v>4856</v>
      </c>
      <c r="K705" t="s">
        <v>1967</v>
      </c>
      <c r="L705" t="s">
        <v>3280</v>
      </c>
      <c r="M705" s="8">
        <v>22.11525</v>
      </c>
      <c r="N705">
        <v>80.7856561622413</v>
      </c>
      <c r="O705">
        <v>1422</v>
      </c>
      <c r="P705" s="9">
        <v>0.417327568080849</v>
      </c>
      <c r="Q705" t="s">
        <v>634</v>
      </c>
      <c r="T705" s="15" t="s">
        <v>80</v>
      </c>
      <c r="W705" s="16" t="str">
        <f t="shared" si="70"/>
        <v>EN_WON_42_c02_EGY</v>
      </c>
      <c r="X705" s="12">
        <f t="shared" si="71"/>
        <v>1422</v>
      </c>
      <c r="Y705" s="11">
        <f t="shared" si="72"/>
        <v>1422</v>
      </c>
      <c r="AC705" t="s">
        <v>26</v>
      </c>
      <c r="AD705" t="s">
        <v>4858</v>
      </c>
      <c r="AE705" t="s">
        <v>4859</v>
      </c>
      <c r="AF705" t="s">
        <v>29</v>
      </c>
      <c r="AG705" t="s">
        <v>30</v>
      </c>
      <c r="AH705" t="s">
        <v>31</v>
      </c>
      <c r="AK705" t="s">
        <v>4858</v>
      </c>
      <c r="AL705" t="s">
        <v>1967</v>
      </c>
      <c r="AM705" t="s">
        <v>4779</v>
      </c>
      <c r="AN705" s="8">
        <v>20.733</v>
      </c>
      <c r="AO705">
        <v>199.694880401046</v>
      </c>
      <c r="AP705">
        <v>1952</v>
      </c>
      <c r="AQ705" s="9">
        <v>0.541457603819997</v>
      </c>
      <c r="AR705" t="s">
        <v>1313</v>
      </c>
      <c r="AT705" s="15" t="s">
        <v>54</v>
      </c>
      <c r="AW705" s="11" t="str">
        <f t="shared" si="73"/>
        <v>EN_WOF_54_c02_NAM</v>
      </c>
      <c r="AX705" s="11">
        <f t="shared" si="74"/>
        <v>1952</v>
      </c>
      <c r="AY705" s="11">
        <f t="shared" si="75"/>
        <v>1952</v>
      </c>
      <c r="AZ705" s="17">
        <v>3</v>
      </c>
      <c r="BA705">
        <f t="shared" si="76"/>
        <v>19.52</v>
      </c>
    </row>
    <row r="706" spans="2:53">
      <c r="B706" t="s">
        <v>26</v>
      </c>
      <c r="C706" t="s">
        <v>4860</v>
      </c>
      <c r="D706" t="s">
        <v>4861</v>
      </c>
      <c r="E706" t="s">
        <v>29</v>
      </c>
      <c r="F706" t="s">
        <v>30</v>
      </c>
      <c r="G706" t="s">
        <v>31</v>
      </c>
      <c r="J706" t="s">
        <v>4860</v>
      </c>
      <c r="K706" t="s">
        <v>1967</v>
      </c>
      <c r="L706" t="s">
        <v>3280</v>
      </c>
      <c r="M706" s="8">
        <v>22.251</v>
      </c>
      <c r="N706">
        <v>0</v>
      </c>
      <c r="O706">
        <v>1422</v>
      </c>
      <c r="P706" s="9">
        <v>0.429609309693946</v>
      </c>
      <c r="Q706" t="s">
        <v>634</v>
      </c>
      <c r="T706" s="15" t="s">
        <v>80</v>
      </c>
      <c r="W706" s="16" t="str">
        <f t="shared" si="70"/>
        <v>EN_WON_43_c01_EGY</v>
      </c>
      <c r="X706" s="12">
        <f t="shared" si="71"/>
        <v>1422</v>
      </c>
      <c r="Y706" s="11">
        <f t="shared" si="72"/>
        <v>1422</v>
      </c>
      <c r="AC706" t="s">
        <v>26</v>
      </c>
      <c r="AD706" t="s">
        <v>4862</v>
      </c>
      <c r="AE706" t="s">
        <v>4863</v>
      </c>
      <c r="AF706" t="s">
        <v>29</v>
      </c>
      <c r="AG706" t="s">
        <v>30</v>
      </c>
      <c r="AH706" t="s">
        <v>31</v>
      </c>
      <c r="AK706" t="s">
        <v>4862</v>
      </c>
      <c r="AL706" t="s">
        <v>1967</v>
      </c>
      <c r="AM706" t="s">
        <v>4779</v>
      </c>
      <c r="AN706" s="8">
        <v>9.3495</v>
      </c>
      <c r="AO706">
        <v>199.694880401046</v>
      </c>
      <c r="AP706">
        <v>1952</v>
      </c>
      <c r="AQ706" s="9">
        <v>0.549696775228622</v>
      </c>
      <c r="AR706" t="s">
        <v>1313</v>
      </c>
      <c r="AT706" s="15" t="s">
        <v>54</v>
      </c>
      <c r="AW706" s="11" t="str">
        <f t="shared" si="73"/>
        <v>EN_WOF_55_c02_NAM</v>
      </c>
      <c r="AX706" s="11">
        <f t="shared" si="74"/>
        <v>1952</v>
      </c>
      <c r="AY706" s="11">
        <f t="shared" si="75"/>
        <v>1952</v>
      </c>
      <c r="AZ706" s="17">
        <v>3</v>
      </c>
      <c r="BA706">
        <f t="shared" si="76"/>
        <v>19.52</v>
      </c>
    </row>
    <row r="707" spans="2:53">
      <c r="B707" t="s">
        <v>26</v>
      </c>
      <c r="C707" t="s">
        <v>4864</v>
      </c>
      <c r="D707" t="s">
        <v>4865</v>
      </c>
      <c r="E707" t="s">
        <v>29</v>
      </c>
      <c r="F707" t="s">
        <v>30</v>
      </c>
      <c r="G707" t="s">
        <v>31</v>
      </c>
      <c r="J707" t="s">
        <v>4864</v>
      </c>
      <c r="K707" t="s">
        <v>1967</v>
      </c>
      <c r="L707" t="s">
        <v>3280</v>
      </c>
      <c r="M707" s="8">
        <v>29.964</v>
      </c>
      <c r="N707">
        <v>80.7856561622413</v>
      </c>
      <c r="O707">
        <v>1422</v>
      </c>
      <c r="P707" s="9">
        <v>0.430011989387265</v>
      </c>
      <c r="Q707" t="s">
        <v>634</v>
      </c>
      <c r="T707" s="15" t="s">
        <v>80</v>
      </c>
      <c r="W707" s="16" t="str">
        <f t="shared" si="70"/>
        <v>EN_WON_43_c02_EGY</v>
      </c>
      <c r="X707" s="12">
        <f t="shared" si="71"/>
        <v>1422</v>
      </c>
      <c r="Y707" s="11">
        <f t="shared" si="72"/>
        <v>1422</v>
      </c>
      <c r="AC707" t="s">
        <v>26</v>
      </c>
      <c r="AD707" t="s">
        <v>4866</v>
      </c>
      <c r="AE707" t="s">
        <v>4867</v>
      </c>
      <c r="AF707" t="s">
        <v>29</v>
      </c>
      <c r="AG707" t="s">
        <v>30</v>
      </c>
      <c r="AH707" t="s">
        <v>31</v>
      </c>
      <c r="AK707" t="s">
        <v>4866</v>
      </c>
      <c r="AL707" t="s">
        <v>1967</v>
      </c>
      <c r="AM707" t="s">
        <v>4779</v>
      </c>
      <c r="AN707" s="8">
        <v>26.2035</v>
      </c>
      <c r="AO707">
        <v>199.694880401046</v>
      </c>
      <c r="AP707">
        <v>1952</v>
      </c>
      <c r="AQ707" s="9">
        <v>0.558799530597058</v>
      </c>
      <c r="AR707" t="s">
        <v>1313</v>
      </c>
      <c r="AT707" s="15" t="s">
        <v>54</v>
      </c>
      <c r="AW707" s="11" t="str">
        <f t="shared" si="73"/>
        <v>EN_WOF_56_c02_NAM</v>
      </c>
      <c r="AX707" s="11">
        <f t="shared" si="74"/>
        <v>1952</v>
      </c>
      <c r="AY707" s="11">
        <f t="shared" si="75"/>
        <v>1952</v>
      </c>
      <c r="AZ707" s="17">
        <v>3</v>
      </c>
      <c r="BA707">
        <f t="shared" si="76"/>
        <v>19.52</v>
      </c>
    </row>
    <row r="708" spans="2:53">
      <c r="B708" t="s">
        <v>26</v>
      </c>
      <c r="C708" t="s">
        <v>4868</v>
      </c>
      <c r="D708" t="s">
        <v>4869</v>
      </c>
      <c r="E708" t="s">
        <v>29</v>
      </c>
      <c r="F708" t="s">
        <v>30</v>
      </c>
      <c r="G708" t="s">
        <v>31</v>
      </c>
      <c r="J708" t="s">
        <v>4868</v>
      </c>
      <c r="K708" t="s">
        <v>1967</v>
      </c>
      <c r="L708" t="s">
        <v>3280</v>
      </c>
      <c r="M708" s="8">
        <v>23.061</v>
      </c>
      <c r="N708">
        <v>0</v>
      </c>
      <c r="O708">
        <v>1422</v>
      </c>
      <c r="P708" s="9">
        <v>0.439777188760244</v>
      </c>
      <c r="Q708" t="s">
        <v>634</v>
      </c>
      <c r="T708" s="15" t="s">
        <v>80</v>
      </c>
      <c r="W708" s="16" t="str">
        <f t="shared" si="70"/>
        <v>EN_WON_44_c01_EGY</v>
      </c>
      <c r="X708" s="12">
        <f t="shared" si="71"/>
        <v>1422</v>
      </c>
      <c r="Y708" s="11">
        <f t="shared" si="72"/>
        <v>1422</v>
      </c>
      <c r="AC708" t="s">
        <v>26</v>
      </c>
      <c r="AD708" t="s">
        <v>4870</v>
      </c>
      <c r="AE708" t="s">
        <v>4871</v>
      </c>
      <c r="AF708" t="s">
        <v>29</v>
      </c>
      <c r="AG708" t="s">
        <v>30</v>
      </c>
      <c r="AH708" t="s">
        <v>31</v>
      </c>
      <c r="AK708" t="s">
        <v>4870</v>
      </c>
      <c r="AL708" t="s">
        <v>1967</v>
      </c>
      <c r="AM708" t="s">
        <v>4779</v>
      </c>
      <c r="AN708" s="8">
        <v>29.5485</v>
      </c>
      <c r="AO708">
        <v>199.694880401046</v>
      </c>
      <c r="AP708">
        <v>1952</v>
      </c>
      <c r="AQ708" s="9">
        <v>0.569554495152038</v>
      </c>
      <c r="AR708" t="s">
        <v>1313</v>
      </c>
      <c r="AT708" s="15" t="s">
        <v>54</v>
      </c>
      <c r="AW708" s="11" t="str">
        <f t="shared" si="73"/>
        <v>EN_WOF_57_c02_NAM</v>
      </c>
      <c r="AX708" s="11">
        <f t="shared" si="74"/>
        <v>1952</v>
      </c>
      <c r="AY708" s="11">
        <f t="shared" si="75"/>
        <v>1952</v>
      </c>
      <c r="AZ708" s="17">
        <v>3</v>
      </c>
      <c r="BA708">
        <f t="shared" si="76"/>
        <v>19.52</v>
      </c>
    </row>
    <row r="709" spans="2:53">
      <c r="B709" t="s">
        <v>26</v>
      </c>
      <c r="C709" t="s">
        <v>4872</v>
      </c>
      <c r="D709" t="s">
        <v>4873</v>
      </c>
      <c r="E709" t="s">
        <v>29</v>
      </c>
      <c r="F709" t="s">
        <v>30</v>
      </c>
      <c r="G709" t="s">
        <v>31</v>
      </c>
      <c r="J709" t="s">
        <v>4872</v>
      </c>
      <c r="K709" t="s">
        <v>1967</v>
      </c>
      <c r="L709" t="s">
        <v>3280</v>
      </c>
      <c r="M709" s="8">
        <v>23.38725</v>
      </c>
      <c r="N709">
        <v>80.7856561622413</v>
      </c>
      <c r="O709">
        <v>1422</v>
      </c>
      <c r="P709" s="9">
        <v>0.437212198954559</v>
      </c>
      <c r="Q709" t="s">
        <v>634</v>
      </c>
      <c r="T709" s="15" t="s">
        <v>80</v>
      </c>
      <c r="W709" s="16" t="str">
        <f t="shared" si="70"/>
        <v>EN_WON_44_c02_EGY</v>
      </c>
      <c r="X709" s="12">
        <f t="shared" si="71"/>
        <v>1422</v>
      </c>
      <c r="Y709" s="11">
        <f t="shared" si="72"/>
        <v>1422</v>
      </c>
      <c r="AC709" t="s">
        <v>26</v>
      </c>
      <c r="AD709" t="s">
        <v>4874</v>
      </c>
      <c r="AE709" t="s">
        <v>4875</v>
      </c>
      <c r="AF709" t="s">
        <v>29</v>
      </c>
      <c r="AG709" t="s">
        <v>30</v>
      </c>
      <c r="AH709" t="s">
        <v>31</v>
      </c>
      <c r="AK709" t="s">
        <v>4874</v>
      </c>
      <c r="AL709" t="s">
        <v>1967</v>
      </c>
      <c r="AM709" t="s">
        <v>4779</v>
      </c>
      <c r="AN709" s="8">
        <v>9.2565</v>
      </c>
      <c r="AO709">
        <v>199.694880401046</v>
      </c>
      <c r="AP709">
        <v>1952</v>
      </c>
      <c r="AQ709" s="9">
        <v>0.592847836655323</v>
      </c>
      <c r="AR709" t="s">
        <v>1313</v>
      </c>
      <c r="AT709" s="15" t="s">
        <v>54</v>
      </c>
      <c r="AW709" s="11" t="str">
        <f t="shared" si="73"/>
        <v>EN_WOF_59_c02_NAM</v>
      </c>
      <c r="AX709" s="11">
        <f t="shared" si="74"/>
        <v>1952</v>
      </c>
      <c r="AY709" s="11">
        <f t="shared" si="75"/>
        <v>1952</v>
      </c>
      <c r="AZ709" s="17">
        <v>3</v>
      </c>
      <c r="BA709">
        <f t="shared" si="76"/>
        <v>19.52</v>
      </c>
    </row>
    <row r="710" spans="2:53">
      <c r="B710" t="s">
        <v>26</v>
      </c>
      <c r="C710" t="s">
        <v>4876</v>
      </c>
      <c r="D710" t="s">
        <v>4877</v>
      </c>
      <c r="E710" t="s">
        <v>29</v>
      </c>
      <c r="F710" t="s">
        <v>30</v>
      </c>
      <c r="G710" t="s">
        <v>31</v>
      </c>
      <c r="J710" t="s">
        <v>4876</v>
      </c>
      <c r="K710" t="s">
        <v>1967</v>
      </c>
      <c r="L710" t="s">
        <v>3280</v>
      </c>
      <c r="M710" s="8">
        <v>12.267</v>
      </c>
      <c r="N710">
        <v>0</v>
      </c>
      <c r="O710">
        <v>1422</v>
      </c>
      <c r="P710" s="9">
        <v>0.4515</v>
      </c>
      <c r="Q710" t="s">
        <v>634</v>
      </c>
      <c r="T710" s="15" t="s">
        <v>80</v>
      </c>
      <c r="W710" s="16" t="str">
        <f t="shared" ref="W710:W773" si="77">J710</f>
        <v>EN_WON_45_c01_EGY</v>
      </c>
      <c r="X710" s="12">
        <f t="shared" ref="X710:X773" si="78">O710</f>
        <v>1422</v>
      </c>
      <c r="Y710" s="11">
        <f t="shared" ref="Y710:Y773" si="79">X710</f>
        <v>1422</v>
      </c>
      <c r="AC710" t="s">
        <v>26</v>
      </c>
      <c r="AD710" t="s">
        <v>4878</v>
      </c>
      <c r="AE710" t="s">
        <v>4879</v>
      </c>
      <c r="AF710" t="s">
        <v>29</v>
      </c>
      <c r="AG710" t="s">
        <v>30</v>
      </c>
      <c r="AH710" t="s">
        <v>31</v>
      </c>
      <c r="AK710" t="s">
        <v>4878</v>
      </c>
      <c r="AL710" t="s">
        <v>1967</v>
      </c>
      <c r="AM710" t="s">
        <v>4779</v>
      </c>
      <c r="AN710" s="8">
        <v>12.60075</v>
      </c>
      <c r="AO710">
        <v>199.694880401046</v>
      </c>
      <c r="AP710">
        <v>1952</v>
      </c>
      <c r="AQ710" s="9">
        <v>0.599204571156479</v>
      </c>
      <c r="AR710" t="s">
        <v>1313</v>
      </c>
      <c r="AT710" s="15" t="s">
        <v>54</v>
      </c>
      <c r="AW710" s="11" t="str">
        <f t="shared" ref="AW710:AW773" si="80">AK710</f>
        <v>EN_WOF_60_c02_NAM</v>
      </c>
      <c r="AX710" s="11">
        <f t="shared" ref="AX710:AX773" si="81">AP710</f>
        <v>1952</v>
      </c>
      <c r="AY710" s="11">
        <f t="shared" ref="AY710:AY773" si="82">AX710</f>
        <v>1952</v>
      </c>
      <c r="AZ710" s="17">
        <v>3</v>
      </c>
      <c r="BA710">
        <f t="shared" ref="BA710:BA773" si="83">AX710*0.01</f>
        <v>19.52</v>
      </c>
    </row>
    <row r="711" spans="2:53">
      <c r="B711" t="s">
        <v>26</v>
      </c>
      <c r="C711" t="s">
        <v>4880</v>
      </c>
      <c r="D711" t="s">
        <v>4881</v>
      </c>
      <c r="E711" t="s">
        <v>29</v>
      </c>
      <c r="F711" t="s">
        <v>30</v>
      </c>
      <c r="G711" t="s">
        <v>31</v>
      </c>
      <c r="J711" t="s">
        <v>4880</v>
      </c>
      <c r="K711" t="s">
        <v>1967</v>
      </c>
      <c r="L711" t="s">
        <v>3280</v>
      </c>
      <c r="M711" s="8">
        <v>24.32775</v>
      </c>
      <c r="N711">
        <v>80.7856561622413</v>
      </c>
      <c r="O711">
        <v>1422</v>
      </c>
      <c r="P711" s="9">
        <v>0.449510682245584</v>
      </c>
      <c r="Q711" t="s">
        <v>634</v>
      </c>
      <c r="T711" s="15" t="s">
        <v>80</v>
      </c>
      <c r="W711" s="16" t="str">
        <f t="shared" si="77"/>
        <v>EN_WON_45_c02_EGY</v>
      </c>
      <c r="X711" s="12">
        <f t="shared" si="78"/>
        <v>1422</v>
      </c>
      <c r="Y711" s="11">
        <f t="shared" si="79"/>
        <v>1422</v>
      </c>
      <c r="AC711" t="s">
        <v>26</v>
      </c>
      <c r="AD711" t="s">
        <v>4882</v>
      </c>
      <c r="AE711" t="s">
        <v>4883</v>
      </c>
      <c r="AF711" t="s">
        <v>29</v>
      </c>
      <c r="AG711" t="s">
        <v>30</v>
      </c>
      <c r="AH711" t="s">
        <v>31</v>
      </c>
      <c r="AK711" t="s">
        <v>4882</v>
      </c>
      <c r="AL711" t="s">
        <v>1967</v>
      </c>
      <c r="AM711" t="s">
        <v>4884</v>
      </c>
      <c r="AN711" s="8">
        <v>2.20125</v>
      </c>
      <c r="AO711">
        <v>199.694880401046</v>
      </c>
      <c r="AP711">
        <v>1769</v>
      </c>
      <c r="AQ711" s="9">
        <v>0.303809540034072</v>
      </c>
      <c r="AR711" t="s">
        <v>1337</v>
      </c>
      <c r="AT711" s="15" t="s">
        <v>89</v>
      </c>
      <c r="AW711" s="11" t="str">
        <f t="shared" si="80"/>
        <v>EN_WOF_30_c02_NIC</v>
      </c>
      <c r="AX711" s="11">
        <f t="shared" si="81"/>
        <v>1769</v>
      </c>
      <c r="AY711" s="11">
        <f t="shared" si="82"/>
        <v>1769</v>
      </c>
      <c r="AZ711" s="17">
        <v>3</v>
      </c>
      <c r="BA711">
        <f t="shared" si="83"/>
        <v>17.69</v>
      </c>
    </row>
    <row r="712" spans="2:53">
      <c r="B712" t="s">
        <v>26</v>
      </c>
      <c r="C712" t="s">
        <v>4885</v>
      </c>
      <c r="D712" t="s">
        <v>4886</v>
      </c>
      <c r="E712" t="s">
        <v>29</v>
      </c>
      <c r="F712" t="s">
        <v>30</v>
      </c>
      <c r="G712" t="s">
        <v>31</v>
      </c>
      <c r="J712" t="s">
        <v>4885</v>
      </c>
      <c r="K712" t="s">
        <v>1967</v>
      </c>
      <c r="L712" t="s">
        <v>3280</v>
      </c>
      <c r="M712" s="8">
        <v>27.267</v>
      </c>
      <c r="N712">
        <v>0</v>
      </c>
      <c r="O712">
        <v>1422</v>
      </c>
      <c r="P712" s="9">
        <v>0.459495544064254</v>
      </c>
      <c r="Q712" t="s">
        <v>634</v>
      </c>
      <c r="T712" s="15" t="s">
        <v>80</v>
      </c>
      <c r="W712" s="16" t="str">
        <f t="shared" si="77"/>
        <v>EN_WON_46_c01_EGY</v>
      </c>
      <c r="X712" s="12">
        <f t="shared" si="78"/>
        <v>1422</v>
      </c>
      <c r="Y712" s="11">
        <f t="shared" si="79"/>
        <v>1422</v>
      </c>
      <c r="AC712" t="s">
        <v>26</v>
      </c>
      <c r="AD712" t="s">
        <v>4887</v>
      </c>
      <c r="AE712" t="s">
        <v>4888</v>
      </c>
      <c r="AF712" t="s">
        <v>29</v>
      </c>
      <c r="AG712" t="s">
        <v>30</v>
      </c>
      <c r="AH712" t="s">
        <v>31</v>
      </c>
      <c r="AK712" t="s">
        <v>4887</v>
      </c>
      <c r="AL712" t="s">
        <v>1967</v>
      </c>
      <c r="AM712" t="s">
        <v>4884</v>
      </c>
      <c r="AN712" s="8">
        <v>1.10775</v>
      </c>
      <c r="AO712">
        <v>199.694880401046</v>
      </c>
      <c r="AP712">
        <v>1769</v>
      </c>
      <c r="AQ712" s="9">
        <v>0.314</v>
      </c>
      <c r="AR712" t="s">
        <v>1337</v>
      </c>
      <c r="AT712" s="15" t="s">
        <v>89</v>
      </c>
      <c r="AW712" s="11" t="str">
        <f t="shared" si="80"/>
        <v>EN_WOF_31_c02_NIC</v>
      </c>
      <c r="AX712" s="11">
        <f t="shared" si="81"/>
        <v>1769</v>
      </c>
      <c r="AY712" s="11">
        <f t="shared" si="82"/>
        <v>1769</v>
      </c>
      <c r="AZ712" s="17">
        <v>3</v>
      </c>
      <c r="BA712">
        <f t="shared" si="83"/>
        <v>17.69</v>
      </c>
    </row>
    <row r="713" spans="2:53">
      <c r="B713" t="s">
        <v>26</v>
      </c>
      <c r="C713" t="s">
        <v>4889</v>
      </c>
      <c r="D713" t="s">
        <v>4890</v>
      </c>
      <c r="E713" t="s">
        <v>29</v>
      </c>
      <c r="F713" t="s">
        <v>30</v>
      </c>
      <c r="G713" t="s">
        <v>31</v>
      </c>
      <c r="J713" t="s">
        <v>4889</v>
      </c>
      <c r="K713" t="s">
        <v>1967</v>
      </c>
      <c r="L713" t="s">
        <v>3280</v>
      </c>
      <c r="M713" s="8">
        <v>6.36225</v>
      </c>
      <c r="N713">
        <v>0</v>
      </c>
      <c r="O713">
        <v>1422</v>
      </c>
      <c r="P713" s="9">
        <v>0.471854296828952</v>
      </c>
      <c r="Q713" t="s">
        <v>634</v>
      </c>
      <c r="T713" s="15" t="s">
        <v>80</v>
      </c>
      <c r="W713" s="16" t="str">
        <f t="shared" si="77"/>
        <v>EN_WON_47_c01_EGY</v>
      </c>
      <c r="X713" s="12">
        <f t="shared" si="78"/>
        <v>1422</v>
      </c>
      <c r="Y713" s="11">
        <f t="shared" si="79"/>
        <v>1422</v>
      </c>
      <c r="AC713" t="s">
        <v>26</v>
      </c>
      <c r="AD713" t="s">
        <v>4891</v>
      </c>
      <c r="AE713" t="s">
        <v>4892</v>
      </c>
      <c r="AF713" t="s">
        <v>29</v>
      </c>
      <c r="AG713" t="s">
        <v>30</v>
      </c>
      <c r="AH713" t="s">
        <v>31</v>
      </c>
      <c r="AK713" t="s">
        <v>4891</v>
      </c>
      <c r="AL713" t="s">
        <v>1967</v>
      </c>
      <c r="AM713" t="s">
        <v>4884</v>
      </c>
      <c r="AN713" s="8">
        <v>3.37575</v>
      </c>
      <c r="AO713">
        <v>199.694880401046</v>
      </c>
      <c r="AP713">
        <v>1769</v>
      </c>
      <c r="AQ713" s="9">
        <v>0.333</v>
      </c>
      <c r="AR713" t="s">
        <v>1337</v>
      </c>
      <c r="AT713" s="15" t="s">
        <v>89</v>
      </c>
      <c r="AW713" s="11" t="str">
        <f t="shared" si="80"/>
        <v>EN_WOF_33_c02_NIC</v>
      </c>
      <c r="AX713" s="11">
        <f t="shared" si="81"/>
        <v>1769</v>
      </c>
      <c r="AY713" s="11">
        <f t="shared" si="82"/>
        <v>1769</v>
      </c>
      <c r="AZ713" s="17">
        <v>3</v>
      </c>
      <c r="BA713">
        <f t="shared" si="83"/>
        <v>17.69</v>
      </c>
    </row>
    <row r="714" spans="2:53">
      <c r="B714" t="s">
        <v>26</v>
      </c>
      <c r="C714" t="s">
        <v>4893</v>
      </c>
      <c r="D714" t="s">
        <v>4894</v>
      </c>
      <c r="E714" t="s">
        <v>29</v>
      </c>
      <c r="F714" t="s">
        <v>30</v>
      </c>
      <c r="G714" t="s">
        <v>31</v>
      </c>
      <c r="J714" t="s">
        <v>4893</v>
      </c>
      <c r="K714" t="s">
        <v>1967</v>
      </c>
      <c r="L714" t="s">
        <v>3280</v>
      </c>
      <c r="M714" s="8">
        <v>5.4705</v>
      </c>
      <c r="N714">
        <v>80.7856561622413</v>
      </c>
      <c r="O714">
        <v>1422</v>
      </c>
      <c r="P714" s="9">
        <v>0.467</v>
      </c>
      <c r="Q714" t="s">
        <v>634</v>
      </c>
      <c r="T714" s="15" t="s">
        <v>80</v>
      </c>
      <c r="W714" s="16" t="str">
        <f t="shared" si="77"/>
        <v>EN_WON_47_c02_EGY</v>
      </c>
      <c r="X714" s="12">
        <f t="shared" si="78"/>
        <v>1422</v>
      </c>
      <c r="Y714" s="11">
        <f t="shared" si="79"/>
        <v>1422</v>
      </c>
      <c r="AC714" t="s">
        <v>26</v>
      </c>
      <c r="AD714" t="s">
        <v>4895</v>
      </c>
      <c r="AE714" t="s">
        <v>4896</v>
      </c>
      <c r="AF714" t="s">
        <v>29</v>
      </c>
      <c r="AG714" t="s">
        <v>30</v>
      </c>
      <c r="AH714" t="s">
        <v>31</v>
      </c>
      <c r="AK714" t="s">
        <v>4895</v>
      </c>
      <c r="AL714" t="s">
        <v>1967</v>
      </c>
      <c r="AM714" t="s">
        <v>4884</v>
      </c>
      <c r="AN714" s="8">
        <v>2.92875</v>
      </c>
      <c r="AO714">
        <v>199.694880401046</v>
      </c>
      <c r="AP714">
        <v>1769</v>
      </c>
      <c r="AQ714" s="9">
        <v>0.346751088348271</v>
      </c>
      <c r="AR714" t="s">
        <v>1337</v>
      </c>
      <c r="AT714" s="15" t="s">
        <v>89</v>
      </c>
      <c r="AW714" s="11" t="str">
        <f t="shared" si="80"/>
        <v>EN_WOF_35_c02_NIC</v>
      </c>
      <c r="AX714" s="11">
        <f t="shared" si="81"/>
        <v>1769</v>
      </c>
      <c r="AY714" s="11">
        <f t="shared" si="82"/>
        <v>1769</v>
      </c>
      <c r="AZ714" s="17">
        <v>3</v>
      </c>
      <c r="BA714">
        <f t="shared" si="83"/>
        <v>17.69</v>
      </c>
    </row>
    <row r="715" spans="2:53">
      <c r="B715" t="s">
        <v>26</v>
      </c>
      <c r="C715" t="s">
        <v>4897</v>
      </c>
      <c r="D715" t="s">
        <v>4898</v>
      </c>
      <c r="E715" t="s">
        <v>29</v>
      </c>
      <c r="F715" t="s">
        <v>30</v>
      </c>
      <c r="G715" t="s">
        <v>31</v>
      </c>
      <c r="J715" t="s">
        <v>4897</v>
      </c>
      <c r="K715" t="s">
        <v>1967</v>
      </c>
      <c r="L715" t="s">
        <v>3280</v>
      </c>
      <c r="M715" s="8">
        <v>5.76075</v>
      </c>
      <c r="N715">
        <v>0</v>
      </c>
      <c r="O715">
        <v>1422</v>
      </c>
      <c r="P715" s="9">
        <v>0.476</v>
      </c>
      <c r="Q715" t="s">
        <v>634</v>
      </c>
      <c r="T715" s="15" t="s">
        <v>80</v>
      </c>
      <c r="W715" s="16" t="str">
        <f t="shared" si="77"/>
        <v>EN_WON_48_c01_EGY</v>
      </c>
      <c r="X715" s="12">
        <f t="shared" si="78"/>
        <v>1422</v>
      </c>
      <c r="Y715" s="11">
        <f t="shared" si="79"/>
        <v>1422</v>
      </c>
      <c r="AC715" t="s">
        <v>26</v>
      </c>
      <c r="AD715" t="s">
        <v>4899</v>
      </c>
      <c r="AE715" t="s">
        <v>4900</v>
      </c>
      <c r="AF715" t="s">
        <v>29</v>
      </c>
      <c r="AG715" t="s">
        <v>30</v>
      </c>
      <c r="AH715" t="s">
        <v>31</v>
      </c>
      <c r="AK715" t="s">
        <v>4899</v>
      </c>
      <c r="AL715" t="s">
        <v>1967</v>
      </c>
      <c r="AM715" t="s">
        <v>4884</v>
      </c>
      <c r="AN715" s="8">
        <v>2.6685</v>
      </c>
      <c r="AO715">
        <v>199.694880401046</v>
      </c>
      <c r="AP715">
        <v>1769</v>
      </c>
      <c r="AQ715" s="9">
        <v>0.361114671163575</v>
      </c>
      <c r="AR715" t="s">
        <v>1337</v>
      </c>
      <c r="AT715" s="15" t="s">
        <v>89</v>
      </c>
      <c r="AW715" s="11" t="str">
        <f t="shared" si="80"/>
        <v>EN_WOF_36_c02_NIC</v>
      </c>
      <c r="AX715" s="11">
        <f t="shared" si="81"/>
        <v>1769</v>
      </c>
      <c r="AY715" s="11">
        <f t="shared" si="82"/>
        <v>1769</v>
      </c>
      <c r="AZ715" s="17">
        <v>3</v>
      </c>
      <c r="BA715">
        <f t="shared" si="83"/>
        <v>17.69</v>
      </c>
    </row>
    <row r="716" spans="2:53">
      <c r="B716" t="s">
        <v>26</v>
      </c>
      <c r="C716" t="s">
        <v>4901</v>
      </c>
      <c r="D716" t="s">
        <v>4902</v>
      </c>
      <c r="E716" t="s">
        <v>29</v>
      </c>
      <c r="F716" t="s">
        <v>30</v>
      </c>
      <c r="G716" t="s">
        <v>31</v>
      </c>
      <c r="J716" t="s">
        <v>4901</v>
      </c>
      <c r="K716" t="s">
        <v>1967</v>
      </c>
      <c r="L716" t="s">
        <v>3280</v>
      </c>
      <c r="M716" s="8">
        <v>1.599</v>
      </c>
      <c r="N716">
        <v>80.7856561622413</v>
      </c>
      <c r="O716">
        <v>1422</v>
      </c>
      <c r="P716" s="9">
        <v>0.475</v>
      </c>
      <c r="Q716" t="s">
        <v>634</v>
      </c>
      <c r="T716" s="15" t="s">
        <v>80</v>
      </c>
      <c r="W716" s="16" t="str">
        <f t="shared" si="77"/>
        <v>EN_WON_48_c02_EGY</v>
      </c>
      <c r="X716" s="12">
        <f t="shared" si="78"/>
        <v>1422</v>
      </c>
      <c r="Y716" s="11">
        <f t="shared" si="79"/>
        <v>1422</v>
      </c>
      <c r="AC716" t="s">
        <v>26</v>
      </c>
      <c r="AD716" t="s">
        <v>4903</v>
      </c>
      <c r="AE716" t="s">
        <v>4904</v>
      </c>
      <c r="AF716" t="s">
        <v>29</v>
      </c>
      <c r="AG716" t="s">
        <v>30</v>
      </c>
      <c r="AH716" t="s">
        <v>31</v>
      </c>
      <c r="AK716" t="s">
        <v>4903</v>
      </c>
      <c r="AL716" t="s">
        <v>1967</v>
      </c>
      <c r="AM716" t="s">
        <v>4884</v>
      </c>
      <c r="AN716" s="8">
        <v>1.9665</v>
      </c>
      <c r="AO716">
        <v>199.694880401046</v>
      </c>
      <c r="AP716">
        <v>1769</v>
      </c>
      <c r="AQ716" s="9">
        <v>0.379049580472921</v>
      </c>
      <c r="AR716" t="s">
        <v>1337</v>
      </c>
      <c r="AT716" s="15" t="s">
        <v>89</v>
      </c>
      <c r="AW716" s="11" t="str">
        <f t="shared" si="80"/>
        <v>EN_WOF_38_c02_NIC</v>
      </c>
      <c r="AX716" s="11">
        <f t="shared" si="81"/>
        <v>1769</v>
      </c>
      <c r="AY716" s="11">
        <f t="shared" si="82"/>
        <v>1769</v>
      </c>
      <c r="AZ716" s="17">
        <v>3</v>
      </c>
      <c r="BA716">
        <f t="shared" si="83"/>
        <v>17.69</v>
      </c>
    </row>
    <row r="717" spans="2:53">
      <c r="B717" t="s">
        <v>26</v>
      </c>
      <c r="C717" t="s">
        <v>4905</v>
      </c>
      <c r="D717" t="s">
        <v>4906</v>
      </c>
      <c r="E717" t="s">
        <v>29</v>
      </c>
      <c r="F717" t="s">
        <v>30</v>
      </c>
      <c r="G717" t="s">
        <v>31</v>
      </c>
      <c r="J717" t="s">
        <v>4905</v>
      </c>
      <c r="K717" t="s">
        <v>1967</v>
      </c>
      <c r="L717" t="s">
        <v>3280</v>
      </c>
      <c r="M717" s="8">
        <v>3.63975</v>
      </c>
      <c r="N717">
        <v>0</v>
      </c>
      <c r="O717">
        <v>1422</v>
      </c>
      <c r="P717" s="9">
        <v>0.486135998351535</v>
      </c>
      <c r="Q717" t="s">
        <v>634</v>
      </c>
      <c r="T717" s="15" t="s">
        <v>80</v>
      </c>
      <c r="W717" s="16" t="str">
        <f t="shared" si="77"/>
        <v>EN_WON_49_c01_EGY</v>
      </c>
      <c r="X717" s="12">
        <f t="shared" si="78"/>
        <v>1422</v>
      </c>
      <c r="Y717" s="11">
        <f t="shared" si="79"/>
        <v>1422</v>
      </c>
      <c r="AC717" t="s">
        <v>26</v>
      </c>
      <c r="AD717" t="s">
        <v>4907</v>
      </c>
      <c r="AE717" t="s">
        <v>4908</v>
      </c>
      <c r="AF717" t="s">
        <v>29</v>
      </c>
      <c r="AG717" t="s">
        <v>30</v>
      </c>
      <c r="AH717" t="s">
        <v>31</v>
      </c>
      <c r="AK717" t="s">
        <v>4907</v>
      </c>
      <c r="AL717" t="s">
        <v>1967</v>
      </c>
      <c r="AM717" t="s">
        <v>4884</v>
      </c>
      <c r="AN717" s="8">
        <v>5.5815</v>
      </c>
      <c r="AO717">
        <v>199.694880401046</v>
      </c>
      <c r="AP717">
        <v>1769</v>
      </c>
      <c r="AQ717" s="9">
        <v>0.406</v>
      </c>
      <c r="AR717" t="s">
        <v>1337</v>
      </c>
      <c r="AT717" s="15" t="s">
        <v>89</v>
      </c>
      <c r="AW717" s="11" t="str">
        <f t="shared" si="80"/>
        <v>EN_WOF_41_c02_NIC</v>
      </c>
      <c r="AX717" s="11">
        <f t="shared" si="81"/>
        <v>1769</v>
      </c>
      <c r="AY717" s="11">
        <f t="shared" si="82"/>
        <v>1769</v>
      </c>
      <c r="AZ717" s="17">
        <v>3</v>
      </c>
      <c r="BA717">
        <f t="shared" si="83"/>
        <v>17.69</v>
      </c>
    </row>
    <row r="718" spans="2:53">
      <c r="B718" t="s">
        <v>26</v>
      </c>
      <c r="C718" t="s">
        <v>4909</v>
      </c>
      <c r="D718" t="s">
        <v>4910</v>
      </c>
      <c r="E718" t="s">
        <v>29</v>
      </c>
      <c r="F718" t="s">
        <v>30</v>
      </c>
      <c r="G718" t="s">
        <v>31</v>
      </c>
      <c r="J718" t="s">
        <v>4909</v>
      </c>
      <c r="K718" t="s">
        <v>1967</v>
      </c>
      <c r="L718" t="s">
        <v>3280</v>
      </c>
      <c r="M718" s="8">
        <v>5.445</v>
      </c>
      <c r="N718">
        <v>0</v>
      </c>
      <c r="O718">
        <v>1422</v>
      </c>
      <c r="P718" s="9">
        <v>0.503</v>
      </c>
      <c r="Q718" t="s">
        <v>634</v>
      </c>
      <c r="T718" s="15" t="s">
        <v>80</v>
      </c>
      <c r="W718" s="16" t="str">
        <f t="shared" si="77"/>
        <v>EN_WON_50_c01_EGY</v>
      </c>
      <c r="X718" s="12">
        <f t="shared" si="78"/>
        <v>1422</v>
      </c>
      <c r="Y718" s="11">
        <f t="shared" si="79"/>
        <v>1422</v>
      </c>
      <c r="AC718" t="s">
        <v>26</v>
      </c>
      <c r="AD718" t="s">
        <v>4911</v>
      </c>
      <c r="AE718" t="s">
        <v>4912</v>
      </c>
      <c r="AF718" t="s">
        <v>29</v>
      </c>
      <c r="AG718" t="s">
        <v>30</v>
      </c>
      <c r="AH718" t="s">
        <v>31</v>
      </c>
      <c r="AK718" t="s">
        <v>4911</v>
      </c>
      <c r="AL718" t="s">
        <v>1967</v>
      </c>
      <c r="AM718" t="s">
        <v>4884</v>
      </c>
      <c r="AN718" s="8">
        <v>3.9465</v>
      </c>
      <c r="AO718">
        <v>199.694880401046</v>
      </c>
      <c r="AP718">
        <v>1769</v>
      </c>
      <c r="AQ718" s="9">
        <v>0.475</v>
      </c>
      <c r="AR718" t="s">
        <v>1337</v>
      </c>
      <c r="AT718" s="15" t="s">
        <v>89</v>
      </c>
      <c r="AW718" s="11" t="str">
        <f t="shared" si="80"/>
        <v>EN_WOF_48_c02_NIC</v>
      </c>
      <c r="AX718" s="11">
        <f t="shared" si="81"/>
        <v>1769</v>
      </c>
      <c r="AY718" s="11">
        <f t="shared" si="82"/>
        <v>1769</v>
      </c>
      <c r="AZ718" s="17">
        <v>3</v>
      </c>
      <c r="BA718">
        <f t="shared" si="83"/>
        <v>17.69</v>
      </c>
    </row>
    <row r="719" spans="2:53">
      <c r="B719" t="s">
        <v>26</v>
      </c>
      <c r="C719" t="s">
        <v>4913</v>
      </c>
      <c r="D719" t="s">
        <v>4914</v>
      </c>
      <c r="E719" t="s">
        <v>29</v>
      </c>
      <c r="F719" t="s">
        <v>30</v>
      </c>
      <c r="G719" t="s">
        <v>31</v>
      </c>
      <c r="J719" t="s">
        <v>4913</v>
      </c>
      <c r="K719" t="s">
        <v>1967</v>
      </c>
      <c r="L719" t="s">
        <v>3280</v>
      </c>
      <c r="M719" s="8">
        <v>1.887</v>
      </c>
      <c r="N719">
        <v>0</v>
      </c>
      <c r="O719">
        <v>1422</v>
      </c>
      <c r="P719" s="9">
        <v>0.517</v>
      </c>
      <c r="Q719" t="s">
        <v>634</v>
      </c>
      <c r="T719" s="15" t="s">
        <v>80</v>
      </c>
      <c r="W719" s="16" t="str">
        <f t="shared" si="77"/>
        <v>EN_WON_52_c01_EGY</v>
      </c>
      <c r="X719" s="12">
        <f t="shared" si="78"/>
        <v>1422</v>
      </c>
      <c r="Y719" s="11">
        <f t="shared" si="79"/>
        <v>1422</v>
      </c>
      <c r="AC719" t="s">
        <v>26</v>
      </c>
      <c r="AD719" t="s">
        <v>4915</v>
      </c>
      <c r="AE719" t="s">
        <v>4916</v>
      </c>
      <c r="AF719" t="s">
        <v>29</v>
      </c>
      <c r="AG719" t="s">
        <v>30</v>
      </c>
      <c r="AH719" t="s">
        <v>31</v>
      </c>
      <c r="AK719" t="s">
        <v>4915</v>
      </c>
      <c r="AL719" t="s">
        <v>1967</v>
      </c>
      <c r="AM719" t="s">
        <v>4884</v>
      </c>
      <c r="AN719" s="8">
        <v>9.83325</v>
      </c>
      <c r="AO719">
        <v>199.694880401046</v>
      </c>
      <c r="AP719">
        <v>1769</v>
      </c>
      <c r="AQ719" s="9">
        <v>0.510188391427046</v>
      </c>
      <c r="AR719" t="s">
        <v>1337</v>
      </c>
      <c r="AT719" s="15" t="s">
        <v>89</v>
      </c>
      <c r="AW719" s="11" t="str">
        <f t="shared" si="80"/>
        <v>EN_WOF_51_c02_NIC</v>
      </c>
      <c r="AX719" s="11">
        <f t="shared" si="81"/>
        <v>1769</v>
      </c>
      <c r="AY719" s="11">
        <f t="shared" si="82"/>
        <v>1769</v>
      </c>
      <c r="AZ719" s="17">
        <v>3</v>
      </c>
      <c r="BA719">
        <f t="shared" si="83"/>
        <v>17.69</v>
      </c>
    </row>
    <row r="720" spans="2:53">
      <c r="B720" t="s">
        <v>26</v>
      </c>
      <c r="C720" t="s">
        <v>4917</v>
      </c>
      <c r="D720" t="s">
        <v>4918</v>
      </c>
      <c r="E720" t="s">
        <v>29</v>
      </c>
      <c r="F720" t="s">
        <v>30</v>
      </c>
      <c r="G720" t="s">
        <v>31</v>
      </c>
      <c r="J720" t="s">
        <v>4917</v>
      </c>
      <c r="K720" t="s">
        <v>1967</v>
      </c>
      <c r="L720" t="s">
        <v>3280</v>
      </c>
      <c r="M720" s="8">
        <v>4.50675</v>
      </c>
      <c r="N720">
        <v>0</v>
      </c>
      <c r="O720">
        <v>1422</v>
      </c>
      <c r="P720" s="9">
        <v>0.588</v>
      </c>
      <c r="Q720" t="s">
        <v>634</v>
      </c>
      <c r="T720" s="15" t="s">
        <v>80</v>
      </c>
      <c r="W720" s="16" t="str">
        <f t="shared" si="77"/>
        <v>EN_WON_59_c01_EGY</v>
      </c>
      <c r="X720" s="12">
        <f t="shared" si="78"/>
        <v>1422</v>
      </c>
      <c r="Y720" s="11">
        <f t="shared" si="79"/>
        <v>1422</v>
      </c>
      <c r="AC720" t="s">
        <v>26</v>
      </c>
      <c r="AD720" t="s">
        <v>4919</v>
      </c>
      <c r="AE720" t="s">
        <v>4920</v>
      </c>
      <c r="AF720" t="s">
        <v>29</v>
      </c>
      <c r="AG720" t="s">
        <v>30</v>
      </c>
      <c r="AH720" t="s">
        <v>31</v>
      </c>
      <c r="AK720" t="s">
        <v>4919</v>
      </c>
      <c r="AL720" t="s">
        <v>1967</v>
      </c>
      <c r="AM720" t="s">
        <v>4884</v>
      </c>
      <c r="AN720" s="8">
        <v>2.90175</v>
      </c>
      <c r="AO720">
        <v>199.694880401046</v>
      </c>
      <c r="AP720">
        <v>1769</v>
      </c>
      <c r="AQ720" s="9">
        <v>0.517</v>
      </c>
      <c r="AR720" t="s">
        <v>1337</v>
      </c>
      <c r="AT720" s="15" t="s">
        <v>89</v>
      </c>
      <c r="AW720" s="11" t="str">
        <f t="shared" si="80"/>
        <v>EN_WOF_52_c02_NIC</v>
      </c>
      <c r="AX720" s="11">
        <f t="shared" si="81"/>
        <v>1769</v>
      </c>
      <c r="AY720" s="11">
        <f t="shared" si="82"/>
        <v>1769</v>
      </c>
      <c r="AZ720" s="17">
        <v>3</v>
      </c>
      <c r="BA720">
        <f t="shared" si="83"/>
        <v>17.69</v>
      </c>
    </row>
    <row r="721" spans="2:53">
      <c r="B721" t="s">
        <v>26</v>
      </c>
      <c r="C721" t="s">
        <v>4921</v>
      </c>
      <c r="D721" t="s">
        <v>4922</v>
      </c>
      <c r="E721" t="s">
        <v>29</v>
      </c>
      <c r="F721" t="s">
        <v>30</v>
      </c>
      <c r="G721" t="s">
        <v>31</v>
      </c>
      <c r="J721" t="s">
        <v>4921</v>
      </c>
      <c r="K721" t="s">
        <v>1967</v>
      </c>
      <c r="L721" t="s">
        <v>3375</v>
      </c>
      <c r="M721" s="8">
        <v>3.3825</v>
      </c>
      <c r="N721">
        <v>80.7856561622413</v>
      </c>
      <c r="O721">
        <v>1952</v>
      </c>
      <c r="P721" s="9">
        <v>0.477</v>
      </c>
      <c r="Q721" t="s">
        <v>652</v>
      </c>
      <c r="T721" s="15" t="s">
        <v>54</v>
      </c>
      <c r="W721" s="16" t="str">
        <f t="shared" si="77"/>
        <v>EN_WON_48_c02_ERI</v>
      </c>
      <c r="X721" s="12">
        <f t="shared" si="78"/>
        <v>1952</v>
      </c>
      <c r="Y721" s="11">
        <f t="shared" si="79"/>
        <v>1952</v>
      </c>
      <c r="AC721" t="s">
        <v>26</v>
      </c>
      <c r="AD721" t="s">
        <v>4923</v>
      </c>
      <c r="AE721" t="s">
        <v>4924</v>
      </c>
      <c r="AF721" t="s">
        <v>29</v>
      </c>
      <c r="AG721" t="s">
        <v>30</v>
      </c>
      <c r="AH721" t="s">
        <v>31</v>
      </c>
      <c r="AK721" t="s">
        <v>4923</v>
      </c>
      <c r="AL721" t="s">
        <v>1967</v>
      </c>
      <c r="AM721" t="s">
        <v>4925</v>
      </c>
      <c r="AN721" s="8">
        <v>1.02075</v>
      </c>
      <c r="AO721">
        <v>199.694880401046</v>
      </c>
      <c r="AP721">
        <v>1779</v>
      </c>
      <c r="AQ721" s="9">
        <v>0.496014695077149</v>
      </c>
      <c r="AR721" t="s">
        <v>1355</v>
      </c>
      <c r="AT721" s="15" t="s">
        <v>69</v>
      </c>
      <c r="AW721" s="11" t="str">
        <f t="shared" si="80"/>
        <v>EN_WOF_50_c02_NLD</v>
      </c>
      <c r="AX721" s="11">
        <f t="shared" si="81"/>
        <v>1779</v>
      </c>
      <c r="AY721" s="11">
        <f t="shared" si="82"/>
        <v>1779</v>
      </c>
      <c r="AZ721" s="17">
        <v>3</v>
      </c>
      <c r="BA721">
        <f t="shared" si="83"/>
        <v>17.79</v>
      </c>
    </row>
    <row r="722" spans="2:53">
      <c r="B722" t="s">
        <v>26</v>
      </c>
      <c r="C722" t="s">
        <v>4926</v>
      </c>
      <c r="D722" t="s">
        <v>4927</v>
      </c>
      <c r="E722" t="s">
        <v>29</v>
      </c>
      <c r="F722" t="s">
        <v>30</v>
      </c>
      <c r="G722" t="s">
        <v>31</v>
      </c>
      <c r="J722" t="s">
        <v>4926</v>
      </c>
      <c r="K722" t="s">
        <v>1967</v>
      </c>
      <c r="L722" t="s">
        <v>3375</v>
      </c>
      <c r="M722" s="8">
        <v>0.56475</v>
      </c>
      <c r="N722">
        <v>105.747516212372</v>
      </c>
      <c r="O722">
        <v>1952</v>
      </c>
      <c r="P722" s="9">
        <v>0.48</v>
      </c>
      <c r="Q722" t="s">
        <v>652</v>
      </c>
      <c r="T722" s="15" t="s">
        <v>54</v>
      </c>
      <c r="W722" s="16" t="str">
        <f t="shared" si="77"/>
        <v>EN_WON_48_c03_ERI</v>
      </c>
      <c r="X722" s="12">
        <f t="shared" si="78"/>
        <v>1952</v>
      </c>
      <c r="Y722" s="11">
        <f t="shared" si="79"/>
        <v>1952</v>
      </c>
      <c r="AC722" t="s">
        <v>26</v>
      </c>
      <c r="AD722" t="s">
        <v>4928</v>
      </c>
      <c r="AE722" t="s">
        <v>4929</v>
      </c>
      <c r="AF722" t="s">
        <v>29</v>
      </c>
      <c r="AG722" t="s">
        <v>30</v>
      </c>
      <c r="AH722" t="s">
        <v>31</v>
      </c>
      <c r="AK722" t="s">
        <v>4928</v>
      </c>
      <c r="AL722" t="s">
        <v>1967</v>
      </c>
      <c r="AM722" t="s">
        <v>4930</v>
      </c>
      <c r="AN722" s="8">
        <v>7.93125</v>
      </c>
      <c r="AO722">
        <v>199.694880401046</v>
      </c>
      <c r="AP722">
        <v>1778</v>
      </c>
      <c r="AQ722" s="9">
        <v>0.303540425531915</v>
      </c>
      <c r="AR722" t="s">
        <v>1361</v>
      </c>
      <c r="AT722" s="15" t="s">
        <v>69</v>
      </c>
      <c r="AW722" s="11" t="str">
        <f t="shared" si="80"/>
        <v>EN_WOF_30_c02_NOR</v>
      </c>
      <c r="AX722" s="11">
        <f t="shared" si="81"/>
        <v>1778</v>
      </c>
      <c r="AY722" s="11">
        <f t="shared" si="82"/>
        <v>1778</v>
      </c>
      <c r="AZ722" s="17">
        <v>3</v>
      </c>
      <c r="BA722">
        <f t="shared" si="83"/>
        <v>17.78</v>
      </c>
    </row>
    <row r="723" spans="2:53">
      <c r="B723" t="s">
        <v>26</v>
      </c>
      <c r="C723" t="s">
        <v>4931</v>
      </c>
      <c r="D723" t="s">
        <v>4932</v>
      </c>
      <c r="E723" t="s">
        <v>29</v>
      </c>
      <c r="F723" t="s">
        <v>30</v>
      </c>
      <c r="G723" t="s">
        <v>31</v>
      </c>
      <c r="J723" t="s">
        <v>4931</v>
      </c>
      <c r="K723" t="s">
        <v>1967</v>
      </c>
      <c r="L723" t="s">
        <v>3375</v>
      </c>
      <c r="M723" s="8">
        <v>0.86325</v>
      </c>
      <c r="N723">
        <v>0</v>
      </c>
      <c r="O723">
        <v>1952</v>
      </c>
      <c r="P723" s="9">
        <v>0.491</v>
      </c>
      <c r="Q723" t="s">
        <v>652</v>
      </c>
      <c r="T723" s="15" t="s">
        <v>54</v>
      </c>
      <c r="W723" s="16" t="str">
        <f t="shared" si="77"/>
        <v>EN_WON_49_c01_ERI</v>
      </c>
      <c r="X723" s="12">
        <f t="shared" si="78"/>
        <v>1952</v>
      </c>
      <c r="Y723" s="11">
        <f t="shared" si="79"/>
        <v>1952</v>
      </c>
      <c r="AC723" t="s">
        <v>26</v>
      </c>
      <c r="AD723" t="s">
        <v>4933</v>
      </c>
      <c r="AE723" t="s">
        <v>4934</v>
      </c>
      <c r="AF723" t="s">
        <v>29</v>
      </c>
      <c r="AG723" t="s">
        <v>30</v>
      </c>
      <c r="AH723" t="s">
        <v>31</v>
      </c>
      <c r="AK723" t="s">
        <v>4933</v>
      </c>
      <c r="AL723" t="s">
        <v>1967</v>
      </c>
      <c r="AM723" t="s">
        <v>4930</v>
      </c>
      <c r="AN723" s="8">
        <v>7.836</v>
      </c>
      <c r="AO723">
        <v>199.694880401046</v>
      </c>
      <c r="AP723">
        <v>1778</v>
      </c>
      <c r="AQ723" s="9">
        <v>0.309724253445636</v>
      </c>
      <c r="AR723" t="s">
        <v>1361</v>
      </c>
      <c r="AT723" s="15" t="s">
        <v>69</v>
      </c>
      <c r="AW723" s="11" t="str">
        <f t="shared" si="80"/>
        <v>EN_WOF_31_c02_NOR</v>
      </c>
      <c r="AX723" s="11">
        <f t="shared" si="81"/>
        <v>1778</v>
      </c>
      <c r="AY723" s="11">
        <f t="shared" si="82"/>
        <v>1778</v>
      </c>
      <c r="AZ723" s="17">
        <v>3</v>
      </c>
      <c r="BA723">
        <f t="shared" si="83"/>
        <v>17.78</v>
      </c>
    </row>
    <row r="724" spans="2:53">
      <c r="B724" t="s">
        <v>26</v>
      </c>
      <c r="C724" t="s">
        <v>4935</v>
      </c>
      <c r="D724" t="s">
        <v>4936</v>
      </c>
      <c r="E724" t="s">
        <v>29</v>
      </c>
      <c r="F724" t="s">
        <v>30</v>
      </c>
      <c r="G724" t="s">
        <v>31</v>
      </c>
      <c r="J724" t="s">
        <v>4935</v>
      </c>
      <c r="K724" t="s">
        <v>1967</v>
      </c>
      <c r="L724" t="s">
        <v>3375</v>
      </c>
      <c r="M724" s="8">
        <v>1.803</v>
      </c>
      <c r="N724">
        <v>80.7856561622413</v>
      </c>
      <c r="O724">
        <v>1952</v>
      </c>
      <c r="P724" s="9">
        <v>0.498</v>
      </c>
      <c r="Q724" t="s">
        <v>652</v>
      </c>
      <c r="T724" s="15" t="s">
        <v>54</v>
      </c>
      <c r="W724" s="16" t="str">
        <f t="shared" si="77"/>
        <v>EN_WON_50_c02_ERI</v>
      </c>
      <c r="X724" s="12">
        <f t="shared" si="78"/>
        <v>1952</v>
      </c>
      <c r="Y724" s="11">
        <f t="shared" si="79"/>
        <v>1952</v>
      </c>
      <c r="AC724" t="s">
        <v>26</v>
      </c>
      <c r="AD724" t="s">
        <v>4937</v>
      </c>
      <c r="AE724" t="s">
        <v>4938</v>
      </c>
      <c r="AF724" t="s">
        <v>29</v>
      </c>
      <c r="AG724" t="s">
        <v>30</v>
      </c>
      <c r="AH724" t="s">
        <v>31</v>
      </c>
      <c r="AK724" t="s">
        <v>4937</v>
      </c>
      <c r="AL724" t="s">
        <v>1967</v>
      </c>
      <c r="AM724" t="s">
        <v>4930</v>
      </c>
      <c r="AN724" s="8">
        <v>4.56975</v>
      </c>
      <c r="AO724">
        <v>199.694880401046</v>
      </c>
      <c r="AP724">
        <v>1778</v>
      </c>
      <c r="AQ724" s="9">
        <v>0.317853930740194</v>
      </c>
      <c r="AR724" t="s">
        <v>1361</v>
      </c>
      <c r="AT724" s="15" t="s">
        <v>69</v>
      </c>
      <c r="AW724" s="11" t="str">
        <f t="shared" si="80"/>
        <v>EN_WOF_32_c02_NOR</v>
      </c>
      <c r="AX724" s="11">
        <f t="shared" si="81"/>
        <v>1778</v>
      </c>
      <c r="AY724" s="11">
        <f t="shared" si="82"/>
        <v>1778</v>
      </c>
      <c r="AZ724" s="17">
        <v>3</v>
      </c>
      <c r="BA724">
        <f t="shared" si="83"/>
        <v>17.78</v>
      </c>
    </row>
    <row r="725" spans="2:53">
      <c r="B725" t="s">
        <v>26</v>
      </c>
      <c r="C725" t="s">
        <v>4939</v>
      </c>
      <c r="D725" t="s">
        <v>4940</v>
      </c>
      <c r="E725" t="s">
        <v>29</v>
      </c>
      <c r="F725" t="s">
        <v>30</v>
      </c>
      <c r="G725" t="s">
        <v>31</v>
      </c>
      <c r="J725" t="s">
        <v>4939</v>
      </c>
      <c r="K725" t="s">
        <v>1967</v>
      </c>
      <c r="L725" t="s">
        <v>3408</v>
      </c>
      <c r="M725" s="8">
        <v>1.89675</v>
      </c>
      <c r="N725">
        <v>80.7856561622413</v>
      </c>
      <c r="O725">
        <v>1552</v>
      </c>
      <c r="P725" s="9">
        <v>0.161394226967181</v>
      </c>
      <c r="Q725" t="s">
        <v>656</v>
      </c>
      <c r="T725" s="15" t="s">
        <v>69</v>
      </c>
      <c r="W725" s="16" t="str">
        <f t="shared" si="77"/>
        <v>EN_WON_16_c02_ESP</v>
      </c>
      <c r="X725" s="12">
        <f t="shared" si="78"/>
        <v>1552</v>
      </c>
      <c r="Y725" s="11">
        <f t="shared" si="79"/>
        <v>1552</v>
      </c>
      <c r="AC725" t="s">
        <v>26</v>
      </c>
      <c r="AD725" t="s">
        <v>4941</v>
      </c>
      <c r="AE725" t="s">
        <v>4942</v>
      </c>
      <c r="AF725" t="s">
        <v>29</v>
      </c>
      <c r="AG725" t="s">
        <v>30</v>
      </c>
      <c r="AH725" t="s">
        <v>31</v>
      </c>
      <c r="AK725" t="s">
        <v>4941</v>
      </c>
      <c r="AL725" t="s">
        <v>1967</v>
      </c>
      <c r="AM725" t="s">
        <v>4930</v>
      </c>
      <c r="AN725" s="8">
        <v>3.57825</v>
      </c>
      <c r="AO725">
        <v>199.694880401046</v>
      </c>
      <c r="AP725">
        <v>1778</v>
      </c>
      <c r="AQ725" s="9">
        <v>0.332</v>
      </c>
      <c r="AR725" t="s">
        <v>1361</v>
      </c>
      <c r="AT725" s="15" t="s">
        <v>69</v>
      </c>
      <c r="AW725" s="11" t="str">
        <f t="shared" si="80"/>
        <v>EN_WOF_33_c02_NOR</v>
      </c>
      <c r="AX725" s="11">
        <f t="shared" si="81"/>
        <v>1778</v>
      </c>
      <c r="AY725" s="11">
        <f t="shared" si="82"/>
        <v>1778</v>
      </c>
      <c r="AZ725" s="17">
        <v>3</v>
      </c>
      <c r="BA725">
        <f t="shared" si="83"/>
        <v>17.78</v>
      </c>
    </row>
    <row r="726" spans="2:53">
      <c r="B726" t="s">
        <v>26</v>
      </c>
      <c r="C726" t="s">
        <v>4943</v>
      </c>
      <c r="D726" t="s">
        <v>4944</v>
      </c>
      <c r="E726" t="s">
        <v>29</v>
      </c>
      <c r="F726" t="s">
        <v>30</v>
      </c>
      <c r="G726" t="s">
        <v>31</v>
      </c>
      <c r="J726" t="s">
        <v>4943</v>
      </c>
      <c r="K726" t="s">
        <v>1967</v>
      </c>
      <c r="L726" t="s">
        <v>3408</v>
      </c>
      <c r="M726" s="8">
        <v>7.41825</v>
      </c>
      <c r="N726">
        <v>80.7856561622413</v>
      </c>
      <c r="O726">
        <v>1552</v>
      </c>
      <c r="P726" s="9">
        <v>0.171300070771408</v>
      </c>
      <c r="Q726" t="s">
        <v>656</v>
      </c>
      <c r="T726" s="15" t="s">
        <v>69</v>
      </c>
      <c r="W726" s="16" t="str">
        <f t="shared" si="77"/>
        <v>EN_WON_17_c02_ESP</v>
      </c>
      <c r="X726" s="12">
        <f t="shared" si="78"/>
        <v>1552</v>
      </c>
      <c r="Y726" s="11">
        <f t="shared" si="79"/>
        <v>1552</v>
      </c>
      <c r="AC726" t="s">
        <v>26</v>
      </c>
      <c r="AD726" t="s">
        <v>4945</v>
      </c>
      <c r="AE726" t="s">
        <v>4946</v>
      </c>
      <c r="AF726" t="s">
        <v>29</v>
      </c>
      <c r="AG726" t="s">
        <v>30</v>
      </c>
      <c r="AH726" t="s">
        <v>31</v>
      </c>
      <c r="AK726" t="s">
        <v>4945</v>
      </c>
      <c r="AL726" t="s">
        <v>1967</v>
      </c>
      <c r="AM726" t="s">
        <v>4930</v>
      </c>
      <c r="AN726" s="8">
        <v>4.6065</v>
      </c>
      <c r="AO726">
        <v>199.694880401046</v>
      </c>
      <c r="AP726">
        <v>1778</v>
      </c>
      <c r="AQ726" s="9">
        <v>0.335371214588082</v>
      </c>
      <c r="AR726" t="s">
        <v>1361</v>
      </c>
      <c r="AT726" s="15" t="s">
        <v>69</v>
      </c>
      <c r="AW726" s="11" t="str">
        <f t="shared" si="80"/>
        <v>EN_WOF_34_c02_NOR</v>
      </c>
      <c r="AX726" s="11">
        <f t="shared" si="81"/>
        <v>1778</v>
      </c>
      <c r="AY726" s="11">
        <f t="shared" si="82"/>
        <v>1778</v>
      </c>
      <c r="AZ726" s="17">
        <v>3</v>
      </c>
      <c r="BA726">
        <f t="shared" si="83"/>
        <v>17.78</v>
      </c>
    </row>
    <row r="727" spans="2:53">
      <c r="B727" t="s">
        <v>26</v>
      </c>
      <c r="C727" t="s">
        <v>4947</v>
      </c>
      <c r="D727" t="s">
        <v>4948</v>
      </c>
      <c r="E727" t="s">
        <v>29</v>
      </c>
      <c r="F727" t="s">
        <v>30</v>
      </c>
      <c r="G727" t="s">
        <v>31</v>
      </c>
      <c r="J727" t="s">
        <v>4947</v>
      </c>
      <c r="K727" t="s">
        <v>1967</v>
      </c>
      <c r="L727" t="s">
        <v>3408</v>
      </c>
      <c r="M727" s="8">
        <v>0.8475</v>
      </c>
      <c r="N727">
        <v>105.747516212372</v>
      </c>
      <c r="O727">
        <v>1552</v>
      </c>
      <c r="P727" s="9">
        <v>0.173017699115044</v>
      </c>
      <c r="Q727" t="s">
        <v>656</v>
      </c>
      <c r="T727" s="15" t="s">
        <v>69</v>
      </c>
      <c r="W727" s="16" t="str">
        <f t="shared" si="77"/>
        <v>EN_WON_17_c03_ESP</v>
      </c>
      <c r="X727" s="12">
        <f t="shared" si="78"/>
        <v>1552</v>
      </c>
      <c r="Y727" s="11">
        <f t="shared" si="79"/>
        <v>1552</v>
      </c>
      <c r="AC727" t="s">
        <v>26</v>
      </c>
      <c r="AD727" t="s">
        <v>4949</v>
      </c>
      <c r="AE727" t="s">
        <v>4950</v>
      </c>
      <c r="AF727" t="s">
        <v>29</v>
      </c>
      <c r="AG727" t="s">
        <v>30</v>
      </c>
      <c r="AH727" t="s">
        <v>31</v>
      </c>
      <c r="AK727" t="s">
        <v>4949</v>
      </c>
      <c r="AL727" t="s">
        <v>1967</v>
      </c>
      <c r="AM727" t="s">
        <v>4930</v>
      </c>
      <c r="AN727" s="8">
        <v>3.22275</v>
      </c>
      <c r="AO727">
        <v>199.694880401046</v>
      </c>
      <c r="AP727">
        <v>1778</v>
      </c>
      <c r="AQ727" s="9">
        <v>0.34510612054922</v>
      </c>
      <c r="AR727" t="s">
        <v>1361</v>
      </c>
      <c r="AT727" s="15" t="s">
        <v>69</v>
      </c>
      <c r="AW727" s="11" t="str">
        <f t="shared" si="80"/>
        <v>EN_WOF_35_c02_NOR</v>
      </c>
      <c r="AX727" s="11">
        <f t="shared" si="81"/>
        <v>1778</v>
      </c>
      <c r="AY727" s="11">
        <f t="shared" si="82"/>
        <v>1778</v>
      </c>
      <c r="AZ727" s="17">
        <v>3</v>
      </c>
      <c r="BA727">
        <f t="shared" si="83"/>
        <v>17.78</v>
      </c>
    </row>
    <row r="728" spans="2:53">
      <c r="B728" t="s">
        <v>26</v>
      </c>
      <c r="C728" t="s">
        <v>4951</v>
      </c>
      <c r="D728" t="s">
        <v>4952</v>
      </c>
      <c r="E728" t="s">
        <v>29</v>
      </c>
      <c r="F728" t="s">
        <v>30</v>
      </c>
      <c r="G728" t="s">
        <v>31</v>
      </c>
      <c r="J728" t="s">
        <v>4951</v>
      </c>
      <c r="K728" t="s">
        <v>1967</v>
      </c>
      <c r="L728" t="s">
        <v>3408</v>
      </c>
      <c r="M728" s="8">
        <v>8.964</v>
      </c>
      <c r="N728">
        <v>80.7856561622413</v>
      </c>
      <c r="O728">
        <v>1552</v>
      </c>
      <c r="P728" s="9">
        <v>0.179607848058902</v>
      </c>
      <c r="Q728" t="s">
        <v>656</v>
      </c>
      <c r="T728" s="15" t="s">
        <v>69</v>
      </c>
      <c r="W728" s="16" t="str">
        <f t="shared" si="77"/>
        <v>EN_WON_18_c02_ESP</v>
      </c>
      <c r="X728" s="12">
        <f t="shared" si="78"/>
        <v>1552</v>
      </c>
      <c r="Y728" s="11">
        <f t="shared" si="79"/>
        <v>1552</v>
      </c>
      <c r="AC728" t="s">
        <v>26</v>
      </c>
      <c r="AD728" t="s">
        <v>4953</v>
      </c>
      <c r="AE728" t="s">
        <v>4954</v>
      </c>
      <c r="AF728" t="s">
        <v>29</v>
      </c>
      <c r="AG728" t="s">
        <v>30</v>
      </c>
      <c r="AH728" t="s">
        <v>31</v>
      </c>
      <c r="AK728" t="s">
        <v>4953</v>
      </c>
      <c r="AL728" t="s">
        <v>1967</v>
      </c>
      <c r="AM728" t="s">
        <v>4930</v>
      </c>
      <c r="AN728" s="8">
        <v>9.63525</v>
      </c>
      <c r="AO728">
        <v>199.694880401046</v>
      </c>
      <c r="AP728">
        <v>1778</v>
      </c>
      <c r="AQ728" s="9">
        <v>0.356055421499183</v>
      </c>
      <c r="AR728" t="s">
        <v>1361</v>
      </c>
      <c r="AT728" s="15" t="s">
        <v>69</v>
      </c>
      <c r="AW728" s="11" t="str">
        <f t="shared" si="80"/>
        <v>EN_WOF_36_c02_NOR</v>
      </c>
      <c r="AX728" s="11">
        <f t="shared" si="81"/>
        <v>1778</v>
      </c>
      <c r="AY728" s="11">
        <f t="shared" si="82"/>
        <v>1778</v>
      </c>
      <c r="AZ728" s="17">
        <v>3</v>
      </c>
      <c r="BA728">
        <f t="shared" si="83"/>
        <v>17.78</v>
      </c>
    </row>
    <row r="729" spans="2:53">
      <c r="B729" t="s">
        <v>26</v>
      </c>
      <c r="C729" t="s">
        <v>4955</v>
      </c>
      <c r="D729" t="s">
        <v>4956</v>
      </c>
      <c r="E729" t="s">
        <v>29</v>
      </c>
      <c r="F729" t="s">
        <v>30</v>
      </c>
      <c r="G729" t="s">
        <v>31</v>
      </c>
      <c r="J729" t="s">
        <v>4955</v>
      </c>
      <c r="K729" t="s">
        <v>1967</v>
      </c>
      <c r="L729" t="s">
        <v>3408</v>
      </c>
      <c r="M729" s="8">
        <v>2.96175</v>
      </c>
      <c r="N729">
        <v>105.747516212372</v>
      </c>
      <c r="O729">
        <v>1552</v>
      </c>
      <c r="P729" s="9">
        <v>0.179611547227146</v>
      </c>
      <c r="Q729" t="s">
        <v>656</v>
      </c>
      <c r="T729" s="15" t="s">
        <v>69</v>
      </c>
      <c r="W729" s="16" t="str">
        <f t="shared" si="77"/>
        <v>EN_WON_18_c03_ESP</v>
      </c>
      <c r="X729" s="12">
        <f t="shared" si="78"/>
        <v>1552</v>
      </c>
      <c r="Y729" s="11">
        <f t="shared" si="79"/>
        <v>1552</v>
      </c>
      <c r="AC729" t="s">
        <v>26</v>
      </c>
      <c r="AD729" t="s">
        <v>4957</v>
      </c>
      <c r="AE729" t="s">
        <v>4958</v>
      </c>
      <c r="AF729" t="s">
        <v>29</v>
      </c>
      <c r="AG729" t="s">
        <v>30</v>
      </c>
      <c r="AH729" t="s">
        <v>31</v>
      </c>
      <c r="AK729" t="s">
        <v>4957</v>
      </c>
      <c r="AL729" t="s">
        <v>1967</v>
      </c>
      <c r="AM729" t="s">
        <v>4930</v>
      </c>
      <c r="AN729" s="8">
        <v>16.35225</v>
      </c>
      <c r="AO729">
        <v>199.694880401046</v>
      </c>
      <c r="AP729">
        <v>1778</v>
      </c>
      <c r="AQ729" s="9">
        <v>0.373572077237077</v>
      </c>
      <c r="AR729" t="s">
        <v>1361</v>
      </c>
      <c r="AT729" s="15" t="s">
        <v>69</v>
      </c>
      <c r="AW729" s="11" t="str">
        <f t="shared" si="80"/>
        <v>EN_WOF_37_c02_NOR</v>
      </c>
      <c r="AX729" s="11">
        <f t="shared" si="81"/>
        <v>1778</v>
      </c>
      <c r="AY729" s="11">
        <f t="shared" si="82"/>
        <v>1778</v>
      </c>
      <c r="AZ729" s="17">
        <v>3</v>
      </c>
      <c r="BA729">
        <f t="shared" si="83"/>
        <v>17.78</v>
      </c>
    </row>
    <row r="730" spans="2:53">
      <c r="B730" t="s">
        <v>26</v>
      </c>
      <c r="C730" t="s">
        <v>4959</v>
      </c>
      <c r="D730" t="s">
        <v>4960</v>
      </c>
      <c r="E730" t="s">
        <v>29</v>
      </c>
      <c r="F730" t="s">
        <v>30</v>
      </c>
      <c r="G730" t="s">
        <v>31</v>
      </c>
      <c r="J730" t="s">
        <v>4959</v>
      </c>
      <c r="K730" t="s">
        <v>1967</v>
      </c>
      <c r="L730" t="s">
        <v>3408</v>
      </c>
      <c r="M730" s="8">
        <v>7.9665</v>
      </c>
      <c r="N730">
        <v>80.7856561622413</v>
      </c>
      <c r="O730">
        <v>1552</v>
      </c>
      <c r="P730" s="9">
        <v>0.189025795518735</v>
      </c>
      <c r="Q730" t="s">
        <v>656</v>
      </c>
      <c r="T730" s="15" t="s">
        <v>69</v>
      </c>
      <c r="W730" s="16" t="str">
        <f t="shared" si="77"/>
        <v>EN_WON_19_c02_ESP</v>
      </c>
      <c r="X730" s="12">
        <f t="shared" si="78"/>
        <v>1552</v>
      </c>
      <c r="Y730" s="11">
        <f t="shared" si="79"/>
        <v>1552</v>
      </c>
      <c r="AC730" t="s">
        <v>26</v>
      </c>
      <c r="AD730" t="s">
        <v>4961</v>
      </c>
      <c r="AE730" t="s">
        <v>4962</v>
      </c>
      <c r="AF730" t="s">
        <v>29</v>
      </c>
      <c r="AG730" t="s">
        <v>30</v>
      </c>
      <c r="AH730" t="s">
        <v>31</v>
      </c>
      <c r="AK730" t="s">
        <v>4961</v>
      </c>
      <c r="AL730" t="s">
        <v>1967</v>
      </c>
      <c r="AM730" t="s">
        <v>4930</v>
      </c>
      <c r="AN730" s="8">
        <v>28.794</v>
      </c>
      <c r="AO730">
        <v>199.694880401046</v>
      </c>
      <c r="AP730">
        <v>1778</v>
      </c>
      <c r="AQ730" s="9">
        <v>0.379056704521775</v>
      </c>
      <c r="AR730" t="s">
        <v>1361</v>
      </c>
      <c r="AT730" s="15" t="s">
        <v>69</v>
      </c>
      <c r="AW730" s="11" t="str">
        <f t="shared" si="80"/>
        <v>EN_WOF_38_c02_NOR</v>
      </c>
      <c r="AX730" s="11">
        <f t="shared" si="81"/>
        <v>1778</v>
      </c>
      <c r="AY730" s="11">
        <f t="shared" si="82"/>
        <v>1778</v>
      </c>
      <c r="AZ730" s="17">
        <v>3</v>
      </c>
      <c r="BA730">
        <f t="shared" si="83"/>
        <v>17.78</v>
      </c>
    </row>
    <row r="731" spans="2:53">
      <c r="B731" t="s">
        <v>26</v>
      </c>
      <c r="C731" t="s">
        <v>4963</v>
      </c>
      <c r="D731" t="s">
        <v>4964</v>
      </c>
      <c r="E731" t="s">
        <v>29</v>
      </c>
      <c r="F731" t="s">
        <v>30</v>
      </c>
      <c r="G731" t="s">
        <v>31</v>
      </c>
      <c r="J731" t="s">
        <v>4963</v>
      </c>
      <c r="K731" t="s">
        <v>1967</v>
      </c>
      <c r="L731" t="s">
        <v>3408</v>
      </c>
      <c r="M731" s="8">
        <v>2.9895</v>
      </c>
      <c r="N731">
        <v>105.747516212372</v>
      </c>
      <c r="O731">
        <v>1552</v>
      </c>
      <c r="P731" s="9">
        <v>0.191296788760662</v>
      </c>
      <c r="Q731" t="s">
        <v>656</v>
      </c>
      <c r="T731" s="15" t="s">
        <v>69</v>
      </c>
      <c r="W731" s="16" t="str">
        <f t="shared" si="77"/>
        <v>EN_WON_19_c03_ESP</v>
      </c>
      <c r="X731" s="12">
        <f t="shared" si="78"/>
        <v>1552</v>
      </c>
      <c r="Y731" s="11">
        <f t="shared" si="79"/>
        <v>1552</v>
      </c>
      <c r="AC731" t="s">
        <v>26</v>
      </c>
      <c r="AD731" t="s">
        <v>4965</v>
      </c>
      <c r="AE731" t="s">
        <v>4966</v>
      </c>
      <c r="AF731" t="s">
        <v>29</v>
      </c>
      <c r="AG731" t="s">
        <v>30</v>
      </c>
      <c r="AH731" t="s">
        <v>31</v>
      </c>
      <c r="AK731" t="s">
        <v>4965</v>
      </c>
      <c r="AL731" t="s">
        <v>1967</v>
      </c>
      <c r="AM731" t="s">
        <v>4930</v>
      </c>
      <c r="AN731" s="8">
        <v>13.75875</v>
      </c>
      <c r="AO731">
        <v>199.694880401046</v>
      </c>
      <c r="AP731">
        <v>1778</v>
      </c>
      <c r="AQ731" s="9">
        <v>0.391604251839738</v>
      </c>
      <c r="AR731" t="s">
        <v>1361</v>
      </c>
      <c r="AT731" s="15" t="s">
        <v>69</v>
      </c>
      <c r="AW731" s="11" t="str">
        <f t="shared" si="80"/>
        <v>EN_WOF_39_c02_NOR</v>
      </c>
      <c r="AX731" s="11">
        <f t="shared" si="81"/>
        <v>1778</v>
      </c>
      <c r="AY731" s="11">
        <f t="shared" si="82"/>
        <v>1778</v>
      </c>
      <c r="AZ731" s="17">
        <v>3</v>
      </c>
      <c r="BA731">
        <f t="shared" si="83"/>
        <v>17.78</v>
      </c>
    </row>
    <row r="732" spans="2:53">
      <c r="B732" t="s">
        <v>26</v>
      </c>
      <c r="C732" t="s">
        <v>4967</v>
      </c>
      <c r="D732" t="s">
        <v>4968</v>
      </c>
      <c r="E732" t="s">
        <v>29</v>
      </c>
      <c r="F732" t="s">
        <v>30</v>
      </c>
      <c r="G732" t="s">
        <v>31</v>
      </c>
      <c r="J732" t="s">
        <v>4967</v>
      </c>
      <c r="K732" t="s">
        <v>1967</v>
      </c>
      <c r="L732" t="s">
        <v>3408</v>
      </c>
      <c r="M732" s="8">
        <v>10.53375</v>
      </c>
      <c r="N732">
        <v>80.7856561622413</v>
      </c>
      <c r="O732">
        <v>1552</v>
      </c>
      <c r="P732" s="9">
        <v>0.199568316126736</v>
      </c>
      <c r="Q732" t="s">
        <v>656</v>
      </c>
      <c r="T732" s="15" t="s">
        <v>69</v>
      </c>
      <c r="W732" s="16" t="str">
        <f t="shared" si="77"/>
        <v>EN_WON_20_c02_ESP</v>
      </c>
      <c r="X732" s="12">
        <f t="shared" si="78"/>
        <v>1552</v>
      </c>
      <c r="Y732" s="11">
        <f t="shared" si="79"/>
        <v>1552</v>
      </c>
      <c r="AC732" t="s">
        <v>26</v>
      </c>
      <c r="AD732" t="s">
        <v>4969</v>
      </c>
      <c r="AE732" t="s">
        <v>4970</v>
      </c>
      <c r="AF732" t="s">
        <v>29</v>
      </c>
      <c r="AG732" t="s">
        <v>30</v>
      </c>
      <c r="AH732" t="s">
        <v>31</v>
      </c>
      <c r="AK732" t="s">
        <v>4969</v>
      </c>
      <c r="AL732" t="s">
        <v>1967</v>
      </c>
      <c r="AM732" t="s">
        <v>4930</v>
      </c>
      <c r="AN732" s="8">
        <v>14.28375</v>
      </c>
      <c r="AO732">
        <v>199.694880401046</v>
      </c>
      <c r="AP732">
        <v>1778</v>
      </c>
      <c r="AQ732" s="9">
        <v>0.40123055920189</v>
      </c>
      <c r="AR732" t="s">
        <v>1361</v>
      </c>
      <c r="AT732" s="15" t="s">
        <v>69</v>
      </c>
      <c r="AW732" s="11" t="str">
        <f t="shared" si="80"/>
        <v>EN_WOF_40_c02_NOR</v>
      </c>
      <c r="AX732" s="11">
        <f t="shared" si="81"/>
        <v>1778</v>
      </c>
      <c r="AY732" s="11">
        <f t="shared" si="82"/>
        <v>1778</v>
      </c>
      <c r="AZ732" s="17">
        <v>3</v>
      </c>
      <c r="BA732">
        <f t="shared" si="83"/>
        <v>17.78</v>
      </c>
    </row>
    <row r="733" spans="2:53">
      <c r="B733" t="s">
        <v>26</v>
      </c>
      <c r="C733" t="s">
        <v>4971</v>
      </c>
      <c r="D733" t="s">
        <v>4972</v>
      </c>
      <c r="E733" t="s">
        <v>29</v>
      </c>
      <c r="F733" t="s">
        <v>30</v>
      </c>
      <c r="G733" t="s">
        <v>31</v>
      </c>
      <c r="J733" t="s">
        <v>4971</v>
      </c>
      <c r="K733" t="s">
        <v>1967</v>
      </c>
      <c r="L733" t="s">
        <v>3408</v>
      </c>
      <c r="M733" s="8">
        <v>4.07625</v>
      </c>
      <c r="N733">
        <v>105.747516212372</v>
      </c>
      <c r="O733">
        <v>1552</v>
      </c>
      <c r="P733" s="9">
        <v>0.199421159153634</v>
      </c>
      <c r="Q733" t="s">
        <v>656</v>
      </c>
      <c r="T733" s="15" t="s">
        <v>69</v>
      </c>
      <c r="W733" s="16" t="str">
        <f t="shared" si="77"/>
        <v>EN_WON_20_c03_ESP</v>
      </c>
      <c r="X733" s="12">
        <f t="shared" si="78"/>
        <v>1552</v>
      </c>
      <c r="Y733" s="11">
        <f t="shared" si="79"/>
        <v>1552</v>
      </c>
      <c r="AC733" t="s">
        <v>26</v>
      </c>
      <c r="AD733" t="s">
        <v>4973</v>
      </c>
      <c r="AE733" t="s">
        <v>4974</v>
      </c>
      <c r="AF733" t="s">
        <v>29</v>
      </c>
      <c r="AG733" t="s">
        <v>30</v>
      </c>
      <c r="AH733" t="s">
        <v>31</v>
      </c>
      <c r="AK733" t="s">
        <v>4973</v>
      </c>
      <c r="AL733" t="s">
        <v>1967</v>
      </c>
      <c r="AM733" t="s">
        <v>4930</v>
      </c>
      <c r="AN733" s="8">
        <v>71.72175</v>
      </c>
      <c r="AO733">
        <v>199.694880401046</v>
      </c>
      <c r="AP733">
        <v>1778</v>
      </c>
      <c r="AQ733" s="9">
        <v>0.409205544343243</v>
      </c>
      <c r="AR733" t="s">
        <v>1361</v>
      </c>
      <c r="AT733" s="15" t="s">
        <v>69</v>
      </c>
      <c r="AW733" s="11" t="str">
        <f t="shared" si="80"/>
        <v>EN_WOF_41_c02_NOR</v>
      </c>
      <c r="AX733" s="11">
        <f t="shared" si="81"/>
        <v>1778</v>
      </c>
      <c r="AY733" s="11">
        <f t="shared" si="82"/>
        <v>1778</v>
      </c>
      <c r="AZ733" s="17">
        <v>3</v>
      </c>
      <c r="BA733">
        <f t="shared" si="83"/>
        <v>17.78</v>
      </c>
    </row>
    <row r="734" spans="2:53">
      <c r="B734" t="s">
        <v>26</v>
      </c>
      <c r="C734" t="s">
        <v>4975</v>
      </c>
      <c r="D734" t="s">
        <v>4976</v>
      </c>
      <c r="E734" t="s">
        <v>29</v>
      </c>
      <c r="F734" t="s">
        <v>30</v>
      </c>
      <c r="G734" t="s">
        <v>31</v>
      </c>
      <c r="J734" t="s">
        <v>4975</v>
      </c>
      <c r="K734" t="s">
        <v>1967</v>
      </c>
      <c r="L734" t="s">
        <v>3408</v>
      </c>
      <c r="M734" s="8">
        <v>10.41375</v>
      </c>
      <c r="N734">
        <v>80.7856561622413</v>
      </c>
      <c r="O734">
        <v>1552</v>
      </c>
      <c r="P734" s="9">
        <v>0.208121498019445</v>
      </c>
      <c r="Q734" t="s">
        <v>656</v>
      </c>
      <c r="T734" s="15" t="s">
        <v>69</v>
      </c>
      <c r="W734" s="16" t="str">
        <f t="shared" si="77"/>
        <v>EN_WON_21_c02_ESP</v>
      </c>
      <c r="X734" s="12">
        <f t="shared" si="78"/>
        <v>1552</v>
      </c>
      <c r="Y734" s="11">
        <f t="shared" si="79"/>
        <v>1552</v>
      </c>
      <c r="AC734" t="s">
        <v>26</v>
      </c>
      <c r="AD734" t="s">
        <v>4977</v>
      </c>
      <c r="AE734" t="s">
        <v>4978</v>
      </c>
      <c r="AF734" t="s">
        <v>29</v>
      </c>
      <c r="AG734" t="s">
        <v>30</v>
      </c>
      <c r="AH734" t="s">
        <v>31</v>
      </c>
      <c r="AK734" t="s">
        <v>4977</v>
      </c>
      <c r="AL734" t="s">
        <v>1967</v>
      </c>
      <c r="AM734" t="s">
        <v>4930</v>
      </c>
      <c r="AN734" s="8">
        <v>82.91025</v>
      </c>
      <c r="AO734">
        <v>199.694880401046</v>
      </c>
      <c r="AP734">
        <v>1778</v>
      </c>
      <c r="AQ734" s="9">
        <v>0.42201515192633</v>
      </c>
      <c r="AR734" t="s">
        <v>1361</v>
      </c>
      <c r="AT734" s="15" t="s">
        <v>69</v>
      </c>
      <c r="AW734" s="11" t="str">
        <f t="shared" si="80"/>
        <v>EN_WOF_42_c02_NOR</v>
      </c>
      <c r="AX734" s="11">
        <f t="shared" si="81"/>
        <v>1778</v>
      </c>
      <c r="AY734" s="11">
        <f t="shared" si="82"/>
        <v>1778</v>
      </c>
      <c r="AZ734" s="17">
        <v>3</v>
      </c>
      <c r="BA734">
        <f t="shared" si="83"/>
        <v>17.78</v>
      </c>
    </row>
    <row r="735" spans="2:53">
      <c r="B735" t="s">
        <v>26</v>
      </c>
      <c r="C735" t="s">
        <v>4979</v>
      </c>
      <c r="D735" t="s">
        <v>4980</v>
      </c>
      <c r="E735" t="s">
        <v>29</v>
      </c>
      <c r="F735" t="s">
        <v>30</v>
      </c>
      <c r="G735" t="s">
        <v>31</v>
      </c>
      <c r="J735" t="s">
        <v>4979</v>
      </c>
      <c r="K735" t="s">
        <v>1967</v>
      </c>
      <c r="L735" t="s">
        <v>3408</v>
      </c>
      <c r="M735" s="8">
        <v>7.431</v>
      </c>
      <c r="N735">
        <v>105.747516212372</v>
      </c>
      <c r="O735">
        <v>1552</v>
      </c>
      <c r="P735" s="9">
        <v>0.208315502624142</v>
      </c>
      <c r="Q735" t="s">
        <v>656</v>
      </c>
      <c r="T735" s="15" t="s">
        <v>69</v>
      </c>
      <c r="W735" s="16" t="str">
        <f t="shared" si="77"/>
        <v>EN_WON_21_c03_ESP</v>
      </c>
      <c r="X735" s="12">
        <f t="shared" si="78"/>
        <v>1552</v>
      </c>
      <c r="Y735" s="11">
        <f t="shared" si="79"/>
        <v>1552</v>
      </c>
      <c r="AC735" t="s">
        <v>26</v>
      </c>
      <c r="AD735" t="s">
        <v>4981</v>
      </c>
      <c r="AE735" t="s">
        <v>4982</v>
      </c>
      <c r="AF735" t="s">
        <v>29</v>
      </c>
      <c r="AG735" t="s">
        <v>30</v>
      </c>
      <c r="AH735" t="s">
        <v>31</v>
      </c>
      <c r="AK735" t="s">
        <v>4981</v>
      </c>
      <c r="AL735" t="s">
        <v>1967</v>
      </c>
      <c r="AM735" t="s">
        <v>4930</v>
      </c>
      <c r="AN735" s="8">
        <v>223.26</v>
      </c>
      <c r="AO735">
        <v>199.694880401046</v>
      </c>
      <c r="AP735">
        <v>1778</v>
      </c>
      <c r="AQ735" s="9">
        <v>0.429864592851384</v>
      </c>
      <c r="AR735" t="s">
        <v>1361</v>
      </c>
      <c r="AT735" s="15" t="s">
        <v>69</v>
      </c>
      <c r="AW735" s="11" t="str">
        <f t="shared" si="80"/>
        <v>EN_WOF_43_c02_NOR</v>
      </c>
      <c r="AX735" s="11">
        <f t="shared" si="81"/>
        <v>1778</v>
      </c>
      <c r="AY735" s="11">
        <f t="shared" si="82"/>
        <v>1778</v>
      </c>
      <c r="AZ735" s="17">
        <v>3</v>
      </c>
      <c r="BA735">
        <f t="shared" si="83"/>
        <v>17.78</v>
      </c>
    </row>
    <row r="736" spans="2:53">
      <c r="B736" t="s">
        <v>26</v>
      </c>
      <c r="C736" t="s">
        <v>4983</v>
      </c>
      <c r="D736" t="s">
        <v>4984</v>
      </c>
      <c r="E736" t="s">
        <v>29</v>
      </c>
      <c r="F736" t="s">
        <v>30</v>
      </c>
      <c r="G736" t="s">
        <v>31</v>
      </c>
      <c r="J736" t="s">
        <v>4983</v>
      </c>
      <c r="K736" t="s">
        <v>1967</v>
      </c>
      <c r="L736" t="s">
        <v>3408</v>
      </c>
      <c r="M736" s="8">
        <v>0.15375</v>
      </c>
      <c r="N736">
        <v>145.23264029167</v>
      </c>
      <c r="O736">
        <v>1552</v>
      </c>
      <c r="P736" s="9">
        <v>0.210414634146341</v>
      </c>
      <c r="Q736" t="s">
        <v>656</v>
      </c>
      <c r="T736" s="15" t="s">
        <v>69</v>
      </c>
      <c r="W736" s="16" t="str">
        <f t="shared" si="77"/>
        <v>EN_WON_21_c04_ESP</v>
      </c>
      <c r="X736" s="12">
        <f t="shared" si="78"/>
        <v>1552</v>
      </c>
      <c r="Y736" s="11">
        <f t="shared" si="79"/>
        <v>1552</v>
      </c>
      <c r="AC736" t="s">
        <v>26</v>
      </c>
      <c r="AD736" t="s">
        <v>4985</v>
      </c>
      <c r="AE736" t="s">
        <v>4986</v>
      </c>
      <c r="AF736" t="s">
        <v>29</v>
      </c>
      <c r="AG736" t="s">
        <v>30</v>
      </c>
      <c r="AH736" t="s">
        <v>31</v>
      </c>
      <c r="AK736" t="s">
        <v>4985</v>
      </c>
      <c r="AL736" t="s">
        <v>1967</v>
      </c>
      <c r="AM736" t="s">
        <v>4930</v>
      </c>
      <c r="AN736" s="8">
        <v>311.727</v>
      </c>
      <c r="AO736">
        <v>199.694880401046</v>
      </c>
      <c r="AP736">
        <v>1778</v>
      </c>
      <c r="AQ736" s="9">
        <v>0.43955839484549</v>
      </c>
      <c r="AR736" t="s">
        <v>1361</v>
      </c>
      <c r="AT736" s="15" t="s">
        <v>69</v>
      </c>
      <c r="AW736" s="11" t="str">
        <f t="shared" si="80"/>
        <v>EN_WOF_44_c02_NOR</v>
      </c>
      <c r="AX736" s="11">
        <f t="shared" si="81"/>
        <v>1778</v>
      </c>
      <c r="AY736" s="11">
        <f t="shared" si="82"/>
        <v>1778</v>
      </c>
      <c r="AZ736" s="17">
        <v>3</v>
      </c>
      <c r="BA736">
        <f t="shared" si="83"/>
        <v>17.78</v>
      </c>
    </row>
    <row r="737" spans="2:53">
      <c r="B737" t="s">
        <v>26</v>
      </c>
      <c r="C737" t="s">
        <v>4987</v>
      </c>
      <c r="D737" t="s">
        <v>4988</v>
      </c>
      <c r="E737" t="s">
        <v>29</v>
      </c>
      <c r="F737" t="s">
        <v>30</v>
      </c>
      <c r="G737" t="s">
        <v>31</v>
      </c>
      <c r="J737" t="s">
        <v>4987</v>
      </c>
      <c r="K737" t="s">
        <v>1967</v>
      </c>
      <c r="L737" t="s">
        <v>3408</v>
      </c>
      <c r="M737" s="8">
        <v>1.017</v>
      </c>
      <c r="N737">
        <v>0</v>
      </c>
      <c r="O737">
        <v>1552</v>
      </c>
      <c r="P737" s="9">
        <v>0.223058997050148</v>
      </c>
      <c r="Q737" t="s">
        <v>656</v>
      </c>
      <c r="T737" s="15" t="s">
        <v>69</v>
      </c>
      <c r="W737" s="16" t="str">
        <f t="shared" si="77"/>
        <v>EN_WON_22_c01_ESP</v>
      </c>
      <c r="X737" s="12">
        <f t="shared" si="78"/>
        <v>1552</v>
      </c>
      <c r="Y737" s="11">
        <f t="shared" si="79"/>
        <v>1552</v>
      </c>
      <c r="AC737" t="s">
        <v>26</v>
      </c>
      <c r="AD737" t="s">
        <v>4989</v>
      </c>
      <c r="AE737" t="s">
        <v>4990</v>
      </c>
      <c r="AF737" t="s">
        <v>29</v>
      </c>
      <c r="AG737" t="s">
        <v>30</v>
      </c>
      <c r="AH737" t="s">
        <v>31</v>
      </c>
      <c r="AK737" t="s">
        <v>4989</v>
      </c>
      <c r="AL737" t="s">
        <v>1967</v>
      </c>
      <c r="AM737" t="s">
        <v>4930</v>
      </c>
      <c r="AN737" s="8">
        <v>500.89575</v>
      </c>
      <c r="AO737">
        <v>199.694880401046</v>
      </c>
      <c r="AP737">
        <v>1778</v>
      </c>
      <c r="AQ737" s="9">
        <v>0.450255199809541</v>
      </c>
      <c r="AR737" t="s">
        <v>1361</v>
      </c>
      <c r="AT737" s="15" t="s">
        <v>69</v>
      </c>
      <c r="AW737" s="11" t="str">
        <f t="shared" si="80"/>
        <v>EN_WOF_45_c02_NOR</v>
      </c>
      <c r="AX737" s="11">
        <f t="shared" si="81"/>
        <v>1778</v>
      </c>
      <c r="AY737" s="11">
        <f t="shared" si="82"/>
        <v>1778</v>
      </c>
      <c r="AZ737" s="17">
        <v>3</v>
      </c>
      <c r="BA737">
        <f t="shared" si="83"/>
        <v>17.78</v>
      </c>
    </row>
    <row r="738" spans="2:53">
      <c r="B738" t="s">
        <v>26</v>
      </c>
      <c r="C738" t="s">
        <v>4991</v>
      </c>
      <c r="D738" t="s">
        <v>4992</v>
      </c>
      <c r="E738" t="s">
        <v>29</v>
      </c>
      <c r="F738" t="s">
        <v>30</v>
      </c>
      <c r="G738" t="s">
        <v>31</v>
      </c>
      <c r="J738" t="s">
        <v>4991</v>
      </c>
      <c r="K738" t="s">
        <v>1967</v>
      </c>
      <c r="L738" t="s">
        <v>3408</v>
      </c>
      <c r="M738" s="8">
        <v>13.9725</v>
      </c>
      <c r="N738">
        <v>80.7856561622413</v>
      </c>
      <c r="O738">
        <v>1552</v>
      </c>
      <c r="P738" s="9">
        <v>0.219482984433709</v>
      </c>
      <c r="Q738" t="s">
        <v>656</v>
      </c>
      <c r="T738" s="15" t="s">
        <v>69</v>
      </c>
      <c r="W738" s="16" t="str">
        <f t="shared" si="77"/>
        <v>EN_WON_22_c02_ESP</v>
      </c>
      <c r="X738" s="12">
        <f t="shared" si="78"/>
        <v>1552</v>
      </c>
      <c r="Y738" s="11">
        <f t="shared" si="79"/>
        <v>1552</v>
      </c>
      <c r="AC738" t="s">
        <v>26</v>
      </c>
      <c r="AD738" t="s">
        <v>4993</v>
      </c>
      <c r="AE738" t="s">
        <v>4994</v>
      </c>
      <c r="AF738" t="s">
        <v>29</v>
      </c>
      <c r="AG738" t="s">
        <v>30</v>
      </c>
      <c r="AH738" t="s">
        <v>31</v>
      </c>
      <c r="AK738" t="s">
        <v>4993</v>
      </c>
      <c r="AL738" t="s">
        <v>1967</v>
      </c>
      <c r="AM738" t="s">
        <v>4930</v>
      </c>
      <c r="AN738" s="8">
        <v>821.24475</v>
      </c>
      <c r="AO738">
        <v>199.694880401046</v>
      </c>
      <c r="AP738">
        <v>1778</v>
      </c>
      <c r="AQ738" s="9">
        <v>0.458942897351855</v>
      </c>
      <c r="AR738" t="s">
        <v>1361</v>
      </c>
      <c r="AT738" s="15" t="s">
        <v>69</v>
      </c>
      <c r="AW738" s="11" t="str">
        <f t="shared" si="80"/>
        <v>EN_WOF_46_c02_NOR</v>
      </c>
      <c r="AX738" s="11">
        <f t="shared" si="81"/>
        <v>1778</v>
      </c>
      <c r="AY738" s="11">
        <f t="shared" si="82"/>
        <v>1778</v>
      </c>
      <c r="AZ738" s="17">
        <v>3</v>
      </c>
      <c r="BA738">
        <f t="shared" si="83"/>
        <v>17.78</v>
      </c>
    </row>
    <row r="739" spans="2:53">
      <c r="B739" t="s">
        <v>26</v>
      </c>
      <c r="C739" t="s">
        <v>4995</v>
      </c>
      <c r="D739" t="s">
        <v>4996</v>
      </c>
      <c r="E739" t="s">
        <v>29</v>
      </c>
      <c r="F739" t="s">
        <v>30</v>
      </c>
      <c r="G739" t="s">
        <v>31</v>
      </c>
      <c r="J739" t="s">
        <v>4995</v>
      </c>
      <c r="K739" t="s">
        <v>1967</v>
      </c>
      <c r="L739" t="s">
        <v>3408</v>
      </c>
      <c r="M739" s="8">
        <v>4.929</v>
      </c>
      <c r="N739">
        <v>105.747516212372</v>
      </c>
      <c r="O739">
        <v>1552</v>
      </c>
      <c r="P739" s="9">
        <v>0.220640900791236</v>
      </c>
      <c r="Q739" t="s">
        <v>656</v>
      </c>
      <c r="T739" s="15" t="s">
        <v>69</v>
      </c>
      <c r="W739" s="16" t="str">
        <f t="shared" si="77"/>
        <v>EN_WON_22_c03_ESP</v>
      </c>
      <c r="X739" s="12">
        <f t="shared" si="78"/>
        <v>1552</v>
      </c>
      <c r="Y739" s="11">
        <f t="shared" si="79"/>
        <v>1552</v>
      </c>
      <c r="AC739" t="s">
        <v>26</v>
      </c>
      <c r="AD739" t="s">
        <v>4997</v>
      </c>
      <c r="AE739" t="s">
        <v>4998</v>
      </c>
      <c r="AF739" t="s">
        <v>29</v>
      </c>
      <c r="AG739" t="s">
        <v>30</v>
      </c>
      <c r="AH739" t="s">
        <v>31</v>
      </c>
      <c r="AK739" t="s">
        <v>4997</v>
      </c>
      <c r="AL739" t="s">
        <v>1967</v>
      </c>
      <c r="AM739" t="s">
        <v>4930</v>
      </c>
      <c r="AN739" s="8">
        <v>303.195</v>
      </c>
      <c r="AO739">
        <v>199.694880401046</v>
      </c>
      <c r="AP739">
        <v>1778</v>
      </c>
      <c r="AQ739" s="9">
        <v>0.468471466383021</v>
      </c>
      <c r="AR739" t="s">
        <v>1361</v>
      </c>
      <c r="AT739" s="15" t="s">
        <v>69</v>
      </c>
      <c r="AW739" s="11" t="str">
        <f t="shared" si="80"/>
        <v>EN_WOF_47_c02_NOR</v>
      </c>
      <c r="AX739" s="11">
        <f t="shared" si="81"/>
        <v>1778</v>
      </c>
      <c r="AY739" s="11">
        <f t="shared" si="82"/>
        <v>1778</v>
      </c>
      <c r="AZ739" s="17">
        <v>3</v>
      </c>
      <c r="BA739">
        <f t="shared" si="83"/>
        <v>17.78</v>
      </c>
    </row>
    <row r="740" spans="2:53">
      <c r="B740" t="s">
        <v>26</v>
      </c>
      <c r="C740" t="s">
        <v>4999</v>
      </c>
      <c r="D740" t="s">
        <v>5000</v>
      </c>
      <c r="E740" t="s">
        <v>29</v>
      </c>
      <c r="F740" t="s">
        <v>30</v>
      </c>
      <c r="G740" t="s">
        <v>31</v>
      </c>
      <c r="J740" t="s">
        <v>4999</v>
      </c>
      <c r="K740" t="s">
        <v>1967</v>
      </c>
      <c r="L740" t="s">
        <v>3408</v>
      </c>
      <c r="M740" s="8">
        <v>0.0885</v>
      </c>
      <c r="N740">
        <v>145.23264029167</v>
      </c>
      <c r="O740">
        <v>1552</v>
      </c>
      <c r="P740" s="9">
        <v>0.219483050847458</v>
      </c>
      <c r="Q740" t="s">
        <v>656</v>
      </c>
      <c r="T740" s="15" t="s">
        <v>69</v>
      </c>
      <c r="W740" s="16" t="str">
        <f t="shared" si="77"/>
        <v>EN_WON_22_c04_ESP</v>
      </c>
      <c r="X740" s="12">
        <f t="shared" si="78"/>
        <v>1552</v>
      </c>
      <c r="Y740" s="11">
        <f t="shared" si="79"/>
        <v>1552</v>
      </c>
      <c r="AC740" t="s">
        <v>26</v>
      </c>
      <c r="AD740" t="s">
        <v>5001</v>
      </c>
      <c r="AE740" t="s">
        <v>5002</v>
      </c>
      <c r="AF740" t="s">
        <v>29</v>
      </c>
      <c r="AG740" t="s">
        <v>30</v>
      </c>
      <c r="AH740" t="s">
        <v>31</v>
      </c>
      <c r="AK740" t="s">
        <v>5001</v>
      </c>
      <c r="AL740" t="s">
        <v>1967</v>
      </c>
      <c r="AM740" t="s">
        <v>4930</v>
      </c>
      <c r="AN740" s="8">
        <v>185.83725</v>
      </c>
      <c r="AO740">
        <v>199.694880401046</v>
      </c>
      <c r="AP740">
        <v>1778</v>
      </c>
      <c r="AQ740" s="9">
        <v>0.480097460277743</v>
      </c>
      <c r="AR740" t="s">
        <v>1361</v>
      </c>
      <c r="AT740" s="15" t="s">
        <v>69</v>
      </c>
      <c r="AW740" s="11" t="str">
        <f t="shared" si="80"/>
        <v>EN_WOF_48_c02_NOR</v>
      </c>
      <c r="AX740" s="11">
        <f t="shared" si="81"/>
        <v>1778</v>
      </c>
      <c r="AY740" s="11">
        <f t="shared" si="82"/>
        <v>1778</v>
      </c>
      <c r="AZ740" s="17">
        <v>3</v>
      </c>
      <c r="BA740">
        <f t="shared" si="83"/>
        <v>17.78</v>
      </c>
    </row>
    <row r="741" spans="2:53">
      <c r="B741" t="s">
        <v>26</v>
      </c>
      <c r="C741" t="s">
        <v>5003</v>
      </c>
      <c r="D741" t="s">
        <v>5004</v>
      </c>
      <c r="E741" t="s">
        <v>29</v>
      </c>
      <c r="F741" t="s">
        <v>30</v>
      </c>
      <c r="G741" t="s">
        <v>31</v>
      </c>
      <c r="J741" t="s">
        <v>5003</v>
      </c>
      <c r="K741" t="s">
        <v>1967</v>
      </c>
      <c r="L741" t="s">
        <v>3408</v>
      </c>
      <c r="M741" s="8">
        <v>0.14325</v>
      </c>
      <c r="N741">
        <v>0</v>
      </c>
      <c r="O741">
        <v>1552</v>
      </c>
      <c r="P741" s="9">
        <v>0.227</v>
      </c>
      <c r="Q741" t="s">
        <v>656</v>
      </c>
      <c r="T741" s="15" t="s">
        <v>69</v>
      </c>
      <c r="W741" s="16" t="str">
        <f t="shared" si="77"/>
        <v>EN_WON_23_c01_ESP</v>
      </c>
      <c r="X741" s="12">
        <f t="shared" si="78"/>
        <v>1552</v>
      </c>
      <c r="Y741" s="11">
        <f t="shared" si="79"/>
        <v>1552</v>
      </c>
      <c r="AC741" t="s">
        <v>26</v>
      </c>
      <c r="AD741" t="s">
        <v>5005</v>
      </c>
      <c r="AE741" t="s">
        <v>5006</v>
      </c>
      <c r="AF741" t="s">
        <v>29</v>
      </c>
      <c r="AG741" t="s">
        <v>30</v>
      </c>
      <c r="AH741" t="s">
        <v>31</v>
      </c>
      <c r="AK741" t="s">
        <v>5005</v>
      </c>
      <c r="AL741" t="s">
        <v>1967</v>
      </c>
      <c r="AM741" t="s">
        <v>4930</v>
      </c>
      <c r="AN741" s="8">
        <v>166.17975</v>
      </c>
      <c r="AO741">
        <v>199.694880401046</v>
      </c>
      <c r="AP741">
        <v>1778</v>
      </c>
      <c r="AQ741" s="9">
        <v>0.490207150690743</v>
      </c>
      <c r="AR741" t="s">
        <v>1361</v>
      </c>
      <c r="AT741" s="15" t="s">
        <v>69</v>
      </c>
      <c r="AW741" s="11" t="str">
        <f t="shared" si="80"/>
        <v>EN_WOF_49_c02_NOR</v>
      </c>
      <c r="AX741" s="11">
        <f t="shared" si="81"/>
        <v>1778</v>
      </c>
      <c r="AY741" s="11">
        <f t="shared" si="82"/>
        <v>1778</v>
      </c>
      <c r="AZ741" s="17">
        <v>3</v>
      </c>
      <c r="BA741">
        <f t="shared" si="83"/>
        <v>17.78</v>
      </c>
    </row>
    <row r="742" spans="2:53">
      <c r="B742" t="s">
        <v>26</v>
      </c>
      <c r="C742" t="s">
        <v>5007</v>
      </c>
      <c r="D742" t="s">
        <v>5008</v>
      </c>
      <c r="E742" t="s">
        <v>29</v>
      </c>
      <c r="F742" t="s">
        <v>30</v>
      </c>
      <c r="G742" t="s">
        <v>31</v>
      </c>
      <c r="J742" t="s">
        <v>5007</v>
      </c>
      <c r="K742" t="s">
        <v>1967</v>
      </c>
      <c r="L742" t="s">
        <v>3408</v>
      </c>
      <c r="M742" s="8">
        <v>2.37</v>
      </c>
      <c r="N742">
        <v>80.7856561622413</v>
      </c>
      <c r="O742">
        <v>1552</v>
      </c>
      <c r="P742" s="9">
        <v>0.229316772151899</v>
      </c>
      <c r="Q742" t="s">
        <v>656</v>
      </c>
      <c r="T742" s="15" t="s">
        <v>69</v>
      </c>
      <c r="W742" s="16" t="str">
        <f t="shared" si="77"/>
        <v>EN_WON_23_c02_ESP</v>
      </c>
      <c r="X742" s="12">
        <f t="shared" si="78"/>
        <v>1552</v>
      </c>
      <c r="Y742" s="11">
        <f t="shared" si="79"/>
        <v>1552</v>
      </c>
      <c r="AC742" t="s">
        <v>26</v>
      </c>
      <c r="AD742" t="s">
        <v>5009</v>
      </c>
      <c r="AE742" t="s">
        <v>5010</v>
      </c>
      <c r="AF742" t="s">
        <v>29</v>
      </c>
      <c r="AG742" t="s">
        <v>30</v>
      </c>
      <c r="AH742" t="s">
        <v>31</v>
      </c>
      <c r="AK742" t="s">
        <v>5009</v>
      </c>
      <c r="AL742" t="s">
        <v>1967</v>
      </c>
      <c r="AM742" t="s">
        <v>4930</v>
      </c>
      <c r="AN742" s="8">
        <v>115.84725</v>
      </c>
      <c r="AO742">
        <v>199.694880401046</v>
      </c>
      <c r="AP742">
        <v>1778</v>
      </c>
      <c r="AQ742" s="9">
        <v>0.500303043447298</v>
      </c>
      <c r="AR742" t="s">
        <v>1361</v>
      </c>
      <c r="AT742" s="15" t="s">
        <v>69</v>
      </c>
      <c r="AW742" s="11" t="str">
        <f t="shared" si="80"/>
        <v>EN_WOF_50_c02_NOR</v>
      </c>
      <c r="AX742" s="11">
        <f t="shared" si="81"/>
        <v>1778</v>
      </c>
      <c r="AY742" s="11">
        <f t="shared" si="82"/>
        <v>1778</v>
      </c>
      <c r="AZ742" s="17">
        <v>3</v>
      </c>
      <c r="BA742">
        <f t="shared" si="83"/>
        <v>17.78</v>
      </c>
    </row>
    <row r="743" spans="2:53">
      <c r="B743" t="s">
        <v>26</v>
      </c>
      <c r="C743" t="s">
        <v>5011</v>
      </c>
      <c r="D743" t="s">
        <v>5012</v>
      </c>
      <c r="E743" t="s">
        <v>29</v>
      </c>
      <c r="F743" t="s">
        <v>30</v>
      </c>
      <c r="G743" t="s">
        <v>31</v>
      </c>
      <c r="J743" t="s">
        <v>5011</v>
      </c>
      <c r="K743" t="s">
        <v>1967</v>
      </c>
      <c r="L743" t="s">
        <v>3408</v>
      </c>
      <c r="M743" s="8">
        <v>3.35625</v>
      </c>
      <c r="N743">
        <v>105.747516212372</v>
      </c>
      <c r="O743">
        <v>1552</v>
      </c>
      <c r="P743" s="9">
        <v>0.228434860335196</v>
      </c>
      <c r="Q743" t="s">
        <v>656</v>
      </c>
      <c r="T743" s="15" t="s">
        <v>69</v>
      </c>
      <c r="W743" s="16" t="str">
        <f t="shared" si="77"/>
        <v>EN_WON_23_c03_ESP</v>
      </c>
      <c r="X743" s="12">
        <f t="shared" si="78"/>
        <v>1552</v>
      </c>
      <c r="Y743" s="11">
        <f t="shared" si="79"/>
        <v>1552</v>
      </c>
      <c r="AC743" t="s">
        <v>26</v>
      </c>
      <c r="AD743" t="s">
        <v>5013</v>
      </c>
      <c r="AE743" t="s">
        <v>5014</v>
      </c>
      <c r="AF743" t="s">
        <v>29</v>
      </c>
      <c r="AG743" t="s">
        <v>30</v>
      </c>
      <c r="AH743" t="s">
        <v>31</v>
      </c>
      <c r="AK743" t="s">
        <v>5013</v>
      </c>
      <c r="AL743" t="s">
        <v>1967</v>
      </c>
      <c r="AM743" t="s">
        <v>4930</v>
      </c>
      <c r="AN743" s="8">
        <v>54.648</v>
      </c>
      <c r="AO743">
        <v>199.694880401046</v>
      </c>
      <c r="AP743">
        <v>1778</v>
      </c>
      <c r="AQ743" s="9">
        <v>0.508942207400088</v>
      </c>
      <c r="AR743" t="s">
        <v>1361</v>
      </c>
      <c r="AT743" s="15" t="s">
        <v>69</v>
      </c>
      <c r="AW743" s="11" t="str">
        <f t="shared" si="80"/>
        <v>EN_WOF_51_c02_NOR</v>
      </c>
      <c r="AX743" s="11">
        <f t="shared" si="81"/>
        <v>1778</v>
      </c>
      <c r="AY743" s="11">
        <f t="shared" si="82"/>
        <v>1778</v>
      </c>
      <c r="AZ743" s="17">
        <v>3</v>
      </c>
      <c r="BA743">
        <f t="shared" si="83"/>
        <v>17.78</v>
      </c>
    </row>
    <row r="744" spans="2:53">
      <c r="B744" t="s">
        <v>26</v>
      </c>
      <c r="C744" t="s">
        <v>5015</v>
      </c>
      <c r="D744" t="s">
        <v>5016</v>
      </c>
      <c r="E744" t="s">
        <v>29</v>
      </c>
      <c r="F744" t="s">
        <v>30</v>
      </c>
      <c r="G744" t="s">
        <v>31</v>
      </c>
      <c r="J744" t="s">
        <v>5015</v>
      </c>
      <c r="K744" t="s">
        <v>1967</v>
      </c>
      <c r="L744" t="s">
        <v>3408</v>
      </c>
      <c r="M744" s="8">
        <v>0.07575</v>
      </c>
      <c r="N744">
        <v>0</v>
      </c>
      <c r="O744">
        <v>1552</v>
      </c>
      <c r="P744" s="9">
        <v>0.241</v>
      </c>
      <c r="Q744" t="s">
        <v>656</v>
      </c>
      <c r="T744" s="15" t="s">
        <v>69</v>
      </c>
      <c r="W744" s="16" t="str">
        <f t="shared" si="77"/>
        <v>EN_WON_24_c01_ESP</v>
      </c>
      <c r="X744" s="12">
        <f t="shared" si="78"/>
        <v>1552</v>
      </c>
      <c r="Y744" s="11">
        <f t="shared" si="79"/>
        <v>1552</v>
      </c>
      <c r="AC744" t="s">
        <v>26</v>
      </c>
      <c r="AD744" t="s">
        <v>5017</v>
      </c>
      <c r="AE744" t="s">
        <v>5018</v>
      </c>
      <c r="AF744" t="s">
        <v>29</v>
      </c>
      <c r="AG744" t="s">
        <v>30</v>
      </c>
      <c r="AH744" t="s">
        <v>31</v>
      </c>
      <c r="AK744" t="s">
        <v>5017</v>
      </c>
      <c r="AL744" t="s">
        <v>1967</v>
      </c>
      <c r="AM744" t="s">
        <v>4930</v>
      </c>
      <c r="AN744" s="8">
        <v>54.03375</v>
      </c>
      <c r="AO744">
        <v>199.694880401046</v>
      </c>
      <c r="AP744">
        <v>1778</v>
      </c>
      <c r="AQ744" s="9">
        <v>0.522095343188285</v>
      </c>
      <c r="AR744" t="s">
        <v>1361</v>
      </c>
      <c r="AT744" s="15" t="s">
        <v>69</v>
      </c>
      <c r="AW744" s="11" t="str">
        <f t="shared" si="80"/>
        <v>EN_WOF_52_c02_NOR</v>
      </c>
      <c r="AX744" s="11">
        <f t="shared" si="81"/>
        <v>1778</v>
      </c>
      <c r="AY744" s="11">
        <f t="shared" si="82"/>
        <v>1778</v>
      </c>
      <c r="AZ744" s="17">
        <v>3</v>
      </c>
      <c r="BA744">
        <f t="shared" si="83"/>
        <v>17.78</v>
      </c>
    </row>
    <row r="745" spans="2:53">
      <c r="B745" t="s">
        <v>26</v>
      </c>
      <c r="C745" t="s">
        <v>5019</v>
      </c>
      <c r="D745" t="s">
        <v>5020</v>
      </c>
      <c r="E745" t="s">
        <v>29</v>
      </c>
      <c r="F745" t="s">
        <v>30</v>
      </c>
      <c r="G745" t="s">
        <v>31</v>
      </c>
      <c r="J745" t="s">
        <v>5019</v>
      </c>
      <c r="K745" t="s">
        <v>1967</v>
      </c>
      <c r="L745" t="s">
        <v>3408</v>
      </c>
      <c r="M745" s="8">
        <v>6.37725</v>
      </c>
      <c r="N745">
        <v>80.7856561622413</v>
      </c>
      <c r="O745">
        <v>1552</v>
      </c>
      <c r="P745" s="9">
        <v>0.239290838527579</v>
      </c>
      <c r="Q745" t="s">
        <v>656</v>
      </c>
      <c r="T745" s="15" t="s">
        <v>69</v>
      </c>
      <c r="W745" s="16" t="str">
        <f t="shared" si="77"/>
        <v>EN_WON_24_c02_ESP</v>
      </c>
      <c r="X745" s="12">
        <f t="shared" si="78"/>
        <v>1552</v>
      </c>
      <c r="Y745" s="11">
        <f t="shared" si="79"/>
        <v>1552</v>
      </c>
      <c r="AC745" t="s">
        <v>26</v>
      </c>
      <c r="AD745" t="s">
        <v>5021</v>
      </c>
      <c r="AE745" t="s">
        <v>5022</v>
      </c>
      <c r="AF745" t="s">
        <v>29</v>
      </c>
      <c r="AG745" t="s">
        <v>30</v>
      </c>
      <c r="AH745" t="s">
        <v>31</v>
      </c>
      <c r="AK745" t="s">
        <v>5021</v>
      </c>
      <c r="AL745" t="s">
        <v>1967</v>
      </c>
      <c r="AM745" t="s">
        <v>4930</v>
      </c>
      <c r="AN745" s="8">
        <v>50.3625</v>
      </c>
      <c r="AO745">
        <v>199.694880401046</v>
      </c>
      <c r="AP745">
        <v>1778</v>
      </c>
      <c r="AQ745" s="9">
        <v>0.531751422189129</v>
      </c>
      <c r="AR745" t="s">
        <v>1361</v>
      </c>
      <c r="AT745" s="15" t="s">
        <v>69</v>
      </c>
      <c r="AW745" s="11" t="str">
        <f t="shared" si="80"/>
        <v>EN_WOF_53_c02_NOR</v>
      </c>
      <c r="AX745" s="11">
        <f t="shared" si="81"/>
        <v>1778</v>
      </c>
      <c r="AY745" s="11">
        <f t="shared" si="82"/>
        <v>1778</v>
      </c>
      <c r="AZ745" s="17">
        <v>3</v>
      </c>
      <c r="BA745">
        <f t="shared" si="83"/>
        <v>17.78</v>
      </c>
    </row>
    <row r="746" spans="2:53">
      <c r="B746" t="s">
        <v>26</v>
      </c>
      <c r="C746" t="s">
        <v>5023</v>
      </c>
      <c r="D746" t="s">
        <v>5024</v>
      </c>
      <c r="E746" t="s">
        <v>29</v>
      </c>
      <c r="F746" t="s">
        <v>30</v>
      </c>
      <c r="G746" t="s">
        <v>31</v>
      </c>
      <c r="J746" t="s">
        <v>5023</v>
      </c>
      <c r="K746" t="s">
        <v>1967</v>
      </c>
      <c r="L746" t="s">
        <v>3408</v>
      </c>
      <c r="M746" s="8">
        <v>2.271</v>
      </c>
      <c r="N746">
        <v>105.747516212372</v>
      </c>
      <c r="O746">
        <v>1552</v>
      </c>
      <c r="P746" s="9">
        <v>0.241027741083223</v>
      </c>
      <c r="Q746" t="s">
        <v>656</v>
      </c>
      <c r="T746" s="15" t="s">
        <v>69</v>
      </c>
      <c r="W746" s="16" t="str">
        <f t="shared" si="77"/>
        <v>EN_WON_24_c03_ESP</v>
      </c>
      <c r="X746" s="12">
        <f t="shared" si="78"/>
        <v>1552</v>
      </c>
      <c r="Y746" s="11">
        <f t="shared" si="79"/>
        <v>1552</v>
      </c>
      <c r="AC746" t="s">
        <v>26</v>
      </c>
      <c r="AD746" t="s">
        <v>5025</v>
      </c>
      <c r="AE746" t="s">
        <v>5026</v>
      </c>
      <c r="AF746" t="s">
        <v>29</v>
      </c>
      <c r="AG746" t="s">
        <v>30</v>
      </c>
      <c r="AH746" t="s">
        <v>31</v>
      </c>
      <c r="AK746" t="s">
        <v>5025</v>
      </c>
      <c r="AL746" t="s">
        <v>1967</v>
      </c>
      <c r="AM746" t="s">
        <v>4930</v>
      </c>
      <c r="AN746" s="8">
        <v>20.316</v>
      </c>
      <c r="AO746">
        <v>199.694880401046</v>
      </c>
      <c r="AP746">
        <v>1778</v>
      </c>
      <c r="AQ746" s="9">
        <v>0.538009746012995</v>
      </c>
      <c r="AR746" t="s">
        <v>1361</v>
      </c>
      <c r="AT746" s="15" t="s">
        <v>69</v>
      </c>
      <c r="AW746" s="11" t="str">
        <f t="shared" si="80"/>
        <v>EN_WOF_54_c02_NOR</v>
      </c>
      <c r="AX746" s="11">
        <f t="shared" si="81"/>
        <v>1778</v>
      </c>
      <c r="AY746" s="11">
        <f t="shared" si="82"/>
        <v>1778</v>
      </c>
      <c r="AZ746" s="17">
        <v>3</v>
      </c>
      <c r="BA746">
        <f t="shared" si="83"/>
        <v>17.78</v>
      </c>
    </row>
    <row r="747" spans="2:53">
      <c r="B747" t="s">
        <v>26</v>
      </c>
      <c r="C747" t="s">
        <v>5027</v>
      </c>
      <c r="D747" t="s">
        <v>5028</v>
      </c>
      <c r="E747" t="s">
        <v>29</v>
      </c>
      <c r="F747" t="s">
        <v>30</v>
      </c>
      <c r="G747" t="s">
        <v>31</v>
      </c>
      <c r="J747" t="s">
        <v>5027</v>
      </c>
      <c r="K747" t="s">
        <v>1967</v>
      </c>
      <c r="L747" t="s">
        <v>3408</v>
      </c>
      <c r="M747" s="8">
        <v>0.10275</v>
      </c>
      <c r="N747">
        <v>145.23264029167</v>
      </c>
      <c r="O747">
        <v>1552</v>
      </c>
      <c r="P747" s="9">
        <v>0.23907299270073</v>
      </c>
      <c r="Q747" t="s">
        <v>656</v>
      </c>
      <c r="T747" s="15" t="s">
        <v>69</v>
      </c>
      <c r="W747" s="16" t="str">
        <f t="shared" si="77"/>
        <v>EN_WON_24_c04_ESP</v>
      </c>
      <c r="X747" s="12">
        <f t="shared" si="78"/>
        <v>1552</v>
      </c>
      <c r="Y747" s="11">
        <f t="shared" si="79"/>
        <v>1552</v>
      </c>
      <c r="AC747" t="s">
        <v>26</v>
      </c>
      <c r="AD747" t="s">
        <v>5029</v>
      </c>
      <c r="AE747" t="s">
        <v>5030</v>
      </c>
      <c r="AF747" t="s">
        <v>29</v>
      </c>
      <c r="AG747" t="s">
        <v>30</v>
      </c>
      <c r="AH747" t="s">
        <v>31</v>
      </c>
      <c r="AK747" t="s">
        <v>5029</v>
      </c>
      <c r="AL747" t="s">
        <v>1967</v>
      </c>
      <c r="AM747" t="s">
        <v>5031</v>
      </c>
      <c r="AN747" s="8">
        <v>1.023</v>
      </c>
      <c r="AO747">
        <v>199.694880401046</v>
      </c>
      <c r="AP747">
        <v>1756</v>
      </c>
      <c r="AQ747" s="9">
        <v>0.318</v>
      </c>
      <c r="AR747" t="s">
        <v>1385</v>
      </c>
      <c r="AT747" s="15" t="s">
        <v>80</v>
      </c>
      <c r="AW747" s="11" t="str">
        <f t="shared" si="80"/>
        <v>EN_WOF_32_c02_OMN</v>
      </c>
      <c r="AX747" s="11">
        <f t="shared" si="81"/>
        <v>1756</v>
      </c>
      <c r="AY747" s="11">
        <f t="shared" si="82"/>
        <v>1756</v>
      </c>
      <c r="AZ747" s="17">
        <v>3</v>
      </c>
      <c r="BA747">
        <f t="shared" si="83"/>
        <v>17.56</v>
      </c>
    </row>
    <row r="748" spans="2:53">
      <c r="B748" t="s">
        <v>26</v>
      </c>
      <c r="C748" t="s">
        <v>5032</v>
      </c>
      <c r="D748" t="s">
        <v>5033</v>
      </c>
      <c r="E748" t="s">
        <v>29</v>
      </c>
      <c r="F748" t="s">
        <v>30</v>
      </c>
      <c r="G748" t="s">
        <v>31</v>
      </c>
      <c r="J748" t="s">
        <v>5032</v>
      </c>
      <c r="K748" t="s">
        <v>1967</v>
      </c>
      <c r="L748" t="s">
        <v>3408</v>
      </c>
      <c r="M748" s="8">
        <v>0.18825</v>
      </c>
      <c r="N748">
        <v>0</v>
      </c>
      <c r="O748">
        <v>1552</v>
      </c>
      <c r="P748" s="9">
        <v>0.250318725099602</v>
      </c>
      <c r="Q748" t="s">
        <v>656</v>
      </c>
      <c r="T748" s="15" t="s">
        <v>69</v>
      </c>
      <c r="W748" s="16" t="str">
        <f t="shared" si="77"/>
        <v>EN_WON_25_c01_ESP</v>
      </c>
      <c r="X748" s="12">
        <f t="shared" si="78"/>
        <v>1552</v>
      </c>
      <c r="Y748" s="11">
        <f t="shared" si="79"/>
        <v>1552</v>
      </c>
      <c r="AC748" t="s">
        <v>26</v>
      </c>
      <c r="AD748" t="s">
        <v>5034</v>
      </c>
      <c r="AE748" t="s">
        <v>5035</v>
      </c>
      <c r="AF748" t="s">
        <v>29</v>
      </c>
      <c r="AG748" t="s">
        <v>30</v>
      </c>
      <c r="AH748" t="s">
        <v>31</v>
      </c>
      <c r="AK748" t="s">
        <v>5034</v>
      </c>
      <c r="AL748" t="s">
        <v>1967</v>
      </c>
      <c r="AM748" t="s">
        <v>5031</v>
      </c>
      <c r="AN748" s="8">
        <v>2.50425</v>
      </c>
      <c r="AO748">
        <v>199.694880401046</v>
      </c>
      <c r="AP748">
        <v>1756</v>
      </c>
      <c r="AQ748" s="9">
        <v>0.325196466007787</v>
      </c>
      <c r="AR748" t="s">
        <v>1385</v>
      </c>
      <c r="AT748" s="15" t="s">
        <v>80</v>
      </c>
      <c r="AW748" s="11" t="str">
        <f t="shared" si="80"/>
        <v>EN_WOF_33_c02_OMN</v>
      </c>
      <c r="AX748" s="11">
        <f t="shared" si="81"/>
        <v>1756</v>
      </c>
      <c r="AY748" s="11">
        <f t="shared" si="82"/>
        <v>1756</v>
      </c>
      <c r="AZ748" s="17">
        <v>3</v>
      </c>
      <c r="BA748">
        <f t="shared" si="83"/>
        <v>17.56</v>
      </c>
    </row>
    <row r="749" spans="2:53">
      <c r="B749" t="s">
        <v>26</v>
      </c>
      <c r="C749" t="s">
        <v>5036</v>
      </c>
      <c r="D749" t="s">
        <v>5037</v>
      </c>
      <c r="E749" t="s">
        <v>29</v>
      </c>
      <c r="F749" t="s">
        <v>30</v>
      </c>
      <c r="G749" t="s">
        <v>31</v>
      </c>
      <c r="J749" t="s">
        <v>5036</v>
      </c>
      <c r="K749" t="s">
        <v>1967</v>
      </c>
      <c r="L749" t="s">
        <v>3408</v>
      </c>
      <c r="M749" s="8">
        <v>7.58475</v>
      </c>
      <c r="N749">
        <v>80.7856561622413</v>
      </c>
      <c r="O749">
        <v>1552</v>
      </c>
      <c r="P749" s="9">
        <v>0.247690892910116</v>
      </c>
      <c r="Q749" t="s">
        <v>656</v>
      </c>
      <c r="T749" s="15" t="s">
        <v>69</v>
      </c>
      <c r="W749" s="16" t="str">
        <f t="shared" si="77"/>
        <v>EN_WON_25_c02_ESP</v>
      </c>
      <c r="X749" s="12">
        <f t="shared" si="78"/>
        <v>1552</v>
      </c>
      <c r="Y749" s="11">
        <f t="shared" si="79"/>
        <v>1552</v>
      </c>
      <c r="AC749" t="s">
        <v>26</v>
      </c>
      <c r="AD749" t="s">
        <v>5038</v>
      </c>
      <c r="AE749" t="s">
        <v>5039</v>
      </c>
      <c r="AF749" t="s">
        <v>29</v>
      </c>
      <c r="AG749" t="s">
        <v>30</v>
      </c>
      <c r="AH749" t="s">
        <v>31</v>
      </c>
      <c r="AK749" t="s">
        <v>5038</v>
      </c>
      <c r="AL749" t="s">
        <v>1967</v>
      </c>
      <c r="AM749" t="s">
        <v>5031</v>
      </c>
      <c r="AN749" s="8">
        <v>5.9805</v>
      </c>
      <c r="AO749">
        <v>199.694880401046</v>
      </c>
      <c r="AP749">
        <v>1756</v>
      </c>
      <c r="AQ749" s="9">
        <v>0.337590669676448</v>
      </c>
      <c r="AR749" t="s">
        <v>1385</v>
      </c>
      <c r="AT749" s="15" t="s">
        <v>80</v>
      </c>
      <c r="AW749" s="11" t="str">
        <f t="shared" si="80"/>
        <v>EN_WOF_34_c02_OMN</v>
      </c>
      <c r="AX749" s="11">
        <f t="shared" si="81"/>
        <v>1756</v>
      </c>
      <c r="AY749" s="11">
        <f t="shared" si="82"/>
        <v>1756</v>
      </c>
      <c r="AZ749" s="17">
        <v>3</v>
      </c>
      <c r="BA749">
        <f t="shared" si="83"/>
        <v>17.56</v>
      </c>
    </row>
    <row r="750" spans="2:53">
      <c r="B750" t="s">
        <v>26</v>
      </c>
      <c r="C750" t="s">
        <v>5040</v>
      </c>
      <c r="D750" t="s">
        <v>5041</v>
      </c>
      <c r="E750" t="s">
        <v>29</v>
      </c>
      <c r="F750" t="s">
        <v>30</v>
      </c>
      <c r="G750" t="s">
        <v>31</v>
      </c>
      <c r="J750" t="s">
        <v>5040</v>
      </c>
      <c r="K750" t="s">
        <v>1967</v>
      </c>
      <c r="L750" t="s">
        <v>3408</v>
      </c>
      <c r="M750" s="8">
        <v>1.07325</v>
      </c>
      <c r="N750">
        <v>105.747516212372</v>
      </c>
      <c r="O750">
        <v>1552</v>
      </c>
      <c r="P750" s="9">
        <v>0.248167714884696</v>
      </c>
      <c r="Q750" t="s">
        <v>656</v>
      </c>
      <c r="T750" s="15" t="s">
        <v>69</v>
      </c>
      <c r="W750" s="16" t="str">
        <f t="shared" si="77"/>
        <v>EN_WON_25_c03_ESP</v>
      </c>
      <c r="X750" s="12">
        <f t="shared" si="78"/>
        <v>1552</v>
      </c>
      <c r="Y750" s="11">
        <f t="shared" si="79"/>
        <v>1552</v>
      </c>
      <c r="AC750" t="s">
        <v>26</v>
      </c>
      <c r="AD750" t="s">
        <v>5042</v>
      </c>
      <c r="AE750" t="s">
        <v>5043</v>
      </c>
      <c r="AF750" t="s">
        <v>29</v>
      </c>
      <c r="AG750" t="s">
        <v>30</v>
      </c>
      <c r="AH750" t="s">
        <v>31</v>
      </c>
      <c r="AK750" t="s">
        <v>5042</v>
      </c>
      <c r="AL750" t="s">
        <v>1967</v>
      </c>
      <c r="AM750" t="s">
        <v>5031</v>
      </c>
      <c r="AN750" s="8">
        <v>4.65225</v>
      </c>
      <c r="AO750">
        <v>199.694880401046</v>
      </c>
      <c r="AP750">
        <v>1756</v>
      </c>
      <c r="AQ750" s="9">
        <v>0.347124617120748</v>
      </c>
      <c r="AR750" t="s">
        <v>1385</v>
      </c>
      <c r="AT750" s="15" t="s">
        <v>80</v>
      </c>
      <c r="AW750" s="11" t="str">
        <f t="shared" si="80"/>
        <v>EN_WOF_35_c02_OMN</v>
      </c>
      <c r="AX750" s="11">
        <f t="shared" si="81"/>
        <v>1756</v>
      </c>
      <c r="AY750" s="11">
        <f t="shared" si="82"/>
        <v>1756</v>
      </c>
      <c r="AZ750" s="17">
        <v>3</v>
      </c>
      <c r="BA750">
        <f t="shared" si="83"/>
        <v>17.56</v>
      </c>
    </row>
    <row r="751" spans="2:53">
      <c r="B751" t="s">
        <v>26</v>
      </c>
      <c r="C751" t="s">
        <v>5044</v>
      </c>
      <c r="D751" t="s">
        <v>5045</v>
      </c>
      <c r="E751" t="s">
        <v>29</v>
      </c>
      <c r="F751" t="s">
        <v>30</v>
      </c>
      <c r="G751" t="s">
        <v>31</v>
      </c>
      <c r="J751" t="s">
        <v>5044</v>
      </c>
      <c r="K751" t="s">
        <v>1967</v>
      </c>
      <c r="L751" t="s">
        <v>3408</v>
      </c>
      <c r="M751" s="8">
        <v>0.216</v>
      </c>
      <c r="N751">
        <v>145.23264029167</v>
      </c>
      <c r="O751">
        <v>1552</v>
      </c>
      <c r="P751" s="9">
        <v>0.251</v>
      </c>
      <c r="Q751" t="s">
        <v>656</v>
      </c>
      <c r="T751" s="15" t="s">
        <v>69</v>
      </c>
      <c r="W751" s="16" t="str">
        <f t="shared" si="77"/>
        <v>EN_WON_25_c04_ESP</v>
      </c>
      <c r="X751" s="12">
        <f t="shared" si="78"/>
        <v>1552</v>
      </c>
      <c r="Y751" s="11">
        <f t="shared" si="79"/>
        <v>1552</v>
      </c>
      <c r="AC751" t="s">
        <v>26</v>
      </c>
      <c r="AD751" t="s">
        <v>5046</v>
      </c>
      <c r="AE751" t="s">
        <v>5047</v>
      </c>
      <c r="AF751" t="s">
        <v>29</v>
      </c>
      <c r="AG751" t="s">
        <v>30</v>
      </c>
      <c r="AH751" t="s">
        <v>31</v>
      </c>
      <c r="AK751" t="s">
        <v>5046</v>
      </c>
      <c r="AL751" t="s">
        <v>1967</v>
      </c>
      <c r="AM751" t="s">
        <v>5031</v>
      </c>
      <c r="AN751" s="8">
        <v>5.211</v>
      </c>
      <c r="AO751">
        <v>199.694880401046</v>
      </c>
      <c r="AP751">
        <v>1756</v>
      </c>
      <c r="AQ751" s="9">
        <v>0.359660909614277</v>
      </c>
      <c r="AR751" t="s">
        <v>1385</v>
      </c>
      <c r="AT751" s="15" t="s">
        <v>80</v>
      </c>
      <c r="AW751" s="11" t="str">
        <f t="shared" si="80"/>
        <v>EN_WOF_36_c02_OMN</v>
      </c>
      <c r="AX751" s="11">
        <f t="shared" si="81"/>
        <v>1756</v>
      </c>
      <c r="AY751" s="11">
        <f t="shared" si="82"/>
        <v>1756</v>
      </c>
      <c r="AZ751" s="17">
        <v>3</v>
      </c>
      <c r="BA751">
        <f t="shared" si="83"/>
        <v>17.56</v>
      </c>
    </row>
    <row r="752" spans="2:53">
      <c r="B752" t="s">
        <v>26</v>
      </c>
      <c r="C752" t="s">
        <v>5048</v>
      </c>
      <c r="D752" t="s">
        <v>5049</v>
      </c>
      <c r="E752" t="s">
        <v>29</v>
      </c>
      <c r="F752" t="s">
        <v>30</v>
      </c>
      <c r="G752" t="s">
        <v>31</v>
      </c>
      <c r="J752" t="s">
        <v>5048</v>
      </c>
      <c r="K752" t="s">
        <v>1967</v>
      </c>
      <c r="L752" t="s">
        <v>3408</v>
      </c>
      <c r="M752" s="8">
        <v>0.04425</v>
      </c>
      <c r="N752">
        <v>0</v>
      </c>
      <c r="O752">
        <v>1552</v>
      </c>
      <c r="P752" s="9">
        <v>0.258474576271186</v>
      </c>
      <c r="Q752" t="s">
        <v>656</v>
      </c>
      <c r="T752" s="15" t="s">
        <v>69</v>
      </c>
      <c r="W752" s="16" t="str">
        <f t="shared" si="77"/>
        <v>EN_WON_26_c01_ESP</v>
      </c>
      <c r="X752" s="12">
        <f t="shared" si="78"/>
        <v>1552</v>
      </c>
      <c r="Y752" s="11">
        <f t="shared" si="79"/>
        <v>1552</v>
      </c>
      <c r="AC752" t="s">
        <v>26</v>
      </c>
      <c r="AD752" t="s">
        <v>5050</v>
      </c>
      <c r="AE752" t="s">
        <v>5051</v>
      </c>
      <c r="AF752" t="s">
        <v>29</v>
      </c>
      <c r="AG752" t="s">
        <v>30</v>
      </c>
      <c r="AH752" t="s">
        <v>31</v>
      </c>
      <c r="AK752" t="s">
        <v>5050</v>
      </c>
      <c r="AL752" t="s">
        <v>1967</v>
      </c>
      <c r="AM752" t="s">
        <v>5031</v>
      </c>
      <c r="AN752" s="8">
        <v>14.9595</v>
      </c>
      <c r="AO752">
        <v>199.694880401046</v>
      </c>
      <c r="AP752">
        <v>1756</v>
      </c>
      <c r="AQ752" s="9">
        <v>0.371497794043919</v>
      </c>
      <c r="AR752" t="s">
        <v>1385</v>
      </c>
      <c r="AT752" s="15" t="s">
        <v>80</v>
      </c>
      <c r="AW752" s="11" t="str">
        <f t="shared" si="80"/>
        <v>EN_WOF_37_c02_OMN</v>
      </c>
      <c r="AX752" s="11">
        <f t="shared" si="81"/>
        <v>1756</v>
      </c>
      <c r="AY752" s="11">
        <f t="shared" si="82"/>
        <v>1756</v>
      </c>
      <c r="AZ752" s="17">
        <v>3</v>
      </c>
      <c r="BA752">
        <f t="shared" si="83"/>
        <v>17.56</v>
      </c>
    </row>
    <row r="753" spans="2:53">
      <c r="B753" t="s">
        <v>26</v>
      </c>
      <c r="C753" t="s">
        <v>5052</v>
      </c>
      <c r="D753" t="s">
        <v>5053</v>
      </c>
      <c r="E753" t="s">
        <v>29</v>
      </c>
      <c r="F753" t="s">
        <v>30</v>
      </c>
      <c r="G753" t="s">
        <v>31</v>
      </c>
      <c r="J753" t="s">
        <v>5052</v>
      </c>
      <c r="K753" t="s">
        <v>1967</v>
      </c>
      <c r="L753" t="s">
        <v>3408</v>
      </c>
      <c r="M753" s="8">
        <v>5.5665</v>
      </c>
      <c r="N753">
        <v>80.7856561622413</v>
      </c>
      <c r="O753">
        <v>1552</v>
      </c>
      <c r="P753" s="9">
        <v>0.259087173268661</v>
      </c>
      <c r="Q753" t="s">
        <v>656</v>
      </c>
      <c r="T753" s="15" t="s">
        <v>69</v>
      </c>
      <c r="W753" s="16" t="str">
        <f t="shared" si="77"/>
        <v>EN_WON_26_c02_ESP</v>
      </c>
      <c r="X753" s="12">
        <f t="shared" si="78"/>
        <v>1552</v>
      </c>
      <c r="Y753" s="11">
        <f t="shared" si="79"/>
        <v>1552</v>
      </c>
      <c r="AC753" t="s">
        <v>26</v>
      </c>
      <c r="AD753" t="s">
        <v>5054</v>
      </c>
      <c r="AE753" t="s">
        <v>5055</v>
      </c>
      <c r="AF753" t="s">
        <v>29</v>
      </c>
      <c r="AG753" t="s">
        <v>30</v>
      </c>
      <c r="AH753" t="s">
        <v>31</v>
      </c>
      <c r="AK753" t="s">
        <v>5054</v>
      </c>
      <c r="AL753" t="s">
        <v>1967</v>
      </c>
      <c r="AM753" t="s">
        <v>5031</v>
      </c>
      <c r="AN753" s="8">
        <v>14.89725</v>
      </c>
      <c r="AO753">
        <v>199.694880401046</v>
      </c>
      <c r="AP753">
        <v>1756</v>
      </c>
      <c r="AQ753" s="9">
        <v>0.380748124653879</v>
      </c>
      <c r="AR753" t="s">
        <v>1385</v>
      </c>
      <c r="AT753" s="15" t="s">
        <v>80</v>
      </c>
      <c r="AW753" s="11" t="str">
        <f t="shared" si="80"/>
        <v>EN_WOF_38_c02_OMN</v>
      </c>
      <c r="AX753" s="11">
        <f t="shared" si="81"/>
        <v>1756</v>
      </c>
      <c r="AY753" s="11">
        <f t="shared" si="82"/>
        <v>1756</v>
      </c>
      <c r="AZ753" s="17">
        <v>3</v>
      </c>
      <c r="BA753">
        <f t="shared" si="83"/>
        <v>17.56</v>
      </c>
    </row>
    <row r="754" spans="2:53">
      <c r="B754" t="s">
        <v>26</v>
      </c>
      <c r="C754" t="s">
        <v>5056</v>
      </c>
      <c r="D754" t="s">
        <v>5057</v>
      </c>
      <c r="E754" t="s">
        <v>29</v>
      </c>
      <c r="F754" t="s">
        <v>30</v>
      </c>
      <c r="G754" t="s">
        <v>31</v>
      </c>
      <c r="J754" t="s">
        <v>5056</v>
      </c>
      <c r="K754" t="s">
        <v>1967</v>
      </c>
      <c r="L754" t="s">
        <v>3408</v>
      </c>
      <c r="M754" s="8">
        <v>2.54325</v>
      </c>
      <c r="N754">
        <v>105.747516212372</v>
      </c>
      <c r="O754">
        <v>1552</v>
      </c>
      <c r="P754" s="9">
        <v>0.25752786788558</v>
      </c>
      <c r="Q754" t="s">
        <v>656</v>
      </c>
      <c r="T754" s="15" t="s">
        <v>69</v>
      </c>
      <c r="W754" s="16" t="str">
        <f t="shared" si="77"/>
        <v>EN_WON_26_c03_ESP</v>
      </c>
      <c r="X754" s="12">
        <f t="shared" si="78"/>
        <v>1552</v>
      </c>
      <c r="Y754" s="11">
        <f t="shared" si="79"/>
        <v>1552</v>
      </c>
      <c r="AC754" t="s">
        <v>26</v>
      </c>
      <c r="AD754" t="s">
        <v>5058</v>
      </c>
      <c r="AE754" t="s">
        <v>5059</v>
      </c>
      <c r="AF754" t="s">
        <v>29</v>
      </c>
      <c r="AG754" t="s">
        <v>30</v>
      </c>
      <c r="AH754" t="s">
        <v>31</v>
      </c>
      <c r="AK754" t="s">
        <v>5058</v>
      </c>
      <c r="AL754" t="s">
        <v>1967</v>
      </c>
      <c r="AM754" t="s">
        <v>5031</v>
      </c>
      <c r="AN754" s="8">
        <v>8.92425</v>
      </c>
      <c r="AO754">
        <v>199.694880401046</v>
      </c>
      <c r="AP754">
        <v>1756</v>
      </c>
      <c r="AQ754" s="9">
        <v>0.388698462055635</v>
      </c>
      <c r="AR754" t="s">
        <v>1385</v>
      </c>
      <c r="AT754" s="15" t="s">
        <v>80</v>
      </c>
      <c r="AW754" s="11" t="str">
        <f t="shared" si="80"/>
        <v>EN_WOF_39_c02_OMN</v>
      </c>
      <c r="AX754" s="11">
        <f t="shared" si="81"/>
        <v>1756</v>
      </c>
      <c r="AY754" s="11">
        <f t="shared" si="82"/>
        <v>1756</v>
      </c>
      <c r="AZ754" s="17">
        <v>3</v>
      </c>
      <c r="BA754">
        <f t="shared" si="83"/>
        <v>17.56</v>
      </c>
    </row>
    <row r="755" spans="2:53">
      <c r="B755" t="s">
        <v>26</v>
      </c>
      <c r="C755" t="s">
        <v>5060</v>
      </c>
      <c r="D755" t="s">
        <v>5061</v>
      </c>
      <c r="E755" t="s">
        <v>29</v>
      </c>
      <c r="F755" t="s">
        <v>30</v>
      </c>
      <c r="G755" t="s">
        <v>31</v>
      </c>
      <c r="J755" t="s">
        <v>5060</v>
      </c>
      <c r="K755" t="s">
        <v>1967</v>
      </c>
      <c r="L755" t="s">
        <v>3408</v>
      </c>
      <c r="M755" s="8">
        <v>0.79425</v>
      </c>
      <c r="N755">
        <v>80.7856561622413</v>
      </c>
      <c r="O755">
        <v>1552</v>
      </c>
      <c r="P755" s="9">
        <v>0.267457979225685</v>
      </c>
      <c r="Q755" t="s">
        <v>656</v>
      </c>
      <c r="T755" s="15" t="s">
        <v>69</v>
      </c>
      <c r="W755" s="16" t="str">
        <f t="shared" si="77"/>
        <v>EN_WON_27_c02_ESP</v>
      </c>
      <c r="X755" s="12">
        <f t="shared" si="78"/>
        <v>1552</v>
      </c>
      <c r="Y755" s="11">
        <f t="shared" si="79"/>
        <v>1552</v>
      </c>
      <c r="AC755" t="s">
        <v>26</v>
      </c>
      <c r="AD755" t="s">
        <v>5062</v>
      </c>
      <c r="AE755" t="s">
        <v>5063</v>
      </c>
      <c r="AF755" t="s">
        <v>29</v>
      </c>
      <c r="AG755" t="s">
        <v>30</v>
      </c>
      <c r="AH755" t="s">
        <v>31</v>
      </c>
      <c r="AK755" t="s">
        <v>5062</v>
      </c>
      <c r="AL755" t="s">
        <v>1967</v>
      </c>
      <c r="AM755" t="s">
        <v>5031</v>
      </c>
      <c r="AN755" s="8">
        <v>14.62425</v>
      </c>
      <c r="AO755">
        <v>199.694880401046</v>
      </c>
      <c r="AP755">
        <v>1756</v>
      </c>
      <c r="AQ755" s="9">
        <v>0.401152059079953</v>
      </c>
      <c r="AR755" t="s">
        <v>1385</v>
      </c>
      <c r="AT755" s="15" t="s">
        <v>80</v>
      </c>
      <c r="AW755" s="11" t="str">
        <f t="shared" si="80"/>
        <v>EN_WOF_40_c02_OMN</v>
      </c>
      <c r="AX755" s="11">
        <f t="shared" si="81"/>
        <v>1756</v>
      </c>
      <c r="AY755" s="11">
        <f t="shared" si="82"/>
        <v>1756</v>
      </c>
      <c r="AZ755" s="17">
        <v>3</v>
      </c>
      <c r="BA755">
        <f t="shared" si="83"/>
        <v>17.56</v>
      </c>
    </row>
    <row r="756" spans="2:53">
      <c r="B756" t="s">
        <v>26</v>
      </c>
      <c r="C756" t="s">
        <v>5064</v>
      </c>
      <c r="D756" t="s">
        <v>5065</v>
      </c>
      <c r="E756" t="s">
        <v>29</v>
      </c>
      <c r="F756" t="s">
        <v>30</v>
      </c>
      <c r="G756" t="s">
        <v>31</v>
      </c>
      <c r="J756" t="s">
        <v>5064</v>
      </c>
      <c r="K756" t="s">
        <v>1967</v>
      </c>
      <c r="L756" t="s">
        <v>3408</v>
      </c>
      <c r="M756" s="8">
        <v>0.30675</v>
      </c>
      <c r="N756">
        <v>105.747516212372</v>
      </c>
      <c r="O756">
        <v>1552</v>
      </c>
      <c r="P756" s="9">
        <v>0.268</v>
      </c>
      <c r="Q756" t="s">
        <v>656</v>
      </c>
      <c r="T756" s="15" t="s">
        <v>69</v>
      </c>
      <c r="W756" s="16" t="str">
        <f t="shared" si="77"/>
        <v>EN_WON_27_c03_ESP</v>
      </c>
      <c r="X756" s="12">
        <f t="shared" si="78"/>
        <v>1552</v>
      </c>
      <c r="Y756" s="11">
        <f t="shared" si="79"/>
        <v>1552</v>
      </c>
      <c r="AC756" t="s">
        <v>26</v>
      </c>
      <c r="AD756" t="s">
        <v>5066</v>
      </c>
      <c r="AE756" t="s">
        <v>5067</v>
      </c>
      <c r="AF756" t="s">
        <v>29</v>
      </c>
      <c r="AG756" t="s">
        <v>30</v>
      </c>
      <c r="AH756" t="s">
        <v>31</v>
      </c>
      <c r="AK756" t="s">
        <v>5066</v>
      </c>
      <c r="AL756" t="s">
        <v>1967</v>
      </c>
      <c r="AM756" t="s">
        <v>5031</v>
      </c>
      <c r="AN756" s="8">
        <v>1.38225</v>
      </c>
      <c r="AO756">
        <v>199.694880401046</v>
      </c>
      <c r="AP756">
        <v>1756</v>
      </c>
      <c r="AQ756" s="9">
        <v>0.408</v>
      </c>
      <c r="AR756" t="s">
        <v>1385</v>
      </c>
      <c r="AT756" s="15" t="s">
        <v>80</v>
      </c>
      <c r="AW756" s="11" t="str">
        <f t="shared" si="80"/>
        <v>EN_WOF_41_c02_OMN</v>
      </c>
      <c r="AX756" s="11">
        <f t="shared" si="81"/>
        <v>1756</v>
      </c>
      <c r="AY756" s="11">
        <f t="shared" si="82"/>
        <v>1756</v>
      </c>
      <c r="AZ756" s="17">
        <v>3</v>
      </c>
      <c r="BA756">
        <f t="shared" si="83"/>
        <v>17.56</v>
      </c>
    </row>
    <row r="757" spans="2:53">
      <c r="B757" t="s">
        <v>26</v>
      </c>
      <c r="C757" t="s">
        <v>5068</v>
      </c>
      <c r="D757" t="s">
        <v>5069</v>
      </c>
      <c r="E757" t="s">
        <v>29</v>
      </c>
      <c r="F757" t="s">
        <v>30</v>
      </c>
      <c r="G757" t="s">
        <v>31</v>
      </c>
      <c r="J757" t="s">
        <v>5068</v>
      </c>
      <c r="K757" t="s">
        <v>1967</v>
      </c>
      <c r="L757" t="s">
        <v>3408</v>
      </c>
      <c r="M757" s="8">
        <v>1.36725</v>
      </c>
      <c r="N757">
        <v>0</v>
      </c>
      <c r="O757">
        <v>1552</v>
      </c>
      <c r="P757" s="9">
        <v>0.275</v>
      </c>
      <c r="Q757" t="s">
        <v>656</v>
      </c>
      <c r="T757" s="15" t="s">
        <v>69</v>
      </c>
      <c r="W757" s="16" t="str">
        <f t="shared" si="77"/>
        <v>EN_WON_28_c01_ESP</v>
      </c>
      <c r="X757" s="12">
        <f t="shared" si="78"/>
        <v>1552</v>
      </c>
      <c r="Y757" s="11">
        <f t="shared" si="79"/>
        <v>1552</v>
      </c>
      <c r="AC757" t="s">
        <v>26</v>
      </c>
      <c r="AD757" t="s">
        <v>5070</v>
      </c>
      <c r="AE757" t="s">
        <v>5071</v>
      </c>
      <c r="AF757" t="s">
        <v>29</v>
      </c>
      <c r="AG757" t="s">
        <v>30</v>
      </c>
      <c r="AH757" t="s">
        <v>31</v>
      </c>
      <c r="AK757" t="s">
        <v>5070</v>
      </c>
      <c r="AL757" t="s">
        <v>1967</v>
      </c>
      <c r="AM757" t="s">
        <v>5031</v>
      </c>
      <c r="AN757" s="8">
        <v>2.05725</v>
      </c>
      <c r="AO757">
        <v>199.694880401046</v>
      </c>
      <c r="AP757">
        <v>1756</v>
      </c>
      <c r="AQ757" s="9">
        <v>0.421</v>
      </c>
      <c r="AR757" t="s">
        <v>1385</v>
      </c>
      <c r="AT757" s="15" t="s">
        <v>80</v>
      </c>
      <c r="AW757" s="11" t="str">
        <f t="shared" si="80"/>
        <v>EN_WOF_42_c02_OMN</v>
      </c>
      <c r="AX757" s="11">
        <f t="shared" si="81"/>
        <v>1756</v>
      </c>
      <c r="AY757" s="11">
        <f t="shared" si="82"/>
        <v>1756</v>
      </c>
      <c r="AZ757" s="17">
        <v>3</v>
      </c>
      <c r="BA757">
        <f t="shared" si="83"/>
        <v>17.56</v>
      </c>
    </row>
    <row r="758" spans="2:53">
      <c r="B758" t="s">
        <v>26</v>
      </c>
      <c r="C758" t="s">
        <v>5072</v>
      </c>
      <c r="D758" t="s">
        <v>5073</v>
      </c>
      <c r="E758" t="s">
        <v>29</v>
      </c>
      <c r="F758" t="s">
        <v>30</v>
      </c>
      <c r="G758" t="s">
        <v>31</v>
      </c>
      <c r="J758" t="s">
        <v>5072</v>
      </c>
      <c r="K758" t="s">
        <v>1967</v>
      </c>
      <c r="L758" t="s">
        <v>3408</v>
      </c>
      <c r="M758" s="8">
        <v>1.5735</v>
      </c>
      <c r="N758">
        <v>80.7856561622413</v>
      </c>
      <c r="O758">
        <v>1552</v>
      </c>
      <c r="P758" s="9">
        <v>0.282755958055291</v>
      </c>
      <c r="Q758" t="s">
        <v>656</v>
      </c>
      <c r="T758" s="15" t="s">
        <v>69</v>
      </c>
      <c r="W758" s="16" t="str">
        <f t="shared" si="77"/>
        <v>EN_WON_28_c02_ESP</v>
      </c>
      <c r="X758" s="12">
        <f t="shared" si="78"/>
        <v>1552</v>
      </c>
      <c r="Y758" s="11">
        <f t="shared" si="79"/>
        <v>1552</v>
      </c>
      <c r="AC758" t="s">
        <v>26</v>
      </c>
      <c r="AD758" t="s">
        <v>5074</v>
      </c>
      <c r="AE758" t="s">
        <v>5075</v>
      </c>
      <c r="AF758" t="s">
        <v>29</v>
      </c>
      <c r="AG758" t="s">
        <v>30</v>
      </c>
      <c r="AH758" t="s">
        <v>31</v>
      </c>
      <c r="AK758" t="s">
        <v>5074</v>
      </c>
      <c r="AL758" t="s">
        <v>1967</v>
      </c>
      <c r="AM758" t="s">
        <v>5031</v>
      </c>
      <c r="AN758" s="8">
        <v>0.8595</v>
      </c>
      <c r="AO758">
        <v>199.694880401046</v>
      </c>
      <c r="AP758">
        <v>1756</v>
      </c>
      <c r="AQ758" s="9">
        <v>0.433</v>
      </c>
      <c r="AR758" t="s">
        <v>1385</v>
      </c>
      <c r="AT758" s="15" t="s">
        <v>80</v>
      </c>
      <c r="AW758" s="11" t="str">
        <f t="shared" si="80"/>
        <v>EN_WOF_43_c02_OMN</v>
      </c>
      <c r="AX758" s="11">
        <f t="shared" si="81"/>
        <v>1756</v>
      </c>
      <c r="AY758" s="11">
        <f t="shared" si="82"/>
        <v>1756</v>
      </c>
      <c r="AZ758" s="17">
        <v>3</v>
      </c>
      <c r="BA758">
        <f t="shared" si="83"/>
        <v>17.56</v>
      </c>
    </row>
    <row r="759" spans="2:53">
      <c r="B759" t="s">
        <v>26</v>
      </c>
      <c r="C759" t="s">
        <v>5076</v>
      </c>
      <c r="D759" t="s">
        <v>5077</v>
      </c>
      <c r="E759" t="s">
        <v>29</v>
      </c>
      <c r="F759" t="s">
        <v>30</v>
      </c>
      <c r="G759" t="s">
        <v>31</v>
      </c>
      <c r="J759" t="s">
        <v>5076</v>
      </c>
      <c r="K759" t="s">
        <v>1967</v>
      </c>
      <c r="L759" t="s">
        <v>3408</v>
      </c>
      <c r="M759" s="8">
        <v>0.693</v>
      </c>
      <c r="N759">
        <v>105.747516212372</v>
      </c>
      <c r="O759">
        <v>1552</v>
      </c>
      <c r="P759" s="9">
        <v>0.279768398268398</v>
      </c>
      <c r="Q759" t="s">
        <v>656</v>
      </c>
      <c r="T759" s="15" t="s">
        <v>69</v>
      </c>
      <c r="W759" s="16" t="str">
        <f t="shared" si="77"/>
        <v>EN_WON_28_c03_ESP</v>
      </c>
      <c r="X759" s="12">
        <f t="shared" si="78"/>
        <v>1552</v>
      </c>
      <c r="Y759" s="11">
        <f t="shared" si="79"/>
        <v>1552</v>
      </c>
      <c r="AC759" t="s">
        <v>26</v>
      </c>
      <c r="AD759" t="s">
        <v>5078</v>
      </c>
      <c r="AE759" t="s">
        <v>5079</v>
      </c>
      <c r="AF759" t="s">
        <v>29</v>
      </c>
      <c r="AG759" t="s">
        <v>30</v>
      </c>
      <c r="AH759" t="s">
        <v>31</v>
      </c>
      <c r="AK759" t="s">
        <v>5078</v>
      </c>
      <c r="AL759" t="s">
        <v>1967</v>
      </c>
      <c r="AM759" t="s">
        <v>5031</v>
      </c>
      <c r="AN759" s="8">
        <v>0.63825</v>
      </c>
      <c r="AO759">
        <v>199.694880401046</v>
      </c>
      <c r="AP759">
        <v>1756</v>
      </c>
      <c r="AQ759" s="9">
        <v>0.435</v>
      </c>
      <c r="AR759" t="s">
        <v>1385</v>
      </c>
      <c r="AT759" s="15" t="s">
        <v>80</v>
      </c>
      <c r="AW759" s="11" t="str">
        <f t="shared" si="80"/>
        <v>EN_WOF_44_c02_OMN</v>
      </c>
      <c r="AX759" s="11">
        <f t="shared" si="81"/>
        <v>1756</v>
      </c>
      <c r="AY759" s="11">
        <f t="shared" si="82"/>
        <v>1756</v>
      </c>
      <c r="AZ759" s="17">
        <v>3</v>
      </c>
      <c r="BA759">
        <f t="shared" si="83"/>
        <v>17.56</v>
      </c>
    </row>
    <row r="760" spans="2:53">
      <c r="B760" t="s">
        <v>26</v>
      </c>
      <c r="C760" t="s">
        <v>5080</v>
      </c>
      <c r="D760" t="s">
        <v>5081</v>
      </c>
      <c r="E760" t="s">
        <v>29</v>
      </c>
      <c r="F760" t="s">
        <v>30</v>
      </c>
      <c r="G760" t="s">
        <v>31</v>
      </c>
      <c r="J760" t="s">
        <v>5080</v>
      </c>
      <c r="K760" t="s">
        <v>1967</v>
      </c>
      <c r="L760" t="s">
        <v>3408</v>
      </c>
      <c r="M760" s="8">
        <v>0.0645</v>
      </c>
      <c r="N760">
        <v>145.23264029167</v>
      </c>
      <c r="O760">
        <v>1552</v>
      </c>
      <c r="P760" s="9">
        <v>0.280081395348837</v>
      </c>
      <c r="Q760" t="s">
        <v>656</v>
      </c>
      <c r="T760" s="15" t="s">
        <v>69</v>
      </c>
      <c r="W760" s="16" t="str">
        <f t="shared" si="77"/>
        <v>EN_WON_28_c04_ESP</v>
      </c>
      <c r="X760" s="12">
        <f t="shared" si="78"/>
        <v>1552</v>
      </c>
      <c r="Y760" s="11">
        <f t="shared" si="79"/>
        <v>1552</v>
      </c>
      <c r="AC760" t="s">
        <v>26</v>
      </c>
      <c r="AD760" t="s">
        <v>5082</v>
      </c>
      <c r="AE760" t="s">
        <v>5083</v>
      </c>
      <c r="AF760" t="s">
        <v>29</v>
      </c>
      <c r="AG760" t="s">
        <v>30</v>
      </c>
      <c r="AH760" t="s">
        <v>31</v>
      </c>
      <c r="AK760" t="s">
        <v>5082</v>
      </c>
      <c r="AL760" t="s">
        <v>1967</v>
      </c>
      <c r="AM760" t="s">
        <v>5031</v>
      </c>
      <c r="AN760" s="8">
        <v>0.657</v>
      </c>
      <c r="AO760">
        <v>199.694880401046</v>
      </c>
      <c r="AP760">
        <v>1756</v>
      </c>
      <c r="AQ760" s="9">
        <v>0.488</v>
      </c>
      <c r="AR760" t="s">
        <v>1385</v>
      </c>
      <c r="AT760" s="15" t="s">
        <v>80</v>
      </c>
      <c r="AW760" s="11" t="str">
        <f t="shared" si="80"/>
        <v>EN_WOF_49_c02_OMN</v>
      </c>
      <c r="AX760" s="11">
        <f t="shared" si="81"/>
        <v>1756</v>
      </c>
      <c r="AY760" s="11">
        <f t="shared" si="82"/>
        <v>1756</v>
      </c>
      <c r="AZ760" s="17">
        <v>3</v>
      </c>
      <c r="BA760">
        <f t="shared" si="83"/>
        <v>17.56</v>
      </c>
    </row>
    <row r="761" spans="2:53">
      <c r="B761" t="s">
        <v>26</v>
      </c>
      <c r="C761" t="s">
        <v>5084</v>
      </c>
      <c r="D761" t="s">
        <v>5085</v>
      </c>
      <c r="E761" t="s">
        <v>29</v>
      </c>
      <c r="F761" t="s">
        <v>30</v>
      </c>
      <c r="G761" t="s">
        <v>31</v>
      </c>
      <c r="J761" t="s">
        <v>5084</v>
      </c>
      <c r="K761" t="s">
        <v>1967</v>
      </c>
      <c r="L761" t="s">
        <v>3408</v>
      </c>
      <c r="M761" s="8">
        <v>0.09675</v>
      </c>
      <c r="N761">
        <v>0</v>
      </c>
      <c r="O761">
        <v>1552</v>
      </c>
      <c r="P761" s="9">
        <v>0.292</v>
      </c>
      <c r="Q761" t="s">
        <v>656</v>
      </c>
      <c r="T761" s="15" t="s">
        <v>69</v>
      </c>
      <c r="W761" s="16" t="str">
        <f t="shared" si="77"/>
        <v>EN_WON_29_c01_ESP</v>
      </c>
      <c r="X761" s="12">
        <f t="shared" si="78"/>
        <v>1552</v>
      </c>
      <c r="Y761" s="11">
        <f t="shared" si="79"/>
        <v>1552</v>
      </c>
      <c r="AC761" t="s">
        <v>26</v>
      </c>
      <c r="AD761" t="s">
        <v>5086</v>
      </c>
      <c r="AE761" t="s">
        <v>5087</v>
      </c>
      <c r="AF761" t="s">
        <v>29</v>
      </c>
      <c r="AG761" t="s">
        <v>30</v>
      </c>
      <c r="AH761" t="s">
        <v>31</v>
      </c>
      <c r="AK761" t="s">
        <v>5086</v>
      </c>
      <c r="AL761" t="s">
        <v>1967</v>
      </c>
      <c r="AM761" t="s">
        <v>5088</v>
      </c>
      <c r="AN761" s="8">
        <v>2.9025</v>
      </c>
      <c r="AO761">
        <v>199.694880401046</v>
      </c>
      <c r="AP761">
        <v>1769</v>
      </c>
      <c r="AQ761" s="9">
        <v>0.312795348837209</v>
      </c>
      <c r="AR761" t="s">
        <v>1423</v>
      </c>
      <c r="AT761" s="15" t="s">
        <v>89</v>
      </c>
      <c r="AW761" s="11" t="str">
        <f t="shared" si="80"/>
        <v>EN_WOF_31_c02_PAN</v>
      </c>
      <c r="AX761" s="11">
        <f t="shared" si="81"/>
        <v>1769</v>
      </c>
      <c r="AY761" s="11">
        <f t="shared" si="82"/>
        <v>1769</v>
      </c>
      <c r="AZ761" s="17">
        <v>3</v>
      </c>
      <c r="BA761">
        <f t="shared" si="83"/>
        <v>17.69</v>
      </c>
    </row>
    <row r="762" spans="2:53">
      <c r="B762" t="s">
        <v>26</v>
      </c>
      <c r="C762" t="s">
        <v>5089</v>
      </c>
      <c r="D762" t="s">
        <v>5090</v>
      </c>
      <c r="E762" t="s">
        <v>29</v>
      </c>
      <c r="F762" t="s">
        <v>30</v>
      </c>
      <c r="G762" t="s">
        <v>31</v>
      </c>
      <c r="J762" t="s">
        <v>5089</v>
      </c>
      <c r="K762" t="s">
        <v>1967</v>
      </c>
      <c r="L762" t="s">
        <v>3408</v>
      </c>
      <c r="M762" s="8">
        <v>1.542</v>
      </c>
      <c r="N762">
        <v>80.7856561622413</v>
      </c>
      <c r="O762">
        <v>1552</v>
      </c>
      <c r="P762" s="9">
        <v>0.290056906614786</v>
      </c>
      <c r="Q762" t="s">
        <v>656</v>
      </c>
      <c r="T762" s="15" t="s">
        <v>69</v>
      </c>
      <c r="W762" s="16" t="str">
        <f t="shared" si="77"/>
        <v>EN_WON_29_c02_ESP</v>
      </c>
      <c r="X762" s="12">
        <f t="shared" si="78"/>
        <v>1552</v>
      </c>
      <c r="Y762" s="11">
        <f t="shared" si="79"/>
        <v>1552</v>
      </c>
      <c r="AC762" t="s">
        <v>26</v>
      </c>
      <c r="AD762" t="s">
        <v>5091</v>
      </c>
      <c r="AE762" t="s">
        <v>5092</v>
      </c>
      <c r="AF762" t="s">
        <v>29</v>
      </c>
      <c r="AG762" t="s">
        <v>30</v>
      </c>
      <c r="AH762" t="s">
        <v>31</v>
      </c>
      <c r="AK762" t="s">
        <v>5091</v>
      </c>
      <c r="AL762" t="s">
        <v>1967</v>
      </c>
      <c r="AM762" t="s">
        <v>5093</v>
      </c>
      <c r="AN762" s="8">
        <v>6.003</v>
      </c>
      <c r="AO762">
        <v>199.694880401046</v>
      </c>
      <c r="AP762">
        <v>1575</v>
      </c>
      <c r="AQ762" s="9">
        <v>0.304</v>
      </c>
      <c r="AR762" t="s">
        <v>1433</v>
      </c>
      <c r="AT762" s="15" t="s">
        <v>89</v>
      </c>
      <c r="AW762" s="11" t="str">
        <f t="shared" si="80"/>
        <v>EN_WOF_30_c02_PER</v>
      </c>
      <c r="AX762" s="11">
        <f t="shared" si="81"/>
        <v>1575</v>
      </c>
      <c r="AY762" s="11">
        <f t="shared" si="82"/>
        <v>1575</v>
      </c>
      <c r="AZ762" s="17">
        <v>3</v>
      </c>
      <c r="BA762">
        <f t="shared" si="83"/>
        <v>15.75</v>
      </c>
    </row>
    <row r="763" spans="2:53">
      <c r="B763" t="s">
        <v>26</v>
      </c>
      <c r="C763" t="s">
        <v>5094</v>
      </c>
      <c r="D763" t="s">
        <v>5095</v>
      </c>
      <c r="E763" t="s">
        <v>29</v>
      </c>
      <c r="F763" t="s">
        <v>30</v>
      </c>
      <c r="G763" t="s">
        <v>31</v>
      </c>
      <c r="J763" t="s">
        <v>5094</v>
      </c>
      <c r="K763" t="s">
        <v>1967</v>
      </c>
      <c r="L763" t="s">
        <v>3408</v>
      </c>
      <c r="M763" s="8">
        <v>1.06725</v>
      </c>
      <c r="N763">
        <v>105.747516212372</v>
      </c>
      <c r="O763">
        <v>1552</v>
      </c>
      <c r="P763" s="9">
        <v>0.29050245959241</v>
      </c>
      <c r="Q763" t="s">
        <v>656</v>
      </c>
      <c r="T763" s="15" t="s">
        <v>69</v>
      </c>
      <c r="W763" s="16" t="str">
        <f t="shared" si="77"/>
        <v>EN_WON_29_c03_ESP</v>
      </c>
      <c r="X763" s="12">
        <f t="shared" si="78"/>
        <v>1552</v>
      </c>
      <c r="Y763" s="11">
        <f t="shared" si="79"/>
        <v>1552</v>
      </c>
      <c r="AC763" t="s">
        <v>26</v>
      </c>
      <c r="AD763" t="s">
        <v>5096</v>
      </c>
      <c r="AE763" t="s">
        <v>5097</v>
      </c>
      <c r="AF763" t="s">
        <v>29</v>
      </c>
      <c r="AG763" t="s">
        <v>30</v>
      </c>
      <c r="AH763" t="s">
        <v>31</v>
      </c>
      <c r="AK763" t="s">
        <v>5096</v>
      </c>
      <c r="AL763" t="s">
        <v>1967</v>
      </c>
      <c r="AM763" t="s">
        <v>5093</v>
      </c>
      <c r="AN763" s="8">
        <v>17.4675</v>
      </c>
      <c r="AO763">
        <v>199.694880401046</v>
      </c>
      <c r="AP763">
        <v>1575</v>
      </c>
      <c r="AQ763" s="9">
        <v>0.308305195362817</v>
      </c>
      <c r="AR763" t="s">
        <v>1433</v>
      </c>
      <c r="AT763" s="15" t="s">
        <v>89</v>
      </c>
      <c r="AW763" s="11" t="str">
        <f t="shared" si="80"/>
        <v>EN_WOF_31_c02_PER</v>
      </c>
      <c r="AX763" s="11">
        <f t="shared" si="81"/>
        <v>1575</v>
      </c>
      <c r="AY763" s="11">
        <f t="shared" si="82"/>
        <v>1575</v>
      </c>
      <c r="AZ763" s="17">
        <v>3</v>
      </c>
      <c r="BA763">
        <f t="shared" si="83"/>
        <v>15.75</v>
      </c>
    </row>
    <row r="764" spans="2:53">
      <c r="B764" t="s">
        <v>26</v>
      </c>
      <c r="C764" t="s">
        <v>5098</v>
      </c>
      <c r="D764" t="s">
        <v>5099</v>
      </c>
      <c r="E764" t="s">
        <v>29</v>
      </c>
      <c r="F764" t="s">
        <v>30</v>
      </c>
      <c r="G764" t="s">
        <v>31</v>
      </c>
      <c r="J764" t="s">
        <v>5098</v>
      </c>
      <c r="K764" t="s">
        <v>1967</v>
      </c>
      <c r="L764" t="s">
        <v>3408</v>
      </c>
      <c r="M764" s="8">
        <v>0.063</v>
      </c>
      <c r="N764">
        <v>0</v>
      </c>
      <c r="O764">
        <v>1552</v>
      </c>
      <c r="P764" s="9">
        <v>0.299607142857143</v>
      </c>
      <c r="Q764" t="s">
        <v>656</v>
      </c>
      <c r="T764" s="15" t="s">
        <v>69</v>
      </c>
      <c r="W764" s="16" t="str">
        <f t="shared" si="77"/>
        <v>EN_WON_30_c01_ESP</v>
      </c>
      <c r="X764" s="12">
        <f t="shared" si="78"/>
        <v>1552</v>
      </c>
      <c r="Y764" s="11">
        <f t="shared" si="79"/>
        <v>1552</v>
      </c>
      <c r="AC764" t="s">
        <v>26</v>
      </c>
      <c r="AD764" t="s">
        <v>5100</v>
      </c>
      <c r="AE764" t="s">
        <v>5101</v>
      </c>
      <c r="AF764" t="s">
        <v>29</v>
      </c>
      <c r="AG764" t="s">
        <v>30</v>
      </c>
      <c r="AH764" t="s">
        <v>31</v>
      </c>
      <c r="AK764" t="s">
        <v>5100</v>
      </c>
      <c r="AL764" t="s">
        <v>1967</v>
      </c>
      <c r="AM764" t="s">
        <v>5093</v>
      </c>
      <c r="AN764" s="8">
        <v>2.58375</v>
      </c>
      <c r="AO764">
        <v>199.694880401046</v>
      </c>
      <c r="AP764">
        <v>1575</v>
      </c>
      <c r="AQ764" s="9">
        <v>0.318718142235123</v>
      </c>
      <c r="AR764" t="s">
        <v>1433</v>
      </c>
      <c r="AT764" s="15" t="s">
        <v>89</v>
      </c>
      <c r="AW764" s="11" t="str">
        <f t="shared" si="80"/>
        <v>EN_WOF_32_c02_PER</v>
      </c>
      <c r="AX764" s="11">
        <f t="shared" si="81"/>
        <v>1575</v>
      </c>
      <c r="AY764" s="11">
        <f t="shared" si="82"/>
        <v>1575</v>
      </c>
      <c r="AZ764" s="17">
        <v>3</v>
      </c>
      <c r="BA764">
        <f t="shared" si="83"/>
        <v>15.75</v>
      </c>
    </row>
    <row r="765" spans="2:53">
      <c r="B765" t="s">
        <v>26</v>
      </c>
      <c r="C765" t="s">
        <v>5102</v>
      </c>
      <c r="D765" t="s">
        <v>5103</v>
      </c>
      <c r="E765" t="s">
        <v>29</v>
      </c>
      <c r="F765" t="s">
        <v>30</v>
      </c>
      <c r="G765" t="s">
        <v>31</v>
      </c>
      <c r="J765" t="s">
        <v>5102</v>
      </c>
      <c r="K765" t="s">
        <v>1967</v>
      </c>
      <c r="L765" t="s">
        <v>3408</v>
      </c>
      <c r="M765" s="8">
        <v>0.2355</v>
      </c>
      <c r="N765">
        <v>80.7856561622413</v>
      </c>
      <c r="O765">
        <v>1552</v>
      </c>
      <c r="P765" s="9">
        <v>0.302656050955414</v>
      </c>
      <c r="Q765" t="s">
        <v>656</v>
      </c>
      <c r="T765" s="15" t="s">
        <v>69</v>
      </c>
      <c r="W765" s="16" t="str">
        <f t="shared" si="77"/>
        <v>EN_WON_30_c02_ESP</v>
      </c>
      <c r="X765" s="12">
        <f t="shared" si="78"/>
        <v>1552</v>
      </c>
      <c r="Y765" s="11">
        <f t="shared" si="79"/>
        <v>1552</v>
      </c>
      <c r="AC765" t="s">
        <v>26</v>
      </c>
      <c r="AD765" t="s">
        <v>5104</v>
      </c>
      <c r="AE765" t="s">
        <v>5105</v>
      </c>
      <c r="AF765" t="s">
        <v>29</v>
      </c>
      <c r="AG765" t="s">
        <v>30</v>
      </c>
      <c r="AH765" t="s">
        <v>31</v>
      </c>
      <c r="AK765" t="s">
        <v>5104</v>
      </c>
      <c r="AL765" t="s">
        <v>1967</v>
      </c>
      <c r="AM765" t="s">
        <v>5093</v>
      </c>
      <c r="AN765" s="8">
        <v>19.11225</v>
      </c>
      <c r="AO765">
        <v>199.694880401046</v>
      </c>
      <c r="AP765">
        <v>1575</v>
      </c>
      <c r="AQ765" s="9">
        <v>0.328008515480909</v>
      </c>
      <c r="AR765" t="s">
        <v>1433</v>
      </c>
      <c r="AT765" s="15" t="s">
        <v>89</v>
      </c>
      <c r="AW765" s="11" t="str">
        <f t="shared" si="80"/>
        <v>EN_WOF_33_c02_PER</v>
      </c>
      <c r="AX765" s="11">
        <f t="shared" si="81"/>
        <v>1575</v>
      </c>
      <c r="AY765" s="11">
        <f t="shared" si="82"/>
        <v>1575</v>
      </c>
      <c r="AZ765" s="17">
        <v>3</v>
      </c>
      <c r="BA765">
        <f t="shared" si="83"/>
        <v>15.75</v>
      </c>
    </row>
    <row r="766" spans="2:53">
      <c r="B766" t="s">
        <v>26</v>
      </c>
      <c r="C766" t="s">
        <v>5106</v>
      </c>
      <c r="D766" t="s">
        <v>5107</v>
      </c>
      <c r="E766" t="s">
        <v>29</v>
      </c>
      <c r="F766" t="s">
        <v>30</v>
      </c>
      <c r="G766" t="s">
        <v>31</v>
      </c>
      <c r="J766" t="s">
        <v>5106</v>
      </c>
      <c r="K766" t="s">
        <v>1967</v>
      </c>
      <c r="L766" t="s">
        <v>3408</v>
      </c>
      <c r="M766" s="8">
        <v>0.99</v>
      </c>
      <c r="N766">
        <v>80.7856561622413</v>
      </c>
      <c r="O766">
        <v>1552</v>
      </c>
      <c r="P766" s="9">
        <v>0.309884848484848</v>
      </c>
      <c r="Q766" t="s">
        <v>656</v>
      </c>
      <c r="T766" s="15" t="s">
        <v>69</v>
      </c>
      <c r="W766" s="16" t="str">
        <f t="shared" si="77"/>
        <v>EN_WON_31_c02_ESP</v>
      </c>
      <c r="X766" s="12">
        <f t="shared" si="78"/>
        <v>1552</v>
      </c>
      <c r="Y766" s="11">
        <f t="shared" si="79"/>
        <v>1552</v>
      </c>
      <c r="AC766" t="s">
        <v>26</v>
      </c>
      <c r="AD766" t="s">
        <v>5108</v>
      </c>
      <c r="AE766" t="s">
        <v>5109</v>
      </c>
      <c r="AF766" t="s">
        <v>29</v>
      </c>
      <c r="AG766" t="s">
        <v>30</v>
      </c>
      <c r="AH766" t="s">
        <v>31</v>
      </c>
      <c r="AK766" t="s">
        <v>5108</v>
      </c>
      <c r="AL766" t="s">
        <v>1967</v>
      </c>
      <c r="AM766" t="s">
        <v>5093</v>
      </c>
      <c r="AN766" s="8">
        <v>3.471</v>
      </c>
      <c r="AO766">
        <v>199.694880401046</v>
      </c>
      <c r="AP766">
        <v>1575</v>
      </c>
      <c r="AQ766" s="9">
        <v>0.337737467588591</v>
      </c>
      <c r="AR766" t="s">
        <v>1433</v>
      </c>
      <c r="AT766" s="15" t="s">
        <v>89</v>
      </c>
      <c r="AW766" s="11" t="str">
        <f t="shared" si="80"/>
        <v>EN_WOF_34_c02_PER</v>
      </c>
      <c r="AX766" s="11">
        <f t="shared" si="81"/>
        <v>1575</v>
      </c>
      <c r="AY766" s="11">
        <f t="shared" si="82"/>
        <v>1575</v>
      </c>
      <c r="AZ766" s="17">
        <v>3</v>
      </c>
      <c r="BA766">
        <f t="shared" si="83"/>
        <v>15.75</v>
      </c>
    </row>
    <row r="767" spans="2:53">
      <c r="B767" t="s">
        <v>26</v>
      </c>
      <c r="C767" t="s">
        <v>5110</v>
      </c>
      <c r="D767" t="s">
        <v>5111</v>
      </c>
      <c r="E767" t="s">
        <v>29</v>
      </c>
      <c r="F767" t="s">
        <v>30</v>
      </c>
      <c r="G767" t="s">
        <v>31</v>
      </c>
      <c r="J767" t="s">
        <v>5110</v>
      </c>
      <c r="K767" t="s">
        <v>1967</v>
      </c>
      <c r="L767" t="s">
        <v>3408</v>
      </c>
      <c r="M767" s="8">
        <v>0.0915</v>
      </c>
      <c r="N767">
        <v>145.23264029167</v>
      </c>
      <c r="O767">
        <v>1552</v>
      </c>
      <c r="P767" s="9">
        <v>0.311</v>
      </c>
      <c r="Q767" t="s">
        <v>656</v>
      </c>
      <c r="T767" s="15" t="s">
        <v>69</v>
      </c>
      <c r="W767" s="16" t="str">
        <f t="shared" si="77"/>
        <v>EN_WON_31_c04_ESP</v>
      </c>
      <c r="X767" s="12">
        <f t="shared" si="78"/>
        <v>1552</v>
      </c>
      <c r="Y767" s="11">
        <f t="shared" si="79"/>
        <v>1552</v>
      </c>
      <c r="AC767" t="s">
        <v>26</v>
      </c>
      <c r="AD767" t="s">
        <v>5112</v>
      </c>
      <c r="AE767" t="s">
        <v>5113</v>
      </c>
      <c r="AF767" t="s">
        <v>29</v>
      </c>
      <c r="AG767" t="s">
        <v>30</v>
      </c>
      <c r="AH767" t="s">
        <v>31</v>
      </c>
      <c r="AK767" t="s">
        <v>5112</v>
      </c>
      <c r="AL767" t="s">
        <v>1967</v>
      </c>
      <c r="AM767" t="s">
        <v>5093</v>
      </c>
      <c r="AN767" s="8">
        <v>3.02325</v>
      </c>
      <c r="AO767">
        <v>199.694880401046</v>
      </c>
      <c r="AP767">
        <v>1575</v>
      </c>
      <c r="AQ767" s="9">
        <v>0.354</v>
      </c>
      <c r="AR767" t="s">
        <v>1433</v>
      </c>
      <c r="AT767" s="15" t="s">
        <v>89</v>
      </c>
      <c r="AW767" s="11" t="str">
        <f t="shared" si="80"/>
        <v>EN_WOF_35_c02_PER</v>
      </c>
      <c r="AX767" s="11">
        <f t="shared" si="81"/>
        <v>1575</v>
      </c>
      <c r="AY767" s="11">
        <f t="shared" si="82"/>
        <v>1575</v>
      </c>
      <c r="AZ767" s="17">
        <v>3</v>
      </c>
      <c r="BA767">
        <f t="shared" si="83"/>
        <v>15.75</v>
      </c>
    </row>
    <row r="768" spans="2:53">
      <c r="B768" t="s">
        <v>26</v>
      </c>
      <c r="C768" t="s">
        <v>5114</v>
      </c>
      <c r="D768" t="s">
        <v>5115</v>
      </c>
      <c r="E768" t="s">
        <v>29</v>
      </c>
      <c r="F768" t="s">
        <v>30</v>
      </c>
      <c r="G768" t="s">
        <v>31</v>
      </c>
      <c r="J768" t="s">
        <v>5114</v>
      </c>
      <c r="K768" t="s">
        <v>1967</v>
      </c>
      <c r="L768" t="s">
        <v>3408</v>
      </c>
      <c r="M768" s="8">
        <v>1.90425</v>
      </c>
      <c r="N768">
        <v>0</v>
      </c>
      <c r="O768">
        <v>1552</v>
      </c>
      <c r="P768" s="9">
        <v>0.318237495076802</v>
      </c>
      <c r="Q768" t="s">
        <v>656</v>
      </c>
      <c r="T768" s="15" t="s">
        <v>69</v>
      </c>
      <c r="W768" s="16" t="str">
        <f t="shared" si="77"/>
        <v>EN_WON_32_c01_ESP</v>
      </c>
      <c r="X768" s="12">
        <f t="shared" si="78"/>
        <v>1552</v>
      </c>
      <c r="Y768" s="11">
        <f t="shared" si="79"/>
        <v>1552</v>
      </c>
      <c r="AC768" t="s">
        <v>26</v>
      </c>
      <c r="AD768" t="s">
        <v>5116</v>
      </c>
      <c r="AE768" t="s">
        <v>5117</v>
      </c>
      <c r="AF768" t="s">
        <v>29</v>
      </c>
      <c r="AG768" t="s">
        <v>30</v>
      </c>
      <c r="AH768" t="s">
        <v>31</v>
      </c>
      <c r="AK768" t="s">
        <v>5116</v>
      </c>
      <c r="AL768" t="s">
        <v>1967</v>
      </c>
      <c r="AM768" t="s">
        <v>5093</v>
      </c>
      <c r="AN768" s="8">
        <v>27.7725</v>
      </c>
      <c r="AO768">
        <v>199.694880401046</v>
      </c>
      <c r="AP768">
        <v>1575</v>
      </c>
      <c r="AQ768" s="9">
        <v>0.358048069133135</v>
      </c>
      <c r="AR768" t="s">
        <v>1433</v>
      </c>
      <c r="AT768" s="15" t="s">
        <v>89</v>
      </c>
      <c r="AW768" s="11" t="str">
        <f t="shared" si="80"/>
        <v>EN_WOF_36_c02_PER</v>
      </c>
      <c r="AX768" s="11">
        <f t="shared" si="81"/>
        <v>1575</v>
      </c>
      <c r="AY768" s="11">
        <f t="shared" si="82"/>
        <v>1575</v>
      </c>
      <c r="AZ768" s="17">
        <v>3</v>
      </c>
      <c r="BA768">
        <f t="shared" si="83"/>
        <v>15.75</v>
      </c>
    </row>
    <row r="769" spans="2:53">
      <c r="B769" t="s">
        <v>26</v>
      </c>
      <c r="C769" t="s">
        <v>5118</v>
      </c>
      <c r="D769" t="s">
        <v>5119</v>
      </c>
      <c r="E769" t="s">
        <v>29</v>
      </c>
      <c r="F769" t="s">
        <v>30</v>
      </c>
      <c r="G769" t="s">
        <v>31</v>
      </c>
      <c r="J769" t="s">
        <v>5118</v>
      </c>
      <c r="K769" t="s">
        <v>1967</v>
      </c>
      <c r="L769" t="s">
        <v>3408</v>
      </c>
      <c r="M769" s="8">
        <v>0.144</v>
      </c>
      <c r="N769">
        <v>145.23264029167</v>
      </c>
      <c r="O769">
        <v>1552</v>
      </c>
      <c r="P769" s="9">
        <v>0.319</v>
      </c>
      <c r="Q769" t="s">
        <v>656</v>
      </c>
      <c r="T769" s="15" t="s">
        <v>69</v>
      </c>
      <c r="W769" s="16" t="str">
        <f t="shared" si="77"/>
        <v>EN_WON_32_c04_ESP</v>
      </c>
      <c r="X769" s="12">
        <f t="shared" si="78"/>
        <v>1552</v>
      </c>
      <c r="Y769" s="11">
        <f t="shared" si="79"/>
        <v>1552</v>
      </c>
      <c r="AC769" t="s">
        <v>26</v>
      </c>
      <c r="AD769" t="s">
        <v>5120</v>
      </c>
      <c r="AE769" t="s">
        <v>5121</v>
      </c>
      <c r="AF769" t="s">
        <v>29</v>
      </c>
      <c r="AG769" t="s">
        <v>30</v>
      </c>
      <c r="AH769" t="s">
        <v>31</v>
      </c>
      <c r="AK769" t="s">
        <v>5120</v>
      </c>
      <c r="AL769" t="s">
        <v>1967</v>
      </c>
      <c r="AM769" t="s">
        <v>5093</v>
      </c>
      <c r="AN769" s="8">
        <v>16.959</v>
      </c>
      <c r="AO769">
        <v>199.694880401046</v>
      </c>
      <c r="AP769">
        <v>1575</v>
      </c>
      <c r="AQ769" s="9">
        <v>0.369330665133557</v>
      </c>
      <c r="AR769" t="s">
        <v>1433</v>
      </c>
      <c r="AT769" s="15" t="s">
        <v>89</v>
      </c>
      <c r="AW769" s="11" t="str">
        <f t="shared" si="80"/>
        <v>EN_WOF_37_c02_PER</v>
      </c>
      <c r="AX769" s="11">
        <f t="shared" si="81"/>
        <v>1575</v>
      </c>
      <c r="AY769" s="11">
        <f t="shared" si="82"/>
        <v>1575</v>
      </c>
      <c r="AZ769" s="17">
        <v>3</v>
      </c>
      <c r="BA769">
        <f t="shared" si="83"/>
        <v>15.75</v>
      </c>
    </row>
    <row r="770" spans="2:53">
      <c r="B770" t="s">
        <v>26</v>
      </c>
      <c r="C770" t="s">
        <v>5122</v>
      </c>
      <c r="D770" t="s">
        <v>5123</v>
      </c>
      <c r="E770" t="s">
        <v>29</v>
      </c>
      <c r="F770" t="s">
        <v>30</v>
      </c>
      <c r="G770" t="s">
        <v>31</v>
      </c>
      <c r="J770" t="s">
        <v>5122</v>
      </c>
      <c r="K770" t="s">
        <v>1967</v>
      </c>
      <c r="L770" t="s">
        <v>3408</v>
      </c>
      <c r="M770" s="8">
        <v>1.2795</v>
      </c>
      <c r="N770">
        <v>0</v>
      </c>
      <c r="O770">
        <v>1552</v>
      </c>
      <c r="P770" s="9">
        <v>0.331</v>
      </c>
      <c r="Q770" t="s">
        <v>656</v>
      </c>
      <c r="T770" s="15" t="s">
        <v>69</v>
      </c>
      <c r="W770" s="16" t="str">
        <f t="shared" si="77"/>
        <v>EN_WON_33_c01_ESP</v>
      </c>
      <c r="X770" s="12">
        <f t="shared" si="78"/>
        <v>1552</v>
      </c>
      <c r="Y770" s="11">
        <f t="shared" si="79"/>
        <v>1552</v>
      </c>
      <c r="AC770" t="s">
        <v>26</v>
      </c>
      <c r="AD770" t="s">
        <v>5124</v>
      </c>
      <c r="AE770" t="s">
        <v>5125</v>
      </c>
      <c r="AF770" t="s">
        <v>29</v>
      </c>
      <c r="AG770" t="s">
        <v>30</v>
      </c>
      <c r="AH770" t="s">
        <v>31</v>
      </c>
      <c r="AK770" t="s">
        <v>5124</v>
      </c>
      <c r="AL770" t="s">
        <v>1967</v>
      </c>
      <c r="AM770" t="s">
        <v>5093</v>
      </c>
      <c r="AN770" s="8">
        <v>9.069</v>
      </c>
      <c r="AO770">
        <v>199.694880401046</v>
      </c>
      <c r="AP770">
        <v>1575</v>
      </c>
      <c r="AQ770" s="9">
        <v>0.375785478001985</v>
      </c>
      <c r="AR770" t="s">
        <v>1433</v>
      </c>
      <c r="AT770" s="15" t="s">
        <v>89</v>
      </c>
      <c r="AW770" s="11" t="str">
        <f t="shared" si="80"/>
        <v>EN_WOF_38_c02_PER</v>
      </c>
      <c r="AX770" s="11">
        <f t="shared" si="81"/>
        <v>1575</v>
      </c>
      <c r="AY770" s="11">
        <f t="shared" si="82"/>
        <v>1575</v>
      </c>
      <c r="AZ770" s="17">
        <v>3</v>
      </c>
      <c r="BA770">
        <f t="shared" si="83"/>
        <v>15.75</v>
      </c>
    </row>
    <row r="771" spans="2:53">
      <c r="B771" t="s">
        <v>26</v>
      </c>
      <c r="C771" t="s">
        <v>5126</v>
      </c>
      <c r="D771" t="s">
        <v>5127</v>
      </c>
      <c r="E771" t="s">
        <v>29</v>
      </c>
      <c r="F771" t="s">
        <v>30</v>
      </c>
      <c r="G771" t="s">
        <v>31</v>
      </c>
      <c r="J771" t="s">
        <v>5126</v>
      </c>
      <c r="K771" t="s">
        <v>1967</v>
      </c>
      <c r="L771" t="s">
        <v>3408</v>
      </c>
      <c r="M771" s="8">
        <v>1.84575</v>
      </c>
      <c r="N771">
        <v>80.7856561622413</v>
      </c>
      <c r="O771">
        <v>1552</v>
      </c>
      <c r="P771" s="9">
        <v>0.326054043071922</v>
      </c>
      <c r="Q771" t="s">
        <v>656</v>
      </c>
      <c r="T771" s="15" t="s">
        <v>69</v>
      </c>
      <c r="W771" s="16" t="str">
        <f t="shared" si="77"/>
        <v>EN_WON_33_c02_ESP</v>
      </c>
      <c r="X771" s="12">
        <f t="shared" si="78"/>
        <v>1552</v>
      </c>
      <c r="Y771" s="11">
        <f t="shared" si="79"/>
        <v>1552</v>
      </c>
      <c r="AC771" t="s">
        <v>26</v>
      </c>
      <c r="AD771" t="s">
        <v>5128</v>
      </c>
      <c r="AE771" t="s">
        <v>5129</v>
      </c>
      <c r="AF771" t="s">
        <v>29</v>
      </c>
      <c r="AG771" t="s">
        <v>30</v>
      </c>
      <c r="AH771" t="s">
        <v>31</v>
      </c>
      <c r="AK771" t="s">
        <v>5128</v>
      </c>
      <c r="AL771" t="s">
        <v>1967</v>
      </c>
      <c r="AM771" t="s">
        <v>5093</v>
      </c>
      <c r="AN771" s="8">
        <v>13.659</v>
      </c>
      <c r="AO771">
        <v>199.694880401046</v>
      </c>
      <c r="AP771">
        <v>1575</v>
      </c>
      <c r="AQ771" s="9">
        <v>0.399131451790029</v>
      </c>
      <c r="AR771" t="s">
        <v>1433</v>
      </c>
      <c r="AT771" s="15" t="s">
        <v>89</v>
      </c>
      <c r="AW771" s="11" t="str">
        <f t="shared" si="80"/>
        <v>EN_WOF_40_c02_PER</v>
      </c>
      <c r="AX771" s="11">
        <f t="shared" si="81"/>
        <v>1575</v>
      </c>
      <c r="AY771" s="11">
        <f t="shared" si="82"/>
        <v>1575</v>
      </c>
      <c r="AZ771" s="17">
        <v>3</v>
      </c>
      <c r="BA771">
        <f t="shared" si="83"/>
        <v>15.75</v>
      </c>
    </row>
    <row r="772" spans="2:53">
      <c r="B772" t="s">
        <v>26</v>
      </c>
      <c r="C772" t="s">
        <v>5130</v>
      </c>
      <c r="D772" t="s">
        <v>5131</v>
      </c>
      <c r="E772" t="s">
        <v>29</v>
      </c>
      <c r="F772" t="s">
        <v>30</v>
      </c>
      <c r="G772" t="s">
        <v>31</v>
      </c>
      <c r="J772" t="s">
        <v>5130</v>
      </c>
      <c r="K772" t="s">
        <v>1967</v>
      </c>
      <c r="L772" t="s">
        <v>3408</v>
      </c>
      <c r="M772" s="8">
        <v>0.37575</v>
      </c>
      <c r="N772">
        <v>105.747516212372</v>
      </c>
      <c r="O772">
        <v>1552</v>
      </c>
      <c r="P772" s="9">
        <v>0.325417165668663</v>
      </c>
      <c r="Q772" t="s">
        <v>656</v>
      </c>
      <c r="T772" s="15" t="s">
        <v>69</v>
      </c>
      <c r="W772" s="16" t="str">
        <f t="shared" si="77"/>
        <v>EN_WON_33_c03_ESP</v>
      </c>
      <c r="X772" s="12">
        <f t="shared" si="78"/>
        <v>1552</v>
      </c>
      <c r="Y772" s="11">
        <f t="shared" si="79"/>
        <v>1552</v>
      </c>
      <c r="AC772" t="s">
        <v>26</v>
      </c>
      <c r="AD772" t="s">
        <v>5132</v>
      </c>
      <c r="AE772" t="s">
        <v>5133</v>
      </c>
      <c r="AF772" t="s">
        <v>29</v>
      </c>
      <c r="AG772" t="s">
        <v>30</v>
      </c>
      <c r="AH772" t="s">
        <v>31</v>
      </c>
      <c r="AK772" t="s">
        <v>5132</v>
      </c>
      <c r="AL772" t="s">
        <v>1967</v>
      </c>
      <c r="AM772" t="s">
        <v>5093</v>
      </c>
      <c r="AN772" s="8">
        <v>10.03125</v>
      </c>
      <c r="AO772">
        <v>199.694880401046</v>
      </c>
      <c r="AP772">
        <v>1575</v>
      </c>
      <c r="AQ772" s="9">
        <v>0.407945943925234</v>
      </c>
      <c r="AR772" t="s">
        <v>1433</v>
      </c>
      <c r="AT772" s="15" t="s">
        <v>89</v>
      </c>
      <c r="AW772" s="11" t="str">
        <f t="shared" si="80"/>
        <v>EN_WOF_41_c02_PER</v>
      </c>
      <c r="AX772" s="11">
        <f t="shared" si="81"/>
        <v>1575</v>
      </c>
      <c r="AY772" s="11">
        <f t="shared" si="82"/>
        <v>1575</v>
      </c>
      <c r="AZ772" s="17">
        <v>3</v>
      </c>
      <c r="BA772">
        <f t="shared" si="83"/>
        <v>15.75</v>
      </c>
    </row>
    <row r="773" spans="2:53">
      <c r="B773" t="s">
        <v>26</v>
      </c>
      <c r="C773" t="s">
        <v>5134</v>
      </c>
      <c r="D773" t="s">
        <v>5135</v>
      </c>
      <c r="E773" t="s">
        <v>29</v>
      </c>
      <c r="F773" t="s">
        <v>30</v>
      </c>
      <c r="G773" t="s">
        <v>31</v>
      </c>
      <c r="J773" t="s">
        <v>5134</v>
      </c>
      <c r="K773" t="s">
        <v>1967</v>
      </c>
      <c r="L773" t="s">
        <v>3408</v>
      </c>
      <c r="M773" s="8">
        <v>0.16425</v>
      </c>
      <c r="N773">
        <v>145.23264029167</v>
      </c>
      <c r="O773">
        <v>1552</v>
      </c>
      <c r="P773" s="9">
        <v>0.325</v>
      </c>
      <c r="Q773" t="s">
        <v>656</v>
      </c>
      <c r="T773" s="15" t="s">
        <v>69</v>
      </c>
      <c r="W773" s="16" t="str">
        <f t="shared" si="77"/>
        <v>EN_WON_33_c04_ESP</v>
      </c>
      <c r="X773" s="12">
        <f t="shared" si="78"/>
        <v>1552</v>
      </c>
      <c r="Y773" s="11">
        <f t="shared" si="79"/>
        <v>1552</v>
      </c>
      <c r="AC773" t="s">
        <v>26</v>
      </c>
      <c r="AD773" t="s">
        <v>5136</v>
      </c>
      <c r="AE773" t="s">
        <v>5137</v>
      </c>
      <c r="AF773" t="s">
        <v>29</v>
      </c>
      <c r="AG773" t="s">
        <v>30</v>
      </c>
      <c r="AH773" t="s">
        <v>31</v>
      </c>
      <c r="AK773" t="s">
        <v>5136</v>
      </c>
      <c r="AL773" t="s">
        <v>1967</v>
      </c>
      <c r="AM773" t="s">
        <v>5093</v>
      </c>
      <c r="AN773" s="8">
        <v>3.24675</v>
      </c>
      <c r="AO773">
        <v>199.694880401046</v>
      </c>
      <c r="AP773">
        <v>1575</v>
      </c>
      <c r="AQ773" s="9">
        <v>0.420534765534766</v>
      </c>
      <c r="AR773" t="s">
        <v>1433</v>
      </c>
      <c r="AT773" s="15" t="s">
        <v>89</v>
      </c>
      <c r="AW773" s="11" t="str">
        <f t="shared" si="80"/>
        <v>EN_WOF_42_c02_PER</v>
      </c>
      <c r="AX773" s="11">
        <f t="shared" si="81"/>
        <v>1575</v>
      </c>
      <c r="AY773" s="11">
        <f t="shared" si="82"/>
        <v>1575</v>
      </c>
      <c r="AZ773" s="17">
        <v>3</v>
      </c>
      <c r="BA773">
        <f t="shared" si="83"/>
        <v>15.75</v>
      </c>
    </row>
    <row r="774" spans="2:53">
      <c r="B774" t="s">
        <v>26</v>
      </c>
      <c r="C774" t="s">
        <v>5138</v>
      </c>
      <c r="D774" t="s">
        <v>5139</v>
      </c>
      <c r="E774" t="s">
        <v>29</v>
      </c>
      <c r="F774" t="s">
        <v>30</v>
      </c>
      <c r="G774" t="s">
        <v>31</v>
      </c>
      <c r="J774" t="s">
        <v>5138</v>
      </c>
      <c r="K774" t="s">
        <v>1967</v>
      </c>
      <c r="L774" t="s">
        <v>3408</v>
      </c>
      <c r="M774" s="8">
        <v>2.02275</v>
      </c>
      <c r="N774">
        <v>0</v>
      </c>
      <c r="O774">
        <v>1552</v>
      </c>
      <c r="P774" s="9">
        <v>0.343</v>
      </c>
      <c r="Q774" t="s">
        <v>656</v>
      </c>
      <c r="T774" s="15" t="s">
        <v>69</v>
      </c>
      <c r="W774" s="16" t="str">
        <f t="shared" ref="W774:W837" si="84">J774</f>
        <v>EN_WON_34_c01_ESP</v>
      </c>
      <c r="X774" s="12">
        <f t="shared" ref="X774:X837" si="85">O774</f>
        <v>1552</v>
      </c>
      <c r="Y774" s="11">
        <f t="shared" ref="Y774:Y837" si="86">X774</f>
        <v>1552</v>
      </c>
      <c r="AC774" t="s">
        <v>26</v>
      </c>
      <c r="AD774" t="s">
        <v>5140</v>
      </c>
      <c r="AE774" t="s">
        <v>5141</v>
      </c>
      <c r="AF774" t="s">
        <v>29</v>
      </c>
      <c r="AG774" t="s">
        <v>30</v>
      </c>
      <c r="AH774" t="s">
        <v>31</v>
      </c>
      <c r="AK774" t="s">
        <v>5140</v>
      </c>
      <c r="AL774" t="s">
        <v>1967</v>
      </c>
      <c r="AM774" t="s">
        <v>5093</v>
      </c>
      <c r="AN774" s="8">
        <v>3.21825</v>
      </c>
      <c r="AO774">
        <v>199.694880401046</v>
      </c>
      <c r="AP774">
        <v>1575</v>
      </c>
      <c r="AQ774" s="9">
        <v>0.425</v>
      </c>
      <c r="AR774" t="s">
        <v>1433</v>
      </c>
      <c r="AT774" s="15" t="s">
        <v>89</v>
      </c>
      <c r="AW774" s="11" t="str">
        <f t="shared" ref="AW774:AW837" si="87">AK774</f>
        <v>EN_WOF_43_c02_PER</v>
      </c>
      <c r="AX774" s="11">
        <f t="shared" ref="AX774:AX837" si="88">AP774</f>
        <v>1575</v>
      </c>
      <c r="AY774" s="11">
        <f t="shared" ref="AY774:AY837" si="89">AX774</f>
        <v>1575</v>
      </c>
      <c r="AZ774" s="17">
        <v>3</v>
      </c>
      <c r="BA774">
        <f t="shared" ref="BA774:BA837" si="90">AX774*0.01</f>
        <v>15.75</v>
      </c>
    </row>
    <row r="775" spans="2:53">
      <c r="B775" t="s">
        <v>26</v>
      </c>
      <c r="C775" t="s">
        <v>5142</v>
      </c>
      <c r="D775" t="s">
        <v>5143</v>
      </c>
      <c r="E775" t="s">
        <v>29</v>
      </c>
      <c r="F775" t="s">
        <v>30</v>
      </c>
      <c r="G775" t="s">
        <v>31</v>
      </c>
      <c r="J775" t="s">
        <v>5142</v>
      </c>
      <c r="K775" t="s">
        <v>1967</v>
      </c>
      <c r="L775" t="s">
        <v>3408</v>
      </c>
      <c r="M775" s="8">
        <v>0.67875</v>
      </c>
      <c r="N775">
        <v>80.7856561622413</v>
      </c>
      <c r="O775">
        <v>1552</v>
      </c>
      <c r="P775" s="9">
        <v>0.336</v>
      </c>
      <c r="Q775" t="s">
        <v>656</v>
      </c>
      <c r="T775" s="15" t="s">
        <v>69</v>
      </c>
      <c r="W775" s="16" t="str">
        <f t="shared" si="84"/>
        <v>EN_WON_34_c02_ESP</v>
      </c>
      <c r="X775" s="12">
        <f t="shared" si="85"/>
        <v>1552</v>
      </c>
      <c r="Y775" s="11">
        <f t="shared" si="86"/>
        <v>1552</v>
      </c>
      <c r="AC775" t="s">
        <v>26</v>
      </c>
      <c r="AD775" t="s">
        <v>5144</v>
      </c>
      <c r="AE775" t="s">
        <v>5145</v>
      </c>
      <c r="AF775" t="s">
        <v>29</v>
      </c>
      <c r="AG775" t="s">
        <v>30</v>
      </c>
      <c r="AH775" t="s">
        <v>31</v>
      </c>
      <c r="AK775" t="s">
        <v>5144</v>
      </c>
      <c r="AL775" t="s">
        <v>1967</v>
      </c>
      <c r="AM775" t="s">
        <v>5093</v>
      </c>
      <c r="AN775" s="8">
        <v>6.06825</v>
      </c>
      <c r="AO775">
        <v>199.694880401046</v>
      </c>
      <c r="AP775">
        <v>1575</v>
      </c>
      <c r="AQ775" s="9">
        <v>0.435</v>
      </c>
      <c r="AR775" t="s">
        <v>1433</v>
      </c>
      <c r="AT775" s="15" t="s">
        <v>89</v>
      </c>
      <c r="AW775" s="11" t="str">
        <f t="shared" si="87"/>
        <v>EN_WOF_44_c02_PER</v>
      </c>
      <c r="AX775" s="11">
        <f t="shared" si="88"/>
        <v>1575</v>
      </c>
      <c r="AY775" s="11">
        <f t="shared" si="89"/>
        <v>1575</v>
      </c>
      <c r="AZ775" s="17">
        <v>3</v>
      </c>
      <c r="BA775">
        <f t="shared" si="90"/>
        <v>15.75</v>
      </c>
    </row>
    <row r="776" spans="2:53">
      <c r="B776" t="s">
        <v>26</v>
      </c>
      <c r="C776" t="s">
        <v>5146</v>
      </c>
      <c r="D776" t="s">
        <v>5147</v>
      </c>
      <c r="E776" t="s">
        <v>29</v>
      </c>
      <c r="F776" t="s">
        <v>30</v>
      </c>
      <c r="G776" t="s">
        <v>31</v>
      </c>
      <c r="J776" t="s">
        <v>5146</v>
      </c>
      <c r="K776" t="s">
        <v>1967</v>
      </c>
      <c r="L776" t="s">
        <v>3408</v>
      </c>
      <c r="M776" s="8">
        <v>0.09375</v>
      </c>
      <c r="N776">
        <v>0</v>
      </c>
      <c r="O776">
        <v>1552</v>
      </c>
      <c r="P776" s="9">
        <v>0.346</v>
      </c>
      <c r="Q776" t="s">
        <v>656</v>
      </c>
      <c r="T776" s="15" t="s">
        <v>69</v>
      </c>
      <c r="W776" s="16" t="str">
        <f t="shared" si="84"/>
        <v>EN_WON_35_c01_ESP</v>
      </c>
      <c r="X776" s="12">
        <f t="shared" si="85"/>
        <v>1552</v>
      </c>
      <c r="Y776" s="11">
        <f t="shared" si="86"/>
        <v>1552</v>
      </c>
      <c r="AC776" t="s">
        <v>26</v>
      </c>
      <c r="AD776" t="s">
        <v>5148</v>
      </c>
      <c r="AE776" t="s">
        <v>5149</v>
      </c>
      <c r="AF776" t="s">
        <v>29</v>
      </c>
      <c r="AG776" t="s">
        <v>30</v>
      </c>
      <c r="AH776" t="s">
        <v>31</v>
      </c>
      <c r="AK776" t="s">
        <v>5148</v>
      </c>
      <c r="AL776" t="s">
        <v>1967</v>
      </c>
      <c r="AM776" t="s">
        <v>5093</v>
      </c>
      <c r="AN776" s="8">
        <v>2.1225</v>
      </c>
      <c r="AO776">
        <v>199.694880401046</v>
      </c>
      <c r="AP776">
        <v>1575</v>
      </c>
      <c r="AQ776" s="9">
        <v>0.452</v>
      </c>
      <c r="AR776" t="s">
        <v>1433</v>
      </c>
      <c r="AT776" s="15" t="s">
        <v>89</v>
      </c>
      <c r="AW776" s="11" t="str">
        <f t="shared" si="87"/>
        <v>EN_WOF_45_c02_PER</v>
      </c>
      <c r="AX776" s="11">
        <f t="shared" si="88"/>
        <v>1575</v>
      </c>
      <c r="AY776" s="11">
        <f t="shared" si="89"/>
        <v>1575</v>
      </c>
      <c r="AZ776" s="17">
        <v>3</v>
      </c>
      <c r="BA776">
        <f t="shared" si="90"/>
        <v>15.75</v>
      </c>
    </row>
    <row r="777" spans="2:53">
      <c r="B777" t="s">
        <v>26</v>
      </c>
      <c r="C777" t="s">
        <v>5150</v>
      </c>
      <c r="D777" t="s">
        <v>5151</v>
      </c>
      <c r="E777" t="s">
        <v>29</v>
      </c>
      <c r="F777" t="s">
        <v>30</v>
      </c>
      <c r="G777" t="s">
        <v>31</v>
      </c>
      <c r="J777" t="s">
        <v>5150</v>
      </c>
      <c r="K777" t="s">
        <v>1967</v>
      </c>
      <c r="L777" t="s">
        <v>3408</v>
      </c>
      <c r="M777" s="8">
        <v>0.168</v>
      </c>
      <c r="N777">
        <v>145.23264029167</v>
      </c>
      <c r="O777">
        <v>1552</v>
      </c>
      <c r="P777" s="9">
        <v>0.348</v>
      </c>
      <c r="Q777" t="s">
        <v>656</v>
      </c>
      <c r="T777" s="15" t="s">
        <v>69</v>
      </c>
      <c r="W777" s="16" t="str">
        <f t="shared" si="84"/>
        <v>EN_WON_35_c04_ESP</v>
      </c>
      <c r="X777" s="12">
        <f t="shared" si="85"/>
        <v>1552</v>
      </c>
      <c r="Y777" s="11">
        <f t="shared" si="86"/>
        <v>1552</v>
      </c>
      <c r="AC777" t="s">
        <v>26</v>
      </c>
      <c r="AD777" t="s">
        <v>5152</v>
      </c>
      <c r="AE777" t="s">
        <v>5153</v>
      </c>
      <c r="AF777" t="s">
        <v>29</v>
      </c>
      <c r="AG777" t="s">
        <v>30</v>
      </c>
      <c r="AH777" t="s">
        <v>31</v>
      </c>
      <c r="AK777" t="s">
        <v>5152</v>
      </c>
      <c r="AL777" t="s">
        <v>1967</v>
      </c>
      <c r="AM777" t="s">
        <v>5093</v>
      </c>
      <c r="AN777" s="8">
        <v>8.91825</v>
      </c>
      <c r="AO777">
        <v>199.694880401046</v>
      </c>
      <c r="AP777">
        <v>1575</v>
      </c>
      <c r="AQ777" s="9">
        <v>0.469309982339585</v>
      </c>
      <c r="AR777" t="s">
        <v>1433</v>
      </c>
      <c r="AT777" s="15" t="s">
        <v>89</v>
      </c>
      <c r="AW777" s="11" t="str">
        <f t="shared" si="87"/>
        <v>EN_WOF_47_c02_PER</v>
      </c>
      <c r="AX777" s="11">
        <f t="shared" si="88"/>
        <v>1575</v>
      </c>
      <c r="AY777" s="11">
        <f t="shared" si="89"/>
        <v>1575</v>
      </c>
      <c r="AZ777" s="17">
        <v>3</v>
      </c>
      <c r="BA777">
        <f t="shared" si="90"/>
        <v>15.75</v>
      </c>
    </row>
    <row r="778" spans="2:53">
      <c r="B778" t="s">
        <v>26</v>
      </c>
      <c r="C778" t="s">
        <v>5154</v>
      </c>
      <c r="D778" t="s">
        <v>5155</v>
      </c>
      <c r="E778" t="s">
        <v>29</v>
      </c>
      <c r="F778" t="s">
        <v>30</v>
      </c>
      <c r="G778" t="s">
        <v>31</v>
      </c>
      <c r="J778" t="s">
        <v>5154</v>
      </c>
      <c r="K778" t="s">
        <v>1967</v>
      </c>
      <c r="L778" t="s">
        <v>3408</v>
      </c>
      <c r="M778" s="8">
        <v>0.3555</v>
      </c>
      <c r="N778">
        <v>0</v>
      </c>
      <c r="O778">
        <v>1552</v>
      </c>
      <c r="P778" s="9">
        <v>0.359303797468354</v>
      </c>
      <c r="Q778" t="s">
        <v>656</v>
      </c>
      <c r="T778" s="15" t="s">
        <v>69</v>
      </c>
      <c r="W778" s="16" t="str">
        <f t="shared" si="84"/>
        <v>EN_WON_36_c01_ESP</v>
      </c>
      <c r="X778" s="12">
        <f t="shared" si="85"/>
        <v>1552</v>
      </c>
      <c r="Y778" s="11">
        <f t="shared" si="86"/>
        <v>1552</v>
      </c>
      <c r="AC778" t="s">
        <v>26</v>
      </c>
      <c r="AD778" t="s">
        <v>5156</v>
      </c>
      <c r="AE778" t="s">
        <v>5157</v>
      </c>
      <c r="AF778" t="s">
        <v>29</v>
      </c>
      <c r="AG778" t="s">
        <v>30</v>
      </c>
      <c r="AH778" t="s">
        <v>31</v>
      </c>
      <c r="AK778" t="s">
        <v>5156</v>
      </c>
      <c r="AL778" t="s">
        <v>1967</v>
      </c>
      <c r="AM778" t="s">
        <v>5093</v>
      </c>
      <c r="AN778" s="8">
        <v>5.9985</v>
      </c>
      <c r="AO778">
        <v>199.694880401046</v>
      </c>
      <c r="AP778">
        <v>1575</v>
      </c>
      <c r="AQ778" s="9">
        <v>0.479</v>
      </c>
      <c r="AR778" t="s">
        <v>1433</v>
      </c>
      <c r="AT778" s="15" t="s">
        <v>89</v>
      </c>
      <c r="AW778" s="11" t="str">
        <f t="shared" si="87"/>
        <v>EN_WOF_48_c02_PER</v>
      </c>
      <c r="AX778" s="11">
        <f t="shared" si="88"/>
        <v>1575</v>
      </c>
      <c r="AY778" s="11">
        <f t="shared" si="89"/>
        <v>1575</v>
      </c>
      <c r="AZ778" s="17">
        <v>3</v>
      </c>
      <c r="BA778">
        <f t="shared" si="90"/>
        <v>15.75</v>
      </c>
    </row>
    <row r="779" spans="2:53">
      <c r="B779" t="s">
        <v>26</v>
      </c>
      <c r="C779" t="s">
        <v>5158</v>
      </c>
      <c r="D779" t="s">
        <v>5159</v>
      </c>
      <c r="E779" t="s">
        <v>29</v>
      </c>
      <c r="F779" t="s">
        <v>30</v>
      </c>
      <c r="G779" t="s">
        <v>31</v>
      </c>
      <c r="J779" t="s">
        <v>5158</v>
      </c>
      <c r="K779" t="s">
        <v>1967</v>
      </c>
      <c r="L779" t="s">
        <v>3408</v>
      </c>
      <c r="M779" s="8">
        <v>0.03375</v>
      </c>
      <c r="N779">
        <v>105.747516212372</v>
      </c>
      <c r="O779">
        <v>1552</v>
      </c>
      <c r="P779" s="9">
        <v>0.362</v>
      </c>
      <c r="Q779" t="s">
        <v>656</v>
      </c>
      <c r="T779" s="15" t="s">
        <v>69</v>
      </c>
      <c r="W779" s="16" t="str">
        <f t="shared" si="84"/>
        <v>EN_WON_36_c03_ESP</v>
      </c>
      <c r="X779" s="12">
        <f t="shared" si="85"/>
        <v>1552</v>
      </c>
      <c r="Y779" s="11">
        <f t="shared" si="86"/>
        <v>1552</v>
      </c>
      <c r="AC779" t="s">
        <v>26</v>
      </c>
      <c r="AD779" t="s">
        <v>5160</v>
      </c>
      <c r="AE779" t="s">
        <v>5161</v>
      </c>
      <c r="AF779" t="s">
        <v>29</v>
      </c>
      <c r="AG779" t="s">
        <v>30</v>
      </c>
      <c r="AH779" t="s">
        <v>31</v>
      </c>
      <c r="AK779" t="s">
        <v>5160</v>
      </c>
      <c r="AL779" t="s">
        <v>1967</v>
      </c>
      <c r="AM779" t="s">
        <v>5093</v>
      </c>
      <c r="AN779" s="8">
        <v>4.797</v>
      </c>
      <c r="AO779">
        <v>199.694880401046</v>
      </c>
      <c r="AP779">
        <v>1575</v>
      </c>
      <c r="AQ779" s="9">
        <v>0.507</v>
      </c>
      <c r="AR779" t="s">
        <v>1433</v>
      </c>
      <c r="AT779" s="15" t="s">
        <v>89</v>
      </c>
      <c r="AW779" s="11" t="str">
        <f t="shared" si="87"/>
        <v>EN_WOF_51_c02_PER</v>
      </c>
      <c r="AX779" s="11">
        <f t="shared" si="88"/>
        <v>1575</v>
      </c>
      <c r="AY779" s="11">
        <f t="shared" si="89"/>
        <v>1575</v>
      </c>
      <c r="AZ779" s="17">
        <v>3</v>
      </c>
      <c r="BA779">
        <f t="shared" si="90"/>
        <v>15.75</v>
      </c>
    </row>
    <row r="780" spans="2:53">
      <c r="B780" t="s">
        <v>26</v>
      </c>
      <c r="C780" t="s">
        <v>5162</v>
      </c>
      <c r="D780" t="s">
        <v>5163</v>
      </c>
      <c r="E780" t="s">
        <v>29</v>
      </c>
      <c r="F780" t="s">
        <v>30</v>
      </c>
      <c r="G780" t="s">
        <v>31</v>
      </c>
      <c r="J780" t="s">
        <v>5162</v>
      </c>
      <c r="K780" t="s">
        <v>1967</v>
      </c>
      <c r="L780" t="s">
        <v>3408</v>
      </c>
      <c r="M780" s="8">
        <v>0.22425</v>
      </c>
      <c r="N780">
        <v>0</v>
      </c>
      <c r="O780">
        <v>1552</v>
      </c>
      <c r="P780" s="9">
        <v>0.37</v>
      </c>
      <c r="Q780" t="s">
        <v>656</v>
      </c>
      <c r="T780" s="15" t="s">
        <v>69</v>
      </c>
      <c r="W780" s="16" t="str">
        <f t="shared" si="84"/>
        <v>EN_WON_37_c01_ESP</v>
      </c>
      <c r="X780" s="12">
        <f t="shared" si="85"/>
        <v>1552</v>
      </c>
      <c r="Y780" s="11">
        <f t="shared" si="86"/>
        <v>1552</v>
      </c>
      <c r="AC780" t="s">
        <v>26</v>
      </c>
      <c r="AD780" t="s">
        <v>5164</v>
      </c>
      <c r="AE780" t="s">
        <v>5165</v>
      </c>
      <c r="AF780" t="s">
        <v>29</v>
      </c>
      <c r="AG780" t="s">
        <v>30</v>
      </c>
      <c r="AH780" t="s">
        <v>31</v>
      </c>
      <c r="AK780" t="s">
        <v>5164</v>
      </c>
      <c r="AL780" t="s">
        <v>1967</v>
      </c>
      <c r="AM780" t="s">
        <v>5093</v>
      </c>
      <c r="AN780" s="8">
        <v>3.06225</v>
      </c>
      <c r="AO780">
        <v>199.694880401046</v>
      </c>
      <c r="AP780">
        <v>1575</v>
      </c>
      <c r="AQ780" s="9">
        <v>0.526083272103845</v>
      </c>
      <c r="AR780" t="s">
        <v>1433</v>
      </c>
      <c r="AT780" s="15" t="s">
        <v>89</v>
      </c>
      <c r="AW780" s="11" t="str">
        <f t="shared" si="87"/>
        <v>EN_WOF_53_c02_PER</v>
      </c>
      <c r="AX780" s="11">
        <f t="shared" si="88"/>
        <v>1575</v>
      </c>
      <c r="AY780" s="11">
        <f t="shared" si="89"/>
        <v>1575</v>
      </c>
      <c r="AZ780" s="17">
        <v>3</v>
      </c>
      <c r="BA780">
        <f t="shared" si="90"/>
        <v>15.75</v>
      </c>
    </row>
    <row r="781" spans="2:53">
      <c r="B781" t="s">
        <v>26</v>
      </c>
      <c r="C781" t="s">
        <v>5166</v>
      </c>
      <c r="D781" t="s">
        <v>5167</v>
      </c>
      <c r="E781" t="s">
        <v>29</v>
      </c>
      <c r="F781" t="s">
        <v>30</v>
      </c>
      <c r="G781" t="s">
        <v>31</v>
      </c>
      <c r="J781" t="s">
        <v>5166</v>
      </c>
      <c r="K781" t="s">
        <v>1967</v>
      </c>
      <c r="L781" t="s">
        <v>3408</v>
      </c>
      <c r="M781" s="8">
        <v>0.03375</v>
      </c>
      <c r="N781">
        <v>0</v>
      </c>
      <c r="O781">
        <v>1552</v>
      </c>
      <c r="P781" s="9">
        <v>0.377</v>
      </c>
      <c r="Q781" t="s">
        <v>656</v>
      </c>
      <c r="T781" s="15" t="s">
        <v>69</v>
      </c>
      <c r="W781" s="16" t="str">
        <f t="shared" si="84"/>
        <v>EN_WON_38_c01_ESP</v>
      </c>
      <c r="X781" s="12">
        <f t="shared" si="85"/>
        <v>1552</v>
      </c>
      <c r="Y781" s="11">
        <f t="shared" si="86"/>
        <v>1552</v>
      </c>
      <c r="AC781" t="s">
        <v>26</v>
      </c>
      <c r="AD781" t="s">
        <v>5168</v>
      </c>
      <c r="AE781" t="s">
        <v>5169</v>
      </c>
      <c r="AF781" t="s">
        <v>29</v>
      </c>
      <c r="AG781" t="s">
        <v>30</v>
      </c>
      <c r="AH781" t="s">
        <v>31</v>
      </c>
      <c r="AK781" t="s">
        <v>5168</v>
      </c>
      <c r="AL781" t="s">
        <v>1967</v>
      </c>
      <c r="AM781" t="s">
        <v>5093</v>
      </c>
      <c r="AN781" s="8">
        <v>7.479</v>
      </c>
      <c r="AO781">
        <v>199.694880401046</v>
      </c>
      <c r="AP781">
        <v>1575</v>
      </c>
      <c r="AQ781" s="9">
        <v>0.562056859205776</v>
      </c>
      <c r="AR781" t="s">
        <v>1433</v>
      </c>
      <c r="AT781" s="15" t="s">
        <v>89</v>
      </c>
      <c r="AW781" s="11" t="str">
        <f t="shared" si="87"/>
        <v>EN_WOF_56_c02_PER</v>
      </c>
      <c r="AX781" s="11">
        <f t="shared" si="88"/>
        <v>1575</v>
      </c>
      <c r="AY781" s="11">
        <f t="shared" si="89"/>
        <v>1575</v>
      </c>
      <c r="AZ781" s="17">
        <v>3</v>
      </c>
      <c r="BA781">
        <f t="shared" si="90"/>
        <v>15.75</v>
      </c>
    </row>
    <row r="782" spans="2:53">
      <c r="B782" t="s">
        <v>26</v>
      </c>
      <c r="C782" t="s">
        <v>5170</v>
      </c>
      <c r="D782" t="s">
        <v>5171</v>
      </c>
      <c r="E782" t="s">
        <v>29</v>
      </c>
      <c r="F782" t="s">
        <v>30</v>
      </c>
      <c r="G782" t="s">
        <v>31</v>
      </c>
      <c r="J782" t="s">
        <v>5170</v>
      </c>
      <c r="K782" t="s">
        <v>1967</v>
      </c>
      <c r="L782" t="s">
        <v>3408</v>
      </c>
      <c r="M782" s="8">
        <v>0.006</v>
      </c>
      <c r="N782">
        <v>80.7856561622413</v>
      </c>
      <c r="O782">
        <v>1552</v>
      </c>
      <c r="P782" s="9">
        <v>0.383</v>
      </c>
      <c r="Q782" t="s">
        <v>656</v>
      </c>
      <c r="T782" s="15" t="s">
        <v>69</v>
      </c>
      <c r="W782" s="16" t="str">
        <f t="shared" si="84"/>
        <v>EN_WON_38_c02_ESP</v>
      </c>
      <c r="X782" s="12">
        <f t="shared" si="85"/>
        <v>1552</v>
      </c>
      <c r="Y782" s="11">
        <f t="shared" si="86"/>
        <v>1552</v>
      </c>
      <c r="AC782" t="s">
        <v>26</v>
      </c>
      <c r="AD782" t="s">
        <v>5172</v>
      </c>
      <c r="AE782" t="s">
        <v>5173</v>
      </c>
      <c r="AF782" t="s">
        <v>29</v>
      </c>
      <c r="AG782" t="s">
        <v>30</v>
      </c>
      <c r="AH782" t="s">
        <v>31</v>
      </c>
      <c r="AK782" t="s">
        <v>5172</v>
      </c>
      <c r="AL782" t="s">
        <v>1967</v>
      </c>
      <c r="AM782" t="s">
        <v>5093</v>
      </c>
      <c r="AN782" s="8">
        <v>2.475</v>
      </c>
      <c r="AO782">
        <v>199.694880401046</v>
      </c>
      <c r="AP782">
        <v>1575</v>
      </c>
      <c r="AQ782" s="9">
        <v>0.578</v>
      </c>
      <c r="AR782" t="s">
        <v>1433</v>
      </c>
      <c r="AT782" s="15" t="s">
        <v>89</v>
      </c>
      <c r="AW782" s="11" t="str">
        <f t="shared" si="87"/>
        <v>EN_WOF_58_c02_PER</v>
      </c>
      <c r="AX782" s="11">
        <f t="shared" si="88"/>
        <v>1575</v>
      </c>
      <c r="AY782" s="11">
        <f t="shared" si="89"/>
        <v>1575</v>
      </c>
      <c r="AZ782" s="17">
        <v>3</v>
      </c>
      <c r="BA782">
        <f t="shared" si="90"/>
        <v>15.75</v>
      </c>
    </row>
    <row r="783" spans="2:53">
      <c r="B783" t="s">
        <v>26</v>
      </c>
      <c r="C783" t="s">
        <v>5174</v>
      </c>
      <c r="D783" t="s">
        <v>5175</v>
      </c>
      <c r="E783" t="s">
        <v>29</v>
      </c>
      <c r="F783" t="s">
        <v>30</v>
      </c>
      <c r="G783" t="s">
        <v>31</v>
      </c>
      <c r="J783" t="s">
        <v>5174</v>
      </c>
      <c r="K783" t="s">
        <v>1967</v>
      </c>
      <c r="L783" t="s">
        <v>3408</v>
      </c>
      <c r="M783" s="8">
        <v>1.635</v>
      </c>
      <c r="N783">
        <v>80.7856561622413</v>
      </c>
      <c r="O783">
        <v>1552</v>
      </c>
      <c r="P783" s="9">
        <v>0.419</v>
      </c>
      <c r="Q783" t="s">
        <v>656</v>
      </c>
      <c r="T783" s="15" t="s">
        <v>69</v>
      </c>
      <c r="W783" s="16" t="str">
        <f t="shared" si="84"/>
        <v>EN_WON_42_c02_ESP</v>
      </c>
      <c r="X783" s="12">
        <f t="shared" si="85"/>
        <v>1552</v>
      </c>
      <c r="Y783" s="11">
        <f t="shared" si="86"/>
        <v>1552</v>
      </c>
      <c r="AC783" t="s">
        <v>26</v>
      </c>
      <c r="AD783" t="s">
        <v>5176</v>
      </c>
      <c r="AE783" t="s">
        <v>5177</v>
      </c>
      <c r="AF783" t="s">
        <v>29</v>
      </c>
      <c r="AG783" t="s">
        <v>30</v>
      </c>
      <c r="AH783" t="s">
        <v>31</v>
      </c>
      <c r="AK783" t="s">
        <v>5176</v>
      </c>
      <c r="AL783" t="s">
        <v>1967</v>
      </c>
      <c r="AM783" t="s">
        <v>5093</v>
      </c>
      <c r="AN783" s="8">
        <v>5.20425</v>
      </c>
      <c r="AO783">
        <v>199.694880401046</v>
      </c>
      <c r="AP783">
        <v>1575</v>
      </c>
      <c r="AQ783" s="9">
        <v>0.589993226689725</v>
      </c>
      <c r="AR783" t="s">
        <v>1433</v>
      </c>
      <c r="AT783" s="15" t="s">
        <v>89</v>
      </c>
      <c r="AW783" s="11" t="str">
        <f t="shared" si="87"/>
        <v>EN_WOF_59_c02_PER</v>
      </c>
      <c r="AX783" s="11">
        <f t="shared" si="88"/>
        <v>1575</v>
      </c>
      <c r="AY783" s="11">
        <f t="shared" si="89"/>
        <v>1575</v>
      </c>
      <c r="AZ783" s="17">
        <v>3</v>
      </c>
      <c r="BA783">
        <f t="shared" si="90"/>
        <v>15.75</v>
      </c>
    </row>
    <row r="784" spans="2:53">
      <c r="B784" t="s">
        <v>26</v>
      </c>
      <c r="C784" t="s">
        <v>5178</v>
      </c>
      <c r="D784" t="s">
        <v>5179</v>
      </c>
      <c r="E784" t="s">
        <v>29</v>
      </c>
      <c r="F784" t="s">
        <v>30</v>
      </c>
      <c r="G784" t="s">
        <v>31</v>
      </c>
      <c r="J784" t="s">
        <v>5178</v>
      </c>
      <c r="K784" t="s">
        <v>1967</v>
      </c>
      <c r="L784" t="s">
        <v>3408</v>
      </c>
      <c r="M784" s="8">
        <v>0.021</v>
      </c>
      <c r="N784">
        <v>0</v>
      </c>
      <c r="O784">
        <v>1552</v>
      </c>
      <c r="P784" s="9">
        <v>0.435</v>
      </c>
      <c r="Q784" t="s">
        <v>656</v>
      </c>
      <c r="T784" s="15" t="s">
        <v>69</v>
      </c>
      <c r="W784" s="16" t="str">
        <f t="shared" si="84"/>
        <v>EN_WON_44_c01_ESP</v>
      </c>
      <c r="X784" s="12">
        <f t="shared" si="85"/>
        <v>1552</v>
      </c>
      <c r="Y784" s="11">
        <f t="shared" si="86"/>
        <v>1552</v>
      </c>
      <c r="AC784" t="s">
        <v>26</v>
      </c>
      <c r="AD784" t="s">
        <v>5180</v>
      </c>
      <c r="AE784" t="s">
        <v>5181</v>
      </c>
      <c r="AF784" t="s">
        <v>29</v>
      </c>
      <c r="AG784" t="s">
        <v>30</v>
      </c>
      <c r="AH784" t="s">
        <v>31</v>
      </c>
      <c r="AK784" t="s">
        <v>5180</v>
      </c>
      <c r="AL784" t="s">
        <v>1967</v>
      </c>
      <c r="AM784" t="s">
        <v>5093</v>
      </c>
      <c r="AN784" s="8">
        <v>2.41725</v>
      </c>
      <c r="AO784">
        <v>199.694880401046</v>
      </c>
      <c r="AP784">
        <v>1575</v>
      </c>
      <c r="AQ784" s="9">
        <v>0.623</v>
      </c>
      <c r="AR784" t="s">
        <v>1433</v>
      </c>
      <c r="AT784" s="15" t="s">
        <v>89</v>
      </c>
      <c r="AW784" s="11" t="str">
        <f t="shared" si="87"/>
        <v>EN_WOF_62_c02_PER</v>
      </c>
      <c r="AX784" s="11">
        <f t="shared" si="88"/>
        <v>1575</v>
      </c>
      <c r="AY784" s="11">
        <f t="shared" si="89"/>
        <v>1575</v>
      </c>
      <c r="AZ784" s="17">
        <v>3</v>
      </c>
      <c r="BA784">
        <f t="shared" si="90"/>
        <v>15.75</v>
      </c>
    </row>
    <row r="785" spans="2:53">
      <c r="B785" t="s">
        <v>26</v>
      </c>
      <c r="C785" t="s">
        <v>5182</v>
      </c>
      <c r="D785" t="s">
        <v>5183</v>
      </c>
      <c r="E785" t="s">
        <v>29</v>
      </c>
      <c r="F785" t="s">
        <v>30</v>
      </c>
      <c r="G785" t="s">
        <v>31</v>
      </c>
      <c r="J785" t="s">
        <v>5182</v>
      </c>
      <c r="K785" t="s">
        <v>1967</v>
      </c>
      <c r="L785" t="s">
        <v>3408</v>
      </c>
      <c r="M785" s="8">
        <v>0.7995</v>
      </c>
      <c r="N785">
        <v>80.7856561622413</v>
      </c>
      <c r="O785">
        <v>1552</v>
      </c>
      <c r="P785" s="9">
        <v>0.441782363977486</v>
      </c>
      <c r="Q785" t="s">
        <v>656</v>
      </c>
      <c r="T785" s="15" t="s">
        <v>69</v>
      </c>
      <c r="W785" s="16" t="str">
        <f t="shared" si="84"/>
        <v>EN_WON_44_c02_ESP</v>
      </c>
      <c r="X785" s="12">
        <f t="shared" si="85"/>
        <v>1552</v>
      </c>
      <c r="Y785" s="11">
        <f t="shared" si="86"/>
        <v>1552</v>
      </c>
      <c r="AC785" t="s">
        <v>26</v>
      </c>
      <c r="AD785" t="s">
        <v>5184</v>
      </c>
      <c r="AE785" t="s">
        <v>5185</v>
      </c>
      <c r="AF785" t="s">
        <v>29</v>
      </c>
      <c r="AG785" t="s">
        <v>30</v>
      </c>
      <c r="AH785" t="s">
        <v>31</v>
      </c>
      <c r="AK785" t="s">
        <v>5184</v>
      </c>
      <c r="AL785" t="s">
        <v>1967</v>
      </c>
      <c r="AM785" t="s">
        <v>5093</v>
      </c>
      <c r="AN785" s="8">
        <v>6.0585</v>
      </c>
      <c r="AO785">
        <v>199.694880401046</v>
      </c>
      <c r="AP785">
        <v>1575</v>
      </c>
      <c r="AQ785" s="9">
        <v>0.651377940084179</v>
      </c>
      <c r="AR785" t="s">
        <v>1433</v>
      </c>
      <c r="AT785" s="15" t="s">
        <v>89</v>
      </c>
      <c r="AW785" s="11" t="str">
        <f t="shared" si="87"/>
        <v>EN_WOF_65_c02_PER</v>
      </c>
      <c r="AX785" s="11">
        <f t="shared" si="88"/>
        <v>1575</v>
      </c>
      <c r="AY785" s="11">
        <f t="shared" si="89"/>
        <v>1575</v>
      </c>
      <c r="AZ785" s="17">
        <v>3</v>
      </c>
      <c r="BA785">
        <f t="shared" si="90"/>
        <v>15.75</v>
      </c>
    </row>
    <row r="786" spans="2:53">
      <c r="B786" t="s">
        <v>26</v>
      </c>
      <c r="C786" t="s">
        <v>5186</v>
      </c>
      <c r="D786" t="s">
        <v>5187</v>
      </c>
      <c r="E786" t="s">
        <v>29</v>
      </c>
      <c r="F786" t="s">
        <v>30</v>
      </c>
      <c r="G786" t="s">
        <v>31</v>
      </c>
      <c r="J786" t="s">
        <v>5186</v>
      </c>
      <c r="K786" t="s">
        <v>1967</v>
      </c>
      <c r="L786" t="s">
        <v>3408</v>
      </c>
      <c r="M786" s="8">
        <v>0.4845</v>
      </c>
      <c r="N786">
        <v>80.7856561622413</v>
      </c>
      <c r="O786">
        <v>1552</v>
      </c>
      <c r="P786" s="9">
        <v>0.463</v>
      </c>
      <c r="Q786" t="s">
        <v>656</v>
      </c>
      <c r="T786" s="15" t="s">
        <v>69</v>
      </c>
      <c r="W786" s="16" t="str">
        <f t="shared" si="84"/>
        <v>EN_WON_46_c02_ESP</v>
      </c>
      <c r="X786" s="12">
        <f t="shared" si="85"/>
        <v>1552</v>
      </c>
      <c r="Y786" s="11">
        <f t="shared" si="86"/>
        <v>1552</v>
      </c>
      <c r="AC786" t="s">
        <v>26</v>
      </c>
      <c r="AD786" t="s">
        <v>5188</v>
      </c>
      <c r="AE786" t="s">
        <v>5189</v>
      </c>
      <c r="AF786" t="s">
        <v>29</v>
      </c>
      <c r="AG786" t="s">
        <v>30</v>
      </c>
      <c r="AH786" t="s">
        <v>31</v>
      </c>
      <c r="AK786" t="s">
        <v>5188</v>
      </c>
      <c r="AL786" t="s">
        <v>1967</v>
      </c>
      <c r="AM786" t="s">
        <v>5093</v>
      </c>
      <c r="AN786" s="8">
        <v>1.0905</v>
      </c>
      <c r="AO786">
        <v>199.694880401046</v>
      </c>
      <c r="AP786">
        <v>1575</v>
      </c>
      <c r="AQ786" s="9">
        <v>0.658</v>
      </c>
      <c r="AR786" t="s">
        <v>1433</v>
      </c>
      <c r="AT786" s="15" t="s">
        <v>89</v>
      </c>
      <c r="AW786" s="11" t="str">
        <f t="shared" si="87"/>
        <v>EN_WOF_66_c02_PER</v>
      </c>
      <c r="AX786" s="11">
        <f t="shared" si="88"/>
        <v>1575</v>
      </c>
      <c r="AY786" s="11">
        <f t="shared" si="89"/>
        <v>1575</v>
      </c>
      <c r="AZ786" s="17">
        <v>3</v>
      </c>
      <c r="BA786">
        <f t="shared" si="90"/>
        <v>15.75</v>
      </c>
    </row>
    <row r="787" spans="2:53">
      <c r="B787" t="s">
        <v>26</v>
      </c>
      <c r="C787" t="s">
        <v>5190</v>
      </c>
      <c r="D787" t="s">
        <v>5191</v>
      </c>
      <c r="E787" t="s">
        <v>29</v>
      </c>
      <c r="F787" t="s">
        <v>30</v>
      </c>
      <c r="G787" t="s">
        <v>31</v>
      </c>
      <c r="J787" t="s">
        <v>5190</v>
      </c>
      <c r="K787" t="s">
        <v>1967</v>
      </c>
      <c r="L787" t="s">
        <v>3408</v>
      </c>
      <c r="M787" s="8">
        <v>0.84975</v>
      </c>
      <c r="N787">
        <v>80.7856561622413</v>
      </c>
      <c r="O787">
        <v>1552</v>
      </c>
      <c r="P787" s="9">
        <v>0.481</v>
      </c>
      <c r="Q787" t="s">
        <v>656</v>
      </c>
      <c r="T787" s="15" t="s">
        <v>69</v>
      </c>
      <c r="W787" s="16" t="str">
        <f t="shared" si="84"/>
        <v>EN_WON_48_c02_ESP</v>
      </c>
      <c r="X787" s="12">
        <f t="shared" si="85"/>
        <v>1552</v>
      </c>
      <c r="Y787" s="11">
        <f t="shared" si="86"/>
        <v>1552</v>
      </c>
      <c r="AC787" t="s">
        <v>26</v>
      </c>
      <c r="AD787" t="s">
        <v>5192</v>
      </c>
      <c r="AE787" t="s">
        <v>5193</v>
      </c>
      <c r="AF787" t="s">
        <v>29</v>
      </c>
      <c r="AG787" t="s">
        <v>30</v>
      </c>
      <c r="AH787" t="s">
        <v>31</v>
      </c>
      <c r="AK787" t="s">
        <v>5192</v>
      </c>
      <c r="AL787" t="s">
        <v>1967</v>
      </c>
      <c r="AM787" t="s">
        <v>5093</v>
      </c>
      <c r="AN787" s="8">
        <v>4.2105</v>
      </c>
      <c r="AO787">
        <v>199.694880401046</v>
      </c>
      <c r="AP787">
        <v>1575</v>
      </c>
      <c r="AQ787" s="9">
        <v>0.682</v>
      </c>
      <c r="AR787" t="s">
        <v>1433</v>
      </c>
      <c r="AT787" s="15" t="s">
        <v>89</v>
      </c>
      <c r="AW787" s="11" t="str">
        <f t="shared" si="87"/>
        <v>EN_WOF_68_c02_PER</v>
      </c>
      <c r="AX787" s="11">
        <f t="shared" si="88"/>
        <v>1575</v>
      </c>
      <c r="AY787" s="11">
        <f t="shared" si="89"/>
        <v>1575</v>
      </c>
      <c r="AZ787" s="17">
        <v>3</v>
      </c>
      <c r="BA787">
        <f t="shared" si="90"/>
        <v>15.75</v>
      </c>
    </row>
    <row r="788" spans="2:53">
      <c r="B788" t="s">
        <v>26</v>
      </c>
      <c r="C788" t="s">
        <v>5194</v>
      </c>
      <c r="D788" t="s">
        <v>5195</v>
      </c>
      <c r="E788" t="s">
        <v>29</v>
      </c>
      <c r="F788" t="s">
        <v>30</v>
      </c>
      <c r="G788" t="s">
        <v>31</v>
      </c>
      <c r="J788" t="s">
        <v>5194</v>
      </c>
      <c r="K788" t="s">
        <v>1967</v>
      </c>
      <c r="L788" t="s">
        <v>3408</v>
      </c>
      <c r="M788" s="8">
        <v>0.2175</v>
      </c>
      <c r="N788">
        <v>0</v>
      </c>
      <c r="O788">
        <v>1552</v>
      </c>
      <c r="P788" s="9">
        <v>0.499</v>
      </c>
      <c r="Q788" t="s">
        <v>656</v>
      </c>
      <c r="T788" s="15" t="s">
        <v>69</v>
      </c>
      <c r="W788" s="16" t="str">
        <f t="shared" si="84"/>
        <v>EN_WON_50_c01_ESP</v>
      </c>
      <c r="X788" s="12">
        <f t="shared" si="85"/>
        <v>1552</v>
      </c>
      <c r="Y788" s="11">
        <f t="shared" si="86"/>
        <v>1552</v>
      </c>
      <c r="AC788" t="s">
        <v>26</v>
      </c>
      <c r="AD788" t="s">
        <v>5196</v>
      </c>
      <c r="AE788" t="s">
        <v>5197</v>
      </c>
      <c r="AF788" t="s">
        <v>29</v>
      </c>
      <c r="AG788" t="s">
        <v>30</v>
      </c>
      <c r="AH788" t="s">
        <v>31</v>
      </c>
      <c r="AK788" t="s">
        <v>5196</v>
      </c>
      <c r="AL788" t="s">
        <v>1967</v>
      </c>
      <c r="AM788" t="s">
        <v>5198</v>
      </c>
      <c r="AN788" s="8">
        <v>5.3355</v>
      </c>
      <c r="AO788">
        <v>45.3852000911468</v>
      </c>
      <c r="AP788">
        <v>2213</v>
      </c>
      <c r="AQ788" s="9">
        <v>0.301983553556368</v>
      </c>
      <c r="AR788" t="s">
        <v>1467</v>
      </c>
      <c r="AT788" s="15" t="s">
        <v>290</v>
      </c>
      <c r="AW788" s="11" t="str">
        <f t="shared" si="87"/>
        <v>EN_WOF_30_c01_PHL</v>
      </c>
      <c r="AX788" s="11">
        <f t="shared" si="88"/>
        <v>2213</v>
      </c>
      <c r="AY788" s="11">
        <f t="shared" si="89"/>
        <v>2213</v>
      </c>
      <c r="AZ788" s="17">
        <v>3</v>
      </c>
      <c r="BA788">
        <f t="shared" si="90"/>
        <v>22.13</v>
      </c>
    </row>
    <row r="789" spans="2:53">
      <c r="B789" t="s">
        <v>26</v>
      </c>
      <c r="C789" t="s">
        <v>5199</v>
      </c>
      <c r="D789" t="s">
        <v>5200</v>
      </c>
      <c r="E789" t="s">
        <v>29</v>
      </c>
      <c r="F789" t="s">
        <v>30</v>
      </c>
      <c r="G789" t="s">
        <v>31</v>
      </c>
      <c r="J789" t="s">
        <v>5199</v>
      </c>
      <c r="K789" t="s">
        <v>1967</v>
      </c>
      <c r="L789" t="s">
        <v>3485</v>
      </c>
      <c r="M789" s="8">
        <v>2.319</v>
      </c>
      <c r="N789">
        <v>0</v>
      </c>
      <c r="O789">
        <v>1637</v>
      </c>
      <c r="P789" s="9">
        <v>0.307148771021992</v>
      </c>
      <c r="Q789" t="s">
        <v>680</v>
      </c>
      <c r="T789" s="15" t="s">
        <v>69</v>
      </c>
      <c r="W789" s="16" t="str">
        <f t="shared" si="84"/>
        <v>EN_WON_31_c01_EST</v>
      </c>
      <c r="X789" s="12">
        <f t="shared" si="85"/>
        <v>1637</v>
      </c>
      <c r="Y789" s="11">
        <f t="shared" si="86"/>
        <v>1637</v>
      </c>
      <c r="AC789" t="s">
        <v>26</v>
      </c>
      <c r="AD789" t="s">
        <v>5201</v>
      </c>
      <c r="AE789" t="s">
        <v>5202</v>
      </c>
      <c r="AF789" t="s">
        <v>29</v>
      </c>
      <c r="AG789" t="s">
        <v>30</v>
      </c>
      <c r="AH789" t="s">
        <v>31</v>
      </c>
      <c r="AK789" t="s">
        <v>5201</v>
      </c>
      <c r="AL789" t="s">
        <v>1967</v>
      </c>
      <c r="AM789" t="s">
        <v>5198</v>
      </c>
      <c r="AN789" s="8">
        <v>2.53275</v>
      </c>
      <c r="AO789">
        <v>199.694880401046</v>
      </c>
      <c r="AP789">
        <v>2213</v>
      </c>
      <c r="AQ789" s="9">
        <v>0.301753331359194</v>
      </c>
      <c r="AR789" t="s">
        <v>1467</v>
      </c>
      <c r="AT789" s="15" t="s">
        <v>290</v>
      </c>
      <c r="AW789" s="11" t="str">
        <f t="shared" si="87"/>
        <v>EN_WOF_30_c02_PHL</v>
      </c>
      <c r="AX789" s="11">
        <f t="shared" si="88"/>
        <v>2213</v>
      </c>
      <c r="AY789" s="11">
        <f t="shared" si="89"/>
        <v>2213</v>
      </c>
      <c r="AZ789" s="17">
        <v>3</v>
      </c>
      <c r="BA789">
        <f t="shared" si="90"/>
        <v>22.13</v>
      </c>
    </row>
    <row r="790" spans="2:53">
      <c r="B790" t="s">
        <v>26</v>
      </c>
      <c r="C790" t="s">
        <v>5203</v>
      </c>
      <c r="D790" t="s">
        <v>5204</v>
      </c>
      <c r="E790" t="s">
        <v>29</v>
      </c>
      <c r="F790" t="s">
        <v>30</v>
      </c>
      <c r="G790" t="s">
        <v>31</v>
      </c>
      <c r="J790" t="s">
        <v>5203</v>
      </c>
      <c r="K790" t="s">
        <v>1967</v>
      </c>
      <c r="L790" t="s">
        <v>3485</v>
      </c>
      <c r="M790" s="8">
        <v>2.25975</v>
      </c>
      <c r="N790">
        <v>0</v>
      </c>
      <c r="O790">
        <v>1637</v>
      </c>
      <c r="P790" s="9">
        <v>0.318751078659144</v>
      </c>
      <c r="Q790" t="s">
        <v>680</v>
      </c>
      <c r="T790" s="15" t="s">
        <v>69</v>
      </c>
      <c r="W790" s="16" t="str">
        <f t="shared" si="84"/>
        <v>EN_WON_32_c01_EST</v>
      </c>
      <c r="X790" s="12">
        <f t="shared" si="85"/>
        <v>1637</v>
      </c>
      <c r="Y790" s="11">
        <f t="shared" si="86"/>
        <v>1637</v>
      </c>
      <c r="AC790" t="s">
        <v>26</v>
      </c>
      <c r="AD790" t="s">
        <v>5205</v>
      </c>
      <c r="AE790" t="s">
        <v>5206</v>
      </c>
      <c r="AF790" t="s">
        <v>29</v>
      </c>
      <c r="AG790" t="s">
        <v>30</v>
      </c>
      <c r="AH790" t="s">
        <v>31</v>
      </c>
      <c r="AK790" t="s">
        <v>5205</v>
      </c>
      <c r="AL790" t="s">
        <v>1967</v>
      </c>
      <c r="AM790" t="s">
        <v>5198</v>
      </c>
      <c r="AN790" s="8">
        <v>4.92975</v>
      </c>
      <c r="AO790">
        <v>45.3852000911468</v>
      </c>
      <c r="AP790">
        <v>2213</v>
      </c>
      <c r="AQ790" s="9">
        <v>0.306890308839191</v>
      </c>
      <c r="AR790" t="s">
        <v>1467</v>
      </c>
      <c r="AT790" s="15" t="s">
        <v>290</v>
      </c>
      <c r="AW790" s="11" t="str">
        <f t="shared" si="87"/>
        <v>EN_WOF_31_c01_PHL</v>
      </c>
      <c r="AX790" s="11">
        <f t="shared" si="88"/>
        <v>2213</v>
      </c>
      <c r="AY790" s="11">
        <f t="shared" si="89"/>
        <v>2213</v>
      </c>
      <c r="AZ790" s="17">
        <v>3</v>
      </c>
      <c r="BA790">
        <f t="shared" si="90"/>
        <v>22.13</v>
      </c>
    </row>
    <row r="791" spans="2:53">
      <c r="B791" t="s">
        <v>26</v>
      </c>
      <c r="C791" t="s">
        <v>5207</v>
      </c>
      <c r="D791" t="s">
        <v>5208</v>
      </c>
      <c r="E791" t="s">
        <v>29</v>
      </c>
      <c r="F791" t="s">
        <v>30</v>
      </c>
      <c r="G791" t="s">
        <v>31</v>
      </c>
      <c r="J791" t="s">
        <v>5207</v>
      </c>
      <c r="K791" t="s">
        <v>1967</v>
      </c>
      <c r="L791" t="s">
        <v>3485</v>
      </c>
      <c r="M791" s="8">
        <v>1.09875</v>
      </c>
      <c r="N791">
        <v>0</v>
      </c>
      <c r="O791">
        <v>1637</v>
      </c>
      <c r="P791" s="9">
        <v>0.326701706484642</v>
      </c>
      <c r="Q791" t="s">
        <v>680</v>
      </c>
      <c r="T791" s="15" t="s">
        <v>69</v>
      </c>
      <c r="W791" s="16" t="str">
        <f t="shared" si="84"/>
        <v>EN_WON_33_c01_EST</v>
      </c>
      <c r="X791" s="12">
        <f t="shared" si="85"/>
        <v>1637</v>
      </c>
      <c r="Y791" s="11">
        <f t="shared" si="86"/>
        <v>1637</v>
      </c>
      <c r="AC791" t="s">
        <v>26</v>
      </c>
      <c r="AD791" t="s">
        <v>5209</v>
      </c>
      <c r="AE791" t="s">
        <v>5210</v>
      </c>
      <c r="AF791" t="s">
        <v>29</v>
      </c>
      <c r="AG791" t="s">
        <v>30</v>
      </c>
      <c r="AH791" t="s">
        <v>31</v>
      </c>
      <c r="AK791" t="s">
        <v>5209</v>
      </c>
      <c r="AL791" t="s">
        <v>1967</v>
      </c>
      <c r="AM791" t="s">
        <v>5198</v>
      </c>
      <c r="AN791" s="8">
        <v>10.41975</v>
      </c>
      <c r="AO791">
        <v>199.694880401046</v>
      </c>
      <c r="AP791">
        <v>2213</v>
      </c>
      <c r="AQ791" s="9">
        <v>0.307549989203196</v>
      </c>
      <c r="AR791" t="s">
        <v>1467</v>
      </c>
      <c r="AT791" s="15" t="s">
        <v>290</v>
      </c>
      <c r="AW791" s="11" t="str">
        <f t="shared" si="87"/>
        <v>EN_WOF_31_c02_PHL</v>
      </c>
      <c r="AX791" s="11">
        <f t="shared" si="88"/>
        <v>2213</v>
      </c>
      <c r="AY791" s="11">
        <f t="shared" si="89"/>
        <v>2213</v>
      </c>
      <c r="AZ791" s="17">
        <v>3</v>
      </c>
      <c r="BA791">
        <f t="shared" si="90"/>
        <v>22.13</v>
      </c>
    </row>
    <row r="792" spans="2:53">
      <c r="B792" t="s">
        <v>26</v>
      </c>
      <c r="C792" t="s">
        <v>5211</v>
      </c>
      <c r="D792" t="s">
        <v>5212</v>
      </c>
      <c r="E792" t="s">
        <v>29</v>
      </c>
      <c r="F792" t="s">
        <v>30</v>
      </c>
      <c r="G792" t="s">
        <v>31</v>
      </c>
      <c r="J792" t="s">
        <v>5211</v>
      </c>
      <c r="K792" t="s">
        <v>1967</v>
      </c>
      <c r="L792" t="s">
        <v>3485</v>
      </c>
      <c r="M792" s="8">
        <v>0.891</v>
      </c>
      <c r="N792">
        <v>0</v>
      </c>
      <c r="O792">
        <v>1637</v>
      </c>
      <c r="P792" s="9">
        <v>0.339200336700337</v>
      </c>
      <c r="Q792" t="s">
        <v>680</v>
      </c>
      <c r="T792" s="15" t="s">
        <v>69</v>
      </c>
      <c r="W792" s="16" t="str">
        <f t="shared" si="84"/>
        <v>EN_WON_34_c01_EST</v>
      </c>
      <c r="X792" s="12">
        <f t="shared" si="85"/>
        <v>1637</v>
      </c>
      <c r="Y792" s="11">
        <f t="shared" si="86"/>
        <v>1637</v>
      </c>
      <c r="AC792" t="s">
        <v>26</v>
      </c>
      <c r="AD792" t="s">
        <v>5213</v>
      </c>
      <c r="AE792" t="s">
        <v>5214</v>
      </c>
      <c r="AF792" t="s">
        <v>29</v>
      </c>
      <c r="AG792" t="s">
        <v>30</v>
      </c>
      <c r="AH792" t="s">
        <v>31</v>
      </c>
      <c r="AK792" t="s">
        <v>5213</v>
      </c>
      <c r="AL792" t="s">
        <v>1967</v>
      </c>
      <c r="AM792" t="s">
        <v>5198</v>
      </c>
      <c r="AN792" s="8">
        <v>5.33775</v>
      </c>
      <c r="AO792">
        <v>45.3852000911468</v>
      </c>
      <c r="AP792">
        <v>2213</v>
      </c>
      <c r="AQ792" s="9">
        <v>0.318024589012224</v>
      </c>
      <c r="AR792" t="s">
        <v>1467</v>
      </c>
      <c r="AT792" s="15" t="s">
        <v>290</v>
      </c>
      <c r="AW792" s="11" t="str">
        <f t="shared" si="87"/>
        <v>EN_WOF_32_c01_PHL</v>
      </c>
      <c r="AX792" s="11">
        <f t="shared" si="88"/>
        <v>2213</v>
      </c>
      <c r="AY792" s="11">
        <f t="shared" si="89"/>
        <v>2213</v>
      </c>
      <c r="AZ792" s="17">
        <v>3</v>
      </c>
      <c r="BA792">
        <f t="shared" si="90"/>
        <v>22.13</v>
      </c>
    </row>
    <row r="793" spans="2:53">
      <c r="B793" t="s">
        <v>26</v>
      </c>
      <c r="C793" t="s">
        <v>5215</v>
      </c>
      <c r="D793" t="s">
        <v>5216</v>
      </c>
      <c r="E793" t="s">
        <v>29</v>
      </c>
      <c r="F793" t="s">
        <v>30</v>
      </c>
      <c r="G793" t="s">
        <v>31</v>
      </c>
      <c r="J793" t="s">
        <v>5215</v>
      </c>
      <c r="K793" t="s">
        <v>1967</v>
      </c>
      <c r="L793" t="s">
        <v>3485</v>
      </c>
      <c r="M793" s="8">
        <v>0.39675</v>
      </c>
      <c r="N793">
        <v>0</v>
      </c>
      <c r="O793">
        <v>1637</v>
      </c>
      <c r="P793" s="9">
        <v>0.345</v>
      </c>
      <c r="Q793" t="s">
        <v>680</v>
      </c>
      <c r="T793" s="15" t="s">
        <v>69</v>
      </c>
      <c r="W793" s="16" t="str">
        <f t="shared" si="84"/>
        <v>EN_WON_35_c01_EST</v>
      </c>
      <c r="X793" s="12">
        <f t="shared" si="85"/>
        <v>1637</v>
      </c>
      <c r="Y793" s="11">
        <f t="shared" si="86"/>
        <v>1637</v>
      </c>
      <c r="AC793" t="s">
        <v>26</v>
      </c>
      <c r="AD793" t="s">
        <v>5217</v>
      </c>
      <c r="AE793" t="s">
        <v>5218</v>
      </c>
      <c r="AF793" t="s">
        <v>29</v>
      </c>
      <c r="AG793" t="s">
        <v>30</v>
      </c>
      <c r="AH793" t="s">
        <v>31</v>
      </c>
      <c r="AK793" t="s">
        <v>5217</v>
      </c>
      <c r="AL793" t="s">
        <v>1967</v>
      </c>
      <c r="AM793" t="s">
        <v>5198</v>
      </c>
      <c r="AN793" s="8">
        <v>5.87025</v>
      </c>
      <c r="AO793">
        <v>45.3852000911468</v>
      </c>
      <c r="AP793">
        <v>2213</v>
      </c>
      <c r="AQ793" s="9">
        <v>0.329948639325412</v>
      </c>
      <c r="AR793" t="s">
        <v>1467</v>
      </c>
      <c r="AT793" s="15" t="s">
        <v>290</v>
      </c>
      <c r="AW793" s="11" t="str">
        <f t="shared" si="87"/>
        <v>EN_WOF_33_c01_PHL</v>
      </c>
      <c r="AX793" s="11">
        <f t="shared" si="88"/>
        <v>2213</v>
      </c>
      <c r="AY793" s="11">
        <f t="shared" si="89"/>
        <v>2213</v>
      </c>
      <c r="AZ793" s="17">
        <v>3</v>
      </c>
      <c r="BA793">
        <f t="shared" si="90"/>
        <v>22.13</v>
      </c>
    </row>
    <row r="794" spans="2:53">
      <c r="B794" t="s">
        <v>26</v>
      </c>
      <c r="C794" t="s">
        <v>5219</v>
      </c>
      <c r="D794" t="s">
        <v>5220</v>
      </c>
      <c r="E794" t="s">
        <v>29</v>
      </c>
      <c r="F794" t="s">
        <v>30</v>
      </c>
      <c r="G794" t="s">
        <v>31</v>
      </c>
      <c r="J794" t="s">
        <v>5219</v>
      </c>
      <c r="K794" t="s">
        <v>1967</v>
      </c>
      <c r="L794" t="s">
        <v>3485</v>
      </c>
      <c r="M794" s="8">
        <v>0.2925</v>
      </c>
      <c r="N794">
        <v>0</v>
      </c>
      <c r="O794">
        <v>1637</v>
      </c>
      <c r="P794" s="9">
        <v>0.357910256410256</v>
      </c>
      <c r="Q794" t="s">
        <v>680</v>
      </c>
      <c r="T794" s="15" t="s">
        <v>69</v>
      </c>
      <c r="W794" s="16" t="str">
        <f t="shared" si="84"/>
        <v>EN_WON_36_c01_EST</v>
      </c>
      <c r="X794" s="12">
        <f t="shared" si="85"/>
        <v>1637</v>
      </c>
      <c r="Y794" s="11">
        <f t="shared" si="86"/>
        <v>1637</v>
      </c>
      <c r="AC794" t="s">
        <v>26</v>
      </c>
      <c r="AD794" t="s">
        <v>5221</v>
      </c>
      <c r="AE794" t="s">
        <v>5222</v>
      </c>
      <c r="AF794" t="s">
        <v>29</v>
      </c>
      <c r="AG794" t="s">
        <v>30</v>
      </c>
      <c r="AH794" t="s">
        <v>31</v>
      </c>
      <c r="AK794" t="s">
        <v>5221</v>
      </c>
      <c r="AL794" t="s">
        <v>1967</v>
      </c>
      <c r="AM794" t="s">
        <v>5198</v>
      </c>
      <c r="AN794" s="8">
        <v>4.70775</v>
      </c>
      <c r="AO794">
        <v>199.694880401046</v>
      </c>
      <c r="AP794">
        <v>2213</v>
      </c>
      <c r="AQ794" s="9">
        <v>0.328853433168711</v>
      </c>
      <c r="AR794" t="s">
        <v>1467</v>
      </c>
      <c r="AT794" s="15" t="s">
        <v>290</v>
      </c>
      <c r="AW794" s="11" t="str">
        <f t="shared" si="87"/>
        <v>EN_WOF_33_c02_PHL</v>
      </c>
      <c r="AX794" s="11">
        <f t="shared" si="88"/>
        <v>2213</v>
      </c>
      <c r="AY794" s="11">
        <f t="shared" si="89"/>
        <v>2213</v>
      </c>
      <c r="AZ794" s="17">
        <v>3</v>
      </c>
      <c r="BA794">
        <f t="shared" si="90"/>
        <v>22.13</v>
      </c>
    </row>
    <row r="795" spans="2:53">
      <c r="B795" t="s">
        <v>26</v>
      </c>
      <c r="C795" t="s">
        <v>5223</v>
      </c>
      <c r="D795" t="s">
        <v>5224</v>
      </c>
      <c r="E795" t="s">
        <v>29</v>
      </c>
      <c r="F795" t="s">
        <v>30</v>
      </c>
      <c r="G795" t="s">
        <v>31</v>
      </c>
      <c r="J795" t="s">
        <v>5223</v>
      </c>
      <c r="K795" t="s">
        <v>1967</v>
      </c>
      <c r="L795" t="s">
        <v>5225</v>
      </c>
      <c r="M795" s="8">
        <v>3.03225</v>
      </c>
      <c r="N795">
        <v>145.23264029167</v>
      </c>
      <c r="O795">
        <v>1952</v>
      </c>
      <c r="P795" s="9">
        <v>0.332</v>
      </c>
      <c r="Q795" t="s">
        <v>686</v>
      </c>
      <c r="T795" s="15" t="s">
        <v>54</v>
      </c>
      <c r="W795" s="16" t="str">
        <f t="shared" si="84"/>
        <v>EN_WON_33_c04_ETH</v>
      </c>
      <c r="X795" s="12">
        <f t="shared" si="85"/>
        <v>1952</v>
      </c>
      <c r="Y795" s="11">
        <f t="shared" si="86"/>
        <v>1952</v>
      </c>
      <c r="AC795" t="s">
        <v>26</v>
      </c>
      <c r="AD795" t="s">
        <v>5226</v>
      </c>
      <c r="AE795" t="s">
        <v>5227</v>
      </c>
      <c r="AF795" t="s">
        <v>29</v>
      </c>
      <c r="AG795" t="s">
        <v>30</v>
      </c>
      <c r="AH795" t="s">
        <v>31</v>
      </c>
      <c r="AK795" t="s">
        <v>5226</v>
      </c>
      <c r="AL795" t="s">
        <v>1967</v>
      </c>
      <c r="AM795" t="s">
        <v>5198</v>
      </c>
      <c r="AN795" s="8">
        <v>10.767</v>
      </c>
      <c r="AO795">
        <v>45.3852000911468</v>
      </c>
      <c r="AP795">
        <v>2213</v>
      </c>
      <c r="AQ795" s="9">
        <v>0.340775285594873</v>
      </c>
      <c r="AR795" t="s">
        <v>1467</v>
      </c>
      <c r="AT795" s="15" t="s">
        <v>290</v>
      </c>
      <c r="AW795" s="11" t="str">
        <f t="shared" si="87"/>
        <v>EN_WOF_34_c01_PHL</v>
      </c>
      <c r="AX795" s="11">
        <f t="shared" si="88"/>
        <v>2213</v>
      </c>
      <c r="AY795" s="11">
        <f t="shared" si="89"/>
        <v>2213</v>
      </c>
      <c r="AZ795" s="17">
        <v>3</v>
      </c>
      <c r="BA795">
        <f t="shared" si="90"/>
        <v>22.13</v>
      </c>
    </row>
    <row r="796" spans="2:53">
      <c r="B796" t="s">
        <v>26</v>
      </c>
      <c r="C796" t="s">
        <v>5228</v>
      </c>
      <c r="D796" t="s">
        <v>5229</v>
      </c>
      <c r="E796" t="s">
        <v>29</v>
      </c>
      <c r="F796" t="s">
        <v>30</v>
      </c>
      <c r="G796" t="s">
        <v>31</v>
      </c>
      <c r="J796" t="s">
        <v>5228</v>
      </c>
      <c r="K796" t="s">
        <v>1967</v>
      </c>
      <c r="L796" t="s">
        <v>5225</v>
      </c>
      <c r="M796" s="8">
        <v>3.50175</v>
      </c>
      <c r="N796">
        <v>105.747516212372</v>
      </c>
      <c r="O796">
        <v>1952</v>
      </c>
      <c r="P796" s="9">
        <v>0.34</v>
      </c>
      <c r="Q796" t="s">
        <v>686</v>
      </c>
      <c r="T796" s="15" t="s">
        <v>54</v>
      </c>
      <c r="W796" s="16" t="str">
        <f t="shared" si="84"/>
        <v>EN_WON_34_c03_ETH</v>
      </c>
      <c r="X796" s="12">
        <f t="shared" si="85"/>
        <v>1952</v>
      </c>
      <c r="Y796" s="11">
        <f t="shared" si="86"/>
        <v>1952</v>
      </c>
      <c r="AC796" t="s">
        <v>26</v>
      </c>
      <c r="AD796" t="s">
        <v>5230</v>
      </c>
      <c r="AE796" t="s">
        <v>5231</v>
      </c>
      <c r="AF796" t="s">
        <v>29</v>
      </c>
      <c r="AG796" t="s">
        <v>30</v>
      </c>
      <c r="AH796" t="s">
        <v>31</v>
      </c>
      <c r="AK796" t="s">
        <v>5230</v>
      </c>
      <c r="AL796" t="s">
        <v>1967</v>
      </c>
      <c r="AM796" t="s">
        <v>5198</v>
      </c>
      <c r="AN796" s="8">
        <v>3.98175</v>
      </c>
      <c r="AO796">
        <v>199.694880401046</v>
      </c>
      <c r="AP796">
        <v>2213</v>
      </c>
      <c r="AQ796" s="9">
        <v>0.337</v>
      </c>
      <c r="AR796" t="s">
        <v>1467</v>
      </c>
      <c r="AT796" s="15" t="s">
        <v>290</v>
      </c>
      <c r="AW796" s="11" t="str">
        <f t="shared" si="87"/>
        <v>EN_WOF_34_c02_PHL</v>
      </c>
      <c r="AX796" s="11">
        <f t="shared" si="88"/>
        <v>2213</v>
      </c>
      <c r="AY796" s="11">
        <f t="shared" si="89"/>
        <v>2213</v>
      </c>
      <c r="AZ796" s="17">
        <v>3</v>
      </c>
      <c r="BA796">
        <f t="shared" si="90"/>
        <v>22.13</v>
      </c>
    </row>
    <row r="797" spans="2:53">
      <c r="B797" t="s">
        <v>26</v>
      </c>
      <c r="C797" t="s">
        <v>5232</v>
      </c>
      <c r="D797" t="s">
        <v>5233</v>
      </c>
      <c r="E797" t="s">
        <v>29</v>
      </c>
      <c r="F797" t="s">
        <v>30</v>
      </c>
      <c r="G797" t="s">
        <v>31</v>
      </c>
      <c r="J797" t="s">
        <v>5232</v>
      </c>
      <c r="K797" t="s">
        <v>1967</v>
      </c>
      <c r="L797" t="s">
        <v>5225</v>
      </c>
      <c r="M797" s="8">
        <v>7.67325</v>
      </c>
      <c r="N797">
        <v>80.7856561622413</v>
      </c>
      <c r="O797">
        <v>1952</v>
      </c>
      <c r="P797" s="9">
        <v>0.352053562701593</v>
      </c>
      <c r="Q797" t="s">
        <v>686</v>
      </c>
      <c r="T797" s="15" t="s">
        <v>54</v>
      </c>
      <c r="W797" s="16" t="str">
        <f t="shared" si="84"/>
        <v>EN_WON_35_c02_ETH</v>
      </c>
      <c r="X797" s="12">
        <f t="shared" si="85"/>
        <v>1952</v>
      </c>
      <c r="Y797" s="11">
        <f t="shared" si="86"/>
        <v>1952</v>
      </c>
      <c r="AC797" t="s">
        <v>26</v>
      </c>
      <c r="AD797" t="s">
        <v>5234</v>
      </c>
      <c r="AE797" t="s">
        <v>5235</v>
      </c>
      <c r="AF797" t="s">
        <v>29</v>
      </c>
      <c r="AG797" t="s">
        <v>30</v>
      </c>
      <c r="AH797" t="s">
        <v>31</v>
      </c>
      <c r="AK797" t="s">
        <v>5234</v>
      </c>
      <c r="AL797" t="s">
        <v>1967</v>
      </c>
      <c r="AM797" t="s">
        <v>5198</v>
      </c>
      <c r="AN797" s="8">
        <v>4.728</v>
      </c>
      <c r="AO797">
        <v>45.3852000911468</v>
      </c>
      <c r="AP797">
        <v>2213</v>
      </c>
      <c r="AQ797" s="9">
        <v>0.347408788071066</v>
      </c>
      <c r="AR797" t="s">
        <v>1467</v>
      </c>
      <c r="AT797" s="15" t="s">
        <v>290</v>
      </c>
      <c r="AW797" s="11" t="str">
        <f t="shared" si="87"/>
        <v>EN_WOF_35_c01_PHL</v>
      </c>
      <c r="AX797" s="11">
        <f t="shared" si="88"/>
        <v>2213</v>
      </c>
      <c r="AY797" s="11">
        <f t="shared" si="89"/>
        <v>2213</v>
      </c>
      <c r="AZ797" s="17">
        <v>3</v>
      </c>
      <c r="BA797">
        <f t="shared" si="90"/>
        <v>22.13</v>
      </c>
    </row>
    <row r="798" spans="2:53">
      <c r="B798" t="s">
        <v>26</v>
      </c>
      <c r="C798" t="s">
        <v>5236</v>
      </c>
      <c r="D798" t="s">
        <v>5237</v>
      </c>
      <c r="E798" t="s">
        <v>29</v>
      </c>
      <c r="F798" t="s">
        <v>30</v>
      </c>
      <c r="G798" t="s">
        <v>31</v>
      </c>
      <c r="J798" t="s">
        <v>5236</v>
      </c>
      <c r="K798" t="s">
        <v>1967</v>
      </c>
      <c r="L798" t="s">
        <v>5225</v>
      </c>
      <c r="M798" s="8">
        <v>3.042</v>
      </c>
      <c r="N798">
        <v>145.23264029167</v>
      </c>
      <c r="O798">
        <v>1952</v>
      </c>
      <c r="P798" s="9">
        <v>0.349</v>
      </c>
      <c r="Q798" t="s">
        <v>686</v>
      </c>
      <c r="T798" s="15" t="s">
        <v>54</v>
      </c>
      <c r="W798" s="16" t="str">
        <f t="shared" si="84"/>
        <v>EN_WON_35_c04_ETH</v>
      </c>
      <c r="X798" s="12">
        <f t="shared" si="85"/>
        <v>1952</v>
      </c>
      <c r="Y798" s="11">
        <f t="shared" si="86"/>
        <v>1952</v>
      </c>
      <c r="AC798" t="s">
        <v>26</v>
      </c>
      <c r="AD798" t="s">
        <v>5238</v>
      </c>
      <c r="AE798" t="s">
        <v>5239</v>
      </c>
      <c r="AF798" t="s">
        <v>29</v>
      </c>
      <c r="AG798" t="s">
        <v>30</v>
      </c>
      <c r="AH798" t="s">
        <v>31</v>
      </c>
      <c r="AK798" t="s">
        <v>5238</v>
      </c>
      <c r="AL798" t="s">
        <v>1967</v>
      </c>
      <c r="AM798" t="s">
        <v>5198</v>
      </c>
      <c r="AN798" s="8">
        <v>5.02125</v>
      </c>
      <c r="AO798">
        <v>199.694880401046</v>
      </c>
      <c r="AP798">
        <v>2213</v>
      </c>
      <c r="AQ798" s="9">
        <v>0.359</v>
      </c>
      <c r="AR798" t="s">
        <v>1467</v>
      </c>
      <c r="AT798" s="15" t="s">
        <v>290</v>
      </c>
      <c r="AW798" s="11" t="str">
        <f t="shared" si="87"/>
        <v>EN_WOF_36_c02_PHL</v>
      </c>
      <c r="AX798" s="11">
        <f t="shared" si="88"/>
        <v>2213</v>
      </c>
      <c r="AY798" s="11">
        <f t="shared" si="89"/>
        <v>2213</v>
      </c>
      <c r="AZ798" s="17">
        <v>3</v>
      </c>
      <c r="BA798">
        <f t="shared" si="90"/>
        <v>22.13</v>
      </c>
    </row>
    <row r="799" spans="2:53">
      <c r="B799" t="s">
        <v>26</v>
      </c>
      <c r="C799" t="s">
        <v>5240</v>
      </c>
      <c r="D799" t="s">
        <v>5241</v>
      </c>
      <c r="E799" t="s">
        <v>29</v>
      </c>
      <c r="F799" t="s">
        <v>30</v>
      </c>
      <c r="G799" t="s">
        <v>31</v>
      </c>
      <c r="J799" t="s">
        <v>5240</v>
      </c>
      <c r="K799" t="s">
        <v>1967</v>
      </c>
      <c r="L799" t="s">
        <v>5225</v>
      </c>
      <c r="M799" s="8">
        <v>3.42675</v>
      </c>
      <c r="N799">
        <v>80.7856561622413</v>
      </c>
      <c r="O799">
        <v>1952</v>
      </c>
      <c r="P799" s="9">
        <v>0.364</v>
      </c>
      <c r="Q799" t="s">
        <v>686</v>
      </c>
      <c r="T799" s="15" t="s">
        <v>54</v>
      </c>
      <c r="W799" s="16" t="str">
        <f t="shared" si="84"/>
        <v>EN_WON_36_c02_ETH</v>
      </c>
      <c r="X799" s="12">
        <f t="shared" si="85"/>
        <v>1952</v>
      </c>
      <c r="Y799" s="11">
        <f t="shared" si="86"/>
        <v>1952</v>
      </c>
      <c r="AC799" t="s">
        <v>26</v>
      </c>
      <c r="AD799" t="s">
        <v>5242</v>
      </c>
      <c r="AE799" t="s">
        <v>5243</v>
      </c>
      <c r="AF799" t="s">
        <v>29</v>
      </c>
      <c r="AG799" t="s">
        <v>30</v>
      </c>
      <c r="AH799" t="s">
        <v>31</v>
      </c>
      <c r="AK799" t="s">
        <v>5242</v>
      </c>
      <c r="AL799" t="s">
        <v>1967</v>
      </c>
      <c r="AM799" t="s">
        <v>5198</v>
      </c>
      <c r="AN799" s="8">
        <v>1.74375</v>
      </c>
      <c r="AO799">
        <v>45.3852000911468</v>
      </c>
      <c r="AP799">
        <v>2213</v>
      </c>
      <c r="AQ799" s="9">
        <v>0.369610322580645</v>
      </c>
      <c r="AR799" t="s">
        <v>1467</v>
      </c>
      <c r="AT799" s="15" t="s">
        <v>290</v>
      </c>
      <c r="AW799" s="11" t="str">
        <f t="shared" si="87"/>
        <v>EN_WOF_37_c01_PHL</v>
      </c>
      <c r="AX799" s="11">
        <f t="shared" si="88"/>
        <v>2213</v>
      </c>
      <c r="AY799" s="11">
        <f t="shared" si="89"/>
        <v>2213</v>
      </c>
      <c r="AZ799" s="17">
        <v>3</v>
      </c>
      <c r="BA799">
        <f t="shared" si="90"/>
        <v>22.13</v>
      </c>
    </row>
    <row r="800" spans="2:53">
      <c r="B800" t="s">
        <v>26</v>
      </c>
      <c r="C800" t="s">
        <v>5244</v>
      </c>
      <c r="D800" t="s">
        <v>5245</v>
      </c>
      <c r="E800" t="s">
        <v>29</v>
      </c>
      <c r="F800" t="s">
        <v>30</v>
      </c>
      <c r="G800" t="s">
        <v>31</v>
      </c>
      <c r="J800" t="s">
        <v>5244</v>
      </c>
      <c r="K800" t="s">
        <v>1967</v>
      </c>
      <c r="L800" t="s">
        <v>5225</v>
      </c>
      <c r="M800" s="8">
        <v>5.1105</v>
      </c>
      <c r="N800">
        <v>105.747516212372</v>
      </c>
      <c r="O800">
        <v>1952</v>
      </c>
      <c r="P800" s="9">
        <v>0.363</v>
      </c>
      <c r="Q800" t="s">
        <v>686</v>
      </c>
      <c r="T800" s="15" t="s">
        <v>54</v>
      </c>
      <c r="W800" s="16" t="str">
        <f t="shared" si="84"/>
        <v>EN_WON_36_c03_ETH</v>
      </c>
      <c r="X800" s="12">
        <f t="shared" si="85"/>
        <v>1952</v>
      </c>
      <c r="Y800" s="11">
        <f t="shared" si="86"/>
        <v>1952</v>
      </c>
      <c r="AC800" t="s">
        <v>26</v>
      </c>
      <c r="AD800" t="s">
        <v>5246</v>
      </c>
      <c r="AE800" t="s">
        <v>5247</v>
      </c>
      <c r="AF800" t="s">
        <v>29</v>
      </c>
      <c r="AG800" t="s">
        <v>30</v>
      </c>
      <c r="AH800" t="s">
        <v>31</v>
      </c>
      <c r="AK800" t="s">
        <v>5246</v>
      </c>
      <c r="AL800" t="s">
        <v>1967</v>
      </c>
      <c r="AM800" t="s">
        <v>5198</v>
      </c>
      <c r="AN800" s="8">
        <v>13.641</v>
      </c>
      <c r="AO800">
        <v>45.3852000911468</v>
      </c>
      <c r="AP800">
        <v>2213</v>
      </c>
      <c r="AQ800" s="9">
        <v>0.388287662194854</v>
      </c>
      <c r="AR800" t="s">
        <v>1467</v>
      </c>
      <c r="AT800" s="15" t="s">
        <v>290</v>
      </c>
      <c r="AW800" s="11" t="str">
        <f t="shared" si="87"/>
        <v>EN_WOF_39_c01_PHL</v>
      </c>
      <c r="AX800" s="11">
        <f t="shared" si="88"/>
        <v>2213</v>
      </c>
      <c r="AY800" s="11">
        <f t="shared" si="89"/>
        <v>2213</v>
      </c>
      <c r="AZ800" s="17">
        <v>3</v>
      </c>
      <c r="BA800">
        <f t="shared" si="90"/>
        <v>22.13</v>
      </c>
    </row>
    <row r="801" spans="2:53">
      <c r="B801" t="s">
        <v>26</v>
      </c>
      <c r="C801" t="s">
        <v>5248</v>
      </c>
      <c r="D801" t="s">
        <v>5249</v>
      </c>
      <c r="E801" t="s">
        <v>29</v>
      </c>
      <c r="F801" t="s">
        <v>30</v>
      </c>
      <c r="G801" t="s">
        <v>31</v>
      </c>
      <c r="J801" t="s">
        <v>5248</v>
      </c>
      <c r="K801" t="s">
        <v>1967</v>
      </c>
      <c r="L801" t="s">
        <v>5225</v>
      </c>
      <c r="M801" s="8">
        <v>5.32575</v>
      </c>
      <c r="N801">
        <v>145.23264029167</v>
      </c>
      <c r="O801">
        <v>1952</v>
      </c>
      <c r="P801" s="9">
        <v>0.36034882410928</v>
      </c>
      <c r="Q801" t="s">
        <v>686</v>
      </c>
      <c r="T801" s="15" t="s">
        <v>54</v>
      </c>
      <c r="W801" s="16" t="str">
        <f t="shared" si="84"/>
        <v>EN_WON_36_c04_ETH</v>
      </c>
      <c r="X801" s="12">
        <f t="shared" si="85"/>
        <v>1952</v>
      </c>
      <c r="Y801" s="11">
        <f t="shared" si="86"/>
        <v>1952</v>
      </c>
      <c r="AC801" t="s">
        <v>26</v>
      </c>
      <c r="AD801" t="s">
        <v>5250</v>
      </c>
      <c r="AE801" t="s">
        <v>5251</v>
      </c>
      <c r="AF801" t="s">
        <v>29</v>
      </c>
      <c r="AG801" t="s">
        <v>30</v>
      </c>
      <c r="AH801" t="s">
        <v>31</v>
      </c>
      <c r="AK801" t="s">
        <v>5250</v>
      </c>
      <c r="AL801" t="s">
        <v>1967</v>
      </c>
      <c r="AM801" t="s">
        <v>5198</v>
      </c>
      <c r="AN801" s="8">
        <v>12.546</v>
      </c>
      <c r="AO801">
        <v>45.3852000911468</v>
      </c>
      <c r="AP801">
        <v>2213</v>
      </c>
      <c r="AQ801" s="9">
        <v>0.397094930655189</v>
      </c>
      <c r="AR801" t="s">
        <v>1467</v>
      </c>
      <c r="AT801" s="15" t="s">
        <v>290</v>
      </c>
      <c r="AW801" s="11" t="str">
        <f t="shared" si="87"/>
        <v>EN_WOF_40_c01_PHL</v>
      </c>
      <c r="AX801" s="11">
        <f t="shared" si="88"/>
        <v>2213</v>
      </c>
      <c r="AY801" s="11">
        <f t="shared" si="89"/>
        <v>2213</v>
      </c>
      <c r="AZ801" s="17">
        <v>3</v>
      </c>
      <c r="BA801">
        <f t="shared" si="90"/>
        <v>22.13</v>
      </c>
    </row>
    <row r="802" spans="2:53">
      <c r="B802" t="s">
        <v>26</v>
      </c>
      <c r="C802" t="s">
        <v>5252</v>
      </c>
      <c r="D802" t="s">
        <v>5253</v>
      </c>
      <c r="E802" t="s">
        <v>29</v>
      </c>
      <c r="F802" t="s">
        <v>30</v>
      </c>
      <c r="G802" t="s">
        <v>31</v>
      </c>
      <c r="J802" t="s">
        <v>5252</v>
      </c>
      <c r="K802" t="s">
        <v>1967</v>
      </c>
      <c r="L802" t="s">
        <v>5225</v>
      </c>
      <c r="M802" s="8">
        <v>2.961</v>
      </c>
      <c r="N802">
        <v>80.7856561622413</v>
      </c>
      <c r="O802">
        <v>1952</v>
      </c>
      <c r="P802" s="9">
        <v>0.365</v>
      </c>
      <c r="Q802" t="s">
        <v>686</v>
      </c>
      <c r="T802" s="15" t="s">
        <v>54</v>
      </c>
      <c r="W802" s="16" t="str">
        <f t="shared" si="84"/>
        <v>EN_WON_37_c02_ETH</v>
      </c>
      <c r="X802" s="12">
        <f t="shared" si="85"/>
        <v>1952</v>
      </c>
      <c r="Y802" s="11">
        <f t="shared" si="86"/>
        <v>1952</v>
      </c>
      <c r="AC802" t="s">
        <v>26</v>
      </c>
      <c r="AD802" t="s">
        <v>5254</v>
      </c>
      <c r="AE802" t="s">
        <v>5255</v>
      </c>
      <c r="AF802" t="s">
        <v>29</v>
      </c>
      <c r="AG802" t="s">
        <v>30</v>
      </c>
      <c r="AH802" t="s">
        <v>31</v>
      </c>
      <c r="AK802" t="s">
        <v>5254</v>
      </c>
      <c r="AL802" t="s">
        <v>1967</v>
      </c>
      <c r="AM802" t="s">
        <v>5198</v>
      </c>
      <c r="AN802" s="8">
        <v>11.1315</v>
      </c>
      <c r="AO802">
        <v>45.3852000911468</v>
      </c>
      <c r="AP802">
        <v>2213</v>
      </c>
      <c r="AQ802" s="9">
        <v>0.411051138660558</v>
      </c>
      <c r="AR802" t="s">
        <v>1467</v>
      </c>
      <c r="AT802" s="15" t="s">
        <v>290</v>
      </c>
      <c r="AW802" s="11" t="str">
        <f t="shared" si="87"/>
        <v>EN_WOF_41_c01_PHL</v>
      </c>
      <c r="AX802" s="11">
        <f t="shared" si="88"/>
        <v>2213</v>
      </c>
      <c r="AY802" s="11">
        <f t="shared" si="89"/>
        <v>2213</v>
      </c>
      <c r="AZ802" s="17">
        <v>3</v>
      </c>
      <c r="BA802">
        <f t="shared" si="90"/>
        <v>22.13</v>
      </c>
    </row>
    <row r="803" spans="2:53">
      <c r="B803" t="s">
        <v>26</v>
      </c>
      <c r="C803" t="s">
        <v>5256</v>
      </c>
      <c r="D803" t="s">
        <v>5257</v>
      </c>
      <c r="E803" t="s">
        <v>29</v>
      </c>
      <c r="F803" t="s">
        <v>30</v>
      </c>
      <c r="G803" t="s">
        <v>31</v>
      </c>
      <c r="J803" t="s">
        <v>5256</v>
      </c>
      <c r="K803" t="s">
        <v>1967</v>
      </c>
      <c r="L803" t="s">
        <v>5225</v>
      </c>
      <c r="M803" s="8">
        <v>5.583</v>
      </c>
      <c r="N803">
        <v>105.747516212372</v>
      </c>
      <c r="O803">
        <v>1952</v>
      </c>
      <c r="P803" s="9">
        <v>0.373</v>
      </c>
      <c r="Q803" t="s">
        <v>686</v>
      </c>
      <c r="T803" s="15" t="s">
        <v>54</v>
      </c>
      <c r="W803" s="16" t="str">
        <f t="shared" si="84"/>
        <v>EN_WON_37_c03_ETH</v>
      </c>
      <c r="X803" s="12">
        <f t="shared" si="85"/>
        <v>1952</v>
      </c>
      <c r="Y803" s="11">
        <f t="shared" si="86"/>
        <v>1952</v>
      </c>
      <c r="AC803" t="s">
        <v>26</v>
      </c>
      <c r="AD803" t="s">
        <v>5258</v>
      </c>
      <c r="AE803" t="s">
        <v>5259</v>
      </c>
      <c r="AF803" t="s">
        <v>29</v>
      </c>
      <c r="AG803" t="s">
        <v>30</v>
      </c>
      <c r="AH803" t="s">
        <v>31</v>
      </c>
      <c r="AK803" t="s">
        <v>5258</v>
      </c>
      <c r="AL803" t="s">
        <v>1967</v>
      </c>
      <c r="AM803" t="s">
        <v>5198</v>
      </c>
      <c r="AN803" s="8">
        <v>2.73975</v>
      </c>
      <c r="AO803">
        <v>199.694880401046</v>
      </c>
      <c r="AP803">
        <v>2213</v>
      </c>
      <c r="AQ803" s="9">
        <v>0.409059950725431</v>
      </c>
      <c r="AR803" t="s">
        <v>1467</v>
      </c>
      <c r="AT803" s="15" t="s">
        <v>290</v>
      </c>
      <c r="AW803" s="11" t="str">
        <f t="shared" si="87"/>
        <v>EN_WOF_41_c02_PHL</v>
      </c>
      <c r="AX803" s="11">
        <f t="shared" si="88"/>
        <v>2213</v>
      </c>
      <c r="AY803" s="11">
        <f t="shared" si="89"/>
        <v>2213</v>
      </c>
      <c r="AZ803" s="17">
        <v>3</v>
      </c>
      <c r="BA803">
        <f t="shared" si="90"/>
        <v>22.13</v>
      </c>
    </row>
    <row r="804" spans="2:53">
      <c r="B804" t="s">
        <v>26</v>
      </c>
      <c r="C804" t="s">
        <v>5260</v>
      </c>
      <c r="D804" t="s">
        <v>5261</v>
      </c>
      <c r="E804" t="s">
        <v>29</v>
      </c>
      <c r="F804" t="s">
        <v>30</v>
      </c>
      <c r="G804" t="s">
        <v>31</v>
      </c>
      <c r="J804" t="s">
        <v>5260</v>
      </c>
      <c r="K804" t="s">
        <v>1967</v>
      </c>
      <c r="L804" t="s">
        <v>5225</v>
      </c>
      <c r="M804" s="8">
        <v>4.5165</v>
      </c>
      <c r="N804">
        <v>105.747516212372</v>
      </c>
      <c r="O804">
        <v>1952</v>
      </c>
      <c r="P804" s="9">
        <v>0.382</v>
      </c>
      <c r="Q804" t="s">
        <v>686</v>
      </c>
      <c r="T804" s="15" t="s">
        <v>54</v>
      </c>
      <c r="W804" s="16" t="str">
        <f t="shared" si="84"/>
        <v>EN_WON_38_c03_ETH</v>
      </c>
      <c r="X804" s="12">
        <f t="shared" si="85"/>
        <v>1952</v>
      </c>
      <c r="Y804" s="11">
        <f t="shared" si="86"/>
        <v>1952</v>
      </c>
      <c r="AC804" t="s">
        <v>26</v>
      </c>
      <c r="AD804" t="s">
        <v>5262</v>
      </c>
      <c r="AE804" t="s">
        <v>5263</v>
      </c>
      <c r="AF804" t="s">
        <v>29</v>
      </c>
      <c r="AG804" t="s">
        <v>30</v>
      </c>
      <c r="AH804" t="s">
        <v>31</v>
      </c>
      <c r="AK804" t="s">
        <v>5262</v>
      </c>
      <c r="AL804" t="s">
        <v>1967</v>
      </c>
      <c r="AM804" t="s">
        <v>5198</v>
      </c>
      <c r="AN804" s="8">
        <v>0.981</v>
      </c>
      <c r="AO804">
        <v>45.3852000911468</v>
      </c>
      <c r="AP804">
        <v>2213</v>
      </c>
      <c r="AQ804" s="9">
        <v>0.424</v>
      </c>
      <c r="AR804" t="s">
        <v>1467</v>
      </c>
      <c r="AT804" s="15" t="s">
        <v>290</v>
      </c>
      <c r="AW804" s="11" t="str">
        <f t="shared" si="87"/>
        <v>EN_WOF_42_c01_PHL</v>
      </c>
      <c r="AX804" s="11">
        <f t="shared" si="88"/>
        <v>2213</v>
      </c>
      <c r="AY804" s="11">
        <f t="shared" si="89"/>
        <v>2213</v>
      </c>
      <c r="AZ804" s="17">
        <v>3</v>
      </c>
      <c r="BA804">
        <f t="shared" si="90"/>
        <v>22.13</v>
      </c>
    </row>
    <row r="805" spans="2:53">
      <c r="B805" t="s">
        <v>26</v>
      </c>
      <c r="C805" t="s">
        <v>5264</v>
      </c>
      <c r="D805" t="s">
        <v>5265</v>
      </c>
      <c r="E805" t="s">
        <v>29</v>
      </c>
      <c r="F805" t="s">
        <v>30</v>
      </c>
      <c r="G805" t="s">
        <v>31</v>
      </c>
      <c r="J805" t="s">
        <v>5264</v>
      </c>
      <c r="K805" t="s">
        <v>1967</v>
      </c>
      <c r="L805" t="s">
        <v>5225</v>
      </c>
      <c r="M805" s="8">
        <v>3.74325</v>
      </c>
      <c r="N805">
        <v>145.23264029167</v>
      </c>
      <c r="O805">
        <v>1952</v>
      </c>
      <c r="P805" s="9">
        <v>0.382</v>
      </c>
      <c r="Q805" t="s">
        <v>686</v>
      </c>
      <c r="T805" s="15" t="s">
        <v>54</v>
      </c>
      <c r="W805" s="16" t="str">
        <f t="shared" si="84"/>
        <v>EN_WON_38_c04_ETH</v>
      </c>
      <c r="X805" s="12">
        <f t="shared" si="85"/>
        <v>1952</v>
      </c>
      <c r="Y805" s="11">
        <f t="shared" si="86"/>
        <v>1952</v>
      </c>
      <c r="AC805" t="s">
        <v>26</v>
      </c>
      <c r="AD805" t="s">
        <v>5266</v>
      </c>
      <c r="AE805" t="s">
        <v>5267</v>
      </c>
      <c r="AF805" t="s">
        <v>29</v>
      </c>
      <c r="AG805" t="s">
        <v>30</v>
      </c>
      <c r="AH805" t="s">
        <v>31</v>
      </c>
      <c r="AK805" t="s">
        <v>5266</v>
      </c>
      <c r="AL805" t="s">
        <v>1967</v>
      </c>
      <c r="AM805" t="s">
        <v>5198</v>
      </c>
      <c r="AN805" s="8">
        <v>0.92925</v>
      </c>
      <c r="AO805">
        <v>45.3852000911468</v>
      </c>
      <c r="AP805">
        <v>2213</v>
      </c>
      <c r="AQ805" s="9">
        <v>0.425</v>
      </c>
      <c r="AR805" t="s">
        <v>1467</v>
      </c>
      <c r="AT805" s="15" t="s">
        <v>290</v>
      </c>
      <c r="AW805" s="11" t="str">
        <f t="shared" si="87"/>
        <v>EN_WOF_43_c01_PHL</v>
      </c>
      <c r="AX805" s="11">
        <f t="shared" si="88"/>
        <v>2213</v>
      </c>
      <c r="AY805" s="11">
        <f t="shared" si="89"/>
        <v>2213</v>
      </c>
      <c r="AZ805" s="17">
        <v>3</v>
      </c>
      <c r="BA805">
        <f t="shared" si="90"/>
        <v>22.13</v>
      </c>
    </row>
    <row r="806" spans="2:53">
      <c r="B806" t="s">
        <v>26</v>
      </c>
      <c r="C806" t="s">
        <v>5268</v>
      </c>
      <c r="D806" t="s">
        <v>5269</v>
      </c>
      <c r="E806" t="s">
        <v>29</v>
      </c>
      <c r="F806" t="s">
        <v>30</v>
      </c>
      <c r="G806" t="s">
        <v>31</v>
      </c>
      <c r="J806" t="s">
        <v>5268</v>
      </c>
      <c r="K806" t="s">
        <v>1967</v>
      </c>
      <c r="L806" t="s">
        <v>5225</v>
      </c>
      <c r="M806" s="8">
        <v>13.99125</v>
      </c>
      <c r="N806">
        <v>105.747516212372</v>
      </c>
      <c r="O806">
        <v>1952</v>
      </c>
      <c r="P806" s="9">
        <v>0.386</v>
      </c>
      <c r="Q806" t="s">
        <v>686</v>
      </c>
      <c r="T806" s="15" t="s">
        <v>54</v>
      </c>
      <c r="W806" s="16" t="str">
        <f t="shared" si="84"/>
        <v>EN_WON_39_c03_ETH</v>
      </c>
      <c r="X806" s="12">
        <f t="shared" si="85"/>
        <v>1952</v>
      </c>
      <c r="Y806" s="11">
        <f t="shared" si="86"/>
        <v>1952</v>
      </c>
      <c r="AC806" t="s">
        <v>26</v>
      </c>
      <c r="AD806" t="s">
        <v>5270</v>
      </c>
      <c r="AE806" t="s">
        <v>5271</v>
      </c>
      <c r="AF806" t="s">
        <v>29</v>
      </c>
      <c r="AG806" t="s">
        <v>30</v>
      </c>
      <c r="AH806" t="s">
        <v>31</v>
      </c>
      <c r="AK806" t="s">
        <v>5270</v>
      </c>
      <c r="AL806" t="s">
        <v>1967</v>
      </c>
      <c r="AM806" t="s">
        <v>5198</v>
      </c>
      <c r="AN806" s="8">
        <v>2.71425</v>
      </c>
      <c r="AO806">
        <v>199.694880401046</v>
      </c>
      <c r="AP806">
        <v>2213</v>
      </c>
      <c r="AQ806" s="9">
        <v>0.429</v>
      </c>
      <c r="AR806" t="s">
        <v>1467</v>
      </c>
      <c r="AT806" s="15" t="s">
        <v>290</v>
      </c>
      <c r="AW806" s="11" t="str">
        <f t="shared" si="87"/>
        <v>EN_WOF_43_c02_PHL</v>
      </c>
      <c r="AX806" s="11">
        <f t="shared" si="88"/>
        <v>2213</v>
      </c>
      <c r="AY806" s="11">
        <f t="shared" si="89"/>
        <v>2213</v>
      </c>
      <c r="AZ806" s="17">
        <v>3</v>
      </c>
      <c r="BA806">
        <f t="shared" si="90"/>
        <v>22.13</v>
      </c>
    </row>
    <row r="807" spans="2:53">
      <c r="B807" t="s">
        <v>26</v>
      </c>
      <c r="C807" t="s">
        <v>5272</v>
      </c>
      <c r="D807" t="s">
        <v>5273</v>
      </c>
      <c r="E807" t="s">
        <v>29</v>
      </c>
      <c r="F807" t="s">
        <v>30</v>
      </c>
      <c r="G807" t="s">
        <v>31</v>
      </c>
      <c r="J807" t="s">
        <v>5272</v>
      </c>
      <c r="K807" t="s">
        <v>1967</v>
      </c>
      <c r="L807" t="s">
        <v>5225</v>
      </c>
      <c r="M807" s="8">
        <v>4.3515</v>
      </c>
      <c r="N807">
        <v>145.23264029167</v>
      </c>
      <c r="O807">
        <v>1952</v>
      </c>
      <c r="P807" s="9">
        <v>0.405</v>
      </c>
      <c r="Q807" t="s">
        <v>686</v>
      </c>
      <c r="T807" s="15" t="s">
        <v>54</v>
      </c>
      <c r="W807" s="16" t="str">
        <f t="shared" si="84"/>
        <v>EN_WON_41_c04_ETH</v>
      </c>
      <c r="X807" s="12">
        <f t="shared" si="85"/>
        <v>1952</v>
      </c>
      <c r="Y807" s="11">
        <f t="shared" si="86"/>
        <v>1952</v>
      </c>
      <c r="AC807" t="s">
        <v>26</v>
      </c>
      <c r="AD807" t="s">
        <v>5274</v>
      </c>
      <c r="AE807" t="s">
        <v>5275</v>
      </c>
      <c r="AF807" t="s">
        <v>29</v>
      </c>
      <c r="AG807" t="s">
        <v>30</v>
      </c>
      <c r="AH807" t="s">
        <v>31</v>
      </c>
      <c r="AK807" t="s">
        <v>5274</v>
      </c>
      <c r="AL807" t="s">
        <v>1967</v>
      </c>
      <c r="AM807" t="s">
        <v>5198</v>
      </c>
      <c r="AN807" s="8">
        <v>7.7535</v>
      </c>
      <c r="AO807">
        <v>45.3852000911468</v>
      </c>
      <c r="AP807">
        <v>2213</v>
      </c>
      <c r="AQ807" s="9">
        <v>0.436909653704778</v>
      </c>
      <c r="AR807" t="s">
        <v>1467</v>
      </c>
      <c r="AT807" s="15" t="s">
        <v>290</v>
      </c>
      <c r="AW807" s="11" t="str">
        <f t="shared" si="87"/>
        <v>EN_WOF_44_c01_PHL</v>
      </c>
      <c r="AX807" s="11">
        <f t="shared" si="88"/>
        <v>2213</v>
      </c>
      <c r="AY807" s="11">
        <f t="shared" si="89"/>
        <v>2213</v>
      </c>
      <c r="AZ807" s="17">
        <v>3</v>
      </c>
      <c r="BA807">
        <f t="shared" si="90"/>
        <v>22.13</v>
      </c>
    </row>
    <row r="808" spans="2:53">
      <c r="B808" t="s">
        <v>26</v>
      </c>
      <c r="C808" t="s">
        <v>5276</v>
      </c>
      <c r="D808" t="s">
        <v>5277</v>
      </c>
      <c r="E808" t="s">
        <v>29</v>
      </c>
      <c r="F808" t="s">
        <v>30</v>
      </c>
      <c r="G808" t="s">
        <v>31</v>
      </c>
      <c r="J808" t="s">
        <v>5276</v>
      </c>
      <c r="K808" t="s">
        <v>1967</v>
      </c>
      <c r="L808" t="s">
        <v>5225</v>
      </c>
      <c r="M808" s="8">
        <v>2.30475</v>
      </c>
      <c r="N808">
        <v>105.747516212372</v>
      </c>
      <c r="O808">
        <v>1952</v>
      </c>
      <c r="P808" s="9">
        <v>0.478</v>
      </c>
      <c r="Q808" t="s">
        <v>686</v>
      </c>
      <c r="T808" s="15" t="s">
        <v>54</v>
      </c>
      <c r="W808" s="16" t="str">
        <f t="shared" si="84"/>
        <v>EN_WON_48_c03_ETH</v>
      </c>
      <c r="X808" s="12">
        <f t="shared" si="85"/>
        <v>1952</v>
      </c>
      <c r="Y808" s="11">
        <f t="shared" si="86"/>
        <v>1952</v>
      </c>
      <c r="AC808" t="s">
        <v>26</v>
      </c>
      <c r="AD808" t="s">
        <v>5278</v>
      </c>
      <c r="AE808" t="s">
        <v>5279</v>
      </c>
      <c r="AF808" t="s">
        <v>29</v>
      </c>
      <c r="AG808" t="s">
        <v>30</v>
      </c>
      <c r="AH808" t="s">
        <v>31</v>
      </c>
      <c r="AK808" t="s">
        <v>5278</v>
      </c>
      <c r="AL808" t="s">
        <v>1967</v>
      </c>
      <c r="AM808" t="s">
        <v>5198</v>
      </c>
      <c r="AN808" s="8">
        <v>0.906</v>
      </c>
      <c r="AO808">
        <v>45.3852000911468</v>
      </c>
      <c r="AP808">
        <v>2213</v>
      </c>
      <c r="AQ808" s="9">
        <v>0.458</v>
      </c>
      <c r="AR808" t="s">
        <v>1467</v>
      </c>
      <c r="AT808" s="15" t="s">
        <v>290</v>
      </c>
      <c r="AW808" s="11" t="str">
        <f t="shared" si="87"/>
        <v>EN_WOF_46_c01_PHL</v>
      </c>
      <c r="AX808" s="11">
        <f t="shared" si="88"/>
        <v>2213</v>
      </c>
      <c r="AY808" s="11">
        <f t="shared" si="89"/>
        <v>2213</v>
      </c>
      <c r="AZ808" s="17">
        <v>3</v>
      </c>
      <c r="BA808">
        <f t="shared" si="90"/>
        <v>22.13</v>
      </c>
    </row>
    <row r="809" spans="2:53">
      <c r="B809" t="s">
        <v>26</v>
      </c>
      <c r="C809" t="s">
        <v>5280</v>
      </c>
      <c r="D809" t="s">
        <v>5281</v>
      </c>
      <c r="E809" t="s">
        <v>29</v>
      </c>
      <c r="F809" t="s">
        <v>30</v>
      </c>
      <c r="G809" t="s">
        <v>31</v>
      </c>
      <c r="J809" t="s">
        <v>5280</v>
      </c>
      <c r="K809" t="s">
        <v>1967</v>
      </c>
      <c r="L809" t="s">
        <v>3502</v>
      </c>
      <c r="M809" s="8">
        <v>7.74375</v>
      </c>
      <c r="N809">
        <v>0</v>
      </c>
      <c r="O809">
        <v>1805</v>
      </c>
      <c r="P809" s="9">
        <v>0.280504987893462</v>
      </c>
      <c r="Q809" t="s">
        <v>3503</v>
      </c>
      <c r="T809" s="15" t="s">
        <v>69</v>
      </c>
      <c r="W809" s="16" t="str">
        <f t="shared" si="84"/>
        <v>EN_WON_28_c01_FIN</v>
      </c>
      <c r="X809" s="12">
        <f t="shared" si="85"/>
        <v>1805</v>
      </c>
      <c r="Y809" s="11">
        <f t="shared" si="86"/>
        <v>1805</v>
      </c>
      <c r="AC809" t="s">
        <v>26</v>
      </c>
      <c r="AD809" t="s">
        <v>5282</v>
      </c>
      <c r="AE809" t="s">
        <v>5283</v>
      </c>
      <c r="AF809" t="s">
        <v>29</v>
      </c>
      <c r="AG809" t="s">
        <v>30</v>
      </c>
      <c r="AH809" t="s">
        <v>31</v>
      </c>
      <c r="AK809" t="s">
        <v>5282</v>
      </c>
      <c r="AL809" t="s">
        <v>1967</v>
      </c>
      <c r="AM809" t="s">
        <v>5198</v>
      </c>
      <c r="AN809" s="8">
        <v>1.41375</v>
      </c>
      <c r="AO809">
        <v>199.694880401046</v>
      </c>
      <c r="AP809">
        <v>2213</v>
      </c>
      <c r="AQ809" s="9">
        <v>0.497</v>
      </c>
      <c r="AR809" t="s">
        <v>1467</v>
      </c>
      <c r="AT809" s="15" t="s">
        <v>290</v>
      </c>
      <c r="AW809" s="11" t="str">
        <f t="shared" si="87"/>
        <v>EN_WOF_50_c02_PHL</v>
      </c>
      <c r="AX809" s="11">
        <f t="shared" si="88"/>
        <v>2213</v>
      </c>
      <c r="AY809" s="11">
        <f t="shared" si="89"/>
        <v>2213</v>
      </c>
      <c r="AZ809" s="17">
        <v>3</v>
      </c>
      <c r="BA809">
        <f t="shared" si="90"/>
        <v>22.13</v>
      </c>
    </row>
    <row r="810" spans="2:53">
      <c r="B810" t="s">
        <v>26</v>
      </c>
      <c r="C810" t="s">
        <v>5284</v>
      </c>
      <c r="D810" t="s">
        <v>5285</v>
      </c>
      <c r="E810" t="s">
        <v>29</v>
      </c>
      <c r="F810" t="s">
        <v>30</v>
      </c>
      <c r="G810" t="s">
        <v>31</v>
      </c>
      <c r="J810" t="s">
        <v>5284</v>
      </c>
      <c r="K810" t="s">
        <v>1967</v>
      </c>
      <c r="L810" t="s">
        <v>3502</v>
      </c>
      <c r="M810" s="8">
        <v>1.3425</v>
      </c>
      <c r="N810">
        <v>80.7856561622413</v>
      </c>
      <c r="O810">
        <v>1805</v>
      </c>
      <c r="P810" s="9">
        <v>0.280935195530726</v>
      </c>
      <c r="Q810" t="s">
        <v>3503</v>
      </c>
      <c r="T810" s="15" t="s">
        <v>69</v>
      </c>
      <c r="W810" s="16" t="str">
        <f t="shared" si="84"/>
        <v>EN_WON_28_c02_FIN</v>
      </c>
      <c r="X810" s="12">
        <f t="shared" si="85"/>
        <v>1805</v>
      </c>
      <c r="Y810" s="11">
        <f t="shared" si="86"/>
        <v>1805</v>
      </c>
      <c r="AC810" t="s">
        <v>26</v>
      </c>
      <c r="AD810" t="s">
        <v>5286</v>
      </c>
      <c r="AE810" t="s">
        <v>5287</v>
      </c>
      <c r="AF810" t="s">
        <v>29</v>
      </c>
      <c r="AG810" t="s">
        <v>30</v>
      </c>
      <c r="AH810" t="s">
        <v>31</v>
      </c>
      <c r="AK810" t="s">
        <v>5286</v>
      </c>
      <c r="AL810" t="s">
        <v>1967</v>
      </c>
      <c r="AM810" t="s">
        <v>5198</v>
      </c>
      <c r="AN810" s="8">
        <v>1.368</v>
      </c>
      <c r="AO810">
        <v>45.3852000911468</v>
      </c>
      <c r="AP810">
        <v>2213</v>
      </c>
      <c r="AQ810" s="9">
        <v>0.511</v>
      </c>
      <c r="AR810" t="s">
        <v>1467</v>
      </c>
      <c r="AT810" s="15" t="s">
        <v>290</v>
      </c>
      <c r="AW810" s="11" t="str">
        <f t="shared" si="87"/>
        <v>EN_WOF_51_c01_PHL</v>
      </c>
      <c r="AX810" s="11">
        <f t="shared" si="88"/>
        <v>2213</v>
      </c>
      <c r="AY810" s="11">
        <f t="shared" si="89"/>
        <v>2213</v>
      </c>
      <c r="AZ810" s="17">
        <v>3</v>
      </c>
      <c r="BA810">
        <f t="shared" si="90"/>
        <v>22.13</v>
      </c>
    </row>
    <row r="811" spans="2:53">
      <c r="B811" t="s">
        <v>26</v>
      </c>
      <c r="C811" t="s">
        <v>5288</v>
      </c>
      <c r="D811" t="s">
        <v>5289</v>
      </c>
      <c r="E811" t="s">
        <v>29</v>
      </c>
      <c r="F811" t="s">
        <v>30</v>
      </c>
      <c r="G811" t="s">
        <v>31</v>
      </c>
      <c r="J811" t="s">
        <v>5288</v>
      </c>
      <c r="K811" t="s">
        <v>1967</v>
      </c>
      <c r="L811" t="s">
        <v>3502</v>
      </c>
      <c r="M811" s="8">
        <v>6.99075</v>
      </c>
      <c r="N811">
        <v>0</v>
      </c>
      <c r="O811">
        <v>1805</v>
      </c>
      <c r="P811" s="9">
        <v>0.290770410900118</v>
      </c>
      <c r="Q811" t="s">
        <v>3503</v>
      </c>
      <c r="T811" s="15" t="s">
        <v>69</v>
      </c>
      <c r="W811" s="16" t="str">
        <f t="shared" si="84"/>
        <v>EN_WON_29_c01_FIN</v>
      </c>
      <c r="X811" s="12">
        <f t="shared" si="85"/>
        <v>1805</v>
      </c>
      <c r="Y811" s="11">
        <f t="shared" si="86"/>
        <v>1805</v>
      </c>
      <c r="AC811" t="s">
        <v>26</v>
      </c>
      <c r="AD811" t="s">
        <v>5290</v>
      </c>
      <c r="AE811" t="s">
        <v>5291</v>
      </c>
      <c r="AF811" t="s">
        <v>29</v>
      </c>
      <c r="AG811" t="s">
        <v>30</v>
      </c>
      <c r="AH811" t="s">
        <v>31</v>
      </c>
      <c r="AK811" t="s">
        <v>5290</v>
      </c>
      <c r="AL811" t="s">
        <v>1967</v>
      </c>
      <c r="AM811" t="s">
        <v>5198</v>
      </c>
      <c r="AN811" s="8">
        <v>1.4055</v>
      </c>
      <c r="AO811">
        <v>45.3852000911468</v>
      </c>
      <c r="AP811">
        <v>2213</v>
      </c>
      <c r="AQ811" s="9">
        <v>0.528</v>
      </c>
      <c r="AR811" t="s">
        <v>1467</v>
      </c>
      <c r="AT811" s="15" t="s">
        <v>290</v>
      </c>
      <c r="AW811" s="11" t="str">
        <f t="shared" si="87"/>
        <v>EN_WOF_53_c01_PHL</v>
      </c>
      <c r="AX811" s="11">
        <f t="shared" si="88"/>
        <v>2213</v>
      </c>
      <c r="AY811" s="11">
        <f t="shared" si="89"/>
        <v>2213</v>
      </c>
      <c r="AZ811" s="17">
        <v>3</v>
      </c>
      <c r="BA811">
        <f t="shared" si="90"/>
        <v>22.13</v>
      </c>
    </row>
    <row r="812" spans="2:53">
      <c r="B812" t="s">
        <v>26</v>
      </c>
      <c r="C812" t="s">
        <v>5292</v>
      </c>
      <c r="D812" t="s">
        <v>5293</v>
      </c>
      <c r="E812" t="s">
        <v>29</v>
      </c>
      <c r="F812" t="s">
        <v>30</v>
      </c>
      <c r="G812" t="s">
        <v>31</v>
      </c>
      <c r="J812" t="s">
        <v>5292</v>
      </c>
      <c r="K812" t="s">
        <v>1967</v>
      </c>
      <c r="L812" t="s">
        <v>3502</v>
      </c>
      <c r="M812" s="8">
        <v>6.93</v>
      </c>
      <c r="N812">
        <v>80.7856561622413</v>
      </c>
      <c r="O812">
        <v>1805</v>
      </c>
      <c r="P812" s="9">
        <v>0.290294155844156</v>
      </c>
      <c r="Q812" t="s">
        <v>3503</v>
      </c>
      <c r="T812" s="15" t="s">
        <v>69</v>
      </c>
      <c r="W812" s="16" t="str">
        <f t="shared" si="84"/>
        <v>EN_WON_29_c02_FIN</v>
      </c>
      <c r="X812" s="12">
        <f t="shared" si="85"/>
        <v>1805</v>
      </c>
      <c r="Y812" s="11">
        <f t="shared" si="86"/>
        <v>1805</v>
      </c>
      <c r="AC812" t="s">
        <v>26</v>
      </c>
      <c r="AD812" t="s">
        <v>5294</v>
      </c>
      <c r="AE812" t="s">
        <v>5295</v>
      </c>
      <c r="AF812" t="s">
        <v>29</v>
      </c>
      <c r="AG812" t="s">
        <v>30</v>
      </c>
      <c r="AH812" t="s">
        <v>31</v>
      </c>
      <c r="AK812" t="s">
        <v>5294</v>
      </c>
      <c r="AL812" t="s">
        <v>1967</v>
      </c>
      <c r="AM812" t="s">
        <v>5296</v>
      </c>
      <c r="AN812" s="8">
        <v>4.9425</v>
      </c>
      <c r="AO812">
        <v>199.694880401046</v>
      </c>
      <c r="AP812">
        <v>1554</v>
      </c>
      <c r="AQ812" s="9">
        <v>0.301</v>
      </c>
      <c r="AR812" t="s">
        <v>1489</v>
      </c>
      <c r="AT812" s="15" t="s">
        <v>290</v>
      </c>
      <c r="AW812" s="11" t="str">
        <f t="shared" si="87"/>
        <v>EN_WOF_30_c02_PNG</v>
      </c>
      <c r="AX812" s="11">
        <f t="shared" si="88"/>
        <v>1554</v>
      </c>
      <c r="AY812" s="11">
        <f t="shared" si="89"/>
        <v>1554</v>
      </c>
      <c r="AZ812" s="17">
        <v>3</v>
      </c>
      <c r="BA812">
        <f t="shared" si="90"/>
        <v>15.54</v>
      </c>
    </row>
    <row r="813" spans="2:53">
      <c r="B813" t="s">
        <v>26</v>
      </c>
      <c r="C813" t="s">
        <v>5297</v>
      </c>
      <c r="D813" t="s">
        <v>5298</v>
      </c>
      <c r="E813" t="s">
        <v>29</v>
      </c>
      <c r="F813" t="s">
        <v>30</v>
      </c>
      <c r="G813" t="s">
        <v>31</v>
      </c>
      <c r="J813" t="s">
        <v>5297</v>
      </c>
      <c r="K813" t="s">
        <v>1967</v>
      </c>
      <c r="L813" t="s">
        <v>3502</v>
      </c>
      <c r="M813" s="8">
        <v>0.3795</v>
      </c>
      <c r="N813">
        <v>105.747516212372</v>
      </c>
      <c r="O813">
        <v>1805</v>
      </c>
      <c r="P813" s="9">
        <v>0.291</v>
      </c>
      <c r="Q813" t="s">
        <v>3503</v>
      </c>
      <c r="T813" s="15" t="s">
        <v>69</v>
      </c>
      <c r="W813" s="16" t="str">
        <f t="shared" si="84"/>
        <v>EN_WON_29_c03_FIN</v>
      </c>
      <c r="X813" s="12">
        <f t="shared" si="85"/>
        <v>1805</v>
      </c>
      <c r="Y813" s="11">
        <f t="shared" si="86"/>
        <v>1805</v>
      </c>
      <c r="AC813" t="s">
        <v>26</v>
      </c>
      <c r="AD813" t="s">
        <v>5299</v>
      </c>
      <c r="AE813" t="s">
        <v>5300</v>
      </c>
      <c r="AF813" t="s">
        <v>29</v>
      </c>
      <c r="AG813" t="s">
        <v>30</v>
      </c>
      <c r="AH813" t="s">
        <v>31</v>
      </c>
      <c r="AK813" t="s">
        <v>5299</v>
      </c>
      <c r="AL813" t="s">
        <v>1967</v>
      </c>
      <c r="AM813" t="s">
        <v>5296</v>
      </c>
      <c r="AN813" s="8">
        <v>12.0375</v>
      </c>
      <c r="AO813">
        <v>199.694880401046</v>
      </c>
      <c r="AP813">
        <v>1554</v>
      </c>
      <c r="AQ813" s="9">
        <v>0.305975700934579</v>
      </c>
      <c r="AR813" t="s">
        <v>1489</v>
      </c>
      <c r="AT813" s="15" t="s">
        <v>290</v>
      </c>
      <c r="AW813" s="11" t="str">
        <f t="shared" si="87"/>
        <v>EN_WOF_31_c02_PNG</v>
      </c>
      <c r="AX813" s="11">
        <f t="shared" si="88"/>
        <v>1554</v>
      </c>
      <c r="AY813" s="11">
        <f t="shared" si="89"/>
        <v>1554</v>
      </c>
      <c r="AZ813" s="17">
        <v>3</v>
      </c>
      <c r="BA813">
        <f t="shared" si="90"/>
        <v>15.54</v>
      </c>
    </row>
    <row r="814" spans="2:53">
      <c r="B814" t="s">
        <v>26</v>
      </c>
      <c r="C814" t="s">
        <v>5301</v>
      </c>
      <c r="D814" t="s">
        <v>5302</v>
      </c>
      <c r="E814" t="s">
        <v>29</v>
      </c>
      <c r="F814" t="s">
        <v>30</v>
      </c>
      <c r="G814" t="s">
        <v>31</v>
      </c>
      <c r="J814" t="s">
        <v>5301</v>
      </c>
      <c r="K814" t="s">
        <v>1967</v>
      </c>
      <c r="L814" t="s">
        <v>3502</v>
      </c>
      <c r="M814" s="8">
        <v>11.406</v>
      </c>
      <c r="N814">
        <v>0</v>
      </c>
      <c r="O814">
        <v>1805</v>
      </c>
      <c r="P814" s="9">
        <v>0.298452853761178</v>
      </c>
      <c r="Q814" t="s">
        <v>3503</v>
      </c>
      <c r="T814" s="15" t="s">
        <v>69</v>
      </c>
      <c r="W814" s="16" t="str">
        <f t="shared" si="84"/>
        <v>EN_WON_30_c01_FIN</v>
      </c>
      <c r="X814" s="12">
        <f t="shared" si="85"/>
        <v>1805</v>
      </c>
      <c r="Y814" s="11">
        <f t="shared" si="86"/>
        <v>1805</v>
      </c>
      <c r="AC814" t="s">
        <v>26</v>
      </c>
      <c r="AD814" t="s">
        <v>5303</v>
      </c>
      <c r="AE814" t="s">
        <v>5304</v>
      </c>
      <c r="AF814" t="s">
        <v>29</v>
      </c>
      <c r="AG814" t="s">
        <v>30</v>
      </c>
      <c r="AH814" t="s">
        <v>31</v>
      </c>
      <c r="AK814" t="s">
        <v>5303</v>
      </c>
      <c r="AL814" t="s">
        <v>1967</v>
      </c>
      <c r="AM814" t="s">
        <v>5296</v>
      </c>
      <c r="AN814" s="8">
        <v>2.27775</v>
      </c>
      <c r="AO814">
        <v>199.694880401046</v>
      </c>
      <c r="AP814">
        <v>1554</v>
      </c>
      <c r="AQ814" s="9">
        <v>0.31631083305894</v>
      </c>
      <c r="AR814" t="s">
        <v>1489</v>
      </c>
      <c r="AT814" s="15" t="s">
        <v>290</v>
      </c>
      <c r="AW814" s="11" t="str">
        <f t="shared" si="87"/>
        <v>EN_WOF_32_c02_PNG</v>
      </c>
      <c r="AX814" s="11">
        <f t="shared" si="88"/>
        <v>1554</v>
      </c>
      <c r="AY814" s="11">
        <f t="shared" si="89"/>
        <v>1554</v>
      </c>
      <c r="AZ814" s="17">
        <v>3</v>
      </c>
      <c r="BA814">
        <f t="shared" si="90"/>
        <v>15.54</v>
      </c>
    </row>
    <row r="815" spans="2:53">
      <c r="B815" t="s">
        <v>26</v>
      </c>
      <c r="C815" t="s">
        <v>5305</v>
      </c>
      <c r="D815" t="s">
        <v>5306</v>
      </c>
      <c r="E815" t="s">
        <v>29</v>
      </c>
      <c r="F815" t="s">
        <v>30</v>
      </c>
      <c r="G815" t="s">
        <v>31</v>
      </c>
      <c r="J815" t="s">
        <v>5305</v>
      </c>
      <c r="K815" t="s">
        <v>1967</v>
      </c>
      <c r="L815" t="s">
        <v>3502</v>
      </c>
      <c r="M815" s="8">
        <v>4.0695</v>
      </c>
      <c r="N815">
        <v>105.747516212372</v>
      </c>
      <c r="O815">
        <v>1805</v>
      </c>
      <c r="P815" s="9">
        <v>0.295605418356063</v>
      </c>
      <c r="Q815" t="s">
        <v>3503</v>
      </c>
      <c r="T815" s="15" t="s">
        <v>69</v>
      </c>
      <c r="W815" s="16" t="str">
        <f t="shared" si="84"/>
        <v>EN_WON_30_c03_FIN</v>
      </c>
      <c r="X815" s="12">
        <f t="shared" si="85"/>
        <v>1805</v>
      </c>
      <c r="Y815" s="11">
        <f t="shared" si="86"/>
        <v>1805</v>
      </c>
      <c r="AC815" t="s">
        <v>26</v>
      </c>
      <c r="AD815" t="s">
        <v>5307</v>
      </c>
      <c r="AE815" t="s">
        <v>5308</v>
      </c>
      <c r="AF815" t="s">
        <v>29</v>
      </c>
      <c r="AG815" t="s">
        <v>30</v>
      </c>
      <c r="AH815" t="s">
        <v>31</v>
      </c>
      <c r="AK815" t="s">
        <v>5307</v>
      </c>
      <c r="AL815" t="s">
        <v>1967</v>
      </c>
      <c r="AM815" t="s">
        <v>5296</v>
      </c>
      <c r="AN815" s="8">
        <v>2.0955</v>
      </c>
      <c r="AO815">
        <v>199.694880401046</v>
      </c>
      <c r="AP815">
        <v>1554</v>
      </c>
      <c r="AQ815" s="9">
        <v>0.338183965640659</v>
      </c>
      <c r="AR815" t="s">
        <v>1489</v>
      </c>
      <c r="AT815" s="15" t="s">
        <v>290</v>
      </c>
      <c r="AW815" s="11" t="str">
        <f t="shared" si="87"/>
        <v>EN_WOF_34_c02_PNG</v>
      </c>
      <c r="AX815" s="11">
        <f t="shared" si="88"/>
        <v>1554</v>
      </c>
      <c r="AY815" s="11">
        <f t="shared" si="89"/>
        <v>1554</v>
      </c>
      <c r="AZ815" s="17">
        <v>3</v>
      </c>
      <c r="BA815">
        <f t="shared" si="90"/>
        <v>15.54</v>
      </c>
    </row>
    <row r="816" spans="2:53">
      <c r="B816" t="s">
        <v>26</v>
      </c>
      <c r="C816" t="s">
        <v>5309</v>
      </c>
      <c r="D816" t="s">
        <v>5310</v>
      </c>
      <c r="E816" t="s">
        <v>29</v>
      </c>
      <c r="F816" t="s">
        <v>30</v>
      </c>
      <c r="G816" t="s">
        <v>31</v>
      </c>
      <c r="J816" t="s">
        <v>5309</v>
      </c>
      <c r="K816" t="s">
        <v>1967</v>
      </c>
      <c r="L816" t="s">
        <v>3502</v>
      </c>
      <c r="M816" s="8">
        <v>1.26</v>
      </c>
      <c r="N816">
        <v>0</v>
      </c>
      <c r="O816">
        <v>1805</v>
      </c>
      <c r="P816" s="9">
        <v>0.307</v>
      </c>
      <c r="Q816" t="s">
        <v>3503</v>
      </c>
      <c r="T816" s="15" t="s">
        <v>69</v>
      </c>
      <c r="W816" s="16" t="str">
        <f t="shared" si="84"/>
        <v>EN_WON_31_c01_FIN</v>
      </c>
      <c r="X816" s="12">
        <f t="shared" si="85"/>
        <v>1805</v>
      </c>
      <c r="Y816" s="11">
        <f t="shared" si="86"/>
        <v>1805</v>
      </c>
      <c r="AC816" t="s">
        <v>26</v>
      </c>
      <c r="AD816" t="s">
        <v>5311</v>
      </c>
      <c r="AE816" t="s">
        <v>5312</v>
      </c>
      <c r="AF816" t="s">
        <v>29</v>
      </c>
      <c r="AG816" t="s">
        <v>30</v>
      </c>
      <c r="AH816" t="s">
        <v>31</v>
      </c>
      <c r="AK816" t="s">
        <v>5311</v>
      </c>
      <c r="AL816" t="s">
        <v>1967</v>
      </c>
      <c r="AM816" t="s">
        <v>5296</v>
      </c>
      <c r="AN816" s="8">
        <v>11.05875</v>
      </c>
      <c r="AO816">
        <v>199.694880401046</v>
      </c>
      <c r="AP816">
        <v>1554</v>
      </c>
      <c r="AQ816" s="9">
        <v>0.349528450322143</v>
      </c>
      <c r="AR816" t="s">
        <v>1489</v>
      </c>
      <c r="AT816" s="15" t="s">
        <v>290</v>
      </c>
      <c r="AW816" s="11" t="str">
        <f t="shared" si="87"/>
        <v>EN_WOF_35_c02_PNG</v>
      </c>
      <c r="AX816" s="11">
        <f t="shared" si="88"/>
        <v>1554</v>
      </c>
      <c r="AY816" s="11">
        <f t="shared" si="89"/>
        <v>1554</v>
      </c>
      <c r="AZ816" s="17">
        <v>3</v>
      </c>
      <c r="BA816">
        <f t="shared" si="90"/>
        <v>15.54</v>
      </c>
    </row>
    <row r="817" spans="2:53">
      <c r="B817" t="s">
        <v>26</v>
      </c>
      <c r="C817" t="s">
        <v>5313</v>
      </c>
      <c r="D817" t="s">
        <v>5314</v>
      </c>
      <c r="E817" t="s">
        <v>29</v>
      </c>
      <c r="F817" t="s">
        <v>30</v>
      </c>
      <c r="G817" t="s">
        <v>31</v>
      </c>
      <c r="J817" t="s">
        <v>5313</v>
      </c>
      <c r="K817" t="s">
        <v>1967</v>
      </c>
      <c r="L817" t="s">
        <v>3502</v>
      </c>
      <c r="M817" s="8">
        <v>2.052</v>
      </c>
      <c r="N817">
        <v>80.7856561622413</v>
      </c>
      <c r="O817">
        <v>1805</v>
      </c>
      <c r="P817" s="9">
        <v>0.314</v>
      </c>
      <c r="Q817" t="s">
        <v>3503</v>
      </c>
      <c r="T817" s="15" t="s">
        <v>69</v>
      </c>
      <c r="W817" s="16" t="str">
        <f t="shared" si="84"/>
        <v>EN_WON_31_c02_FIN</v>
      </c>
      <c r="X817" s="12">
        <f t="shared" si="85"/>
        <v>1805</v>
      </c>
      <c r="Y817" s="11">
        <f t="shared" si="86"/>
        <v>1805</v>
      </c>
      <c r="AC817" t="s">
        <v>26</v>
      </c>
      <c r="AD817" t="s">
        <v>5315</v>
      </c>
      <c r="AE817" t="s">
        <v>5316</v>
      </c>
      <c r="AF817" t="s">
        <v>29</v>
      </c>
      <c r="AG817" t="s">
        <v>30</v>
      </c>
      <c r="AH817" t="s">
        <v>31</v>
      </c>
      <c r="AK817" t="s">
        <v>5315</v>
      </c>
      <c r="AL817" t="s">
        <v>1967</v>
      </c>
      <c r="AM817" t="s">
        <v>5296</v>
      </c>
      <c r="AN817" s="8">
        <v>10.1895</v>
      </c>
      <c r="AO817">
        <v>199.694880401046</v>
      </c>
      <c r="AP817">
        <v>1554</v>
      </c>
      <c r="AQ817" s="9">
        <v>0.381111953481525</v>
      </c>
      <c r="AR817" t="s">
        <v>1489</v>
      </c>
      <c r="AT817" s="15" t="s">
        <v>290</v>
      </c>
      <c r="AW817" s="11" t="str">
        <f t="shared" si="87"/>
        <v>EN_WOF_38_c02_PNG</v>
      </c>
      <c r="AX817" s="11">
        <f t="shared" si="88"/>
        <v>1554</v>
      </c>
      <c r="AY817" s="11">
        <f t="shared" si="89"/>
        <v>1554</v>
      </c>
      <c r="AZ817" s="17">
        <v>3</v>
      </c>
      <c r="BA817">
        <f t="shared" si="90"/>
        <v>15.54</v>
      </c>
    </row>
    <row r="818" spans="2:53">
      <c r="B818" t="s">
        <v>26</v>
      </c>
      <c r="C818" t="s">
        <v>5317</v>
      </c>
      <c r="D818" t="s">
        <v>5318</v>
      </c>
      <c r="E818" t="s">
        <v>29</v>
      </c>
      <c r="F818" t="s">
        <v>30</v>
      </c>
      <c r="G818" t="s">
        <v>31</v>
      </c>
      <c r="J818" t="s">
        <v>5317</v>
      </c>
      <c r="K818" t="s">
        <v>1967</v>
      </c>
      <c r="L818" t="s">
        <v>3502</v>
      </c>
      <c r="M818" s="8">
        <v>0.11775</v>
      </c>
      <c r="N818">
        <v>0</v>
      </c>
      <c r="O818">
        <v>1805</v>
      </c>
      <c r="P818" s="9">
        <v>0.317745222929936</v>
      </c>
      <c r="Q818" t="s">
        <v>3503</v>
      </c>
      <c r="T818" s="15" t="s">
        <v>69</v>
      </c>
      <c r="W818" s="16" t="str">
        <f t="shared" si="84"/>
        <v>EN_WON_32_c01_FIN</v>
      </c>
      <c r="X818" s="12">
        <f t="shared" si="85"/>
        <v>1805</v>
      </c>
      <c r="Y818" s="11">
        <f t="shared" si="86"/>
        <v>1805</v>
      </c>
      <c r="AC818" t="s">
        <v>26</v>
      </c>
      <c r="AD818" t="s">
        <v>5319</v>
      </c>
      <c r="AE818" t="s">
        <v>5320</v>
      </c>
      <c r="AF818" t="s">
        <v>29</v>
      </c>
      <c r="AG818" t="s">
        <v>30</v>
      </c>
      <c r="AH818" t="s">
        <v>31</v>
      </c>
      <c r="AK818" t="s">
        <v>5319</v>
      </c>
      <c r="AL818" t="s">
        <v>1967</v>
      </c>
      <c r="AM818" t="s">
        <v>5296</v>
      </c>
      <c r="AN818" s="8">
        <v>1.20825</v>
      </c>
      <c r="AO818">
        <v>199.694880401046</v>
      </c>
      <c r="AP818">
        <v>1554</v>
      </c>
      <c r="AQ818" s="9">
        <v>0.393950341402855</v>
      </c>
      <c r="AR818" t="s">
        <v>1489</v>
      </c>
      <c r="AT818" s="15" t="s">
        <v>290</v>
      </c>
      <c r="AW818" s="11" t="str">
        <f t="shared" si="87"/>
        <v>EN_WOF_39_c02_PNG</v>
      </c>
      <c r="AX818" s="11">
        <f t="shared" si="88"/>
        <v>1554</v>
      </c>
      <c r="AY818" s="11">
        <f t="shared" si="89"/>
        <v>1554</v>
      </c>
      <c r="AZ818" s="17">
        <v>3</v>
      </c>
      <c r="BA818">
        <f t="shared" si="90"/>
        <v>15.54</v>
      </c>
    </row>
    <row r="819" spans="2:53">
      <c r="B819" t="s">
        <v>26</v>
      </c>
      <c r="C819" t="s">
        <v>5321</v>
      </c>
      <c r="D819" t="s">
        <v>5322</v>
      </c>
      <c r="E819" t="s">
        <v>29</v>
      </c>
      <c r="F819" t="s">
        <v>30</v>
      </c>
      <c r="G819" t="s">
        <v>31</v>
      </c>
      <c r="J819" t="s">
        <v>5321</v>
      </c>
      <c r="K819" t="s">
        <v>1967</v>
      </c>
      <c r="L819" t="s">
        <v>3502</v>
      </c>
      <c r="M819" s="8">
        <v>6.069</v>
      </c>
      <c r="N819">
        <v>0</v>
      </c>
      <c r="O819">
        <v>1805</v>
      </c>
      <c r="P819" s="9">
        <v>0.328527434503213</v>
      </c>
      <c r="Q819" t="s">
        <v>3503</v>
      </c>
      <c r="T819" s="15" t="s">
        <v>69</v>
      </c>
      <c r="W819" s="16" t="str">
        <f t="shared" si="84"/>
        <v>EN_WON_33_c01_FIN</v>
      </c>
      <c r="X819" s="12">
        <f t="shared" si="85"/>
        <v>1805</v>
      </c>
      <c r="Y819" s="11">
        <f t="shared" si="86"/>
        <v>1805</v>
      </c>
      <c r="AC819" t="s">
        <v>26</v>
      </c>
      <c r="AD819" t="s">
        <v>5323</v>
      </c>
      <c r="AE819" t="s">
        <v>5324</v>
      </c>
      <c r="AF819" t="s">
        <v>29</v>
      </c>
      <c r="AG819" t="s">
        <v>30</v>
      </c>
      <c r="AH819" t="s">
        <v>31</v>
      </c>
      <c r="AK819" t="s">
        <v>5323</v>
      </c>
      <c r="AL819" t="s">
        <v>1967</v>
      </c>
      <c r="AM819" t="s">
        <v>5296</v>
      </c>
      <c r="AN819" s="8">
        <v>1.9725</v>
      </c>
      <c r="AO819">
        <v>199.694880401046</v>
      </c>
      <c r="AP819">
        <v>1554</v>
      </c>
      <c r="AQ819" s="9">
        <v>0.39925247148289</v>
      </c>
      <c r="AR819" t="s">
        <v>1489</v>
      </c>
      <c r="AT819" s="15" t="s">
        <v>290</v>
      </c>
      <c r="AW819" s="11" t="str">
        <f t="shared" si="87"/>
        <v>EN_WOF_40_c02_PNG</v>
      </c>
      <c r="AX819" s="11">
        <f t="shared" si="88"/>
        <v>1554</v>
      </c>
      <c r="AY819" s="11">
        <f t="shared" si="89"/>
        <v>1554</v>
      </c>
      <c r="AZ819" s="17">
        <v>3</v>
      </c>
      <c r="BA819">
        <f t="shared" si="90"/>
        <v>15.54</v>
      </c>
    </row>
    <row r="820" spans="2:53">
      <c r="B820" t="s">
        <v>26</v>
      </c>
      <c r="C820" t="s">
        <v>5325</v>
      </c>
      <c r="D820" t="s">
        <v>5326</v>
      </c>
      <c r="E820" t="s">
        <v>29</v>
      </c>
      <c r="F820" t="s">
        <v>30</v>
      </c>
      <c r="G820" t="s">
        <v>31</v>
      </c>
      <c r="J820" t="s">
        <v>5325</v>
      </c>
      <c r="K820" t="s">
        <v>1967</v>
      </c>
      <c r="L820" t="s">
        <v>3502</v>
      </c>
      <c r="M820" s="8">
        <v>2.51925</v>
      </c>
      <c r="N820">
        <v>80.7856561622413</v>
      </c>
      <c r="O820">
        <v>1805</v>
      </c>
      <c r="P820" s="9">
        <v>0.332</v>
      </c>
      <c r="Q820" t="s">
        <v>3503</v>
      </c>
      <c r="T820" s="15" t="s">
        <v>69</v>
      </c>
      <c r="W820" s="16" t="str">
        <f t="shared" si="84"/>
        <v>EN_WON_33_c02_FIN</v>
      </c>
      <c r="X820" s="12">
        <f t="shared" si="85"/>
        <v>1805</v>
      </c>
      <c r="Y820" s="11">
        <f t="shared" si="86"/>
        <v>1805</v>
      </c>
      <c r="AC820" t="s">
        <v>26</v>
      </c>
      <c r="AD820" t="s">
        <v>5327</v>
      </c>
      <c r="AE820" t="s">
        <v>5328</v>
      </c>
      <c r="AF820" t="s">
        <v>29</v>
      </c>
      <c r="AG820" t="s">
        <v>30</v>
      </c>
      <c r="AH820" t="s">
        <v>31</v>
      </c>
      <c r="AK820" t="s">
        <v>5327</v>
      </c>
      <c r="AL820" t="s">
        <v>1967</v>
      </c>
      <c r="AM820" t="s">
        <v>5296</v>
      </c>
      <c r="AN820" s="8">
        <v>2.253</v>
      </c>
      <c r="AO820">
        <v>199.694880401046</v>
      </c>
      <c r="AP820">
        <v>1554</v>
      </c>
      <c r="AQ820" s="9">
        <v>0.408853195739015</v>
      </c>
      <c r="AR820" t="s">
        <v>1489</v>
      </c>
      <c r="AT820" s="15" t="s">
        <v>290</v>
      </c>
      <c r="AW820" s="11" t="str">
        <f t="shared" si="87"/>
        <v>EN_WOF_41_c02_PNG</v>
      </c>
      <c r="AX820" s="11">
        <f t="shared" si="88"/>
        <v>1554</v>
      </c>
      <c r="AY820" s="11">
        <f t="shared" si="89"/>
        <v>1554</v>
      </c>
      <c r="AZ820" s="17">
        <v>3</v>
      </c>
      <c r="BA820">
        <f t="shared" si="90"/>
        <v>15.54</v>
      </c>
    </row>
    <row r="821" spans="2:53">
      <c r="B821" t="s">
        <v>26</v>
      </c>
      <c r="C821" t="s">
        <v>5329</v>
      </c>
      <c r="D821" t="s">
        <v>5330</v>
      </c>
      <c r="E821" t="s">
        <v>29</v>
      </c>
      <c r="F821" t="s">
        <v>30</v>
      </c>
      <c r="G821" t="s">
        <v>31</v>
      </c>
      <c r="J821" t="s">
        <v>5329</v>
      </c>
      <c r="K821" t="s">
        <v>1967</v>
      </c>
      <c r="L821" t="s">
        <v>3502</v>
      </c>
      <c r="M821" s="8">
        <v>0.2955</v>
      </c>
      <c r="N821">
        <v>105.747516212372</v>
      </c>
      <c r="O821">
        <v>1805</v>
      </c>
      <c r="P821" s="9">
        <v>0.332</v>
      </c>
      <c r="Q821" t="s">
        <v>3503</v>
      </c>
      <c r="T821" s="15" t="s">
        <v>69</v>
      </c>
      <c r="W821" s="16" t="str">
        <f t="shared" si="84"/>
        <v>EN_WON_33_c03_FIN</v>
      </c>
      <c r="X821" s="12">
        <f t="shared" si="85"/>
        <v>1805</v>
      </c>
      <c r="Y821" s="11">
        <f t="shared" si="86"/>
        <v>1805</v>
      </c>
      <c r="AC821" t="s">
        <v>26</v>
      </c>
      <c r="AD821" t="s">
        <v>5331</v>
      </c>
      <c r="AE821" t="s">
        <v>5332</v>
      </c>
      <c r="AF821" t="s">
        <v>29</v>
      </c>
      <c r="AG821" t="s">
        <v>30</v>
      </c>
      <c r="AH821" t="s">
        <v>31</v>
      </c>
      <c r="AK821" t="s">
        <v>5331</v>
      </c>
      <c r="AL821" t="s">
        <v>1967</v>
      </c>
      <c r="AM821" t="s">
        <v>5296</v>
      </c>
      <c r="AN821" s="8">
        <v>1.75425</v>
      </c>
      <c r="AO821">
        <v>199.694880401046</v>
      </c>
      <c r="AP821">
        <v>1554</v>
      </c>
      <c r="AQ821" s="9">
        <v>0.422117144078666</v>
      </c>
      <c r="AR821" t="s">
        <v>1489</v>
      </c>
      <c r="AT821" s="15" t="s">
        <v>290</v>
      </c>
      <c r="AW821" s="11" t="str">
        <f t="shared" si="87"/>
        <v>EN_WOF_42_c02_PNG</v>
      </c>
      <c r="AX821" s="11">
        <f t="shared" si="88"/>
        <v>1554</v>
      </c>
      <c r="AY821" s="11">
        <f t="shared" si="89"/>
        <v>1554</v>
      </c>
      <c r="AZ821" s="17">
        <v>3</v>
      </c>
      <c r="BA821">
        <f t="shared" si="90"/>
        <v>15.54</v>
      </c>
    </row>
    <row r="822" spans="2:53">
      <c r="B822" t="s">
        <v>26</v>
      </c>
      <c r="C822" t="s">
        <v>5333</v>
      </c>
      <c r="D822" t="s">
        <v>5334</v>
      </c>
      <c r="E822" t="s">
        <v>29</v>
      </c>
      <c r="F822" t="s">
        <v>30</v>
      </c>
      <c r="G822" t="s">
        <v>31</v>
      </c>
      <c r="J822" t="s">
        <v>5333</v>
      </c>
      <c r="K822" t="s">
        <v>1967</v>
      </c>
      <c r="L822" t="s">
        <v>3502</v>
      </c>
      <c r="M822" s="8">
        <v>3.27525</v>
      </c>
      <c r="N822">
        <v>105.747516212372</v>
      </c>
      <c r="O822">
        <v>1805</v>
      </c>
      <c r="P822" s="9">
        <v>0.335</v>
      </c>
      <c r="Q822" t="s">
        <v>3503</v>
      </c>
      <c r="T822" s="15" t="s">
        <v>69</v>
      </c>
      <c r="W822" s="16" t="str">
        <f t="shared" si="84"/>
        <v>EN_WON_34_c03_FIN</v>
      </c>
      <c r="X822" s="12">
        <f t="shared" si="85"/>
        <v>1805</v>
      </c>
      <c r="Y822" s="11">
        <f t="shared" si="86"/>
        <v>1805</v>
      </c>
      <c r="AC822" t="s">
        <v>26</v>
      </c>
      <c r="AD822" t="s">
        <v>5335</v>
      </c>
      <c r="AE822" t="s">
        <v>5336</v>
      </c>
      <c r="AF822" t="s">
        <v>29</v>
      </c>
      <c r="AG822" t="s">
        <v>30</v>
      </c>
      <c r="AH822" t="s">
        <v>31</v>
      </c>
      <c r="AK822" t="s">
        <v>5335</v>
      </c>
      <c r="AL822" t="s">
        <v>1967</v>
      </c>
      <c r="AM822" t="s">
        <v>5296</v>
      </c>
      <c r="AN822" s="8">
        <v>1.45425</v>
      </c>
      <c r="AO822">
        <v>199.694880401046</v>
      </c>
      <c r="AP822">
        <v>1554</v>
      </c>
      <c r="AQ822" s="9">
        <v>0.46</v>
      </c>
      <c r="AR822" t="s">
        <v>1489</v>
      </c>
      <c r="AT822" s="15" t="s">
        <v>290</v>
      </c>
      <c r="AW822" s="11" t="str">
        <f t="shared" si="87"/>
        <v>EN_WOF_46_c02_PNG</v>
      </c>
      <c r="AX822" s="11">
        <f t="shared" si="88"/>
        <v>1554</v>
      </c>
      <c r="AY822" s="11">
        <f t="shared" si="89"/>
        <v>1554</v>
      </c>
      <c r="AZ822" s="17">
        <v>3</v>
      </c>
      <c r="BA822">
        <f t="shared" si="90"/>
        <v>15.54</v>
      </c>
    </row>
    <row r="823" spans="2:53">
      <c r="B823" t="s">
        <v>26</v>
      </c>
      <c r="C823" t="s">
        <v>5337</v>
      </c>
      <c r="D823" t="s">
        <v>5338</v>
      </c>
      <c r="E823" t="s">
        <v>29</v>
      </c>
      <c r="F823" t="s">
        <v>30</v>
      </c>
      <c r="G823" t="s">
        <v>31</v>
      </c>
      <c r="J823" t="s">
        <v>5337</v>
      </c>
      <c r="K823" t="s">
        <v>1967</v>
      </c>
      <c r="L823" t="s">
        <v>3502</v>
      </c>
      <c r="M823" s="8">
        <v>2.55</v>
      </c>
      <c r="N823">
        <v>0</v>
      </c>
      <c r="O823">
        <v>1805</v>
      </c>
      <c r="P823" s="9">
        <v>0.353</v>
      </c>
      <c r="Q823" t="s">
        <v>3503</v>
      </c>
      <c r="T823" s="15" t="s">
        <v>69</v>
      </c>
      <c r="W823" s="16" t="str">
        <f t="shared" si="84"/>
        <v>EN_WON_35_c01_FIN</v>
      </c>
      <c r="X823" s="12">
        <f t="shared" si="85"/>
        <v>1805</v>
      </c>
      <c r="Y823" s="11">
        <f t="shared" si="86"/>
        <v>1805</v>
      </c>
      <c r="AC823" t="s">
        <v>26</v>
      </c>
      <c r="AD823" t="s">
        <v>5339</v>
      </c>
      <c r="AE823" t="s">
        <v>5340</v>
      </c>
      <c r="AF823" t="s">
        <v>29</v>
      </c>
      <c r="AG823" t="s">
        <v>30</v>
      </c>
      <c r="AH823" t="s">
        <v>31</v>
      </c>
      <c r="AK823" t="s">
        <v>5339</v>
      </c>
      <c r="AL823" t="s">
        <v>1967</v>
      </c>
      <c r="AM823" t="s">
        <v>5341</v>
      </c>
      <c r="AN823" s="8">
        <v>0.534</v>
      </c>
      <c r="AO823">
        <v>199.694880401046</v>
      </c>
      <c r="AP823">
        <v>1827</v>
      </c>
      <c r="AQ823" s="9">
        <v>0.447</v>
      </c>
      <c r="AR823" t="s">
        <v>1515</v>
      </c>
      <c r="AT823" s="15" t="s">
        <v>69</v>
      </c>
      <c r="AW823" s="11" t="str">
        <f t="shared" si="87"/>
        <v>EN_WOF_45_c02_POL</v>
      </c>
      <c r="AX823" s="11">
        <f t="shared" si="88"/>
        <v>1827</v>
      </c>
      <c r="AY823" s="11">
        <f t="shared" si="89"/>
        <v>1827</v>
      </c>
      <c r="AZ823" s="17">
        <v>3</v>
      </c>
      <c r="BA823">
        <f t="shared" si="90"/>
        <v>18.27</v>
      </c>
    </row>
    <row r="824" spans="2:53">
      <c r="B824" t="s">
        <v>26</v>
      </c>
      <c r="C824" t="s">
        <v>5342</v>
      </c>
      <c r="D824" t="s">
        <v>5343</v>
      </c>
      <c r="E824" t="s">
        <v>29</v>
      </c>
      <c r="F824" t="s">
        <v>30</v>
      </c>
      <c r="G824" t="s">
        <v>31</v>
      </c>
      <c r="J824" t="s">
        <v>5342</v>
      </c>
      <c r="K824" t="s">
        <v>1967</v>
      </c>
      <c r="L824" t="s">
        <v>3502</v>
      </c>
      <c r="M824" s="8">
        <v>3.16575</v>
      </c>
      <c r="N824">
        <v>80.7856561622413</v>
      </c>
      <c r="O824">
        <v>1805</v>
      </c>
      <c r="P824" s="9">
        <v>0.352</v>
      </c>
      <c r="Q824" t="s">
        <v>3503</v>
      </c>
      <c r="T824" s="15" t="s">
        <v>69</v>
      </c>
      <c r="W824" s="16" t="str">
        <f t="shared" si="84"/>
        <v>EN_WON_35_c02_FIN</v>
      </c>
      <c r="X824" s="12">
        <f t="shared" si="85"/>
        <v>1805</v>
      </c>
      <c r="Y824" s="11">
        <f t="shared" si="86"/>
        <v>1805</v>
      </c>
      <c r="AC824" t="s">
        <v>26</v>
      </c>
      <c r="AD824" t="s">
        <v>5344</v>
      </c>
      <c r="AE824" t="s">
        <v>5345</v>
      </c>
      <c r="AF824" t="s">
        <v>29</v>
      </c>
      <c r="AG824" t="s">
        <v>30</v>
      </c>
      <c r="AH824" t="s">
        <v>31</v>
      </c>
      <c r="AK824" t="s">
        <v>5344</v>
      </c>
      <c r="AL824" t="s">
        <v>1967</v>
      </c>
      <c r="AM824" t="s">
        <v>5341</v>
      </c>
      <c r="AN824" s="8">
        <v>11.2965</v>
      </c>
      <c r="AO824">
        <v>199.694880401046</v>
      </c>
      <c r="AP824">
        <v>1827</v>
      </c>
      <c r="AQ824" s="9">
        <v>0.462573695392378</v>
      </c>
      <c r="AR824" t="s">
        <v>1515</v>
      </c>
      <c r="AT824" s="15" t="s">
        <v>69</v>
      </c>
      <c r="AW824" s="11" t="str">
        <f t="shared" si="87"/>
        <v>EN_WOF_46_c02_POL</v>
      </c>
      <c r="AX824" s="11">
        <f t="shared" si="88"/>
        <v>1827</v>
      </c>
      <c r="AY824" s="11">
        <f t="shared" si="89"/>
        <v>1827</v>
      </c>
      <c r="AZ824" s="17">
        <v>3</v>
      </c>
      <c r="BA824">
        <f t="shared" si="90"/>
        <v>18.27</v>
      </c>
    </row>
    <row r="825" spans="2:53">
      <c r="B825" t="s">
        <v>26</v>
      </c>
      <c r="C825" t="s">
        <v>5346</v>
      </c>
      <c r="D825" t="s">
        <v>5347</v>
      </c>
      <c r="E825" t="s">
        <v>29</v>
      </c>
      <c r="F825" t="s">
        <v>30</v>
      </c>
      <c r="G825" t="s">
        <v>31</v>
      </c>
      <c r="J825" t="s">
        <v>5346</v>
      </c>
      <c r="K825" t="s">
        <v>1967</v>
      </c>
      <c r="L825" t="s">
        <v>3502</v>
      </c>
      <c r="M825" s="8">
        <v>0.8865</v>
      </c>
      <c r="N825">
        <v>145.23264029167</v>
      </c>
      <c r="O825">
        <v>1805</v>
      </c>
      <c r="P825" s="9">
        <v>0.346</v>
      </c>
      <c r="Q825" t="s">
        <v>3503</v>
      </c>
      <c r="T825" s="15" t="s">
        <v>69</v>
      </c>
      <c r="W825" s="16" t="str">
        <f t="shared" si="84"/>
        <v>EN_WON_35_c04_FIN</v>
      </c>
      <c r="X825" s="12">
        <f t="shared" si="85"/>
        <v>1805</v>
      </c>
      <c r="Y825" s="11">
        <f t="shared" si="86"/>
        <v>1805</v>
      </c>
      <c r="AC825" t="s">
        <v>26</v>
      </c>
      <c r="AD825" t="s">
        <v>5348</v>
      </c>
      <c r="AE825" t="s">
        <v>5349</v>
      </c>
      <c r="AF825" t="s">
        <v>29</v>
      </c>
      <c r="AG825" t="s">
        <v>30</v>
      </c>
      <c r="AH825" t="s">
        <v>31</v>
      </c>
      <c r="AK825" t="s">
        <v>5348</v>
      </c>
      <c r="AL825" t="s">
        <v>1967</v>
      </c>
      <c r="AM825" t="s">
        <v>5341</v>
      </c>
      <c r="AN825" s="8">
        <v>8.40675</v>
      </c>
      <c r="AO825">
        <v>199.694880401046</v>
      </c>
      <c r="AP825">
        <v>1827</v>
      </c>
      <c r="AQ825" s="9">
        <v>0.479</v>
      </c>
      <c r="AR825" t="s">
        <v>1515</v>
      </c>
      <c r="AT825" s="15" t="s">
        <v>69</v>
      </c>
      <c r="AW825" s="11" t="str">
        <f t="shared" si="87"/>
        <v>EN_WOF_48_c02_POL</v>
      </c>
      <c r="AX825" s="11">
        <f t="shared" si="88"/>
        <v>1827</v>
      </c>
      <c r="AY825" s="11">
        <f t="shared" si="89"/>
        <v>1827</v>
      </c>
      <c r="AZ825" s="17">
        <v>3</v>
      </c>
      <c r="BA825">
        <f t="shared" si="90"/>
        <v>18.27</v>
      </c>
    </row>
    <row r="826" spans="2:53">
      <c r="B826" t="s">
        <v>26</v>
      </c>
      <c r="C826" t="s">
        <v>5350</v>
      </c>
      <c r="D826" t="s">
        <v>5351</v>
      </c>
      <c r="E826" t="s">
        <v>29</v>
      </c>
      <c r="F826" t="s">
        <v>30</v>
      </c>
      <c r="G826" t="s">
        <v>31</v>
      </c>
      <c r="J826" t="s">
        <v>5350</v>
      </c>
      <c r="K826" t="s">
        <v>1967</v>
      </c>
      <c r="L826" t="s">
        <v>3502</v>
      </c>
      <c r="M826" s="8">
        <v>3.15225</v>
      </c>
      <c r="N826">
        <v>0</v>
      </c>
      <c r="O826">
        <v>1805</v>
      </c>
      <c r="P826" s="9">
        <v>0.359299072091363</v>
      </c>
      <c r="Q826" t="s">
        <v>3503</v>
      </c>
      <c r="T826" s="15" t="s">
        <v>69</v>
      </c>
      <c r="W826" s="16" t="str">
        <f t="shared" si="84"/>
        <v>EN_WON_36_c01_FIN</v>
      </c>
      <c r="X826" s="12">
        <f t="shared" si="85"/>
        <v>1805</v>
      </c>
      <c r="Y826" s="11">
        <f t="shared" si="86"/>
        <v>1805</v>
      </c>
      <c r="AC826" t="s">
        <v>26</v>
      </c>
      <c r="AD826" t="s">
        <v>5352</v>
      </c>
      <c r="AE826" t="s">
        <v>5353</v>
      </c>
      <c r="AF826" t="s">
        <v>29</v>
      </c>
      <c r="AG826" t="s">
        <v>30</v>
      </c>
      <c r="AH826" t="s">
        <v>31</v>
      </c>
      <c r="AK826" t="s">
        <v>5352</v>
      </c>
      <c r="AL826" t="s">
        <v>1967</v>
      </c>
      <c r="AM826" t="s">
        <v>5341</v>
      </c>
      <c r="AN826" s="8">
        <v>47.244</v>
      </c>
      <c r="AO826">
        <v>199.694880401046</v>
      </c>
      <c r="AP826">
        <v>1827</v>
      </c>
      <c r="AQ826" s="9">
        <v>0.489701295402591</v>
      </c>
      <c r="AR826" t="s">
        <v>1515</v>
      </c>
      <c r="AT826" s="15" t="s">
        <v>69</v>
      </c>
      <c r="AW826" s="11" t="str">
        <f t="shared" si="87"/>
        <v>EN_WOF_49_c02_POL</v>
      </c>
      <c r="AX826" s="11">
        <f t="shared" si="88"/>
        <v>1827</v>
      </c>
      <c r="AY826" s="11">
        <f t="shared" si="89"/>
        <v>1827</v>
      </c>
      <c r="AZ826" s="17">
        <v>3</v>
      </c>
      <c r="BA826">
        <f t="shared" si="90"/>
        <v>18.27</v>
      </c>
    </row>
    <row r="827" spans="2:53">
      <c r="B827" t="s">
        <v>26</v>
      </c>
      <c r="C827" t="s">
        <v>5354</v>
      </c>
      <c r="D827" t="s">
        <v>5355</v>
      </c>
      <c r="E827" t="s">
        <v>29</v>
      </c>
      <c r="F827" t="s">
        <v>30</v>
      </c>
      <c r="G827" t="s">
        <v>31</v>
      </c>
      <c r="J827" t="s">
        <v>5354</v>
      </c>
      <c r="K827" t="s">
        <v>1967</v>
      </c>
      <c r="L827" t="s">
        <v>3502</v>
      </c>
      <c r="M827" s="8">
        <v>8.079</v>
      </c>
      <c r="N827">
        <v>80.7856561622413</v>
      </c>
      <c r="O827">
        <v>1805</v>
      </c>
      <c r="P827" s="9">
        <v>0.356344597103602</v>
      </c>
      <c r="Q827" t="s">
        <v>3503</v>
      </c>
      <c r="T827" s="15" t="s">
        <v>69</v>
      </c>
      <c r="W827" s="16" t="str">
        <f t="shared" si="84"/>
        <v>EN_WON_36_c02_FIN</v>
      </c>
      <c r="X827" s="12">
        <f t="shared" si="85"/>
        <v>1805</v>
      </c>
      <c r="Y827" s="11">
        <f t="shared" si="86"/>
        <v>1805</v>
      </c>
      <c r="AC827" t="s">
        <v>26</v>
      </c>
      <c r="AD827" t="s">
        <v>5356</v>
      </c>
      <c r="AE827" t="s">
        <v>5357</v>
      </c>
      <c r="AF827" t="s">
        <v>29</v>
      </c>
      <c r="AG827" t="s">
        <v>30</v>
      </c>
      <c r="AH827" t="s">
        <v>31</v>
      </c>
      <c r="AK827" t="s">
        <v>5356</v>
      </c>
      <c r="AL827" t="s">
        <v>1967</v>
      </c>
      <c r="AM827" t="s">
        <v>5341</v>
      </c>
      <c r="AN827" s="8">
        <v>22.05375</v>
      </c>
      <c r="AO827">
        <v>199.694880401046</v>
      </c>
      <c r="AP827">
        <v>1827</v>
      </c>
      <c r="AQ827" s="9">
        <v>0.496689644618262</v>
      </c>
      <c r="AR827" t="s">
        <v>1515</v>
      </c>
      <c r="AT827" s="15" t="s">
        <v>69</v>
      </c>
      <c r="AW827" s="11" t="str">
        <f t="shared" si="87"/>
        <v>EN_WOF_50_c02_POL</v>
      </c>
      <c r="AX827" s="11">
        <f t="shared" si="88"/>
        <v>1827</v>
      </c>
      <c r="AY827" s="11">
        <f t="shared" si="89"/>
        <v>1827</v>
      </c>
      <c r="AZ827" s="17">
        <v>3</v>
      </c>
      <c r="BA827">
        <f t="shared" si="90"/>
        <v>18.27</v>
      </c>
    </row>
    <row r="828" spans="2:53">
      <c r="B828" t="s">
        <v>26</v>
      </c>
      <c r="C828" t="s">
        <v>5358</v>
      </c>
      <c r="D828" t="s">
        <v>5359</v>
      </c>
      <c r="E828" t="s">
        <v>29</v>
      </c>
      <c r="F828" t="s">
        <v>30</v>
      </c>
      <c r="G828" t="s">
        <v>31</v>
      </c>
      <c r="J828" t="s">
        <v>5358</v>
      </c>
      <c r="K828" t="s">
        <v>1967</v>
      </c>
      <c r="L828" t="s">
        <v>3502</v>
      </c>
      <c r="M828" s="8">
        <v>0.006</v>
      </c>
      <c r="N828">
        <v>0</v>
      </c>
      <c r="O828">
        <v>1805</v>
      </c>
      <c r="P828" s="9">
        <v>0.369</v>
      </c>
      <c r="Q828" t="s">
        <v>3503</v>
      </c>
      <c r="T828" s="15" t="s">
        <v>69</v>
      </c>
      <c r="W828" s="16" t="str">
        <f t="shared" si="84"/>
        <v>EN_WON_37_c01_FIN</v>
      </c>
      <c r="X828" s="12">
        <f t="shared" si="85"/>
        <v>1805</v>
      </c>
      <c r="Y828" s="11">
        <f t="shared" si="86"/>
        <v>1805</v>
      </c>
      <c r="AC828" t="s">
        <v>26</v>
      </c>
      <c r="AD828" t="s">
        <v>5360</v>
      </c>
      <c r="AE828" t="s">
        <v>5361</v>
      </c>
      <c r="AF828" t="s">
        <v>29</v>
      </c>
      <c r="AG828" t="s">
        <v>30</v>
      </c>
      <c r="AH828" t="s">
        <v>31</v>
      </c>
      <c r="AK828" t="s">
        <v>5360</v>
      </c>
      <c r="AL828" t="s">
        <v>1967</v>
      </c>
      <c r="AM828" t="s">
        <v>5362</v>
      </c>
      <c r="AN828" s="8">
        <v>1.33875</v>
      </c>
      <c r="AO828">
        <v>45.3852000911468</v>
      </c>
      <c r="AP828">
        <v>2239</v>
      </c>
      <c r="AQ828" s="9">
        <v>0.321115966386555</v>
      </c>
      <c r="AR828" t="s">
        <v>1523</v>
      </c>
      <c r="AT828" s="15" t="s">
        <v>290</v>
      </c>
      <c r="AW828" s="11" t="str">
        <f t="shared" si="87"/>
        <v>EN_WOF_32_c01_PRK</v>
      </c>
      <c r="AX828" s="11">
        <f t="shared" si="88"/>
        <v>2239</v>
      </c>
      <c r="AY828" s="11">
        <f t="shared" si="89"/>
        <v>2239</v>
      </c>
      <c r="AZ828" s="17">
        <v>3</v>
      </c>
      <c r="BA828">
        <f t="shared" si="90"/>
        <v>22.39</v>
      </c>
    </row>
    <row r="829" spans="2:53">
      <c r="B829" t="s">
        <v>26</v>
      </c>
      <c r="C829" t="s">
        <v>5363</v>
      </c>
      <c r="D829" t="s">
        <v>5364</v>
      </c>
      <c r="E829" t="s">
        <v>29</v>
      </c>
      <c r="F829" t="s">
        <v>30</v>
      </c>
      <c r="G829" t="s">
        <v>31</v>
      </c>
      <c r="J829" t="s">
        <v>5363</v>
      </c>
      <c r="K829" t="s">
        <v>1967</v>
      </c>
      <c r="L829" t="s">
        <v>3502</v>
      </c>
      <c r="M829" s="8">
        <v>7.07325</v>
      </c>
      <c r="N829">
        <v>0</v>
      </c>
      <c r="O829">
        <v>1805</v>
      </c>
      <c r="P829" s="9">
        <v>0.388290213126922</v>
      </c>
      <c r="Q829" t="s">
        <v>3503</v>
      </c>
      <c r="T829" s="15" t="s">
        <v>69</v>
      </c>
      <c r="W829" s="16" t="str">
        <f t="shared" si="84"/>
        <v>EN_WON_39_c01_FIN</v>
      </c>
      <c r="X829" s="12">
        <f t="shared" si="85"/>
        <v>1805</v>
      </c>
      <c r="Y829" s="11">
        <f t="shared" si="86"/>
        <v>1805</v>
      </c>
      <c r="AC829" t="s">
        <v>26</v>
      </c>
      <c r="AD829" t="s">
        <v>5365</v>
      </c>
      <c r="AE829" t="s">
        <v>5366</v>
      </c>
      <c r="AF829" t="s">
        <v>29</v>
      </c>
      <c r="AG829" t="s">
        <v>30</v>
      </c>
      <c r="AH829" t="s">
        <v>31</v>
      </c>
      <c r="AK829" t="s">
        <v>5365</v>
      </c>
      <c r="AL829" t="s">
        <v>1967</v>
      </c>
      <c r="AM829" t="s">
        <v>5362</v>
      </c>
      <c r="AN829" s="8">
        <v>4.0815</v>
      </c>
      <c r="AO829">
        <v>45.3852000911468</v>
      </c>
      <c r="AP829">
        <v>2239</v>
      </c>
      <c r="AQ829" s="9">
        <v>0.327339029768467</v>
      </c>
      <c r="AR829" t="s">
        <v>1523</v>
      </c>
      <c r="AT829" s="15" t="s">
        <v>290</v>
      </c>
      <c r="AW829" s="11" t="str">
        <f t="shared" si="87"/>
        <v>EN_WOF_33_c01_PRK</v>
      </c>
      <c r="AX829" s="11">
        <f t="shared" si="88"/>
        <v>2239</v>
      </c>
      <c r="AY829" s="11">
        <f t="shared" si="89"/>
        <v>2239</v>
      </c>
      <c r="AZ829" s="17">
        <v>3</v>
      </c>
      <c r="BA829">
        <f t="shared" si="90"/>
        <v>22.39</v>
      </c>
    </row>
    <row r="830" spans="2:53">
      <c r="B830" t="s">
        <v>26</v>
      </c>
      <c r="C830" t="s">
        <v>5367</v>
      </c>
      <c r="D830" t="s">
        <v>5368</v>
      </c>
      <c r="E830" t="s">
        <v>29</v>
      </c>
      <c r="F830" t="s">
        <v>30</v>
      </c>
      <c r="G830" t="s">
        <v>31</v>
      </c>
      <c r="J830" t="s">
        <v>5367</v>
      </c>
      <c r="K830" t="s">
        <v>1967</v>
      </c>
      <c r="L830" t="s">
        <v>3502</v>
      </c>
      <c r="M830" s="8">
        <v>4.38075</v>
      </c>
      <c r="N830">
        <v>80.7856561622413</v>
      </c>
      <c r="O830">
        <v>1805</v>
      </c>
      <c r="P830" s="9">
        <v>0.38989077212806</v>
      </c>
      <c r="Q830" t="s">
        <v>3503</v>
      </c>
      <c r="T830" s="15" t="s">
        <v>69</v>
      </c>
      <c r="W830" s="16" t="str">
        <f t="shared" si="84"/>
        <v>EN_WON_39_c02_FIN</v>
      </c>
      <c r="X830" s="12">
        <f t="shared" si="85"/>
        <v>1805</v>
      </c>
      <c r="Y830" s="11">
        <f t="shared" si="86"/>
        <v>1805</v>
      </c>
      <c r="AC830" t="s">
        <v>26</v>
      </c>
      <c r="AD830" t="s">
        <v>5369</v>
      </c>
      <c r="AE830" t="s">
        <v>5370</v>
      </c>
      <c r="AF830" t="s">
        <v>29</v>
      </c>
      <c r="AG830" t="s">
        <v>30</v>
      </c>
      <c r="AH830" t="s">
        <v>31</v>
      </c>
      <c r="AK830" t="s">
        <v>5369</v>
      </c>
      <c r="AL830" t="s">
        <v>1967</v>
      </c>
      <c r="AM830" t="s">
        <v>5362</v>
      </c>
      <c r="AN830" s="8">
        <v>6.966</v>
      </c>
      <c r="AO830">
        <v>199.694880401046</v>
      </c>
      <c r="AP830">
        <v>2239</v>
      </c>
      <c r="AQ830" s="9">
        <v>0.33</v>
      </c>
      <c r="AR830" t="s">
        <v>1523</v>
      </c>
      <c r="AT830" s="15" t="s">
        <v>290</v>
      </c>
      <c r="AW830" s="11" t="str">
        <f t="shared" si="87"/>
        <v>EN_WOF_33_c02_PRK</v>
      </c>
      <c r="AX830" s="11">
        <f t="shared" si="88"/>
        <v>2239</v>
      </c>
      <c r="AY830" s="11">
        <f t="shared" si="89"/>
        <v>2239</v>
      </c>
      <c r="AZ830" s="17">
        <v>3</v>
      </c>
      <c r="BA830">
        <f t="shared" si="90"/>
        <v>22.39</v>
      </c>
    </row>
    <row r="831" spans="2:53">
      <c r="B831" t="s">
        <v>26</v>
      </c>
      <c r="C831" t="s">
        <v>5371</v>
      </c>
      <c r="D831" t="s">
        <v>5372</v>
      </c>
      <c r="E831" t="s">
        <v>29</v>
      </c>
      <c r="F831" t="s">
        <v>30</v>
      </c>
      <c r="G831" t="s">
        <v>31</v>
      </c>
      <c r="J831" t="s">
        <v>5371</v>
      </c>
      <c r="K831" t="s">
        <v>1967</v>
      </c>
      <c r="L831" t="s">
        <v>3532</v>
      </c>
      <c r="M831" s="8">
        <v>101.34825</v>
      </c>
      <c r="N831">
        <v>0</v>
      </c>
      <c r="O831">
        <v>1765</v>
      </c>
      <c r="P831" s="9">
        <v>0.348403837757435</v>
      </c>
      <c r="Q831" t="s">
        <v>700</v>
      </c>
      <c r="T831" s="15" t="s">
        <v>69</v>
      </c>
      <c r="W831" s="16" t="str">
        <f t="shared" si="84"/>
        <v>EN_WON_35_c01_FRA</v>
      </c>
      <c r="X831" s="12">
        <f t="shared" si="85"/>
        <v>1765</v>
      </c>
      <c r="Y831" s="11">
        <f t="shared" si="86"/>
        <v>1765</v>
      </c>
      <c r="AC831" t="s">
        <v>26</v>
      </c>
      <c r="AD831" t="s">
        <v>5373</v>
      </c>
      <c r="AE831" t="s">
        <v>5374</v>
      </c>
      <c r="AF831" t="s">
        <v>29</v>
      </c>
      <c r="AG831" t="s">
        <v>30</v>
      </c>
      <c r="AH831" t="s">
        <v>31</v>
      </c>
      <c r="AK831" t="s">
        <v>5373</v>
      </c>
      <c r="AL831" t="s">
        <v>1967</v>
      </c>
      <c r="AM831" t="s">
        <v>5362</v>
      </c>
      <c r="AN831" s="8">
        <v>3.62475</v>
      </c>
      <c r="AO831">
        <v>45.3852000911468</v>
      </c>
      <c r="AP831">
        <v>2239</v>
      </c>
      <c r="AQ831" s="9">
        <v>0.335</v>
      </c>
      <c r="AR831" t="s">
        <v>1523</v>
      </c>
      <c r="AT831" s="15" t="s">
        <v>290</v>
      </c>
      <c r="AW831" s="11" t="str">
        <f t="shared" si="87"/>
        <v>EN_WOF_34_c01_PRK</v>
      </c>
      <c r="AX831" s="11">
        <f t="shared" si="88"/>
        <v>2239</v>
      </c>
      <c r="AY831" s="11">
        <f t="shared" si="89"/>
        <v>2239</v>
      </c>
      <c r="AZ831" s="17">
        <v>3</v>
      </c>
      <c r="BA831">
        <f t="shared" si="90"/>
        <v>22.39</v>
      </c>
    </row>
    <row r="832" spans="2:53">
      <c r="B832" t="s">
        <v>26</v>
      </c>
      <c r="C832" t="s">
        <v>5375</v>
      </c>
      <c r="D832" t="s">
        <v>5376</v>
      </c>
      <c r="E832" t="s">
        <v>29</v>
      </c>
      <c r="F832" t="s">
        <v>30</v>
      </c>
      <c r="G832" t="s">
        <v>31</v>
      </c>
      <c r="J832" t="s">
        <v>5375</v>
      </c>
      <c r="K832" t="s">
        <v>1967</v>
      </c>
      <c r="L832" t="s">
        <v>3532</v>
      </c>
      <c r="M832" s="8">
        <v>108.393</v>
      </c>
      <c r="N832">
        <v>0</v>
      </c>
      <c r="O832">
        <v>1765</v>
      </c>
      <c r="P832" s="9">
        <v>0.358593756054358</v>
      </c>
      <c r="Q832" t="s">
        <v>700</v>
      </c>
      <c r="T832" s="15" t="s">
        <v>69</v>
      </c>
      <c r="W832" s="16" t="str">
        <f t="shared" si="84"/>
        <v>EN_WON_36_c01_FRA</v>
      </c>
      <c r="X832" s="12">
        <f t="shared" si="85"/>
        <v>1765</v>
      </c>
      <c r="Y832" s="11">
        <f t="shared" si="86"/>
        <v>1765</v>
      </c>
      <c r="AC832" t="s">
        <v>26</v>
      </c>
      <c r="AD832" t="s">
        <v>5377</v>
      </c>
      <c r="AE832" t="s">
        <v>5378</v>
      </c>
      <c r="AF832" t="s">
        <v>29</v>
      </c>
      <c r="AG832" t="s">
        <v>30</v>
      </c>
      <c r="AH832" t="s">
        <v>31</v>
      </c>
      <c r="AK832" t="s">
        <v>5377</v>
      </c>
      <c r="AL832" t="s">
        <v>1967</v>
      </c>
      <c r="AM832" t="s">
        <v>5362</v>
      </c>
      <c r="AN832" s="8">
        <v>3.804</v>
      </c>
      <c r="AO832">
        <v>199.694880401046</v>
      </c>
      <c r="AP832">
        <v>2239</v>
      </c>
      <c r="AQ832" s="9">
        <v>0.338479298107256</v>
      </c>
      <c r="AR832" t="s">
        <v>1523</v>
      </c>
      <c r="AT832" s="15" t="s">
        <v>290</v>
      </c>
      <c r="AW832" s="11" t="str">
        <f t="shared" si="87"/>
        <v>EN_WOF_34_c02_PRK</v>
      </c>
      <c r="AX832" s="11">
        <f t="shared" si="88"/>
        <v>2239</v>
      </c>
      <c r="AY832" s="11">
        <f t="shared" si="89"/>
        <v>2239</v>
      </c>
      <c r="AZ832" s="17">
        <v>3</v>
      </c>
      <c r="BA832">
        <f t="shared" si="90"/>
        <v>22.39</v>
      </c>
    </row>
    <row r="833" spans="2:53">
      <c r="B833" t="s">
        <v>26</v>
      </c>
      <c r="C833" t="s">
        <v>5379</v>
      </c>
      <c r="D833" t="s">
        <v>5380</v>
      </c>
      <c r="E833" t="s">
        <v>29</v>
      </c>
      <c r="F833" t="s">
        <v>30</v>
      </c>
      <c r="G833" t="s">
        <v>31</v>
      </c>
      <c r="J833" t="s">
        <v>5379</v>
      </c>
      <c r="K833" t="s">
        <v>1967</v>
      </c>
      <c r="L833" t="s">
        <v>3532</v>
      </c>
      <c r="M833" s="8">
        <v>48.8325</v>
      </c>
      <c r="N833">
        <v>0</v>
      </c>
      <c r="O833">
        <v>1765</v>
      </c>
      <c r="P833" s="9">
        <v>0.369217877438182</v>
      </c>
      <c r="Q833" t="s">
        <v>700</v>
      </c>
      <c r="T833" s="15" t="s">
        <v>69</v>
      </c>
      <c r="W833" s="16" t="str">
        <f t="shared" si="84"/>
        <v>EN_WON_37_c01_FRA</v>
      </c>
      <c r="X833" s="12">
        <f t="shared" si="85"/>
        <v>1765</v>
      </c>
      <c r="Y833" s="11">
        <f t="shared" si="86"/>
        <v>1765</v>
      </c>
      <c r="AC833" t="s">
        <v>26</v>
      </c>
      <c r="AD833" t="s">
        <v>5381</v>
      </c>
      <c r="AE833" t="s">
        <v>5382</v>
      </c>
      <c r="AF833" t="s">
        <v>29</v>
      </c>
      <c r="AG833" t="s">
        <v>30</v>
      </c>
      <c r="AH833" t="s">
        <v>31</v>
      </c>
      <c r="AK833" t="s">
        <v>5381</v>
      </c>
      <c r="AL833" t="s">
        <v>1967</v>
      </c>
      <c r="AM833" t="s">
        <v>5362</v>
      </c>
      <c r="AN833" s="8">
        <v>6.9225</v>
      </c>
      <c r="AO833">
        <v>45.3852000911468</v>
      </c>
      <c r="AP833">
        <v>2239</v>
      </c>
      <c r="AQ833" s="9">
        <v>0.350774647887324</v>
      </c>
      <c r="AR833" t="s">
        <v>1523</v>
      </c>
      <c r="AT833" s="15" t="s">
        <v>290</v>
      </c>
      <c r="AW833" s="11" t="str">
        <f t="shared" si="87"/>
        <v>EN_WOF_35_c01_PRK</v>
      </c>
      <c r="AX833" s="11">
        <f t="shared" si="88"/>
        <v>2239</v>
      </c>
      <c r="AY833" s="11">
        <f t="shared" si="89"/>
        <v>2239</v>
      </c>
      <c r="AZ833" s="17">
        <v>3</v>
      </c>
      <c r="BA833">
        <f t="shared" si="90"/>
        <v>22.39</v>
      </c>
    </row>
    <row r="834" spans="2:53">
      <c r="B834" t="s">
        <v>26</v>
      </c>
      <c r="C834" t="s">
        <v>5383</v>
      </c>
      <c r="D834" t="s">
        <v>5384</v>
      </c>
      <c r="E834" t="s">
        <v>29</v>
      </c>
      <c r="F834" t="s">
        <v>30</v>
      </c>
      <c r="G834" t="s">
        <v>31</v>
      </c>
      <c r="J834" t="s">
        <v>5383</v>
      </c>
      <c r="K834" t="s">
        <v>1967</v>
      </c>
      <c r="L834" t="s">
        <v>3532</v>
      </c>
      <c r="M834" s="8">
        <v>36.318</v>
      </c>
      <c r="N834">
        <v>0</v>
      </c>
      <c r="O834">
        <v>1765</v>
      </c>
      <c r="P834" s="9">
        <v>0.380331901536428</v>
      </c>
      <c r="Q834" t="s">
        <v>700</v>
      </c>
      <c r="T834" s="15" t="s">
        <v>69</v>
      </c>
      <c r="W834" s="16" t="str">
        <f t="shared" si="84"/>
        <v>EN_WON_38_c01_FRA</v>
      </c>
      <c r="X834" s="12">
        <f t="shared" si="85"/>
        <v>1765</v>
      </c>
      <c r="Y834" s="11">
        <f t="shared" si="86"/>
        <v>1765</v>
      </c>
      <c r="AC834" t="s">
        <v>26</v>
      </c>
      <c r="AD834" t="s">
        <v>5385</v>
      </c>
      <c r="AE834" t="s">
        <v>5386</v>
      </c>
      <c r="AF834" t="s">
        <v>29</v>
      </c>
      <c r="AG834" t="s">
        <v>30</v>
      </c>
      <c r="AH834" t="s">
        <v>31</v>
      </c>
      <c r="AK834" t="s">
        <v>5385</v>
      </c>
      <c r="AL834" t="s">
        <v>1967</v>
      </c>
      <c r="AM834" t="s">
        <v>5362</v>
      </c>
      <c r="AN834" s="8">
        <v>7.125</v>
      </c>
      <c r="AO834">
        <v>199.694880401046</v>
      </c>
      <c r="AP834">
        <v>2239</v>
      </c>
      <c r="AQ834" s="9">
        <v>0.351989263157895</v>
      </c>
      <c r="AR834" t="s">
        <v>1523</v>
      </c>
      <c r="AT834" s="15" t="s">
        <v>290</v>
      </c>
      <c r="AW834" s="11" t="str">
        <f t="shared" si="87"/>
        <v>EN_WOF_35_c02_PRK</v>
      </c>
      <c r="AX834" s="11">
        <f t="shared" si="88"/>
        <v>2239</v>
      </c>
      <c r="AY834" s="11">
        <f t="shared" si="89"/>
        <v>2239</v>
      </c>
      <c r="AZ834" s="17">
        <v>3</v>
      </c>
      <c r="BA834">
        <f t="shared" si="90"/>
        <v>22.39</v>
      </c>
    </row>
    <row r="835" spans="2:53">
      <c r="B835" t="s">
        <v>26</v>
      </c>
      <c r="C835" t="s">
        <v>5387</v>
      </c>
      <c r="D835" t="s">
        <v>5388</v>
      </c>
      <c r="E835" t="s">
        <v>29</v>
      </c>
      <c r="F835" t="s">
        <v>30</v>
      </c>
      <c r="G835" t="s">
        <v>31</v>
      </c>
      <c r="J835" t="s">
        <v>5387</v>
      </c>
      <c r="K835" t="s">
        <v>1967</v>
      </c>
      <c r="L835" t="s">
        <v>3532</v>
      </c>
      <c r="M835" s="8">
        <v>6.738</v>
      </c>
      <c r="N835">
        <v>80.7856561622413</v>
      </c>
      <c r="O835">
        <v>1765</v>
      </c>
      <c r="P835" s="9">
        <v>0.379</v>
      </c>
      <c r="Q835" t="s">
        <v>700</v>
      </c>
      <c r="T835" s="15" t="s">
        <v>69</v>
      </c>
      <c r="W835" s="16" t="str">
        <f t="shared" si="84"/>
        <v>EN_WON_38_c02_FRA</v>
      </c>
      <c r="X835" s="12">
        <f t="shared" si="85"/>
        <v>1765</v>
      </c>
      <c r="Y835" s="11">
        <f t="shared" si="86"/>
        <v>1765</v>
      </c>
      <c r="AC835" t="s">
        <v>26</v>
      </c>
      <c r="AD835" t="s">
        <v>5389</v>
      </c>
      <c r="AE835" t="s">
        <v>5390</v>
      </c>
      <c r="AF835" t="s">
        <v>29</v>
      </c>
      <c r="AG835" t="s">
        <v>30</v>
      </c>
      <c r="AH835" t="s">
        <v>31</v>
      </c>
      <c r="AK835" t="s">
        <v>5389</v>
      </c>
      <c r="AL835" t="s">
        <v>1967</v>
      </c>
      <c r="AM835" t="s">
        <v>5362</v>
      </c>
      <c r="AN835" s="8">
        <v>6.1935</v>
      </c>
      <c r="AO835">
        <v>45.3852000911468</v>
      </c>
      <c r="AP835">
        <v>2239</v>
      </c>
      <c r="AQ835" s="9">
        <v>0.356437394042141</v>
      </c>
      <c r="AR835" t="s">
        <v>1523</v>
      </c>
      <c r="AT835" s="15" t="s">
        <v>290</v>
      </c>
      <c r="AW835" s="11" t="str">
        <f t="shared" si="87"/>
        <v>EN_WOF_36_c01_PRK</v>
      </c>
      <c r="AX835" s="11">
        <f t="shared" si="88"/>
        <v>2239</v>
      </c>
      <c r="AY835" s="11">
        <f t="shared" si="89"/>
        <v>2239</v>
      </c>
      <c r="AZ835" s="17">
        <v>3</v>
      </c>
      <c r="BA835">
        <f t="shared" si="90"/>
        <v>22.39</v>
      </c>
    </row>
    <row r="836" spans="2:53">
      <c r="B836" t="s">
        <v>26</v>
      </c>
      <c r="C836" t="s">
        <v>5391</v>
      </c>
      <c r="D836" t="s">
        <v>5392</v>
      </c>
      <c r="E836" t="s">
        <v>29</v>
      </c>
      <c r="F836" t="s">
        <v>30</v>
      </c>
      <c r="G836" t="s">
        <v>31</v>
      </c>
      <c r="J836" t="s">
        <v>5391</v>
      </c>
      <c r="K836" t="s">
        <v>1967</v>
      </c>
      <c r="L836" t="s">
        <v>3532</v>
      </c>
      <c r="M836" s="8">
        <v>38.4075</v>
      </c>
      <c r="N836">
        <v>0</v>
      </c>
      <c r="O836">
        <v>1765</v>
      </c>
      <c r="P836" s="9">
        <v>0.389295098613552</v>
      </c>
      <c r="Q836" t="s">
        <v>700</v>
      </c>
      <c r="T836" s="15" t="s">
        <v>69</v>
      </c>
      <c r="W836" s="16" t="str">
        <f t="shared" si="84"/>
        <v>EN_WON_39_c01_FRA</v>
      </c>
      <c r="X836" s="12">
        <f t="shared" si="85"/>
        <v>1765</v>
      </c>
      <c r="Y836" s="11">
        <f t="shared" si="86"/>
        <v>1765</v>
      </c>
      <c r="AC836" t="s">
        <v>26</v>
      </c>
      <c r="AD836" t="s">
        <v>5393</v>
      </c>
      <c r="AE836" t="s">
        <v>5394</v>
      </c>
      <c r="AF836" t="s">
        <v>29</v>
      </c>
      <c r="AG836" t="s">
        <v>30</v>
      </c>
      <c r="AH836" t="s">
        <v>31</v>
      </c>
      <c r="AK836" t="s">
        <v>5393</v>
      </c>
      <c r="AL836" t="s">
        <v>1967</v>
      </c>
      <c r="AM836" t="s">
        <v>5362</v>
      </c>
      <c r="AN836" s="8">
        <v>6.09675</v>
      </c>
      <c r="AO836">
        <v>199.694880401046</v>
      </c>
      <c r="AP836">
        <v>2239</v>
      </c>
      <c r="AQ836" s="9">
        <v>0.363</v>
      </c>
      <c r="AR836" t="s">
        <v>1523</v>
      </c>
      <c r="AT836" s="15" t="s">
        <v>290</v>
      </c>
      <c r="AW836" s="11" t="str">
        <f t="shared" si="87"/>
        <v>EN_WOF_36_c02_PRK</v>
      </c>
      <c r="AX836" s="11">
        <f t="shared" si="88"/>
        <v>2239</v>
      </c>
      <c r="AY836" s="11">
        <f t="shared" si="89"/>
        <v>2239</v>
      </c>
      <c r="AZ836" s="17">
        <v>3</v>
      </c>
      <c r="BA836">
        <f t="shared" si="90"/>
        <v>22.39</v>
      </c>
    </row>
    <row r="837" spans="2:53">
      <c r="B837" t="s">
        <v>26</v>
      </c>
      <c r="C837" t="s">
        <v>5395</v>
      </c>
      <c r="D837" t="s">
        <v>5396</v>
      </c>
      <c r="E837" t="s">
        <v>29</v>
      </c>
      <c r="F837" t="s">
        <v>30</v>
      </c>
      <c r="G837" t="s">
        <v>31</v>
      </c>
      <c r="J837" t="s">
        <v>5395</v>
      </c>
      <c r="K837" t="s">
        <v>1967</v>
      </c>
      <c r="L837" t="s">
        <v>3532</v>
      </c>
      <c r="M837" s="8">
        <v>4.98</v>
      </c>
      <c r="N837">
        <v>0</v>
      </c>
      <c r="O837">
        <v>1765</v>
      </c>
      <c r="P837" s="9">
        <v>0.403655421686747</v>
      </c>
      <c r="Q837" t="s">
        <v>700</v>
      </c>
      <c r="T837" s="15" t="s">
        <v>69</v>
      </c>
      <c r="W837" s="16" t="str">
        <f t="shared" si="84"/>
        <v>EN_WON_40_c01_FRA</v>
      </c>
      <c r="X837" s="12">
        <f t="shared" si="85"/>
        <v>1765</v>
      </c>
      <c r="Y837" s="11">
        <f t="shared" si="86"/>
        <v>1765</v>
      </c>
      <c r="AC837" t="s">
        <v>26</v>
      </c>
      <c r="AD837" t="s">
        <v>5397</v>
      </c>
      <c r="AE837" t="s">
        <v>5398</v>
      </c>
      <c r="AF837" t="s">
        <v>29</v>
      </c>
      <c r="AG837" t="s">
        <v>30</v>
      </c>
      <c r="AH837" t="s">
        <v>31</v>
      </c>
      <c r="AK837" t="s">
        <v>5397</v>
      </c>
      <c r="AL837" t="s">
        <v>1967</v>
      </c>
      <c r="AM837" t="s">
        <v>5362</v>
      </c>
      <c r="AN837" s="8">
        <v>2.3445</v>
      </c>
      <c r="AO837">
        <v>45.3852000911468</v>
      </c>
      <c r="AP837">
        <v>2239</v>
      </c>
      <c r="AQ837" s="9">
        <v>0.368065898912348</v>
      </c>
      <c r="AR837" t="s">
        <v>1523</v>
      </c>
      <c r="AT837" s="15" t="s">
        <v>290</v>
      </c>
      <c r="AW837" s="11" t="str">
        <f t="shared" si="87"/>
        <v>EN_WOF_37_c01_PRK</v>
      </c>
      <c r="AX837" s="11">
        <f t="shared" si="88"/>
        <v>2239</v>
      </c>
      <c r="AY837" s="11">
        <f t="shared" si="89"/>
        <v>2239</v>
      </c>
      <c r="AZ837" s="17">
        <v>3</v>
      </c>
      <c r="BA837">
        <f t="shared" si="90"/>
        <v>22.39</v>
      </c>
    </row>
    <row r="838" spans="2:53">
      <c r="B838" t="s">
        <v>26</v>
      </c>
      <c r="C838" t="s">
        <v>5399</v>
      </c>
      <c r="D838" t="s">
        <v>5400</v>
      </c>
      <c r="E838" t="s">
        <v>29</v>
      </c>
      <c r="F838" t="s">
        <v>30</v>
      </c>
      <c r="G838" t="s">
        <v>31</v>
      </c>
      <c r="J838" t="s">
        <v>5399</v>
      </c>
      <c r="K838" t="s">
        <v>1967</v>
      </c>
      <c r="L838" t="s">
        <v>3532</v>
      </c>
      <c r="M838" s="8">
        <v>2.349</v>
      </c>
      <c r="N838">
        <v>0</v>
      </c>
      <c r="O838">
        <v>1765</v>
      </c>
      <c r="P838" s="9">
        <v>0.419994891443167</v>
      </c>
      <c r="Q838" t="s">
        <v>700</v>
      </c>
      <c r="T838" s="15" t="s">
        <v>69</v>
      </c>
      <c r="W838" s="16" t="str">
        <f t="shared" ref="W838:W901" si="91">J838</f>
        <v>EN_WON_42_c01_FRA</v>
      </c>
      <c r="X838" s="12">
        <f t="shared" ref="X838:X901" si="92">O838</f>
        <v>1765</v>
      </c>
      <c r="Y838" s="11">
        <f t="shared" ref="Y838:Y901" si="93">X838</f>
        <v>1765</v>
      </c>
      <c r="AC838" t="s">
        <v>26</v>
      </c>
      <c r="AD838" t="s">
        <v>5401</v>
      </c>
      <c r="AE838" t="s">
        <v>5402</v>
      </c>
      <c r="AF838" t="s">
        <v>29</v>
      </c>
      <c r="AG838" t="s">
        <v>30</v>
      </c>
      <c r="AH838" t="s">
        <v>31</v>
      </c>
      <c r="AK838" t="s">
        <v>5401</v>
      </c>
      <c r="AL838" t="s">
        <v>1967</v>
      </c>
      <c r="AM838" t="s">
        <v>5403</v>
      </c>
      <c r="AN838" s="8">
        <v>7.0425</v>
      </c>
      <c r="AO838">
        <v>199.694880401046</v>
      </c>
      <c r="AP838">
        <v>1909</v>
      </c>
      <c r="AQ838" s="9">
        <v>0.319</v>
      </c>
      <c r="AR838" t="s">
        <v>1537</v>
      </c>
      <c r="AT838" s="15" t="s">
        <v>69</v>
      </c>
      <c r="AW838" s="11" t="str">
        <f t="shared" ref="AW838:AW901" si="94">AK838</f>
        <v>EN_WOF_32_c02_PRT</v>
      </c>
      <c r="AX838" s="11">
        <f t="shared" ref="AX838:AX901" si="95">AP838</f>
        <v>1909</v>
      </c>
      <c r="AY838" s="11">
        <f t="shared" ref="AY838:AY901" si="96">AX838</f>
        <v>1909</v>
      </c>
      <c r="AZ838" s="17">
        <v>3</v>
      </c>
      <c r="BA838">
        <f t="shared" ref="BA838:BA901" si="97">AX838*0.01</f>
        <v>19.09</v>
      </c>
    </row>
    <row r="839" spans="2:53">
      <c r="B839" t="s">
        <v>26</v>
      </c>
      <c r="C839" t="s">
        <v>5404</v>
      </c>
      <c r="D839" t="s">
        <v>5405</v>
      </c>
      <c r="E839" t="s">
        <v>29</v>
      </c>
      <c r="F839" t="s">
        <v>30</v>
      </c>
      <c r="G839" t="s">
        <v>31</v>
      </c>
      <c r="J839" t="s">
        <v>5404</v>
      </c>
      <c r="K839" t="s">
        <v>1967</v>
      </c>
      <c r="L839" t="s">
        <v>3532</v>
      </c>
      <c r="M839" s="8">
        <v>0.405</v>
      </c>
      <c r="N839">
        <v>0</v>
      </c>
      <c r="O839">
        <v>1765</v>
      </c>
      <c r="P839" s="9">
        <v>0.429</v>
      </c>
      <c r="Q839" t="s">
        <v>700</v>
      </c>
      <c r="T839" s="15" t="s">
        <v>69</v>
      </c>
      <c r="W839" s="16" t="str">
        <f t="shared" si="91"/>
        <v>EN_WON_43_c01_FRA</v>
      </c>
      <c r="X839" s="12">
        <f t="shared" si="92"/>
        <v>1765</v>
      </c>
      <c r="Y839" s="11">
        <f t="shared" si="93"/>
        <v>1765</v>
      </c>
      <c r="AC839" t="s">
        <v>26</v>
      </c>
      <c r="AD839" t="s">
        <v>5406</v>
      </c>
      <c r="AE839" t="s">
        <v>5407</v>
      </c>
      <c r="AF839" t="s">
        <v>29</v>
      </c>
      <c r="AG839" t="s">
        <v>30</v>
      </c>
      <c r="AH839" t="s">
        <v>31</v>
      </c>
      <c r="AK839" t="s">
        <v>5406</v>
      </c>
      <c r="AL839" t="s">
        <v>1967</v>
      </c>
      <c r="AM839" t="s">
        <v>5403</v>
      </c>
      <c r="AN839" s="8">
        <v>5.49</v>
      </c>
      <c r="AO839">
        <v>199.694880401046</v>
      </c>
      <c r="AP839">
        <v>1909</v>
      </c>
      <c r="AQ839" s="9">
        <v>0.333</v>
      </c>
      <c r="AR839" t="s">
        <v>1537</v>
      </c>
      <c r="AT839" s="15" t="s">
        <v>69</v>
      </c>
      <c r="AW839" s="11" t="str">
        <f t="shared" si="94"/>
        <v>EN_WOF_33_c02_PRT</v>
      </c>
      <c r="AX839" s="11">
        <f t="shared" si="95"/>
        <v>1909</v>
      </c>
      <c r="AY839" s="11">
        <f t="shared" si="96"/>
        <v>1909</v>
      </c>
      <c r="AZ839" s="17">
        <v>3</v>
      </c>
      <c r="BA839">
        <f t="shared" si="97"/>
        <v>19.09</v>
      </c>
    </row>
    <row r="840" spans="2:53">
      <c r="B840" t="s">
        <v>26</v>
      </c>
      <c r="C840" t="s">
        <v>5408</v>
      </c>
      <c r="D840" t="s">
        <v>5409</v>
      </c>
      <c r="E840" t="s">
        <v>29</v>
      </c>
      <c r="F840" t="s">
        <v>30</v>
      </c>
      <c r="G840" t="s">
        <v>31</v>
      </c>
      <c r="J840" t="s">
        <v>5408</v>
      </c>
      <c r="K840" t="s">
        <v>1967</v>
      </c>
      <c r="L840" t="s">
        <v>3674</v>
      </c>
      <c r="M840" s="8">
        <v>55.6755</v>
      </c>
      <c r="N840">
        <v>0</v>
      </c>
      <c r="O840">
        <v>1756</v>
      </c>
      <c r="P840" s="9">
        <v>0.408723361263033</v>
      </c>
      <c r="Q840" t="s">
        <v>736</v>
      </c>
      <c r="T840" s="15" t="s">
        <v>69</v>
      </c>
      <c r="W840" s="16" t="str">
        <f t="shared" si="91"/>
        <v>EN_WON_41_c01_GBR</v>
      </c>
      <c r="X840" s="12">
        <f t="shared" si="92"/>
        <v>1756</v>
      </c>
      <c r="Y840" s="11">
        <f t="shared" si="93"/>
        <v>1756</v>
      </c>
      <c r="AC840" t="s">
        <v>26</v>
      </c>
      <c r="AD840" t="s">
        <v>5410</v>
      </c>
      <c r="AE840" t="s">
        <v>5411</v>
      </c>
      <c r="AF840" t="s">
        <v>29</v>
      </c>
      <c r="AG840" t="s">
        <v>30</v>
      </c>
      <c r="AH840" t="s">
        <v>31</v>
      </c>
      <c r="AK840" t="s">
        <v>5410</v>
      </c>
      <c r="AL840" t="s">
        <v>1967</v>
      </c>
      <c r="AM840" t="s">
        <v>5403</v>
      </c>
      <c r="AN840" s="8">
        <v>3.46725</v>
      </c>
      <c r="AO840">
        <v>199.694880401046</v>
      </c>
      <c r="AP840">
        <v>1909</v>
      </c>
      <c r="AQ840" s="9">
        <v>0.343</v>
      </c>
      <c r="AR840" t="s">
        <v>1537</v>
      </c>
      <c r="AT840" s="15" t="s">
        <v>69</v>
      </c>
      <c r="AW840" s="11" t="str">
        <f t="shared" si="94"/>
        <v>EN_WOF_34_c02_PRT</v>
      </c>
      <c r="AX840" s="11">
        <f t="shared" si="95"/>
        <v>1909</v>
      </c>
      <c r="AY840" s="11">
        <f t="shared" si="96"/>
        <v>1909</v>
      </c>
      <c r="AZ840" s="17">
        <v>3</v>
      </c>
      <c r="BA840">
        <f t="shared" si="97"/>
        <v>19.09</v>
      </c>
    </row>
    <row r="841" spans="2:53">
      <c r="B841" t="s">
        <v>26</v>
      </c>
      <c r="C841" t="s">
        <v>5412</v>
      </c>
      <c r="D841" t="s">
        <v>5413</v>
      </c>
      <c r="E841" t="s">
        <v>29</v>
      </c>
      <c r="F841" t="s">
        <v>30</v>
      </c>
      <c r="G841" t="s">
        <v>31</v>
      </c>
      <c r="J841" t="s">
        <v>5412</v>
      </c>
      <c r="K841" t="s">
        <v>1967</v>
      </c>
      <c r="L841" t="s">
        <v>3674</v>
      </c>
      <c r="M841" s="8">
        <v>52.503</v>
      </c>
      <c r="N841">
        <v>0</v>
      </c>
      <c r="O841">
        <v>1756</v>
      </c>
      <c r="P841" s="9">
        <v>0.419424118621793</v>
      </c>
      <c r="Q841" t="s">
        <v>736</v>
      </c>
      <c r="T841" s="15" t="s">
        <v>69</v>
      </c>
      <c r="W841" s="16" t="str">
        <f t="shared" si="91"/>
        <v>EN_WON_42_c01_GBR</v>
      </c>
      <c r="X841" s="12">
        <f t="shared" si="92"/>
        <v>1756</v>
      </c>
      <c r="Y841" s="11">
        <f t="shared" si="93"/>
        <v>1756</v>
      </c>
      <c r="AC841" t="s">
        <v>26</v>
      </c>
      <c r="AD841" t="s">
        <v>5414</v>
      </c>
      <c r="AE841" t="s">
        <v>5415</v>
      </c>
      <c r="AF841" t="s">
        <v>29</v>
      </c>
      <c r="AG841" t="s">
        <v>30</v>
      </c>
      <c r="AH841" t="s">
        <v>31</v>
      </c>
      <c r="AK841" t="s">
        <v>5414</v>
      </c>
      <c r="AL841" t="s">
        <v>1967</v>
      </c>
      <c r="AM841" t="s">
        <v>5403</v>
      </c>
      <c r="AN841" s="8">
        <v>19.0935</v>
      </c>
      <c r="AO841">
        <v>199.694880401046</v>
      </c>
      <c r="AP841">
        <v>1909</v>
      </c>
      <c r="AQ841" s="9">
        <v>0.346621729908084</v>
      </c>
      <c r="AR841" t="s">
        <v>1537</v>
      </c>
      <c r="AT841" s="15" t="s">
        <v>69</v>
      </c>
      <c r="AW841" s="11" t="str">
        <f t="shared" si="94"/>
        <v>EN_WOF_35_c02_PRT</v>
      </c>
      <c r="AX841" s="11">
        <f t="shared" si="95"/>
        <v>1909</v>
      </c>
      <c r="AY841" s="11">
        <f t="shared" si="96"/>
        <v>1909</v>
      </c>
      <c r="AZ841" s="17">
        <v>3</v>
      </c>
      <c r="BA841">
        <f t="shared" si="97"/>
        <v>19.09</v>
      </c>
    </row>
    <row r="842" spans="2:53">
      <c r="B842" t="s">
        <v>26</v>
      </c>
      <c r="C842" t="s">
        <v>5416</v>
      </c>
      <c r="D842" t="s">
        <v>5417</v>
      </c>
      <c r="E842" t="s">
        <v>29</v>
      </c>
      <c r="F842" t="s">
        <v>30</v>
      </c>
      <c r="G842" t="s">
        <v>31</v>
      </c>
      <c r="J842" t="s">
        <v>5416</v>
      </c>
      <c r="K842" t="s">
        <v>1967</v>
      </c>
      <c r="L842" t="s">
        <v>3674</v>
      </c>
      <c r="M842" s="8">
        <v>70.6935</v>
      </c>
      <c r="N842">
        <v>0</v>
      </c>
      <c r="O842">
        <v>1756</v>
      </c>
      <c r="P842" s="9">
        <v>0.429198879670691</v>
      </c>
      <c r="Q842" t="s">
        <v>736</v>
      </c>
      <c r="T842" s="15" t="s">
        <v>69</v>
      </c>
      <c r="W842" s="16" t="str">
        <f t="shared" si="91"/>
        <v>EN_WON_43_c01_GBR</v>
      </c>
      <c r="X842" s="12">
        <f t="shared" si="92"/>
        <v>1756</v>
      </c>
      <c r="Y842" s="11">
        <f t="shared" si="93"/>
        <v>1756</v>
      </c>
      <c r="AC842" t="s">
        <v>26</v>
      </c>
      <c r="AD842" t="s">
        <v>5418</v>
      </c>
      <c r="AE842" t="s">
        <v>5419</v>
      </c>
      <c r="AF842" t="s">
        <v>29</v>
      </c>
      <c r="AG842" t="s">
        <v>30</v>
      </c>
      <c r="AH842" t="s">
        <v>31</v>
      </c>
      <c r="AK842" t="s">
        <v>5418</v>
      </c>
      <c r="AL842" t="s">
        <v>1967</v>
      </c>
      <c r="AM842" t="s">
        <v>5403</v>
      </c>
      <c r="AN842" s="8">
        <v>19.11825</v>
      </c>
      <c r="AO842">
        <v>199.694880401046</v>
      </c>
      <c r="AP842">
        <v>1909</v>
      </c>
      <c r="AQ842" s="9">
        <v>0.362</v>
      </c>
      <c r="AR842" t="s">
        <v>1537</v>
      </c>
      <c r="AT842" s="15" t="s">
        <v>69</v>
      </c>
      <c r="AW842" s="11" t="str">
        <f t="shared" si="94"/>
        <v>EN_WOF_36_c02_PRT</v>
      </c>
      <c r="AX842" s="11">
        <f t="shared" si="95"/>
        <v>1909</v>
      </c>
      <c r="AY842" s="11">
        <f t="shared" si="96"/>
        <v>1909</v>
      </c>
      <c r="AZ842" s="17">
        <v>3</v>
      </c>
      <c r="BA842">
        <f t="shared" si="97"/>
        <v>19.09</v>
      </c>
    </row>
    <row r="843" spans="2:53">
      <c r="B843" t="s">
        <v>26</v>
      </c>
      <c r="C843" t="s">
        <v>5420</v>
      </c>
      <c r="D843" t="s">
        <v>5421</v>
      </c>
      <c r="E843" t="s">
        <v>29</v>
      </c>
      <c r="F843" t="s">
        <v>30</v>
      </c>
      <c r="G843" t="s">
        <v>31</v>
      </c>
      <c r="J843" t="s">
        <v>5420</v>
      </c>
      <c r="K843" t="s">
        <v>1967</v>
      </c>
      <c r="L843" t="s">
        <v>3674</v>
      </c>
      <c r="M843" s="8">
        <v>75.1095</v>
      </c>
      <c r="N843">
        <v>0</v>
      </c>
      <c r="O843">
        <v>1756</v>
      </c>
      <c r="P843" s="9">
        <v>0.43874191680147</v>
      </c>
      <c r="Q843" t="s">
        <v>736</v>
      </c>
      <c r="T843" s="15" t="s">
        <v>69</v>
      </c>
      <c r="W843" s="16" t="str">
        <f t="shared" si="91"/>
        <v>EN_WON_44_c01_GBR</v>
      </c>
      <c r="X843" s="12">
        <f t="shared" si="92"/>
        <v>1756</v>
      </c>
      <c r="Y843" s="11">
        <f t="shared" si="93"/>
        <v>1756</v>
      </c>
      <c r="AC843" t="s">
        <v>26</v>
      </c>
      <c r="AD843" t="s">
        <v>5422</v>
      </c>
      <c r="AE843" t="s">
        <v>5423</v>
      </c>
      <c r="AF843" t="s">
        <v>29</v>
      </c>
      <c r="AG843" t="s">
        <v>30</v>
      </c>
      <c r="AH843" t="s">
        <v>31</v>
      </c>
      <c r="AK843" t="s">
        <v>5422</v>
      </c>
      <c r="AL843" t="s">
        <v>1967</v>
      </c>
      <c r="AM843" t="s">
        <v>5403</v>
      </c>
      <c r="AN843" s="8">
        <v>2.08575</v>
      </c>
      <c r="AO843">
        <v>199.694880401046</v>
      </c>
      <c r="AP843">
        <v>1909</v>
      </c>
      <c r="AQ843" s="9">
        <v>0.369</v>
      </c>
      <c r="AR843" t="s">
        <v>1537</v>
      </c>
      <c r="AT843" s="15" t="s">
        <v>69</v>
      </c>
      <c r="AW843" s="11" t="str">
        <f t="shared" si="94"/>
        <v>EN_WOF_37_c02_PRT</v>
      </c>
      <c r="AX843" s="11">
        <f t="shared" si="95"/>
        <v>1909</v>
      </c>
      <c r="AY843" s="11">
        <f t="shared" si="96"/>
        <v>1909</v>
      </c>
      <c r="AZ843" s="17">
        <v>3</v>
      </c>
      <c r="BA843">
        <f t="shared" si="97"/>
        <v>19.09</v>
      </c>
    </row>
    <row r="844" spans="2:53">
      <c r="B844" t="s">
        <v>26</v>
      </c>
      <c r="C844" t="s">
        <v>5424</v>
      </c>
      <c r="D844" t="s">
        <v>5425</v>
      </c>
      <c r="E844" t="s">
        <v>29</v>
      </c>
      <c r="F844" t="s">
        <v>30</v>
      </c>
      <c r="G844" t="s">
        <v>31</v>
      </c>
      <c r="J844" t="s">
        <v>5424</v>
      </c>
      <c r="K844" t="s">
        <v>1967</v>
      </c>
      <c r="L844" t="s">
        <v>3674</v>
      </c>
      <c r="M844" s="8">
        <v>53.2065</v>
      </c>
      <c r="N844">
        <v>0</v>
      </c>
      <c r="O844">
        <v>1756</v>
      </c>
      <c r="P844" s="9">
        <v>0.448013306644865</v>
      </c>
      <c r="Q844" t="s">
        <v>736</v>
      </c>
      <c r="T844" s="15" t="s">
        <v>69</v>
      </c>
      <c r="W844" s="16" t="str">
        <f t="shared" si="91"/>
        <v>EN_WON_45_c01_GBR</v>
      </c>
      <c r="X844" s="12">
        <f t="shared" si="92"/>
        <v>1756</v>
      </c>
      <c r="Y844" s="11">
        <f t="shared" si="93"/>
        <v>1756</v>
      </c>
      <c r="AC844" t="s">
        <v>26</v>
      </c>
      <c r="AD844" t="s">
        <v>5426</v>
      </c>
      <c r="AE844" t="s">
        <v>5427</v>
      </c>
      <c r="AF844" t="s">
        <v>29</v>
      </c>
      <c r="AG844" t="s">
        <v>30</v>
      </c>
      <c r="AH844" t="s">
        <v>31</v>
      </c>
      <c r="AK844" t="s">
        <v>5426</v>
      </c>
      <c r="AL844" t="s">
        <v>1967</v>
      </c>
      <c r="AM844" t="s">
        <v>5403</v>
      </c>
      <c r="AN844" s="8">
        <v>9.82575</v>
      </c>
      <c r="AO844">
        <v>199.694880401046</v>
      </c>
      <c r="AP844">
        <v>1909</v>
      </c>
      <c r="AQ844" s="9">
        <v>0.378972979161896</v>
      </c>
      <c r="AR844" t="s">
        <v>1537</v>
      </c>
      <c r="AT844" s="15" t="s">
        <v>69</v>
      </c>
      <c r="AW844" s="11" t="str">
        <f t="shared" si="94"/>
        <v>EN_WOF_38_c02_PRT</v>
      </c>
      <c r="AX844" s="11">
        <f t="shared" si="95"/>
        <v>1909</v>
      </c>
      <c r="AY844" s="11">
        <f t="shared" si="96"/>
        <v>1909</v>
      </c>
      <c r="AZ844" s="17">
        <v>3</v>
      </c>
      <c r="BA844">
        <f t="shared" si="97"/>
        <v>19.09</v>
      </c>
    </row>
    <row r="845" spans="2:53">
      <c r="B845" t="s">
        <v>26</v>
      </c>
      <c r="C845" t="s">
        <v>5428</v>
      </c>
      <c r="D845" t="s">
        <v>5429</v>
      </c>
      <c r="E845" t="s">
        <v>29</v>
      </c>
      <c r="F845" t="s">
        <v>30</v>
      </c>
      <c r="G845" t="s">
        <v>31</v>
      </c>
      <c r="J845" t="s">
        <v>5428</v>
      </c>
      <c r="K845" t="s">
        <v>1967</v>
      </c>
      <c r="L845" t="s">
        <v>3674</v>
      </c>
      <c r="M845" s="8">
        <v>35.568</v>
      </c>
      <c r="N845">
        <v>0</v>
      </c>
      <c r="O845">
        <v>1756</v>
      </c>
      <c r="P845" s="9">
        <v>0.45788238022942</v>
      </c>
      <c r="Q845" t="s">
        <v>736</v>
      </c>
      <c r="T845" s="15" t="s">
        <v>69</v>
      </c>
      <c r="W845" s="16" t="str">
        <f t="shared" si="91"/>
        <v>EN_WON_46_c01_GBR</v>
      </c>
      <c r="X845" s="12">
        <f t="shared" si="92"/>
        <v>1756</v>
      </c>
      <c r="Y845" s="11">
        <f t="shared" si="93"/>
        <v>1756</v>
      </c>
      <c r="AC845" t="s">
        <v>26</v>
      </c>
      <c r="AD845" t="s">
        <v>5430</v>
      </c>
      <c r="AE845" t="s">
        <v>5431</v>
      </c>
      <c r="AF845" t="s">
        <v>29</v>
      </c>
      <c r="AG845" t="s">
        <v>30</v>
      </c>
      <c r="AH845" t="s">
        <v>31</v>
      </c>
      <c r="AK845" t="s">
        <v>5430</v>
      </c>
      <c r="AL845" t="s">
        <v>1967</v>
      </c>
      <c r="AM845" t="s">
        <v>5403</v>
      </c>
      <c r="AN845" s="8">
        <v>19.017</v>
      </c>
      <c r="AO845">
        <v>199.694880401046</v>
      </c>
      <c r="AP845">
        <v>1909</v>
      </c>
      <c r="AQ845" s="9">
        <v>0.391130738286796</v>
      </c>
      <c r="AR845" t="s">
        <v>1537</v>
      </c>
      <c r="AT845" s="15" t="s">
        <v>69</v>
      </c>
      <c r="AW845" s="11" t="str">
        <f t="shared" si="94"/>
        <v>EN_WOF_39_c02_PRT</v>
      </c>
      <c r="AX845" s="11">
        <f t="shared" si="95"/>
        <v>1909</v>
      </c>
      <c r="AY845" s="11">
        <f t="shared" si="96"/>
        <v>1909</v>
      </c>
      <c r="AZ845" s="17">
        <v>3</v>
      </c>
      <c r="BA845">
        <f t="shared" si="97"/>
        <v>19.09</v>
      </c>
    </row>
    <row r="846" spans="2:53">
      <c r="B846" t="s">
        <v>26</v>
      </c>
      <c r="C846" t="s">
        <v>5432</v>
      </c>
      <c r="D846" t="s">
        <v>5433</v>
      </c>
      <c r="E846" t="s">
        <v>29</v>
      </c>
      <c r="F846" t="s">
        <v>30</v>
      </c>
      <c r="G846" t="s">
        <v>31</v>
      </c>
      <c r="J846" t="s">
        <v>5432</v>
      </c>
      <c r="K846" t="s">
        <v>1967</v>
      </c>
      <c r="L846" t="s">
        <v>3674</v>
      </c>
      <c r="M846" s="8">
        <v>2.0355</v>
      </c>
      <c r="N846">
        <v>0</v>
      </c>
      <c r="O846">
        <v>1756</v>
      </c>
      <c r="P846" s="9">
        <v>0.471675018422992</v>
      </c>
      <c r="Q846" t="s">
        <v>736</v>
      </c>
      <c r="T846" s="15" t="s">
        <v>69</v>
      </c>
      <c r="W846" s="16" t="str">
        <f t="shared" si="91"/>
        <v>EN_WON_47_c01_GBR</v>
      </c>
      <c r="X846" s="12">
        <f t="shared" si="92"/>
        <v>1756</v>
      </c>
      <c r="Y846" s="11">
        <f t="shared" si="93"/>
        <v>1756</v>
      </c>
      <c r="AC846" t="s">
        <v>26</v>
      </c>
      <c r="AD846" t="s">
        <v>5434</v>
      </c>
      <c r="AE846" t="s">
        <v>5435</v>
      </c>
      <c r="AF846" t="s">
        <v>29</v>
      </c>
      <c r="AG846" t="s">
        <v>30</v>
      </c>
      <c r="AH846" t="s">
        <v>31</v>
      </c>
      <c r="AK846" t="s">
        <v>5434</v>
      </c>
      <c r="AL846" t="s">
        <v>1967</v>
      </c>
      <c r="AM846" t="s">
        <v>5403</v>
      </c>
      <c r="AN846" s="8">
        <v>36.34875</v>
      </c>
      <c r="AO846">
        <v>199.694880401046</v>
      </c>
      <c r="AP846">
        <v>1909</v>
      </c>
      <c r="AQ846" s="9">
        <v>0.397996409780254</v>
      </c>
      <c r="AR846" t="s">
        <v>1537</v>
      </c>
      <c r="AT846" s="15" t="s">
        <v>69</v>
      </c>
      <c r="AW846" s="11" t="str">
        <f t="shared" si="94"/>
        <v>EN_WOF_40_c02_PRT</v>
      </c>
      <c r="AX846" s="11">
        <f t="shared" si="95"/>
        <v>1909</v>
      </c>
      <c r="AY846" s="11">
        <f t="shared" si="96"/>
        <v>1909</v>
      </c>
      <c r="AZ846" s="17">
        <v>3</v>
      </c>
      <c r="BA846">
        <f t="shared" si="97"/>
        <v>19.09</v>
      </c>
    </row>
    <row r="847" spans="2:53">
      <c r="B847" t="s">
        <v>26</v>
      </c>
      <c r="C847" t="s">
        <v>5436</v>
      </c>
      <c r="D847" t="s">
        <v>5437</v>
      </c>
      <c r="E847" t="s">
        <v>29</v>
      </c>
      <c r="F847" t="s">
        <v>30</v>
      </c>
      <c r="G847" t="s">
        <v>31</v>
      </c>
      <c r="J847" t="s">
        <v>5436</v>
      </c>
      <c r="K847" t="s">
        <v>1967</v>
      </c>
      <c r="L847" t="s">
        <v>3674</v>
      </c>
      <c r="M847" s="8">
        <v>17.5155</v>
      </c>
      <c r="N847">
        <v>0</v>
      </c>
      <c r="O847">
        <v>1756</v>
      </c>
      <c r="P847" s="9">
        <v>0.480117667209043</v>
      </c>
      <c r="Q847" t="s">
        <v>736</v>
      </c>
      <c r="T847" s="15" t="s">
        <v>69</v>
      </c>
      <c r="W847" s="16" t="str">
        <f t="shared" si="91"/>
        <v>EN_WON_48_c01_GBR</v>
      </c>
      <c r="X847" s="12">
        <f t="shared" si="92"/>
        <v>1756</v>
      </c>
      <c r="Y847" s="11">
        <f t="shared" si="93"/>
        <v>1756</v>
      </c>
      <c r="AC847" t="s">
        <v>26</v>
      </c>
      <c r="AD847" t="s">
        <v>5438</v>
      </c>
      <c r="AE847" t="s">
        <v>5439</v>
      </c>
      <c r="AF847" t="s">
        <v>29</v>
      </c>
      <c r="AG847" t="s">
        <v>30</v>
      </c>
      <c r="AH847" t="s">
        <v>31</v>
      </c>
      <c r="AK847" t="s">
        <v>5438</v>
      </c>
      <c r="AL847" t="s">
        <v>1967</v>
      </c>
      <c r="AM847" t="s">
        <v>5403</v>
      </c>
      <c r="AN847" s="8">
        <v>6.8175</v>
      </c>
      <c r="AO847">
        <v>199.694880401046</v>
      </c>
      <c r="AP847">
        <v>1909</v>
      </c>
      <c r="AQ847" s="9">
        <v>0.411622442244224</v>
      </c>
      <c r="AR847" t="s">
        <v>1537</v>
      </c>
      <c r="AT847" s="15" t="s">
        <v>69</v>
      </c>
      <c r="AW847" s="11" t="str">
        <f t="shared" si="94"/>
        <v>EN_WOF_41_c02_PRT</v>
      </c>
      <c r="AX847" s="11">
        <f t="shared" si="95"/>
        <v>1909</v>
      </c>
      <c r="AY847" s="11">
        <f t="shared" si="96"/>
        <v>1909</v>
      </c>
      <c r="AZ847" s="17">
        <v>3</v>
      </c>
      <c r="BA847">
        <f t="shared" si="97"/>
        <v>19.09</v>
      </c>
    </row>
    <row r="848" spans="2:53">
      <c r="B848" t="s">
        <v>26</v>
      </c>
      <c r="C848" t="s">
        <v>5440</v>
      </c>
      <c r="D848" t="s">
        <v>5441</v>
      </c>
      <c r="E848" t="s">
        <v>29</v>
      </c>
      <c r="F848" t="s">
        <v>30</v>
      </c>
      <c r="G848" t="s">
        <v>31</v>
      </c>
      <c r="J848" t="s">
        <v>5440</v>
      </c>
      <c r="K848" t="s">
        <v>1967</v>
      </c>
      <c r="L848" t="s">
        <v>3674</v>
      </c>
      <c r="M848" s="8">
        <v>3.36</v>
      </c>
      <c r="N848">
        <v>0</v>
      </c>
      <c r="O848">
        <v>1756</v>
      </c>
      <c r="P848" s="9">
        <v>0.491590178571429</v>
      </c>
      <c r="Q848" t="s">
        <v>736</v>
      </c>
      <c r="T848" s="15" t="s">
        <v>69</v>
      </c>
      <c r="W848" s="16" t="str">
        <f t="shared" si="91"/>
        <v>EN_WON_49_c01_GBR</v>
      </c>
      <c r="X848" s="12">
        <f t="shared" si="92"/>
        <v>1756</v>
      </c>
      <c r="Y848" s="11">
        <f t="shared" si="93"/>
        <v>1756</v>
      </c>
      <c r="AC848" t="s">
        <v>26</v>
      </c>
      <c r="AD848" t="s">
        <v>5442</v>
      </c>
      <c r="AE848" t="s">
        <v>5443</v>
      </c>
      <c r="AF848" t="s">
        <v>29</v>
      </c>
      <c r="AG848" t="s">
        <v>30</v>
      </c>
      <c r="AH848" t="s">
        <v>31</v>
      </c>
      <c r="AK848" t="s">
        <v>5442</v>
      </c>
      <c r="AL848" t="s">
        <v>1967</v>
      </c>
      <c r="AM848" t="s">
        <v>5403</v>
      </c>
      <c r="AN848" s="8">
        <v>3.33</v>
      </c>
      <c r="AO848">
        <v>199.694880401046</v>
      </c>
      <c r="AP848">
        <v>1909</v>
      </c>
      <c r="AQ848" s="9">
        <v>0.419482432432432</v>
      </c>
      <c r="AR848" t="s">
        <v>1537</v>
      </c>
      <c r="AT848" s="15" t="s">
        <v>69</v>
      </c>
      <c r="AW848" s="11" t="str">
        <f t="shared" si="94"/>
        <v>EN_WOF_42_c02_PRT</v>
      </c>
      <c r="AX848" s="11">
        <f t="shared" si="95"/>
        <v>1909</v>
      </c>
      <c r="AY848" s="11">
        <f t="shared" si="96"/>
        <v>1909</v>
      </c>
      <c r="AZ848" s="17">
        <v>3</v>
      </c>
      <c r="BA848">
        <f t="shared" si="97"/>
        <v>19.09</v>
      </c>
    </row>
    <row r="849" spans="2:53">
      <c r="B849" t="s">
        <v>26</v>
      </c>
      <c r="C849" t="s">
        <v>5444</v>
      </c>
      <c r="D849" t="s">
        <v>5445</v>
      </c>
      <c r="E849" t="s">
        <v>29</v>
      </c>
      <c r="F849" t="s">
        <v>30</v>
      </c>
      <c r="G849" t="s">
        <v>31</v>
      </c>
      <c r="J849" t="s">
        <v>5444</v>
      </c>
      <c r="K849" t="s">
        <v>1967</v>
      </c>
      <c r="L849" t="s">
        <v>3674</v>
      </c>
      <c r="M849" s="8">
        <v>0.798</v>
      </c>
      <c r="N849">
        <v>0</v>
      </c>
      <c r="O849">
        <v>1756</v>
      </c>
      <c r="P849" s="9">
        <v>0.499453007518797</v>
      </c>
      <c r="Q849" t="s">
        <v>736</v>
      </c>
      <c r="T849" s="15" t="s">
        <v>69</v>
      </c>
      <c r="W849" s="16" t="str">
        <f t="shared" si="91"/>
        <v>EN_WON_50_c01_GBR</v>
      </c>
      <c r="X849" s="12">
        <f t="shared" si="92"/>
        <v>1756</v>
      </c>
      <c r="Y849" s="11">
        <f t="shared" si="93"/>
        <v>1756</v>
      </c>
      <c r="AC849" t="s">
        <v>26</v>
      </c>
      <c r="AD849" t="s">
        <v>5446</v>
      </c>
      <c r="AE849" t="s">
        <v>5447</v>
      </c>
      <c r="AF849" t="s">
        <v>29</v>
      </c>
      <c r="AG849" t="s">
        <v>30</v>
      </c>
      <c r="AH849" t="s">
        <v>31</v>
      </c>
      <c r="AK849" t="s">
        <v>5446</v>
      </c>
      <c r="AL849" t="s">
        <v>1967</v>
      </c>
      <c r="AM849" t="s">
        <v>5448</v>
      </c>
      <c r="AN849" s="8">
        <v>14.0655</v>
      </c>
      <c r="AO849">
        <v>199.694880401046</v>
      </c>
      <c r="AP849">
        <v>1540</v>
      </c>
      <c r="AQ849" s="9">
        <v>0.304</v>
      </c>
      <c r="AR849" t="s">
        <v>1565</v>
      </c>
      <c r="AT849" s="15" t="s">
        <v>112</v>
      </c>
      <c r="AW849" s="11" t="str">
        <f t="shared" si="94"/>
        <v>EN_WOF_30_c02_RUS</v>
      </c>
      <c r="AX849" s="11">
        <f t="shared" si="95"/>
        <v>1540</v>
      </c>
      <c r="AY849" s="11">
        <f t="shared" si="96"/>
        <v>1540</v>
      </c>
      <c r="AZ849" s="17">
        <v>3</v>
      </c>
      <c r="BA849">
        <f t="shared" si="97"/>
        <v>15.4</v>
      </c>
    </row>
    <row r="850" spans="2:53">
      <c r="B850" t="s">
        <v>26</v>
      </c>
      <c r="C850" t="s">
        <v>5449</v>
      </c>
      <c r="D850" t="s">
        <v>5450</v>
      </c>
      <c r="E850" t="s">
        <v>29</v>
      </c>
      <c r="F850" t="s">
        <v>30</v>
      </c>
      <c r="G850" t="s">
        <v>31</v>
      </c>
      <c r="J850" t="s">
        <v>5449</v>
      </c>
      <c r="K850" t="s">
        <v>1967</v>
      </c>
      <c r="L850" t="s">
        <v>3674</v>
      </c>
      <c r="M850" s="8">
        <v>0.5715</v>
      </c>
      <c r="N850">
        <v>0</v>
      </c>
      <c r="O850">
        <v>1756</v>
      </c>
      <c r="P850" s="9">
        <v>0.508</v>
      </c>
      <c r="Q850" t="s">
        <v>736</v>
      </c>
      <c r="T850" s="15" t="s">
        <v>69</v>
      </c>
      <c r="W850" s="16" t="str">
        <f t="shared" si="91"/>
        <v>EN_WON_51_c01_GBR</v>
      </c>
      <c r="X850" s="12">
        <f t="shared" si="92"/>
        <v>1756</v>
      </c>
      <c r="Y850" s="11">
        <f t="shared" si="93"/>
        <v>1756</v>
      </c>
      <c r="AC850" t="s">
        <v>26</v>
      </c>
      <c r="AD850" t="s">
        <v>5451</v>
      </c>
      <c r="AE850" t="s">
        <v>5452</v>
      </c>
      <c r="AF850" t="s">
        <v>29</v>
      </c>
      <c r="AG850" t="s">
        <v>30</v>
      </c>
      <c r="AH850" t="s">
        <v>31</v>
      </c>
      <c r="AK850" t="s">
        <v>5451</v>
      </c>
      <c r="AL850" t="s">
        <v>1967</v>
      </c>
      <c r="AM850" t="s">
        <v>5448</v>
      </c>
      <c r="AN850" s="8">
        <v>47.0385</v>
      </c>
      <c r="AO850">
        <v>199.694880401046</v>
      </c>
      <c r="AP850">
        <v>1540</v>
      </c>
      <c r="AQ850" s="9">
        <v>0.309927819764661</v>
      </c>
      <c r="AR850" t="s">
        <v>1565</v>
      </c>
      <c r="AT850" s="15" t="s">
        <v>112</v>
      </c>
      <c r="AW850" s="11" t="str">
        <f t="shared" si="94"/>
        <v>EN_WOF_31_c02_RUS</v>
      </c>
      <c r="AX850" s="11">
        <f t="shared" si="95"/>
        <v>1540</v>
      </c>
      <c r="AY850" s="11">
        <f t="shared" si="96"/>
        <v>1540</v>
      </c>
      <c r="AZ850" s="17">
        <v>3</v>
      </c>
      <c r="BA850">
        <f t="shared" si="97"/>
        <v>15.4</v>
      </c>
    </row>
    <row r="851" spans="2:53">
      <c r="B851" t="s">
        <v>26</v>
      </c>
      <c r="C851" t="s">
        <v>5453</v>
      </c>
      <c r="D851" t="s">
        <v>5454</v>
      </c>
      <c r="E851" t="s">
        <v>29</v>
      </c>
      <c r="F851" t="s">
        <v>30</v>
      </c>
      <c r="G851" t="s">
        <v>31</v>
      </c>
      <c r="J851" t="s">
        <v>5453</v>
      </c>
      <c r="K851" t="s">
        <v>1967</v>
      </c>
      <c r="L851" t="s">
        <v>3674</v>
      </c>
      <c r="M851" s="8">
        <v>0.2775</v>
      </c>
      <c r="N851">
        <v>0</v>
      </c>
      <c r="O851">
        <v>1756</v>
      </c>
      <c r="P851" s="9">
        <v>0.52185945945946</v>
      </c>
      <c r="Q851" t="s">
        <v>736</v>
      </c>
      <c r="T851" s="15" t="s">
        <v>69</v>
      </c>
      <c r="W851" s="16" t="str">
        <f t="shared" si="91"/>
        <v>EN_WON_52_c01_GBR</v>
      </c>
      <c r="X851" s="12">
        <f t="shared" si="92"/>
        <v>1756</v>
      </c>
      <c r="Y851" s="11">
        <f t="shared" si="93"/>
        <v>1756</v>
      </c>
      <c r="AC851" t="s">
        <v>26</v>
      </c>
      <c r="AD851" t="s">
        <v>5455</v>
      </c>
      <c r="AE851" t="s">
        <v>5456</v>
      </c>
      <c r="AF851" t="s">
        <v>29</v>
      </c>
      <c r="AG851" t="s">
        <v>30</v>
      </c>
      <c r="AH851" t="s">
        <v>31</v>
      </c>
      <c r="AK851" t="s">
        <v>5455</v>
      </c>
      <c r="AL851" t="s">
        <v>1967</v>
      </c>
      <c r="AM851" t="s">
        <v>5448</v>
      </c>
      <c r="AN851" s="8">
        <v>20.9265</v>
      </c>
      <c r="AO851">
        <v>199.694880401046</v>
      </c>
      <c r="AP851">
        <v>1540</v>
      </c>
      <c r="AQ851" s="9">
        <v>0.318265572360404</v>
      </c>
      <c r="AR851" t="s">
        <v>1565</v>
      </c>
      <c r="AT851" s="15" t="s">
        <v>112</v>
      </c>
      <c r="AW851" s="11" t="str">
        <f t="shared" si="94"/>
        <v>EN_WOF_32_c02_RUS</v>
      </c>
      <c r="AX851" s="11">
        <f t="shared" si="95"/>
        <v>1540</v>
      </c>
      <c r="AY851" s="11">
        <f t="shared" si="96"/>
        <v>1540</v>
      </c>
      <c r="AZ851" s="17">
        <v>3</v>
      </c>
      <c r="BA851">
        <f t="shared" si="97"/>
        <v>15.4</v>
      </c>
    </row>
    <row r="852" spans="2:53">
      <c r="B852" t="s">
        <v>26</v>
      </c>
      <c r="C852" t="s">
        <v>5457</v>
      </c>
      <c r="D852" t="s">
        <v>5458</v>
      </c>
      <c r="E852" t="s">
        <v>29</v>
      </c>
      <c r="F852" t="s">
        <v>30</v>
      </c>
      <c r="G852" t="s">
        <v>31</v>
      </c>
      <c r="J852" t="s">
        <v>5457</v>
      </c>
      <c r="K852" t="s">
        <v>1967</v>
      </c>
      <c r="L852" t="s">
        <v>5459</v>
      </c>
      <c r="M852" s="8">
        <v>0.72675</v>
      </c>
      <c r="N852">
        <v>80.7856561622413</v>
      </c>
      <c r="O852">
        <v>1756</v>
      </c>
      <c r="P852" s="9">
        <v>0.217</v>
      </c>
      <c r="Q852" t="s">
        <v>750</v>
      </c>
      <c r="T852" s="15" t="s">
        <v>112</v>
      </c>
      <c r="W852" s="16" t="str">
        <f t="shared" si="91"/>
        <v>EN_WON_22_c02_GEO</v>
      </c>
      <c r="X852" s="12">
        <f t="shared" si="92"/>
        <v>1756</v>
      </c>
      <c r="Y852" s="11">
        <f t="shared" si="93"/>
        <v>1756</v>
      </c>
      <c r="AC852" t="s">
        <v>26</v>
      </c>
      <c r="AD852" t="s">
        <v>5460</v>
      </c>
      <c r="AE852" t="s">
        <v>5461</v>
      </c>
      <c r="AF852" t="s">
        <v>29</v>
      </c>
      <c r="AG852" t="s">
        <v>30</v>
      </c>
      <c r="AH852" t="s">
        <v>31</v>
      </c>
      <c r="AK852" t="s">
        <v>5460</v>
      </c>
      <c r="AL852" t="s">
        <v>1967</v>
      </c>
      <c r="AM852" t="s">
        <v>5448</v>
      </c>
      <c r="AN852" s="8">
        <v>62.0085</v>
      </c>
      <c r="AO852">
        <v>199.694880401046</v>
      </c>
      <c r="AP852">
        <v>1540</v>
      </c>
      <c r="AQ852" s="9">
        <v>0.32901213140134</v>
      </c>
      <c r="AR852" t="s">
        <v>1565</v>
      </c>
      <c r="AT852" s="15" t="s">
        <v>112</v>
      </c>
      <c r="AW852" s="11" t="str">
        <f t="shared" si="94"/>
        <v>EN_WOF_33_c02_RUS</v>
      </c>
      <c r="AX852" s="11">
        <f t="shared" si="95"/>
        <v>1540</v>
      </c>
      <c r="AY852" s="11">
        <f t="shared" si="96"/>
        <v>1540</v>
      </c>
      <c r="AZ852" s="17">
        <v>3</v>
      </c>
      <c r="BA852">
        <f t="shared" si="97"/>
        <v>15.4</v>
      </c>
    </row>
    <row r="853" spans="2:53">
      <c r="B853" t="s">
        <v>26</v>
      </c>
      <c r="C853" t="s">
        <v>5462</v>
      </c>
      <c r="D853" t="s">
        <v>5463</v>
      </c>
      <c r="E853" t="s">
        <v>29</v>
      </c>
      <c r="F853" t="s">
        <v>30</v>
      </c>
      <c r="G853" t="s">
        <v>31</v>
      </c>
      <c r="J853" t="s">
        <v>5462</v>
      </c>
      <c r="K853" t="s">
        <v>1967</v>
      </c>
      <c r="L853" t="s">
        <v>5459</v>
      </c>
      <c r="M853" s="8">
        <v>0.006</v>
      </c>
      <c r="N853">
        <v>145.23264029167</v>
      </c>
      <c r="O853">
        <v>1756</v>
      </c>
      <c r="P853" s="9">
        <v>0.22</v>
      </c>
      <c r="Q853" t="s">
        <v>750</v>
      </c>
      <c r="T853" s="15" t="s">
        <v>112</v>
      </c>
      <c r="W853" s="16" t="str">
        <f t="shared" si="91"/>
        <v>EN_WON_22_c04_GEO</v>
      </c>
      <c r="X853" s="12">
        <f t="shared" si="92"/>
        <v>1756</v>
      </c>
      <c r="Y853" s="11">
        <f t="shared" si="93"/>
        <v>1756</v>
      </c>
      <c r="AC853" t="s">
        <v>26</v>
      </c>
      <c r="AD853" t="s">
        <v>5464</v>
      </c>
      <c r="AE853" t="s">
        <v>5465</v>
      </c>
      <c r="AF853" t="s">
        <v>29</v>
      </c>
      <c r="AG853" t="s">
        <v>30</v>
      </c>
      <c r="AH853" t="s">
        <v>31</v>
      </c>
      <c r="AK853" t="s">
        <v>5464</v>
      </c>
      <c r="AL853" t="s">
        <v>1967</v>
      </c>
      <c r="AM853" t="s">
        <v>5448</v>
      </c>
      <c r="AN853" s="8">
        <v>32.982</v>
      </c>
      <c r="AO853">
        <v>199.694880401046</v>
      </c>
      <c r="AP853">
        <v>1540</v>
      </c>
      <c r="AQ853" s="9">
        <v>0.338683463707477</v>
      </c>
      <c r="AR853" t="s">
        <v>1565</v>
      </c>
      <c r="AT853" s="15" t="s">
        <v>112</v>
      </c>
      <c r="AW853" s="11" t="str">
        <f t="shared" si="94"/>
        <v>EN_WOF_34_c02_RUS</v>
      </c>
      <c r="AX853" s="11">
        <f t="shared" si="95"/>
        <v>1540</v>
      </c>
      <c r="AY853" s="11">
        <f t="shared" si="96"/>
        <v>1540</v>
      </c>
      <c r="AZ853" s="17">
        <v>3</v>
      </c>
      <c r="BA853">
        <f t="shared" si="97"/>
        <v>15.4</v>
      </c>
    </row>
    <row r="854" spans="2:53">
      <c r="B854" t="s">
        <v>26</v>
      </c>
      <c r="C854" t="s">
        <v>5466</v>
      </c>
      <c r="D854" t="s">
        <v>5467</v>
      </c>
      <c r="E854" t="s">
        <v>29</v>
      </c>
      <c r="F854" t="s">
        <v>30</v>
      </c>
      <c r="G854" t="s">
        <v>31</v>
      </c>
      <c r="J854" t="s">
        <v>5466</v>
      </c>
      <c r="K854" t="s">
        <v>1967</v>
      </c>
      <c r="L854" t="s">
        <v>5459</v>
      </c>
      <c r="M854" s="8">
        <v>0.86475</v>
      </c>
      <c r="N854">
        <v>105.747516212372</v>
      </c>
      <c r="O854">
        <v>1756</v>
      </c>
      <c r="P854" s="9">
        <v>0.227</v>
      </c>
      <c r="Q854" t="s">
        <v>750</v>
      </c>
      <c r="T854" s="15" t="s">
        <v>112</v>
      </c>
      <c r="W854" s="16" t="str">
        <f t="shared" si="91"/>
        <v>EN_WON_23_c03_GEO</v>
      </c>
      <c r="X854" s="12">
        <f t="shared" si="92"/>
        <v>1756</v>
      </c>
      <c r="Y854" s="11">
        <f t="shared" si="93"/>
        <v>1756</v>
      </c>
      <c r="AC854" t="s">
        <v>26</v>
      </c>
      <c r="AD854" t="s">
        <v>5468</v>
      </c>
      <c r="AE854" t="s">
        <v>5469</v>
      </c>
      <c r="AF854" t="s">
        <v>29</v>
      </c>
      <c r="AG854" t="s">
        <v>30</v>
      </c>
      <c r="AH854" t="s">
        <v>31</v>
      </c>
      <c r="AK854" t="s">
        <v>5468</v>
      </c>
      <c r="AL854" t="s">
        <v>1967</v>
      </c>
      <c r="AM854" t="s">
        <v>5448</v>
      </c>
      <c r="AN854" s="8">
        <v>191.529</v>
      </c>
      <c r="AO854">
        <v>199.694880401046</v>
      </c>
      <c r="AP854">
        <v>1540</v>
      </c>
      <c r="AQ854" s="9">
        <v>0.350584261391225</v>
      </c>
      <c r="AR854" t="s">
        <v>1565</v>
      </c>
      <c r="AT854" s="15" t="s">
        <v>112</v>
      </c>
      <c r="AW854" s="11" t="str">
        <f t="shared" si="94"/>
        <v>EN_WOF_35_c02_RUS</v>
      </c>
      <c r="AX854" s="11">
        <f t="shared" si="95"/>
        <v>1540</v>
      </c>
      <c r="AY854" s="11">
        <f t="shared" si="96"/>
        <v>1540</v>
      </c>
      <c r="AZ854" s="17">
        <v>3</v>
      </c>
      <c r="BA854">
        <f t="shared" si="97"/>
        <v>15.4</v>
      </c>
    </row>
    <row r="855" spans="2:53">
      <c r="B855" t="s">
        <v>26</v>
      </c>
      <c r="C855" t="s">
        <v>5470</v>
      </c>
      <c r="D855" t="s">
        <v>5471</v>
      </c>
      <c r="E855" t="s">
        <v>29</v>
      </c>
      <c r="F855" t="s">
        <v>30</v>
      </c>
      <c r="G855" t="s">
        <v>31</v>
      </c>
      <c r="J855" t="s">
        <v>5470</v>
      </c>
      <c r="K855" t="s">
        <v>1967</v>
      </c>
      <c r="L855" t="s">
        <v>5459</v>
      </c>
      <c r="M855" s="8">
        <v>0.024</v>
      </c>
      <c r="N855">
        <v>145.23264029167</v>
      </c>
      <c r="O855">
        <v>1756</v>
      </c>
      <c r="P855" s="9">
        <v>0.234</v>
      </c>
      <c r="Q855" t="s">
        <v>750</v>
      </c>
      <c r="T855" s="15" t="s">
        <v>112</v>
      </c>
      <c r="W855" s="16" t="str">
        <f t="shared" si="91"/>
        <v>EN_WON_23_c04_GEO</v>
      </c>
      <c r="X855" s="12">
        <f t="shared" si="92"/>
        <v>1756</v>
      </c>
      <c r="Y855" s="11">
        <f t="shared" si="93"/>
        <v>1756</v>
      </c>
      <c r="AC855" t="s">
        <v>26</v>
      </c>
      <c r="AD855" t="s">
        <v>5472</v>
      </c>
      <c r="AE855" t="s">
        <v>5473</v>
      </c>
      <c r="AF855" t="s">
        <v>29</v>
      </c>
      <c r="AG855" t="s">
        <v>30</v>
      </c>
      <c r="AH855" t="s">
        <v>31</v>
      </c>
      <c r="AK855" t="s">
        <v>5472</v>
      </c>
      <c r="AL855" t="s">
        <v>1967</v>
      </c>
      <c r="AM855" t="s">
        <v>5448</v>
      </c>
      <c r="AN855" s="8">
        <v>161.22</v>
      </c>
      <c r="AO855">
        <v>199.694880401046</v>
      </c>
      <c r="AP855">
        <v>1540</v>
      </c>
      <c r="AQ855" s="9">
        <v>0.360031470971343</v>
      </c>
      <c r="AR855" t="s">
        <v>1565</v>
      </c>
      <c r="AT855" s="15" t="s">
        <v>112</v>
      </c>
      <c r="AW855" s="11" t="str">
        <f t="shared" si="94"/>
        <v>EN_WOF_36_c02_RUS</v>
      </c>
      <c r="AX855" s="11">
        <f t="shared" si="95"/>
        <v>1540</v>
      </c>
      <c r="AY855" s="11">
        <f t="shared" si="96"/>
        <v>1540</v>
      </c>
      <c r="AZ855" s="17">
        <v>3</v>
      </c>
      <c r="BA855">
        <f t="shared" si="97"/>
        <v>15.4</v>
      </c>
    </row>
    <row r="856" spans="2:53">
      <c r="B856" t="s">
        <v>26</v>
      </c>
      <c r="C856" t="s">
        <v>5474</v>
      </c>
      <c r="D856" t="s">
        <v>5475</v>
      </c>
      <c r="E856" t="s">
        <v>29</v>
      </c>
      <c r="F856" t="s">
        <v>30</v>
      </c>
      <c r="G856" t="s">
        <v>31</v>
      </c>
      <c r="J856" t="s">
        <v>5474</v>
      </c>
      <c r="K856" t="s">
        <v>1967</v>
      </c>
      <c r="L856" t="s">
        <v>5459</v>
      </c>
      <c r="M856" s="8">
        <v>0.19725</v>
      </c>
      <c r="N856">
        <v>105.747516212372</v>
      </c>
      <c r="O856">
        <v>1756</v>
      </c>
      <c r="P856" s="9">
        <v>0.235083650190114</v>
      </c>
      <c r="Q856" t="s">
        <v>750</v>
      </c>
      <c r="T856" s="15" t="s">
        <v>112</v>
      </c>
      <c r="W856" s="16" t="str">
        <f t="shared" si="91"/>
        <v>EN_WON_24_c03_GEO</v>
      </c>
      <c r="X856" s="12">
        <f t="shared" si="92"/>
        <v>1756</v>
      </c>
      <c r="Y856" s="11">
        <f t="shared" si="93"/>
        <v>1756</v>
      </c>
      <c r="AC856" t="s">
        <v>26</v>
      </c>
      <c r="AD856" t="s">
        <v>5476</v>
      </c>
      <c r="AE856" t="s">
        <v>5477</v>
      </c>
      <c r="AF856" t="s">
        <v>29</v>
      </c>
      <c r="AG856" t="s">
        <v>30</v>
      </c>
      <c r="AH856" t="s">
        <v>31</v>
      </c>
      <c r="AK856" t="s">
        <v>5476</v>
      </c>
      <c r="AL856" t="s">
        <v>1967</v>
      </c>
      <c r="AM856" t="s">
        <v>5448</v>
      </c>
      <c r="AN856" s="8">
        <v>391.626</v>
      </c>
      <c r="AO856">
        <v>199.694880401046</v>
      </c>
      <c r="AP856">
        <v>1540</v>
      </c>
      <c r="AQ856" s="9">
        <v>0.369692872791898</v>
      </c>
      <c r="AR856" t="s">
        <v>1565</v>
      </c>
      <c r="AT856" s="15" t="s">
        <v>112</v>
      </c>
      <c r="AW856" s="11" t="str">
        <f t="shared" si="94"/>
        <v>EN_WOF_37_c02_RUS</v>
      </c>
      <c r="AX856" s="11">
        <f t="shared" si="95"/>
        <v>1540</v>
      </c>
      <c r="AY856" s="11">
        <f t="shared" si="96"/>
        <v>1540</v>
      </c>
      <c r="AZ856" s="17">
        <v>3</v>
      </c>
      <c r="BA856">
        <f t="shared" si="97"/>
        <v>15.4</v>
      </c>
    </row>
    <row r="857" spans="2:53">
      <c r="B857" t="s">
        <v>26</v>
      </c>
      <c r="C857" t="s">
        <v>5478</v>
      </c>
      <c r="D857" t="s">
        <v>5479</v>
      </c>
      <c r="E857" t="s">
        <v>29</v>
      </c>
      <c r="F857" t="s">
        <v>30</v>
      </c>
      <c r="G857" t="s">
        <v>31</v>
      </c>
      <c r="J857" t="s">
        <v>5478</v>
      </c>
      <c r="K857" t="s">
        <v>1967</v>
      </c>
      <c r="L857" t="s">
        <v>5459</v>
      </c>
      <c r="M857" s="8">
        <v>0.06075</v>
      </c>
      <c r="N857">
        <v>145.23264029167</v>
      </c>
      <c r="O857">
        <v>1756</v>
      </c>
      <c r="P857" s="9">
        <v>0.235</v>
      </c>
      <c r="Q857" t="s">
        <v>750</v>
      </c>
      <c r="T857" s="15" t="s">
        <v>112</v>
      </c>
      <c r="W857" s="16" t="str">
        <f t="shared" si="91"/>
        <v>EN_WON_24_c04_GEO</v>
      </c>
      <c r="X857" s="12">
        <f t="shared" si="92"/>
        <v>1756</v>
      </c>
      <c r="Y857" s="11">
        <f t="shared" si="93"/>
        <v>1756</v>
      </c>
      <c r="AC857" t="s">
        <v>26</v>
      </c>
      <c r="AD857" t="s">
        <v>5480</v>
      </c>
      <c r="AE857" t="s">
        <v>5481</v>
      </c>
      <c r="AF857" t="s">
        <v>29</v>
      </c>
      <c r="AG857" t="s">
        <v>30</v>
      </c>
      <c r="AH857" t="s">
        <v>31</v>
      </c>
      <c r="AK857" t="s">
        <v>5480</v>
      </c>
      <c r="AL857" t="s">
        <v>1967</v>
      </c>
      <c r="AM857" t="s">
        <v>5448</v>
      </c>
      <c r="AN857" s="8">
        <v>271.512</v>
      </c>
      <c r="AO857">
        <v>199.694880401046</v>
      </c>
      <c r="AP857">
        <v>1540</v>
      </c>
      <c r="AQ857" s="9">
        <v>0.379804276606559</v>
      </c>
      <c r="AR857" t="s">
        <v>1565</v>
      </c>
      <c r="AT857" s="15" t="s">
        <v>112</v>
      </c>
      <c r="AW857" s="11" t="str">
        <f t="shared" si="94"/>
        <v>EN_WOF_38_c02_RUS</v>
      </c>
      <c r="AX857" s="11">
        <f t="shared" si="95"/>
        <v>1540</v>
      </c>
      <c r="AY857" s="11">
        <f t="shared" si="96"/>
        <v>1540</v>
      </c>
      <c r="AZ857" s="17">
        <v>3</v>
      </c>
      <c r="BA857">
        <f t="shared" si="97"/>
        <v>15.4</v>
      </c>
    </row>
    <row r="858" spans="2:53">
      <c r="B858" t="s">
        <v>26</v>
      </c>
      <c r="C858" t="s">
        <v>5482</v>
      </c>
      <c r="D858" t="s">
        <v>5483</v>
      </c>
      <c r="E858" t="s">
        <v>29</v>
      </c>
      <c r="F858" t="s">
        <v>30</v>
      </c>
      <c r="G858" t="s">
        <v>31</v>
      </c>
      <c r="J858" t="s">
        <v>5482</v>
      </c>
      <c r="K858" t="s">
        <v>1967</v>
      </c>
      <c r="L858" t="s">
        <v>5459</v>
      </c>
      <c r="M858" s="8">
        <v>0.4245</v>
      </c>
      <c r="N858">
        <v>145.23264029167</v>
      </c>
      <c r="O858">
        <v>1756</v>
      </c>
      <c r="P858" s="9">
        <v>0.253</v>
      </c>
      <c r="Q858" t="s">
        <v>750</v>
      </c>
      <c r="T858" s="15" t="s">
        <v>112</v>
      </c>
      <c r="W858" s="16" t="str">
        <f t="shared" si="91"/>
        <v>EN_WON_25_c04_GEO</v>
      </c>
      <c r="X858" s="12">
        <f t="shared" si="92"/>
        <v>1756</v>
      </c>
      <c r="Y858" s="11">
        <f t="shared" si="93"/>
        <v>1756</v>
      </c>
      <c r="AC858" t="s">
        <v>26</v>
      </c>
      <c r="AD858" t="s">
        <v>5484</v>
      </c>
      <c r="AE858" t="s">
        <v>5485</v>
      </c>
      <c r="AF858" t="s">
        <v>29</v>
      </c>
      <c r="AG858" t="s">
        <v>30</v>
      </c>
      <c r="AH858" t="s">
        <v>31</v>
      </c>
      <c r="AK858" t="s">
        <v>5484</v>
      </c>
      <c r="AL858" t="s">
        <v>1967</v>
      </c>
      <c r="AM858" t="s">
        <v>5448</v>
      </c>
      <c r="AN858" s="8">
        <v>628.9605</v>
      </c>
      <c r="AO858">
        <v>199.694880401046</v>
      </c>
      <c r="AP858">
        <v>1540</v>
      </c>
      <c r="AQ858" s="9">
        <v>0.389564554133367</v>
      </c>
      <c r="AR858" t="s">
        <v>1565</v>
      </c>
      <c r="AT858" s="15" t="s">
        <v>112</v>
      </c>
      <c r="AW858" s="11" t="str">
        <f t="shared" si="94"/>
        <v>EN_WOF_39_c02_RUS</v>
      </c>
      <c r="AX858" s="11">
        <f t="shared" si="95"/>
        <v>1540</v>
      </c>
      <c r="AY858" s="11">
        <f t="shared" si="96"/>
        <v>1540</v>
      </c>
      <c r="AZ858" s="17">
        <v>3</v>
      </c>
      <c r="BA858">
        <f t="shared" si="97"/>
        <v>15.4</v>
      </c>
    </row>
    <row r="859" spans="2:53">
      <c r="B859" t="s">
        <v>26</v>
      </c>
      <c r="C859" t="s">
        <v>5486</v>
      </c>
      <c r="D859" t="s">
        <v>5487</v>
      </c>
      <c r="E859" t="s">
        <v>29</v>
      </c>
      <c r="F859" t="s">
        <v>30</v>
      </c>
      <c r="G859" t="s">
        <v>31</v>
      </c>
      <c r="J859" t="s">
        <v>5486</v>
      </c>
      <c r="K859" t="s">
        <v>1967</v>
      </c>
      <c r="L859" t="s">
        <v>5459</v>
      </c>
      <c r="M859" s="8">
        <v>0.00825</v>
      </c>
      <c r="N859">
        <v>80.7856561622413</v>
      </c>
      <c r="O859">
        <v>1756</v>
      </c>
      <c r="P859" s="9">
        <v>0.279</v>
      </c>
      <c r="Q859" t="s">
        <v>750</v>
      </c>
      <c r="T859" s="15" t="s">
        <v>112</v>
      </c>
      <c r="W859" s="16" t="str">
        <f t="shared" si="91"/>
        <v>EN_WON_28_c02_GEO</v>
      </c>
      <c r="X859" s="12">
        <f t="shared" si="92"/>
        <v>1756</v>
      </c>
      <c r="Y859" s="11">
        <f t="shared" si="93"/>
        <v>1756</v>
      </c>
      <c r="AC859" t="s">
        <v>26</v>
      </c>
      <c r="AD859" t="s">
        <v>5488</v>
      </c>
      <c r="AE859" t="s">
        <v>5489</v>
      </c>
      <c r="AF859" t="s">
        <v>29</v>
      </c>
      <c r="AG859" t="s">
        <v>30</v>
      </c>
      <c r="AH859" t="s">
        <v>31</v>
      </c>
      <c r="AK859" t="s">
        <v>5488</v>
      </c>
      <c r="AL859" t="s">
        <v>1967</v>
      </c>
      <c r="AM859" t="s">
        <v>5448</v>
      </c>
      <c r="AN859" s="8">
        <v>861.147</v>
      </c>
      <c r="AO859">
        <v>199.694880401046</v>
      </c>
      <c r="AP859">
        <v>1540</v>
      </c>
      <c r="AQ859" s="9">
        <v>0.399470403136747</v>
      </c>
      <c r="AR859" t="s">
        <v>1565</v>
      </c>
      <c r="AT859" s="15" t="s">
        <v>112</v>
      </c>
      <c r="AW859" s="11" t="str">
        <f t="shared" si="94"/>
        <v>EN_WOF_40_c02_RUS</v>
      </c>
      <c r="AX859" s="11">
        <f t="shared" si="95"/>
        <v>1540</v>
      </c>
      <c r="AY859" s="11">
        <f t="shared" si="96"/>
        <v>1540</v>
      </c>
      <c r="AZ859" s="17">
        <v>3</v>
      </c>
      <c r="BA859">
        <f t="shared" si="97"/>
        <v>15.4</v>
      </c>
    </row>
    <row r="860" spans="2:53">
      <c r="B860" t="s">
        <v>26</v>
      </c>
      <c r="C860" t="s">
        <v>5490</v>
      </c>
      <c r="D860" t="s">
        <v>5491</v>
      </c>
      <c r="E860" t="s">
        <v>29</v>
      </c>
      <c r="F860" t="s">
        <v>30</v>
      </c>
      <c r="G860" t="s">
        <v>31</v>
      </c>
      <c r="J860" t="s">
        <v>5490</v>
      </c>
      <c r="K860" t="s">
        <v>1967</v>
      </c>
      <c r="L860" t="s">
        <v>5459</v>
      </c>
      <c r="M860" s="8">
        <v>2.14725</v>
      </c>
      <c r="N860">
        <v>105.747516212372</v>
      </c>
      <c r="O860">
        <v>1756</v>
      </c>
      <c r="P860" s="9">
        <v>0.282440447083479</v>
      </c>
      <c r="Q860" t="s">
        <v>750</v>
      </c>
      <c r="T860" s="15" t="s">
        <v>112</v>
      </c>
      <c r="W860" s="16" t="str">
        <f t="shared" si="91"/>
        <v>EN_WON_28_c03_GEO</v>
      </c>
      <c r="X860" s="12">
        <f t="shared" si="92"/>
        <v>1756</v>
      </c>
      <c r="Y860" s="11">
        <f t="shared" si="93"/>
        <v>1756</v>
      </c>
      <c r="AC860" t="s">
        <v>26</v>
      </c>
      <c r="AD860" t="s">
        <v>5492</v>
      </c>
      <c r="AE860" t="s">
        <v>5493</v>
      </c>
      <c r="AF860" t="s">
        <v>29</v>
      </c>
      <c r="AG860" t="s">
        <v>30</v>
      </c>
      <c r="AH860" t="s">
        <v>31</v>
      </c>
      <c r="AK860" t="s">
        <v>5492</v>
      </c>
      <c r="AL860" t="s">
        <v>1967</v>
      </c>
      <c r="AM860" t="s">
        <v>5448</v>
      </c>
      <c r="AN860" s="8">
        <v>980.54625</v>
      </c>
      <c r="AO860">
        <v>199.694880401046</v>
      </c>
      <c r="AP860">
        <v>1540</v>
      </c>
      <c r="AQ860" s="9">
        <v>0.409718527300471</v>
      </c>
      <c r="AR860" t="s">
        <v>1565</v>
      </c>
      <c r="AT860" s="15" t="s">
        <v>112</v>
      </c>
      <c r="AW860" s="11" t="str">
        <f t="shared" si="94"/>
        <v>EN_WOF_41_c02_RUS</v>
      </c>
      <c r="AX860" s="11">
        <f t="shared" si="95"/>
        <v>1540</v>
      </c>
      <c r="AY860" s="11">
        <f t="shared" si="96"/>
        <v>1540</v>
      </c>
      <c r="AZ860" s="17">
        <v>3</v>
      </c>
      <c r="BA860">
        <f t="shared" si="97"/>
        <v>15.4</v>
      </c>
    </row>
    <row r="861" spans="2:53">
      <c r="B861" t="s">
        <v>26</v>
      </c>
      <c r="C861" t="s">
        <v>5494</v>
      </c>
      <c r="D861" t="s">
        <v>5495</v>
      </c>
      <c r="E861" t="s">
        <v>29</v>
      </c>
      <c r="F861" t="s">
        <v>30</v>
      </c>
      <c r="G861" t="s">
        <v>31</v>
      </c>
      <c r="J861" t="s">
        <v>5494</v>
      </c>
      <c r="K861" t="s">
        <v>1967</v>
      </c>
      <c r="L861" t="s">
        <v>5459</v>
      </c>
      <c r="M861" s="8">
        <v>0.51375</v>
      </c>
      <c r="N861">
        <v>145.23264029167</v>
      </c>
      <c r="O861">
        <v>1756</v>
      </c>
      <c r="P861" s="9">
        <v>0.285</v>
      </c>
      <c r="Q861" t="s">
        <v>750</v>
      </c>
      <c r="T861" s="15" t="s">
        <v>112</v>
      </c>
      <c r="W861" s="16" t="str">
        <f t="shared" si="91"/>
        <v>EN_WON_28_c04_GEO</v>
      </c>
      <c r="X861" s="12">
        <f t="shared" si="92"/>
        <v>1756</v>
      </c>
      <c r="Y861" s="11">
        <f t="shared" si="93"/>
        <v>1756</v>
      </c>
      <c r="AC861" t="s">
        <v>26</v>
      </c>
      <c r="AD861" t="s">
        <v>5496</v>
      </c>
      <c r="AE861" t="s">
        <v>5497</v>
      </c>
      <c r="AF861" t="s">
        <v>29</v>
      </c>
      <c r="AG861" t="s">
        <v>30</v>
      </c>
      <c r="AH861" t="s">
        <v>31</v>
      </c>
      <c r="AK861" t="s">
        <v>5496</v>
      </c>
      <c r="AL861" t="s">
        <v>1967</v>
      </c>
      <c r="AM861" t="s">
        <v>5448</v>
      </c>
      <c r="AN861" s="8">
        <v>973.37775</v>
      </c>
      <c r="AO861">
        <v>199.694880401046</v>
      </c>
      <c r="AP861">
        <v>1540</v>
      </c>
      <c r="AQ861" s="9">
        <v>0.419159715742424</v>
      </c>
      <c r="AR861" t="s">
        <v>1565</v>
      </c>
      <c r="AT861" s="15" t="s">
        <v>112</v>
      </c>
      <c r="AW861" s="11" t="str">
        <f t="shared" si="94"/>
        <v>EN_WOF_42_c02_RUS</v>
      </c>
      <c r="AX861" s="11">
        <f t="shared" si="95"/>
        <v>1540</v>
      </c>
      <c r="AY861" s="11">
        <f t="shared" si="96"/>
        <v>1540</v>
      </c>
      <c r="AZ861" s="17">
        <v>3</v>
      </c>
      <c r="BA861">
        <f t="shared" si="97"/>
        <v>15.4</v>
      </c>
    </row>
    <row r="862" spans="2:53">
      <c r="B862" t="s">
        <v>26</v>
      </c>
      <c r="C862" t="s">
        <v>5498</v>
      </c>
      <c r="D862" t="s">
        <v>5499</v>
      </c>
      <c r="E862" t="s">
        <v>29</v>
      </c>
      <c r="F862" t="s">
        <v>30</v>
      </c>
      <c r="G862" t="s">
        <v>31</v>
      </c>
      <c r="J862" t="s">
        <v>5498</v>
      </c>
      <c r="K862" t="s">
        <v>1967</v>
      </c>
      <c r="L862" t="s">
        <v>5459</v>
      </c>
      <c r="M862" s="8">
        <v>0.282</v>
      </c>
      <c r="N862">
        <v>105.747516212372</v>
      </c>
      <c r="O862">
        <v>1756</v>
      </c>
      <c r="P862" s="9">
        <v>0.289</v>
      </c>
      <c r="Q862" t="s">
        <v>750</v>
      </c>
      <c r="T862" s="15" t="s">
        <v>112</v>
      </c>
      <c r="W862" s="16" t="str">
        <f t="shared" si="91"/>
        <v>EN_WON_29_c03_GEO</v>
      </c>
      <c r="X862" s="12">
        <f t="shared" si="92"/>
        <v>1756</v>
      </c>
      <c r="Y862" s="11">
        <f t="shared" si="93"/>
        <v>1756</v>
      </c>
      <c r="AC862" t="s">
        <v>26</v>
      </c>
      <c r="AD862" t="s">
        <v>5500</v>
      </c>
      <c r="AE862" t="s">
        <v>5501</v>
      </c>
      <c r="AF862" t="s">
        <v>29</v>
      </c>
      <c r="AG862" t="s">
        <v>30</v>
      </c>
      <c r="AH862" t="s">
        <v>31</v>
      </c>
      <c r="AK862" t="s">
        <v>5500</v>
      </c>
      <c r="AL862" t="s">
        <v>1967</v>
      </c>
      <c r="AM862" t="s">
        <v>5448</v>
      </c>
      <c r="AN862" s="8">
        <v>1136.9895</v>
      </c>
      <c r="AO862">
        <v>199.694880401046</v>
      </c>
      <c r="AP862">
        <v>1540</v>
      </c>
      <c r="AQ862" s="9">
        <v>0.429779860763886</v>
      </c>
      <c r="AR862" t="s">
        <v>1565</v>
      </c>
      <c r="AT862" s="15" t="s">
        <v>112</v>
      </c>
      <c r="AW862" s="11" t="str">
        <f t="shared" si="94"/>
        <v>EN_WOF_43_c02_RUS</v>
      </c>
      <c r="AX862" s="11">
        <f t="shared" si="95"/>
        <v>1540</v>
      </c>
      <c r="AY862" s="11">
        <f t="shared" si="96"/>
        <v>1540</v>
      </c>
      <c r="AZ862" s="17">
        <v>3</v>
      </c>
      <c r="BA862">
        <f t="shared" si="97"/>
        <v>15.4</v>
      </c>
    </row>
    <row r="863" spans="2:53">
      <c r="B863" t="s">
        <v>26</v>
      </c>
      <c r="C863" t="s">
        <v>5502</v>
      </c>
      <c r="D863" t="s">
        <v>5503</v>
      </c>
      <c r="E863" t="s">
        <v>29</v>
      </c>
      <c r="F863" t="s">
        <v>30</v>
      </c>
      <c r="G863" t="s">
        <v>31</v>
      </c>
      <c r="J863" t="s">
        <v>5502</v>
      </c>
      <c r="K863" t="s">
        <v>1967</v>
      </c>
      <c r="L863" t="s">
        <v>5459</v>
      </c>
      <c r="M863" s="8">
        <v>0.552</v>
      </c>
      <c r="N863">
        <v>80.7856561622413</v>
      </c>
      <c r="O863">
        <v>1756</v>
      </c>
      <c r="P863" s="9">
        <v>0.34</v>
      </c>
      <c r="Q863" t="s">
        <v>750</v>
      </c>
      <c r="T863" s="15" t="s">
        <v>112</v>
      </c>
      <c r="W863" s="16" t="str">
        <f t="shared" si="91"/>
        <v>EN_WON_34_c02_GEO</v>
      </c>
      <c r="X863" s="12">
        <f t="shared" si="92"/>
        <v>1756</v>
      </c>
      <c r="Y863" s="11">
        <f t="shared" si="93"/>
        <v>1756</v>
      </c>
      <c r="AC863" t="s">
        <v>26</v>
      </c>
      <c r="AD863" t="s">
        <v>5504</v>
      </c>
      <c r="AE863" t="s">
        <v>5505</v>
      </c>
      <c r="AF863" t="s">
        <v>29</v>
      </c>
      <c r="AG863" t="s">
        <v>30</v>
      </c>
      <c r="AH863" t="s">
        <v>31</v>
      </c>
      <c r="AK863" t="s">
        <v>5504</v>
      </c>
      <c r="AL863" t="s">
        <v>1967</v>
      </c>
      <c r="AM863" t="s">
        <v>5448</v>
      </c>
      <c r="AN863" s="8">
        <v>1114.46475</v>
      </c>
      <c r="AO863">
        <v>199.694880401046</v>
      </c>
      <c r="AP863">
        <v>1540</v>
      </c>
      <c r="AQ863" s="9">
        <v>0.439343607099282</v>
      </c>
      <c r="AR863" t="s">
        <v>1565</v>
      </c>
      <c r="AT863" s="15" t="s">
        <v>112</v>
      </c>
      <c r="AW863" s="11" t="str">
        <f t="shared" si="94"/>
        <v>EN_WOF_44_c02_RUS</v>
      </c>
      <c r="AX863" s="11">
        <f t="shared" si="95"/>
        <v>1540</v>
      </c>
      <c r="AY863" s="11">
        <f t="shared" si="96"/>
        <v>1540</v>
      </c>
      <c r="AZ863" s="17">
        <v>3</v>
      </c>
      <c r="BA863">
        <f t="shared" si="97"/>
        <v>15.4</v>
      </c>
    </row>
    <row r="864" spans="2:53">
      <c r="B864" t="s">
        <v>26</v>
      </c>
      <c r="C864" t="s">
        <v>5506</v>
      </c>
      <c r="D864" t="s">
        <v>5507</v>
      </c>
      <c r="E864" t="s">
        <v>29</v>
      </c>
      <c r="F864" t="s">
        <v>30</v>
      </c>
      <c r="G864" t="s">
        <v>31</v>
      </c>
      <c r="J864" t="s">
        <v>5506</v>
      </c>
      <c r="K864" t="s">
        <v>1967</v>
      </c>
      <c r="L864" t="s">
        <v>5508</v>
      </c>
      <c r="M864" s="8">
        <v>2.08875</v>
      </c>
      <c r="N864">
        <v>80.7856561622413</v>
      </c>
      <c r="O864">
        <v>1952</v>
      </c>
      <c r="P864" s="9">
        <v>0.153</v>
      </c>
      <c r="Q864" t="s">
        <v>762</v>
      </c>
      <c r="T864" s="15" t="s">
        <v>54</v>
      </c>
      <c r="W864" s="16" t="str">
        <f t="shared" si="91"/>
        <v>EN_WON_15_c02_GHA</v>
      </c>
      <c r="X864" s="12">
        <f t="shared" si="92"/>
        <v>1952</v>
      </c>
      <c r="Y864" s="11">
        <f t="shared" si="93"/>
        <v>1952</v>
      </c>
      <c r="AC864" t="s">
        <v>26</v>
      </c>
      <c r="AD864" t="s">
        <v>5509</v>
      </c>
      <c r="AE864" t="s">
        <v>5510</v>
      </c>
      <c r="AF864" t="s">
        <v>29</v>
      </c>
      <c r="AG864" t="s">
        <v>30</v>
      </c>
      <c r="AH864" t="s">
        <v>31</v>
      </c>
      <c r="AK864" t="s">
        <v>5509</v>
      </c>
      <c r="AL864" t="s">
        <v>1967</v>
      </c>
      <c r="AM864" t="s">
        <v>5448</v>
      </c>
      <c r="AN864" s="8">
        <v>1397.01675</v>
      </c>
      <c r="AO864">
        <v>199.694880401046</v>
      </c>
      <c r="AP864">
        <v>1540</v>
      </c>
      <c r="AQ864" s="9">
        <v>0.449719256945201</v>
      </c>
      <c r="AR864" t="s">
        <v>1565</v>
      </c>
      <c r="AT864" s="15" t="s">
        <v>112</v>
      </c>
      <c r="AW864" s="11" t="str">
        <f t="shared" si="94"/>
        <v>EN_WOF_45_c02_RUS</v>
      </c>
      <c r="AX864" s="11">
        <f t="shared" si="95"/>
        <v>1540</v>
      </c>
      <c r="AY864" s="11">
        <f t="shared" si="96"/>
        <v>1540</v>
      </c>
      <c r="AZ864" s="17">
        <v>3</v>
      </c>
      <c r="BA864">
        <f t="shared" si="97"/>
        <v>15.4</v>
      </c>
    </row>
    <row r="865" spans="2:53">
      <c r="B865" t="s">
        <v>26</v>
      </c>
      <c r="C865" t="s">
        <v>5511</v>
      </c>
      <c r="D865" t="s">
        <v>5512</v>
      </c>
      <c r="E865" t="s">
        <v>29</v>
      </c>
      <c r="F865" t="s">
        <v>30</v>
      </c>
      <c r="G865" t="s">
        <v>31</v>
      </c>
      <c r="J865" t="s">
        <v>5511</v>
      </c>
      <c r="K865" t="s">
        <v>1967</v>
      </c>
      <c r="L865" t="s">
        <v>5508</v>
      </c>
      <c r="M865" s="8">
        <v>2.313</v>
      </c>
      <c r="N865">
        <v>105.747516212372</v>
      </c>
      <c r="O865">
        <v>1952</v>
      </c>
      <c r="P865" s="9">
        <v>0.151</v>
      </c>
      <c r="Q865" t="s">
        <v>762</v>
      </c>
      <c r="T865" s="15" t="s">
        <v>54</v>
      </c>
      <c r="W865" s="16" t="str">
        <f t="shared" si="91"/>
        <v>EN_WON_15_c03_GHA</v>
      </c>
      <c r="X865" s="12">
        <f t="shared" si="92"/>
        <v>1952</v>
      </c>
      <c r="Y865" s="11">
        <f t="shared" si="93"/>
        <v>1952</v>
      </c>
      <c r="AC865" t="s">
        <v>26</v>
      </c>
      <c r="AD865" t="s">
        <v>5513</v>
      </c>
      <c r="AE865" t="s">
        <v>5514</v>
      </c>
      <c r="AF865" t="s">
        <v>29</v>
      </c>
      <c r="AG865" t="s">
        <v>30</v>
      </c>
      <c r="AH865" t="s">
        <v>31</v>
      </c>
      <c r="AK865" t="s">
        <v>5513</v>
      </c>
      <c r="AL865" t="s">
        <v>1967</v>
      </c>
      <c r="AM865" t="s">
        <v>5448</v>
      </c>
      <c r="AN865" s="8">
        <v>2210.307</v>
      </c>
      <c r="AO865">
        <v>199.694880401046</v>
      </c>
      <c r="AP865">
        <v>1540</v>
      </c>
      <c r="AQ865" s="9">
        <v>0.459766602897244</v>
      </c>
      <c r="AR865" t="s">
        <v>1565</v>
      </c>
      <c r="AT865" s="15" t="s">
        <v>112</v>
      </c>
      <c r="AW865" s="11" t="str">
        <f t="shared" si="94"/>
        <v>EN_WOF_46_c02_RUS</v>
      </c>
      <c r="AX865" s="11">
        <f t="shared" si="95"/>
        <v>1540</v>
      </c>
      <c r="AY865" s="11">
        <f t="shared" si="96"/>
        <v>1540</v>
      </c>
      <c r="AZ865" s="17">
        <v>3</v>
      </c>
      <c r="BA865">
        <f t="shared" si="97"/>
        <v>15.4</v>
      </c>
    </row>
    <row r="866" spans="2:53">
      <c r="B866" t="s">
        <v>26</v>
      </c>
      <c r="C866" t="s">
        <v>5515</v>
      </c>
      <c r="D866" t="s">
        <v>5516</v>
      </c>
      <c r="E866" t="s">
        <v>29</v>
      </c>
      <c r="F866" t="s">
        <v>30</v>
      </c>
      <c r="G866" t="s">
        <v>31</v>
      </c>
      <c r="J866" t="s">
        <v>5515</v>
      </c>
      <c r="K866" t="s">
        <v>1967</v>
      </c>
      <c r="L866" t="s">
        <v>5508</v>
      </c>
      <c r="M866" s="8">
        <v>1.6095</v>
      </c>
      <c r="N866">
        <v>105.747516212372</v>
      </c>
      <c r="O866">
        <v>1952</v>
      </c>
      <c r="P866" s="9">
        <v>0.157508387698043</v>
      </c>
      <c r="Q866" t="s">
        <v>762</v>
      </c>
      <c r="T866" s="15" t="s">
        <v>54</v>
      </c>
      <c r="W866" s="16" t="str">
        <f t="shared" si="91"/>
        <v>EN_WON_16_c03_GHA</v>
      </c>
      <c r="X866" s="12">
        <f t="shared" si="92"/>
        <v>1952</v>
      </c>
      <c r="Y866" s="11">
        <f t="shared" si="93"/>
        <v>1952</v>
      </c>
      <c r="AC866" t="s">
        <v>26</v>
      </c>
      <c r="AD866" t="s">
        <v>5517</v>
      </c>
      <c r="AE866" t="s">
        <v>5518</v>
      </c>
      <c r="AF866" t="s">
        <v>29</v>
      </c>
      <c r="AG866" t="s">
        <v>30</v>
      </c>
      <c r="AH866" t="s">
        <v>31</v>
      </c>
      <c r="AK866" t="s">
        <v>5517</v>
      </c>
      <c r="AL866" t="s">
        <v>1967</v>
      </c>
      <c r="AM866" t="s">
        <v>5448</v>
      </c>
      <c r="AN866" s="8">
        <v>1685.39625</v>
      </c>
      <c r="AO866">
        <v>199.694880401046</v>
      </c>
      <c r="AP866">
        <v>1540</v>
      </c>
      <c r="AQ866" s="9">
        <v>0.469006602008281</v>
      </c>
      <c r="AR866" t="s">
        <v>1565</v>
      </c>
      <c r="AT866" s="15" t="s">
        <v>112</v>
      </c>
      <c r="AW866" s="11" t="str">
        <f t="shared" si="94"/>
        <v>EN_WOF_47_c02_RUS</v>
      </c>
      <c r="AX866" s="11">
        <f t="shared" si="95"/>
        <v>1540</v>
      </c>
      <c r="AY866" s="11">
        <f t="shared" si="96"/>
        <v>1540</v>
      </c>
      <c r="AZ866" s="17">
        <v>3</v>
      </c>
      <c r="BA866">
        <f t="shared" si="97"/>
        <v>15.4</v>
      </c>
    </row>
    <row r="867" spans="2:53">
      <c r="B867" t="s">
        <v>26</v>
      </c>
      <c r="C867" t="s">
        <v>5519</v>
      </c>
      <c r="D867" t="s">
        <v>5520</v>
      </c>
      <c r="E867" t="s">
        <v>29</v>
      </c>
      <c r="F867" t="s">
        <v>30</v>
      </c>
      <c r="G867" t="s">
        <v>31</v>
      </c>
      <c r="J867" t="s">
        <v>5519</v>
      </c>
      <c r="K867" t="s">
        <v>1967</v>
      </c>
      <c r="L867" t="s">
        <v>5508</v>
      </c>
      <c r="M867" s="8">
        <v>0.0105</v>
      </c>
      <c r="N867">
        <v>145.23264029167</v>
      </c>
      <c r="O867">
        <v>1952</v>
      </c>
      <c r="P867" s="9">
        <v>0.163</v>
      </c>
      <c r="Q867" t="s">
        <v>762</v>
      </c>
      <c r="T867" s="15" t="s">
        <v>54</v>
      </c>
      <c r="W867" s="16" t="str">
        <f t="shared" si="91"/>
        <v>EN_WON_16_c04_GHA</v>
      </c>
      <c r="X867" s="12">
        <f t="shared" si="92"/>
        <v>1952</v>
      </c>
      <c r="Y867" s="11">
        <f t="shared" si="93"/>
        <v>1952</v>
      </c>
      <c r="AC867" t="s">
        <v>26</v>
      </c>
      <c r="AD867" t="s">
        <v>5521</v>
      </c>
      <c r="AE867" t="s">
        <v>5522</v>
      </c>
      <c r="AF867" t="s">
        <v>29</v>
      </c>
      <c r="AG867" t="s">
        <v>30</v>
      </c>
      <c r="AH867" t="s">
        <v>31</v>
      </c>
      <c r="AK867" t="s">
        <v>5521</v>
      </c>
      <c r="AL867" t="s">
        <v>1967</v>
      </c>
      <c r="AM867" t="s">
        <v>5448</v>
      </c>
      <c r="AN867" s="8">
        <v>1540.78575</v>
      </c>
      <c r="AO867">
        <v>199.694880401046</v>
      </c>
      <c r="AP867">
        <v>1540</v>
      </c>
      <c r="AQ867" s="9">
        <v>0.479490320442021</v>
      </c>
      <c r="AR867" t="s">
        <v>1565</v>
      </c>
      <c r="AT867" s="15" t="s">
        <v>112</v>
      </c>
      <c r="AW867" s="11" t="str">
        <f t="shared" si="94"/>
        <v>EN_WOF_48_c02_RUS</v>
      </c>
      <c r="AX867" s="11">
        <f t="shared" si="95"/>
        <v>1540</v>
      </c>
      <c r="AY867" s="11">
        <f t="shared" si="96"/>
        <v>1540</v>
      </c>
      <c r="AZ867" s="17">
        <v>3</v>
      </c>
      <c r="BA867">
        <f t="shared" si="97"/>
        <v>15.4</v>
      </c>
    </row>
    <row r="868" spans="2:53">
      <c r="B868" t="s">
        <v>26</v>
      </c>
      <c r="C868" t="s">
        <v>5523</v>
      </c>
      <c r="D868" t="s">
        <v>5524</v>
      </c>
      <c r="E868" t="s">
        <v>29</v>
      </c>
      <c r="F868" t="s">
        <v>30</v>
      </c>
      <c r="G868" t="s">
        <v>31</v>
      </c>
      <c r="J868" t="s">
        <v>5523</v>
      </c>
      <c r="K868" t="s">
        <v>1967</v>
      </c>
      <c r="L868" t="s">
        <v>5508</v>
      </c>
      <c r="M868" s="8">
        <v>1.52175</v>
      </c>
      <c r="N868">
        <v>105.747516212372</v>
      </c>
      <c r="O868">
        <v>1952</v>
      </c>
      <c r="P868" s="9">
        <v>0.172</v>
      </c>
      <c r="Q868" t="s">
        <v>762</v>
      </c>
      <c r="T868" s="15" t="s">
        <v>54</v>
      </c>
      <c r="W868" s="16" t="str">
        <f t="shared" si="91"/>
        <v>EN_WON_17_c03_GHA</v>
      </c>
      <c r="X868" s="12">
        <f t="shared" si="92"/>
        <v>1952</v>
      </c>
      <c r="Y868" s="11">
        <f t="shared" si="93"/>
        <v>1952</v>
      </c>
      <c r="AC868" t="s">
        <v>26</v>
      </c>
      <c r="AD868" t="s">
        <v>5525</v>
      </c>
      <c r="AE868" t="s">
        <v>5526</v>
      </c>
      <c r="AF868" t="s">
        <v>29</v>
      </c>
      <c r="AG868" t="s">
        <v>30</v>
      </c>
      <c r="AH868" t="s">
        <v>31</v>
      </c>
      <c r="AK868" t="s">
        <v>5525</v>
      </c>
      <c r="AL868" t="s">
        <v>1967</v>
      </c>
      <c r="AM868" t="s">
        <v>5448</v>
      </c>
      <c r="AN868" s="8">
        <v>1286.11425</v>
      </c>
      <c r="AO868">
        <v>199.694880401046</v>
      </c>
      <c r="AP868">
        <v>1540</v>
      </c>
      <c r="AQ868" s="9">
        <v>0.489827231328787</v>
      </c>
      <c r="AR868" t="s">
        <v>1565</v>
      </c>
      <c r="AT868" s="15" t="s">
        <v>112</v>
      </c>
      <c r="AW868" s="11" t="str">
        <f t="shared" si="94"/>
        <v>EN_WOF_49_c02_RUS</v>
      </c>
      <c r="AX868" s="11">
        <f t="shared" si="95"/>
        <v>1540</v>
      </c>
      <c r="AY868" s="11">
        <f t="shared" si="96"/>
        <v>1540</v>
      </c>
      <c r="AZ868" s="17">
        <v>3</v>
      </c>
      <c r="BA868">
        <f t="shared" si="97"/>
        <v>15.4</v>
      </c>
    </row>
    <row r="869" spans="2:53">
      <c r="B869" t="s">
        <v>26</v>
      </c>
      <c r="C869" t="s">
        <v>5527</v>
      </c>
      <c r="D869" t="s">
        <v>5528</v>
      </c>
      <c r="E869" t="s">
        <v>29</v>
      </c>
      <c r="F869" t="s">
        <v>30</v>
      </c>
      <c r="G869" t="s">
        <v>31</v>
      </c>
      <c r="J869" t="s">
        <v>5527</v>
      </c>
      <c r="K869" t="s">
        <v>1967</v>
      </c>
      <c r="L869" t="s">
        <v>5508</v>
      </c>
      <c r="M869" s="8">
        <v>2.5845</v>
      </c>
      <c r="N869">
        <v>145.23264029167</v>
      </c>
      <c r="O869">
        <v>1952</v>
      </c>
      <c r="P869" s="9">
        <v>0.179</v>
      </c>
      <c r="Q869" t="s">
        <v>762</v>
      </c>
      <c r="T869" s="15" t="s">
        <v>54</v>
      </c>
      <c r="W869" s="16" t="str">
        <f t="shared" si="91"/>
        <v>EN_WON_18_c04_GHA</v>
      </c>
      <c r="X869" s="12">
        <f t="shared" si="92"/>
        <v>1952</v>
      </c>
      <c r="Y869" s="11">
        <f t="shared" si="93"/>
        <v>1952</v>
      </c>
      <c r="AC869" t="s">
        <v>26</v>
      </c>
      <c r="AD869" t="s">
        <v>5529</v>
      </c>
      <c r="AE869" t="s">
        <v>5530</v>
      </c>
      <c r="AF869" t="s">
        <v>29</v>
      </c>
      <c r="AG869" t="s">
        <v>30</v>
      </c>
      <c r="AH869" t="s">
        <v>31</v>
      </c>
      <c r="AK869" t="s">
        <v>5529</v>
      </c>
      <c r="AL869" t="s">
        <v>1967</v>
      </c>
      <c r="AM869" t="s">
        <v>5448</v>
      </c>
      <c r="AN869" s="8">
        <v>635.47425</v>
      </c>
      <c r="AO869">
        <v>199.694880401046</v>
      </c>
      <c r="AP869">
        <v>1540</v>
      </c>
      <c r="AQ869" s="9">
        <v>0.49918723378642</v>
      </c>
      <c r="AR869" t="s">
        <v>1565</v>
      </c>
      <c r="AT869" s="15" t="s">
        <v>112</v>
      </c>
      <c r="AW869" s="11" t="str">
        <f t="shared" si="94"/>
        <v>EN_WOF_50_c02_RUS</v>
      </c>
      <c r="AX869" s="11">
        <f t="shared" si="95"/>
        <v>1540</v>
      </c>
      <c r="AY869" s="11">
        <f t="shared" si="96"/>
        <v>1540</v>
      </c>
      <c r="AZ869" s="17">
        <v>3</v>
      </c>
      <c r="BA869">
        <f t="shared" si="97"/>
        <v>15.4</v>
      </c>
    </row>
    <row r="870" spans="2:53">
      <c r="B870" t="s">
        <v>26</v>
      </c>
      <c r="C870" t="s">
        <v>5531</v>
      </c>
      <c r="D870" t="s">
        <v>5532</v>
      </c>
      <c r="E870" t="s">
        <v>29</v>
      </c>
      <c r="F870" t="s">
        <v>30</v>
      </c>
      <c r="G870" t="s">
        <v>31</v>
      </c>
      <c r="J870" t="s">
        <v>5531</v>
      </c>
      <c r="K870" t="s">
        <v>1967</v>
      </c>
      <c r="L870" t="s">
        <v>5508</v>
      </c>
      <c r="M870" s="8">
        <v>1.04175</v>
      </c>
      <c r="N870">
        <v>145.23264029167</v>
      </c>
      <c r="O870">
        <v>1952</v>
      </c>
      <c r="P870" s="9">
        <v>0.187</v>
      </c>
      <c r="Q870" t="s">
        <v>762</v>
      </c>
      <c r="T870" s="15" t="s">
        <v>54</v>
      </c>
      <c r="W870" s="16" t="str">
        <f t="shared" si="91"/>
        <v>EN_WON_19_c04_GHA</v>
      </c>
      <c r="X870" s="12">
        <f t="shared" si="92"/>
        <v>1952</v>
      </c>
      <c r="Y870" s="11">
        <f t="shared" si="93"/>
        <v>1952</v>
      </c>
      <c r="AC870" t="s">
        <v>26</v>
      </c>
      <c r="AD870" t="s">
        <v>5533</v>
      </c>
      <c r="AE870" t="s">
        <v>5534</v>
      </c>
      <c r="AF870" t="s">
        <v>29</v>
      </c>
      <c r="AG870" t="s">
        <v>30</v>
      </c>
      <c r="AH870" t="s">
        <v>31</v>
      </c>
      <c r="AK870" t="s">
        <v>5533</v>
      </c>
      <c r="AL870" t="s">
        <v>1967</v>
      </c>
      <c r="AM870" t="s">
        <v>5448</v>
      </c>
      <c r="AN870" s="8">
        <v>104.262</v>
      </c>
      <c r="AO870">
        <v>199.694880401046</v>
      </c>
      <c r="AP870">
        <v>1540</v>
      </c>
      <c r="AQ870" s="9">
        <v>0.509734325545261</v>
      </c>
      <c r="AR870" t="s">
        <v>1565</v>
      </c>
      <c r="AT870" s="15" t="s">
        <v>112</v>
      </c>
      <c r="AW870" s="11" t="str">
        <f t="shared" si="94"/>
        <v>EN_WOF_51_c02_RUS</v>
      </c>
      <c r="AX870" s="11">
        <f t="shared" si="95"/>
        <v>1540</v>
      </c>
      <c r="AY870" s="11">
        <f t="shared" si="96"/>
        <v>1540</v>
      </c>
      <c r="AZ870" s="17">
        <v>3</v>
      </c>
      <c r="BA870">
        <f t="shared" si="97"/>
        <v>15.4</v>
      </c>
    </row>
    <row r="871" spans="2:53">
      <c r="B871" t="s">
        <v>26</v>
      </c>
      <c r="C871" t="s">
        <v>5535</v>
      </c>
      <c r="D871" t="s">
        <v>5536</v>
      </c>
      <c r="E871" t="s">
        <v>29</v>
      </c>
      <c r="F871" t="s">
        <v>30</v>
      </c>
      <c r="G871" t="s">
        <v>31</v>
      </c>
      <c r="J871" t="s">
        <v>5535</v>
      </c>
      <c r="K871" t="s">
        <v>1967</v>
      </c>
      <c r="L871" t="s">
        <v>5508</v>
      </c>
      <c r="M871" s="8">
        <v>0.56325</v>
      </c>
      <c r="N871">
        <v>145.23264029167</v>
      </c>
      <c r="O871">
        <v>1952</v>
      </c>
      <c r="P871" s="9">
        <v>0.201</v>
      </c>
      <c r="Q871" t="s">
        <v>762</v>
      </c>
      <c r="T871" s="15" t="s">
        <v>54</v>
      </c>
      <c r="W871" s="16" t="str">
        <f t="shared" si="91"/>
        <v>EN_WON_20_c04_GHA</v>
      </c>
      <c r="X871" s="12">
        <f t="shared" si="92"/>
        <v>1952</v>
      </c>
      <c r="Y871" s="11">
        <f t="shared" si="93"/>
        <v>1952</v>
      </c>
      <c r="AC871" t="s">
        <v>26</v>
      </c>
      <c r="AD871" t="s">
        <v>5537</v>
      </c>
      <c r="AE871" t="s">
        <v>5538</v>
      </c>
      <c r="AF871" t="s">
        <v>29</v>
      </c>
      <c r="AG871" t="s">
        <v>30</v>
      </c>
      <c r="AH871" t="s">
        <v>31</v>
      </c>
      <c r="AK871" t="s">
        <v>5537</v>
      </c>
      <c r="AL871" t="s">
        <v>1967</v>
      </c>
      <c r="AM871" t="s">
        <v>5448</v>
      </c>
      <c r="AN871" s="8">
        <v>85.83525</v>
      </c>
      <c r="AO871">
        <v>199.694880401046</v>
      </c>
      <c r="AP871">
        <v>1540</v>
      </c>
      <c r="AQ871" s="9">
        <v>0.519640042989331</v>
      </c>
      <c r="AR871" t="s">
        <v>1565</v>
      </c>
      <c r="AT871" s="15" t="s">
        <v>112</v>
      </c>
      <c r="AW871" s="11" t="str">
        <f t="shared" si="94"/>
        <v>EN_WOF_52_c02_RUS</v>
      </c>
      <c r="AX871" s="11">
        <f t="shared" si="95"/>
        <v>1540</v>
      </c>
      <c r="AY871" s="11">
        <f t="shared" si="96"/>
        <v>1540</v>
      </c>
      <c r="AZ871" s="17">
        <v>3</v>
      </c>
      <c r="BA871">
        <f t="shared" si="97"/>
        <v>15.4</v>
      </c>
    </row>
    <row r="872" spans="2:53">
      <c r="B872" t="s">
        <v>26</v>
      </c>
      <c r="C872" t="s">
        <v>5539</v>
      </c>
      <c r="D872" t="s">
        <v>5540</v>
      </c>
      <c r="E872" t="s">
        <v>29</v>
      </c>
      <c r="F872" t="s">
        <v>30</v>
      </c>
      <c r="G872" t="s">
        <v>31</v>
      </c>
      <c r="J872" t="s">
        <v>5539</v>
      </c>
      <c r="K872" t="s">
        <v>1967</v>
      </c>
      <c r="L872" t="s">
        <v>5508</v>
      </c>
      <c r="M872" s="8">
        <v>0.02625</v>
      </c>
      <c r="N872">
        <v>105.747516212372</v>
      </c>
      <c r="O872">
        <v>1952</v>
      </c>
      <c r="P872" s="9">
        <v>0.209</v>
      </c>
      <c r="Q872" t="s">
        <v>762</v>
      </c>
      <c r="T872" s="15" t="s">
        <v>54</v>
      </c>
      <c r="W872" s="16" t="str">
        <f t="shared" si="91"/>
        <v>EN_WON_21_c03_GHA</v>
      </c>
      <c r="X872" s="12">
        <f t="shared" si="92"/>
        <v>1952</v>
      </c>
      <c r="Y872" s="11">
        <f t="shared" si="93"/>
        <v>1952</v>
      </c>
      <c r="AC872" t="s">
        <v>26</v>
      </c>
      <c r="AD872" t="s">
        <v>5541</v>
      </c>
      <c r="AE872" t="s">
        <v>5542</v>
      </c>
      <c r="AF872" t="s">
        <v>29</v>
      </c>
      <c r="AG872" t="s">
        <v>30</v>
      </c>
      <c r="AH872" t="s">
        <v>31</v>
      </c>
      <c r="AK872" t="s">
        <v>5541</v>
      </c>
      <c r="AL872" t="s">
        <v>1967</v>
      </c>
      <c r="AM872" t="s">
        <v>5448</v>
      </c>
      <c r="AN872" s="8">
        <v>54.86475</v>
      </c>
      <c r="AO872">
        <v>199.694880401046</v>
      </c>
      <c r="AP872">
        <v>1540</v>
      </c>
      <c r="AQ872" s="9">
        <v>0.531105518570667</v>
      </c>
      <c r="AR872" t="s">
        <v>1565</v>
      </c>
      <c r="AT872" s="15" t="s">
        <v>112</v>
      </c>
      <c r="AW872" s="11" t="str">
        <f t="shared" si="94"/>
        <v>EN_WOF_53_c02_RUS</v>
      </c>
      <c r="AX872" s="11">
        <f t="shared" si="95"/>
        <v>1540</v>
      </c>
      <c r="AY872" s="11">
        <f t="shared" si="96"/>
        <v>1540</v>
      </c>
      <c r="AZ872" s="17">
        <v>3</v>
      </c>
      <c r="BA872">
        <f t="shared" si="97"/>
        <v>15.4</v>
      </c>
    </row>
    <row r="873" spans="2:53">
      <c r="B873" t="s">
        <v>26</v>
      </c>
      <c r="C873" t="s">
        <v>5543</v>
      </c>
      <c r="D873" t="s">
        <v>5544</v>
      </c>
      <c r="E873" t="s">
        <v>29</v>
      </c>
      <c r="F873" t="s">
        <v>30</v>
      </c>
      <c r="G873" t="s">
        <v>31</v>
      </c>
      <c r="J873" t="s">
        <v>5543</v>
      </c>
      <c r="K873" t="s">
        <v>1967</v>
      </c>
      <c r="L873" t="s">
        <v>5508</v>
      </c>
      <c r="M873" s="8">
        <v>2.637</v>
      </c>
      <c r="N873">
        <v>145.23264029167</v>
      </c>
      <c r="O873">
        <v>1952</v>
      </c>
      <c r="P873" s="9">
        <v>0.206</v>
      </c>
      <c r="Q873" t="s">
        <v>762</v>
      </c>
      <c r="T873" s="15" t="s">
        <v>54</v>
      </c>
      <c r="W873" s="16" t="str">
        <f t="shared" si="91"/>
        <v>EN_WON_21_c04_GHA</v>
      </c>
      <c r="X873" s="12">
        <f t="shared" si="92"/>
        <v>1952</v>
      </c>
      <c r="Y873" s="11">
        <f t="shared" si="93"/>
        <v>1952</v>
      </c>
      <c r="AC873" t="s">
        <v>26</v>
      </c>
      <c r="AD873" t="s">
        <v>5545</v>
      </c>
      <c r="AE873" t="s">
        <v>5546</v>
      </c>
      <c r="AF873" t="s">
        <v>29</v>
      </c>
      <c r="AG873" t="s">
        <v>30</v>
      </c>
      <c r="AH873" t="s">
        <v>31</v>
      </c>
      <c r="AK873" t="s">
        <v>5545</v>
      </c>
      <c r="AL873" t="s">
        <v>1967</v>
      </c>
      <c r="AM873" t="s">
        <v>5448</v>
      </c>
      <c r="AN873" s="8">
        <v>2.343</v>
      </c>
      <c r="AO873">
        <v>199.694880401046</v>
      </c>
      <c r="AP873">
        <v>1540</v>
      </c>
      <c r="AQ873" s="9">
        <v>0.541646606914213</v>
      </c>
      <c r="AR873" t="s">
        <v>1565</v>
      </c>
      <c r="AT873" s="15" t="s">
        <v>112</v>
      </c>
      <c r="AW873" s="11" t="str">
        <f t="shared" si="94"/>
        <v>EN_WOF_54_c02_RUS</v>
      </c>
      <c r="AX873" s="11">
        <f t="shared" si="95"/>
        <v>1540</v>
      </c>
      <c r="AY873" s="11">
        <f t="shared" si="96"/>
        <v>1540</v>
      </c>
      <c r="AZ873" s="17">
        <v>3</v>
      </c>
      <c r="BA873">
        <f t="shared" si="97"/>
        <v>15.4</v>
      </c>
    </row>
    <row r="874" spans="2:53">
      <c r="B874" t="s">
        <v>26</v>
      </c>
      <c r="C874" t="s">
        <v>5547</v>
      </c>
      <c r="D874" t="s">
        <v>5548</v>
      </c>
      <c r="E874" t="s">
        <v>29</v>
      </c>
      <c r="F874" t="s">
        <v>30</v>
      </c>
      <c r="G874" t="s">
        <v>31</v>
      </c>
      <c r="J874" t="s">
        <v>5547</v>
      </c>
      <c r="K874" t="s">
        <v>1967</v>
      </c>
      <c r="L874" t="s">
        <v>5508</v>
      </c>
      <c r="M874" s="8">
        <v>0.01275</v>
      </c>
      <c r="N874">
        <v>0</v>
      </c>
      <c r="O874">
        <v>1952</v>
      </c>
      <c r="P874" s="9">
        <v>0.217176470588235</v>
      </c>
      <c r="Q874" t="s">
        <v>762</v>
      </c>
      <c r="T874" s="15" t="s">
        <v>54</v>
      </c>
      <c r="W874" s="16" t="str">
        <f t="shared" si="91"/>
        <v>EN_WON_22_c01_GHA</v>
      </c>
      <c r="X874" s="12">
        <f t="shared" si="92"/>
        <v>1952</v>
      </c>
      <c r="Y874" s="11">
        <f t="shared" si="93"/>
        <v>1952</v>
      </c>
      <c r="AC874" t="s">
        <v>26</v>
      </c>
      <c r="AD874" t="s">
        <v>5549</v>
      </c>
      <c r="AE874" t="s">
        <v>5550</v>
      </c>
      <c r="AF874" t="s">
        <v>29</v>
      </c>
      <c r="AG874" t="s">
        <v>30</v>
      </c>
      <c r="AH874" t="s">
        <v>31</v>
      </c>
      <c r="AK874" t="s">
        <v>5549</v>
      </c>
      <c r="AL874" t="s">
        <v>1967</v>
      </c>
      <c r="AM874" t="s">
        <v>5448</v>
      </c>
      <c r="AN874" s="8">
        <v>2.31225</v>
      </c>
      <c r="AO874">
        <v>199.694880401046</v>
      </c>
      <c r="AP874">
        <v>1540</v>
      </c>
      <c r="AQ874" s="9">
        <v>0.545</v>
      </c>
      <c r="AR874" t="s">
        <v>1565</v>
      </c>
      <c r="AT874" s="15" t="s">
        <v>112</v>
      </c>
      <c r="AW874" s="11" t="str">
        <f t="shared" si="94"/>
        <v>EN_WOF_55_c02_RUS</v>
      </c>
      <c r="AX874" s="11">
        <f t="shared" si="95"/>
        <v>1540</v>
      </c>
      <c r="AY874" s="11">
        <f t="shared" si="96"/>
        <v>1540</v>
      </c>
      <c r="AZ874" s="17">
        <v>3</v>
      </c>
      <c r="BA874">
        <f t="shared" si="97"/>
        <v>15.4</v>
      </c>
    </row>
    <row r="875" spans="2:53">
      <c r="B875" t="s">
        <v>26</v>
      </c>
      <c r="C875" t="s">
        <v>5551</v>
      </c>
      <c r="D875" t="s">
        <v>5552</v>
      </c>
      <c r="E875" t="s">
        <v>29</v>
      </c>
      <c r="F875" t="s">
        <v>30</v>
      </c>
      <c r="G875" t="s">
        <v>31</v>
      </c>
      <c r="J875" t="s">
        <v>5551</v>
      </c>
      <c r="K875" t="s">
        <v>1967</v>
      </c>
      <c r="L875" t="s">
        <v>5508</v>
      </c>
      <c r="M875" s="8">
        <v>0.79275</v>
      </c>
      <c r="N875">
        <v>145.23264029167</v>
      </c>
      <c r="O875">
        <v>1952</v>
      </c>
      <c r="P875" s="9">
        <v>0.23</v>
      </c>
      <c r="Q875" t="s">
        <v>762</v>
      </c>
      <c r="T875" s="15" t="s">
        <v>54</v>
      </c>
      <c r="W875" s="16" t="str">
        <f t="shared" si="91"/>
        <v>EN_WON_23_c04_GHA</v>
      </c>
      <c r="X875" s="12">
        <f t="shared" si="92"/>
        <v>1952</v>
      </c>
      <c r="Y875" s="11">
        <f t="shared" si="93"/>
        <v>1952</v>
      </c>
      <c r="AC875" t="s">
        <v>26</v>
      </c>
      <c r="AD875" t="s">
        <v>5553</v>
      </c>
      <c r="AE875" t="s">
        <v>5554</v>
      </c>
      <c r="AF875" t="s">
        <v>29</v>
      </c>
      <c r="AG875" t="s">
        <v>30</v>
      </c>
      <c r="AH875" t="s">
        <v>31</v>
      </c>
      <c r="AK875" t="s">
        <v>5553</v>
      </c>
      <c r="AL875" t="s">
        <v>1967</v>
      </c>
      <c r="AM875" t="s">
        <v>5555</v>
      </c>
      <c r="AN875" s="8">
        <v>10.89525</v>
      </c>
      <c r="AO875">
        <v>199.694880401046</v>
      </c>
      <c r="AP875">
        <v>1756</v>
      </c>
      <c r="AQ875" s="9">
        <v>0.309083362015557</v>
      </c>
      <c r="AR875" t="s">
        <v>1607</v>
      </c>
      <c r="AT875" s="15" t="s">
        <v>80</v>
      </c>
      <c r="AW875" s="11" t="str">
        <f t="shared" si="94"/>
        <v>EN_WOF_31_c02_SAU</v>
      </c>
      <c r="AX875" s="11">
        <f t="shared" si="95"/>
        <v>1756</v>
      </c>
      <c r="AY875" s="11">
        <f t="shared" si="96"/>
        <v>1756</v>
      </c>
      <c r="AZ875" s="17">
        <v>3</v>
      </c>
      <c r="BA875">
        <f t="shared" si="97"/>
        <v>17.56</v>
      </c>
    </row>
    <row r="876" spans="2:53">
      <c r="B876" t="s">
        <v>26</v>
      </c>
      <c r="C876" t="s">
        <v>5556</v>
      </c>
      <c r="D876" t="s">
        <v>5557</v>
      </c>
      <c r="E876" t="s">
        <v>29</v>
      </c>
      <c r="F876" t="s">
        <v>30</v>
      </c>
      <c r="G876" t="s">
        <v>31</v>
      </c>
      <c r="J876" t="s">
        <v>5556</v>
      </c>
      <c r="K876" t="s">
        <v>1967</v>
      </c>
      <c r="L876" t="s">
        <v>5508</v>
      </c>
      <c r="M876" s="8">
        <v>1.482</v>
      </c>
      <c r="N876">
        <v>105.747516212372</v>
      </c>
      <c r="O876">
        <v>1952</v>
      </c>
      <c r="P876" s="9">
        <v>0.269</v>
      </c>
      <c r="Q876" t="s">
        <v>762</v>
      </c>
      <c r="T876" s="15" t="s">
        <v>54</v>
      </c>
      <c r="W876" s="16" t="str">
        <f t="shared" si="91"/>
        <v>EN_WON_27_c03_GHA</v>
      </c>
      <c r="X876" s="12">
        <f t="shared" si="92"/>
        <v>1952</v>
      </c>
      <c r="Y876" s="11">
        <f t="shared" si="93"/>
        <v>1952</v>
      </c>
      <c r="AC876" t="s">
        <v>26</v>
      </c>
      <c r="AD876" t="s">
        <v>5558</v>
      </c>
      <c r="AE876" t="s">
        <v>5559</v>
      </c>
      <c r="AF876" t="s">
        <v>29</v>
      </c>
      <c r="AG876" t="s">
        <v>30</v>
      </c>
      <c r="AH876" t="s">
        <v>31</v>
      </c>
      <c r="AK876" t="s">
        <v>5558</v>
      </c>
      <c r="AL876" t="s">
        <v>1967</v>
      </c>
      <c r="AM876" t="s">
        <v>5555</v>
      </c>
      <c r="AN876" s="8">
        <v>9.59325</v>
      </c>
      <c r="AO876">
        <v>199.694880401046</v>
      </c>
      <c r="AP876">
        <v>1756</v>
      </c>
      <c r="AQ876" s="9">
        <v>0.332318348839028</v>
      </c>
      <c r="AR876" t="s">
        <v>1607</v>
      </c>
      <c r="AT876" s="15" t="s">
        <v>80</v>
      </c>
      <c r="AW876" s="11" t="str">
        <f t="shared" si="94"/>
        <v>EN_WOF_33_c02_SAU</v>
      </c>
      <c r="AX876" s="11">
        <f t="shared" si="95"/>
        <v>1756</v>
      </c>
      <c r="AY876" s="11">
        <f t="shared" si="96"/>
        <v>1756</v>
      </c>
      <c r="AZ876" s="17">
        <v>3</v>
      </c>
      <c r="BA876">
        <f t="shared" si="97"/>
        <v>17.56</v>
      </c>
    </row>
    <row r="877" spans="2:53">
      <c r="B877" t="s">
        <v>26</v>
      </c>
      <c r="C877" t="s">
        <v>5560</v>
      </c>
      <c r="D877" t="s">
        <v>5561</v>
      </c>
      <c r="E877" t="s">
        <v>29</v>
      </c>
      <c r="F877" t="s">
        <v>30</v>
      </c>
      <c r="G877" t="s">
        <v>31</v>
      </c>
      <c r="J877" t="s">
        <v>5560</v>
      </c>
      <c r="K877" t="s">
        <v>1967</v>
      </c>
      <c r="L877" t="s">
        <v>5508</v>
      </c>
      <c r="M877" s="8">
        <v>0.666</v>
      </c>
      <c r="N877">
        <v>105.747516212372</v>
      </c>
      <c r="O877">
        <v>1952</v>
      </c>
      <c r="P877" s="9">
        <v>0.279</v>
      </c>
      <c r="Q877" t="s">
        <v>762</v>
      </c>
      <c r="T877" s="15" t="s">
        <v>54</v>
      </c>
      <c r="W877" s="16" t="str">
        <f t="shared" si="91"/>
        <v>EN_WON_28_c03_GHA</v>
      </c>
      <c r="X877" s="12">
        <f t="shared" si="92"/>
        <v>1952</v>
      </c>
      <c r="Y877" s="11">
        <f t="shared" si="93"/>
        <v>1952</v>
      </c>
      <c r="AC877" t="s">
        <v>26</v>
      </c>
      <c r="AD877" t="s">
        <v>5562</v>
      </c>
      <c r="AE877" t="s">
        <v>5563</v>
      </c>
      <c r="AF877" t="s">
        <v>29</v>
      </c>
      <c r="AG877" t="s">
        <v>30</v>
      </c>
      <c r="AH877" t="s">
        <v>31</v>
      </c>
      <c r="AK877" t="s">
        <v>5562</v>
      </c>
      <c r="AL877" t="s">
        <v>1967</v>
      </c>
      <c r="AM877" t="s">
        <v>5555</v>
      </c>
      <c r="AN877" s="8">
        <v>3.41625</v>
      </c>
      <c r="AO877">
        <v>199.694880401046</v>
      </c>
      <c r="AP877">
        <v>1756</v>
      </c>
      <c r="AQ877" s="9">
        <v>0.343</v>
      </c>
      <c r="AR877" t="s">
        <v>1607</v>
      </c>
      <c r="AT877" s="15" t="s">
        <v>80</v>
      </c>
      <c r="AW877" s="11" t="str">
        <f t="shared" si="94"/>
        <v>EN_WOF_34_c02_SAU</v>
      </c>
      <c r="AX877" s="11">
        <f t="shared" si="95"/>
        <v>1756</v>
      </c>
      <c r="AY877" s="11">
        <f t="shared" si="96"/>
        <v>1756</v>
      </c>
      <c r="AZ877" s="17">
        <v>3</v>
      </c>
      <c r="BA877">
        <f t="shared" si="97"/>
        <v>17.56</v>
      </c>
    </row>
    <row r="878" spans="2:53">
      <c r="B878" t="s">
        <v>26</v>
      </c>
      <c r="C878" t="s">
        <v>5564</v>
      </c>
      <c r="D878" t="s">
        <v>5565</v>
      </c>
      <c r="E878" t="s">
        <v>29</v>
      </c>
      <c r="F878" t="s">
        <v>30</v>
      </c>
      <c r="G878" t="s">
        <v>31</v>
      </c>
      <c r="J878" t="s">
        <v>5564</v>
      </c>
      <c r="K878" t="s">
        <v>1967</v>
      </c>
      <c r="L878" t="s">
        <v>5566</v>
      </c>
      <c r="M878" s="8">
        <v>0.10575</v>
      </c>
      <c r="N878">
        <v>105.747516212372</v>
      </c>
      <c r="O878">
        <v>1952</v>
      </c>
      <c r="P878" s="9">
        <v>0.151765957446809</v>
      </c>
      <c r="Q878" t="s">
        <v>780</v>
      </c>
      <c r="T878" s="15" t="s">
        <v>54</v>
      </c>
      <c r="W878" s="16" t="str">
        <f t="shared" si="91"/>
        <v>EN_WON_15_c03_GIN</v>
      </c>
      <c r="X878" s="12">
        <f t="shared" si="92"/>
        <v>1952</v>
      </c>
      <c r="Y878" s="11">
        <f t="shared" si="93"/>
        <v>1952</v>
      </c>
      <c r="AC878" t="s">
        <v>26</v>
      </c>
      <c r="AD878" t="s">
        <v>5567</v>
      </c>
      <c r="AE878" t="s">
        <v>5568</v>
      </c>
      <c r="AF878" t="s">
        <v>29</v>
      </c>
      <c r="AG878" t="s">
        <v>30</v>
      </c>
      <c r="AH878" t="s">
        <v>31</v>
      </c>
      <c r="AK878" t="s">
        <v>5567</v>
      </c>
      <c r="AL878" t="s">
        <v>1967</v>
      </c>
      <c r="AM878" t="s">
        <v>5555</v>
      </c>
      <c r="AN878" s="8">
        <v>14.88225</v>
      </c>
      <c r="AO878">
        <v>199.694880401046</v>
      </c>
      <c r="AP878">
        <v>1756</v>
      </c>
      <c r="AQ878" s="9">
        <v>0.347436123570025</v>
      </c>
      <c r="AR878" t="s">
        <v>1607</v>
      </c>
      <c r="AT878" s="15" t="s">
        <v>80</v>
      </c>
      <c r="AW878" s="11" t="str">
        <f t="shared" si="94"/>
        <v>EN_WOF_35_c02_SAU</v>
      </c>
      <c r="AX878" s="11">
        <f t="shared" si="95"/>
        <v>1756</v>
      </c>
      <c r="AY878" s="11">
        <f t="shared" si="96"/>
        <v>1756</v>
      </c>
      <c r="AZ878" s="17">
        <v>3</v>
      </c>
      <c r="BA878">
        <f t="shared" si="97"/>
        <v>17.56</v>
      </c>
    </row>
    <row r="879" spans="2:53">
      <c r="B879" t="s">
        <v>26</v>
      </c>
      <c r="C879" t="s">
        <v>5569</v>
      </c>
      <c r="D879" t="s">
        <v>5570</v>
      </c>
      <c r="E879" t="s">
        <v>29</v>
      </c>
      <c r="F879" t="s">
        <v>30</v>
      </c>
      <c r="G879" t="s">
        <v>31</v>
      </c>
      <c r="J879" t="s">
        <v>5569</v>
      </c>
      <c r="K879" t="s">
        <v>1967</v>
      </c>
      <c r="L879" t="s">
        <v>5566</v>
      </c>
      <c r="M879" s="8">
        <v>0.0975</v>
      </c>
      <c r="N879">
        <v>80.7856561622413</v>
      </c>
      <c r="O879">
        <v>1952</v>
      </c>
      <c r="P879" s="9">
        <v>0.155953846153846</v>
      </c>
      <c r="Q879" t="s">
        <v>780</v>
      </c>
      <c r="T879" s="15" t="s">
        <v>54</v>
      </c>
      <c r="W879" s="16" t="str">
        <f t="shared" si="91"/>
        <v>EN_WON_16_c02_GIN</v>
      </c>
      <c r="X879" s="12">
        <f t="shared" si="92"/>
        <v>1952</v>
      </c>
      <c r="Y879" s="11">
        <f t="shared" si="93"/>
        <v>1952</v>
      </c>
      <c r="AC879" t="s">
        <v>26</v>
      </c>
      <c r="AD879" t="s">
        <v>5571</v>
      </c>
      <c r="AE879" t="s">
        <v>5572</v>
      </c>
      <c r="AF879" t="s">
        <v>29</v>
      </c>
      <c r="AG879" t="s">
        <v>30</v>
      </c>
      <c r="AH879" t="s">
        <v>31</v>
      </c>
      <c r="AK879" t="s">
        <v>5571</v>
      </c>
      <c r="AL879" t="s">
        <v>1967</v>
      </c>
      <c r="AM879" t="s">
        <v>5555</v>
      </c>
      <c r="AN879" s="8">
        <v>12.09375</v>
      </c>
      <c r="AO879">
        <v>199.694880401046</v>
      </c>
      <c r="AP879">
        <v>1756</v>
      </c>
      <c r="AQ879" s="9">
        <v>0.356874604651163</v>
      </c>
      <c r="AR879" t="s">
        <v>1607</v>
      </c>
      <c r="AT879" s="15" t="s">
        <v>80</v>
      </c>
      <c r="AW879" s="11" t="str">
        <f t="shared" si="94"/>
        <v>EN_WOF_36_c02_SAU</v>
      </c>
      <c r="AX879" s="11">
        <f t="shared" si="95"/>
        <v>1756</v>
      </c>
      <c r="AY879" s="11">
        <f t="shared" si="96"/>
        <v>1756</v>
      </c>
      <c r="AZ879" s="17">
        <v>3</v>
      </c>
      <c r="BA879">
        <f t="shared" si="97"/>
        <v>17.56</v>
      </c>
    </row>
    <row r="880" spans="2:53">
      <c r="B880" t="s">
        <v>26</v>
      </c>
      <c r="C880" t="s">
        <v>5573</v>
      </c>
      <c r="D880" t="s">
        <v>5574</v>
      </c>
      <c r="E880" t="s">
        <v>29</v>
      </c>
      <c r="F880" t="s">
        <v>30</v>
      </c>
      <c r="G880" t="s">
        <v>31</v>
      </c>
      <c r="J880" t="s">
        <v>5573</v>
      </c>
      <c r="K880" t="s">
        <v>1967</v>
      </c>
      <c r="L880" t="s">
        <v>5566</v>
      </c>
      <c r="M880" s="8">
        <v>0.75375</v>
      </c>
      <c r="N880">
        <v>105.747516212372</v>
      </c>
      <c r="O880">
        <v>1952</v>
      </c>
      <c r="P880" s="9">
        <v>0.158331343283582</v>
      </c>
      <c r="Q880" t="s">
        <v>780</v>
      </c>
      <c r="T880" s="15" t="s">
        <v>54</v>
      </c>
      <c r="W880" s="16" t="str">
        <f t="shared" si="91"/>
        <v>EN_WON_16_c03_GIN</v>
      </c>
      <c r="X880" s="12">
        <f t="shared" si="92"/>
        <v>1952</v>
      </c>
      <c r="Y880" s="11">
        <f t="shared" si="93"/>
        <v>1952</v>
      </c>
      <c r="AC880" t="s">
        <v>26</v>
      </c>
      <c r="AD880" t="s">
        <v>5575</v>
      </c>
      <c r="AE880" t="s">
        <v>5576</v>
      </c>
      <c r="AF880" t="s">
        <v>29</v>
      </c>
      <c r="AG880" t="s">
        <v>30</v>
      </c>
      <c r="AH880" t="s">
        <v>31</v>
      </c>
      <c r="AK880" t="s">
        <v>5575</v>
      </c>
      <c r="AL880" t="s">
        <v>1967</v>
      </c>
      <c r="AM880" t="s">
        <v>5555</v>
      </c>
      <c r="AN880" s="8">
        <v>1.749</v>
      </c>
      <c r="AO880">
        <v>199.694880401046</v>
      </c>
      <c r="AP880">
        <v>1756</v>
      </c>
      <c r="AQ880" s="9">
        <v>0.371</v>
      </c>
      <c r="AR880" t="s">
        <v>1607</v>
      </c>
      <c r="AT880" s="15" t="s">
        <v>80</v>
      </c>
      <c r="AW880" s="11" t="str">
        <f t="shared" si="94"/>
        <v>EN_WOF_37_c02_SAU</v>
      </c>
      <c r="AX880" s="11">
        <f t="shared" si="95"/>
        <v>1756</v>
      </c>
      <c r="AY880" s="11">
        <f t="shared" si="96"/>
        <v>1756</v>
      </c>
      <c r="AZ880" s="17">
        <v>3</v>
      </c>
      <c r="BA880">
        <f t="shared" si="97"/>
        <v>17.56</v>
      </c>
    </row>
    <row r="881" spans="2:53">
      <c r="B881" t="s">
        <v>26</v>
      </c>
      <c r="C881" t="s">
        <v>5577</v>
      </c>
      <c r="D881" t="s">
        <v>5578</v>
      </c>
      <c r="E881" t="s">
        <v>29</v>
      </c>
      <c r="F881" t="s">
        <v>30</v>
      </c>
      <c r="G881" t="s">
        <v>31</v>
      </c>
      <c r="J881" t="s">
        <v>5577</v>
      </c>
      <c r="K881" t="s">
        <v>1967</v>
      </c>
      <c r="L881" t="s">
        <v>5566</v>
      </c>
      <c r="M881" s="8">
        <v>0.26325</v>
      </c>
      <c r="N881">
        <v>145.23264029167</v>
      </c>
      <c r="O881">
        <v>1952</v>
      </c>
      <c r="P881" s="9">
        <v>0.155168091168091</v>
      </c>
      <c r="Q881" t="s">
        <v>780</v>
      </c>
      <c r="T881" s="15" t="s">
        <v>54</v>
      </c>
      <c r="W881" s="16" t="str">
        <f t="shared" si="91"/>
        <v>EN_WON_16_c04_GIN</v>
      </c>
      <c r="X881" s="12">
        <f t="shared" si="92"/>
        <v>1952</v>
      </c>
      <c r="Y881" s="11">
        <f t="shared" si="93"/>
        <v>1952</v>
      </c>
      <c r="AC881" t="s">
        <v>26</v>
      </c>
      <c r="AD881" t="s">
        <v>5579</v>
      </c>
      <c r="AE881" t="s">
        <v>5580</v>
      </c>
      <c r="AF881" t="s">
        <v>29</v>
      </c>
      <c r="AG881" t="s">
        <v>30</v>
      </c>
      <c r="AH881" t="s">
        <v>31</v>
      </c>
      <c r="AK881" t="s">
        <v>5579</v>
      </c>
      <c r="AL881" t="s">
        <v>1967</v>
      </c>
      <c r="AM881" t="s">
        <v>5555</v>
      </c>
      <c r="AN881" s="8">
        <v>3.83925</v>
      </c>
      <c r="AO881">
        <v>199.694880401046</v>
      </c>
      <c r="AP881">
        <v>1756</v>
      </c>
      <c r="AQ881" s="9">
        <v>0.399</v>
      </c>
      <c r="AR881" t="s">
        <v>1607</v>
      </c>
      <c r="AT881" s="15" t="s">
        <v>80</v>
      </c>
      <c r="AW881" s="11" t="str">
        <f t="shared" si="94"/>
        <v>EN_WOF_40_c02_SAU</v>
      </c>
      <c r="AX881" s="11">
        <f t="shared" si="95"/>
        <v>1756</v>
      </c>
      <c r="AY881" s="11">
        <f t="shared" si="96"/>
        <v>1756</v>
      </c>
      <c r="AZ881" s="17">
        <v>3</v>
      </c>
      <c r="BA881">
        <f t="shared" si="97"/>
        <v>17.56</v>
      </c>
    </row>
    <row r="882" spans="2:53">
      <c r="B882" t="s">
        <v>26</v>
      </c>
      <c r="C882" t="s">
        <v>5581</v>
      </c>
      <c r="D882" t="s">
        <v>5582</v>
      </c>
      <c r="E882" t="s">
        <v>29</v>
      </c>
      <c r="F882" t="s">
        <v>30</v>
      </c>
      <c r="G882" t="s">
        <v>31</v>
      </c>
      <c r="J882" t="s">
        <v>5581</v>
      </c>
      <c r="K882" t="s">
        <v>1967</v>
      </c>
      <c r="L882" t="s">
        <v>5566</v>
      </c>
      <c r="M882" s="8">
        <v>0.1845</v>
      </c>
      <c r="N882">
        <v>105.747516212372</v>
      </c>
      <c r="O882">
        <v>1952</v>
      </c>
      <c r="P882" s="9">
        <v>0.169369918699187</v>
      </c>
      <c r="Q882" t="s">
        <v>780</v>
      </c>
      <c r="T882" s="15" t="s">
        <v>54</v>
      </c>
      <c r="W882" s="16" t="str">
        <f t="shared" si="91"/>
        <v>EN_WON_17_c03_GIN</v>
      </c>
      <c r="X882" s="12">
        <f t="shared" si="92"/>
        <v>1952</v>
      </c>
      <c r="Y882" s="11">
        <f t="shared" si="93"/>
        <v>1952</v>
      </c>
      <c r="AC882" t="s">
        <v>26</v>
      </c>
      <c r="AD882" t="s">
        <v>5583</v>
      </c>
      <c r="AE882" t="s">
        <v>5584</v>
      </c>
      <c r="AF882" t="s">
        <v>29</v>
      </c>
      <c r="AG882" t="s">
        <v>30</v>
      </c>
      <c r="AH882" t="s">
        <v>31</v>
      </c>
      <c r="AK882" t="s">
        <v>5583</v>
      </c>
      <c r="AL882" t="s">
        <v>1967</v>
      </c>
      <c r="AM882" t="s">
        <v>5555</v>
      </c>
      <c r="AN882" s="8">
        <v>8.181</v>
      </c>
      <c r="AO882">
        <v>199.694880401046</v>
      </c>
      <c r="AP882">
        <v>1756</v>
      </c>
      <c r="AQ882" s="9">
        <v>0.453454253758709</v>
      </c>
      <c r="AR882" t="s">
        <v>1607</v>
      </c>
      <c r="AT882" s="15" t="s">
        <v>80</v>
      </c>
      <c r="AW882" s="11" t="str">
        <f t="shared" si="94"/>
        <v>EN_WOF_45_c02_SAU</v>
      </c>
      <c r="AX882" s="11">
        <f t="shared" si="95"/>
        <v>1756</v>
      </c>
      <c r="AY882" s="11">
        <f t="shared" si="96"/>
        <v>1756</v>
      </c>
      <c r="AZ882" s="17">
        <v>3</v>
      </c>
      <c r="BA882">
        <f t="shared" si="97"/>
        <v>17.56</v>
      </c>
    </row>
    <row r="883" spans="2:53">
      <c r="B883" t="s">
        <v>26</v>
      </c>
      <c r="C883" t="s">
        <v>5585</v>
      </c>
      <c r="D883" t="s">
        <v>5586</v>
      </c>
      <c r="E883" t="s">
        <v>29</v>
      </c>
      <c r="F883" t="s">
        <v>30</v>
      </c>
      <c r="G883" t="s">
        <v>31</v>
      </c>
      <c r="J883" t="s">
        <v>5585</v>
      </c>
      <c r="K883" t="s">
        <v>1967</v>
      </c>
      <c r="L883" t="s">
        <v>5566</v>
      </c>
      <c r="M883" s="8">
        <v>0.006</v>
      </c>
      <c r="N883">
        <v>145.23264029167</v>
      </c>
      <c r="O883">
        <v>1952</v>
      </c>
      <c r="P883" s="9">
        <v>0.166</v>
      </c>
      <c r="Q883" t="s">
        <v>780</v>
      </c>
      <c r="T883" s="15" t="s">
        <v>54</v>
      </c>
      <c r="W883" s="16" t="str">
        <f t="shared" si="91"/>
        <v>EN_WON_17_c04_GIN</v>
      </c>
      <c r="X883" s="12">
        <f t="shared" si="92"/>
        <v>1952</v>
      </c>
      <c r="Y883" s="11">
        <f t="shared" si="93"/>
        <v>1952</v>
      </c>
      <c r="AC883" t="s">
        <v>26</v>
      </c>
      <c r="AD883" t="s">
        <v>5587</v>
      </c>
      <c r="AE883" t="s">
        <v>5588</v>
      </c>
      <c r="AF883" t="s">
        <v>29</v>
      </c>
      <c r="AG883" t="s">
        <v>30</v>
      </c>
      <c r="AH883" t="s">
        <v>31</v>
      </c>
      <c r="AK883" t="s">
        <v>5587</v>
      </c>
      <c r="AL883" t="s">
        <v>1967</v>
      </c>
      <c r="AM883" t="s">
        <v>5555</v>
      </c>
      <c r="AN883" s="8">
        <v>1.26825</v>
      </c>
      <c r="AO883">
        <v>199.694880401046</v>
      </c>
      <c r="AP883">
        <v>1756</v>
      </c>
      <c r="AQ883" s="9">
        <v>0.469</v>
      </c>
      <c r="AR883" t="s">
        <v>1607</v>
      </c>
      <c r="AT883" s="15" t="s">
        <v>80</v>
      </c>
      <c r="AW883" s="11" t="str">
        <f t="shared" si="94"/>
        <v>EN_WOF_47_c02_SAU</v>
      </c>
      <c r="AX883" s="11">
        <f t="shared" si="95"/>
        <v>1756</v>
      </c>
      <c r="AY883" s="11">
        <f t="shared" si="96"/>
        <v>1756</v>
      </c>
      <c r="AZ883" s="17">
        <v>3</v>
      </c>
      <c r="BA883">
        <f t="shared" si="97"/>
        <v>17.56</v>
      </c>
    </row>
    <row r="884" spans="2:53">
      <c r="B884" t="s">
        <v>26</v>
      </c>
      <c r="C884" t="s">
        <v>5589</v>
      </c>
      <c r="D884" t="s">
        <v>5590</v>
      </c>
      <c r="E884" t="s">
        <v>29</v>
      </c>
      <c r="F884" t="s">
        <v>30</v>
      </c>
      <c r="G884" t="s">
        <v>31</v>
      </c>
      <c r="J884" t="s">
        <v>5589</v>
      </c>
      <c r="K884" t="s">
        <v>1967</v>
      </c>
      <c r="L884" t="s">
        <v>5566</v>
      </c>
      <c r="M884" s="8">
        <v>1.06125</v>
      </c>
      <c r="N884">
        <v>105.747516212372</v>
      </c>
      <c r="O884">
        <v>1952</v>
      </c>
      <c r="P884" s="9">
        <v>0.183980918727915</v>
      </c>
      <c r="Q884" t="s">
        <v>780</v>
      </c>
      <c r="T884" s="15" t="s">
        <v>54</v>
      </c>
      <c r="W884" s="16" t="str">
        <f t="shared" si="91"/>
        <v>EN_WON_18_c03_GIN</v>
      </c>
      <c r="X884" s="12">
        <f t="shared" si="92"/>
        <v>1952</v>
      </c>
      <c r="Y884" s="11">
        <f t="shared" si="93"/>
        <v>1952</v>
      </c>
      <c r="AC884" t="s">
        <v>26</v>
      </c>
      <c r="AD884" t="s">
        <v>5591</v>
      </c>
      <c r="AE884" t="s">
        <v>5592</v>
      </c>
      <c r="AF884" t="s">
        <v>29</v>
      </c>
      <c r="AG884" t="s">
        <v>30</v>
      </c>
      <c r="AH884" t="s">
        <v>31</v>
      </c>
      <c r="AK884" t="s">
        <v>5591</v>
      </c>
      <c r="AL884" t="s">
        <v>1967</v>
      </c>
      <c r="AM884" t="s">
        <v>5555</v>
      </c>
      <c r="AN884" s="8">
        <v>1.0965</v>
      </c>
      <c r="AO884">
        <v>199.694880401046</v>
      </c>
      <c r="AP884">
        <v>1756</v>
      </c>
      <c r="AQ884" s="9">
        <v>0.569</v>
      </c>
      <c r="AR884" t="s">
        <v>1607</v>
      </c>
      <c r="AT884" s="15" t="s">
        <v>80</v>
      </c>
      <c r="AW884" s="11" t="str">
        <f t="shared" si="94"/>
        <v>EN_WOF_57_c02_SAU</v>
      </c>
      <c r="AX884" s="11">
        <f t="shared" si="95"/>
        <v>1756</v>
      </c>
      <c r="AY884" s="11">
        <f t="shared" si="96"/>
        <v>1756</v>
      </c>
      <c r="AZ884" s="17">
        <v>3</v>
      </c>
      <c r="BA884">
        <f t="shared" si="97"/>
        <v>17.56</v>
      </c>
    </row>
    <row r="885" spans="2:53">
      <c r="B885" t="s">
        <v>26</v>
      </c>
      <c r="C885" t="s">
        <v>5593</v>
      </c>
      <c r="D885" t="s">
        <v>5594</v>
      </c>
      <c r="E885" t="s">
        <v>29</v>
      </c>
      <c r="F885" t="s">
        <v>30</v>
      </c>
      <c r="G885" t="s">
        <v>31</v>
      </c>
      <c r="J885" t="s">
        <v>5593</v>
      </c>
      <c r="K885" t="s">
        <v>1967</v>
      </c>
      <c r="L885" t="s">
        <v>5566</v>
      </c>
      <c r="M885" s="8">
        <v>0.027</v>
      </c>
      <c r="N885">
        <v>80.7856561622413</v>
      </c>
      <c r="O885">
        <v>1952</v>
      </c>
      <c r="P885" s="9">
        <v>0.189527777777778</v>
      </c>
      <c r="Q885" t="s">
        <v>780</v>
      </c>
      <c r="T885" s="15" t="s">
        <v>54</v>
      </c>
      <c r="W885" s="16" t="str">
        <f t="shared" si="91"/>
        <v>EN_WON_19_c02_GIN</v>
      </c>
      <c r="X885" s="12">
        <f t="shared" si="92"/>
        <v>1952</v>
      </c>
      <c r="Y885" s="11">
        <f t="shared" si="93"/>
        <v>1952</v>
      </c>
      <c r="AC885" t="s">
        <v>26</v>
      </c>
      <c r="AD885" t="s">
        <v>5595</v>
      </c>
      <c r="AE885" t="s">
        <v>5596</v>
      </c>
      <c r="AF885" t="s">
        <v>29</v>
      </c>
      <c r="AG885" t="s">
        <v>30</v>
      </c>
      <c r="AH885" t="s">
        <v>31</v>
      </c>
      <c r="AK885" t="s">
        <v>5595</v>
      </c>
      <c r="AL885" t="s">
        <v>1967</v>
      </c>
      <c r="AM885" t="s">
        <v>5555</v>
      </c>
      <c r="AN885" s="8">
        <v>1.287</v>
      </c>
      <c r="AO885">
        <v>199.694880401046</v>
      </c>
      <c r="AP885">
        <v>1756</v>
      </c>
      <c r="AQ885" s="9">
        <v>0.585</v>
      </c>
      <c r="AR885" t="s">
        <v>1607</v>
      </c>
      <c r="AT885" s="15" t="s">
        <v>80</v>
      </c>
      <c r="AW885" s="11" t="str">
        <f t="shared" si="94"/>
        <v>EN_WOF_59_c02_SAU</v>
      </c>
      <c r="AX885" s="11">
        <f t="shared" si="95"/>
        <v>1756</v>
      </c>
      <c r="AY885" s="11">
        <f t="shared" si="96"/>
        <v>1756</v>
      </c>
      <c r="AZ885" s="17">
        <v>3</v>
      </c>
      <c r="BA885">
        <f t="shared" si="97"/>
        <v>17.56</v>
      </c>
    </row>
    <row r="886" spans="2:53">
      <c r="B886" t="s">
        <v>26</v>
      </c>
      <c r="C886" t="s">
        <v>5597</v>
      </c>
      <c r="D886" t="s">
        <v>5598</v>
      </c>
      <c r="E886" t="s">
        <v>29</v>
      </c>
      <c r="F886" t="s">
        <v>30</v>
      </c>
      <c r="G886" t="s">
        <v>31</v>
      </c>
      <c r="J886" t="s">
        <v>5597</v>
      </c>
      <c r="K886" t="s">
        <v>1967</v>
      </c>
      <c r="L886" t="s">
        <v>5566</v>
      </c>
      <c r="M886" s="8">
        <v>0.02325</v>
      </c>
      <c r="N886">
        <v>105.747516212372</v>
      </c>
      <c r="O886">
        <v>1952</v>
      </c>
      <c r="P886" s="9">
        <v>0.188</v>
      </c>
      <c r="Q886" t="s">
        <v>780</v>
      </c>
      <c r="T886" s="15" t="s">
        <v>54</v>
      </c>
      <c r="W886" s="16" t="str">
        <f t="shared" si="91"/>
        <v>EN_WON_19_c03_GIN</v>
      </c>
      <c r="X886" s="12">
        <f t="shared" si="92"/>
        <v>1952</v>
      </c>
      <c r="Y886" s="11">
        <f t="shared" si="93"/>
        <v>1952</v>
      </c>
      <c r="AC886" t="s">
        <v>26</v>
      </c>
      <c r="AD886" t="s">
        <v>5599</v>
      </c>
      <c r="AE886" t="s">
        <v>5600</v>
      </c>
      <c r="AF886" t="s">
        <v>29</v>
      </c>
      <c r="AG886" t="s">
        <v>30</v>
      </c>
      <c r="AH886" t="s">
        <v>31</v>
      </c>
      <c r="AK886" t="s">
        <v>5599</v>
      </c>
      <c r="AL886" t="s">
        <v>1967</v>
      </c>
      <c r="AM886" t="s">
        <v>5601</v>
      </c>
      <c r="AN886" s="8">
        <v>4.53</v>
      </c>
      <c r="AO886">
        <v>199.694880401046</v>
      </c>
      <c r="AP886">
        <v>1514</v>
      </c>
      <c r="AQ886" s="9">
        <v>0.304</v>
      </c>
      <c r="AR886" t="s">
        <v>5602</v>
      </c>
      <c r="AT886" s="15" t="s">
        <v>54</v>
      </c>
      <c r="AW886" s="11" t="str">
        <f t="shared" si="94"/>
        <v>EN_WOF_30_c02_SDN</v>
      </c>
      <c r="AX886" s="11">
        <f t="shared" si="95"/>
        <v>1514</v>
      </c>
      <c r="AY886" s="11">
        <f t="shared" si="96"/>
        <v>1514</v>
      </c>
      <c r="AZ886" s="17">
        <v>3</v>
      </c>
      <c r="BA886">
        <f t="shared" si="97"/>
        <v>15.14</v>
      </c>
    </row>
    <row r="887" spans="2:53">
      <c r="B887" t="s">
        <v>26</v>
      </c>
      <c r="C887" t="s">
        <v>5603</v>
      </c>
      <c r="D887" t="s">
        <v>5604</v>
      </c>
      <c r="E887" t="s">
        <v>29</v>
      </c>
      <c r="F887" t="s">
        <v>30</v>
      </c>
      <c r="G887" t="s">
        <v>31</v>
      </c>
      <c r="J887" t="s">
        <v>5603</v>
      </c>
      <c r="K887" t="s">
        <v>1967</v>
      </c>
      <c r="L887" t="s">
        <v>5605</v>
      </c>
      <c r="M887" s="8">
        <v>6.41025</v>
      </c>
      <c r="N887">
        <v>105.747516212372</v>
      </c>
      <c r="O887">
        <v>1952</v>
      </c>
      <c r="P887" s="9">
        <v>0.168430677430677</v>
      </c>
      <c r="Q887" t="s">
        <v>788</v>
      </c>
      <c r="T887" s="15" t="s">
        <v>54</v>
      </c>
      <c r="W887" s="16" t="str">
        <f t="shared" si="91"/>
        <v>EN_WON_17_c03_GMB</v>
      </c>
      <c r="X887" s="12">
        <f t="shared" si="92"/>
        <v>1952</v>
      </c>
      <c r="Y887" s="11">
        <f t="shared" si="93"/>
        <v>1952</v>
      </c>
      <c r="AC887" t="s">
        <v>26</v>
      </c>
      <c r="AD887" t="s">
        <v>5606</v>
      </c>
      <c r="AE887" t="s">
        <v>5607</v>
      </c>
      <c r="AF887" t="s">
        <v>29</v>
      </c>
      <c r="AG887" t="s">
        <v>30</v>
      </c>
      <c r="AH887" t="s">
        <v>31</v>
      </c>
      <c r="AK887" t="s">
        <v>5606</v>
      </c>
      <c r="AL887" t="s">
        <v>1967</v>
      </c>
      <c r="AM887" t="s">
        <v>5601</v>
      </c>
      <c r="AN887" s="8">
        <v>1.59525</v>
      </c>
      <c r="AO887">
        <v>199.694880401046</v>
      </c>
      <c r="AP887">
        <v>1514</v>
      </c>
      <c r="AQ887" s="9">
        <v>0.311</v>
      </c>
      <c r="AR887" t="s">
        <v>5602</v>
      </c>
      <c r="AT887" s="15" t="s">
        <v>54</v>
      </c>
      <c r="AW887" s="11" t="str">
        <f t="shared" si="94"/>
        <v>EN_WOF_31_c02_SDN</v>
      </c>
      <c r="AX887" s="11">
        <f t="shared" si="95"/>
        <v>1514</v>
      </c>
      <c r="AY887" s="11">
        <f t="shared" si="96"/>
        <v>1514</v>
      </c>
      <c r="AZ887" s="17">
        <v>3</v>
      </c>
      <c r="BA887">
        <f t="shared" si="97"/>
        <v>15.14</v>
      </c>
    </row>
    <row r="888" spans="2:53">
      <c r="B888" t="s">
        <v>26</v>
      </c>
      <c r="C888" t="s">
        <v>5608</v>
      </c>
      <c r="D888" t="s">
        <v>5609</v>
      </c>
      <c r="E888" t="s">
        <v>29</v>
      </c>
      <c r="F888" t="s">
        <v>30</v>
      </c>
      <c r="G888" t="s">
        <v>31</v>
      </c>
      <c r="J888" t="s">
        <v>5608</v>
      </c>
      <c r="K888" t="s">
        <v>1967</v>
      </c>
      <c r="L888" t="s">
        <v>3739</v>
      </c>
      <c r="M888" s="8">
        <v>0.117</v>
      </c>
      <c r="N888">
        <v>80.7856561622413</v>
      </c>
      <c r="O888">
        <v>1961</v>
      </c>
      <c r="P888" s="9">
        <v>0.172910256410256</v>
      </c>
      <c r="Q888" t="s">
        <v>812</v>
      </c>
      <c r="T888" s="15" t="s">
        <v>69</v>
      </c>
      <c r="W888" s="16" t="str">
        <f t="shared" si="91"/>
        <v>EN_WON_17_c02_GRC</v>
      </c>
      <c r="X888" s="12">
        <f t="shared" si="92"/>
        <v>1961</v>
      </c>
      <c r="Y888" s="11">
        <f t="shared" si="93"/>
        <v>1961</v>
      </c>
      <c r="AC888" t="s">
        <v>26</v>
      </c>
      <c r="AD888" t="s">
        <v>5610</v>
      </c>
      <c r="AE888" t="s">
        <v>5611</v>
      </c>
      <c r="AF888" t="s">
        <v>29</v>
      </c>
      <c r="AG888" t="s">
        <v>30</v>
      </c>
      <c r="AH888" t="s">
        <v>31</v>
      </c>
      <c r="AK888" t="s">
        <v>5610</v>
      </c>
      <c r="AL888" t="s">
        <v>1967</v>
      </c>
      <c r="AM888" t="s">
        <v>5601</v>
      </c>
      <c r="AN888" s="8">
        <v>4.63275</v>
      </c>
      <c r="AO888">
        <v>199.694880401046</v>
      </c>
      <c r="AP888">
        <v>1514</v>
      </c>
      <c r="AQ888" s="9">
        <v>0.317</v>
      </c>
      <c r="AR888" t="s">
        <v>5602</v>
      </c>
      <c r="AT888" s="15" t="s">
        <v>54</v>
      </c>
      <c r="AW888" s="11" t="str">
        <f t="shared" si="94"/>
        <v>EN_WOF_32_c02_SDN</v>
      </c>
      <c r="AX888" s="11">
        <f t="shared" si="95"/>
        <v>1514</v>
      </c>
      <c r="AY888" s="11">
        <f t="shared" si="96"/>
        <v>1514</v>
      </c>
      <c r="AZ888" s="17">
        <v>3</v>
      </c>
      <c r="BA888">
        <f t="shared" si="97"/>
        <v>15.14</v>
      </c>
    </row>
    <row r="889" spans="2:53">
      <c r="B889" t="s">
        <v>26</v>
      </c>
      <c r="C889" t="s">
        <v>5612</v>
      </c>
      <c r="D889" t="s">
        <v>5613</v>
      </c>
      <c r="E889" t="s">
        <v>29</v>
      </c>
      <c r="F889" t="s">
        <v>30</v>
      </c>
      <c r="G889" t="s">
        <v>31</v>
      </c>
      <c r="J889" t="s">
        <v>5612</v>
      </c>
      <c r="K889" t="s">
        <v>1967</v>
      </c>
      <c r="L889" t="s">
        <v>3739</v>
      </c>
      <c r="M889" s="8">
        <v>0.012</v>
      </c>
      <c r="N889">
        <v>105.747516212372</v>
      </c>
      <c r="O889">
        <v>1961</v>
      </c>
      <c r="P889" s="9">
        <v>0.174</v>
      </c>
      <c r="Q889" t="s">
        <v>812</v>
      </c>
      <c r="T889" s="15" t="s">
        <v>69</v>
      </c>
      <c r="W889" s="16" t="str">
        <f t="shared" si="91"/>
        <v>EN_WON_17_c03_GRC</v>
      </c>
      <c r="X889" s="12">
        <f t="shared" si="92"/>
        <v>1961</v>
      </c>
      <c r="Y889" s="11">
        <f t="shared" si="93"/>
        <v>1961</v>
      </c>
      <c r="AC889" t="s">
        <v>26</v>
      </c>
      <c r="AD889" t="s">
        <v>5614</v>
      </c>
      <c r="AE889" t="s">
        <v>5615</v>
      </c>
      <c r="AF889" t="s">
        <v>29</v>
      </c>
      <c r="AG889" t="s">
        <v>30</v>
      </c>
      <c r="AH889" t="s">
        <v>31</v>
      </c>
      <c r="AK889" t="s">
        <v>5614</v>
      </c>
      <c r="AL889" t="s">
        <v>1967</v>
      </c>
      <c r="AM889" t="s">
        <v>5601</v>
      </c>
      <c r="AN889" s="8">
        <v>4.9785</v>
      </c>
      <c r="AO889">
        <v>199.694880401046</v>
      </c>
      <c r="AP889">
        <v>1514</v>
      </c>
      <c r="AQ889" s="9">
        <v>0.338</v>
      </c>
      <c r="AR889" t="s">
        <v>5602</v>
      </c>
      <c r="AT889" s="15" t="s">
        <v>54</v>
      </c>
      <c r="AW889" s="11" t="str">
        <f t="shared" si="94"/>
        <v>EN_WOF_34_c02_SDN</v>
      </c>
      <c r="AX889" s="11">
        <f t="shared" si="95"/>
        <v>1514</v>
      </c>
      <c r="AY889" s="11">
        <f t="shared" si="96"/>
        <v>1514</v>
      </c>
      <c r="AZ889" s="17">
        <v>3</v>
      </c>
      <c r="BA889">
        <f t="shared" si="97"/>
        <v>15.14</v>
      </c>
    </row>
    <row r="890" spans="2:53">
      <c r="B890" t="s">
        <v>26</v>
      </c>
      <c r="C890" t="s">
        <v>5616</v>
      </c>
      <c r="D890" t="s">
        <v>5617</v>
      </c>
      <c r="E890" t="s">
        <v>29</v>
      </c>
      <c r="F890" t="s">
        <v>30</v>
      </c>
      <c r="G890" t="s">
        <v>31</v>
      </c>
      <c r="J890" t="s">
        <v>5616</v>
      </c>
      <c r="K890" t="s">
        <v>1967</v>
      </c>
      <c r="L890" t="s">
        <v>3739</v>
      </c>
      <c r="M890" s="8">
        <v>0.5325</v>
      </c>
      <c r="N890">
        <v>80.7856561622413</v>
      </c>
      <c r="O890">
        <v>1961</v>
      </c>
      <c r="P890" s="9">
        <v>0.177742253521127</v>
      </c>
      <c r="Q890" t="s">
        <v>812</v>
      </c>
      <c r="T890" s="15" t="s">
        <v>69</v>
      </c>
      <c r="W890" s="16" t="str">
        <f t="shared" si="91"/>
        <v>EN_WON_18_c02_GRC</v>
      </c>
      <c r="X890" s="12">
        <f t="shared" si="92"/>
        <v>1961</v>
      </c>
      <c r="Y890" s="11">
        <f t="shared" si="93"/>
        <v>1961</v>
      </c>
      <c r="AC890" t="s">
        <v>26</v>
      </c>
      <c r="AD890" t="s">
        <v>5618</v>
      </c>
      <c r="AE890" t="s">
        <v>5619</v>
      </c>
      <c r="AF890" t="s">
        <v>29</v>
      </c>
      <c r="AG890" t="s">
        <v>30</v>
      </c>
      <c r="AH890" t="s">
        <v>31</v>
      </c>
      <c r="AK890" t="s">
        <v>5618</v>
      </c>
      <c r="AL890" t="s">
        <v>1967</v>
      </c>
      <c r="AM890" t="s">
        <v>5601</v>
      </c>
      <c r="AN890" s="8">
        <v>4.251</v>
      </c>
      <c r="AO890">
        <v>199.694880401046</v>
      </c>
      <c r="AP890">
        <v>1514</v>
      </c>
      <c r="AQ890" s="9">
        <v>0.349463302752294</v>
      </c>
      <c r="AR890" t="s">
        <v>5602</v>
      </c>
      <c r="AT890" s="15" t="s">
        <v>54</v>
      </c>
      <c r="AW890" s="11" t="str">
        <f t="shared" si="94"/>
        <v>EN_WOF_35_c02_SDN</v>
      </c>
      <c r="AX890" s="11">
        <f t="shared" si="95"/>
        <v>1514</v>
      </c>
      <c r="AY890" s="11">
        <f t="shared" si="96"/>
        <v>1514</v>
      </c>
      <c r="AZ890" s="17">
        <v>3</v>
      </c>
      <c r="BA890">
        <f t="shared" si="97"/>
        <v>15.14</v>
      </c>
    </row>
    <row r="891" spans="2:53">
      <c r="B891" t="s">
        <v>26</v>
      </c>
      <c r="C891" t="s">
        <v>5620</v>
      </c>
      <c r="D891" t="s">
        <v>5621</v>
      </c>
      <c r="E891" t="s">
        <v>29</v>
      </c>
      <c r="F891" t="s">
        <v>30</v>
      </c>
      <c r="G891" t="s">
        <v>31</v>
      </c>
      <c r="J891" t="s">
        <v>5620</v>
      </c>
      <c r="K891" t="s">
        <v>1967</v>
      </c>
      <c r="L891" t="s">
        <v>3739</v>
      </c>
      <c r="M891" s="8">
        <v>0.17925</v>
      </c>
      <c r="N891">
        <v>105.747516212372</v>
      </c>
      <c r="O891">
        <v>1961</v>
      </c>
      <c r="P891" s="9">
        <v>0.179217573221757</v>
      </c>
      <c r="Q891" t="s">
        <v>812</v>
      </c>
      <c r="T891" s="15" t="s">
        <v>69</v>
      </c>
      <c r="W891" s="16" t="str">
        <f t="shared" si="91"/>
        <v>EN_WON_18_c03_GRC</v>
      </c>
      <c r="X891" s="12">
        <f t="shared" si="92"/>
        <v>1961</v>
      </c>
      <c r="Y891" s="11">
        <f t="shared" si="93"/>
        <v>1961</v>
      </c>
      <c r="AC891" t="s">
        <v>26</v>
      </c>
      <c r="AD891" t="s">
        <v>5622</v>
      </c>
      <c r="AE891" t="s">
        <v>5623</v>
      </c>
      <c r="AF891" t="s">
        <v>29</v>
      </c>
      <c r="AG891" t="s">
        <v>30</v>
      </c>
      <c r="AH891" t="s">
        <v>31</v>
      </c>
      <c r="AK891" t="s">
        <v>5622</v>
      </c>
      <c r="AL891" t="s">
        <v>1967</v>
      </c>
      <c r="AM891" t="s">
        <v>5624</v>
      </c>
      <c r="AN891" s="8">
        <v>8.0745</v>
      </c>
      <c r="AO891">
        <v>199.694880401046</v>
      </c>
      <c r="AP891">
        <v>1952</v>
      </c>
      <c r="AQ891" s="9">
        <v>0.318285342745681</v>
      </c>
      <c r="AR891" t="s">
        <v>1619</v>
      </c>
      <c r="AT891" s="15" t="s">
        <v>54</v>
      </c>
      <c r="AW891" s="11" t="str">
        <f t="shared" si="94"/>
        <v>EN_WOF_32_c02_SEN</v>
      </c>
      <c r="AX891" s="11">
        <f t="shared" si="95"/>
        <v>1952</v>
      </c>
      <c r="AY891" s="11">
        <f t="shared" si="96"/>
        <v>1952</v>
      </c>
      <c r="AZ891" s="17">
        <v>3</v>
      </c>
      <c r="BA891">
        <f t="shared" si="97"/>
        <v>19.52</v>
      </c>
    </row>
    <row r="892" spans="2:53">
      <c r="B892" t="s">
        <v>26</v>
      </c>
      <c r="C892" t="s">
        <v>5625</v>
      </c>
      <c r="D892" t="s">
        <v>5626</v>
      </c>
      <c r="E892" t="s">
        <v>29</v>
      </c>
      <c r="F892" t="s">
        <v>30</v>
      </c>
      <c r="G892" t="s">
        <v>31</v>
      </c>
      <c r="J892" t="s">
        <v>5625</v>
      </c>
      <c r="K892" t="s">
        <v>1967</v>
      </c>
      <c r="L892" t="s">
        <v>3739</v>
      </c>
      <c r="M892" s="8">
        <v>0.4575</v>
      </c>
      <c r="N892">
        <v>80.7856561622413</v>
      </c>
      <c r="O892">
        <v>1961</v>
      </c>
      <c r="P892" s="9">
        <v>0.192881967213115</v>
      </c>
      <c r="Q892" t="s">
        <v>812</v>
      </c>
      <c r="T892" s="15" t="s">
        <v>69</v>
      </c>
      <c r="W892" s="16" t="str">
        <f t="shared" si="91"/>
        <v>EN_WON_19_c02_GRC</v>
      </c>
      <c r="X892" s="12">
        <f t="shared" si="92"/>
        <v>1961</v>
      </c>
      <c r="Y892" s="11">
        <f t="shared" si="93"/>
        <v>1961</v>
      </c>
      <c r="AC892" t="s">
        <v>26</v>
      </c>
      <c r="AD892" t="s">
        <v>5627</v>
      </c>
      <c r="AE892" t="s">
        <v>5628</v>
      </c>
      <c r="AF892" t="s">
        <v>29</v>
      </c>
      <c r="AG892" t="s">
        <v>30</v>
      </c>
      <c r="AH892" t="s">
        <v>31</v>
      </c>
      <c r="AK892" t="s">
        <v>5627</v>
      </c>
      <c r="AL892" t="s">
        <v>1967</v>
      </c>
      <c r="AM892" t="s">
        <v>5624</v>
      </c>
      <c r="AN892" s="8">
        <v>6.15</v>
      </c>
      <c r="AO892">
        <v>199.694880401046</v>
      </c>
      <c r="AP892">
        <v>1952</v>
      </c>
      <c r="AQ892" s="9">
        <v>0.32679012195122</v>
      </c>
      <c r="AR892" t="s">
        <v>1619</v>
      </c>
      <c r="AT892" s="15" t="s">
        <v>54</v>
      </c>
      <c r="AW892" s="11" t="str">
        <f t="shared" si="94"/>
        <v>EN_WOF_33_c02_SEN</v>
      </c>
      <c r="AX892" s="11">
        <f t="shared" si="95"/>
        <v>1952</v>
      </c>
      <c r="AY892" s="11">
        <f t="shared" si="96"/>
        <v>1952</v>
      </c>
      <c r="AZ892" s="17">
        <v>3</v>
      </c>
      <c r="BA892">
        <f t="shared" si="97"/>
        <v>19.52</v>
      </c>
    </row>
    <row r="893" spans="2:53">
      <c r="B893" t="s">
        <v>26</v>
      </c>
      <c r="C893" t="s">
        <v>5629</v>
      </c>
      <c r="D893" t="s">
        <v>5630</v>
      </c>
      <c r="E893" t="s">
        <v>29</v>
      </c>
      <c r="F893" t="s">
        <v>30</v>
      </c>
      <c r="G893" t="s">
        <v>31</v>
      </c>
      <c r="J893" t="s">
        <v>5629</v>
      </c>
      <c r="K893" t="s">
        <v>1967</v>
      </c>
      <c r="L893" t="s">
        <v>3739</v>
      </c>
      <c r="M893" s="8">
        <v>0.87975</v>
      </c>
      <c r="N893">
        <v>105.747516212372</v>
      </c>
      <c r="O893">
        <v>1961</v>
      </c>
      <c r="P893" s="9">
        <v>0.189541346973572</v>
      </c>
      <c r="Q893" t="s">
        <v>812</v>
      </c>
      <c r="T893" s="15" t="s">
        <v>69</v>
      </c>
      <c r="W893" s="16" t="str">
        <f t="shared" si="91"/>
        <v>EN_WON_19_c03_GRC</v>
      </c>
      <c r="X893" s="12">
        <f t="shared" si="92"/>
        <v>1961</v>
      </c>
      <c r="Y893" s="11">
        <f t="shared" si="93"/>
        <v>1961</v>
      </c>
      <c r="AC893" t="s">
        <v>26</v>
      </c>
      <c r="AD893" t="s">
        <v>5631</v>
      </c>
      <c r="AE893" t="s">
        <v>5632</v>
      </c>
      <c r="AF893" t="s">
        <v>29</v>
      </c>
      <c r="AG893" t="s">
        <v>30</v>
      </c>
      <c r="AH893" t="s">
        <v>31</v>
      </c>
      <c r="AK893" t="s">
        <v>5631</v>
      </c>
      <c r="AL893" t="s">
        <v>1967</v>
      </c>
      <c r="AM893" t="s">
        <v>5624</v>
      </c>
      <c r="AN893" s="8">
        <v>0.74025</v>
      </c>
      <c r="AO893">
        <v>199.694880401046</v>
      </c>
      <c r="AP893">
        <v>1952</v>
      </c>
      <c r="AQ893" s="9">
        <v>0.351</v>
      </c>
      <c r="AR893" t="s">
        <v>1619</v>
      </c>
      <c r="AT893" s="15" t="s">
        <v>54</v>
      </c>
      <c r="AW893" s="11" t="str">
        <f t="shared" si="94"/>
        <v>EN_WOF_35_c02_SEN</v>
      </c>
      <c r="AX893" s="11">
        <f t="shared" si="95"/>
        <v>1952</v>
      </c>
      <c r="AY893" s="11">
        <f t="shared" si="96"/>
        <v>1952</v>
      </c>
      <c r="AZ893" s="17">
        <v>3</v>
      </c>
      <c r="BA893">
        <f t="shared" si="97"/>
        <v>19.52</v>
      </c>
    </row>
    <row r="894" spans="2:53">
      <c r="B894" t="s">
        <v>26</v>
      </c>
      <c r="C894" t="s">
        <v>5633</v>
      </c>
      <c r="D894" t="s">
        <v>5634</v>
      </c>
      <c r="E894" t="s">
        <v>29</v>
      </c>
      <c r="F894" t="s">
        <v>30</v>
      </c>
      <c r="G894" t="s">
        <v>31</v>
      </c>
      <c r="J894" t="s">
        <v>5633</v>
      </c>
      <c r="K894" t="s">
        <v>1967</v>
      </c>
      <c r="L894" t="s">
        <v>3739</v>
      </c>
      <c r="M894" s="8">
        <v>0.03375</v>
      </c>
      <c r="N894">
        <v>80.7856561622413</v>
      </c>
      <c r="O894">
        <v>1961</v>
      </c>
      <c r="P894" s="9">
        <v>0.197266666666667</v>
      </c>
      <c r="Q894" t="s">
        <v>812</v>
      </c>
      <c r="T894" s="15" t="s">
        <v>69</v>
      </c>
      <c r="W894" s="16" t="str">
        <f t="shared" si="91"/>
        <v>EN_WON_20_c02_GRC</v>
      </c>
      <c r="X894" s="12">
        <f t="shared" si="92"/>
        <v>1961</v>
      </c>
      <c r="Y894" s="11">
        <f t="shared" si="93"/>
        <v>1961</v>
      </c>
      <c r="AC894" t="s">
        <v>26</v>
      </c>
      <c r="AD894" t="s">
        <v>5635</v>
      </c>
      <c r="AE894" t="s">
        <v>5636</v>
      </c>
      <c r="AF894" t="s">
        <v>29</v>
      </c>
      <c r="AG894" t="s">
        <v>30</v>
      </c>
      <c r="AH894" t="s">
        <v>31</v>
      </c>
      <c r="AK894" t="s">
        <v>5635</v>
      </c>
      <c r="AL894" t="s">
        <v>1967</v>
      </c>
      <c r="AM894" t="s">
        <v>5624</v>
      </c>
      <c r="AN894" s="8">
        <v>5.76225</v>
      </c>
      <c r="AO894">
        <v>199.694880401046</v>
      </c>
      <c r="AP894">
        <v>1952</v>
      </c>
      <c r="AQ894" s="9">
        <v>0.358865156839776</v>
      </c>
      <c r="AR894" t="s">
        <v>1619</v>
      </c>
      <c r="AT894" s="15" t="s">
        <v>54</v>
      </c>
      <c r="AW894" s="11" t="str">
        <f t="shared" si="94"/>
        <v>EN_WOF_36_c02_SEN</v>
      </c>
      <c r="AX894" s="11">
        <f t="shared" si="95"/>
        <v>1952</v>
      </c>
      <c r="AY894" s="11">
        <f t="shared" si="96"/>
        <v>1952</v>
      </c>
      <c r="AZ894" s="17">
        <v>3</v>
      </c>
      <c r="BA894">
        <f t="shared" si="97"/>
        <v>19.52</v>
      </c>
    </row>
    <row r="895" spans="2:53">
      <c r="B895" t="s">
        <v>26</v>
      </c>
      <c r="C895" t="s">
        <v>5637</v>
      </c>
      <c r="D895" t="s">
        <v>5638</v>
      </c>
      <c r="E895" t="s">
        <v>29</v>
      </c>
      <c r="F895" t="s">
        <v>30</v>
      </c>
      <c r="G895" t="s">
        <v>31</v>
      </c>
      <c r="J895" t="s">
        <v>5637</v>
      </c>
      <c r="K895" t="s">
        <v>1967</v>
      </c>
      <c r="L895" t="s">
        <v>3739</v>
      </c>
      <c r="M895" s="8">
        <v>0.49725</v>
      </c>
      <c r="N895">
        <v>105.747516212372</v>
      </c>
      <c r="O895">
        <v>1961</v>
      </c>
      <c r="P895" s="9">
        <v>0.201684766214178</v>
      </c>
      <c r="Q895" t="s">
        <v>812</v>
      </c>
      <c r="T895" s="15" t="s">
        <v>69</v>
      </c>
      <c r="W895" s="16" t="str">
        <f t="shared" si="91"/>
        <v>EN_WON_20_c03_GRC</v>
      </c>
      <c r="X895" s="12">
        <f t="shared" si="92"/>
        <v>1961</v>
      </c>
      <c r="Y895" s="11">
        <f t="shared" si="93"/>
        <v>1961</v>
      </c>
      <c r="AC895" t="s">
        <v>26</v>
      </c>
      <c r="AD895" t="s">
        <v>5639</v>
      </c>
      <c r="AE895" t="s">
        <v>5640</v>
      </c>
      <c r="AF895" t="s">
        <v>29</v>
      </c>
      <c r="AG895" t="s">
        <v>30</v>
      </c>
      <c r="AH895" t="s">
        <v>31</v>
      </c>
      <c r="AK895" t="s">
        <v>5639</v>
      </c>
      <c r="AL895" t="s">
        <v>1967</v>
      </c>
      <c r="AM895" t="s">
        <v>5624</v>
      </c>
      <c r="AN895" s="8">
        <v>5.082</v>
      </c>
      <c r="AO895">
        <v>199.694880401046</v>
      </c>
      <c r="AP895">
        <v>1952</v>
      </c>
      <c r="AQ895" s="9">
        <v>0.380548701298701</v>
      </c>
      <c r="AR895" t="s">
        <v>1619</v>
      </c>
      <c r="AT895" s="15" t="s">
        <v>54</v>
      </c>
      <c r="AW895" s="11" t="str">
        <f t="shared" si="94"/>
        <v>EN_WOF_38_c02_SEN</v>
      </c>
      <c r="AX895" s="11">
        <f t="shared" si="95"/>
        <v>1952</v>
      </c>
      <c r="AY895" s="11">
        <f t="shared" si="96"/>
        <v>1952</v>
      </c>
      <c r="AZ895" s="17">
        <v>3</v>
      </c>
      <c r="BA895">
        <f t="shared" si="97"/>
        <v>19.52</v>
      </c>
    </row>
    <row r="896" spans="2:53">
      <c r="B896" t="s">
        <v>26</v>
      </c>
      <c r="C896" t="s">
        <v>5641</v>
      </c>
      <c r="D896" t="s">
        <v>5642</v>
      </c>
      <c r="E896" t="s">
        <v>29</v>
      </c>
      <c r="F896" t="s">
        <v>30</v>
      </c>
      <c r="G896" t="s">
        <v>31</v>
      </c>
      <c r="J896" t="s">
        <v>5641</v>
      </c>
      <c r="K896" t="s">
        <v>1967</v>
      </c>
      <c r="L896" t="s">
        <v>3739</v>
      </c>
      <c r="M896" s="8">
        <v>0.91725</v>
      </c>
      <c r="N896">
        <v>80.7856561622413</v>
      </c>
      <c r="O896">
        <v>1961</v>
      </c>
      <c r="P896" s="9">
        <v>0.211881439084219</v>
      </c>
      <c r="Q896" t="s">
        <v>812</v>
      </c>
      <c r="T896" s="15" t="s">
        <v>69</v>
      </c>
      <c r="W896" s="16" t="str">
        <f t="shared" si="91"/>
        <v>EN_WON_21_c02_GRC</v>
      </c>
      <c r="X896" s="12">
        <f t="shared" si="92"/>
        <v>1961</v>
      </c>
      <c r="Y896" s="11">
        <f t="shared" si="93"/>
        <v>1961</v>
      </c>
      <c r="AC896" t="s">
        <v>26</v>
      </c>
      <c r="AD896" t="s">
        <v>5643</v>
      </c>
      <c r="AE896" t="s">
        <v>5644</v>
      </c>
      <c r="AF896" t="s">
        <v>29</v>
      </c>
      <c r="AG896" t="s">
        <v>30</v>
      </c>
      <c r="AH896" t="s">
        <v>31</v>
      </c>
      <c r="AK896" t="s">
        <v>5643</v>
      </c>
      <c r="AL896" t="s">
        <v>1967</v>
      </c>
      <c r="AM896" t="s">
        <v>5645</v>
      </c>
      <c r="AN896" s="8">
        <v>13.9575</v>
      </c>
      <c r="AO896">
        <v>199.694880401046</v>
      </c>
      <c r="AP896">
        <v>1952</v>
      </c>
      <c r="AQ896" s="9">
        <v>0.319276303062869</v>
      </c>
      <c r="AR896" t="s">
        <v>1639</v>
      </c>
      <c r="AT896" s="15" t="s">
        <v>54</v>
      </c>
      <c r="AW896" s="11" t="str">
        <f t="shared" si="94"/>
        <v>EN_WOF_32_c02_SOM</v>
      </c>
      <c r="AX896" s="11">
        <f t="shared" si="95"/>
        <v>1952</v>
      </c>
      <c r="AY896" s="11">
        <f t="shared" si="96"/>
        <v>1952</v>
      </c>
      <c r="AZ896" s="17">
        <v>3</v>
      </c>
      <c r="BA896">
        <f t="shared" si="97"/>
        <v>19.52</v>
      </c>
    </row>
    <row r="897" spans="2:53">
      <c r="B897" t="s">
        <v>26</v>
      </c>
      <c r="C897" t="s">
        <v>5646</v>
      </c>
      <c r="D897" t="s">
        <v>5647</v>
      </c>
      <c r="E897" t="s">
        <v>29</v>
      </c>
      <c r="F897" t="s">
        <v>30</v>
      </c>
      <c r="G897" t="s">
        <v>31</v>
      </c>
      <c r="J897" t="s">
        <v>5646</v>
      </c>
      <c r="K897" t="s">
        <v>1967</v>
      </c>
      <c r="L897" t="s">
        <v>3739</v>
      </c>
      <c r="M897" s="8">
        <v>2.0685</v>
      </c>
      <c r="N897">
        <v>105.747516212372</v>
      </c>
      <c r="O897">
        <v>1961</v>
      </c>
      <c r="P897" s="9">
        <v>0.211062726613488</v>
      </c>
      <c r="Q897" t="s">
        <v>812</v>
      </c>
      <c r="T897" s="15" t="s">
        <v>69</v>
      </c>
      <c r="W897" s="16" t="str">
        <f t="shared" si="91"/>
        <v>EN_WON_21_c03_GRC</v>
      </c>
      <c r="X897" s="12">
        <f t="shared" si="92"/>
        <v>1961</v>
      </c>
      <c r="Y897" s="11">
        <f t="shared" si="93"/>
        <v>1961</v>
      </c>
      <c r="AC897" t="s">
        <v>26</v>
      </c>
      <c r="AD897" t="s">
        <v>5648</v>
      </c>
      <c r="AE897" t="s">
        <v>5649</v>
      </c>
      <c r="AF897" t="s">
        <v>29</v>
      </c>
      <c r="AG897" t="s">
        <v>30</v>
      </c>
      <c r="AH897" t="s">
        <v>31</v>
      </c>
      <c r="AK897" t="s">
        <v>5648</v>
      </c>
      <c r="AL897" t="s">
        <v>1967</v>
      </c>
      <c r="AM897" t="s">
        <v>5645</v>
      </c>
      <c r="AN897" s="8">
        <v>5.4915</v>
      </c>
      <c r="AO897">
        <v>199.694880401046</v>
      </c>
      <c r="AP897">
        <v>1952</v>
      </c>
      <c r="AQ897" s="9">
        <v>0.329779022125102</v>
      </c>
      <c r="AR897" t="s">
        <v>1639</v>
      </c>
      <c r="AT897" s="15" t="s">
        <v>54</v>
      </c>
      <c r="AW897" s="11" t="str">
        <f t="shared" si="94"/>
        <v>EN_WOF_33_c02_SOM</v>
      </c>
      <c r="AX897" s="11">
        <f t="shared" si="95"/>
        <v>1952</v>
      </c>
      <c r="AY897" s="11">
        <f t="shared" si="96"/>
        <v>1952</v>
      </c>
      <c r="AZ897" s="17">
        <v>3</v>
      </c>
      <c r="BA897">
        <f t="shared" si="97"/>
        <v>19.52</v>
      </c>
    </row>
    <row r="898" spans="2:53">
      <c r="B898" t="s">
        <v>26</v>
      </c>
      <c r="C898" t="s">
        <v>5650</v>
      </c>
      <c r="D898" t="s">
        <v>5651</v>
      </c>
      <c r="E898" t="s">
        <v>29</v>
      </c>
      <c r="F898" t="s">
        <v>30</v>
      </c>
      <c r="G898" t="s">
        <v>31</v>
      </c>
      <c r="J898" t="s">
        <v>5650</v>
      </c>
      <c r="K898" t="s">
        <v>1967</v>
      </c>
      <c r="L898" t="s">
        <v>3739</v>
      </c>
      <c r="M898" s="8">
        <v>0.087</v>
      </c>
      <c r="N898">
        <v>145.23264029167</v>
      </c>
      <c r="O898">
        <v>1961</v>
      </c>
      <c r="P898" s="9">
        <v>0.213</v>
      </c>
      <c r="Q898" t="s">
        <v>812</v>
      </c>
      <c r="T898" s="15" t="s">
        <v>69</v>
      </c>
      <c r="W898" s="16" t="str">
        <f t="shared" si="91"/>
        <v>EN_WON_21_c04_GRC</v>
      </c>
      <c r="X898" s="12">
        <f t="shared" si="92"/>
        <v>1961</v>
      </c>
      <c r="Y898" s="11">
        <f t="shared" si="93"/>
        <v>1961</v>
      </c>
      <c r="AC898" t="s">
        <v>26</v>
      </c>
      <c r="AD898" t="s">
        <v>5652</v>
      </c>
      <c r="AE898" t="s">
        <v>5653</v>
      </c>
      <c r="AF898" t="s">
        <v>29</v>
      </c>
      <c r="AG898" t="s">
        <v>30</v>
      </c>
      <c r="AH898" t="s">
        <v>31</v>
      </c>
      <c r="AK898" t="s">
        <v>5652</v>
      </c>
      <c r="AL898" t="s">
        <v>1967</v>
      </c>
      <c r="AM898" t="s">
        <v>5645</v>
      </c>
      <c r="AN898" s="8">
        <v>10.39575</v>
      </c>
      <c r="AO898">
        <v>199.694880401046</v>
      </c>
      <c r="AP898">
        <v>1952</v>
      </c>
      <c r="AQ898" s="9">
        <v>0.341850587980665</v>
      </c>
      <c r="AR898" t="s">
        <v>1639</v>
      </c>
      <c r="AT898" s="15" t="s">
        <v>54</v>
      </c>
      <c r="AW898" s="11" t="str">
        <f t="shared" si="94"/>
        <v>EN_WOF_34_c02_SOM</v>
      </c>
      <c r="AX898" s="11">
        <f t="shared" si="95"/>
        <v>1952</v>
      </c>
      <c r="AY898" s="11">
        <f t="shared" si="96"/>
        <v>1952</v>
      </c>
      <c r="AZ898" s="17">
        <v>3</v>
      </c>
      <c r="BA898">
        <f t="shared" si="97"/>
        <v>19.52</v>
      </c>
    </row>
    <row r="899" spans="2:53">
      <c r="B899" t="s">
        <v>26</v>
      </c>
      <c r="C899" t="s">
        <v>5654</v>
      </c>
      <c r="D899" t="s">
        <v>5655</v>
      </c>
      <c r="E899" t="s">
        <v>29</v>
      </c>
      <c r="F899" t="s">
        <v>30</v>
      </c>
      <c r="G899" t="s">
        <v>31</v>
      </c>
      <c r="J899" t="s">
        <v>5654</v>
      </c>
      <c r="K899" t="s">
        <v>1967</v>
      </c>
      <c r="L899" t="s">
        <v>3739</v>
      </c>
      <c r="M899" s="8">
        <v>3.40725</v>
      </c>
      <c r="N899">
        <v>105.747516212372</v>
      </c>
      <c r="O899">
        <v>1961</v>
      </c>
      <c r="P899" s="9">
        <v>0.21609619194365</v>
      </c>
      <c r="Q899" t="s">
        <v>812</v>
      </c>
      <c r="T899" s="15" t="s">
        <v>69</v>
      </c>
      <c r="W899" s="16" t="str">
        <f t="shared" si="91"/>
        <v>EN_WON_22_c03_GRC</v>
      </c>
      <c r="X899" s="12">
        <f t="shared" si="92"/>
        <v>1961</v>
      </c>
      <c r="Y899" s="11">
        <f t="shared" si="93"/>
        <v>1961</v>
      </c>
      <c r="AC899" t="s">
        <v>26</v>
      </c>
      <c r="AD899" t="s">
        <v>5656</v>
      </c>
      <c r="AE899" t="s">
        <v>5657</v>
      </c>
      <c r="AF899" t="s">
        <v>29</v>
      </c>
      <c r="AG899" t="s">
        <v>30</v>
      </c>
      <c r="AH899" t="s">
        <v>31</v>
      </c>
      <c r="AK899" t="s">
        <v>5656</v>
      </c>
      <c r="AL899" t="s">
        <v>1967</v>
      </c>
      <c r="AM899" t="s">
        <v>5645</v>
      </c>
      <c r="AN899" s="8">
        <v>4.227</v>
      </c>
      <c r="AO899">
        <v>199.694880401046</v>
      </c>
      <c r="AP899">
        <v>1952</v>
      </c>
      <c r="AQ899" s="9">
        <v>0.35141784953868</v>
      </c>
      <c r="AR899" t="s">
        <v>1639</v>
      </c>
      <c r="AT899" s="15" t="s">
        <v>54</v>
      </c>
      <c r="AW899" s="11" t="str">
        <f t="shared" si="94"/>
        <v>EN_WOF_35_c02_SOM</v>
      </c>
      <c r="AX899" s="11">
        <f t="shared" si="95"/>
        <v>1952</v>
      </c>
      <c r="AY899" s="11">
        <f t="shared" si="96"/>
        <v>1952</v>
      </c>
      <c r="AZ899" s="17">
        <v>3</v>
      </c>
      <c r="BA899">
        <f t="shared" si="97"/>
        <v>19.52</v>
      </c>
    </row>
    <row r="900" spans="2:53">
      <c r="B900" t="s">
        <v>26</v>
      </c>
      <c r="C900" t="s">
        <v>5658</v>
      </c>
      <c r="D900" t="s">
        <v>5659</v>
      </c>
      <c r="E900" t="s">
        <v>29</v>
      </c>
      <c r="F900" t="s">
        <v>30</v>
      </c>
      <c r="G900" t="s">
        <v>31</v>
      </c>
      <c r="J900" t="s">
        <v>5658</v>
      </c>
      <c r="K900" t="s">
        <v>1967</v>
      </c>
      <c r="L900" t="s">
        <v>3739</v>
      </c>
      <c r="M900" s="8">
        <v>0.2535</v>
      </c>
      <c r="N900">
        <v>145.23264029167</v>
      </c>
      <c r="O900">
        <v>1961</v>
      </c>
      <c r="P900" s="9">
        <v>0.22</v>
      </c>
      <c r="Q900" t="s">
        <v>812</v>
      </c>
      <c r="T900" s="15" t="s">
        <v>69</v>
      </c>
      <c r="W900" s="16" t="str">
        <f t="shared" si="91"/>
        <v>EN_WON_22_c04_GRC</v>
      </c>
      <c r="X900" s="12">
        <f t="shared" si="92"/>
        <v>1961</v>
      </c>
      <c r="Y900" s="11">
        <f t="shared" si="93"/>
        <v>1961</v>
      </c>
      <c r="AC900" t="s">
        <v>26</v>
      </c>
      <c r="AD900" t="s">
        <v>5660</v>
      </c>
      <c r="AE900" t="s">
        <v>5661</v>
      </c>
      <c r="AF900" t="s">
        <v>29</v>
      </c>
      <c r="AG900" t="s">
        <v>30</v>
      </c>
      <c r="AH900" t="s">
        <v>31</v>
      </c>
      <c r="AK900" t="s">
        <v>5660</v>
      </c>
      <c r="AL900" t="s">
        <v>1967</v>
      </c>
      <c r="AM900" t="s">
        <v>5645</v>
      </c>
      <c r="AN900" s="8">
        <v>8.1525</v>
      </c>
      <c r="AO900">
        <v>199.694880401046</v>
      </c>
      <c r="AP900">
        <v>1952</v>
      </c>
      <c r="AQ900" s="9">
        <v>0.367621895124195</v>
      </c>
      <c r="AR900" t="s">
        <v>1639</v>
      </c>
      <c r="AT900" s="15" t="s">
        <v>54</v>
      </c>
      <c r="AW900" s="11" t="str">
        <f t="shared" si="94"/>
        <v>EN_WOF_37_c02_SOM</v>
      </c>
      <c r="AX900" s="11">
        <f t="shared" si="95"/>
        <v>1952</v>
      </c>
      <c r="AY900" s="11">
        <f t="shared" si="96"/>
        <v>1952</v>
      </c>
      <c r="AZ900" s="17">
        <v>3</v>
      </c>
      <c r="BA900">
        <f t="shared" si="97"/>
        <v>19.52</v>
      </c>
    </row>
    <row r="901" spans="2:53">
      <c r="B901" t="s">
        <v>26</v>
      </c>
      <c r="C901" t="s">
        <v>5662</v>
      </c>
      <c r="D901" t="s">
        <v>5663</v>
      </c>
      <c r="E901" t="s">
        <v>29</v>
      </c>
      <c r="F901" t="s">
        <v>30</v>
      </c>
      <c r="G901" t="s">
        <v>31</v>
      </c>
      <c r="J901" t="s">
        <v>5662</v>
      </c>
      <c r="K901" t="s">
        <v>1967</v>
      </c>
      <c r="L901" t="s">
        <v>3739</v>
      </c>
      <c r="M901" s="8">
        <v>0.354</v>
      </c>
      <c r="N901">
        <v>80.7856561622413</v>
      </c>
      <c r="O901">
        <v>1961</v>
      </c>
      <c r="P901" s="9">
        <v>0.229</v>
      </c>
      <c r="Q901" t="s">
        <v>812</v>
      </c>
      <c r="T901" s="15" t="s">
        <v>69</v>
      </c>
      <c r="W901" s="16" t="str">
        <f t="shared" si="91"/>
        <v>EN_WON_23_c02_GRC</v>
      </c>
      <c r="X901" s="12">
        <f t="shared" si="92"/>
        <v>1961</v>
      </c>
      <c r="Y901" s="11">
        <f t="shared" si="93"/>
        <v>1961</v>
      </c>
      <c r="AC901" t="s">
        <v>26</v>
      </c>
      <c r="AD901" t="s">
        <v>5664</v>
      </c>
      <c r="AE901" t="s">
        <v>5665</v>
      </c>
      <c r="AF901" t="s">
        <v>29</v>
      </c>
      <c r="AG901" t="s">
        <v>30</v>
      </c>
      <c r="AH901" t="s">
        <v>31</v>
      </c>
      <c r="AK901" t="s">
        <v>5664</v>
      </c>
      <c r="AL901" t="s">
        <v>1967</v>
      </c>
      <c r="AM901" t="s">
        <v>5645</v>
      </c>
      <c r="AN901" s="8">
        <v>4.07325</v>
      </c>
      <c r="AO901">
        <v>199.694880401046</v>
      </c>
      <c r="AP901">
        <v>1952</v>
      </c>
      <c r="AQ901" s="9">
        <v>0.377357392745351</v>
      </c>
      <c r="AR901" t="s">
        <v>1639</v>
      </c>
      <c r="AT901" s="15" t="s">
        <v>54</v>
      </c>
      <c r="AW901" s="11" t="str">
        <f t="shared" si="94"/>
        <v>EN_WOF_38_c02_SOM</v>
      </c>
      <c r="AX901" s="11">
        <f t="shared" si="95"/>
        <v>1952</v>
      </c>
      <c r="AY901" s="11">
        <f t="shared" si="96"/>
        <v>1952</v>
      </c>
      <c r="AZ901" s="17">
        <v>3</v>
      </c>
      <c r="BA901">
        <f t="shared" si="97"/>
        <v>19.52</v>
      </c>
    </row>
    <row r="902" spans="2:53">
      <c r="B902" t="s">
        <v>26</v>
      </c>
      <c r="C902" t="s">
        <v>5666</v>
      </c>
      <c r="D902" t="s">
        <v>5667</v>
      </c>
      <c r="E902" t="s">
        <v>29</v>
      </c>
      <c r="F902" t="s">
        <v>30</v>
      </c>
      <c r="G902" t="s">
        <v>31</v>
      </c>
      <c r="J902" t="s">
        <v>5666</v>
      </c>
      <c r="K902" t="s">
        <v>1967</v>
      </c>
      <c r="L902" t="s">
        <v>3739</v>
      </c>
      <c r="M902" s="8">
        <v>0.29175</v>
      </c>
      <c r="N902">
        <v>105.747516212372</v>
      </c>
      <c r="O902">
        <v>1961</v>
      </c>
      <c r="P902" s="9">
        <v>0.227264781491003</v>
      </c>
      <c r="Q902" t="s">
        <v>812</v>
      </c>
      <c r="T902" s="15" t="s">
        <v>69</v>
      </c>
      <c r="W902" s="16" t="str">
        <f t="shared" ref="W902:W965" si="98">J902</f>
        <v>EN_WON_23_c03_GRC</v>
      </c>
      <c r="X902" s="12">
        <f t="shared" ref="X902:X965" si="99">O902</f>
        <v>1961</v>
      </c>
      <c r="Y902" s="11">
        <f t="shared" ref="Y902:Y965" si="100">X902</f>
        <v>1961</v>
      </c>
      <c r="AC902" t="s">
        <v>26</v>
      </c>
      <c r="AD902" t="s">
        <v>5668</v>
      </c>
      <c r="AE902" t="s">
        <v>5669</v>
      </c>
      <c r="AF902" t="s">
        <v>29</v>
      </c>
      <c r="AG902" t="s">
        <v>30</v>
      </c>
      <c r="AH902" t="s">
        <v>31</v>
      </c>
      <c r="AK902" t="s">
        <v>5668</v>
      </c>
      <c r="AL902" t="s">
        <v>1967</v>
      </c>
      <c r="AM902" t="s">
        <v>5645</v>
      </c>
      <c r="AN902" s="8">
        <v>2.25825</v>
      </c>
      <c r="AO902">
        <v>199.694880401046</v>
      </c>
      <c r="AP902">
        <v>1952</v>
      </c>
      <c r="AQ902" s="9">
        <v>0.391</v>
      </c>
      <c r="AR902" t="s">
        <v>1639</v>
      </c>
      <c r="AT902" s="15" t="s">
        <v>54</v>
      </c>
      <c r="AW902" s="11" t="str">
        <f t="shared" ref="AW902:AW965" si="101">AK902</f>
        <v>EN_WOF_39_c02_SOM</v>
      </c>
      <c r="AX902" s="11">
        <f t="shared" ref="AX902:AX965" si="102">AP902</f>
        <v>1952</v>
      </c>
      <c r="AY902" s="11">
        <f t="shared" ref="AY902:AY965" si="103">AX902</f>
        <v>1952</v>
      </c>
      <c r="AZ902" s="17">
        <v>3</v>
      </c>
      <c r="BA902">
        <f t="shared" ref="BA902:BA965" si="104">AX902*0.01</f>
        <v>19.52</v>
      </c>
    </row>
    <row r="903" spans="2:53">
      <c r="B903" t="s">
        <v>26</v>
      </c>
      <c r="C903" t="s">
        <v>5670</v>
      </c>
      <c r="D903" t="s">
        <v>5671</v>
      </c>
      <c r="E903" t="s">
        <v>29</v>
      </c>
      <c r="F903" t="s">
        <v>30</v>
      </c>
      <c r="G903" t="s">
        <v>31</v>
      </c>
      <c r="J903" t="s">
        <v>5670</v>
      </c>
      <c r="K903" t="s">
        <v>1967</v>
      </c>
      <c r="L903" t="s">
        <v>3739</v>
      </c>
      <c r="M903" s="8">
        <v>0.02625</v>
      </c>
      <c r="N903">
        <v>145.23264029167</v>
      </c>
      <c r="O903">
        <v>1961</v>
      </c>
      <c r="P903" s="9">
        <v>0.226</v>
      </c>
      <c r="Q903" t="s">
        <v>812</v>
      </c>
      <c r="T903" s="15" t="s">
        <v>69</v>
      </c>
      <c r="W903" s="16" t="str">
        <f t="shared" si="98"/>
        <v>EN_WON_23_c04_GRC</v>
      </c>
      <c r="X903" s="12">
        <f t="shared" si="99"/>
        <v>1961</v>
      </c>
      <c r="Y903" s="11">
        <f t="shared" si="100"/>
        <v>1961</v>
      </c>
      <c r="AC903" t="s">
        <v>26</v>
      </c>
      <c r="AD903" t="s">
        <v>5672</v>
      </c>
      <c r="AE903" t="s">
        <v>5673</v>
      </c>
      <c r="AF903" t="s">
        <v>29</v>
      </c>
      <c r="AG903" t="s">
        <v>30</v>
      </c>
      <c r="AH903" t="s">
        <v>31</v>
      </c>
      <c r="AK903" t="s">
        <v>5672</v>
      </c>
      <c r="AL903" t="s">
        <v>1967</v>
      </c>
      <c r="AM903" t="s">
        <v>5645</v>
      </c>
      <c r="AN903" s="8">
        <v>12.7635</v>
      </c>
      <c r="AO903">
        <v>199.694880401046</v>
      </c>
      <c r="AP903">
        <v>1952</v>
      </c>
      <c r="AQ903" s="9">
        <v>0.408652485603479</v>
      </c>
      <c r="AR903" t="s">
        <v>1639</v>
      </c>
      <c r="AT903" s="15" t="s">
        <v>54</v>
      </c>
      <c r="AW903" s="11" t="str">
        <f t="shared" si="101"/>
        <v>EN_WOF_41_c02_SOM</v>
      </c>
      <c r="AX903" s="11">
        <f t="shared" si="102"/>
        <v>1952</v>
      </c>
      <c r="AY903" s="11">
        <f t="shared" si="103"/>
        <v>1952</v>
      </c>
      <c r="AZ903" s="17">
        <v>3</v>
      </c>
      <c r="BA903">
        <f t="shared" si="104"/>
        <v>19.52</v>
      </c>
    </row>
    <row r="904" spans="2:53">
      <c r="B904" t="s">
        <v>26</v>
      </c>
      <c r="C904" t="s">
        <v>5674</v>
      </c>
      <c r="D904" t="s">
        <v>5675</v>
      </c>
      <c r="E904" t="s">
        <v>29</v>
      </c>
      <c r="F904" t="s">
        <v>30</v>
      </c>
      <c r="G904" t="s">
        <v>31</v>
      </c>
      <c r="J904" t="s">
        <v>5674</v>
      </c>
      <c r="K904" t="s">
        <v>1967</v>
      </c>
      <c r="L904" t="s">
        <v>3739</v>
      </c>
      <c r="M904" s="8">
        <v>0.018</v>
      </c>
      <c r="N904">
        <v>80.7856561622413</v>
      </c>
      <c r="O904">
        <v>1961</v>
      </c>
      <c r="P904" s="9">
        <v>0.244</v>
      </c>
      <c r="Q904" t="s">
        <v>812</v>
      </c>
      <c r="T904" s="15" t="s">
        <v>69</v>
      </c>
      <c r="W904" s="16" t="str">
        <f t="shared" si="98"/>
        <v>EN_WON_24_c02_GRC</v>
      </c>
      <c r="X904" s="12">
        <f t="shared" si="99"/>
        <v>1961</v>
      </c>
      <c r="Y904" s="11">
        <f t="shared" si="100"/>
        <v>1961</v>
      </c>
      <c r="AC904" t="s">
        <v>26</v>
      </c>
      <c r="AD904" t="s">
        <v>5676</v>
      </c>
      <c r="AE904" t="s">
        <v>5677</v>
      </c>
      <c r="AF904" t="s">
        <v>29</v>
      </c>
      <c r="AG904" t="s">
        <v>30</v>
      </c>
      <c r="AH904" t="s">
        <v>31</v>
      </c>
      <c r="AK904" t="s">
        <v>5676</v>
      </c>
      <c r="AL904" t="s">
        <v>1967</v>
      </c>
      <c r="AM904" t="s">
        <v>5645</v>
      </c>
      <c r="AN904" s="8">
        <v>2.72475</v>
      </c>
      <c r="AO904">
        <v>199.694880401046</v>
      </c>
      <c r="AP904">
        <v>1952</v>
      </c>
      <c r="AQ904" s="9">
        <v>0.417832369942197</v>
      </c>
      <c r="AR904" t="s">
        <v>1639</v>
      </c>
      <c r="AT904" s="15" t="s">
        <v>54</v>
      </c>
      <c r="AW904" s="11" t="str">
        <f t="shared" si="101"/>
        <v>EN_WOF_42_c02_SOM</v>
      </c>
      <c r="AX904" s="11">
        <f t="shared" si="102"/>
        <v>1952</v>
      </c>
      <c r="AY904" s="11">
        <f t="shared" si="103"/>
        <v>1952</v>
      </c>
      <c r="AZ904" s="17">
        <v>3</v>
      </c>
      <c r="BA904">
        <f t="shared" si="104"/>
        <v>19.52</v>
      </c>
    </row>
    <row r="905" spans="2:53">
      <c r="B905" t="s">
        <v>26</v>
      </c>
      <c r="C905" t="s">
        <v>5678</v>
      </c>
      <c r="D905" t="s">
        <v>5679</v>
      </c>
      <c r="E905" t="s">
        <v>29</v>
      </c>
      <c r="F905" t="s">
        <v>30</v>
      </c>
      <c r="G905" t="s">
        <v>31</v>
      </c>
      <c r="J905" t="s">
        <v>5678</v>
      </c>
      <c r="K905" t="s">
        <v>1967</v>
      </c>
      <c r="L905" t="s">
        <v>3739</v>
      </c>
      <c r="M905" s="8">
        <v>1.4985</v>
      </c>
      <c r="N905">
        <v>105.747516212372</v>
      </c>
      <c r="O905">
        <v>1961</v>
      </c>
      <c r="P905" s="9">
        <v>0.240032032032032</v>
      </c>
      <c r="Q905" t="s">
        <v>812</v>
      </c>
      <c r="T905" s="15" t="s">
        <v>69</v>
      </c>
      <c r="W905" s="16" t="str">
        <f t="shared" si="98"/>
        <v>EN_WON_24_c03_GRC</v>
      </c>
      <c r="X905" s="12">
        <f t="shared" si="99"/>
        <v>1961</v>
      </c>
      <c r="Y905" s="11">
        <f t="shared" si="100"/>
        <v>1961</v>
      </c>
      <c r="AC905" t="s">
        <v>26</v>
      </c>
      <c r="AD905" t="s">
        <v>5680</v>
      </c>
      <c r="AE905" t="s">
        <v>5681</v>
      </c>
      <c r="AF905" t="s">
        <v>29</v>
      </c>
      <c r="AG905" t="s">
        <v>30</v>
      </c>
      <c r="AH905" t="s">
        <v>31</v>
      </c>
      <c r="AK905" t="s">
        <v>5680</v>
      </c>
      <c r="AL905" t="s">
        <v>1967</v>
      </c>
      <c r="AM905" t="s">
        <v>5645</v>
      </c>
      <c r="AN905" s="8">
        <v>5.32575</v>
      </c>
      <c r="AO905">
        <v>199.694880401046</v>
      </c>
      <c r="AP905">
        <v>1952</v>
      </c>
      <c r="AQ905" s="9">
        <v>0.429792141951838</v>
      </c>
      <c r="AR905" t="s">
        <v>1639</v>
      </c>
      <c r="AT905" s="15" t="s">
        <v>54</v>
      </c>
      <c r="AW905" s="11" t="str">
        <f t="shared" si="101"/>
        <v>EN_WOF_43_c02_SOM</v>
      </c>
      <c r="AX905" s="11">
        <f t="shared" si="102"/>
        <v>1952</v>
      </c>
      <c r="AY905" s="11">
        <f t="shared" si="103"/>
        <v>1952</v>
      </c>
      <c r="AZ905" s="17">
        <v>3</v>
      </c>
      <c r="BA905">
        <f t="shared" si="104"/>
        <v>19.52</v>
      </c>
    </row>
    <row r="906" spans="2:53">
      <c r="B906" t="s">
        <v>26</v>
      </c>
      <c r="C906" t="s">
        <v>5682</v>
      </c>
      <c r="D906" t="s">
        <v>5683</v>
      </c>
      <c r="E906" t="s">
        <v>29</v>
      </c>
      <c r="F906" t="s">
        <v>30</v>
      </c>
      <c r="G906" t="s">
        <v>31</v>
      </c>
      <c r="J906" t="s">
        <v>5682</v>
      </c>
      <c r="K906" t="s">
        <v>1967</v>
      </c>
      <c r="L906" t="s">
        <v>3739</v>
      </c>
      <c r="M906" s="8">
        <v>0.0375</v>
      </c>
      <c r="N906">
        <v>145.23264029167</v>
      </c>
      <c r="O906">
        <v>1961</v>
      </c>
      <c r="P906" s="9">
        <v>0.237</v>
      </c>
      <c r="Q906" t="s">
        <v>812</v>
      </c>
      <c r="T906" s="15" t="s">
        <v>69</v>
      </c>
      <c r="W906" s="16" t="str">
        <f t="shared" si="98"/>
        <v>EN_WON_24_c04_GRC</v>
      </c>
      <c r="X906" s="12">
        <f t="shared" si="99"/>
        <v>1961</v>
      </c>
      <c r="Y906" s="11">
        <f t="shared" si="100"/>
        <v>1961</v>
      </c>
      <c r="AC906" t="s">
        <v>26</v>
      </c>
      <c r="AD906" t="s">
        <v>5684</v>
      </c>
      <c r="AE906" t="s">
        <v>5685</v>
      </c>
      <c r="AF906" t="s">
        <v>29</v>
      </c>
      <c r="AG906" t="s">
        <v>30</v>
      </c>
      <c r="AH906" t="s">
        <v>31</v>
      </c>
      <c r="AK906" t="s">
        <v>5684</v>
      </c>
      <c r="AL906" t="s">
        <v>1967</v>
      </c>
      <c r="AM906" t="s">
        <v>5645</v>
      </c>
      <c r="AN906" s="8">
        <v>1.18725</v>
      </c>
      <c r="AO906">
        <v>199.694880401046</v>
      </c>
      <c r="AP906">
        <v>1952</v>
      </c>
      <c r="AQ906" s="9">
        <v>0.442</v>
      </c>
      <c r="AR906" t="s">
        <v>1639</v>
      </c>
      <c r="AT906" s="15" t="s">
        <v>54</v>
      </c>
      <c r="AW906" s="11" t="str">
        <f t="shared" si="101"/>
        <v>EN_WOF_44_c02_SOM</v>
      </c>
      <c r="AX906" s="11">
        <f t="shared" si="102"/>
        <v>1952</v>
      </c>
      <c r="AY906" s="11">
        <f t="shared" si="103"/>
        <v>1952</v>
      </c>
      <c r="AZ906" s="17">
        <v>3</v>
      </c>
      <c r="BA906">
        <f t="shared" si="104"/>
        <v>19.52</v>
      </c>
    </row>
    <row r="907" spans="2:53">
      <c r="B907" t="s">
        <v>26</v>
      </c>
      <c r="C907" t="s">
        <v>5686</v>
      </c>
      <c r="D907" t="s">
        <v>5687</v>
      </c>
      <c r="E907" t="s">
        <v>29</v>
      </c>
      <c r="F907" t="s">
        <v>30</v>
      </c>
      <c r="G907" t="s">
        <v>31</v>
      </c>
      <c r="J907" t="s">
        <v>5686</v>
      </c>
      <c r="K907" t="s">
        <v>1967</v>
      </c>
      <c r="L907" t="s">
        <v>3739</v>
      </c>
      <c r="M907" s="8">
        <v>0.051</v>
      </c>
      <c r="N907">
        <v>0</v>
      </c>
      <c r="O907">
        <v>1961</v>
      </c>
      <c r="P907" s="9">
        <v>0.252</v>
      </c>
      <c r="Q907" t="s">
        <v>812</v>
      </c>
      <c r="T907" s="15" t="s">
        <v>69</v>
      </c>
      <c r="W907" s="16" t="str">
        <f t="shared" si="98"/>
        <v>EN_WON_25_c01_GRC</v>
      </c>
      <c r="X907" s="12">
        <f t="shared" si="99"/>
        <v>1961</v>
      </c>
      <c r="Y907" s="11">
        <f t="shared" si="100"/>
        <v>1961</v>
      </c>
      <c r="AC907" t="s">
        <v>26</v>
      </c>
      <c r="AD907" t="s">
        <v>5688</v>
      </c>
      <c r="AE907" t="s">
        <v>5689</v>
      </c>
      <c r="AF907" t="s">
        <v>29</v>
      </c>
      <c r="AG907" t="s">
        <v>30</v>
      </c>
      <c r="AH907" t="s">
        <v>31</v>
      </c>
      <c r="AK907" t="s">
        <v>5688</v>
      </c>
      <c r="AL907" t="s">
        <v>1967</v>
      </c>
      <c r="AM907" t="s">
        <v>5645</v>
      </c>
      <c r="AN907" s="8">
        <v>3.4065</v>
      </c>
      <c r="AO907">
        <v>199.694880401046</v>
      </c>
      <c r="AP907">
        <v>1952</v>
      </c>
      <c r="AQ907" s="9">
        <v>0.446125055041832</v>
      </c>
      <c r="AR907" t="s">
        <v>1639</v>
      </c>
      <c r="AT907" s="15" t="s">
        <v>54</v>
      </c>
      <c r="AW907" s="11" t="str">
        <f t="shared" si="101"/>
        <v>EN_WOF_45_c02_SOM</v>
      </c>
      <c r="AX907" s="11">
        <f t="shared" si="102"/>
        <v>1952</v>
      </c>
      <c r="AY907" s="11">
        <f t="shared" si="103"/>
        <v>1952</v>
      </c>
      <c r="AZ907" s="17">
        <v>3</v>
      </c>
      <c r="BA907">
        <f t="shared" si="104"/>
        <v>19.52</v>
      </c>
    </row>
    <row r="908" spans="2:53">
      <c r="B908" t="s">
        <v>26</v>
      </c>
      <c r="C908" t="s">
        <v>5690</v>
      </c>
      <c r="D908" t="s">
        <v>5691</v>
      </c>
      <c r="E908" t="s">
        <v>29</v>
      </c>
      <c r="F908" t="s">
        <v>30</v>
      </c>
      <c r="G908" t="s">
        <v>31</v>
      </c>
      <c r="J908" t="s">
        <v>5690</v>
      </c>
      <c r="K908" t="s">
        <v>1967</v>
      </c>
      <c r="L908" t="s">
        <v>3739</v>
      </c>
      <c r="M908" s="8">
        <v>0.7845</v>
      </c>
      <c r="N908">
        <v>105.747516212372</v>
      </c>
      <c r="O908">
        <v>1961</v>
      </c>
      <c r="P908" s="9">
        <v>0.252230401529637</v>
      </c>
      <c r="Q908" t="s">
        <v>812</v>
      </c>
      <c r="T908" s="15" t="s">
        <v>69</v>
      </c>
      <c r="W908" s="16" t="str">
        <f t="shared" si="98"/>
        <v>EN_WON_25_c03_GRC</v>
      </c>
      <c r="X908" s="12">
        <f t="shared" si="99"/>
        <v>1961</v>
      </c>
      <c r="Y908" s="11">
        <f t="shared" si="100"/>
        <v>1961</v>
      </c>
      <c r="AC908" t="s">
        <v>26</v>
      </c>
      <c r="AD908" t="s">
        <v>5692</v>
      </c>
      <c r="AE908" t="s">
        <v>5693</v>
      </c>
      <c r="AF908" t="s">
        <v>29</v>
      </c>
      <c r="AG908" t="s">
        <v>30</v>
      </c>
      <c r="AH908" t="s">
        <v>31</v>
      </c>
      <c r="AK908" t="s">
        <v>5692</v>
      </c>
      <c r="AL908" t="s">
        <v>1967</v>
      </c>
      <c r="AM908" t="s">
        <v>5645</v>
      </c>
      <c r="AN908" s="8">
        <v>6.18375</v>
      </c>
      <c r="AO908">
        <v>199.694880401046</v>
      </c>
      <c r="AP908">
        <v>1952</v>
      </c>
      <c r="AQ908" s="9">
        <v>0.461995633717404</v>
      </c>
      <c r="AR908" t="s">
        <v>1639</v>
      </c>
      <c r="AT908" s="15" t="s">
        <v>54</v>
      </c>
      <c r="AW908" s="11" t="str">
        <f t="shared" si="101"/>
        <v>EN_WOF_46_c02_SOM</v>
      </c>
      <c r="AX908" s="11">
        <f t="shared" si="102"/>
        <v>1952</v>
      </c>
      <c r="AY908" s="11">
        <f t="shared" si="103"/>
        <v>1952</v>
      </c>
      <c r="AZ908" s="17">
        <v>3</v>
      </c>
      <c r="BA908">
        <f t="shared" si="104"/>
        <v>19.52</v>
      </c>
    </row>
    <row r="909" spans="2:53">
      <c r="B909" t="s">
        <v>26</v>
      </c>
      <c r="C909" t="s">
        <v>5694</v>
      </c>
      <c r="D909" t="s">
        <v>5695</v>
      </c>
      <c r="E909" t="s">
        <v>29</v>
      </c>
      <c r="F909" t="s">
        <v>30</v>
      </c>
      <c r="G909" t="s">
        <v>31</v>
      </c>
      <c r="J909" t="s">
        <v>5694</v>
      </c>
      <c r="K909" t="s">
        <v>1967</v>
      </c>
      <c r="L909" t="s">
        <v>3739</v>
      </c>
      <c r="M909" s="8">
        <v>0.099</v>
      </c>
      <c r="N909">
        <v>145.23264029167</v>
      </c>
      <c r="O909">
        <v>1961</v>
      </c>
      <c r="P909" s="9">
        <v>0.245</v>
      </c>
      <c r="Q909" t="s">
        <v>812</v>
      </c>
      <c r="T909" s="15" t="s">
        <v>69</v>
      </c>
      <c r="W909" s="16" t="str">
        <f t="shared" si="98"/>
        <v>EN_WON_25_c04_GRC</v>
      </c>
      <c r="X909" s="12">
        <f t="shared" si="99"/>
        <v>1961</v>
      </c>
      <c r="Y909" s="11">
        <f t="shared" si="100"/>
        <v>1961</v>
      </c>
      <c r="AC909" t="s">
        <v>26</v>
      </c>
      <c r="AD909" t="s">
        <v>5696</v>
      </c>
      <c r="AE909" t="s">
        <v>5697</v>
      </c>
      <c r="AF909" t="s">
        <v>29</v>
      </c>
      <c r="AG909" t="s">
        <v>30</v>
      </c>
      <c r="AH909" t="s">
        <v>31</v>
      </c>
      <c r="AK909" t="s">
        <v>5696</v>
      </c>
      <c r="AL909" t="s">
        <v>1967</v>
      </c>
      <c r="AM909" t="s">
        <v>5645</v>
      </c>
      <c r="AN909" s="8">
        <v>1.9035</v>
      </c>
      <c r="AO909">
        <v>199.694880401046</v>
      </c>
      <c r="AP909">
        <v>1952</v>
      </c>
      <c r="AQ909" s="9">
        <v>0.47</v>
      </c>
      <c r="AR909" t="s">
        <v>1639</v>
      </c>
      <c r="AT909" s="15" t="s">
        <v>54</v>
      </c>
      <c r="AW909" s="11" t="str">
        <f t="shared" si="101"/>
        <v>EN_WOF_47_c02_SOM</v>
      </c>
      <c r="AX909" s="11">
        <f t="shared" si="102"/>
        <v>1952</v>
      </c>
      <c r="AY909" s="11">
        <f t="shared" si="103"/>
        <v>1952</v>
      </c>
      <c r="AZ909" s="17">
        <v>3</v>
      </c>
      <c r="BA909">
        <f t="shared" si="104"/>
        <v>19.52</v>
      </c>
    </row>
    <row r="910" spans="2:53">
      <c r="B910" t="s">
        <v>26</v>
      </c>
      <c r="C910" t="s">
        <v>5698</v>
      </c>
      <c r="D910" t="s">
        <v>5699</v>
      </c>
      <c r="E910" t="s">
        <v>29</v>
      </c>
      <c r="F910" t="s">
        <v>30</v>
      </c>
      <c r="G910" t="s">
        <v>31</v>
      </c>
      <c r="J910" t="s">
        <v>5698</v>
      </c>
      <c r="K910" t="s">
        <v>1967</v>
      </c>
      <c r="L910" t="s">
        <v>3739</v>
      </c>
      <c r="M910" s="8">
        <v>0.50025</v>
      </c>
      <c r="N910">
        <v>145.23264029167</v>
      </c>
      <c r="O910">
        <v>1961</v>
      </c>
      <c r="P910" s="9">
        <v>0.262889055472264</v>
      </c>
      <c r="Q910" t="s">
        <v>812</v>
      </c>
      <c r="T910" s="15" t="s">
        <v>69</v>
      </c>
      <c r="W910" s="16" t="str">
        <f t="shared" si="98"/>
        <v>EN_WON_26_c04_GRC</v>
      </c>
      <c r="X910" s="12">
        <f t="shared" si="99"/>
        <v>1961</v>
      </c>
      <c r="Y910" s="11">
        <f t="shared" si="100"/>
        <v>1961</v>
      </c>
      <c r="AC910" t="s">
        <v>26</v>
      </c>
      <c r="AD910" t="s">
        <v>5700</v>
      </c>
      <c r="AE910" t="s">
        <v>5701</v>
      </c>
      <c r="AF910" t="s">
        <v>29</v>
      </c>
      <c r="AG910" t="s">
        <v>30</v>
      </c>
      <c r="AH910" t="s">
        <v>31</v>
      </c>
      <c r="AK910" t="s">
        <v>5700</v>
      </c>
      <c r="AL910" t="s">
        <v>1967</v>
      </c>
      <c r="AM910" t="s">
        <v>5645</v>
      </c>
      <c r="AN910" s="8">
        <v>5.658</v>
      </c>
      <c r="AO910">
        <v>199.694880401046</v>
      </c>
      <c r="AP910">
        <v>1952</v>
      </c>
      <c r="AQ910" s="9">
        <v>0.47841967126193</v>
      </c>
      <c r="AR910" t="s">
        <v>1639</v>
      </c>
      <c r="AT910" s="15" t="s">
        <v>54</v>
      </c>
      <c r="AW910" s="11" t="str">
        <f t="shared" si="101"/>
        <v>EN_WOF_48_c02_SOM</v>
      </c>
      <c r="AX910" s="11">
        <f t="shared" si="102"/>
        <v>1952</v>
      </c>
      <c r="AY910" s="11">
        <f t="shared" si="103"/>
        <v>1952</v>
      </c>
      <c r="AZ910" s="17">
        <v>3</v>
      </c>
      <c r="BA910">
        <f t="shared" si="104"/>
        <v>19.52</v>
      </c>
    </row>
    <row r="911" spans="2:53">
      <c r="B911" t="s">
        <v>26</v>
      </c>
      <c r="C911" t="s">
        <v>5702</v>
      </c>
      <c r="D911" t="s">
        <v>5703</v>
      </c>
      <c r="E911" t="s">
        <v>29</v>
      </c>
      <c r="F911" t="s">
        <v>30</v>
      </c>
      <c r="G911" t="s">
        <v>31</v>
      </c>
      <c r="J911" t="s">
        <v>5702</v>
      </c>
      <c r="K911" t="s">
        <v>1967</v>
      </c>
      <c r="L911" t="s">
        <v>3739</v>
      </c>
      <c r="M911" s="8">
        <v>0.375</v>
      </c>
      <c r="N911">
        <v>80.7856561622413</v>
      </c>
      <c r="O911">
        <v>1961</v>
      </c>
      <c r="P911" s="9">
        <v>0.268</v>
      </c>
      <c r="Q911" t="s">
        <v>812</v>
      </c>
      <c r="T911" s="15" t="s">
        <v>69</v>
      </c>
      <c r="W911" s="16" t="str">
        <f t="shared" si="98"/>
        <v>EN_WON_27_c02_GRC</v>
      </c>
      <c r="X911" s="12">
        <f t="shared" si="99"/>
        <v>1961</v>
      </c>
      <c r="Y911" s="11">
        <f t="shared" si="100"/>
        <v>1961</v>
      </c>
      <c r="AC911" t="s">
        <v>26</v>
      </c>
      <c r="AD911" t="s">
        <v>5704</v>
      </c>
      <c r="AE911" t="s">
        <v>5705</v>
      </c>
      <c r="AF911" t="s">
        <v>29</v>
      </c>
      <c r="AG911" t="s">
        <v>30</v>
      </c>
      <c r="AH911" t="s">
        <v>31</v>
      </c>
      <c r="AK911" t="s">
        <v>5704</v>
      </c>
      <c r="AL911" t="s">
        <v>1967</v>
      </c>
      <c r="AM911" t="s">
        <v>5645</v>
      </c>
      <c r="AN911" s="8">
        <v>10.86375</v>
      </c>
      <c r="AO911">
        <v>199.694880401046</v>
      </c>
      <c r="AP911">
        <v>1952</v>
      </c>
      <c r="AQ911" s="9">
        <v>0.487902036589575</v>
      </c>
      <c r="AR911" t="s">
        <v>1639</v>
      </c>
      <c r="AT911" s="15" t="s">
        <v>54</v>
      </c>
      <c r="AW911" s="11" t="str">
        <f t="shared" si="101"/>
        <v>EN_WOF_49_c02_SOM</v>
      </c>
      <c r="AX911" s="11">
        <f t="shared" si="102"/>
        <v>1952</v>
      </c>
      <c r="AY911" s="11">
        <f t="shared" si="103"/>
        <v>1952</v>
      </c>
      <c r="AZ911" s="17">
        <v>3</v>
      </c>
      <c r="BA911">
        <f t="shared" si="104"/>
        <v>19.52</v>
      </c>
    </row>
    <row r="912" spans="2:53">
      <c r="B912" t="s">
        <v>26</v>
      </c>
      <c r="C912" t="s">
        <v>5706</v>
      </c>
      <c r="D912" t="s">
        <v>5707</v>
      </c>
      <c r="E912" t="s">
        <v>29</v>
      </c>
      <c r="F912" t="s">
        <v>30</v>
      </c>
      <c r="G912" t="s">
        <v>31</v>
      </c>
      <c r="J912" t="s">
        <v>5706</v>
      </c>
      <c r="K912" t="s">
        <v>1967</v>
      </c>
      <c r="L912" t="s">
        <v>3739</v>
      </c>
      <c r="M912" s="8">
        <v>0.86325</v>
      </c>
      <c r="N912">
        <v>105.747516212372</v>
      </c>
      <c r="O912">
        <v>1961</v>
      </c>
      <c r="P912" s="9">
        <v>0.267694178974805</v>
      </c>
      <c r="Q912" t="s">
        <v>812</v>
      </c>
      <c r="T912" s="15" t="s">
        <v>69</v>
      </c>
      <c r="W912" s="16" t="str">
        <f t="shared" si="98"/>
        <v>EN_WON_27_c03_GRC</v>
      </c>
      <c r="X912" s="12">
        <f t="shared" si="99"/>
        <v>1961</v>
      </c>
      <c r="Y912" s="11">
        <f t="shared" si="100"/>
        <v>1961</v>
      </c>
      <c r="AC912" t="s">
        <v>26</v>
      </c>
      <c r="AD912" t="s">
        <v>5708</v>
      </c>
      <c r="AE912" t="s">
        <v>5709</v>
      </c>
      <c r="AF912" t="s">
        <v>29</v>
      </c>
      <c r="AG912" t="s">
        <v>30</v>
      </c>
      <c r="AH912" t="s">
        <v>31</v>
      </c>
      <c r="AK912" t="s">
        <v>5708</v>
      </c>
      <c r="AL912" t="s">
        <v>1967</v>
      </c>
      <c r="AM912" t="s">
        <v>5645</v>
      </c>
      <c r="AN912" s="8">
        <v>4.43475</v>
      </c>
      <c r="AO912">
        <v>199.694880401046</v>
      </c>
      <c r="AP912">
        <v>1952</v>
      </c>
      <c r="AQ912" s="9">
        <v>0.502098088956536</v>
      </c>
      <c r="AR912" t="s">
        <v>1639</v>
      </c>
      <c r="AT912" s="15" t="s">
        <v>54</v>
      </c>
      <c r="AW912" s="11" t="str">
        <f t="shared" si="101"/>
        <v>EN_WOF_50_c02_SOM</v>
      </c>
      <c r="AX912" s="11">
        <f t="shared" si="102"/>
        <v>1952</v>
      </c>
      <c r="AY912" s="11">
        <f t="shared" si="103"/>
        <v>1952</v>
      </c>
      <c r="AZ912" s="17">
        <v>3</v>
      </c>
      <c r="BA912">
        <f t="shared" si="104"/>
        <v>19.52</v>
      </c>
    </row>
    <row r="913" spans="2:53">
      <c r="B913" t="s">
        <v>26</v>
      </c>
      <c r="C913" t="s">
        <v>5710</v>
      </c>
      <c r="D913" t="s">
        <v>5711</v>
      </c>
      <c r="E913" t="s">
        <v>29</v>
      </c>
      <c r="F913" t="s">
        <v>30</v>
      </c>
      <c r="G913" t="s">
        <v>31</v>
      </c>
      <c r="J913" t="s">
        <v>5710</v>
      </c>
      <c r="K913" t="s">
        <v>1967</v>
      </c>
      <c r="L913" t="s">
        <v>3739</v>
      </c>
      <c r="M913" s="8">
        <v>0.38925</v>
      </c>
      <c r="N913">
        <v>80.7856561622413</v>
      </c>
      <c r="O913">
        <v>1961</v>
      </c>
      <c r="P913" s="9">
        <v>0.277895953757225</v>
      </c>
      <c r="Q913" t="s">
        <v>812</v>
      </c>
      <c r="T913" s="15" t="s">
        <v>69</v>
      </c>
      <c r="W913" s="16" t="str">
        <f t="shared" si="98"/>
        <v>EN_WON_28_c02_GRC</v>
      </c>
      <c r="X913" s="12">
        <f t="shared" si="99"/>
        <v>1961</v>
      </c>
      <c r="Y913" s="11">
        <f t="shared" si="100"/>
        <v>1961</v>
      </c>
      <c r="AC913" t="s">
        <v>26</v>
      </c>
      <c r="AD913" t="s">
        <v>5712</v>
      </c>
      <c r="AE913" t="s">
        <v>5713</v>
      </c>
      <c r="AF913" t="s">
        <v>29</v>
      </c>
      <c r="AG913" t="s">
        <v>30</v>
      </c>
      <c r="AH913" t="s">
        <v>31</v>
      </c>
      <c r="AK913" t="s">
        <v>5712</v>
      </c>
      <c r="AL913" t="s">
        <v>1967</v>
      </c>
      <c r="AM913" t="s">
        <v>5645</v>
      </c>
      <c r="AN913" s="8">
        <v>6.63825</v>
      </c>
      <c r="AO913">
        <v>199.694880401046</v>
      </c>
      <c r="AP913">
        <v>1952</v>
      </c>
      <c r="AQ913" s="9">
        <v>0.50621737656762</v>
      </c>
      <c r="AR913" t="s">
        <v>1639</v>
      </c>
      <c r="AT913" s="15" t="s">
        <v>54</v>
      </c>
      <c r="AW913" s="11" t="str">
        <f t="shared" si="101"/>
        <v>EN_WOF_51_c02_SOM</v>
      </c>
      <c r="AX913" s="11">
        <f t="shared" si="102"/>
        <v>1952</v>
      </c>
      <c r="AY913" s="11">
        <f t="shared" si="103"/>
        <v>1952</v>
      </c>
      <c r="AZ913" s="17">
        <v>3</v>
      </c>
      <c r="BA913">
        <f t="shared" si="104"/>
        <v>19.52</v>
      </c>
    </row>
    <row r="914" spans="2:53">
      <c r="B914" t="s">
        <v>26</v>
      </c>
      <c r="C914" t="s">
        <v>5714</v>
      </c>
      <c r="D914" t="s">
        <v>5715</v>
      </c>
      <c r="E914" t="s">
        <v>29</v>
      </c>
      <c r="F914" t="s">
        <v>30</v>
      </c>
      <c r="G914" t="s">
        <v>31</v>
      </c>
      <c r="J914" t="s">
        <v>5714</v>
      </c>
      <c r="K914" t="s">
        <v>1967</v>
      </c>
      <c r="L914" t="s">
        <v>3739</v>
      </c>
      <c r="M914" s="8">
        <v>1.9815</v>
      </c>
      <c r="N914">
        <v>105.747516212372</v>
      </c>
      <c r="O914">
        <v>1961</v>
      </c>
      <c r="P914" s="9">
        <v>0.278134746404239</v>
      </c>
      <c r="Q914" t="s">
        <v>812</v>
      </c>
      <c r="T914" s="15" t="s">
        <v>69</v>
      </c>
      <c r="W914" s="16" t="str">
        <f t="shared" si="98"/>
        <v>EN_WON_28_c03_GRC</v>
      </c>
      <c r="X914" s="12">
        <f t="shared" si="99"/>
        <v>1961</v>
      </c>
      <c r="Y914" s="11">
        <f t="shared" si="100"/>
        <v>1961</v>
      </c>
      <c r="AC914" t="s">
        <v>26</v>
      </c>
      <c r="AD914" t="s">
        <v>5716</v>
      </c>
      <c r="AE914" t="s">
        <v>5717</v>
      </c>
      <c r="AF914" t="s">
        <v>29</v>
      </c>
      <c r="AG914" t="s">
        <v>30</v>
      </c>
      <c r="AH914" t="s">
        <v>31</v>
      </c>
      <c r="AK914" t="s">
        <v>5716</v>
      </c>
      <c r="AL914" t="s">
        <v>1967</v>
      </c>
      <c r="AM914" t="s">
        <v>5645</v>
      </c>
      <c r="AN914" s="8">
        <v>6.94275</v>
      </c>
      <c r="AO914">
        <v>199.694880401046</v>
      </c>
      <c r="AP914">
        <v>1952</v>
      </c>
      <c r="AQ914" s="9">
        <v>0.516872744949768</v>
      </c>
      <c r="AR914" t="s">
        <v>1639</v>
      </c>
      <c r="AT914" s="15" t="s">
        <v>54</v>
      </c>
      <c r="AW914" s="11" t="str">
        <f t="shared" si="101"/>
        <v>EN_WOF_52_c02_SOM</v>
      </c>
      <c r="AX914" s="11">
        <f t="shared" si="102"/>
        <v>1952</v>
      </c>
      <c r="AY914" s="11">
        <f t="shared" si="103"/>
        <v>1952</v>
      </c>
      <c r="AZ914" s="17">
        <v>3</v>
      </c>
      <c r="BA914">
        <f t="shared" si="104"/>
        <v>19.52</v>
      </c>
    </row>
    <row r="915" spans="2:53">
      <c r="B915" t="s">
        <v>26</v>
      </c>
      <c r="C915" t="s">
        <v>5718</v>
      </c>
      <c r="D915" t="s">
        <v>5719</v>
      </c>
      <c r="E915" t="s">
        <v>29</v>
      </c>
      <c r="F915" t="s">
        <v>30</v>
      </c>
      <c r="G915" t="s">
        <v>31</v>
      </c>
      <c r="J915" t="s">
        <v>5718</v>
      </c>
      <c r="K915" t="s">
        <v>1967</v>
      </c>
      <c r="L915" t="s">
        <v>3739</v>
      </c>
      <c r="M915" s="8">
        <v>1.74825</v>
      </c>
      <c r="N915">
        <v>0</v>
      </c>
      <c r="O915">
        <v>1961</v>
      </c>
      <c r="P915" s="9">
        <v>0.286016731016731</v>
      </c>
      <c r="Q915" t="s">
        <v>812</v>
      </c>
      <c r="T915" s="15" t="s">
        <v>69</v>
      </c>
      <c r="W915" s="16" t="str">
        <f t="shared" si="98"/>
        <v>EN_WON_29_c01_GRC</v>
      </c>
      <c r="X915" s="12">
        <f t="shared" si="99"/>
        <v>1961</v>
      </c>
      <c r="Y915" s="11">
        <f t="shared" si="100"/>
        <v>1961</v>
      </c>
      <c r="AC915" t="s">
        <v>26</v>
      </c>
      <c r="AD915" t="s">
        <v>5720</v>
      </c>
      <c r="AE915" t="s">
        <v>5721</v>
      </c>
      <c r="AF915" t="s">
        <v>29</v>
      </c>
      <c r="AG915" t="s">
        <v>30</v>
      </c>
      <c r="AH915" t="s">
        <v>31</v>
      </c>
      <c r="AK915" t="s">
        <v>5720</v>
      </c>
      <c r="AL915" t="s">
        <v>1967</v>
      </c>
      <c r="AM915" t="s">
        <v>5645</v>
      </c>
      <c r="AN915" s="8">
        <v>10.83225</v>
      </c>
      <c r="AO915">
        <v>199.694880401046</v>
      </c>
      <c r="AP915">
        <v>1952</v>
      </c>
      <c r="AQ915" s="9">
        <v>0.530535068891505</v>
      </c>
      <c r="AR915" t="s">
        <v>1639</v>
      </c>
      <c r="AT915" s="15" t="s">
        <v>54</v>
      </c>
      <c r="AW915" s="11" t="str">
        <f t="shared" si="101"/>
        <v>EN_WOF_53_c02_SOM</v>
      </c>
      <c r="AX915" s="11">
        <f t="shared" si="102"/>
        <v>1952</v>
      </c>
      <c r="AY915" s="11">
        <f t="shared" si="103"/>
        <v>1952</v>
      </c>
      <c r="AZ915" s="17">
        <v>3</v>
      </c>
      <c r="BA915">
        <f t="shared" si="104"/>
        <v>19.52</v>
      </c>
    </row>
    <row r="916" spans="2:53">
      <c r="B916" t="s">
        <v>26</v>
      </c>
      <c r="C916" t="s">
        <v>5722</v>
      </c>
      <c r="D916" t="s">
        <v>5723</v>
      </c>
      <c r="E916" t="s">
        <v>29</v>
      </c>
      <c r="F916" t="s">
        <v>30</v>
      </c>
      <c r="G916" t="s">
        <v>31</v>
      </c>
      <c r="J916" t="s">
        <v>5722</v>
      </c>
      <c r="K916" t="s">
        <v>1967</v>
      </c>
      <c r="L916" t="s">
        <v>3739</v>
      </c>
      <c r="M916" s="8">
        <v>0.132</v>
      </c>
      <c r="N916">
        <v>80.7856561622413</v>
      </c>
      <c r="O916">
        <v>1961</v>
      </c>
      <c r="P916" s="9">
        <v>0.29</v>
      </c>
      <c r="Q916" t="s">
        <v>812</v>
      </c>
      <c r="T916" s="15" t="s">
        <v>69</v>
      </c>
      <c r="W916" s="16" t="str">
        <f t="shared" si="98"/>
        <v>EN_WON_29_c02_GRC</v>
      </c>
      <c r="X916" s="12">
        <f t="shared" si="99"/>
        <v>1961</v>
      </c>
      <c r="Y916" s="11">
        <f t="shared" si="100"/>
        <v>1961</v>
      </c>
      <c r="AC916" t="s">
        <v>26</v>
      </c>
      <c r="AD916" t="s">
        <v>5724</v>
      </c>
      <c r="AE916" t="s">
        <v>5725</v>
      </c>
      <c r="AF916" t="s">
        <v>29</v>
      </c>
      <c r="AG916" t="s">
        <v>30</v>
      </c>
      <c r="AH916" t="s">
        <v>31</v>
      </c>
      <c r="AK916" t="s">
        <v>5724</v>
      </c>
      <c r="AL916" t="s">
        <v>1967</v>
      </c>
      <c r="AM916" t="s">
        <v>5645</v>
      </c>
      <c r="AN916" s="8">
        <v>4.3785</v>
      </c>
      <c r="AO916">
        <v>199.694880401046</v>
      </c>
      <c r="AP916">
        <v>1952</v>
      </c>
      <c r="AQ916" s="9">
        <v>0.539325796505652</v>
      </c>
      <c r="AR916" t="s">
        <v>1639</v>
      </c>
      <c r="AT916" s="15" t="s">
        <v>54</v>
      </c>
      <c r="AW916" s="11" t="str">
        <f t="shared" si="101"/>
        <v>EN_WOF_54_c02_SOM</v>
      </c>
      <c r="AX916" s="11">
        <f t="shared" si="102"/>
        <v>1952</v>
      </c>
      <c r="AY916" s="11">
        <f t="shared" si="103"/>
        <v>1952</v>
      </c>
      <c r="AZ916" s="17">
        <v>3</v>
      </c>
      <c r="BA916">
        <f t="shared" si="104"/>
        <v>19.52</v>
      </c>
    </row>
    <row r="917" spans="2:53">
      <c r="B917" t="s">
        <v>26</v>
      </c>
      <c r="C917" t="s">
        <v>5726</v>
      </c>
      <c r="D917" t="s">
        <v>5727</v>
      </c>
      <c r="E917" t="s">
        <v>29</v>
      </c>
      <c r="F917" t="s">
        <v>30</v>
      </c>
      <c r="G917" t="s">
        <v>31</v>
      </c>
      <c r="J917" t="s">
        <v>5726</v>
      </c>
      <c r="K917" t="s">
        <v>1967</v>
      </c>
      <c r="L917" t="s">
        <v>3739</v>
      </c>
      <c r="M917" s="8">
        <v>0.0585</v>
      </c>
      <c r="N917">
        <v>105.747516212372</v>
      </c>
      <c r="O917">
        <v>1961</v>
      </c>
      <c r="P917" s="9">
        <v>0.294</v>
      </c>
      <c r="Q917" t="s">
        <v>812</v>
      </c>
      <c r="T917" s="15" t="s">
        <v>69</v>
      </c>
      <c r="W917" s="16" t="str">
        <f t="shared" si="98"/>
        <v>EN_WON_29_c03_GRC</v>
      </c>
      <c r="X917" s="12">
        <f t="shared" si="99"/>
        <v>1961</v>
      </c>
      <c r="Y917" s="11">
        <f t="shared" si="100"/>
        <v>1961</v>
      </c>
      <c r="AC917" t="s">
        <v>26</v>
      </c>
      <c r="AD917" t="s">
        <v>5728</v>
      </c>
      <c r="AE917" t="s">
        <v>5729</v>
      </c>
      <c r="AF917" t="s">
        <v>29</v>
      </c>
      <c r="AG917" t="s">
        <v>30</v>
      </c>
      <c r="AH917" t="s">
        <v>31</v>
      </c>
      <c r="AK917" t="s">
        <v>5728</v>
      </c>
      <c r="AL917" t="s">
        <v>1967</v>
      </c>
      <c r="AM917" t="s">
        <v>5645</v>
      </c>
      <c r="AN917" s="8">
        <v>16.785</v>
      </c>
      <c r="AO917">
        <v>199.694880401046</v>
      </c>
      <c r="AP917">
        <v>1952</v>
      </c>
      <c r="AQ917" s="9">
        <v>0.550093878462913</v>
      </c>
      <c r="AR917" t="s">
        <v>1639</v>
      </c>
      <c r="AT917" s="15" t="s">
        <v>54</v>
      </c>
      <c r="AW917" s="11" t="str">
        <f t="shared" si="101"/>
        <v>EN_WOF_55_c02_SOM</v>
      </c>
      <c r="AX917" s="11">
        <f t="shared" si="102"/>
        <v>1952</v>
      </c>
      <c r="AY917" s="11">
        <f t="shared" si="103"/>
        <v>1952</v>
      </c>
      <c r="AZ917" s="17">
        <v>3</v>
      </c>
      <c r="BA917">
        <f t="shared" si="104"/>
        <v>19.52</v>
      </c>
    </row>
    <row r="918" spans="2:53">
      <c r="B918" t="s">
        <v>26</v>
      </c>
      <c r="C918" t="s">
        <v>5730</v>
      </c>
      <c r="D918" t="s">
        <v>5731</v>
      </c>
      <c r="E918" t="s">
        <v>29</v>
      </c>
      <c r="F918" t="s">
        <v>30</v>
      </c>
      <c r="G918" t="s">
        <v>31</v>
      </c>
      <c r="J918" t="s">
        <v>5730</v>
      </c>
      <c r="K918" t="s">
        <v>1967</v>
      </c>
      <c r="L918" t="s">
        <v>3739</v>
      </c>
      <c r="M918" s="8">
        <v>0.1905</v>
      </c>
      <c r="N918">
        <v>145.23264029167</v>
      </c>
      <c r="O918">
        <v>1961</v>
      </c>
      <c r="P918" s="9">
        <v>0.292</v>
      </c>
      <c r="Q918" t="s">
        <v>812</v>
      </c>
      <c r="T918" s="15" t="s">
        <v>69</v>
      </c>
      <c r="W918" s="16" t="str">
        <f t="shared" si="98"/>
        <v>EN_WON_29_c04_GRC</v>
      </c>
      <c r="X918" s="12">
        <f t="shared" si="99"/>
        <v>1961</v>
      </c>
      <c r="Y918" s="11">
        <f t="shared" si="100"/>
        <v>1961</v>
      </c>
      <c r="AC918" t="s">
        <v>26</v>
      </c>
      <c r="AD918" t="s">
        <v>5732</v>
      </c>
      <c r="AE918" t="s">
        <v>5733</v>
      </c>
      <c r="AF918" t="s">
        <v>29</v>
      </c>
      <c r="AG918" t="s">
        <v>30</v>
      </c>
      <c r="AH918" t="s">
        <v>31</v>
      </c>
      <c r="AK918" t="s">
        <v>5732</v>
      </c>
      <c r="AL918" t="s">
        <v>1967</v>
      </c>
      <c r="AM918" t="s">
        <v>5645</v>
      </c>
      <c r="AN918" s="8">
        <v>13.95525</v>
      </c>
      <c r="AO918">
        <v>199.694880401046</v>
      </c>
      <c r="AP918">
        <v>1952</v>
      </c>
      <c r="AQ918" s="9">
        <v>0.559380394475197</v>
      </c>
      <c r="AR918" t="s">
        <v>1639</v>
      </c>
      <c r="AT918" s="15" t="s">
        <v>54</v>
      </c>
      <c r="AW918" s="11" t="str">
        <f t="shared" si="101"/>
        <v>EN_WOF_56_c02_SOM</v>
      </c>
      <c r="AX918" s="11">
        <f t="shared" si="102"/>
        <v>1952</v>
      </c>
      <c r="AY918" s="11">
        <f t="shared" si="103"/>
        <v>1952</v>
      </c>
      <c r="AZ918" s="17">
        <v>3</v>
      </c>
      <c r="BA918">
        <f t="shared" si="104"/>
        <v>19.52</v>
      </c>
    </row>
    <row r="919" spans="2:53">
      <c r="B919" t="s">
        <v>26</v>
      </c>
      <c r="C919" t="s">
        <v>5734</v>
      </c>
      <c r="D919" t="s">
        <v>5735</v>
      </c>
      <c r="E919" t="s">
        <v>29</v>
      </c>
      <c r="F919" t="s">
        <v>30</v>
      </c>
      <c r="G919" t="s">
        <v>31</v>
      </c>
      <c r="J919" t="s">
        <v>5734</v>
      </c>
      <c r="K919" t="s">
        <v>1967</v>
      </c>
      <c r="L919" t="s">
        <v>3739</v>
      </c>
      <c r="M919" s="8">
        <v>0.1335</v>
      </c>
      <c r="N919">
        <v>80.7856561622413</v>
      </c>
      <c r="O919">
        <v>1961</v>
      </c>
      <c r="P919" s="9">
        <v>0.31047191011236</v>
      </c>
      <c r="Q919" t="s">
        <v>812</v>
      </c>
      <c r="T919" s="15" t="s">
        <v>69</v>
      </c>
      <c r="W919" s="16" t="str">
        <f t="shared" si="98"/>
        <v>EN_WON_31_c02_GRC</v>
      </c>
      <c r="X919" s="12">
        <f t="shared" si="99"/>
        <v>1961</v>
      </c>
      <c r="Y919" s="11">
        <f t="shared" si="100"/>
        <v>1961</v>
      </c>
      <c r="AC919" t="s">
        <v>26</v>
      </c>
      <c r="AD919" t="s">
        <v>5736</v>
      </c>
      <c r="AE919" t="s">
        <v>5737</v>
      </c>
      <c r="AF919" t="s">
        <v>29</v>
      </c>
      <c r="AG919" t="s">
        <v>30</v>
      </c>
      <c r="AH919" t="s">
        <v>31</v>
      </c>
      <c r="AK919" t="s">
        <v>5736</v>
      </c>
      <c r="AL919" t="s">
        <v>1967</v>
      </c>
      <c r="AM919" t="s">
        <v>5738</v>
      </c>
      <c r="AN919" s="8">
        <v>3.71775</v>
      </c>
      <c r="AO919">
        <v>199.694880401046</v>
      </c>
      <c r="AP919">
        <v>1340</v>
      </c>
      <c r="AQ919" s="9">
        <v>0.39775025216865</v>
      </c>
      <c r="AR919" t="s">
        <v>1685</v>
      </c>
      <c r="AT919" s="15" t="s">
        <v>69</v>
      </c>
      <c r="AW919" s="11" t="str">
        <f t="shared" si="101"/>
        <v>EN_WOF_40_c02_SWE</v>
      </c>
      <c r="AX919" s="11">
        <f t="shared" si="102"/>
        <v>1340</v>
      </c>
      <c r="AY919" s="11">
        <f t="shared" si="103"/>
        <v>1340</v>
      </c>
      <c r="AZ919" s="17">
        <v>3</v>
      </c>
      <c r="BA919">
        <f t="shared" si="104"/>
        <v>13.4</v>
      </c>
    </row>
    <row r="920" spans="2:53">
      <c r="B920" t="s">
        <v>26</v>
      </c>
      <c r="C920" t="s">
        <v>5739</v>
      </c>
      <c r="D920" t="s">
        <v>5740</v>
      </c>
      <c r="E920" t="s">
        <v>29</v>
      </c>
      <c r="F920" t="s">
        <v>30</v>
      </c>
      <c r="G920" t="s">
        <v>31</v>
      </c>
      <c r="J920" t="s">
        <v>5739</v>
      </c>
      <c r="K920" t="s">
        <v>1967</v>
      </c>
      <c r="L920" t="s">
        <v>3739</v>
      </c>
      <c r="M920" s="8">
        <v>0.85875</v>
      </c>
      <c r="N920">
        <v>80.7856561622413</v>
      </c>
      <c r="O920">
        <v>1961</v>
      </c>
      <c r="P920" s="9">
        <v>0.31816768558952</v>
      </c>
      <c r="Q920" t="s">
        <v>812</v>
      </c>
      <c r="T920" s="15" t="s">
        <v>69</v>
      </c>
      <c r="W920" s="16" t="str">
        <f t="shared" si="98"/>
        <v>EN_WON_32_c02_GRC</v>
      </c>
      <c r="X920" s="12">
        <f t="shared" si="99"/>
        <v>1961</v>
      </c>
      <c r="Y920" s="11">
        <f t="shared" si="100"/>
        <v>1961</v>
      </c>
      <c r="AC920" t="s">
        <v>26</v>
      </c>
      <c r="AD920" t="s">
        <v>5741</v>
      </c>
      <c r="AE920" t="s">
        <v>5742</v>
      </c>
      <c r="AF920" t="s">
        <v>29</v>
      </c>
      <c r="AG920" t="s">
        <v>30</v>
      </c>
      <c r="AH920" t="s">
        <v>31</v>
      </c>
      <c r="AK920" t="s">
        <v>5741</v>
      </c>
      <c r="AL920" t="s">
        <v>1967</v>
      </c>
      <c r="AM920" t="s">
        <v>5738</v>
      </c>
      <c r="AN920" s="8">
        <v>12.3165</v>
      </c>
      <c r="AO920">
        <v>199.694880401046</v>
      </c>
      <c r="AP920">
        <v>1340</v>
      </c>
      <c r="AQ920" s="9">
        <v>0.413228352210449</v>
      </c>
      <c r="AR920" t="s">
        <v>1685</v>
      </c>
      <c r="AT920" s="15" t="s">
        <v>69</v>
      </c>
      <c r="AW920" s="11" t="str">
        <f t="shared" si="101"/>
        <v>EN_WOF_41_c02_SWE</v>
      </c>
      <c r="AX920" s="11">
        <f t="shared" si="102"/>
        <v>1340</v>
      </c>
      <c r="AY920" s="11">
        <f t="shared" si="103"/>
        <v>1340</v>
      </c>
      <c r="AZ920" s="17">
        <v>3</v>
      </c>
      <c r="BA920">
        <f t="shared" si="104"/>
        <v>13.4</v>
      </c>
    </row>
    <row r="921" spans="2:53">
      <c r="B921" t="s">
        <v>26</v>
      </c>
      <c r="C921" t="s">
        <v>5743</v>
      </c>
      <c r="D921" t="s">
        <v>5744</v>
      </c>
      <c r="E921" t="s">
        <v>29</v>
      </c>
      <c r="F921" t="s">
        <v>30</v>
      </c>
      <c r="G921" t="s">
        <v>31</v>
      </c>
      <c r="J921" t="s">
        <v>5743</v>
      </c>
      <c r="K921" t="s">
        <v>1967</v>
      </c>
      <c r="L921" t="s">
        <v>3739</v>
      </c>
      <c r="M921" s="8">
        <v>0.09675</v>
      </c>
      <c r="N921">
        <v>105.747516212372</v>
      </c>
      <c r="O921">
        <v>1961</v>
      </c>
      <c r="P921" s="9">
        <v>0.327</v>
      </c>
      <c r="Q921" t="s">
        <v>812</v>
      </c>
      <c r="T921" s="15" t="s">
        <v>69</v>
      </c>
      <c r="W921" s="16" t="str">
        <f t="shared" si="98"/>
        <v>EN_WON_33_c03_GRC</v>
      </c>
      <c r="X921" s="12">
        <f t="shared" si="99"/>
        <v>1961</v>
      </c>
      <c r="Y921" s="11">
        <f t="shared" si="100"/>
        <v>1961</v>
      </c>
      <c r="AC921" t="s">
        <v>26</v>
      </c>
      <c r="AD921" t="s">
        <v>5745</v>
      </c>
      <c r="AE921" t="s">
        <v>5746</v>
      </c>
      <c r="AF921" t="s">
        <v>29</v>
      </c>
      <c r="AG921" t="s">
        <v>30</v>
      </c>
      <c r="AH921" t="s">
        <v>31</v>
      </c>
      <c r="AK921" t="s">
        <v>5745</v>
      </c>
      <c r="AL921" t="s">
        <v>1967</v>
      </c>
      <c r="AM921" t="s">
        <v>5738</v>
      </c>
      <c r="AN921" s="8">
        <v>18.84</v>
      </c>
      <c r="AO921">
        <v>199.694880401046</v>
      </c>
      <c r="AP921">
        <v>1340</v>
      </c>
      <c r="AQ921" s="9">
        <v>0.422043630573248</v>
      </c>
      <c r="AR921" t="s">
        <v>1685</v>
      </c>
      <c r="AT921" s="15" t="s">
        <v>69</v>
      </c>
      <c r="AW921" s="11" t="str">
        <f t="shared" si="101"/>
        <v>EN_WOF_42_c02_SWE</v>
      </c>
      <c r="AX921" s="11">
        <f t="shared" si="102"/>
        <v>1340</v>
      </c>
      <c r="AY921" s="11">
        <f t="shared" si="103"/>
        <v>1340</v>
      </c>
      <c r="AZ921" s="17">
        <v>3</v>
      </c>
      <c r="BA921">
        <f t="shared" si="104"/>
        <v>13.4</v>
      </c>
    </row>
    <row r="922" spans="2:53">
      <c r="B922" t="s">
        <v>26</v>
      </c>
      <c r="C922" t="s">
        <v>5747</v>
      </c>
      <c r="D922" t="s">
        <v>5748</v>
      </c>
      <c r="E922" t="s">
        <v>29</v>
      </c>
      <c r="F922" t="s">
        <v>30</v>
      </c>
      <c r="G922" t="s">
        <v>31</v>
      </c>
      <c r="J922" t="s">
        <v>5747</v>
      </c>
      <c r="K922" t="s">
        <v>1967</v>
      </c>
      <c r="L922" t="s">
        <v>3739</v>
      </c>
      <c r="M922" s="8">
        <v>0.483</v>
      </c>
      <c r="N922">
        <v>80.7856561622413</v>
      </c>
      <c r="O922">
        <v>1961</v>
      </c>
      <c r="P922" s="9">
        <v>0.341</v>
      </c>
      <c r="Q922" t="s">
        <v>812</v>
      </c>
      <c r="T922" s="15" t="s">
        <v>69</v>
      </c>
      <c r="W922" s="16" t="str">
        <f t="shared" si="98"/>
        <v>EN_WON_34_c02_GRC</v>
      </c>
      <c r="X922" s="12">
        <f t="shared" si="99"/>
        <v>1961</v>
      </c>
      <c r="Y922" s="11">
        <f t="shared" si="100"/>
        <v>1961</v>
      </c>
      <c r="AC922" t="s">
        <v>26</v>
      </c>
      <c r="AD922" t="s">
        <v>5749</v>
      </c>
      <c r="AE922" t="s">
        <v>5750</v>
      </c>
      <c r="AF922" t="s">
        <v>29</v>
      </c>
      <c r="AG922" t="s">
        <v>30</v>
      </c>
      <c r="AH922" t="s">
        <v>31</v>
      </c>
      <c r="AK922" t="s">
        <v>5749</v>
      </c>
      <c r="AL922" t="s">
        <v>1967</v>
      </c>
      <c r="AM922" t="s">
        <v>5738</v>
      </c>
      <c r="AN922" s="8">
        <v>40.87275</v>
      </c>
      <c r="AO922">
        <v>199.694880401046</v>
      </c>
      <c r="AP922">
        <v>1340</v>
      </c>
      <c r="AQ922" s="9">
        <v>0.430750720223132</v>
      </c>
      <c r="AR922" t="s">
        <v>1685</v>
      </c>
      <c r="AT922" s="15" t="s">
        <v>69</v>
      </c>
      <c r="AW922" s="11" t="str">
        <f t="shared" si="101"/>
        <v>EN_WOF_43_c02_SWE</v>
      </c>
      <c r="AX922" s="11">
        <f t="shared" si="102"/>
        <v>1340</v>
      </c>
      <c r="AY922" s="11">
        <f t="shared" si="103"/>
        <v>1340</v>
      </c>
      <c r="AZ922" s="17">
        <v>3</v>
      </c>
      <c r="BA922">
        <f t="shared" si="104"/>
        <v>13.4</v>
      </c>
    </row>
    <row r="923" spans="2:53">
      <c r="B923" t="s">
        <v>26</v>
      </c>
      <c r="C923" t="s">
        <v>5751</v>
      </c>
      <c r="D923" t="s">
        <v>5752</v>
      </c>
      <c r="E923" t="s">
        <v>29</v>
      </c>
      <c r="F923" t="s">
        <v>30</v>
      </c>
      <c r="G923" t="s">
        <v>31</v>
      </c>
      <c r="J923" t="s">
        <v>5751</v>
      </c>
      <c r="K923" t="s">
        <v>1967</v>
      </c>
      <c r="L923" t="s">
        <v>3739</v>
      </c>
      <c r="M923" s="8">
        <v>0.70875</v>
      </c>
      <c r="N923">
        <v>105.747516212372</v>
      </c>
      <c r="O923">
        <v>1961</v>
      </c>
      <c r="P923" s="9">
        <v>0.340643386243386</v>
      </c>
      <c r="Q923" t="s">
        <v>812</v>
      </c>
      <c r="T923" s="15" t="s">
        <v>69</v>
      </c>
      <c r="W923" s="16" t="str">
        <f t="shared" si="98"/>
        <v>EN_WON_34_c03_GRC</v>
      </c>
      <c r="X923" s="12">
        <f t="shared" si="99"/>
        <v>1961</v>
      </c>
      <c r="Y923" s="11">
        <f t="shared" si="100"/>
        <v>1961</v>
      </c>
      <c r="AC923" t="s">
        <v>26</v>
      </c>
      <c r="AD923" t="s">
        <v>5753</v>
      </c>
      <c r="AE923" t="s">
        <v>5754</v>
      </c>
      <c r="AF923" t="s">
        <v>29</v>
      </c>
      <c r="AG923" t="s">
        <v>30</v>
      </c>
      <c r="AH923" t="s">
        <v>31</v>
      </c>
      <c r="AK923" t="s">
        <v>5753</v>
      </c>
      <c r="AL923" t="s">
        <v>1967</v>
      </c>
      <c r="AM923" t="s">
        <v>5738</v>
      </c>
      <c r="AN923" s="8">
        <v>27.02025</v>
      </c>
      <c r="AO923">
        <v>199.694880401046</v>
      </c>
      <c r="AP923">
        <v>1340</v>
      </c>
      <c r="AQ923" s="9">
        <v>0.437517334221556</v>
      </c>
      <c r="AR923" t="s">
        <v>1685</v>
      </c>
      <c r="AT923" s="15" t="s">
        <v>69</v>
      </c>
      <c r="AW923" s="11" t="str">
        <f t="shared" si="101"/>
        <v>EN_WOF_44_c02_SWE</v>
      </c>
      <c r="AX923" s="11">
        <f t="shared" si="102"/>
        <v>1340</v>
      </c>
      <c r="AY923" s="11">
        <f t="shared" si="103"/>
        <v>1340</v>
      </c>
      <c r="AZ923" s="17">
        <v>3</v>
      </c>
      <c r="BA923">
        <f t="shared" si="104"/>
        <v>13.4</v>
      </c>
    </row>
    <row r="924" spans="2:53">
      <c r="B924" t="s">
        <v>26</v>
      </c>
      <c r="C924" t="s">
        <v>5755</v>
      </c>
      <c r="D924" t="s">
        <v>5756</v>
      </c>
      <c r="E924" t="s">
        <v>29</v>
      </c>
      <c r="F924" t="s">
        <v>30</v>
      </c>
      <c r="G924" t="s">
        <v>31</v>
      </c>
      <c r="J924" t="s">
        <v>5755</v>
      </c>
      <c r="K924" t="s">
        <v>1967</v>
      </c>
      <c r="L924" t="s">
        <v>3739</v>
      </c>
      <c r="M924" s="8">
        <v>0.345</v>
      </c>
      <c r="N924">
        <v>0</v>
      </c>
      <c r="O924">
        <v>1961</v>
      </c>
      <c r="P924" s="9">
        <v>0.349847826086956</v>
      </c>
      <c r="Q924" t="s">
        <v>812</v>
      </c>
      <c r="T924" s="15" t="s">
        <v>69</v>
      </c>
      <c r="W924" s="16" t="str">
        <f t="shared" si="98"/>
        <v>EN_WON_35_c01_GRC</v>
      </c>
      <c r="X924" s="12">
        <f t="shared" si="99"/>
        <v>1961</v>
      </c>
      <c r="Y924" s="11">
        <f t="shared" si="100"/>
        <v>1961</v>
      </c>
      <c r="AC924" t="s">
        <v>26</v>
      </c>
      <c r="AD924" t="s">
        <v>5757</v>
      </c>
      <c r="AE924" t="s">
        <v>5758</v>
      </c>
      <c r="AF924" t="s">
        <v>29</v>
      </c>
      <c r="AG924" t="s">
        <v>30</v>
      </c>
      <c r="AH924" t="s">
        <v>31</v>
      </c>
      <c r="AK924" t="s">
        <v>5757</v>
      </c>
      <c r="AL924" t="s">
        <v>1967</v>
      </c>
      <c r="AM924" t="s">
        <v>5738</v>
      </c>
      <c r="AN924" s="8">
        <v>50.439</v>
      </c>
      <c r="AO924">
        <v>199.694880401046</v>
      </c>
      <c r="AP924">
        <v>1340</v>
      </c>
      <c r="AQ924" s="9">
        <v>0.449265508832451</v>
      </c>
      <c r="AR924" t="s">
        <v>1685</v>
      </c>
      <c r="AT924" s="15" t="s">
        <v>69</v>
      </c>
      <c r="AW924" s="11" t="str">
        <f t="shared" si="101"/>
        <v>EN_WOF_45_c02_SWE</v>
      </c>
      <c r="AX924" s="11">
        <f t="shared" si="102"/>
        <v>1340</v>
      </c>
      <c r="AY924" s="11">
        <f t="shared" si="103"/>
        <v>1340</v>
      </c>
      <c r="AZ924" s="17">
        <v>3</v>
      </c>
      <c r="BA924">
        <f t="shared" si="104"/>
        <v>13.4</v>
      </c>
    </row>
    <row r="925" spans="2:53">
      <c r="B925" t="s">
        <v>26</v>
      </c>
      <c r="C925" t="s">
        <v>5759</v>
      </c>
      <c r="D925" t="s">
        <v>5760</v>
      </c>
      <c r="E925" t="s">
        <v>29</v>
      </c>
      <c r="F925" t="s">
        <v>30</v>
      </c>
      <c r="G925" t="s">
        <v>31</v>
      </c>
      <c r="J925" t="s">
        <v>5759</v>
      </c>
      <c r="K925" t="s">
        <v>1967</v>
      </c>
      <c r="L925" t="s">
        <v>3739</v>
      </c>
      <c r="M925" s="8">
        <v>0.61425</v>
      </c>
      <c r="N925">
        <v>0</v>
      </c>
      <c r="O925">
        <v>1961</v>
      </c>
      <c r="P925" s="9">
        <v>0.362</v>
      </c>
      <c r="Q925" t="s">
        <v>812</v>
      </c>
      <c r="T925" s="15" t="s">
        <v>69</v>
      </c>
      <c r="W925" s="16" t="str">
        <f t="shared" si="98"/>
        <v>EN_WON_36_c01_GRC</v>
      </c>
      <c r="X925" s="12">
        <f t="shared" si="99"/>
        <v>1961</v>
      </c>
      <c r="Y925" s="11">
        <f t="shared" si="100"/>
        <v>1961</v>
      </c>
      <c r="AC925" t="s">
        <v>26</v>
      </c>
      <c r="AD925" t="s">
        <v>5761</v>
      </c>
      <c r="AE925" t="s">
        <v>5762</v>
      </c>
      <c r="AF925" t="s">
        <v>29</v>
      </c>
      <c r="AG925" t="s">
        <v>30</v>
      </c>
      <c r="AH925" t="s">
        <v>31</v>
      </c>
      <c r="AK925" t="s">
        <v>5761</v>
      </c>
      <c r="AL925" t="s">
        <v>1967</v>
      </c>
      <c r="AM925" t="s">
        <v>5738</v>
      </c>
      <c r="AN925" s="8">
        <v>51.0465</v>
      </c>
      <c r="AO925">
        <v>199.694880401046</v>
      </c>
      <c r="AP925">
        <v>1340</v>
      </c>
      <c r="AQ925" s="9">
        <v>0.459339322970233</v>
      </c>
      <c r="AR925" t="s">
        <v>1685</v>
      </c>
      <c r="AT925" s="15" t="s">
        <v>69</v>
      </c>
      <c r="AW925" s="11" t="str">
        <f t="shared" si="101"/>
        <v>EN_WOF_46_c02_SWE</v>
      </c>
      <c r="AX925" s="11">
        <f t="shared" si="102"/>
        <v>1340</v>
      </c>
      <c r="AY925" s="11">
        <f t="shared" si="103"/>
        <v>1340</v>
      </c>
      <c r="AZ925" s="17">
        <v>3</v>
      </c>
      <c r="BA925">
        <f t="shared" si="104"/>
        <v>13.4</v>
      </c>
    </row>
    <row r="926" spans="2:53">
      <c r="B926" t="s">
        <v>26</v>
      </c>
      <c r="C926" t="s">
        <v>5763</v>
      </c>
      <c r="D926" t="s">
        <v>5764</v>
      </c>
      <c r="E926" t="s">
        <v>29</v>
      </c>
      <c r="F926" t="s">
        <v>30</v>
      </c>
      <c r="G926" t="s">
        <v>31</v>
      </c>
      <c r="J926" t="s">
        <v>5763</v>
      </c>
      <c r="K926" t="s">
        <v>1967</v>
      </c>
      <c r="L926" t="s">
        <v>3739</v>
      </c>
      <c r="M926" s="8">
        <v>0.41325</v>
      </c>
      <c r="N926">
        <v>80.7856561622413</v>
      </c>
      <c r="O926">
        <v>1961</v>
      </c>
      <c r="P926" s="9">
        <v>0.36</v>
      </c>
      <c r="Q926" t="s">
        <v>812</v>
      </c>
      <c r="T926" s="15" t="s">
        <v>69</v>
      </c>
      <c r="W926" s="16" t="str">
        <f t="shared" si="98"/>
        <v>EN_WON_36_c02_GRC</v>
      </c>
      <c r="X926" s="12">
        <f t="shared" si="99"/>
        <v>1961</v>
      </c>
      <c r="Y926" s="11">
        <f t="shared" si="100"/>
        <v>1961</v>
      </c>
      <c r="AC926" t="s">
        <v>26</v>
      </c>
      <c r="AD926" t="s">
        <v>5765</v>
      </c>
      <c r="AE926" t="s">
        <v>5766</v>
      </c>
      <c r="AF926" t="s">
        <v>29</v>
      </c>
      <c r="AG926" t="s">
        <v>30</v>
      </c>
      <c r="AH926" t="s">
        <v>31</v>
      </c>
      <c r="AK926" t="s">
        <v>5765</v>
      </c>
      <c r="AL926" t="s">
        <v>1967</v>
      </c>
      <c r="AM926" t="s">
        <v>5738</v>
      </c>
      <c r="AN926" s="8">
        <v>23.7405</v>
      </c>
      <c r="AO926">
        <v>199.694880401046</v>
      </c>
      <c r="AP926">
        <v>1340</v>
      </c>
      <c r="AQ926" s="9">
        <v>0.470685158273836</v>
      </c>
      <c r="AR926" t="s">
        <v>1685</v>
      </c>
      <c r="AT926" s="15" t="s">
        <v>69</v>
      </c>
      <c r="AW926" s="11" t="str">
        <f t="shared" si="101"/>
        <v>EN_WOF_47_c02_SWE</v>
      </c>
      <c r="AX926" s="11">
        <f t="shared" si="102"/>
        <v>1340</v>
      </c>
      <c r="AY926" s="11">
        <f t="shared" si="103"/>
        <v>1340</v>
      </c>
      <c r="AZ926" s="17">
        <v>3</v>
      </c>
      <c r="BA926">
        <f t="shared" si="104"/>
        <v>13.4</v>
      </c>
    </row>
    <row r="927" spans="2:53">
      <c r="B927" t="s">
        <v>26</v>
      </c>
      <c r="C927" t="s">
        <v>5767</v>
      </c>
      <c r="D927" t="s">
        <v>5768</v>
      </c>
      <c r="E927" t="s">
        <v>29</v>
      </c>
      <c r="F927" t="s">
        <v>30</v>
      </c>
      <c r="G927" t="s">
        <v>31</v>
      </c>
      <c r="J927" t="s">
        <v>5767</v>
      </c>
      <c r="K927" t="s">
        <v>1967</v>
      </c>
      <c r="L927" t="s">
        <v>3739</v>
      </c>
      <c r="M927" s="8">
        <v>0.39975</v>
      </c>
      <c r="N927">
        <v>0</v>
      </c>
      <c r="O927">
        <v>1961</v>
      </c>
      <c r="P927" s="9">
        <v>0.368144465290807</v>
      </c>
      <c r="Q927" t="s">
        <v>812</v>
      </c>
      <c r="T927" s="15" t="s">
        <v>69</v>
      </c>
      <c r="W927" s="16" t="str">
        <f t="shared" si="98"/>
        <v>EN_WON_37_c01_GRC</v>
      </c>
      <c r="X927" s="12">
        <f t="shared" si="99"/>
        <v>1961</v>
      </c>
      <c r="Y927" s="11">
        <f t="shared" si="100"/>
        <v>1961</v>
      </c>
      <c r="AC927" t="s">
        <v>26</v>
      </c>
      <c r="AD927" t="s">
        <v>5769</v>
      </c>
      <c r="AE927" t="s">
        <v>5770</v>
      </c>
      <c r="AF927" t="s">
        <v>29</v>
      </c>
      <c r="AG927" t="s">
        <v>30</v>
      </c>
      <c r="AH927" t="s">
        <v>31</v>
      </c>
      <c r="AK927" t="s">
        <v>5769</v>
      </c>
      <c r="AL927" t="s">
        <v>1967</v>
      </c>
      <c r="AM927" t="s">
        <v>5738</v>
      </c>
      <c r="AN927" s="8">
        <v>141.597</v>
      </c>
      <c r="AO927">
        <v>199.694880401046</v>
      </c>
      <c r="AP927">
        <v>1340</v>
      </c>
      <c r="AQ927" s="9">
        <v>0.480319297019005</v>
      </c>
      <c r="AR927" t="s">
        <v>1685</v>
      </c>
      <c r="AT927" s="15" t="s">
        <v>69</v>
      </c>
      <c r="AW927" s="11" t="str">
        <f t="shared" si="101"/>
        <v>EN_WOF_48_c02_SWE</v>
      </c>
      <c r="AX927" s="11">
        <f t="shared" si="102"/>
        <v>1340</v>
      </c>
      <c r="AY927" s="11">
        <f t="shared" si="103"/>
        <v>1340</v>
      </c>
      <c r="AZ927" s="17">
        <v>3</v>
      </c>
      <c r="BA927">
        <f t="shared" si="104"/>
        <v>13.4</v>
      </c>
    </row>
    <row r="928" spans="2:53">
      <c r="B928" t="s">
        <v>26</v>
      </c>
      <c r="C928" t="s">
        <v>5771</v>
      </c>
      <c r="D928" t="s">
        <v>5772</v>
      </c>
      <c r="E928" t="s">
        <v>29</v>
      </c>
      <c r="F928" t="s">
        <v>30</v>
      </c>
      <c r="G928" t="s">
        <v>31</v>
      </c>
      <c r="J928" t="s">
        <v>5771</v>
      </c>
      <c r="K928" t="s">
        <v>1967</v>
      </c>
      <c r="L928" t="s">
        <v>3739</v>
      </c>
      <c r="M928" s="8">
        <v>0.45975</v>
      </c>
      <c r="N928">
        <v>80.7856561622413</v>
      </c>
      <c r="O928">
        <v>1961</v>
      </c>
      <c r="P928" s="9">
        <v>0.373306688417618</v>
      </c>
      <c r="Q928" t="s">
        <v>812</v>
      </c>
      <c r="T928" s="15" t="s">
        <v>69</v>
      </c>
      <c r="W928" s="16" t="str">
        <f t="shared" si="98"/>
        <v>EN_WON_37_c02_GRC</v>
      </c>
      <c r="X928" s="12">
        <f t="shared" si="99"/>
        <v>1961</v>
      </c>
      <c r="Y928" s="11">
        <f t="shared" si="100"/>
        <v>1961</v>
      </c>
      <c r="AC928" t="s">
        <v>26</v>
      </c>
      <c r="AD928" t="s">
        <v>5773</v>
      </c>
      <c r="AE928" t="s">
        <v>5774</v>
      </c>
      <c r="AF928" t="s">
        <v>29</v>
      </c>
      <c r="AG928" t="s">
        <v>30</v>
      </c>
      <c r="AH928" t="s">
        <v>31</v>
      </c>
      <c r="AK928" t="s">
        <v>5773</v>
      </c>
      <c r="AL928" t="s">
        <v>1967</v>
      </c>
      <c r="AM928" t="s">
        <v>5738</v>
      </c>
      <c r="AN928" s="8">
        <v>131.04225</v>
      </c>
      <c r="AO928">
        <v>199.694880401046</v>
      </c>
      <c r="AP928">
        <v>1340</v>
      </c>
      <c r="AQ928" s="9">
        <v>0.48861880805618</v>
      </c>
      <c r="AR928" t="s">
        <v>1685</v>
      </c>
      <c r="AT928" s="15" t="s">
        <v>69</v>
      </c>
      <c r="AW928" s="11" t="str">
        <f t="shared" si="101"/>
        <v>EN_WOF_49_c02_SWE</v>
      </c>
      <c r="AX928" s="11">
        <f t="shared" si="102"/>
        <v>1340</v>
      </c>
      <c r="AY928" s="11">
        <f t="shared" si="103"/>
        <v>1340</v>
      </c>
      <c r="AZ928" s="17">
        <v>3</v>
      </c>
      <c r="BA928">
        <f t="shared" si="104"/>
        <v>13.4</v>
      </c>
    </row>
    <row r="929" spans="2:53">
      <c r="B929" t="s">
        <v>26</v>
      </c>
      <c r="C929" t="s">
        <v>5775</v>
      </c>
      <c r="D929" t="s">
        <v>5776</v>
      </c>
      <c r="E929" t="s">
        <v>29</v>
      </c>
      <c r="F929" t="s">
        <v>30</v>
      </c>
      <c r="G929" t="s">
        <v>31</v>
      </c>
      <c r="J929" t="s">
        <v>5775</v>
      </c>
      <c r="K929" t="s">
        <v>1967</v>
      </c>
      <c r="L929" t="s">
        <v>3739</v>
      </c>
      <c r="M929" s="8">
        <v>0.24375</v>
      </c>
      <c r="N929">
        <v>0</v>
      </c>
      <c r="O929">
        <v>1961</v>
      </c>
      <c r="P929" s="9">
        <v>0.380981538461538</v>
      </c>
      <c r="Q929" t="s">
        <v>812</v>
      </c>
      <c r="T929" s="15" t="s">
        <v>69</v>
      </c>
      <c r="W929" s="16" t="str">
        <f t="shared" si="98"/>
        <v>EN_WON_38_c01_GRC</v>
      </c>
      <c r="X929" s="12">
        <f t="shared" si="99"/>
        <v>1961</v>
      </c>
      <c r="Y929" s="11">
        <f t="shared" si="100"/>
        <v>1961</v>
      </c>
      <c r="AC929" t="s">
        <v>26</v>
      </c>
      <c r="AD929" t="s">
        <v>5777</v>
      </c>
      <c r="AE929" t="s">
        <v>5778</v>
      </c>
      <c r="AF929" t="s">
        <v>29</v>
      </c>
      <c r="AG929" t="s">
        <v>30</v>
      </c>
      <c r="AH929" t="s">
        <v>31</v>
      </c>
      <c r="AK929" t="s">
        <v>5777</v>
      </c>
      <c r="AL929" t="s">
        <v>1967</v>
      </c>
      <c r="AM929" t="s">
        <v>5738</v>
      </c>
      <c r="AN929" s="8">
        <v>39.30675</v>
      </c>
      <c r="AO929">
        <v>199.694880401046</v>
      </c>
      <c r="AP929">
        <v>1340</v>
      </c>
      <c r="AQ929" s="9">
        <v>0.498524146616039</v>
      </c>
      <c r="AR929" t="s">
        <v>1685</v>
      </c>
      <c r="AT929" s="15" t="s">
        <v>69</v>
      </c>
      <c r="AW929" s="11" t="str">
        <f t="shared" si="101"/>
        <v>EN_WOF_50_c02_SWE</v>
      </c>
      <c r="AX929" s="11">
        <f t="shared" si="102"/>
        <v>1340</v>
      </c>
      <c r="AY929" s="11">
        <f t="shared" si="103"/>
        <v>1340</v>
      </c>
      <c r="AZ929" s="17">
        <v>3</v>
      </c>
      <c r="BA929">
        <f t="shared" si="104"/>
        <v>13.4</v>
      </c>
    </row>
    <row r="930" spans="2:53">
      <c r="B930" t="s">
        <v>26</v>
      </c>
      <c r="C930" t="s">
        <v>5779</v>
      </c>
      <c r="D930" t="s">
        <v>5780</v>
      </c>
      <c r="E930" t="s">
        <v>29</v>
      </c>
      <c r="F930" t="s">
        <v>30</v>
      </c>
      <c r="G930" t="s">
        <v>31</v>
      </c>
      <c r="J930" t="s">
        <v>5779</v>
      </c>
      <c r="K930" t="s">
        <v>1967</v>
      </c>
      <c r="L930" t="s">
        <v>3739</v>
      </c>
      <c r="M930" s="8">
        <v>0.1545</v>
      </c>
      <c r="N930">
        <v>0</v>
      </c>
      <c r="O930">
        <v>1961</v>
      </c>
      <c r="P930" s="9">
        <v>0.386</v>
      </c>
      <c r="Q930" t="s">
        <v>812</v>
      </c>
      <c r="T930" s="15" t="s">
        <v>69</v>
      </c>
      <c r="W930" s="16" t="str">
        <f t="shared" si="98"/>
        <v>EN_WON_39_c01_GRC</v>
      </c>
      <c r="X930" s="12">
        <f t="shared" si="99"/>
        <v>1961</v>
      </c>
      <c r="Y930" s="11">
        <f t="shared" si="100"/>
        <v>1961</v>
      </c>
      <c r="AC930" t="s">
        <v>26</v>
      </c>
      <c r="AD930" t="s">
        <v>5781</v>
      </c>
      <c r="AE930" t="s">
        <v>5782</v>
      </c>
      <c r="AF930" t="s">
        <v>29</v>
      </c>
      <c r="AG930" t="s">
        <v>30</v>
      </c>
      <c r="AH930" t="s">
        <v>31</v>
      </c>
      <c r="AK930" t="s">
        <v>5781</v>
      </c>
      <c r="AL930" t="s">
        <v>1967</v>
      </c>
      <c r="AM930" t="s">
        <v>5738</v>
      </c>
      <c r="AN930" s="8">
        <v>21.44475</v>
      </c>
      <c r="AO930">
        <v>199.694880401046</v>
      </c>
      <c r="AP930">
        <v>1340</v>
      </c>
      <c r="AQ930" s="9">
        <v>0.507693036757248</v>
      </c>
      <c r="AR930" t="s">
        <v>1685</v>
      </c>
      <c r="AT930" s="15" t="s">
        <v>69</v>
      </c>
      <c r="AW930" s="11" t="str">
        <f t="shared" si="101"/>
        <v>EN_WOF_51_c02_SWE</v>
      </c>
      <c r="AX930" s="11">
        <f t="shared" si="102"/>
        <v>1340</v>
      </c>
      <c r="AY930" s="11">
        <f t="shared" si="103"/>
        <v>1340</v>
      </c>
      <c r="AZ930" s="17">
        <v>3</v>
      </c>
      <c r="BA930">
        <f t="shared" si="104"/>
        <v>13.4</v>
      </c>
    </row>
    <row r="931" spans="2:53">
      <c r="B931" t="s">
        <v>26</v>
      </c>
      <c r="C931" t="s">
        <v>5783</v>
      </c>
      <c r="D931" t="s">
        <v>5784</v>
      </c>
      <c r="E931" t="s">
        <v>29</v>
      </c>
      <c r="F931" t="s">
        <v>30</v>
      </c>
      <c r="G931" t="s">
        <v>31</v>
      </c>
      <c r="J931" t="s">
        <v>5783</v>
      </c>
      <c r="K931" t="s">
        <v>1967</v>
      </c>
      <c r="L931" t="s">
        <v>3739</v>
      </c>
      <c r="M931" s="8">
        <v>0.86625</v>
      </c>
      <c r="N931">
        <v>0</v>
      </c>
      <c r="O931">
        <v>1961</v>
      </c>
      <c r="P931" s="9">
        <v>0.396999134199134</v>
      </c>
      <c r="Q931" t="s">
        <v>812</v>
      </c>
      <c r="T931" s="15" t="s">
        <v>69</v>
      </c>
      <c r="W931" s="16" t="str">
        <f t="shared" si="98"/>
        <v>EN_WON_40_c01_GRC</v>
      </c>
      <c r="X931" s="12">
        <f t="shared" si="99"/>
        <v>1961</v>
      </c>
      <c r="Y931" s="11">
        <f t="shared" si="100"/>
        <v>1961</v>
      </c>
      <c r="AC931" t="s">
        <v>26</v>
      </c>
      <c r="AD931" t="s">
        <v>5785</v>
      </c>
      <c r="AE931" t="s">
        <v>5786</v>
      </c>
      <c r="AF931" t="s">
        <v>29</v>
      </c>
      <c r="AG931" t="s">
        <v>30</v>
      </c>
      <c r="AH931" t="s">
        <v>31</v>
      </c>
      <c r="AK931" t="s">
        <v>5785</v>
      </c>
      <c r="AL931" t="s">
        <v>1967</v>
      </c>
      <c r="AM931" t="s">
        <v>5787</v>
      </c>
      <c r="AN931" s="8">
        <v>1.2195</v>
      </c>
      <c r="AO931">
        <v>199.694880401046</v>
      </c>
      <c r="AP931">
        <v>1952</v>
      </c>
      <c r="AQ931" s="9">
        <v>0.342617466174662</v>
      </c>
      <c r="AR931" t="s">
        <v>5788</v>
      </c>
      <c r="AT931" s="15" t="s">
        <v>54</v>
      </c>
      <c r="AW931" s="11" t="str">
        <f t="shared" si="101"/>
        <v>EN_WOF_34_c02_SYC</v>
      </c>
      <c r="AX931" s="11">
        <f t="shared" si="102"/>
        <v>1952</v>
      </c>
      <c r="AY931" s="11">
        <f t="shared" si="103"/>
        <v>1952</v>
      </c>
      <c r="AZ931" s="17">
        <v>3</v>
      </c>
      <c r="BA931">
        <f t="shared" si="104"/>
        <v>19.52</v>
      </c>
    </row>
    <row r="932" spans="2:53">
      <c r="B932" t="s">
        <v>26</v>
      </c>
      <c r="C932" t="s">
        <v>5789</v>
      </c>
      <c r="D932" t="s">
        <v>5790</v>
      </c>
      <c r="E932" t="s">
        <v>29</v>
      </c>
      <c r="F932" t="s">
        <v>30</v>
      </c>
      <c r="G932" t="s">
        <v>31</v>
      </c>
      <c r="J932" t="s">
        <v>5789</v>
      </c>
      <c r="K932" t="s">
        <v>1967</v>
      </c>
      <c r="L932" t="s">
        <v>3739</v>
      </c>
      <c r="M932" s="8">
        <v>0.11925</v>
      </c>
      <c r="N932">
        <v>80.7856561622413</v>
      </c>
      <c r="O932">
        <v>1961</v>
      </c>
      <c r="P932" s="9">
        <v>0.4</v>
      </c>
      <c r="Q932" t="s">
        <v>812</v>
      </c>
      <c r="T932" s="15" t="s">
        <v>69</v>
      </c>
      <c r="W932" s="16" t="str">
        <f t="shared" si="98"/>
        <v>EN_WON_40_c02_GRC</v>
      </c>
      <c r="X932" s="12">
        <f t="shared" si="99"/>
        <v>1961</v>
      </c>
      <c r="Y932" s="11">
        <f t="shared" si="100"/>
        <v>1961</v>
      </c>
      <c r="AC932" t="s">
        <v>26</v>
      </c>
      <c r="AD932" t="s">
        <v>5791</v>
      </c>
      <c r="AE932" t="s">
        <v>5792</v>
      </c>
      <c r="AF932" t="s">
        <v>29</v>
      </c>
      <c r="AG932" t="s">
        <v>30</v>
      </c>
      <c r="AH932" t="s">
        <v>31</v>
      </c>
      <c r="AK932" t="s">
        <v>5791</v>
      </c>
      <c r="AL932" t="s">
        <v>1967</v>
      </c>
      <c r="AM932" t="s">
        <v>5787</v>
      </c>
      <c r="AN932" s="8">
        <v>3.6345</v>
      </c>
      <c r="AO932">
        <v>199.694880401046</v>
      </c>
      <c r="AP932">
        <v>1952</v>
      </c>
      <c r="AQ932" s="9">
        <v>0.350679323153116</v>
      </c>
      <c r="AR932" t="s">
        <v>5788</v>
      </c>
      <c r="AT932" s="15" t="s">
        <v>54</v>
      </c>
      <c r="AW932" s="11" t="str">
        <f t="shared" si="101"/>
        <v>EN_WOF_35_c02_SYC</v>
      </c>
      <c r="AX932" s="11">
        <f t="shared" si="102"/>
        <v>1952</v>
      </c>
      <c r="AY932" s="11">
        <f t="shared" si="103"/>
        <v>1952</v>
      </c>
      <c r="AZ932" s="17">
        <v>3</v>
      </c>
      <c r="BA932">
        <f t="shared" si="104"/>
        <v>19.52</v>
      </c>
    </row>
    <row r="933" spans="2:53">
      <c r="B933" t="s">
        <v>26</v>
      </c>
      <c r="C933" t="s">
        <v>5793</v>
      </c>
      <c r="D933" t="s">
        <v>5794</v>
      </c>
      <c r="E933" t="s">
        <v>29</v>
      </c>
      <c r="F933" t="s">
        <v>30</v>
      </c>
      <c r="G933" t="s">
        <v>31</v>
      </c>
      <c r="J933" t="s">
        <v>5793</v>
      </c>
      <c r="K933" t="s">
        <v>1967</v>
      </c>
      <c r="L933" t="s">
        <v>3739</v>
      </c>
      <c r="M933" s="8">
        <v>0.024</v>
      </c>
      <c r="N933">
        <v>105.747516212372</v>
      </c>
      <c r="O933">
        <v>1961</v>
      </c>
      <c r="P933" s="9">
        <v>0.396</v>
      </c>
      <c r="Q933" t="s">
        <v>812</v>
      </c>
      <c r="T933" s="15" t="s">
        <v>69</v>
      </c>
      <c r="W933" s="16" t="str">
        <f t="shared" si="98"/>
        <v>EN_WON_40_c03_GRC</v>
      </c>
      <c r="X933" s="12">
        <f t="shared" si="99"/>
        <v>1961</v>
      </c>
      <c r="Y933" s="11">
        <f t="shared" si="100"/>
        <v>1961</v>
      </c>
      <c r="AC933" t="s">
        <v>26</v>
      </c>
      <c r="AD933" t="s">
        <v>5795</v>
      </c>
      <c r="AE933" t="s">
        <v>5796</v>
      </c>
      <c r="AF933" t="s">
        <v>29</v>
      </c>
      <c r="AG933" t="s">
        <v>30</v>
      </c>
      <c r="AH933" t="s">
        <v>31</v>
      </c>
      <c r="AK933" t="s">
        <v>5795</v>
      </c>
      <c r="AL933" t="s">
        <v>1967</v>
      </c>
      <c r="AM933" t="s">
        <v>5787</v>
      </c>
      <c r="AN933" s="8">
        <v>0.936</v>
      </c>
      <c r="AO933">
        <v>199.694880401046</v>
      </c>
      <c r="AP933">
        <v>1952</v>
      </c>
      <c r="AQ933" s="9">
        <v>0.374</v>
      </c>
      <c r="AR933" t="s">
        <v>5788</v>
      </c>
      <c r="AT933" s="15" t="s">
        <v>54</v>
      </c>
      <c r="AW933" s="11" t="str">
        <f t="shared" si="101"/>
        <v>EN_WOF_37_c02_SYC</v>
      </c>
      <c r="AX933" s="11">
        <f t="shared" si="102"/>
        <v>1952</v>
      </c>
      <c r="AY933" s="11">
        <f t="shared" si="103"/>
        <v>1952</v>
      </c>
      <c r="AZ933" s="17">
        <v>3</v>
      </c>
      <c r="BA933">
        <f t="shared" si="104"/>
        <v>19.52</v>
      </c>
    </row>
    <row r="934" spans="2:53">
      <c r="B934" t="s">
        <v>26</v>
      </c>
      <c r="C934" t="s">
        <v>5797</v>
      </c>
      <c r="D934" t="s">
        <v>5798</v>
      </c>
      <c r="E934" t="s">
        <v>29</v>
      </c>
      <c r="F934" t="s">
        <v>30</v>
      </c>
      <c r="G934" t="s">
        <v>31</v>
      </c>
      <c r="J934" t="s">
        <v>5797</v>
      </c>
      <c r="K934" t="s">
        <v>1967</v>
      </c>
      <c r="L934" t="s">
        <v>3739</v>
      </c>
      <c r="M934" s="8">
        <v>0.09675</v>
      </c>
      <c r="N934">
        <v>0</v>
      </c>
      <c r="O934">
        <v>1961</v>
      </c>
      <c r="P934" s="9">
        <v>0.406860465116279</v>
      </c>
      <c r="Q934" t="s">
        <v>812</v>
      </c>
      <c r="T934" s="15" t="s">
        <v>69</v>
      </c>
      <c r="W934" s="16" t="str">
        <f t="shared" si="98"/>
        <v>EN_WON_41_c01_GRC</v>
      </c>
      <c r="X934" s="12">
        <f t="shared" si="99"/>
        <v>1961</v>
      </c>
      <c r="Y934" s="11">
        <f t="shared" si="100"/>
        <v>1961</v>
      </c>
      <c r="AC934" t="s">
        <v>26</v>
      </c>
      <c r="AD934" t="s">
        <v>5799</v>
      </c>
      <c r="AE934" t="s">
        <v>5800</v>
      </c>
      <c r="AF934" t="s">
        <v>29</v>
      </c>
      <c r="AG934" t="s">
        <v>30</v>
      </c>
      <c r="AH934" t="s">
        <v>31</v>
      </c>
      <c r="AK934" t="s">
        <v>5799</v>
      </c>
      <c r="AL934" t="s">
        <v>1967</v>
      </c>
      <c r="AM934" t="s">
        <v>5787</v>
      </c>
      <c r="AN934" s="8">
        <v>2.54325</v>
      </c>
      <c r="AO934">
        <v>199.694880401046</v>
      </c>
      <c r="AP934">
        <v>1952</v>
      </c>
      <c r="AQ934" s="9">
        <v>0.4</v>
      </c>
      <c r="AR934" t="s">
        <v>5788</v>
      </c>
      <c r="AT934" s="15" t="s">
        <v>54</v>
      </c>
      <c r="AW934" s="11" t="str">
        <f t="shared" si="101"/>
        <v>EN_WOF_40_c02_SYC</v>
      </c>
      <c r="AX934" s="11">
        <f t="shared" si="102"/>
        <v>1952</v>
      </c>
      <c r="AY934" s="11">
        <f t="shared" si="103"/>
        <v>1952</v>
      </c>
      <c r="AZ934" s="17">
        <v>3</v>
      </c>
      <c r="BA934">
        <f t="shared" si="104"/>
        <v>19.52</v>
      </c>
    </row>
    <row r="935" spans="2:53">
      <c r="B935" t="s">
        <v>26</v>
      </c>
      <c r="C935" t="s">
        <v>5801</v>
      </c>
      <c r="D935" t="s">
        <v>5802</v>
      </c>
      <c r="E935" t="s">
        <v>29</v>
      </c>
      <c r="F935" t="s">
        <v>30</v>
      </c>
      <c r="G935" t="s">
        <v>31</v>
      </c>
      <c r="J935" t="s">
        <v>5801</v>
      </c>
      <c r="K935" t="s">
        <v>1967</v>
      </c>
      <c r="L935" t="s">
        <v>3739</v>
      </c>
      <c r="M935" s="8">
        <v>0.1095</v>
      </c>
      <c r="N935">
        <v>0</v>
      </c>
      <c r="O935">
        <v>1961</v>
      </c>
      <c r="P935" s="9">
        <v>0.419</v>
      </c>
      <c r="Q935" t="s">
        <v>812</v>
      </c>
      <c r="T935" s="15" t="s">
        <v>69</v>
      </c>
      <c r="W935" s="16" t="str">
        <f t="shared" si="98"/>
        <v>EN_WON_42_c01_GRC</v>
      </c>
      <c r="X935" s="12">
        <f t="shared" si="99"/>
        <v>1961</v>
      </c>
      <c r="Y935" s="11">
        <f t="shared" si="100"/>
        <v>1961</v>
      </c>
      <c r="AC935" t="s">
        <v>26</v>
      </c>
      <c r="AD935" t="s">
        <v>5803</v>
      </c>
      <c r="AE935" t="s">
        <v>5804</v>
      </c>
      <c r="AF935" t="s">
        <v>29</v>
      </c>
      <c r="AG935" t="s">
        <v>30</v>
      </c>
      <c r="AH935" t="s">
        <v>31</v>
      </c>
      <c r="AK935" t="s">
        <v>5803</v>
      </c>
      <c r="AL935" t="s">
        <v>1967</v>
      </c>
      <c r="AM935" t="s">
        <v>5787</v>
      </c>
      <c r="AN935" s="8">
        <v>3.21225</v>
      </c>
      <c r="AO935">
        <v>199.694880401046</v>
      </c>
      <c r="AP935">
        <v>1952</v>
      </c>
      <c r="AQ935" s="9">
        <v>0.412086388045762</v>
      </c>
      <c r="AR935" t="s">
        <v>5788</v>
      </c>
      <c r="AT935" s="15" t="s">
        <v>54</v>
      </c>
      <c r="AW935" s="11" t="str">
        <f t="shared" si="101"/>
        <v>EN_WOF_41_c02_SYC</v>
      </c>
      <c r="AX935" s="11">
        <f t="shared" si="102"/>
        <v>1952</v>
      </c>
      <c r="AY935" s="11">
        <f t="shared" si="103"/>
        <v>1952</v>
      </c>
      <c r="AZ935" s="17">
        <v>3</v>
      </c>
      <c r="BA935">
        <f t="shared" si="104"/>
        <v>19.52</v>
      </c>
    </row>
    <row r="936" spans="2:53">
      <c r="B936" t="s">
        <v>26</v>
      </c>
      <c r="C936" t="s">
        <v>5805</v>
      </c>
      <c r="D936" t="s">
        <v>5806</v>
      </c>
      <c r="E936" t="s">
        <v>29</v>
      </c>
      <c r="F936" t="s">
        <v>30</v>
      </c>
      <c r="G936" t="s">
        <v>31</v>
      </c>
      <c r="J936" t="s">
        <v>5805</v>
      </c>
      <c r="K936" t="s">
        <v>1967</v>
      </c>
      <c r="L936" t="s">
        <v>3739</v>
      </c>
      <c r="M936" s="8">
        <v>0.0225</v>
      </c>
      <c r="N936">
        <v>0</v>
      </c>
      <c r="O936">
        <v>1961</v>
      </c>
      <c r="P936" s="9">
        <v>0.425</v>
      </c>
      <c r="Q936" t="s">
        <v>812</v>
      </c>
      <c r="T936" s="15" t="s">
        <v>69</v>
      </c>
      <c r="W936" s="16" t="str">
        <f t="shared" si="98"/>
        <v>EN_WON_43_c01_GRC</v>
      </c>
      <c r="X936" s="12">
        <f t="shared" si="99"/>
        <v>1961</v>
      </c>
      <c r="Y936" s="11">
        <f t="shared" si="100"/>
        <v>1961</v>
      </c>
      <c r="AC936" t="s">
        <v>26</v>
      </c>
      <c r="AD936" t="s">
        <v>5807</v>
      </c>
      <c r="AE936" t="s">
        <v>5808</v>
      </c>
      <c r="AF936" t="s">
        <v>29</v>
      </c>
      <c r="AG936" t="s">
        <v>30</v>
      </c>
      <c r="AH936" t="s">
        <v>31</v>
      </c>
      <c r="AK936" t="s">
        <v>5807</v>
      </c>
      <c r="AL936" t="s">
        <v>1967</v>
      </c>
      <c r="AM936" t="s">
        <v>5787</v>
      </c>
      <c r="AN936" s="8">
        <v>1.764</v>
      </c>
      <c r="AO936">
        <v>199.694880401046</v>
      </c>
      <c r="AP936">
        <v>1952</v>
      </c>
      <c r="AQ936" s="9">
        <v>0.420452380952381</v>
      </c>
      <c r="AR936" t="s">
        <v>5788</v>
      </c>
      <c r="AT936" s="15" t="s">
        <v>54</v>
      </c>
      <c r="AW936" s="11" t="str">
        <f t="shared" si="101"/>
        <v>EN_WOF_42_c02_SYC</v>
      </c>
      <c r="AX936" s="11">
        <f t="shared" si="102"/>
        <v>1952</v>
      </c>
      <c r="AY936" s="11">
        <f t="shared" si="103"/>
        <v>1952</v>
      </c>
      <c r="AZ936" s="17">
        <v>3</v>
      </c>
      <c r="BA936">
        <f t="shared" si="104"/>
        <v>19.52</v>
      </c>
    </row>
    <row r="937" spans="2:53">
      <c r="B937" t="s">
        <v>26</v>
      </c>
      <c r="C937" t="s">
        <v>5809</v>
      </c>
      <c r="D937" t="s">
        <v>5810</v>
      </c>
      <c r="E937" t="s">
        <v>29</v>
      </c>
      <c r="F937" t="s">
        <v>30</v>
      </c>
      <c r="G937" t="s">
        <v>31</v>
      </c>
      <c r="J937" t="s">
        <v>5809</v>
      </c>
      <c r="K937" t="s">
        <v>1967</v>
      </c>
      <c r="L937" t="s">
        <v>3739</v>
      </c>
      <c r="M937" s="8">
        <v>0.1695</v>
      </c>
      <c r="N937">
        <v>0</v>
      </c>
      <c r="O937">
        <v>1961</v>
      </c>
      <c r="P937" s="9">
        <v>0.441805309734513</v>
      </c>
      <c r="Q937" t="s">
        <v>812</v>
      </c>
      <c r="T937" s="15" t="s">
        <v>69</v>
      </c>
      <c r="W937" s="16" t="str">
        <f t="shared" si="98"/>
        <v>EN_WON_44_c01_GRC</v>
      </c>
      <c r="X937" s="12">
        <f t="shared" si="99"/>
        <v>1961</v>
      </c>
      <c r="Y937" s="11">
        <f t="shared" si="100"/>
        <v>1961</v>
      </c>
      <c r="AC937" t="s">
        <v>26</v>
      </c>
      <c r="AD937" t="s">
        <v>5811</v>
      </c>
      <c r="AE937" t="s">
        <v>5812</v>
      </c>
      <c r="AF937" t="s">
        <v>29</v>
      </c>
      <c r="AG937" t="s">
        <v>30</v>
      </c>
      <c r="AH937" t="s">
        <v>31</v>
      </c>
      <c r="AK937" t="s">
        <v>5811</v>
      </c>
      <c r="AL937" t="s">
        <v>1967</v>
      </c>
      <c r="AM937" t="s">
        <v>5787</v>
      </c>
      <c r="AN937" s="8">
        <v>1.35</v>
      </c>
      <c r="AO937">
        <v>199.694880401046</v>
      </c>
      <c r="AP937">
        <v>1952</v>
      </c>
      <c r="AQ937" s="9">
        <v>0.43748</v>
      </c>
      <c r="AR937" t="s">
        <v>5788</v>
      </c>
      <c r="AT937" s="15" t="s">
        <v>54</v>
      </c>
      <c r="AW937" s="11" t="str">
        <f t="shared" si="101"/>
        <v>EN_WOF_44_c02_SYC</v>
      </c>
      <c r="AX937" s="11">
        <f t="shared" si="102"/>
        <v>1952</v>
      </c>
      <c r="AY937" s="11">
        <f t="shared" si="103"/>
        <v>1952</v>
      </c>
      <c r="AZ937" s="17">
        <v>3</v>
      </c>
      <c r="BA937">
        <f t="shared" si="104"/>
        <v>19.52</v>
      </c>
    </row>
    <row r="938" spans="2:53">
      <c r="B938" t="s">
        <v>26</v>
      </c>
      <c r="C938" t="s">
        <v>5813</v>
      </c>
      <c r="D938" t="s">
        <v>5814</v>
      </c>
      <c r="E938" t="s">
        <v>29</v>
      </c>
      <c r="F938" t="s">
        <v>30</v>
      </c>
      <c r="G938" t="s">
        <v>31</v>
      </c>
      <c r="J938" t="s">
        <v>5813</v>
      </c>
      <c r="K938" t="s">
        <v>1967</v>
      </c>
      <c r="L938" t="s">
        <v>3739</v>
      </c>
      <c r="M938" s="8">
        <v>0.28575</v>
      </c>
      <c r="N938">
        <v>0</v>
      </c>
      <c r="O938">
        <v>1961</v>
      </c>
      <c r="P938" s="9">
        <v>0.455937007874016</v>
      </c>
      <c r="Q938" t="s">
        <v>812</v>
      </c>
      <c r="T938" s="15" t="s">
        <v>69</v>
      </c>
      <c r="W938" s="16" t="str">
        <f t="shared" si="98"/>
        <v>EN_WON_46_c01_GRC</v>
      </c>
      <c r="X938" s="12">
        <f t="shared" si="99"/>
        <v>1961</v>
      </c>
      <c r="Y938" s="11">
        <f t="shared" si="100"/>
        <v>1961</v>
      </c>
      <c r="AC938" t="s">
        <v>26</v>
      </c>
      <c r="AD938" t="s">
        <v>5815</v>
      </c>
      <c r="AE938" t="s">
        <v>5816</v>
      </c>
      <c r="AF938" t="s">
        <v>29</v>
      </c>
      <c r="AG938" t="s">
        <v>30</v>
      </c>
      <c r="AH938" t="s">
        <v>31</v>
      </c>
      <c r="AK938" t="s">
        <v>5815</v>
      </c>
      <c r="AL938" t="s">
        <v>1967</v>
      </c>
      <c r="AM938" t="s">
        <v>5787</v>
      </c>
      <c r="AN938" s="8">
        <v>1.27425</v>
      </c>
      <c r="AO938">
        <v>199.694880401046</v>
      </c>
      <c r="AP938">
        <v>1952</v>
      </c>
      <c r="AQ938" s="9">
        <v>0.452</v>
      </c>
      <c r="AR938" t="s">
        <v>5788</v>
      </c>
      <c r="AT938" s="15" t="s">
        <v>54</v>
      </c>
      <c r="AW938" s="11" t="str">
        <f t="shared" si="101"/>
        <v>EN_WOF_45_c02_SYC</v>
      </c>
      <c r="AX938" s="11">
        <f t="shared" si="102"/>
        <v>1952</v>
      </c>
      <c r="AY938" s="11">
        <f t="shared" si="103"/>
        <v>1952</v>
      </c>
      <c r="AZ938" s="17">
        <v>3</v>
      </c>
      <c r="BA938">
        <f t="shared" si="104"/>
        <v>19.52</v>
      </c>
    </row>
    <row r="939" spans="2:53">
      <c r="B939" t="s">
        <v>26</v>
      </c>
      <c r="C939" t="s">
        <v>5817</v>
      </c>
      <c r="D939" t="s">
        <v>5818</v>
      </c>
      <c r="E939" t="s">
        <v>29</v>
      </c>
      <c r="F939" t="s">
        <v>30</v>
      </c>
      <c r="G939" t="s">
        <v>31</v>
      </c>
      <c r="J939" t="s">
        <v>5817</v>
      </c>
      <c r="K939" t="s">
        <v>1967</v>
      </c>
      <c r="L939" t="s">
        <v>3739</v>
      </c>
      <c r="M939" s="8">
        <v>0.12825</v>
      </c>
      <c r="N939">
        <v>0</v>
      </c>
      <c r="O939">
        <v>1961</v>
      </c>
      <c r="P939" s="9">
        <v>0.481298245614035</v>
      </c>
      <c r="Q939" t="s">
        <v>812</v>
      </c>
      <c r="T939" s="15" t="s">
        <v>69</v>
      </c>
      <c r="W939" s="16" t="str">
        <f t="shared" si="98"/>
        <v>EN_WON_48_c01_GRC</v>
      </c>
      <c r="X939" s="12">
        <f t="shared" si="99"/>
        <v>1961</v>
      </c>
      <c r="Y939" s="11">
        <f t="shared" si="100"/>
        <v>1961</v>
      </c>
      <c r="AC939" t="s">
        <v>26</v>
      </c>
      <c r="AD939" t="s">
        <v>5819</v>
      </c>
      <c r="AE939" t="s">
        <v>5820</v>
      </c>
      <c r="AF939" t="s">
        <v>29</v>
      </c>
      <c r="AG939" t="s">
        <v>30</v>
      </c>
      <c r="AH939" t="s">
        <v>31</v>
      </c>
      <c r="AK939" t="s">
        <v>5819</v>
      </c>
      <c r="AL939" t="s">
        <v>1967</v>
      </c>
      <c r="AM939" t="s">
        <v>5821</v>
      </c>
      <c r="AN939" s="8">
        <v>0.6195</v>
      </c>
      <c r="AO939">
        <v>199.694880401046</v>
      </c>
      <c r="AP939">
        <v>1756</v>
      </c>
      <c r="AQ939" s="9">
        <v>0.304</v>
      </c>
      <c r="AR939" t="s">
        <v>1703</v>
      </c>
      <c r="AT939" s="15" t="s">
        <v>80</v>
      </c>
      <c r="AW939" s="11" t="str">
        <f t="shared" si="101"/>
        <v>EN_WOF_30_c02_SYR</v>
      </c>
      <c r="AX939" s="11">
        <f t="shared" si="102"/>
        <v>1756</v>
      </c>
      <c r="AY939" s="11">
        <f t="shared" si="103"/>
        <v>1756</v>
      </c>
      <c r="AZ939" s="17">
        <v>3</v>
      </c>
      <c r="BA939">
        <f t="shared" si="104"/>
        <v>17.56</v>
      </c>
    </row>
    <row r="940" spans="2:53">
      <c r="B940" t="s">
        <v>26</v>
      </c>
      <c r="C940" t="s">
        <v>5822</v>
      </c>
      <c r="D940" t="s">
        <v>5823</v>
      </c>
      <c r="E940" t="s">
        <v>29</v>
      </c>
      <c r="F940" t="s">
        <v>30</v>
      </c>
      <c r="G940" t="s">
        <v>31</v>
      </c>
      <c r="J940" t="s">
        <v>5822</v>
      </c>
      <c r="K940" t="s">
        <v>1967</v>
      </c>
      <c r="L940" t="s">
        <v>3739</v>
      </c>
      <c r="M940" s="8">
        <v>0.087</v>
      </c>
      <c r="N940">
        <v>0</v>
      </c>
      <c r="O940">
        <v>1961</v>
      </c>
      <c r="P940" s="9">
        <v>0.485</v>
      </c>
      <c r="Q940" t="s">
        <v>812</v>
      </c>
      <c r="T940" s="15" t="s">
        <v>69</v>
      </c>
      <c r="W940" s="16" t="str">
        <f t="shared" si="98"/>
        <v>EN_WON_49_c01_GRC</v>
      </c>
      <c r="X940" s="12">
        <f t="shared" si="99"/>
        <v>1961</v>
      </c>
      <c r="Y940" s="11">
        <f t="shared" si="100"/>
        <v>1961</v>
      </c>
      <c r="AC940" t="s">
        <v>26</v>
      </c>
      <c r="AD940" t="s">
        <v>5824</v>
      </c>
      <c r="AE940" t="s">
        <v>5825</v>
      </c>
      <c r="AF940" t="s">
        <v>29</v>
      </c>
      <c r="AG940" t="s">
        <v>30</v>
      </c>
      <c r="AH940" t="s">
        <v>31</v>
      </c>
      <c r="AK940" t="s">
        <v>5824</v>
      </c>
      <c r="AL940" t="s">
        <v>1967</v>
      </c>
      <c r="AM940" t="s">
        <v>5826</v>
      </c>
      <c r="AN940" s="8">
        <v>4.0605</v>
      </c>
      <c r="AO940">
        <v>199.694880401046</v>
      </c>
      <c r="AP940">
        <v>1554</v>
      </c>
      <c r="AQ940" s="9">
        <v>0.310230328777244</v>
      </c>
      <c r="AR940" t="s">
        <v>5827</v>
      </c>
      <c r="AT940" s="15" t="s">
        <v>290</v>
      </c>
      <c r="AW940" s="11" t="str">
        <f t="shared" si="101"/>
        <v>EN_WOF_31_c02_TON</v>
      </c>
      <c r="AX940" s="11">
        <f t="shared" si="102"/>
        <v>1554</v>
      </c>
      <c r="AY940" s="11">
        <f t="shared" si="103"/>
        <v>1554</v>
      </c>
      <c r="AZ940" s="17">
        <v>3</v>
      </c>
      <c r="BA940">
        <f t="shared" si="104"/>
        <v>15.54</v>
      </c>
    </row>
    <row r="941" spans="2:53">
      <c r="B941" t="s">
        <v>26</v>
      </c>
      <c r="C941" t="s">
        <v>5828</v>
      </c>
      <c r="D941" t="s">
        <v>5829</v>
      </c>
      <c r="E941" t="s">
        <v>29</v>
      </c>
      <c r="F941" t="s">
        <v>30</v>
      </c>
      <c r="G941" t="s">
        <v>31</v>
      </c>
      <c r="J941" t="s">
        <v>5828</v>
      </c>
      <c r="K941" t="s">
        <v>1967</v>
      </c>
      <c r="L941" t="s">
        <v>3739</v>
      </c>
      <c r="M941" s="8">
        <v>0.438</v>
      </c>
      <c r="N941">
        <v>0</v>
      </c>
      <c r="O941">
        <v>1961</v>
      </c>
      <c r="P941" s="9">
        <v>0.511667808219178</v>
      </c>
      <c r="Q941" t="s">
        <v>812</v>
      </c>
      <c r="T941" s="15" t="s">
        <v>69</v>
      </c>
      <c r="W941" s="16" t="str">
        <f t="shared" si="98"/>
        <v>EN_WON_51_c01_GRC</v>
      </c>
      <c r="X941" s="12">
        <f t="shared" si="99"/>
        <v>1961</v>
      </c>
      <c r="Y941" s="11">
        <f t="shared" si="100"/>
        <v>1961</v>
      </c>
      <c r="AC941" t="s">
        <v>26</v>
      </c>
      <c r="AD941" t="s">
        <v>5830</v>
      </c>
      <c r="AE941" t="s">
        <v>5831</v>
      </c>
      <c r="AF941" t="s">
        <v>29</v>
      </c>
      <c r="AG941" t="s">
        <v>30</v>
      </c>
      <c r="AH941" t="s">
        <v>31</v>
      </c>
      <c r="AK941" t="s">
        <v>5830</v>
      </c>
      <c r="AL941" t="s">
        <v>1967</v>
      </c>
      <c r="AM941" t="s">
        <v>5826</v>
      </c>
      <c r="AN941" s="8">
        <v>38.34975</v>
      </c>
      <c r="AO941">
        <v>199.694880401046</v>
      </c>
      <c r="AP941">
        <v>1554</v>
      </c>
      <c r="AQ941" s="9">
        <v>0.319524397160347</v>
      </c>
      <c r="AR941" t="s">
        <v>5827</v>
      </c>
      <c r="AT941" s="15" t="s">
        <v>290</v>
      </c>
      <c r="AW941" s="11" t="str">
        <f t="shared" si="101"/>
        <v>EN_WOF_32_c02_TON</v>
      </c>
      <c r="AX941" s="11">
        <f t="shared" si="102"/>
        <v>1554</v>
      </c>
      <c r="AY941" s="11">
        <f t="shared" si="103"/>
        <v>1554</v>
      </c>
      <c r="AZ941" s="17">
        <v>3</v>
      </c>
      <c r="BA941">
        <f t="shared" si="104"/>
        <v>15.54</v>
      </c>
    </row>
    <row r="942" spans="2:53">
      <c r="B942" t="s">
        <v>26</v>
      </c>
      <c r="C942" t="s">
        <v>5832</v>
      </c>
      <c r="D942" t="s">
        <v>5833</v>
      </c>
      <c r="E942" t="s">
        <v>29</v>
      </c>
      <c r="F942" t="s">
        <v>30</v>
      </c>
      <c r="G942" t="s">
        <v>31</v>
      </c>
      <c r="J942" t="s">
        <v>5832</v>
      </c>
      <c r="K942" t="s">
        <v>1967</v>
      </c>
      <c r="L942" t="s">
        <v>5834</v>
      </c>
      <c r="M942" s="8">
        <v>0.6315</v>
      </c>
      <c r="N942">
        <v>145.23264029167</v>
      </c>
      <c r="O942">
        <v>1769</v>
      </c>
      <c r="P942" s="9">
        <v>0.157</v>
      </c>
      <c r="Q942" t="s">
        <v>826</v>
      </c>
      <c r="T942" s="15" t="s">
        <v>89</v>
      </c>
      <c r="W942" s="16" t="str">
        <f t="shared" si="98"/>
        <v>EN_WON_16_c04_GTM</v>
      </c>
      <c r="X942" s="12">
        <f t="shared" si="99"/>
        <v>1769</v>
      </c>
      <c r="Y942" s="11">
        <f t="shared" si="100"/>
        <v>1769</v>
      </c>
      <c r="AC942" t="s">
        <v>26</v>
      </c>
      <c r="AD942" t="s">
        <v>5835</v>
      </c>
      <c r="AE942" t="s">
        <v>5836</v>
      </c>
      <c r="AF942" t="s">
        <v>29</v>
      </c>
      <c r="AG942" t="s">
        <v>30</v>
      </c>
      <c r="AH942" t="s">
        <v>31</v>
      </c>
      <c r="AK942" t="s">
        <v>5835</v>
      </c>
      <c r="AL942" t="s">
        <v>1967</v>
      </c>
      <c r="AM942" t="s">
        <v>5826</v>
      </c>
      <c r="AN942" s="8">
        <v>28.20675</v>
      </c>
      <c r="AO942">
        <v>199.694880401046</v>
      </c>
      <c r="AP942">
        <v>1554</v>
      </c>
      <c r="AQ942" s="9">
        <v>0.329137334148741</v>
      </c>
      <c r="AR942" t="s">
        <v>5827</v>
      </c>
      <c r="AT942" s="15" t="s">
        <v>290</v>
      </c>
      <c r="AW942" s="11" t="str">
        <f t="shared" si="101"/>
        <v>EN_WOF_33_c02_TON</v>
      </c>
      <c r="AX942" s="11">
        <f t="shared" si="102"/>
        <v>1554</v>
      </c>
      <c r="AY942" s="11">
        <f t="shared" si="103"/>
        <v>1554</v>
      </c>
      <c r="AZ942" s="17">
        <v>3</v>
      </c>
      <c r="BA942">
        <f t="shared" si="104"/>
        <v>15.54</v>
      </c>
    </row>
    <row r="943" spans="2:53">
      <c r="B943" t="s">
        <v>26</v>
      </c>
      <c r="C943" t="s">
        <v>5837</v>
      </c>
      <c r="D943" t="s">
        <v>5838</v>
      </c>
      <c r="E943" t="s">
        <v>29</v>
      </c>
      <c r="F943" t="s">
        <v>30</v>
      </c>
      <c r="G943" t="s">
        <v>31</v>
      </c>
      <c r="J943" t="s">
        <v>5837</v>
      </c>
      <c r="K943" t="s">
        <v>1967</v>
      </c>
      <c r="L943" t="s">
        <v>5834</v>
      </c>
      <c r="M943" s="8">
        <v>3.351</v>
      </c>
      <c r="N943">
        <v>145.23264029167</v>
      </c>
      <c r="O943">
        <v>1769</v>
      </c>
      <c r="P943" s="9">
        <v>0.173</v>
      </c>
      <c r="Q943" t="s">
        <v>826</v>
      </c>
      <c r="T943" s="15" t="s">
        <v>89</v>
      </c>
      <c r="W943" s="16" t="str">
        <f t="shared" si="98"/>
        <v>EN_WON_17_c04_GTM</v>
      </c>
      <c r="X943" s="12">
        <f t="shared" si="99"/>
        <v>1769</v>
      </c>
      <c r="Y943" s="11">
        <f t="shared" si="100"/>
        <v>1769</v>
      </c>
      <c r="AC943" t="s">
        <v>26</v>
      </c>
      <c r="AD943" t="s">
        <v>5839</v>
      </c>
      <c r="AE943" t="s">
        <v>5840</v>
      </c>
      <c r="AF943" t="s">
        <v>29</v>
      </c>
      <c r="AG943" t="s">
        <v>30</v>
      </c>
      <c r="AH943" t="s">
        <v>31</v>
      </c>
      <c r="AK943" t="s">
        <v>5839</v>
      </c>
      <c r="AL943" t="s">
        <v>1967</v>
      </c>
      <c r="AM943" t="s">
        <v>5826</v>
      </c>
      <c r="AN943" s="8">
        <v>26.85</v>
      </c>
      <c r="AO943">
        <v>199.694880401046</v>
      </c>
      <c r="AP943">
        <v>1554</v>
      </c>
      <c r="AQ943" s="9">
        <v>0.340124469273743</v>
      </c>
      <c r="AR943" t="s">
        <v>5827</v>
      </c>
      <c r="AT943" s="15" t="s">
        <v>290</v>
      </c>
      <c r="AW943" s="11" t="str">
        <f t="shared" si="101"/>
        <v>EN_WOF_34_c02_TON</v>
      </c>
      <c r="AX943" s="11">
        <f t="shared" si="102"/>
        <v>1554</v>
      </c>
      <c r="AY943" s="11">
        <f t="shared" si="103"/>
        <v>1554</v>
      </c>
      <c r="AZ943" s="17">
        <v>3</v>
      </c>
      <c r="BA943">
        <f t="shared" si="104"/>
        <v>15.54</v>
      </c>
    </row>
    <row r="944" spans="2:53">
      <c r="B944" t="s">
        <v>26</v>
      </c>
      <c r="C944" t="s">
        <v>5841</v>
      </c>
      <c r="D944" t="s">
        <v>5842</v>
      </c>
      <c r="E944" t="s">
        <v>29</v>
      </c>
      <c r="F944" t="s">
        <v>30</v>
      </c>
      <c r="G944" t="s">
        <v>31</v>
      </c>
      <c r="J944" t="s">
        <v>5841</v>
      </c>
      <c r="K944" t="s">
        <v>1967</v>
      </c>
      <c r="L944" t="s">
        <v>5834</v>
      </c>
      <c r="M944" s="8">
        <v>9.09</v>
      </c>
      <c r="N944">
        <v>145.23264029167</v>
      </c>
      <c r="O944">
        <v>1769</v>
      </c>
      <c r="P944" s="9">
        <v>0.182197442244224</v>
      </c>
      <c r="Q944" t="s">
        <v>826</v>
      </c>
      <c r="T944" s="15" t="s">
        <v>89</v>
      </c>
      <c r="W944" s="16" t="str">
        <f t="shared" si="98"/>
        <v>EN_WON_18_c04_GTM</v>
      </c>
      <c r="X944" s="12">
        <f t="shared" si="99"/>
        <v>1769</v>
      </c>
      <c r="Y944" s="11">
        <f t="shared" si="100"/>
        <v>1769</v>
      </c>
      <c r="AC944" t="s">
        <v>26</v>
      </c>
      <c r="AD944" t="s">
        <v>5843</v>
      </c>
      <c r="AE944" t="s">
        <v>5844</v>
      </c>
      <c r="AF944" t="s">
        <v>29</v>
      </c>
      <c r="AG944" t="s">
        <v>30</v>
      </c>
      <c r="AH944" t="s">
        <v>31</v>
      </c>
      <c r="AK944" t="s">
        <v>5843</v>
      </c>
      <c r="AL944" t="s">
        <v>1967</v>
      </c>
      <c r="AM944" t="s">
        <v>5826</v>
      </c>
      <c r="AN944" s="8">
        <v>1.14075</v>
      </c>
      <c r="AO944">
        <v>199.694880401046</v>
      </c>
      <c r="AP944">
        <v>1554</v>
      </c>
      <c r="AQ944" s="9">
        <v>0.345096646942801</v>
      </c>
      <c r="AR944" t="s">
        <v>5827</v>
      </c>
      <c r="AT944" s="15" t="s">
        <v>290</v>
      </c>
      <c r="AW944" s="11" t="str">
        <f t="shared" si="101"/>
        <v>EN_WOF_35_c02_TON</v>
      </c>
      <c r="AX944" s="11">
        <f t="shared" si="102"/>
        <v>1554</v>
      </c>
      <c r="AY944" s="11">
        <f t="shared" si="103"/>
        <v>1554</v>
      </c>
      <c r="AZ944" s="17">
        <v>3</v>
      </c>
      <c r="BA944">
        <f t="shared" si="104"/>
        <v>15.54</v>
      </c>
    </row>
    <row r="945" spans="2:53">
      <c r="B945" t="s">
        <v>26</v>
      </c>
      <c r="C945" t="s">
        <v>5845</v>
      </c>
      <c r="D945" t="s">
        <v>5846</v>
      </c>
      <c r="E945" t="s">
        <v>29</v>
      </c>
      <c r="F945" t="s">
        <v>30</v>
      </c>
      <c r="G945" t="s">
        <v>31</v>
      </c>
      <c r="J945" t="s">
        <v>5845</v>
      </c>
      <c r="K945" t="s">
        <v>1967</v>
      </c>
      <c r="L945" t="s">
        <v>5834</v>
      </c>
      <c r="M945" s="8">
        <v>11.83875</v>
      </c>
      <c r="N945">
        <v>145.23264029167</v>
      </c>
      <c r="O945">
        <v>1769</v>
      </c>
      <c r="P945" s="9">
        <v>0.190350395945518</v>
      </c>
      <c r="Q945" t="s">
        <v>826</v>
      </c>
      <c r="T945" s="15" t="s">
        <v>89</v>
      </c>
      <c r="W945" s="16" t="str">
        <f t="shared" si="98"/>
        <v>EN_WON_19_c04_GTM</v>
      </c>
      <c r="X945" s="12">
        <f t="shared" si="99"/>
        <v>1769</v>
      </c>
      <c r="Y945" s="11">
        <f t="shared" si="100"/>
        <v>1769</v>
      </c>
      <c r="AC945" t="s">
        <v>26</v>
      </c>
      <c r="AD945" t="s">
        <v>5847</v>
      </c>
      <c r="AE945" t="s">
        <v>5848</v>
      </c>
      <c r="AF945" t="s">
        <v>29</v>
      </c>
      <c r="AG945" t="s">
        <v>30</v>
      </c>
      <c r="AH945" t="s">
        <v>31</v>
      </c>
      <c r="AK945" t="s">
        <v>5847</v>
      </c>
      <c r="AL945" t="s">
        <v>1967</v>
      </c>
      <c r="AM945" t="s">
        <v>5849</v>
      </c>
      <c r="AN945" s="8">
        <v>0.56925</v>
      </c>
      <c r="AO945">
        <v>199.694880401046</v>
      </c>
      <c r="AP945">
        <v>1910</v>
      </c>
      <c r="AQ945" s="9">
        <v>0.336</v>
      </c>
      <c r="AR945" t="s">
        <v>1751</v>
      </c>
      <c r="AT945" s="15" t="s">
        <v>89</v>
      </c>
      <c r="AW945" s="11" t="str">
        <f t="shared" si="101"/>
        <v>EN_WOF_34_c02_TTO</v>
      </c>
      <c r="AX945" s="11">
        <f t="shared" si="102"/>
        <v>1910</v>
      </c>
      <c r="AY945" s="11">
        <f t="shared" si="103"/>
        <v>1910</v>
      </c>
      <c r="AZ945" s="17">
        <v>3</v>
      </c>
      <c r="BA945">
        <f t="shared" si="104"/>
        <v>19.1</v>
      </c>
    </row>
    <row r="946" spans="2:53">
      <c r="B946" t="s">
        <v>26</v>
      </c>
      <c r="C946" t="s">
        <v>5850</v>
      </c>
      <c r="D946" t="s">
        <v>5851</v>
      </c>
      <c r="E946" t="s">
        <v>29</v>
      </c>
      <c r="F946" t="s">
        <v>30</v>
      </c>
      <c r="G946" t="s">
        <v>31</v>
      </c>
      <c r="J946" t="s">
        <v>5850</v>
      </c>
      <c r="K946" t="s">
        <v>1967</v>
      </c>
      <c r="L946" t="s">
        <v>5834</v>
      </c>
      <c r="M946" s="8">
        <v>4.377</v>
      </c>
      <c r="N946">
        <v>145.23264029167</v>
      </c>
      <c r="O946">
        <v>1769</v>
      </c>
      <c r="P946" s="9">
        <v>0.207</v>
      </c>
      <c r="Q946" t="s">
        <v>826</v>
      </c>
      <c r="T946" s="15" t="s">
        <v>89</v>
      </c>
      <c r="W946" s="16" t="str">
        <f t="shared" si="98"/>
        <v>EN_WON_21_c04_GTM</v>
      </c>
      <c r="X946" s="12">
        <f t="shared" si="99"/>
        <v>1769</v>
      </c>
      <c r="Y946" s="11">
        <f t="shared" si="100"/>
        <v>1769</v>
      </c>
      <c r="AC946" t="s">
        <v>26</v>
      </c>
      <c r="AD946" t="s">
        <v>5852</v>
      </c>
      <c r="AE946" t="s">
        <v>5853</v>
      </c>
      <c r="AF946" t="s">
        <v>29</v>
      </c>
      <c r="AG946" t="s">
        <v>30</v>
      </c>
      <c r="AH946" t="s">
        <v>31</v>
      </c>
      <c r="AK946" t="s">
        <v>5852</v>
      </c>
      <c r="AL946" t="s">
        <v>1967</v>
      </c>
      <c r="AM946" t="s">
        <v>5854</v>
      </c>
      <c r="AN946" s="8">
        <v>1.44825</v>
      </c>
      <c r="AO946">
        <v>199.694880401046</v>
      </c>
      <c r="AP946">
        <v>1514</v>
      </c>
      <c r="AQ946" s="9">
        <v>0.301</v>
      </c>
      <c r="AR946" t="s">
        <v>1755</v>
      </c>
      <c r="AT946" s="15" t="s">
        <v>80</v>
      </c>
      <c r="AW946" s="11" t="str">
        <f t="shared" si="101"/>
        <v>EN_WOF_30_c02_TUN</v>
      </c>
      <c r="AX946" s="11">
        <f t="shared" si="102"/>
        <v>1514</v>
      </c>
      <c r="AY946" s="11">
        <f t="shared" si="103"/>
        <v>1514</v>
      </c>
      <c r="AZ946" s="17">
        <v>3</v>
      </c>
      <c r="BA946">
        <f t="shared" si="104"/>
        <v>15.14</v>
      </c>
    </row>
    <row r="947" spans="2:53">
      <c r="B947" t="s">
        <v>26</v>
      </c>
      <c r="C947" t="s">
        <v>5855</v>
      </c>
      <c r="D947" t="s">
        <v>5856</v>
      </c>
      <c r="E947" t="s">
        <v>29</v>
      </c>
      <c r="F947" t="s">
        <v>30</v>
      </c>
      <c r="G947" t="s">
        <v>31</v>
      </c>
      <c r="J947" t="s">
        <v>5855</v>
      </c>
      <c r="K947" t="s">
        <v>1967</v>
      </c>
      <c r="L947" t="s">
        <v>5834</v>
      </c>
      <c r="M947" s="8">
        <v>4.26225</v>
      </c>
      <c r="N947">
        <v>145.23264029167</v>
      </c>
      <c r="O947">
        <v>1769</v>
      </c>
      <c r="P947" s="9">
        <v>0.234</v>
      </c>
      <c r="Q947" t="s">
        <v>826</v>
      </c>
      <c r="T947" s="15" t="s">
        <v>89</v>
      </c>
      <c r="W947" s="16" t="str">
        <f t="shared" si="98"/>
        <v>EN_WON_23_c04_GTM</v>
      </c>
      <c r="X947" s="12">
        <f t="shared" si="99"/>
        <v>1769</v>
      </c>
      <c r="Y947" s="11">
        <f t="shared" si="100"/>
        <v>1769</v>
      </c>
      <c r="AC947" t="s">
        <v>26</v>
      </c>
      <c r="AD947" t="s">
        <v>5857</v>
      </c>
      <c r="AE947" t="s">
        <v>5858</v>
      </c>
      <c r="AF947" t="s">
        <v>29</v>
      </c>
      <c r="AG947" t="s">
        <v>30</v>
      </c>
      <c r="AH947" t="s">
        <v>31</v>
      </c>
      <c r="AK947" t="s">
        <v>5857</v>
      </c>
      <c r="AL947" t="s">
        <v>1967</v>
      </c>
      <c r="AM947" t="s">
        <v>5854</v>
      </c>
      <c r="AN947" s="8">
        <v>59.748</v>
      </c>
      <c r="AO947">
        <v>199.694880401046</v>
      </c>
      <c r="AP947">
        <v>1514</v>
      </c>
      <c r="AQ947" s="9">
        <v>0.308154360815425</v>
      </c>
      <c r="AR947" t="s">
        <v>1755</v>
      </c>
      <c r="AT947" s="15" t="s">
        <v>80</v>
      </c>
      <c r="AW947" s="11" t="str">
        <f t="shared" si="101"/>
        <v>EN_WOF_31_c02_TUN</v>
      </c>
      <c r="AX947" s="11">
        <f t="shared" si="102"/>
        <v>1514</v>
      </c>
      <c r="AY947" s="11">
        <f t="shared" si="103"/>
        <v>1514</v>
      </c>
      <c r="AZ947" s="17">
        <v>3</v>
      </c>
      <c r="BA947">
        <f t="shared" si="104"/>
        <v>15.14</v>
      </c>
    </row>
    <row r="948" spans="2:53">
      <c r="B948" t="s">
        <v>26</v>
      </c>
      <c r="C948" t="s">
        <v>5859</v>
      </c>
      <c r="D948" t="s">
        <v>5860</v>
      </c>
      <c r="E948" t="s">
        <v>29</v>
      </c>
      <c r="F948" t="s">
        <v>30</v>
      </c>
      <c r="G948" t="s">
        <v>31</v>
      </c>
      <c r="J948" t="s">
        <v>5859</v>
      </c>
      <c r="K948" t="s">
        <v>1967</v>
      </c>
      <c r="L948" t="s">
        <v>5834</v>
      </c>
      <c r="M948" s="8">
        <v>1.59075</v>
      </c>
      <c r="N948">
        <v>145.23264029167</v>
      </c>
      <c r="O948">
        <v>1769</v>
      </c>
      <c r="P948" s="9">
        <v>0.261</v>
      </c>
      <c r="Q948" t="s">
        <v>826</v>
      </c>
      <c r="T948" s="15" t="s">
        <v>89</v>
      </c>
      <c r="W948" s="16" t="str">
        <f t="shared" si="98"/>
        <v>EN_WON_26_c04_GTM</v>
      </c>
      <c r="X948" s="12">
        <f t="shared" si="99"/>
        <v>1769</v>
      </c>
      <c r="Y948" s="11">
        <f t="shared" si="100"/>
        <v>1769</v>
      </c>
      <c r="AC948" t="s">
        <v>26</v>
      </c>
      <c r="AD948" t="s">
        <v>5861</v>
      </c>
      <c r="AE948" t="s">
        <v>5862</v>
      </c>
      <c r="AF948" t="s">
        <v>29</v>
      </c>
      <c r="AG948" t="s">
        <v>30</v>
      </c>
      <c r="AH948" t="s">
        <v>31</v>
      </c>
      <c r="AK948" t="s">
        <v>5861</v>
      </c>
      <c r="AL948" t="s">
        <v>1967</v>
      </c>
      <c r="AM948" t="s">
        <v>5854</v>
      </c>
      <c r="AN948" s="8">
        <v>32.9325</v>
      </c>
      <c r="AO948">
        <v>199.694880401046</v>
      </c>
      <c r="AP948">
        <v>1514</v>
      </c>
      <c r="AQ948" s="9">
        <v>0.319940765201549</v>
      </c>
      <c r="AR948" t="s">
        <v>1755</v>
      </c>
      <c r="AT948" s="15" t="s">
        <v>80</v>
      </c>
      <c r="AW948" s="11" t="str">
        <f t="shared" si="101"/>
        <v>EN_WOF_32_c02_TUN</v>
      </c>
      <c r="AX948" s="11">
        <f t="shared" si="102"/>
        <v>1514</v>
      </c>
      <c r="AY948" s="11">
        <f t="shared" si="103"/>
        <v>1514</v>
      </c>
      <c r="AZ948" s="17">
        <v>3</v>
      </c>
      <c r="BA948">
        <f t="shared" si="104"/>
        <v>15.14</v>
      </c>
    </row>
    <row r="949" spans="2:53">
      <c r="B949" t="s">
        <v>26</v>
      </c>
      <c r="C949" t="s">
        <v>5863</v>
      </c>
      <c r="D949" t="s">
        <v>5864</v>
      </c>
      <c r="E949" t="s">
        <v>29</v>
      </c>
      <c r="F949" t="s">
        <v>30</v>
      </c>
      <c r="G949" t="s">
        <v>31</v>
      </c>
      <c r="J949" t="s">
        <v>5863</v>
      </c>
      <c r="K949" t="s">
        <v>1967</v>
      </c>
      <c r="L949" t="s">
        <v>5865</v>
      </c>
      <c r="M949" s="8">
        <v>2.526</v>
      </c>
      <c r="N949">
        <v>145.23264029167</v>
      </c>
      <c r="O949">
        <v>1575</v>
      </c>
      <c r="P949" s="9">
        <v>0.220943586698337</v>
      </c>
      <c r="Q949" t="s">
        <v>832</v>
      </c>
      <c r="T949" s="15" t="s">
        <v>89</v>
      </c>
      <c r="W949" s="16" t="str">
        <f t="shared" si="98"/>
        <v>EN_WON_22_c04_GUY</v>
      </c>
      <c r="X949" s="12">
        <f t="shared" si="99"/>
        <v>1575</v>
      </c>
      <c r="Y949" s="11">
        <f t="shared" si="100"/>
        <v>1575</v>
      </c>
      <c r="AC949" t="s">
        <v>26</v>
      </c>
      <c r="AD949" t="s">
        <v>5866</v>
      </c>
      <c r="AE949" t="s">
        <v>5867</v>
      </c>
      <c r="AF949" t="s">
        <v>29</v>
      </c>
      <c r="AG949" t="s">
        <v>30</v>
      </c>
      <c r="AH949" t="s">
        <v>31</v>
      </c>
      <c r="AK949" t="s">
        <v>5866</v>
      </c>
      <c r="AL949" t="s">
        <v>1967</v>
      </c>
      <c r="AM949" t="s">
        <v>5854</v>
      </c>
      <c r="AN949" s="8">
        <v>28.4805</v>
      </c>
      <c r="AO949">
        <v>199.694880401046</v>
      </c>
      <c r="AP949">
        <v>1514</v>
      </c>
      <c r="AQ949" s="9">
        <v>0.330840311792279</v>
      </c>
      <c r="AR949" t="s">
        <v>1755</v>
      </c>
      <c r="AT949" s="15" t="s">
        <v>80</v>
      </c>
      <c r="AW949" s="11" t="str">
        <f t="shared" si="101"/>
        <v>EN_WOF_33_c02_TUN</v>
      </c>
      <c r="AX949" s="11">
        <f t="shared" si="102"/>
        <v>1514</v>
      </c>
      <c r="AY949" s="11">
        <f t="shared" si="103"/>
        <v>1514</v>
      </c>
      <c r="AZ949" s="17">
        <v>3</v>
      </c>
      <c r="BA949">
        <f t="shared" si="104"/>
        <v>15.14</v>
      </c>
    </row>
    <row r="950" spans="2:53">
      <c r="B950" t="s">
        <v>26</v>
      </c>
      <c r="C950" t="s">
        <v>5868</v>
      </c>
      <c r="D950" t="s">
        <v>5869</v>
      </c>
      <c r="E950" t="s">
        <v>29</v>
      </c>
      <c r="F950" t="s">
        <v>30</v>
      </c>
      <c r="G950" t="s">
        <v>31</v>
      </c>
      <c r="J950" t="s">
        <v>5868</v>
      </c>
      <c r="K950" t="s">
        <v>1967</v>
      </c>
      <c r="L950" t="s">
        <v>5865</v>
      </c>
      <c r="M950" s="8">
        <v>1.3125</v>
      </c>
      <c r="N950">
        <v>145.23264029167</v>
      </c>
      <c r="O950">
        <v>1575</v>
      </c>
      <c r="P950" s="9">
        <v>0.234</v>
      </c>
      <c r="Q950" t="s">
        <v>832</v>
      </c>
      <c r="T950" s="15" t="s">
        <v>89</v>
      </c>
      <c r="W950" s="16" t="str">
        <f t="shared" si="98"/>
        <v>EN_WON_23_c04_GUY</v>
      </c>
      <c r="X950" s="12">
        <f t="shared" si="99"/>
        <v>1575</v>
      </c>
      <c r="Y950" s="11">
        <f t="shared" si="100"/>
        <v>1575</v>
      </c>
      <c r="AC950" t="s">
        <v>26</v>
      </c>
      <c r="AD950" t="s">
        <v>5870</v>
      </c>
      <c r="AE950" t="s">
        <v>5871</v>
      </c>
      <c r="AF950" t="s">
        <v>29</v>
      </c>
      <c r="AG950" t="s">
        <v>30</v>
      </c>
      <c r="AH950" t="s">
        <v>31</v>
      </c>
      <c r="AK950" t="s">
        <v>5870</v>
      </c>
      <c r="AL950" t="s">
        <v>1967</v>
      </c>
      <c r="AM950" t="s">
        <v>5854</v>
      </c>
      <c r="AN950" s="8">
        <v>17.7705</v>
      </c>
      <c r="AO950">
        <v>199.694880401046</v>
      </c>
      <c r="AP950">
        <v>1514</v>
      </c>
      <c r="AQ950" s="9">
        <v>0.339752342365156</v>
      </c>
      <c r="AR950" t="s">
        <v>1755</v>
      </c>
      <c r="AT950" s="15" t="s">
        <v>80</v>
      </c>
      <c r="AW950" s="11" t="str">
        <f t="shared" si="101"/>
        <v>EN_WOF_34_c02_TUN</v>
      </c>
      <c r="AX950" s="11">
        <f t="shared" si="102"/>
        <v>1514</v>
      </c>
      <c r="AY950" s="11">
        <f t="shared" si="103"/>
        <v>1514</v>
      </c>
      <c r="AZ950" s="17">
        <v>3</v>
      </c>
      <c r="BA950">
        <f t="shared" si="104"/>
        <v>15.14</v>
      </c>
    </row>
    <row r="951" spans="2:53">
      <c r="B951" t="s">
        <v>26</v>
      </c>
      <c r="C951" t="s">
        <v>5872</v>
      </c>
      <c r="D951" t="s">
        <v>5873</v>
      </c>
      <c r="E951" t="s">
        <v>29</v>
      </c>
      <c r="F951" t="s">
        <v>30</v>
      </c>
      <c r="G951" t="s">
        <v>31</v>
      </c>
      <c r="J951" t="s">
        <v>5872</v>
      </c>
      <c r="K951" t="s">
        <v>1967</v>
      </c>
      <c r="L951" t="s">
        <v>5865</v>
      </c>
      <c r="M951" s="8">
        <v>1.752</v>
      </c>
      <c r="N951">
        <v>145.23264029167</v>
      </c>
      <c r="O951">
        <v>1575</v>
      </c>
      <c r="P951" s="9">
        <v>0.241</v>
      </c>
      <c r="Q951" t="s">
        <v>832</v>
      </c>
      <c r="T951" s="15" t="s">
        <v>89</v>
      </c>
      <c r="W951" s="16" t="str">
        <f t="shared" si="98"/>
        <v>EN_WON_24_c04_GUY</v>
      </c>
      <c r="X951" s="12">
        <f t="shared" si="99"/>
        <v>1575</v>
      </c>
      <c r="Y951" s="11">
        <f t="shared" si="100"/>
        <v>1575</v>
      </c>
      <c r="AC951" t="s">
        <v>26</v>
      </c>
      <c r="AD951" t="s">
        <v>5874</v>
      </c>
      <c r="AE951" t="s">
        <v>5875</v>
      </c>
      <c r="AF951" t="s">
        <v>29</v>
      </c>
      <c r="AG951" t="s">
        <v>30</v>
      </c>
      <c r="AH951" t="s">
        <v>31</v>
      </c>
      <c r="AK951" t="s">
        <v>5874</v>
      </c>
      <c r="AL951" t="s">
        <v>1967</v>
      </c>
      <c r="AM951" t="s">
        <v>5854</v>
      </c>
      <c r="AN951" s="8">
        <v>34.06425</v>
      </c>
      <c r="AO951">
        <v>199.694880401046</v>
      </c>
      <c r="AP951">
        <v>1514</v>
      </c>
      <c r="AQ951" s="9">
        <v>0.349162024703318</v>
      </c>
      <c r="AR951" t="s">
        <v>1755</v>
      </c>
      <c r="AT951" s="15" t="s">
        <v>80</v>
      </c>
      <c r="AW951" s="11" t="str">
        <f t="shared" si="101"/>
        <v>EN_WOF_35_c02_TUN</v>
      </c>
      <c r="AX951" s="11">
        <f t="shared" si="102"/>
        <v>1514</v>
      </c>
      <c r="AY951" s="11">
        <f t="shared" si="103"/>
        <v>1514</v>
      </c>
      <c r="AZ951" s="17">
        <v>3</v>
      </c>
      <c r="BA951">
        <f t="shared" si="104"/>
        <v>15.14</v>
      </c>
    </row>
    <row r="952" spans="2:53">
      <c r="B952" t="s">
        <v>26</v>
      </c>
      <c r="C952" t="s">
        <v>5876</v>
      </c>
      <c r="D952" t="s">
        <v>5877</v>
      </c>
      <c r="E952" t="s">
        <v>29</v>
      </c>
      <c r="F952" t="s">
        <v>30</v>
      </c>
      <c r="G952" t="s">
        <v>31</v>
      </c>
      <c r="J952" t="s">
        <v>5876</v>
      </c>
      <c r="K952" t="s">
        <v>1967</v>
      </c>
      <c r="L952" t="s">
        <v>5865</v>
      </c>
      <c r="M952" s="8">
        <v>0.8925</v>
      </c>
      <c r="N952">
        <v>105.747516212372</v>
      </c>
      <c r="O952">
        <v>1575</v>
      </c>
      <c r="P952" s="9">
        <v>0.253</v>
      </c>
      <c r="Q952" t="s">
        <v>832</v>
      </c>
      <c r="T952" s="15" t="s">
        <v>89</v>
      </c>
      <c r="W952" s="16" t="str">
        <f t="shared" si="98"/>
        <v>EN_WON_25_c03_GUY</v>
      </c>
      <c r="X952" s="12">
        <f t="shared" si="99"/>
        <v>1575</v>
      </c>
      <c r="Y952" s="11">
        <f t="shared" si="100"/>
        <v>1575</v>
      </c>
      <c r="AC952" t="s">
        <v>26</v>
      </c>
      <c r="AD952" t="s">
        <v>5878</v>
      </c>
      <c r="AE952" t="s">
        <v>5879</v>
      </c>
      <c r="AF952" t="s">
        <v>29</v>
      </c>
      <c r="AG952" t="s">
        <v>30</v>
      </c>
      <c r="AH952" t="s">
        <v>31</v>
      </c>
      <c r="AK952" t="s">
        <v>5878</v>
      </c>
      <c r="AL952" t="s">
        <v>1967</v>
      </c>
      <c r="AM952" t="s">
        <v>5854</v>
      </c>
      <c r="AN952" s="8">
        <v>36.1545</v>
      </c>
      <c r="AO952">
        <v>199.694880401046</v>
      </c>
      <c r="AP952">
        <v>1514</v>
      </c>
      <c r="AQ952" s="9">
        <v>0.3588913205825</v>
      </c>
      <c r="AR952" t="s">
        <v>1755</v>
      </c>
      <c r="AT952" s="15" t="s">
        <v>80</v>
      </c>
      <c r="AW952" s="11" t="str">
        <f t="shared" si="101"/>
        <v>EN_WOF_36_c02_TUN</v>
      </c>
      <c r="AX952" s="11">
        <f t="shared" si="102"/>
        <v>1514</v>
      </c>
      <c r="AY952" s="11">
        <f t="shared" si="103"/>
        <v>1514</v>
      </c>
      <c r="AZ952" s="17">
        <v>3</v>
      </c>
      <c r="BA952">
        <f t="shared" si="104"/>
        <v>15.14</v>
      </c>
    </row>
    <row r="953" spans="2:53">
      <c r="B953" t="s">
        <v>26</v>
      </c>
      <c r="C953" t="s">
        <v>5880</v>
      </c>
      <c r="D953" t="s">
        <v>5881</v>
      </c>
      <c r="E953" t="s">
        <v>29</v>
      </c>
      <c r="F953" t="s">
        <v>30</v>
      </c>
      <c r="G953" t="s">
        <v>31</v>
      </c>
      <c r="J953" t="s">
        <v>5880</v>
      </c>
      <c r="K953" t="s">
        <v>1967</v>
      </c>
      <c r="L953" t="s">
        <v>5865</v>
      </c>
      <c r="M953" s="8">
        <v>1.64625</v>
      </c>
      <c r="N953">
        <v>80.7856561622413</v>
      </c>
      <c r="O953">
        <v>1575</v>
      </c>
      <c r="P953" s="9">
        <v>0.26</v>
      </c>
      <c r="Q953" t="s">
        <v>832</v>
      </c>
      <c r="T953" s="15" t="s">
        <v>89</v>
      </c>
      <c r="W953" s="16" t="str">
        <f t="shared" si="98"/>
        <v>EN_WON_26_c02_GUY</v>
      </c>
      <c r="X953" s="12">
        <f t="shared" si="99"/>
        <v>1575</v>
      </c>
      <c r="Y953" s="11">
        <f t="shared" si="100"/>
        <v>1575</v>
      </c>
      <c r="AC953" t="s">
        <v>26</v>
      </c>
      <c r="AD953" t="s">
        <v>5882</v>
      </c>
      <c r="AE953" t="s">
        <v>5883</v>
      </c>
      <c r="AF953" t="s">
        <v>29</v>
      </c>
      <c r="AG953" t="s">
        <v>30</v>
      </c>
      <c r="AH953" t="s">
        <v>31</v>
      </c>
      <c r="AK953" t="s">
        <v>5882</v>
      </c>
      <c r="AL953" t="s">
        <v>1967</v>
      </c>
      <c r="AM953" t="s">
        <v>5854</v>
      </c>
      <c r="AN953" s="8">
        <v>21.102</v>
      </c>
      <c r="AO953">
        <v>199.694880401046</v>
      </c>
      <c r="AP953">
        <v>1514</v>
      </c>
      <c r="AQ953" s="9">
        <v>0.368313548478817</v>
      </c>
      <c r="AR953" t="s">
        <v>1755</v>
      </c>
      <c r="AT953" s="15" t="s">
        <v>80</v>
      </c>
      <c r="AW953" s="11" t="str">
        <f t="shared" si="101"/>
        <v>EN_WOF_37_c02_TUN</v>
      </c>
      <c r="AX953" s="11">
        <f t="shared" si="102"/>
        <v>1514</v>
      </c>
      <c r="AY953" s="11">
        <f t="shared" si="103"/>
        <v>1514</v>
      </c>
      <c r="AZ953" s="17">
        <v>3</v>
      </c>
      <c r="BA953">
        <f t="shared" si="104"/>
        <v>15.14</v>
      </c>
    </row>
    <row r="954" spans="2:53">
      <c r="B954" t="s">
        <v>26</v>
      </c>
      <c r="C954" t="s">
        <v>5884</v>
      </c>
      <c r="D954" t="s">
        <v>5885</v>
      </c>
      <c r="E954" t="s">
        <v>29</v>
      </c>
      <c r="F954" t="s">
        <v>30</v>
      </c>
      <c r="G954" t="s">
        <v>31</v>
      </c>
      <c r="J954" t="s">
        <v>5884</v>
      </c>
      <c r="K954" t="s">
        <v>1967</v>
      </c>
      <c r="L954" t="s">
        <v>3846</v>
      </c>
      <c r="M954" s="8">
        <v>10.68975</v>
      </c>
      <c r="N954">
        <v>80.7856561622413</v>
      </c>
      <c r="O954">
        <v>1769</v>
      </c>
      <c r="P954" s="9">
        <v>0.27987665754578</v>
      </c>
      <c r="Q954" t="s">
        <v>842</v>
      </c>
      <c r="T954" s="15" t="s">
        <v>89</v>
      </c>
      <c r="W954" s="16" t="str">
        <f t="shared" si="98"/>
        <v>EN_WON_28_c02_HND</v>
      </c>
      <c r="X954" s="12">
        <f t="shared" si="99"/>
        <v>1769</v>
      </c>
      <c r="Y954" s="11">
        <f t="shared" si="100"/>
        <v>1769</v>
      </c>
      <c r="AC954" t="s">
        <v>26</v>
      </c>
      <c r="AD954" t="s">
        <v>5886</v>
      </c>
      <c r="AE954" t="s">
        <v>5887</v>
      </c>
      <c r="AF954" t="s">
        <v>29</v>
      </c>
      <c r="AG954" t="s">
        <v>30</v>
      </c>
      <c r="AH954" t="s">
        <v>31</v>
      </c>
      <c r="AK954" t="s">
        <v>5886</v>
      </c>
      <c r="AL954" t="s">
        <v>1967</v>
      </c>
      <c r="AM954" t="s">
        <v>5854</v>
      </c>
      <c r="AN954" s="8">
        <v>8.43975</v>
      </c>
      <c r="AO954">
        <v>199.694880401046</v>
      </c>
      <c r="AP954">
        <v>1514</v>
      </c>
      <c r="AQ954" s="9">
        <v>0.378456056162801</v>
      </c>
      <c r="AR954" t="s">
        <v>1755</v>
      </c>
      <c r="AT954" s="15" t="s">
        <v>80</v>
      </c>
      <c r="AW954" s="11" t="str">
        <f t="shared" si="101"/>
        <v>EN_WOF_38_c02_TUN</v>
      </c>
      <c r="AX954" s="11">
        <f t="shared" si="102"/>
        <v>1514</v>
      </c>
      <c r="AY954" s="11">
        <f t="shared" si="103"/>
        <v>1514</v>
      </c>
      <c r="AZ954" s="17">
        <v>3</v>
      </c>
      <c r="BA954">
        <f t="shared" si="104"/>
        <v>15.14</v>
      </c>
    </row>
    <row r="955" spans="2:53">
      <c r="B955" t="s">
        <v>26</v>
      </c>
      <c r="C955" t="s">
        <v>5888</v>
      </c>
      <c r="D955" t="s">
        <v>5889</v>
      </c>
      <c r="E955" t="s">
        <v>29</v>
      </c>
      <c r="F955" t="s">
        <v>30</v>
      </c>
      <c r="G955" t="s">
        <v>31</v>
      </c>
      <c r="J955" t="s">
        <v>5888</v>
      </c>
      <c r="K955" t="s">
        <v>1967</v>
      </c>
      <c r="L955" t="s">
        <v>3846</v>
      </c>
      <c r="M955" s="8">
        <v>5.385</v>
      </c>
      <c r="N955">
        <v>80.7856561622413</v>
      </c>
      <c r="O955">
        <v>1769</v>
      </c>
      <c r="P955" s="9">
        <v>0.293</v>
      </c>
      <c r="Q955" t="s">
        <v>842</v>
      </c>
      <c r="T955" s="15" t="s">
        <v>89</v>
      </c>
      <c r="W955" s="16" t="str">
        <f t="shared" si="98"/>
        <v>EN_WON_29_c02_HND</v>
      </c>
      <c r="X955" s="12">
        <f t="shared" si="99"/>
        <v>1769</v>
      </c>
      <c r="Y955" s="11">
        <f t="shared" si="100"/>
        <v>1769</v>
      </c>
      <c r="AC955" t="s">
        <v>26</v>
      </c>
      <c r="AD955" t="s">
        <v>5890</v>
      </c>
      <c r="AE955" t="s">
        <v>5891</v>
      </c>
      <c r="AF955" t="s">
        <v>29</v>
      </c>
      <c r="AG955" t="s">
        <v>30</v>
      </c>
      <c r="AH955" t="s">
        <v>31</v>
      </c>
      <c r="AK955" t="s">
        <v>5890</v>
      </c>
      <c r="AL955" t="s">
        <v>1967</v>
      </c>
      <c r="AM955" t="s">
        <v>5892</v>
      </c>
      <c r="AN955" s="8">
        <v>6.8205</v>
      </c>
      <c r="AO955">
        <v>199.694880401046</v>
      </c>
      <c r="AP955">
        <v>1683</v>
      </c>
      <c r="AQ955" s="9">
        <v>0.304</v>
      </c>
      <c r="AR955" t="s">
        <v>1761</v>
      </c>
      <c r="AT955" s="15" t="s">
        <v>80</v>
      </c>
      <c r="AW955" s="11" t="str">
        <f t="shared" si="101"/>
        <v>EN_WOF_30_c02_TUR</v>
      </c>
      <c r="AX955" s="11">
        <f t="shared" si="102"/>
        <v>1683</v>
      </c>
      <c r="AY955" s="11">
        <f t="shared" si="103"/>
        <v>1683</v>
      </c>
      <c r="AZ955" s="17">
        <v>3</v>
      </c>
      <c r="BA955">
        <f t="shared" si="104"/>
        <v>16.83</v>
      </c>
    </row>
    <row r="956" spans="2:53">
      <c r="B956" t="s">
        <v>26</v>
      </c>
      <c r="C956" t="s">
        <v>5893</v>
      </c>
      <c r="D956" t="s">
        <v>5894</v>
      </c>
      <c r="E956" t="s">
        <v>29</v>
      </c>
      <c r="F956" t="s">
        <v>30</v>
      </c>
      <c r="G956" t="s">
        <v>31</v>
      </c>
      <c r="J956" t="s">
        <v>5893</v>
      </c>
      <c r="K956" t="s">
        <v>1967</v>
      </c>
      <c r="L956" t="s">
        <v>3846</v>
      </c>
      <c r="M956" s="8">
        <v>9.47325</v>
      </c>
      <c r="N956">
        <v>80.7856561622413</v>
      </c>
      <c r="O956">
        <v>1769</v>
      </c>
      <c r="P956" s="9">
        <v>0.309917187871111</v>
      </c>
      <c r="Q956" t="s">
        <v>842</v>
      </c>
      <c r="T956" s="15" t="s">
        <v>89</v>
      </c>
      <c r="W956" s="16" t="str">
        <f t="shared" si="98"/>
        <v>EN_WON_31_c02_HND</v>
      </c>
      <c r="X956" s="12">
        <f t="shared" si="99"/>
        <v>1769</v>
      </c>
      <c r="Y956" s="11">
        <f t="shared" si="100"/>
        <v>1769</v>
      </c>
      <c r="AC956" t="s">
        <v>26</v>
      </c>
      <c r="AD956" t="s">
        <v>5895</v>
      </c>
      <c r="AE956" t="s">
        <v>5896</v>
      </c>
      <c r="AF956" t="s">
        <v>29</v>
      </c>
      <c r="AG956" t="s">
        <v>30</v>
      </c>
      <c r="AH956" t="s">
        <v>31</v>
      </c>
      <c r="AK956" t="s">
        <v>5895</v>
      </c>
      <c r="AL956" t="s">
        <v>1967</v>
      </c>
      <c r="AM956" t="s">
        <v>5892</v>
      </c>
      <c r="AN956" s="8">
        <v>7.03425</v>
      </c>
      <c r="AO956">
        <v>199.694880401046</v>
      </c>
      <c r="AP956">
        <v>1683</v>
      </c>
      <c r="AQ956" s="9">
        <v>0.310576074208338</v>
      </c>
      <c r="AR956" t="s">
        <v>1761</v>
      </c>
      <c r="AT956" s="15" t="s">
        <v>80</v>
      </c>
      <c r="AW956" s="11" t="str">
        <f t="shared" si="101"/>
        <v>EN_WOF_31_c02_TUR</v>
      </c>
      <c r="AX956" s="11">
        <f t="shared" si="102"/>
        <v>1683</v>
      </c>
      <c r="AY956" s="11">
        <f t="shared" si="103"/>
        <v>1683</v>
      </c>
      <c r="AZ956" s="17">
        <v>3</v>
      </c>
      <c r="BA956">
        <f t="shared" si="104"/>
        <v>16.83</v>
      </c>
    </row>
    <row r="957" spans="2:53">
      <c r="B957" t="s">
        <v>26</v>
      </c>
      <c r="C957" t="s">
        <v>5897</v>
      </c>
      <c r="D957" t="s">
        <v>5898</v>
      </c>
      <c r="E957" t="s">
        <v>29</v>
      </c>
      <c r="F957" t="s">
        <v>30</v>
      </c>
      <c r="G957" t="s">
        <v>31</v>
      </c>
      <c r="J957" t="s">
        <v>5897</v>
      </c>
      <c r="K957" t="s">
        <v>1967</v>
      </c>
      <c r="L957" t="s">
        <v>3846</v>
      </c>
      <c r="M957" s="8">
        <v>3.74175</v>
      </c>
      <c r="N957">
        <v>0</v>
      </c>
      <c r="O957">
        <v>1769</v>
      </c>
      <c r="P957" s="9">
        <v>0.317</v>
      </c>
      <c r="Q957" t="s">
        <v>842</v>
      </c>
      <c r="T957" s="15" t="s">
        <v>89</v>
      </c>
      <c r="W957" s="16" t="str">
        <f t="shared" si="98"/>
        <v>EN_WON_32_c01_HND</v>
      </c>
      <c r="X957" s="12">
        <f t="shared" si="99"/>
        <v>1769</v>
      </c>
      <c r="Y957" s="11">
        <f t="shared" si="100"/>
        <v>1769</v>
      </c>
      <c r="AC957" t="s">
        <v>26</v>
      </c>
      <c r="AD957" t="s">
        <v>5899</v>
      </c>
      <c r="AE957" t="s">
        <v>5900</v>
      </c>
      <c r="AF957" t="s">
        <v>29</v>
      </c>
      <c r="AG957" t="s">
        <v>30</v>
      </c>
      <c r="AH957" t="s">
        <v>31</v>
      </c>
      <c r="AK957" t="s">
        <v>5899</v>
      </c>
      <c r="AL957" t="s">
        <v>1967</v>
      </c>
      <c r="AM957" t="s">
        <v>5892</v>
      </c>
      <c r="AN957" s="8">
        <v>9.9225</v>
      </c>
      <c r="AO957">
        <v>199.694880401046</v>
      </c>
      <c r="AP957">
        <v>1683</v>
      </c>
      <c r="AQ957" s="9">
        <v>0.320668631897203</v>
      </c>
      <c r="AR957" t="s">
        <v>1761</v>
      </c>
      <c r="AT957" s="15" t="s">
        <v>80</v>
      </c>
      <c r="AW957" s="11" t="str">
        <f t="shared" si="101"/>
        <v>EN_WOF_32_c02_TUR</v>
      </c>
      <c r="AX957" s="11">
        <f t="shared" si="102"/>
        <v>1683</v>
      </c>
      <c r="AY957" s="11">
        <f t="shared" si="103"/>
        <v>1683</v>
      </c>
      <c r="AZ957" s="17">
        <v>3</v>
      </c>
      <c r="BA957">
        <f t="shared" si="104"/>
        <v>16.83</v>
      </c>
    </row>
    <row r="958" spans="2:53">
      <c r="B958" t="s">
        <v>26</v>
      </c>
      <c r="C958" t="s">
        <v>5901</v>
      </c>
      <c r="D958" t="s">
        <v>5902</v>
      </c>
      <c r="E958" t="s">
        <v>29</v>
      </c>
      <c r="F958" t="s">
        <v>30</v>
      </c>
      <c r="G958" t="s">
        <v>31</v>
      </c>
      <c r="J958" t="s">
        <v>5901</v>
      </c>
      <c r="K958" t="s">
        <v>1967</v>
      </c>
      <c r="L958" t="s">
        <v>3863</v>
      </c>
      <c r="M958" s="8">
        <v>1.923</v>
      </c>
      <c r="N958">
        <v>80.7856561622413</v>
      </c>
      <c r="O958">
        <v>1909</v>
      </c>
      <c r="P958" s="9">
        <v>0.177869344773791</v>
      </c>
      <c r="Q958" t="s">
        <v>852</v>
      </c>
      <c r="T958" s="15" t="s">
        <v>69</v>
      </c>
      <c r="W958" s="16" t="str">
        <f t="shared" si="98"/>
        <v>EN_WON_18_c02_HRV</v>
      </c>
      <c r="X958" s="12">
        <f t="shared" si="99"/>
        <v>1909</v>
      </c>
      <c r="Y958" s="11">
        <f t="shared" si="100"/>
        <v>1909</v>
      </c>
      <c r="AC958" t="s">
        <v>26</v>
      </c>
      <c r="AD958" t="s">
        <v>5903</v>
      </c>
      <c r="AE958" t="s">
        <v>5904</v>
      </c>
      <c r="AF958" t="s">
        <v>29</v>
      </c>
      <c r="AG958" t="s">
        <v>30</v>
      </c>
      <c r="AH958" t="s">
        <v>31</v>
      </c>
      <c r="AK958" t="s">
        <v>5903</v>
      </c>
      <c r="AL958" t="s">
        <v>1967</v>
      </c>
      <c r="AM958" t="s">
        <v>5892</v>
      </c>
      <c r="AN958" s="8">
        <v>4.059</v>
      </c>
      <c r="AO958">
        <v>199.694880401046</v>
      </c>
      <c r="AP958">
        <v>1683</v>
      </c>
      <c r="AQ958" s="9">
        <v>0.326</v>
      </c>
      <c r="AR958" t="s">
        <v>1761</v>
      </c>
      <c r="AT958" s="15" t="s">
        <v>80</v>
      </c>
      <c r="AW958" s="11" t="str">
        <f t="shared" si="101"/>
        <v>EN_WOF_33_c02_TUR</v>
      </c>
      <c r="AX958" s="11">
        <f t="shared" si="102"/>
        <v>1683</v>
      </c>
      <c r="AY958" s="11">
        <f t="shared" si="103"/>
        <v>1683</v>
      </c>
      <c r="AZ958" s="17">
        <v>3</v>
      </c>
      <c r="BA958">
        <f t="shared" si="104"/>
        <v>16.83</v>
      </c>
    </row>
    <row r="959" spans="2:53">
      <c r="B959" t="s">
        <v>26</v>
      </c>
      <c r="C959" t="s">
        <v>5905</v>
      </c>
      <c r="D959" t="s">
        <v>5906</v>
      </c>
      <c r="E959" t="s">
        <v>29</v>
      </c>
      <c r="F959" t="s">
        <v>30</v>
      </c>
      <c r="G959" t="s">
        <v>31</v>
      </c>
      <c r="J959" t="s">
        <v>5905</v>
      </c>
      <c r="K959" t="s">
        <v>1967</v>
      </c>
      <c r="L959" t="s">
        <v>3863</v>
      </c>
      <c r="M959" s="8">
        <v>0.00825</v>
      </c>
      <c r="N959">
        <v>105.747516212372</v>
      </c>
      <c r="O959">
        <v>1909</v>
      </c>
      <c r="P959" s="9">
        <v>0.184</v>
      </c>
      <c r="Q959" t="s">
        <v>852</v>
      </c>
      <c r="T959" s="15" t="s">
        <v>69</v>
      </c>
      <c r="W959" s="16" t="str">
        <f t="shared" si="98"/>
        <v>EN_WON_18_c03_HRV</v>
      </c>
      <c r="X959" s="12">
        <f t="shared" si="99"/>
        <v>1909</v>
      </c>
      <c r="Y959" s="11">
        <f t="shared" si="100"/>
        <v>1909</v>
      </c>
      <c r="AC959" t="s">
        <v>26</v>
      </c>
      <c r="AD959" t="s">
        <v>5907</v>
      </c>
      <c r="AE959" t="s">
        <v>5908</v>
      </c>
      <c r="AF959" t="s">
        <v>29</v>
      </c>
      <c r="AG959" t="s">
        <v>30</v>
      </c>
      <c r="AH959" t="s">
        <v>31</v>
      </c>
      <c r="AK959" t="s">
        <v>5907</v>
      </c>
      <c r="AL959" t="s">
        <v>1967</v>
      </c>
      <c r="AM959" t="s">
        <v>5892</v>
      </c>
      <c r="AN959" s="8">
        <v>5.25075</v>
      </c>
      <c r="AO959">
        <v>199.694880401046</v>
      </c>
      <c r="AP959">
        <v>1683</v>
      </c>
      <c r="AQ959" s="9">
        <v>0.337409084416512</v>
      </c>
      <c r="AR959" t="s">
        <v>1761</v>
      </c>
      <c r="AT959" s="15" t="s">
        <v>80</v>
      </c>
      <c r="AW959" s="11" t="str">
        <f t="shared" si="101"/>
        <v>EN_WOF_34_c02_TUR</v>
      </c>
      <c r="AX959" s="11">
        <f t="shared" si="102"/>
        <v>1683</v>
      </c>
      <c r="AY959" s="11">
        <f t="shared" si="103"/>
        <v>1683</v>
      </c>
      <c r="AZ959" s="17">
        <v>3</v>
      </c>
      <c r="BA959">
        <f t="shared" si="104"/>
        <v>16.83</v>
      </c>
    </row>
    <row r="960" spans="2:53">
      <c r="B960" t="s">
        <v>26</v>
      </c>
      <c r="C960" t="s">
        <v>5909</v>
      </c>
      <c r="D960" t="s">
        <v>5910</v>
      </c>
      <c r="E960" t="s">
        <v>29</v>
      </c>
      <c r="F960" t="s">
        <v>30</v>
      </c>
      <c r="G960" t="s">
        <v>31</v>
      </c>
      <c r="J960" t="s">
        <v>5909</v>
      </c>
      <c r="K960" t="s">
        <v>1967</v>
      </c>
      <c r="L960" t="s">
        <v>3863</v>
      </c>
      <c r="M960" s="8">
        <v>3.69975</v>
      </c>
      <c r="N960">
        <v>80.7856561622413</v>
      </c>
      <c r="O960">
        <v>1909</v>
      </c>
      <c r="P960" s="9">
        <v>0.188319278329617</v>
      </c>
      <c r="Q960" t="s">
        <v>852</v>
      </c>
      <c r="T960" s="15" t="s">
        <v>69</v>
      </c>
      <c r="W960" s="16" t="str">
        <f t="shared" si="98"/>
        <v>EN_WON_19_c02_HRV</v>
      </c>
      <c r="X960" s="12">
        <f t="shared" si="99"/>
        <v>1909</v>
      </c>
      <c r="Y960" s="11">
        <f t="shared" si="100"/>
        <v>1909</v>
      </c>
      <c r="AC960" t="s">
        <v>26</v>
      </c>
      <c r="AD960" t="s">
        <v>5911</v>
      </c>
      <c r="AE960" t="s">
        <v>5912</v>
      </c>
      <c r="AF960" t="s">
        <v>29</v>
      </c>
      <c r="AG960" t="s">
        <v>30</v>
      </c>
      <c r="AH960" t="s">
        <v>31</v>
      </c>
      <c r="AK960" t="s">
        <v>5911</v>
      </c>
      <c r="AL960" t="s">
        <v>1967</v>
      </c>
      <c r="AM960" t="s">
        <v>5892</v>
      </c>
      <c r="AN960" s="8">
        <v>8.30775</v>
      </c>
      <c r="AO960">
        <v>199.694880401046</v>
      </c>
      <c r="AP960">
        <v>1683</v>
      </c>
      <c r="AQ960" s="9">
        <v>0.352210345761488</v>
      </c>
      <c r="AR960" t="s">
        <v>1761</v>
      </c>
      <c r="AT960" s="15" t="s">
        <v>80</v>
      </c>
      <c r="AW960" s="11" t="str">
        <f t="shared" si="101"/>
        <v>EN_WOF_35_c02_TUR</v>
      </c>
      <c r="AX960" s="11">
        <f t="shared" si="102"/>
        <v>1683</v>
      </c>
      <c r="AY960" s="11">
        <f t="shared" si="103"/>
        <v>1683</v>
      </c>
      <c r="AZ960" s="17">
        <v>3</v>
      </c>
      <c r="BA960">
        <f t="shared" si="104"/>
        <v>16.83</v>
      </c>
    </row>
    <row r="961" spans="2:53">
      <c r="B961" t="s">
        <v>26</v>
      </c>
      <c r="C961" t="s">
        <v>5913</v>
      </c>
      <c r="D961" t="s">
        <v>5914</v>
      </c>
      <c r="E961" t="s">
        <v>29</v>
      </c>
      <c r="F961" t="s">
        <v>30</v>
      </c>
      <c r="G961" t="s">
        <v>31</v>
      </c>
      <c r="J961" t="s">
        <v>5913</v>
      </c>
      <c r="K961" t="s">
        <v>1967</v>
      </c>
      <c r="L961" t="s">
        <v>3863</v>
      </c>
      <c r="M961" s="8">
        <v>2.10975</v>
      </c>
      <c r="N961">
        <v>80.7856561622413</v>
      </c>
      <c r="O961">
        <v>1909</v>
      </c>
      <c r="P961" s="9">
        <v>0.197304301457519</v>
      </c>
      <c r="Q961" t="s">
        <v>852</v>
      </c>
      <c r="T961" s="15" t="s">
        <v>69</v>
      </c>
      <c r="W961" s="16" t="str">
        <f t="shared" si="98"/>
        <v>EN_WON_20_c02_HRV</v>
      </c>
      <c r="X961" s="12">
        <f t="shared" si="99"/>
        <v>1909</v>
      </c>
      <c r="Y961" s="11">
        <f t="shared" si="100"/>
        <v>1909</v>
      </c>
      <c r="AC961" t="s">
        <v>26</v>
      </c>
      <c r="AD961" t="s">
        <v>5915</v>
      </c>
      <c r="AE961" t="s">
        <v>5916</v>
      </c>
      <c r="AF961" t="s">
        <v>29</v>
      </c>
      <c r="AG961" t="s">
        <v>30</v>
      </c>
      <c r="AH961" t="s">
        <v>31</v>
      </c>
      <c r="AK961" t="s">
        <v>5915</v>
      </c>
      <c r="AL961" t="s">
        <v>1967</v>
      </c>
      <c r="AM961" t="s">
        <v>5892</v>
      </c>
      <c r="AN961" s="8">
        <v>7.43475</v>
      </c>
      <c r="AO961">
        <v>199.694880401046</v>
      </c>
      <c r="AP961">
        <v>1683</v>
      </c>
      <c r="AQ961" s="9">
        <v>0.362</v>
      </c>
      <c r="AR961" t="s">
        <v>1761</v>
      </c>
      <c r="AT961" s="15" t="s">
        <v>80</v>
      </c>
      <c r="AW961" s="11" t="str">
        <f t="shared" si="101"/>
        <v>EN_WOF_36_c02_TUR</v>
      </c>
      <c r="AX961" s="11">
        <f t="shared" si="102"/>
        <v>1683</v>
      </c>
      <c r="AY961" s="11">
        <f t="shared" si="103"/>
        <v>1683</v>
      </c>
      <c r="AZ961" s="17">
        <v>3</v>
      </c>
      <c r="BA961">
        <f t="shared" si="104"/>
        <v>16.83</v>
      </c>
    </row>
    <row r="962" spans="2:53">
      <c r="B962" t="s">
        <v>26</v>
      </c>
      <c r="C962" t="s">
        <v>5917</v>
      </c>
      <c r="D962" t="s">
        <v>5918</v>
      </c>
      <c r="E962" t="s">
        <v>29</v>
      </c>
      <c r="F962" t="s">
        <v>30</v>
      </c>
      <c r="G962" t="s">
        <v>31</v>
      </c>
      <c r="J962" t="s">
        <v>5917</v>
      </c>
      <c r="K962" t="s">
        <v>1967</v>
      </c>
      <c r="L962" t="s">
        <v>3863</v>
      </c>
      <c r="M962" s="8">
        <v>0.13875</v>
      </c>
      <c r="N962">
        <v>0</v>
      </c>
      <c r="O962">
        <v>1909</v>
      </c>
      <c r="P962" s="9">
        <v>0.207</v>
      </c>
      <c r="Q962" t="s">
        <v>852</v>
      </c>
      <c r="T962" s="15" t="s">
        <v>69</v>
      </c>
      <c r="W962" s="16" t="str">
        <f t="shared" si="98"/>
        <v>EN_WON_21_c01_HRV</v>
      </c>
      <c r="X962" s="12">
        <f t="shared" si="99"/>
        <v>1909</v>
      </c>
      <c r="Y962" s="11">
        <f t="shared" si="100"/>
        <v>1909</v>
      </c>
      <c r="AC962" t="s">
        <v>26</v>
      </c>
      <c r="AD962" t="s">
        <v>5919</v>
      </c>
      <c r="AE962" t="s">
        <v>5920</v>
      </c>
      <c r="AF962" t="s">
        <v>29</v>
      </c>
      <c r="AG962" t="s">
        <v>30</v>
      </c>
      <c r="AH962" t="s">
        <v>31</v>
      </c>
      <c r="AK962" t="s">
        <v>5919</v>
      </c>
      <c r="AL962" t="s">
        <v>1967</v>
      </c>
      <c r="AM962" t="s">
        <v>5892</v>
      </c>
      <c r="AN962" s="8">
        <v>4.28775</v>
      </c>
      <c r="AO962">
        <v>199.694880401046</v>
      </c>
      <c r="AP962">
        <v>1683</v>
      </c>
      <c r="AQ962" s="9">
        <v>0.367</v>
      </c>
      <c r="AR962" t="s">
        <v>1761</v>
      </c>
      <c r="AT962" s="15" t="s">
        <v>80</v>
      </c>
      <c r="AW962" s="11" t="str">
        <f t="shared" si="101"/>
        <v>EN_WOF_37_c02_TUR</v>
      </c>
      <c r="AX962" s="11">
        <f t="shared" si="102"/>
        <v>1683</v>
      </c>
      <c r="AY962" s="11">
        <f t="shared" si="103"/>
        <v>1683</v>
      </c>
      <c r="AZ962" s="17">
        <v>3</v>
      </c>
      <c r="BA962">
        <f t="shared" si="104"/>
        <v>16.83</v>
      </c>
    </row>
    <row r="963" spans="2:53">
      <c r="B963" t="s">
        <v>26</v>
      </c>
      <c r="C963" t="s">
        <v>5921</v>
      </c>
      <c r="D963" t="s">
        <v>5922</v>
      </c>
      <c r="E963" t="s">
        <v>29</v>
      </c>
      <c r="F963" t="s">
        <v>30</v>
      </c>
      <c r="G963" t="s">
        <v>31</v>
      </c>
      <c r="J963" t="s">
        <v>5921</v>
      </c>
      <c r="K963" t="s">
        <v>1967</v>
      </c>
      <c r="L963" t="s">
        <v>3863</v>
      </c>
      <c r="M963" s="8">
        <v>0.3465</v>
      </c>
      <c r="N963">
        <v>80.7856561622413</v>
      </c>
      <c r="O963">
        <v>1909</v>
      </c>
      <c r="P963" s="9">
        <v>0.211309523809524</v>
      </c>
      <c r="Q963" t="s">
        <v>852</v>
      </c>
      <c r="T963" s="15" t="s">
        <v>69</v>
      </c>
      <c r="W963" s="16" t="str">
        <f t="shared" si="98"/>
        <v>EN_WON_21_c02_HRV</v>
      </c>
      <c r="X963" s="12">
        <f t="shared" si="99"/>
        <v>1909</v>
      </c>
      <c r="Y963" s="11">
        <f t="shared" si="100"/>
        <v>1909</v>
      </c>
      <c r="AC963" t="s">
        <v>26</v>
      </c>
      <c r="AD963" t="s">
        <v>5923</v>
      </c>
      <c r="AE963" t="s">
        <v>5924</v>
      </c>
      <c r="AF963" t="s">
        <v>29</v>
      </c>
      <c r="AG963" t="s">
        <v>30</v>
      </c>
      <c r="AH963" t="s">
        <v>31</v>
      </c>
      <c r="AK963" t="s">
        <v>5923</v>
      </c>
      <c r="AL963" t="s">
        <v>1967</v>
      </c>
      <c r="AM963" t="s">
        <v>5892</v>
      </c>
      <c r="AN963" s="8">
        <v>5.18175</v>
      </c>
      <c r="AO963">
        <v>199.694880401046</v>
      </c>
      <c r="AP963">
        <v>1683</v>
      </c>
      <c r="AQ963" s="9">
        <v>0.382536257056014</v>
      </c>
      <c r="AR963" t="s">
        <v>1761</v>
      </c>
      <c r="AT963" s="15" t="s">
        <v>80</v>
      </c>
      <c r="AW963" s="11" t="str">
        <f t="shared" si="101"/>
        <v>EN_WOF_38_c02_TUR</v>
      </c>
      <c r="AX963" s="11">
        <f t="shared" si="102"/>
        <v>1683</v>
      </c>
      <c r="AY963" s="11">
        <f t="shared" si="103"/>
        <v>1683</v>
      </c>
      <c r="AZ963" s="17">
        <v>3</v>
      </c>
      <c r="BA963">
        <f t="shared" si="104"/>
        <v>16.83</v>
      </c>
    </row>
    <row r="964" spans="2:53">
      <c r="B964" t="s">
        <v>26</v>
      </c>
      <c r="C964" t="s">
        <v>5925</v>
      </c>
      <c r="D964" t="s">
        <v>5926</v>
      </c>
      <c r="E964" t="s">
        <v>29</v>
      </c>
      <c r="F964" t="s">
        <v>30</v>
      </c>
      <c r="G964" t="s">
        <v>31</v>
      </c>
      <c r="J964" t="s">
        <v>5925</v>
      </c>
      <c r="K964" t="s">
        <v>1967</v>
      </c>
      <c r="L964" t="s">
        <v>3863</v>
      </c>
      <c r="M964" s="8">
        <v>0.05325</v>
      </c>
      <c r="N964">
        <v>105.747516212372</v>
      </c>
      <c r="O964">
        <v>1909</v>
      </c>
      <c r="P964" s="9">
        <v>0.208</v>
      </c>
      <c r="Q964" t="s">
        <v>852</v>
      </c>
      <c r="T964" s="15" t="s">
        <v>69</v>
      </c>
      <c r="W964" s="16" t="str">
        <f t="shared" si="98"/>
        <v>EN_WON_21_c03_HRV</v>
      </c>
      <c r="X964" s="12">
        <f t="shared" si="99"/>
        <v>1909</v>
      </c>
      <c r="Y964" s="11">
        <f t="shared" si="100"/>
        <v>1909</v>
      </c>
      <c r="AC964" t="s">
        <v>26</v>
      </c>
      <c r="AD964" t="s">
        <v>5927</v>
      </c>
      <c r="AE964" t="s">
        <v>5928</v>
      </c>
      <c r="AF964" t="s">
        <v>29</v>
      </c>
      <c r="AG964" t="s">
        <v>30</v>
      </c>
      <c r="AH964" t="s">
        <v>31</v>
      </c>
      <c r="AK964" t="s">
        <v>5927</v>
      </c>
      <c r="AL964" t="s">
        <v>1967</v>
      </c>
      <c r="AM964" t="s">
        <v>5892</v>
      </c>
      <c r="AN964" s="8">
        <v>9.918</v>
      </c>
      <c r="AO964">
        <v>199.694880401046</v>
      </c>
      <c r="AP964">
        <v>1683</v>
      </c>
      <c r="AQ964" s="9">
        <v>0.389857304900182</v>
      </c>
      <c r="AR964" t="s">
        <v>1761</v>
      </c>
      <c r="AT964" s="15" t="s">
        <v>80</v>
      </c>
      <c r="AW964" s="11" t="str">
        <f t="shared" si="101"/>
        <v>EN_WOF_39_c02_TUR</v>
      </c>
      <c r="AX964" s="11">
        <f t="shared" si="102"/>
        <v>1683</v>
      </c>
      <c r="AY964" s="11">
        <f t="shared" si="103"/>
        <v>1683</v>
      </c>
      <c r="AZ964" s="17">
        <v>3</v>
      </c>
      <c r="BA964">
        <f t="shared" si="104"/>
        <v>16.83</v>
      </c>
    </row>
    <row r="965" spans="2:53">
      <c r="B965" t="s">
        <v>26</v>
      </c>
      <c r="C965" t="s">
        <v>5929</v>
      </c>
      <c r="D965" t="s">
        <v>5930</v>
      </c>
      <c r="E965" t="s">
        <v>29</v>
      </c>
      <c r="F965" t="s">
        <v>30</v>
      </c>
      <c r="G965" t="s">
        <v>31</v>
      </c>
      <c r="J965" t="s">
        <v>5929</v>
      </c>
      <c r="K965" t="s">
        <v>1967</v>
      </c>
      <c r="L965" t="s">
        <v>3863</v>
      </c>
      <c r="M965" s="8">
        <v>0.051</v>
      </c>
      <c r="N965">
        <v>105.747516212372</v>
      </c>
      <c r="O965">
        <v>1909</v>
      </c>
      <c r="P965" s="9">
        <v>0.219205882352941</v>
      </c>
      <c r="Q965" t="s">
        <v>852</v>
      </c>
      <c r="T965" s="15" t="s">
        <v>69</v>
      </c>
      <c r="W965" s="16" t="str">
        <f t="shared" si="98"/>
        <v>EN_WON_22_c03_HRV</v>
      </c>
      <c r="X965" s="12">
        <f t="shared" si="99"/>
        <v>1909</v>
      </c>
      <c r="Y965" s="11">
        <f t="shared" si="100"/>
        <v>1909</v>
      </c>
      <c r="AC965" t="s">
        <v>26</v>
      </c>
      <c r="AD965" t="s">
        <v>5931</v>
      </c>
      <c r="AE965" t="s">
        <v>5932</v>
      </c>
      <c r="AF965" t="s">
        <v>29</v>
      </c>
      <c r="AG965" t="s">
        <v>30</v>
      </c>
      <c r="AH965" t="s">
        <v>31</v>
      </c>
      <c r="AK965" t="s">
        <v>5931</v>
      </c>
      <c r="AL965" t="s">
        <v>1967</v>
      </c>
      <c r="AM965" t="s">
        <v>5892</v>
      </c>
      <c r="AN965" s="8">
        <v>9.02625</v>
      </c>
      <c r="AO965">
        <v>199.694880401046</v>
      </c>
      <c r="AP965">
        <v>1683</v>
      </c>
      <c r="AQ965" s="9">
        <v>0.398035147486498</v>
      </c>
      <c r="AR965" t="s">
        <v>1761</v>
      </c>
      <c r="AT965" s="15" t="s">
        <v>80</v>
      </c>
      <c r="AW965" s="11" t="str">
        <f t="shared" si="101"/>
        <v>EN_WOF_40_c02_TUR</v>
      </c>
      <c r="AX965" s="11">
        <f t="shared" si="102"/>
        <v>1683</v>
      </c>
      <c r="AY965" s="11">
        <f t="shared" si="103"/>
        <v>1683</v>
      </c>
      <c r="AZ965" s="17">
        <v>3</v>
      </c>
      <c r="BA965">
        <f t="shared" si="104"/>
        <v>16.83</v>
      </c>
    </row>
    <row r="966" spans="2:53">
      <c r="B966" t="s">
        <v>26</v>
      </c>
      <c r="C966" t="s">
        <v>5933</v>
      </c>
      <c r="D966" t="s">
        <v>5934</v>
      </c>
      <c r="E966" t="s">
        <v>29</v>
      </c>
      <c r="F966" t="s">
        <v>30</v>
      </c>
      <c r="G966" t="s">
        <v>31</v>
      </c>
      <c r="J966" t="s">
        <v>5933</v>
      </c>
      <c r="K966" t="s">
        <v>1967</v>
      </c>
      <c r="L966" t="s">
        <v>3863</v>
      </c>
      <c r="M966" s="8">
        <v>0.477</v>
      </c>
      <c r="N966">
        <v>80.7856561622413</v>
      </c>
      <c r="O966">
        <v>1909</v>
      </c>
      <c r="P966" s="9">
        <v>0.229</v>
      </c>
      <c r="Q966" t="s">
        <v>852</v>
      </c>
      <c r="T966" s="15" t="s">
        <v>69</v>
      </c>
      <c r="W966" s="16" t="str">
        <f t="shared" ref="W966:W1029" si="105">J966</f>
        <v>EN_WON_23_c02_HRV</v>
      </c>
      <c r="X966" s="12">
        <f t="shared" ref="X966:X1029" si="106">O966</f>
        <v>1909</v>
      </c>
      <c r="Y966" s="11">
        <f t="shared" ref="Y966:Y1029" si="107">X966</f>
        <v>1909</v>
      </c>
      <c r="AC966" t="s">
        <v>26</v>
      </c>
      <c r="AD966" t="s">
        <v>5935</v>
      </c>
      <c r="AE966" t="s">
        <v>5936</v>
      </c>
      <c r="AF966" t="s">
        <v>29</v>
      </c>
      <c r="AG966" t="s">
        <v>30</v>
      </c>
      <c r="AH966" t="s">
        <v>31</v>
      </c>
      <c r="AK966" t="s">
        <v>5935</v>
      </c>
      <c r="AL966" t="s">
        <v>1967</v>
      </c>
      <c r="AM966" t="s">
        <v>5892</v>
      </c>
      <c r="AN966" s="8">
        <v>3.768</v>
      </c>
      <c r="AO966">
        <v>199.694880401046</v>
      </c>
      <c r="AP966">
        <v>1683</v>
      </c>
      <c r="AQ966" s="9">
        <v>0.409</v>
      </c>
      <c r="AR966" t="s">
        <v>1761</v>
      </c>
      <c r="AT966" s="15" t="s">
        <v>80</v>
      </c>
      <c r="AW966" s="11" t="str">
        <f t="shared" ref="AW966:AW1029" si="108">AK966</f>
        <v>EN_WOF_41_c02_TUR</v>
      </c>
      <c r="AX966" s="11">
        <f t="shared" ref="AX966:AX1029" si="109">AP966</f>
        <v>1683</v>
      </c>
      <c r="AY966" s="11">
        <f t="shared" ref="AY966:AY1029" si="110">AX966</f>
        <v>1683</v>
      </c>
      <c r="AZ966" s="17">
        <v>3</v>
      </c>
      <c r="BA966">
        <f t="shared" ref="BA966:BA1029" si="111">AX966*0.01</f>
        <v>16.83</v>
      </c>
    </row>
    <row r="967" spans="2:53">
      <c r="B967" t="s">
        <v>26</v>
      </c>
      <c r="C967" t="s">
        <v>5937</v>
      </c>
      <c r="D967" t="s">
        <v>5938</v>
      </c>
      <c r="E967" t="s">
        <v>29</v>
      </c>
      <c r="F967" t="s">
        <v>30</v>
      </c>
      <c r="G967" t="s">
        <v>31</v>
      </c>
      <c r="J967" t="s">
        <v>5937</v>
      </c>
      <c r="K967" t="s">
        <v>1967</v>
      </c>
      <c r="L967" t="s">
        <v>3863</v>
      </c>
      <c r="M967" s="8">
        <v>0.28275</v>
      </c>
      <c r="N967">
        <v>105.747516212372</v>
      </c>
      <c r="O967">
        <v>1909</v>
      </c>
      <c r="P967" s="9">
        <v>0.229978779840849</v>
      </c>
      <c r="Q967" t="s">
        <v>852</v>
      </c>
      <c r="T967" s="15" t="s">
        <v>69</v>
      </c>
      <c r="W967" s="16" t="str">
        <f t="shared" si="105"/>
        <v>EN_WON_23_c03_HRV</v>
      </c>
      <c r="X967" s="12">
        <f t="shared" si="106"/>
        <v>1909</v>
      </c>
      <c r="Y967" s="11">
        <f t="shared" si="107"/>
        <v>1909</v>
      </c>
      <c r="AC967" t="s">
        <v>26</v>
      </c>
      <c r="AD967" t="s">
        <v>5939</v>
      </c>
      <c r="AE967" t="s">
        <v>5940</v>
      </c>
      <c r="AF967" t="s">
        <v>29</v>
      </c>
      <c r="AG967" t="s">
        <v>30</v>
      </c>
      <c r="AH967" t="s">
        <v>31</v>
      </c>
      <c r="AK967" t="s">
        <v>5939</v>
      </c>
      <c r="AL967" t="s">
        <v>1967</v>
      </c>
      <c r="AM967" t="s">
        <v>5892</v>
      </c>
      <c r="AN967" s="8">
        <v>3.79575</v>
      </c>
      <c r="AO967">
        <v>199.694880401046</v>
      </c>
      <c r="AP967">
        <v>1683</v>
      </c>
      <c r="AQ967" s="9">
        <v>0.417</v>
      </c>
      <c r="AR967" t="s">
        <v>1761</v>
      </c>
      <c r="AT967" s="15" t="s">
        <v>80</v>
      </c>
      <c r="AW967" s="11" t="str">
        <f t="shared" si="108"/>
        <v>EN_WOF_42_c02_TUR</v>
      </c>
      <c r="AX967" s="11">
        <f t="shared" si="109"/>
        <v>1683</v>
      </c>
      <c r="AY967" s="11">
        <f t="shared" si="110"/>
        <v>1683</v>
      </c>
      <c r="AZ967" s="17">
        <v>3</v>
      </c>
      <c r="BA967">
        <f t="shared" si="111"/>
        <v>16.83</v>
      </c>
    </row>
    <row r="968" spans="2:53">
      <c r="B968" t="s">
        <v>26</v>
      </c>
      <c r="C968" t="s">
        <v>5941</v>
      </c>
      <c r="D968" t="s">
        <v>5942</v>
      </c>
      <c r="E968" t="s">
        <v>29</v>
      </c>
      <c r="F968" t="s">
        <v>30</v>
      </c>
      <c r="G968" t="s">
        <v>31</v>
      </c>
      <c r="J968" t="s">
        <v>5941</v>
      </c>
      <c r="K968" t="s">
        <v>1967</v>
      </c>
      <c r="L968" t="s">
        <v>3863</v>
      </c>
      <c r="M968" s="8">
        <v>0.6765</v>
      </c>
      <c r="N968">
        <v>80.7856561622413</v>
      </c>
      <c r="O968">
        <v>1909</v>
      </c>
      <c r="P968" s="9">
        <v>0.239280487804878</v>
      </c>
      <c r="Q968" t="s">
        <v>852</v>
      </c>
      <c r="T968" s="15" t="s">
        <v>69</v>
      </c>
      <c r="W968" s="16" t="str">
        <f t="shared" si="105"/>
        <v>EN_WON_24_c02_HRV</v>
      </c>
      <c r="X968" s="12">
        <f t="shared" si="106"/>
        <v>1909</v>
      </c>
      <c r="Y968" s="11">
        <f t="shared" si="107"/>
        <v>1909</v>
      </c>
      <c r="AC968" t="s">
        <v>26</v>
      </c>
      <c r="AD968" t="s">
        <v>5943</v>
      </c>
      <c r="AE968" t="s">
        <v>5944</v>
      </c>
      <c r="AF968" t="s">
        <v>29</v>
      </c>
      <c r="AG968" t="s">
        <v>30</v>
      </c>
      <c r="AH968" t="s">
        <v>31</v>
      </c>
      <c r="AK968" t="s">
        <v>5943</v>
      </c>
      <c r="AL968" t="s">
        <v>1967</v>
      </c>
      <c r="AM968" t="s">
        <v>5892</v>
      </c>
      <c r="AN968" s="8">
        <v>6.12375</v>
      </c>
      <c r="AO968">
        <v>199.694880401046</v>
      </c>
      <c r="AP968">
        <v>1683</v>
      </c>
      <c r="AQ968" s="9">
        <v>0.456</v>
      </c>
      <c r="AR968" t="s">
        <v>1761</v>
      </c>
      <c r="AT968" s="15" t="s">
        <v>80</v>
      </c>
      <c r="AW968" s="11" t="str">
        <f t="shared" si="108"/>
        <v>EN_WOF_46_c02_TUR</v>
      </c>
      <c r="AX968" s="11">
        <f t="shared" si="109"/>
        <v>1683</v>
      </c>
      <c r="AY968" s="11">
        <f t="shared" si="110"/>
        <v>1683</v>
      </c>
      <c r="AZ968" s="17">
        <v>3</v>
      </c>
      <c r="BA968">
        <f t="shared" si="111"/>
        <v>16.83</v>
      </c>
    </row>
    <row r="969" spans="2:53">
      <c r="B969" t="s">
        <v>26</v>
      </c>
      <c r="C969" t="s">
        <v>5945</v>
      </c>
      <c r="D969" t="s">
        <v>5946</v>
      </c>
      <c r="E969" t="s">
        <v>29</v>
      </c>
      <c r="F969" t="s">
        <v>30</v>
      </c>
      <c r="G969" t="s">
        <v>31</v>
      </c>
      <c r="J969" t="s">
        <v>5945</v>
      </c>
      <c r="K969" t="s">
        <v>1967</v>
      </c>
      <c r="L969" t="s">
        <v>3863</v>
      </c>
      <c r="M969" s="8">
        <v>0.279</v>
      </c>
      <c r="N969">
        <v>105.747516212372</v>
      </c>
      <c r="O969">
        <v>1909</v>
      </c>
      <c r="P969" s="9">
        <v>0.237</v>
      </c>
      <c r="Q969" t="s">
        <v>852</v>
      </c>
      <c r="T969" s="15" t="s">
        <v>69</v>
      </c>
      <c r="W969" s="16" t="str">
        <f t="shared" si="105"/>
        <v>EN_WON_24_c03_HRV</v>
      </c>
      <c r="X969" s="12">
        <f t="shared" si="106"/>
        <v>1909</v>
      </c>
      <c r="Y969" s="11">
        <f t="shared" si="107"/>
        <v>1909</v>
      </c>
      <c r="AC969" t="s">
        <v>26</v>
      </c>
      <c r="AD969" t="s">
        <v>5947</v>
      </c>
      <c r="AE969" t="s">
        <v>5948</v>
      </c>
      <c r="AF969" t="s">
        <v>29</v>
      </c>
      <c r="AG969" t="s">
        <v>30</v>
      </c>
      <c r="AH969" t="s">
        <v>31</v>
      </c>
      <c r="AK969" t="s">
        <v>5947</v>
      </c>
      <c r="AL969" t="s">
        <v>1967</v>
      </c>
      <c r="AM969" t="s">
        <v>5892</v>
      </c>
      <c r="AN969" s="8">
        <v>4.11825</v>
      </c>
      <c r="AO969">
        <v>199.694880401046</v>
      </c>
      <c r="AP969">
        <v>1683</v>
      </c>
      <c r="AQ969" s="9">
        <v>0.466</v>
      </c>
      <c r="AR969" t="s">
        <v>1761</v>
      </c>
      <c r="AT969" s="15" t="s">
        <v>80</v>
      </c>
      <c r="AW969" s="11" t="str">
        <f t="shared" si="108"/>
        <v>EN_WOF_47_c02_TUR</v>
      </c>
      <c r="AX969" s="11">
        <f t="shared" si="109"/>
        <v>1683</v>
      </c>
      <c r="AY969" s="11">
        <f t="shared" si="110"/>
        <v>1683</v>
      </c>
      <c r="AZ969" s="17">
        <v>3</v>
      </c>
      <c r="BA969">
        <f t="shared" si="111"/>
        <v>16.83</v>
      </c>
    </row>
    <row r="970" spans="2:53">
      <c r="B970" t="s">
        <v>26</v>
      </c>
      <c r="C970" t="s">
        <v>5949</v>
      </c>
      <c r="D970" t="s">
        <v>5950</v>
      </c>
      <c r="E970" t="s">
        <v>29</v>
      </c>
      <c r="F970" t="s">
        <v>30</v>
      </c>
      <c r="G970" t="s">
        <v>31</v>
      </c>
      <c r="J970" t="s">
        <v>5949</v>
      </c>
      <c r="K970" t="s">
        <v>1967</v>
      </c>
      <c r="L970" t="s">
        <v>3863</v>
      </c>
      <c r="M970" s="8">
        <v>0.5295</v>
      </c>
      <c r="N970">
        <v>80.7856561622413</v>
      </c>
      <c r="O970">
        <v>1909</v>
      </c>
      <c r="P970" s="9">
        <v>0.248</v>
      </c>
      <c r="Q970" t="s">
        <v>852</v>
      </c>
      <c r="T970" s="15" t="s">
        <v>69</v>
      </c>
      <c r="W970" s="16" t="str">
        <f t="shared" si="105"/>
        <v>EN_WON_25_c02_HRV</v>
      </c>
      <c r="X970" s="12">
        <f t="shared" si="106"/>
        <v>1909</v>
      </c>
      <c r="Y970" s="11">
        <f t="shared" si="107"/>
        <v>1909</v>
      </c>
      <c r="AC970" t="s">
        <v>26</v>
      </c>
      <c r="AD970" t="s">
        <v>5951</v>
      </c>
      <c r="AE970" t="s">
        <v>5952</v>
      </c>
      <c r="AF970" t="s">
        <v>29</v>
      </c>
      <c r="AG970" t="s">
        <v>30</v>
      </c>
      <c r="AH970" t="s">
        <v>31</v>
      </c>
      <c r="AK970" t="s">
        <v>5951</v>
      </c>
      <c r="AL970" t="s">
        <v>1967</v>
      </c>
      <c r="AM970" t="s">
        <v>5953</v>
      </c>
      <c r="AN970" s="8">
        <v>8.1165</v>
      </c>
      <c r="AO970">
        <v>199.694880401046</v>
      </c>
      <c r="AP970">
        <v>2086</v>
      </c>
      <c r="AQ970" s="9">
        <v>0.317321474773609</v>
      </c>
      <c r="AR970" t="s">
        <v>1799</v>
      </c>
      <c r="AT970" s="15" t="s">
        <v>112</v>
      </c>
      <c r="AW970" s="11" t="str">
        <f t="shared" si="108"/>
        <v>EN_WOF_32_c02_UKR</v>
      </c>
      <c r="AX970" s="11">
        <f t="shared" si="109"/>
        <v>2086</v>
      </c>
      <c r="AY970" s="11">
        <f t="shared" si="110"/>
        <v>2086</v>
      </c>
      <c r="AZ970" s="17">
        <v>3</v>
      </c>
      <c r="BA970">
        <f t="shared" si="111"/>
        <v>20.86</v>
      </c>
    </row>
    <row r="971" spans="2:53">
      <c r="B971" t="s">
        <v>26</v>
      </c>
      <c r="C971" t="s">
        <v>5954</v>
      </c>
      <c r="D971" t="s">
        <v>5955</v>
      </c>
      <c r="E971" t="s">
        <v>29</v>
      </c>
      <c r="F971" t="s">
        <v>30</v>
      </c>
      <c r="G971" t="s">
        <v>31</v>
      </c>
      <c r="J971" t="s">
        <v>5954</v>
      </c>
      <c r="K971" t="s">
        <v>1967</v>
      </c>
      <c r="L971" t="s">
        <v>3863</v>
      </c>
      <c r="M971" s="8">
        <v>0.0165</v>
      </c>
      <c r="N971">
        <v>105.747516212372</v>
      </c>
      <c r="O971">
        <v>1909</v>
      </c>
      <c r="P971" s="9">
        <v>0.252</v>
      </c>
      <c r="Q971" t="s">
        <v>852</v>
      </c>
      <c r="T971" s="15" t="s">
        <v>69</v>
      </c>
      <c r="W971" s="16" t="str">
        <f t="shared" si="105"/>
        <v>EN_WON_25_c03_HRV</v>
      </c>
      <c r="X971" s="12">
        <f t="shared" si="106"/>
        <v>1909</v>
      </c>
      <c r="Y971" s="11">
        <f t="shared" si="107"/>
        <v>1909</v>
      </c>
      <c r="AC971" t="s">
        <v>26</v>
      </c>
      <c r="AD971" t="s">
        <v>5956</v>
      </c>
      <c r="AE971" t="s">
        <v>5957</v>
      </c>
      <c r="AF971" t="s">
        <v>29</v>
      </c>
      <c r="AG971" t="s">
        <v>30</v>
      </c>
      <c r="AH971" t="s">
        <v>31</v>
      </c>
      <c r="AK971" t="s">
        <v>5956</v>
      </c>
      <c r="AL971" t="s">
        <v>1967</v>
      </c>
      <c r="AM971" t="s">
        <v>5953</v>
      </c>
      <c r="AN971" s="8">
        <v>12.73875</v>
      </c>
      <c r="AO971">
        <v>199.694880401046</v>
      </c>
      <c r="AP971">
        <v>2086</v>
      </c>
      <c r="AQ971" s="9">
        <v>0.328772034147778</v>
      </c>
      <c r="AR971" t="s">
        <v>1799</v>
      </c>
      <c r="AT971" s="15" t="s">
        <v>112</v>
      </c>
      <c r="AW971" s="11" t="str">
        <f t="shared" si="108"/>
        <v>EN_WOF_33_c02_UKR</v>
      </c>
      <c r="AX971" s="11">
        <f t="shared" si="109"/>
        <v>2086</v>
      </c>
      <c r="AY971" s="11">
        <f t="shared" si="110"/>
        <v>2086</v>
      </c>
      <c r="AZ971" s="17">
        <v>3</v>
      </c>
      <c r="BA971">
        <f t="shared" si="111"/>
        <v>20.86</v>
      </c>
    </row>
    <row r="972" spans="2:53">
      <c r="B972" t="s">
        <v>26</v>
      </c>
      <c r="C972" t="s">
        <v>5958</v>
      </c>
      <c r="D972" t="s">
        <v>5959</v>
      </c>
      <c r="E972" t="s">
        <v>29</v>
      </c>
      <c r="F972" t="s">
        <v>30</v>
      </c>
      <c r="G972" t="s">
        <v>31</v>
      </c>
      <c r="J972" t="s">
        <v>5958</v>
      </c>
      <c r="K972" t="s">
        <v>1967</v>
      </c>
      <c r="L972" t="s">
        <v>3863</v>
      </c>
      <c r="M972" s="8">
        <v>0.456</v>
      </c>
      <c r="N972">
        <v>80.7856561622413</v>
      </c>
      <c r="O972">
        <v>1909</v>
      </c>
      <c r="P972" s="9">
        <v>0.259953947368421</v>
      </c>
      <c r="Q972" t="s">
        <v>852</v>
      </c>
      <c r="T972" s="15" t="s">
        <v>69</v>
      </c>
      <c r="W972" s="16" t="str">
        <f t="shared" si="105"/>
        <v>EN_WON_26_c02_HRV</v>
      </c>
      <c r="X972" s="12">
        <f t="shared" si="106"/>
        <v>1909</v>
      </c>
      <c r="Y972" s="11">
        <f t="shared" si="107"/>
        <v>1909</v>
      </c>
      <c r="AC972" t="s">
        <v>26</v>
      </c>
      <c r="AD972" t="s">
        <v>5960</v>
      </c>
      <c r="AE972" t="s">
        <v>5961</v>
      </c>
      <c r="AF972" t="s">
        <v>29</v>
      </c>
      <c r="AG972" t="s">
        <v>30</v>
      </c>
      <c r="AH972" t="s">
        <v>31</v>
      </c>
      <c r="AK972" t="s">
        <v>5960</v>
      </c>
      <c r="AL972" t="s">
        <v>1967</v>
      </c>
      <c r="AM972" t="s">
        <v>5953</v>
      </c>
      <c r="AN972" s="8">
        <v>25.7505</v>
      </c>
      <c r="AO972">
        <v>199.694880401046</v>
      </c>
      <c r="AP972">
        <v>2086</v>
      </c>
      <c r="AQ972" s="9">
        <v>0.339077736354634</v>
      </c>
      <c r="AR972" t="s">
        <v>1799</v>
      </c>
      <c r="AT972" s="15" t="s">
        <v>112</v>
      </c>
      <c r="AW972" s="11" t="str">
        <f t="shared" si="108"/>
        <v>EN_WOF_34_c02_UKR</v>
      </c>
      <c r="AX972" s="11">
        <f t="shared" si="109"/>
        <v>2086</v>
      </c>
      <c r="AY972" s="11">
        <f t="shared" si="110"/>
        <v>2086</v>
      </c>
      <c r="AZ972" s="17">
        <v>3</v>
      </c>
      <c r="BA972">
        <f t="shared" si="111"/>
        <v>20.86</v>
      </c>
    </row>
    <row r="973" spans="2:53">
      <c r="B973" t="s">
        <v>26</v>
      </c>
      <c r="C973" t="s">
        <v>5962</v>
      </c>
      <c r="D973" t="s">
        <v>5963</v>
      </c>
      <c r="E973" t="s">
        <v>29</v>
      </c>
      <c r="F973" t="s">
        <v>30</v>
      </c>
      <c r="G973" t="s">
        <v>31</v>
      </c>
      <c r="J973" t="s">
        <v>5962</v>
      </c>
      <c r="K973" t="s">
        <v>1967</v>
      </c>
      <c r="L973" t="s">
        <v>3863</v>
      </c>
      <c r="M973" s="8">
        <v>0.0825</v>
      </c>
      <c r="N973">
        <v>105.747516212372</v>
      </c>
      <c r="O973">
        <v>1909</v>
      </c>
      <c r="P973" s="9">
        <v>0.261</v>
      </c>
      <c r="Q973" t="s">
        <v>852</v>
      </c>
      <c r="T973" s="15" t="s">
        <v>69</v>
      </c>
      <c r="W973" s="16" t="str">
        <f t="shared" si="105"/>
        <v>EN_WON_26_c03_HRV</v>
      </c>
      <c r="X973" s="12">
        <f t="shared" si="106"/>
        <v>1909</v>
      </c>
      <c r="Y973" s="11">
        <f t="shared" si="107"/>
        <v>1909</v>
      </c>
      <c r="AC973" t="s">
        <v>26</v>
      </c>
      <c r="AD973" t="s">
        <v>5964</v>
      </c>
      <c r="AE973" t="s">
        <v>5965</v>
      </c>
      <c r="AF973" t="s">
        <v>29</v>
      </c>
      <c r="AG973" t="s">
        <v>30</v>
      </c>
      <c r="AH973" t="s">
        <v>31</v>
      </c>
      <c r="AK973" t="s">
        <v>5964</v>
      </c>
      <c r="AL973" t="s">
        <v>1967</v>
      </c>
      <c r="AM973" t="s">
        <v>5953</v>
      </c>
      <c r="AN973" s="8">
        <v>40.16025</v>
      </c>
      <c r="AO973">
        <v>199.694880401046</v>
      </c>
      <c r="AP973">
        <v>2086</v>
      </c>
      <c r="AQ973" s="9">
        <v>0.350086017890825</v>
      </c>
      <c r="AR973" t="s">
        <v>1799</v>
      </c>
      <c r="AT973" s="15" t="s">
        <v>112</v>
      </c>
      <c r="AW973" s="11" t="str">
        <f t="shared" si="108"/>
        <v>EN_WOF_35_c02_UKR</v>
      </c>
      <c r="AX973" s="11">
        <f t="shared" si="109"/>
        <v>2086</v>
      </c>
      <c r="AY973" s="11">
        <f t="shared" si="110"/>
        <v>2086</v>
      </c>
      <c r="AZ973" s="17">
        <v>3</v>
      </c>
      <c r="BA973">
        <f t="shared" si="111"/>
        <v>20.86</v>
      </c>
    </row>
    <row r="974" spans="2:53">
      <c r="B974" t="s">
        <v>26</v>
      </c>
      <c r="C974" t="s">
        <v>5966</v>
      </c>
      <c r="D974" t="s">
        <v>5967</v>
      </c>
      <c r="E974" t="s">
        <v>29</v>
      </c>
      <c r="F974" t="s">
        <v>30</v>
      </c>
      <c r="G974" t="s">
        <v>31</v>
      </c>
      <c r="J974" t="s">
        <v>5966</v>
      </c>
      <c r="K974" t="s">
        <v>1967</v>
      </c>
      <c r="L974" t="s">
        <v>3863</v>
      </c>
      <c r="M974" s="8">
        <v>0.018</v>
      </c>
      <c r="N974">
        <v>80.7856561622413</v>
      </c>
      <c r="O974">
        <v>1909</v>
      </c>
      <c r="P974" s="9">
        <v>0.265</v>
      </c>
      <c r="Q974" t="s">
        <v>852</v>
      </c>
      <c r="T974" s="15" t="s">
        <v>69</v>
      </c>
      <c r="W974" s="16" t="str">
        <f t="shared" si="105"/>
        <v>EN_WON_27_c02_HRV</v>
      </c>
      <c r="X974" s="12">
        <f t="shared" si="106"/>
        <v>1909</v>
      </c>
      <c r="Y974" s="11">
        <f t="shared" si="107"/>
        <v>1909</v>
      </c>
      <c r="AC974" t="s">
        <v>26</v>
      </c>
      <c r="AD974" t="s">
        <v>5968</v>
      </c>
      <c r="AE974" t="s">
        <v>5969</v>
      </c>
      <c r="AF974" t="s">
        <v>29</v>
      </c>
      <c r="AG974" t="s">
        <v>30</v>
      </c>
      <c r="AH974" t="s">
        <v>31</v>
      </c>
      <c r="AK974" t="s">
        <v>5968</v>
      </c>
      <c r="AL974" t="s">
        <v>1967</v>
      </c>
      <c r="AM974" t="s">
        <v>5953</v>
      </c>
      <c r="AN974" s="8">
        <v>5.76</v>
      </c>
      <c r="AO974">
        <v>199.694880401046</v>
      </c>
      <c r="AP974">
        <v>2086</v>
      </c>
      <c r="AQ974" s="9">
        <v>0.357</v>
      </c>
      <c r="AR974" t="s">
        <v>1799</v>
      </c>
      <c r="AT974" s="15" t="s">
        <v>112</v>
      </c>
      <c r="AW974" s="11" t="str">
        <f t="shared" si="108"/>
        <v>EN_WOF_36_c02_UKR</v>
      </c>
      <c r="AX974" s="11">
        <f t="shared" si="109"/>
        <v>2086</v>
      </c>
      <c r="AY974" s="11">
        <f t="shared" si="110"/>
        <v>2086</v>
      </c>
      <c r="AZ974" s="17">
        <v>3</v>
      </c>
      <c r="BA974">
        <f t="shared" si="111"/>
        <v>20.86</v>
      </c>
    </row>
    <row r="975" spans="2:53">
      <c r="B975" t="s">
        <v>26</v>
      </c>
      <c r="C975" t="s">
        <v>5970</v>
      </c>
      <c r="D975" t="s">
        <v>5971</v>
      </c>
      <c r="E975" t="s">
        <v>29</v>
      </c>
      <c r="F975" t="s">
        <v>30</v>
      </c>
      <c r="G975" t="s">
        <v>31</v>
      </c>
      <c r="J975" t="s">
        <v>5970</v>
      </c>
      <c r="K975" t="s">
        <v>1967</v>
      </c>
      <c r="L975" t="s">
        <v>3863</v>
      </c>
      <c r="M975" s="8">
        <v>0.9915</v>
      </c>
      <c r="N975">
        <v>105.747516212372</v>
      </c>
      <c r="O975">
        <v>1909</v>
      </c>
      <c r="P975" s="9">
        <v>0.269127080181543</v>
      </c>
      <c r="Q975" t="s">
        <v>852</v>
      </c>
      <c r="T975" s="15" t="s">
        <v>69</v>
      </c>
      <c r="W975" s="16" t="str">
        <f t="shared" si="105"/>
        <v>EN_WON_27_c03_HRV</v>
      </c>
      <c r="X975" s="12">
        <f t="shared" si="106"/>
        <v>1909</v>
      </c>
      <c r="Y975" s="11">
        <f t="shared" si="107"/>
        <v>1909</v>
      </c>
      <c r="AC975" t="s">
        <v>26</v>
      </c>
      <c r="AD975" t="s">
        <v>5972</v>
      </c>
      <c r="AE975" t="s">
        <v>5973</v>
      </c>
      <c r="AF975" t="s">
        <v>29</v>
      </c>
      <c r="AG975" t="s">
        <v>30</v>
      </c>
      <c r="AH975" t="s">
        <v>31</v>
      </c>
      <c r="AK975" t="s">
        <v>5972</v>
      </c>
      <c r="AL975" t="s">
        <v>1967</v>
      </c>
      <c r="AM975" t="s">
        <v>5974</v>
      </c>
      <c r="AN975" s="8">
        <v>0.957</v>
      </c>
      <c r="AO975">
        <v>199.694880401046</v>
      </c>
      <c r="AP975">
        <v>1575</v>
      </c>
      <c r="AQ975" s="9">
        <v>0.39</v>
      </c>
      <c r="AR975" t="s">
        <v>1805</v>
      </c>
      <c r="AT975" s="15" t="s">
        <v>89</v>
      </c>
      <c r="AW975" s="11" t="str">
        <f t="shared" si="108"/>
        <v>EN_WOF_39_c02_URY</v>
      </c>
      <c r="AX975" s="11">
        <f t="shared" si="109"/>
        <v>1575</v>
      </c>
      <c r="AY975" s="11">
        <f t="shared" si="110"/>
        <v>1575</v>
      </c>
      <c r="AZ975" s="17">
        <v>3</v>
      </c>
      <c r="BA975">
        <f t="shared" si="111"/>
        <v>15.75</v>
      </c>
    </row>
    <row r="976" spans="2:53">
      <c r="B976" t="s">
        <v>26</v>
      </c>
      <c r="C976" t="s">
        <v>5975</v>
      </c>
      <c r="D976" t="s">
        <v>5976</v>
      </c>
      <c r="E976" t="s">
        <v>29</v>
      </c>
      <c r="F976" t="s">
        <v>30</v>
      </c>
      <c r="G976" t="s">
        <v>31</v>
      </c>
      <c r="J976" t="s">
        <v>5975</v>
      </c>
      <c r="K976" t="s">
        <v>1967</v>
      </c>
      <c r="L976" t="s">
        <v>3863</v>
      </c>
      <c r="M976" s="8">
        <v>1.02</v>
      </c>
      <c r="N976">
        <v>80.7856561622413</v>
      </c>
      <c r="O976">
        <v>1909</v>
      </c>
      <c r="P976" s="9">
        <v>0.276</v>
      </c>
      <c r="Q976" t="s">
        <v>852</v>
      </c>
      <c r="T976" s="15" t="s">
        <v>69</v>
      </c>
      <c r="W976" s="16" t="str">
        <f t="shared" si="105"/>
        <v>EN_WON_28_c02_HRV</v>
      </c>
      <c r="X976" s="12">
        <f t="shared" si="106"/>
        <v>1909</v>
      </c>
      <c r="Y976" s="11">
        <f t="shared" si="107"/>
        <v>1909</v>
      </c>
      <c r="AC976" t="s">
        <v>26</v>
      </c>
      <c r="AD976" t="s">
        <v>5977</v>
      </c>
      <c r="AE976" t="s">
        <v>5978</v>
      </c>
      <c r="AF976" t="s">
        <v>29</v>
      </c>
      <c r="AG976" t="s">
        <v>30</v>
      </c>
      <c r="AH976" t="s">
        <v>31</v>
      </c>
      <c r="AK976" t="s">
        <v>5977</v>
      </c>
      <c r="AL976" t="s">
        <v>1967</v>
      </c>
      <c r="AM976" t="s">
        <v>5974</v>
      </c>
      <c r="AN976" s="8">
        <v>3.11175</v>
      </c>
      <c r="AO976">
        <v>199.694880401046</v>
      </c>
      <c r="AP976">
        <v>1575</v>
      </c>
      <c r="AQ976" s="9">
        <v>0.434</v>
      </c>
      <c r="AR976" t="s">
        <v>1805</v>
      </c>
      <c r="AT976" s="15" t="s">
        <v>89</v>
      </c>
      <c r="AW976" s="11" t="str">
        <f t="shared" si="108"/>
        <v>EN_WOF_43_c02_URY</v>
      </c>
      <c r="AX976" s="11">
        <f t="shared" si="109"/>
        <v>1575</v>
      </c>
      <c r="AY976" s="11">
        <f t="shared" si="110"/>
        <v>1575</v>
      </c>
      <c r="AZ976" s="17">
        <v>3</v>
      </c>
      <c r="BA976">
        <f t="shared" si="111"/>
        <v>15.75</v>
      </c>
    </row>
    <row r="977" spans="2:53">
      <c r="B977" t="s">
        <v>26</v>
      </c>
      <c r="C977" t="s">
        <v>5979</v>
      </c>
      <c r="D977" t="s">
        <v>5980</v>
      </c>
      <c r="E977" t="s">
        <v>29</v>
      </c>
      <c r="F977" t="s">
        <v>30</v>
      </c>
      <c r="G977" t="s">
        <v>31</v>
      </c>
      <c r="J977" t="s">
        <v>5979</v>
      </c>
      <c r="K977" t="s">
        <v>1967</v>
      </c>
      <c r="L977" t="s">
        <v>3863</v>
      </c>
      <c r="M977" s="8">
        <v>0.02925</v>
      </c>
      <c r="N977">
        <v>145.23264029167</v>
      </c>
      <c r="O977">
        <v>1909</v>
      </c>
      <c r="P977" s="9">
        <v>0.28</v>
      </c>
      <c r="Q977" t="s">
        <v>852</v>
      </c>
      <c r="T977" s="15" t="s">
        <v>69</v>
      </c>
      <c r="W977" s="16" t="str">
        <f t="shared" si="105"/>
        <v>EN_WON_28_c04_HRV</v>
      </c>
      <c r="X977" s="12">
        <f t="shared" si="106"/>
        <v>1909</v>
      </c>
      <c r="Y977" s="11">
        <f t="shared" si="107"/>
        <v>1909</v>
      </c>
      <c r="AC977" t="s">
        <v>26</v>
      </c>
      <c r="AD977" t="s">
        <v>5981</v>
      </c>
      <c r="AE977" t="s">
        <v>5982</v>
      </c>
      <c r="AF977" t="s">
        <v>29</v>
      </c>
      <c r="AG977" t="s">
        <v>30</v>
      </c>
      <c r="AH977" t="s">
        <v>31</v>
      </c>
      <c r="AK977" t="s">
        <v>5981</v>
      </c>
      <c r="AL977" t="s">
        <v>1967</v>
      </c>
      <c r="AM977" t="s">
        <v>5974</v>
      </c>
      <c r="AN977" s="8">
        <v>46.0425</v>
      </c>
      <c r="AO977">
        <v>199.694880401046</v>
      </c>
      <c r="AP977">
        <v>1575</v>
      </c>
      <c r="AQ977" s="9">
        <v>0.440822039420101</v>
      </c>
      <c r="AR977" t="s">
        <v>1805</v>
      </c>
      <c r="AT977" s="15" t="s">
        <v>89</v>
      </c>
      <c r="AW977" s="11" t="str">
        <f t="shared" si="108"/>
        <v>EN_WOF_44_c02_URY</v>
      </c>
      <c r="AX977" s="11">
        <f t="shared" si="109"/>
        <v>1575</v>
      </c>
      <c r="AY977" s="11">
        <f t="shared" si="110"/>
        <v>1575</v>
      </c>
      <c r="AZ977" s="17">
        <v>3</v>
      </c>
      <c r="BA977">
        <f t="shared" si="111"/>
        <v>15.75</v>
      </c>
    </row>
    <row r="978" spans="2:53">
      <c r="B978" t="s">
        <v>26</v>
      </c>
      <c r="C978" t="s">
        <v>5983</v>
      </c>
      <c r="D978" t="s">
        <v>5984</v>
      </c>
      <c r="E978" t="s">
        <v>29</v>
      </c>
      <c r="F978" t="s">
        <v>30</v>
      </c>
      <c r="G978" t="s">
        <v>31</v>
      </c>
      <c r="J978" t="s">
        <v>5983</v>
      </c>
      <c r="K978" t="s">
        <v>1967</v>
      </c>
      <c r="L978" t="s">
        <v>3863</v>
      </c>
      <c r="M978" s="8">
        <v>0.53625</v>
      </c>
      <c r="N978">
        <v>80.7856561622413</v>
      </c>
      <c r="O978">
        <v>1909</v>
      </c>
      <c r="P978" s="9">
        <v>0.291222377622378</v>
      </c>
      <c r="Q978" t="s">
        <v>852</v>
      </c>
      <c r="T978" s="15" t="s">
        <v>69</v>
      </c>
      <c r="W978" s="16" t="str">
        <f t="shared" si="105"/>
        <v>EN_WON_29_c02_HRV</v>
      </c>
      <c r="X978" s="12">
        <f t="shared" si="106"/>
        <v>1909</v>
      </c>
      <c r="Y978" s="11">
        <f t="shared" si="107"/>
        <v>1909</v>
      </c>
      <c r="AC978" t="s">
        <v>26</v>
      </c>
      <c r="AD978" t="s">
        <v>5985</v>
      </c>
      <c r="AE978" t="s">
        <v>5986</v>
      </c>
      <c r="AF978" t="s">
        <v>29</v>
      </c>
      <c r="AG978" t="s">
        <v>30</v>
      </c>
      <c r="AH978" t="s">
        <v>31</v>
      </c>
      <c r="AK978" t="s">
        <v>5985</v>
      </c>
      <c r="AL978" t="s">
        <v>1967</v>
      </c>
      <c r="AM978" t="s">
        <v>5974</v>
      </c>
      <c r="AN978" s="8">
        <v>3.7965</v>
      </c>
      <c r="AO978">
        <v>199.694880401046</v>
      </c>
      <c r="AP978">
        <v>1575</v>
      </c>
      <c r="AQ978" s="9">
        <v>0.451</v>
      </c>
      <c r="AR978" t="s">
        <v>1805</v>
      </c>
      <c r="AT978" s="15" t="s">
        <v>89</v>
      </c>
      <c r="AW978" s="11" t="str">
        <f t="shared" si="108"/>
        <v>EN_WOF_45_c02_URY</v>
      </c>
      <c r="AX978" s="11">
        <f t="shared" si="109"/>
        <v>1575</v>
      </c>
      <c r="AY978" s="11">
        <f t="shared" si="110"/>
        <v>1575</v>
      </c>
      <c r="AZ978" s="17">
        <v>3</v>
      </c>
      <c r="BA978">
        <f t="shared" si="111"/>
        <v>15.75</v>
      </c>
    </row>
    <row r="979" spans="2:53">
      <c r="B979" t="s">
        <v>26</v>
      </c>
      <c r="C979" t="s">
        <v>5987</v>
      </c>
      <c r="D979" t="s">
        <v>5988</v>
      </c>
      <c r="E979" t="s">
        <v>29</v>
      </c>
      <c r="F979" t="s">
        <v>30</v>
      </c>
      <c r="G979" t="s">
        <v>31</v>
      </c>
      <c r="J979" t="s">
        <v>5987</v>
      </c>
      <c r="K979" t="s">
        <v>1967</v>
      </c>
      <c r="L979" t="s">
        <v>3863</v>
      </c>
      <c r="M979" s="8">
        <v>0.243</v>
      </c>
      <c r="N979">
        <v>105.747516212372</v>
      </c>
      <c r="O979">
        <v>1909</v>
      </c>
      <c r="P979" s="9">
        <v>0.287</v>
      </c>
      <c r="Q979" t="s">
        <v>852</v>
      </c>
      <c r="T979" s="15" t="s">
        <v>69</v>
      </c>
      <c r="W979" s="16" t="str">
        <f t="shared" si="105"/>
        <v>EN_WON_29_c03_HRV</v>
      </c>
      <c r="X979" s="12">
        <f t="shared" si="106"/>
        <v>1909</v>
      </c>
      <c r="Y979" s="11">
        <f t="shared" si="107"/>
        <v>1909</v>
      </c>
      <c r="AC979" t="s">
        <v>26</v>
      </c>
      <c r="AD979" t="s">
        <v>5989</v>
      </c>
      <c r="AE979" t="s">
        <v>5990</v>
      </c>
      <c r="AF979" t="s">
        <v>29</v>
      </c>
      <c r="AG979" t="s">
        <v>30</v>
      </c>
      <c r="AH979" t="s">
        <v>31</v>
      </c>
      <c r="AK979" t="s">
        <v>5989</v>
      </c>
      <c r="AL979" t="s">
        <v>1967</v>
      </c>
      <c r="AM979" t="s">
        <v>5974</v>
      </c>
      <c r="AN979" s="8">
        <v>13.12275</v>
      </c>
      <c r="AO979">
        <v>199.694880401046</v>
      </c>
      <c r="AP979">
        <v>1575</v>
      </c>
      <c r="AQ979" s="9">
        <v>0.45912453563468</v>
      </c>
      <c r="AR979" t="s">
        <v>1805</v>
      </c>
      <c r="AT979" s="15" t="s">
        <v>89</v>
      </c>
      <c r="AW979" s="11" t="str">
        <f t="shared" si="108"/>
        <v>EN_WOF_46_c02_URY</v>
      </c>
      <c r="AX979" s="11">
        <f t="shared" si="109"/>
        <v>1575</v>
      </c>
      <c r="AY979" s="11">
        <f t="shared" si="110"/>
        <v>1575</v>
      </c>
      <c r="AZ979" s="17">
        <v>3</v>
      </c>
      <c r="BA979">
        <f t="shared" si="111"/>
        <v>15.75</v>
      </c>
    </row>
    <row r="980" spans="2:53">
      <c r="B980" t="s">
        <v>26</v>
      </c>
      <c r="C980" t="s">
        <v>5991</v>
      </c>
      <c r="D980" t="s">
        <v>5992</v>
      </c>
      <c r="E980" t="s">
        <v>29</v>
      </c>
      <c r="F980" t="s">
        <v>30</v>
      </c>
      <c r="G980" t="s">
        <v>31</v>
      </c>
      <c r="J980" t="s">
        <v>5991</v>
      </c>
      <c r="K980" t="s">
        <v>1967</v>
      </c>
      <c r="L980" t="s">
        <v>3863</v>
      </c>
      <c r="M980" s="8">
        <v>0.387</v>
      </c>
      <c r="N980">
        <v>0</v>
      </c>
      <c r="O980">
        <v>1909</v>
      </c>
      <c r="P980" s="9">
        <v>0.311</v>
      </c>
      <c r="Q980" t="s">
        <v>852</v>
      </c>
      <c r="T980" s="15" t="s">
        <v>69</v>
      </c>
      <c r="W980" s="16" t="str">
        <f t="shared" si="105"/>
        <v>EN_WON_31_c01_HRV</v>
      </c>
      <c r="X980" s="12">
        <f t="shared" si="106"/>
        <v>1909</v>
      </c>
      <c r="Y980" s="11">
        <f t="shared" si="107"/>
        <v>1909</v>
      </c>
      <c r="AC980" t="s">
        <v>26</v>
      </c>
      <c r="AD980" t="s">
        <v>5993</v>
      </c>
      <c r="AE980" t="s">
        <v>5994</v>
      </c>
      <c r="AF980" t="s">
        <v>29</v>
      </c>
      <c r="AG980" t="s">
        <v>30</v>
      </c>
      <c r="AH980" t="s">
        <v>31</v>
      </c>
      <c r="AK980" t="s">
        <v>5993</v>
      </c>
      <c r="AL980" t="s">
        <v>1967</v>
      </c>
      <c r="AM980" t="s">
        <v>5974</v>
      </c>
      <c r="AN980" s="8">
        <v>11.25075</v>
      </c>
      <c r="AO980">
        <v>199.694880401046</v>
      </c>
      <c r="AP980">
        <v>1575</v>
      </c>
      <c r="AQ980" s="9">
        <v>0.46941290580628</v>
      </c>
      <c r="AR980" t="s">
        <v>1805</v>
      </c>
      <c r="AT980" s="15" t="s">
        <v>89</v>
      </c>
      <c r="AW980" s="11" t="str">
        <f t="shared" si="108"/>
        <v>EN_WOF_47_c02_URY</v>
      </c>
      <c r="AX980" s="11">
        <f t="shared" si="109"/>
        <v>1575</v>
      </c>
      <c r="AY980" s="11">
        <f t="shared" si="110"/>
        <v>1575</v>
      </c>
      <c r="AZ980" s="17">
        <v>3</v>
      </c>
      <c r="BA980">
        <f t="shared" si="111"/>
        <v>15.75</v>
      </c>
    </row>
    <row r="981" spans="2:53">
      <c r="B981" t="s">
        <v>26</v>
      </c>
      <c r="C981" t="s">
        <v>5995</v>
      </c>
      <c r="D981" t="s">
        <v>5996</v>
      </c>
      <c r="E981" t="s">
        <v>29</v>
      </c>
      <c r="F981" t="s">
        <v>30</v>
      </c>
      <c r="G981" t="s">
        <v>31</v>
      </c>
      <c r="J981" t="s">
        <v>5995</v>
      </c>
      <c r="K981" t="s">
        <v>1967</v>
      </c>
      <c r="L981" t="s">
        <v>3863</v>
      </c>
      <c r="M981" s="8">
        <v>0.20325</v>
      </c>
      <c r="N981">
        <v>0</v>
      </c>
      <c r="O981">
        <v>1909</v>
      </c>
      <c r="P981" s="9">
        <v>0.347</v>
      </c>
      <c r="Q981" t="s">
        <v>852</v>
      </c>
      <c r="T981" s="15" t="s">
        <v>69</v>
      </c>
      <c r="W981" s="16" t="str">
        <f t="shared" si="105"/>
        <v>EN_WON_35_c01_HRV</v>
      </c>
      <c r="X981" s="12">
        <f t="shared" si="106"/>
        <v>1909</v>
      </c>
      <c r="Y981" s="11">
        <f t="shared" si="107"/>
        <v>1909</v>
      </c>
      <c r="AC981" t="s">
        <v>26</v>
      </c>
      <c r="AD981" t="s">
        <v>5997</v>
      </c>
      <c r="AE981" t="s">
        <v>5998</v>
      </c>
      <c r="AF981" t="s">
        <v>29</v>
      </c>
      <c r="AG981" t="s">
        <v>30</v>
      </c>
      <c r="AH981" t="s">
        <v>31</v>
      </c>
      <c r="AK981" t="s">
        <v>5997</v>
      </c>
      <c r="AL981" t="s">
        <v>1967</v>
      </c>
      <c r="AM981" t="s">
        <v>5974</v>
      </c>
      <c r="AN981" s="8">
        <v>8.03025</v>
      </c>
      <c r="AO981">
        <v>199.694880401046</v>
      </c>
      <c r="AP981">
        <v>1575</v>
      </c>
      <c r="AQ981" s="9">
        <v>0.48112926123097</v>
      </c>
      <c r="AR981" t="s">
        <v>1805</v>
      </c>
      <c r="AT981" s="15" t="s">
        <v>89</v>
      </c>
      <c r="AW981" s="11" t="str">
        <f t="shared" si="108"/>
        <v>EN_WOF_48_c02_URY</v>
      </c>
      <c r="AX981" s="11">
        <f t="shared" si="109"/>
        <v>1575</v>
      </c>
      <c r="AY981" s="11">
        <f t="shared" si="110"/>
        <v>1575</v>
      </c>
      <c r="AZ981" s="17">
        <v>3</v>
      </c>
      <c r="BA981">
        <f t="shared" si="111"/>
        <v>15.75</v>
      </c>
    </row>
    <row r="982" spans="2:53">
      <c r="B982" t="s">
        <v>26</v>
      </c>
      <c r="C982" t="s">
        <v>5999</v>
      </c>
      <c r="D982" t="s">
        <v>6000</v>
      </c>
      <c r="E982" t="s">
        <v>29</v>
      </c>
      <c r="F982" t="s">
        <v>30</v>
      </c>
      <c r="G982" t="s">
        <v>31</v>
      </c>
      <c r="J982" t="s">
        <v>5999</v>
      </c>
      <c r="K982" t="s">
        <v>1967</v>
      </c>
      <c r="L982" t="s">
        <v>3880</v>
      </c>
      <c r="M982" s="8">
        <v>2.44725</v>
      </c>
      <c r="N982">
        <v>145.23264029167</v>
      </c>
      <c r="O982">
        <v>1997</v>
      </c>
      <c r="P982" s="9">
        <v>0.273</v>
      </c>
      <c r="Q982" t="s">
        <v>862</v>
      </c>
      <c r="T982" s="15" t="s">
        <v>89</v>
      </c>
      <c r="W982" s="16" t="str">
        <f t="shared" si="105"/>
        <v>EN_WON_27_c04_HTI</v>
      </c>
      <c r="X982" s="12">
        <f t="shared" si="106"/>
        <v>1997</v>
      </c>
      <c r="Y982" s="11">
        <f t="shared" si="107"/>
        <v>1997</v>
      </c>
      <c r="AC982" t="s">
        <v>26</v>
      </c>
      <c r="AD982" t="s">
        <v>6001</v>
      </c>
      <c r="AE982" t="s">
        <v>6002</v>
      </c>
      <c r="AF982" t="s">
        <v>29</v>
      </c>
      <c r="AG982" t="s">
        <v>30</v>
      </c>
      <c r="AH982" t="s">
        <v>31</v>
      </c>
      <c r="AK982" t="s">
        <v>6001</v>
      </c>
      <c r="AL982" t="s">
        <v>1967</v>
      </c>
      <c r="AM982" t="s">
        <v>5974</v>
      </c>
      <c r="AN982" s="8">
        <v>7.65525</v>
      </c>
      <c r="AO982">
        <v>199.694880401046</v>
      </c>
      <c r="AP982">
        <v>1575</v>
      </c>
      <c r="AQ982" s="9">
        <v>0.48964534143235</v>
      </c>
      <c r="AR982" t="s">
        <v>1805</v>
      </c>
      <c r="AT982" s="15" t="s">
        <v>89</v>
      </c>
      <c r="AW982" s="11" t="str">
        <f t="shared" si="108"/>
        <v>EN_WOF_49_c02_URY</v>
      </c>
      <c r="AX982" s="11">
        <f t="shared" si="109"/>
        <v>1575</v>
      </c>
      <c r="AY982" s="11">
        <f t="shared" si="110"/>
        <v>1575</v>
      </c>
      <c r="AZ982" s="17">
        <v>3</v>
      </c>
      <c r="BA982">
        <f t="shared" si="111"/>
        <v>15.75</v>
      </c>
    </row>
    <row r="983" spans="2:53">
      <c r="B983" t="s">
        <v>26</v>
      </c>
      <c r="C983" t="s">
        <v>6003</v>
      </c>
      <c r="D983" t="s">
        <v>6004</v>
      </c>
      <c r="E983" t="s">
        <v>29</v>
      </c>
      <c r="F983" t="s">
        <v>30</v>
      </c>
      <c r="G983" t="s">
        <v>31</v>
      </c>
      <c r="J983" t="s">
        <v>6003</v>
      </c>
      <c r="K983" t="s">
        <v>1967</v>
      </c>
      <c r="L983" t="s">
        <v>3880</v>
      </c>
      <c r="M983" s="8">
        <v>0.312</v>
      </c>
      <c r="N983">
        <v>145.23264029167</v>
      </c>
      <c r="O983">
        <v>1997</v>
      </c>
      <c r="P983" s="9">
        <v>0.291</v>
      </c>
      <c r="Q983" t="s">
        <v>862</v>
      </c>
      <c r="T983" s="15" t="s">
        <v>89</v>
      </c>
      <c r="W983" s="16" t="str">
        <f t="shared" si="105"/>
        <v>EN_WON_29_c04_HTI</v>
      </c>
      <c r="X983" s="12">
        <f t="shared" si="106"/>
        <v>1997</v>
      </c>
      <c r="Y983" s="11">
        <f t="shared" si="107"/>
        <v>1997</v>
      </c>
      <c r="AC983" t="s">
        <v>26</v>
      </c>
      <c r="AD983" t="s">
        <v>6005</v>
      </c>
      <c r="AE983" t="s">
        <v>6006</v>
      </c>
      <c r="AF983" t="s">
        <v>29</v>
      </c>
      <c r="AG983" t="s">
        <v>30</v>
      </c>
      <c r="AH983" t="s">
        <v>31</v>
      </c>
      <c r="AK983" t="s">
        <v>6005</v>
      </c>
      <c r="AL983" t="s">
        <v>1967</v>
      </c>
      <c r="AM983" t="s">
        <v>5974</v>
      </c>
      <c r="AN983" s="8">
        <v>7.06125</v>
      </c>
      <c r="AO983">
        <v>199.694880401046</v>
      </c>
      <c r="AP983">
        <v>1575</v>
      </c>
      <c r="AQ983" s="9">
        <v>0.501</v>
      </c>
      <c r="AR983" t="s">
        <v>1805</v>
      </c>
      <c r="AT983" s="15" t="s">
        <v>89</v>
      </c>
      <c r="AW983" s="11" t="str">
        <f t="shared" si="108"/>
        <v>EN_WOF_50_c02_URY</v>
      </c>
      <c r="AX983" s="11">
        <f t="shared" si="109"/>
        <v>1575</v>
      </c>
      <c r="AY983" s="11">
        <f t="shared" si="110"/>
        <v>1575</v>
      </c>
      <c r="AZ983" s="17">
        <v>3</v>
      </c>
      <c r="BA983">
        <f t="shared" si="111"/>
        <v>15.75</v>
      </c>
    </row>
    <row r="984" spans="2:53">
      <c r="B984" t="s">
        <v>26</v>
      </c>
      <c r="C984" t="s">
        <v>6007</v>
      </c>
      <c r="D984" t="s">
        <v>6008</v>
      </c>
      <c r="E984" t="s">
        <v>29</v>
      </c>
      <c r="F984" t="s">
        <v>30</v>
      </c>
      <c r="G984" t="s">
        <v>31</v>
      </c>
      <c r="J984" t="s">
        <v>6007</v>
      </c>
      <c r="K984" t="s">
        <v>1967</v>
      </c>
      <c r="L984" t="s">
        <v>6009</v>
      </c>
      <c r="M984" s="8">
        <v>5.48925</v>
      </c>
      <c r="N984">
        <v>80.7856561622413</v>
      </c>
      <c r="O984">
        <v>1827</v>
      </c>
      <c r="P984" s="9">
        <v>0.200086077332969</v>
      </c>
      <c r="Q984" t="s">
        <v>870</v>
      </c>
      <c r="T984" s="15" t="s">
        <v>69</v>
      </c>
      <c r="W984" s="16" t="str">
        <f t="shared" si="105"/>
        <v>EN_WON_20_c02_HUN</v>
      </c>
      <c r="X984" s="12">
        <f t="shared" si="106"/>
        <v>1827</v>
      </c>
      <c r="Y984" s="11">
        <f t="shared" si="107"/>
        <v>1827</v>
      </c>
      <c r="AC984" t="s">
        <v>26</v>
      </c>
      <c r="AD984" t="s">
        <v>6010</v>
      </c>
      <c r="AE984" t="s">
        <v>6011</v>
      </c>
      <c r="AF984" t="s">
        <v>29</v>
      </c>
      <c r="AG984" t="s">
        <v>30</v>
      </c>
      <c r="AH984" t="s">
        <v>31</v>
      </c>
      <c r="AK984" t="s">
        <v>6010</v>
      </c>
      <c r="AL984" t="s">
        <v>1967</v>
      </c>
      <c r="AM984" t="s">
        <v>5974</v>
      </c>
      <c r="AN984" s="8">
        <v>7.11225</v>
      </c>
      <c r="AO984">
        <v>199.694880401046</v>
      </c>
      <c r="AP984">
        <v>1575</v>
      </c>
      <c r="AQ984" s="9">
        <v>0.507</v>
      </c>
      <c r="AR984" t="s">
        <v>1805</v>
      </c>
      <c r="AT984" s="15" t="s">
        <v>89</v>
      </c>
      <c r="AW984" s="11" t="str">
        <f t="shared" si="108"/>
        <v>EN_WOF_51_c02_URY</v>
      </c>
      <c r="AX984" s="11">
        <f t="shared" si="109"/>
        <v>1575</v>
      </c>
      <c r="AY984" s="11">
        <f t="shared" si="110"/>
        <v>1575</v>
      </c>
      <c r="AZ984" s="17">
        <v>3</v>
      </c>
      <c r="BA984">
        <f t="shared" si="111"/>
        <v>15.75</v>
      </c>
    </row>
    <row r="985" spans="2:53">
      <c r="B985" t="s">
        <v>26</v>
      </c>
      <c r="C985" t="s">
        <v>6012</v>
      </c>
      <c r="D985" t="s">
        <v>6013</v>
      </c>
      <c r="E985" t="s">
        <v>29</v>
      </c>
      <c r="F985" t="s">
        <v>30</v>
      </c>
      <c r="G985" t="s">
        <v>31</v>
      </c>
      <c r="J985" t="s">
        <v>6012</v>
      </c>
      <c r="K985" t="s">
        <v>1967</v>
      </c>
      <c r="L985" t="s">
        <v>6009</v>
      </c>
      <c r="M985" s="8">
        <v>1.548</v>
      </c>
      <c r="N985">
        <v>0</v>
      </c>
      <c r="O985">
        <v>1827</v>
      </c>
      <c r="P985" s="9">
        <v>0.208927325581395</v>
      </c>
      <c r="Q985" t="s">
        <v>870</v>
      </c>
      <c r="T985" s="15" t="s">
        <v>69</v>
      </c>
      <c r="W985" s="16" t="str">
        <f t="shared" si="105"/>
        <v>EN_WON_21_c01_HUN</v>
      </c>
      <c r="X985" s="12">
        <f t="shared" si="106"/>
        <v>1827</v>
      </c>
      <c r="Y985" s="11">
        <f t="shared" si="107"/>
        <v>1827</v>
      </c>
      <c r="AC985" t="s">
        <v>26</v>
      </c>
      <c r="AD985" t="s">
        <v>6014</v>
      </c>
      <c r="AE985" t="s">
        <v>6015</v>
      </c>
      <c r="AF985" t="s">
        <v>29</v>
      </c>
      <c r="AG985" t="s">
        <v>30</v>
      </c>
      <c r="AH985" t="s">
        <v>31</v>
      </c>
      <c r="AK985" t="s">
        <v>6014</v>
      </c>
      <c r="AL985" t="s">
        <v>1967</v>
      </c>
      <c r="AM985" t="s">
        <v>6016</v>
      </c>
      <c r="AN985" s="8">
        <v>2.133</v>
      </c>
      <c r="AO985">
        <v>199.694880401046</v>
      </c>
      <c r="AP985">
        <v>1553</v>
      </c>
      <c r="AQ985" s="9">
        <v>0.30207770745429</v>
      </c>
      <c r="AR985" t="s">
        <v>119</v>
      </c>
      <c r="AT985" s="15" t="s">
        <v>119</v>
      </c>
      <c r="AW985" s="11" t="str">
        <f t="shared" si="108"/>
        <v>EN_WOF_30_c02_USA</v>
      </c>
      <c r="AX985" s="11">
        <f t="shared" si="109"/>
        <v>1553</v>
      </c>
      <c r="AY985" s="11">
        <f t="shared" si="110"/>
        <v>1553</v>
      </c>
      <c r="AZ985" s="17">
        <v>3</v>
      </c>
      <c r="BA985">
        <f t="shared" si="111"/>
        <v>15.53</v>
      </c>
    </row>
    <row r="986" spans="2:53">
      <c r="B986" t="s">
        <v>26</v>
      </c>
      <c r="C986" t="s">
        <v>6017</v>
      </c>
      <c r="D986" t="s">
        <v>6018</v>
      </c>
      <c r="E986" t="s">
        <v>29</v>
      </c>
      <c r="F986" t="s">
        <v>30</v>
      </c>
      <c r="G986" t="s">
        <v>31</v>
      </c>
      <c r="J986" t="s">
        <v>6017</v>
      </c>
      <c r="K986" t="s">
        <v>1967</v>
      </c>
      <c r="L986" t="s">
        <v>6009</v>
      </c>
      <c r="M986" s="8">
        <v>0.945</v>
      </c>
      <c r="N986">
        <v>80.7856561622413</v>
      </c>
      <c r="O986">
        <v>1827</v>
      </c>
      <c r="P986" s="9">
        <v>0.209146031746032</v>
      </c>
      <c r="Q986" t="s">
        <v>870</v>
      </c>
      <c r="T986" s="15" t="s">
        <v>69</v>
      </c>
      <c r="W986" s="16" t="str">
        <f t="shared" si="105"/>
        <v>EN_WON_21_c02_HUN</v>
      </c>
      <c r="X986" s="12">
        <f t="shared" si="106"/>
        <v>1827</v>
      </c>
      <c r="Y986" s="11">
        <f t="shared" si="107"/>
        <v>1827</v>
      </c>
      <c r="AC986" t="s">
        <v>26</v>
      </c>
      <c r="AD986" t="s">
        <v>6019</v>
      </c>
      <c r="AE986" t="s">
        <v>6020</v>
      </c>
      <c r="AF986" t="s">
        <v>29</v>
      </c>
      <c r="AG986" t="s">
        <v>30</v>
      </c>
      <c r="AH986" t="s">
        <v>31</v>
      </c>
      <c r="AK986" t="s">
        <v>6019</v>
      </c>
      <c r="AL986" t="s">
        <v>1967</v>
      </c>
      <c r="AM986" t="s">
        <v>6016</v>
      </c>
      <c r="AN986" s="8">
        <v>1.5525</v>
      </c>
      <c r="AO986">
        <v>199.694880401046</v>
      </c>
      <c r="AP986">
        <v>1553</v>
      </c>
      <c r="AQ986" s="9">
        <v>0.311177777777778</v>
      </c>
      <c r="AR986" t="s">
        <v>119</v>
      </c>
      <c r="AT986" s="15" t="s">
        <v>119</v>
      </c>
      <c r="AW986" s="11" t="str">
        <f t="shared" si="108"/>
        <v>EN_WOF_31_c02_USA</v>
      </c>
      <c r="AX986" s="11">
        <f t="shared" si="109"/>
        <v>1553</v>
      </c>
      <c r="AY986" s="11">
        <f t="shared" si="110"/>
        <v>1553</v>
      </c>
      <c r="AZ986" s="17">
        <v>3</v>
      </c>
      <c r="BA986">
        <f t="shared" si="111"/>
        <v>15.53</v>
      </c>
    </row>
    <row r="987" spans="2:53">
      <c r="B987" t="s">
        <v>26</v>
      </c>
      <c r="C987" t="s">
        <v>6021</v>
      </c>
      <c r="D987" t="s">
        <v>6022</v>
      </c>
      <c r="E987" t="s">
        <v>29</v>
      </c>
      <c r="F987" t="s">
        <v>30</v>
      </c>
      <c r="G987" t="s">
        <v>31</v>
      </c>
      <c r="J987" t="s">
        <v>6021</v>
      </c>
      <c r="K987" t="s">
        <v>1967</v>
      </c>
      <c r="L987" t="s">
        <v>6009</v>
      </c>
      <c r="M987" s="8">
        <v>1.905</v>
      </c>
      <c r="N987">
        <v>0</v>
      </c>
      <c r="O987">
        <v>1827</v>
      </c>
      <c r="P987" s="9">
        <v>0.218253543307087</v>
      </c>
      <c r="Q987" t="s">
        <v>870</v>
      </c>
      <c r="T987" s="15" t="s">
        <v>69</v>
      </c>
      <c r="W987" s="16" t="str">
        <f t="shared" si="105"/>
        <v>EN_WON_22_c01_HUN</v>
      </c>
      <c r="X987" s="12">
        <f t="shared" si="106"/>
        <v>1827</v>
      </c>
      <c r="Y987" s="11">
        <f t="shared" si="107"/>
        <v>1827</v>
      </c>
      <c r="AC987" t="s">
        <v>26</v>
      </c>
      <c r="AD987" t="s">
        <v>6023</v>
      </c>
      <c r="AE987" t="s">
        <v>6024</v>
      </c>
      <c r="AF987" t="s">
        <v>29</v>
      </c>
      <c r="AG987" t="s">
        <v>30</v>
      </c>
      <c r="AH987" t="s">
        <v>31</v>
      </c>
      <c r="AK987" t="s">
        <v>6023</v>
      </c>
      <c r="AL987" t="s">
        <v>1967</v>
      </c>
      <c r="AM987" t="s">
        <v>6016</v>
      </c>
      <c r="AN987" s="8">
        <v>1.599</v>
      </c>
      <c r="AO987">
        <v>199.694880401046</v>
      </c>
      <c r="AP987">
        <v>1553</v>
      </c>
      <c r="AQ987" s="9">
        <v>0.356073639774859</v>
      </c>
      <c r="AR987" t="s">
        <v>119</v>
      </c>
      <c r="AT987" s="15" t="s">
        <v>119</v>
      </c>
      <c r="AW987" s="11" t="str">
        <f t="shared" si="108"/>
        <v>EN_WOF_36_c02_USA</v>
      </c>
      <c r="AX987" s="11">
        <f t="shared" si="109"/>
        <v>1553</v>
      </c>
      <c r="AY987" s="11">
        <f t="shared" si="110"/>
        <v>1553</v>
      </c>
      <c r="AZ987" s="17">
        <v>3</v>
      </c>
      <c r="BA987">
        <f t="shared" si="111"/>
        <v>15.53</v>
      </c>
    </row>
    <row r="988" spans="2:53">
      <c r="B988" t="s">
        <v>26</v>
      </c>
      <c r="C988" t="s">
        <v>6025</v>
      </c>
      <c r="D988" t="s">
        <v>6026</v>
      </c>
      <c r="E988" t="s">
        <v>29</v>
      </c>
      <c r="F988" t="s">
        <v>30</v>
      </c>
      <c r="G988" t="s">
        <v>31</v>
      </c>
      <c r="J988" t="s">
        <v>6025</v>
      </c>
      <c r="K988" t="s">
        <v>1967</v>
      </c>
      <c r="L988" t="s">
        <v>6009</v>
      </c>
      <c r="M988" s="8">
        <v>1.1325</v>
      </c>
      <c r="N988">
        <v>80.7856561622413</v>
      </c>
      <c r="O988">
        <v>1827</v>
      </c>
      <c r="P988" s="9">
        <v>0.22133642384106</v>
      </c>
      <c r="Q988" t="s">
        <v>870</v>
      </c>
      <c r="T988" s="15" t="s">
        <v>69</v>
      </c>
      <c r="W988" s="16" t="str">
        <f t="shared" si="105"/>
        <v>EN_WON_22_c02_HUN</v>
      </c>
      <c r="X988" s="12">
        <f t="shared" si="106"/>
        <v>1827</v>
      </c>
      <c r="Y988" s="11">
        <f t="shared" si="107"/>
        <v>1827</v>
      </c>
      <c r="AC988" t="s">
        <v>26</v>
      </c>
      <c r="AD988" t="s">
        <v>6027</v>
      </c>
      <c r="AE988" t="s">
        <v>6028</v>
      </c>
      <c r="AF988" t="s">
        <v>29</v>
      </c>
      <c r="AG988" t="s">
        <v>30</v>
      </c>
      <c r="AH988" t="s">
        <v>31</v>
      </c>
      <c r="AK988" t="s">
        <v>6027</v>
      </c>
      <c r="AL988" t="s">
        <v>1967</v>
      </c>
      <c r="AM988" t="s">
        <v>6016</v>
      </c>
      <c r="AN988" s="8">
        <v>0.99</v>
      </c>
      <c r="AO988">
        <v>199.694880401046</v>
      </c>
      <c r="AP988">
        <v>1553</v>
      </c>
      <c r="AQ988" s="9">
        <v>0.401992424242424</v>
      </c>
      <c r="AR988" t="s">
        <v>119</v>
      </c>
      <c r="AT988" s="15" t="s">
        <v>119</v>
      </c>
      <c r="AW988" s="11" t="str">
        <f t="shared" si="108"/>
        <v>EN_WOF_40_c02_USA</v>
      </c>
      <c r="AX988" s="11">
        <f t="shared" si="109"/>
        <v>1553</v>
      </c>
      <c r="AY988" s="11">
        <f t="shared" si="110"/>
        <v>1553</v>
      </c>
      <c r="AZ988" s="17">
        <v>3</v>
      </c>
      <c r="BA988">
        <f t="shared" si="111"/>
        <v>15.53</v>
      </c>
    </row>
    <row r="989" spans="2:53">
      <c r="B989" t="s">
        <v>26</v>
      </c>
      <c r="C989" t="s">
        <v>6029</v>
      </c>
      <c r="D989" t="s">
        <v>6030</v>
      </c>
      <c r="E989" t="s">
        <v>29</v>
      </c>
      <c r="F989" t="s">
        <v>30</v>
      </c>
      <c r="G989" t="s">
        <v>31</v>
      </c>
      <c r="J989" t="s">
        <v>6029</v>
      </c>
      <c r="K989" t="s">
        <v>1967</v>
      </c>
      <c r="L989" t="s">
        <v>6009</v>
      </c>
      <c r="M989" s="8">
        <v>2.3025</v>
      </c>
      <c r="N989">
        <v>0</v>
      </c>
      <c r="O989">
        <v>1827</v>
      </c>
      <c r="P989" s="9">
        <v>0.231189576547231</v>
      </c>
      <c r="Q989" t="s">
        <v>870</v>
      </c>
      <c r="T989" s="15" t="s">
        <v>69</v>
      </c>
      <c r="W989" s="16" t="str">
        <f t="shared" si="105"/>
        <v>EN_WON_23_c01_HUN</v>
      </c>
      <c r="X989" s="12">
        <f t="shared" si="106"/>
        <v>1827</v>
      </c>
      <c r="Y989" s="11">
        <f t="shared" si="107"/>
        <v>1827</v>
      </c>
      <c r="AC989" t="s">
        <v>26</v>
      </c>
      <c r="AD989" t="s">
        <v>6031</v>
      </c>
      <c r="AE989" t="s">
        <v>6032</v>
      </c>
      <c r="AF989" t="s">
        <v>29</v>
      </c>
      <c r="AG989" t="s">
        <v>30</v>
      </c>
      <c r="AH989" t="s">
        <v>31</v>
      </c>
      <c r="AK989" t="s">
        <v>6031</v>
      </c>
      <c r="AL989" t="s">
        <v>1967</v>
      </c>
      <c r="AM989" t="s">
        <v>6016</v>
      </c>
      <c r="AN989" s="8">
        <v>2.10225</v>
      </c>
      <c r="AO989">
        <v>199.694880401046</v>
      </c>
      <c r="AP989">
        <v>1553</v>
      </c>
      <c r="AQ989" s="9">
        <v>0.412558330360328</v>
      </c>
      <c r="AR989" t="s">
        <v>119</v>
      </c>
      <c r="AT989" s="15" t="s">
        <v>119</v>
      </c>
      <c r="AW989" s="11" t="str">
        <f t="shared" si="108"/>
        <v>EN_WOF_41_c02_USA</v>
      </c>
      <c r="AX989" s="11">
        <f t="shared" si="109"/>
        <v>1553</v>
      </c>
      <c r="AY989" s="11">
        <f t="shared" si="110"/>
        <v>1553</v>
      </c>
      <c r="AZ989" s="17">
        <v>3</v>
      </c>
      <c r="BA989">
        <f t="shared" si="111"/>
        <v>15.53</v>
      </c>
    </row>
    <row r="990" spans="2:53">
      <c r="B990" t="s">
        <v>26</v>
      </c>
      <c r="C990" t="s">
        <v>6033</v>
      </c>
      <c r="D990" t="s">
        <v>6034</v>
      </c>
      <c r="E990" t="s">
        <v>29</v>
      </c>
      <c r="F990" t="s">
        <v>30</v>
      </c>
      <c r="G990" t="s">
        <v>31</v>
      </c>
      <c r="J990" t="s">
        <v>6033</v>
      </c>
      <c r="K990" t="s">
        <v>1967</v>
      </c>
      <c r="L990" t="s">
        <v>6009</v>
      </c>
      <c r="M990" s="8">
        <v>2.055</v>
      </c>
      <c r="N990">
        <v>80.7856561622413</v>
      </c>
      <c r="O990">
        <v>1827</v>
      </c>
      <c r="P990" s="9">
        <v>0.227077737226277</v>
      </c>
      <c r="Q990" t="s">
        <v>870</v>
      </c>
      <c r="T990" s="15" t="s">
        <v>69</v>
      </c>
      <c r="W990" s="16" t="str">
        <f t="shared" si="105"/>
        <v>EN_WON_23_c02_HUN</v>
      </c>
      <c r="X990" s="12">
        <f t="shared" si="106"/>
        <v>1827</v>
      </c>
      <c r="Y990" s="11">
        <f t="shared" si="107"/>
        <v>1827</v>
      </c>
      <c r="AC990" t="s">
        <v>26</v>
      </c>
      <c r="AD990" t="s">
        <v>6035</v>
      </c>
      <c r="AE990" t="s">
        <v>6036</v>
      </c>
      <c r="AF990" t="s">
        <v>29</v>
      </c>
      <c r="AG990" t="s">
        <v>30</v>
      </c>
      <c r="AH990" t="s">
        <v>31</v>
      </c>
      <c r="AK990" t="s">
        <v>6035</v>
      </c>
      <c r="AL990" t="s">
        <v>1967</v>
      </c>
      <c r="AM990" t="s">
        <v>6016</v>
      </c>
      <c r="AN990" s="8">
        <v>1.88175</v>
      </c>
      <c r="AO990">
        <v>199.694880401046</v>
      </c>
      <c r="AP990">
        <v>1553</v>
      </c>
      <c r="AQ990" s="9">
        <v>0.422678756476684</v>
      </c>
      <c r="AR990" t="s">
        <v>119</v>
      </c>
      <c r="AT990" s="15" t="s">
        <v>119</v>
      </c>
      <c r="AW990" s="11" t="str">
        <f t="shared" si="108"/>
        <v>EN_WOF_42_c02_USA</v>
      </c>
      <c r="AX990" s="11">
        <f t="shared" si="109"/>
        <v>1553</v>
      </c>
      <c r="AY990" s="11">
        <f t="shared" si="110"/>
        <v>1553</v>
      </c>
      <c r="AZ990" s="17">
        <v>3</v>
      </c>
      <c r="BA990">
        <f t="shared" si="111"/>
        <v>15.53</v>
      </c>
    </row>
    <row r="991" spans="2:53">
      <c r="B991" t="s">
        <v>26</v>
      </c>
      <c r="C991" t="s">
        <v>6037</v>
      </c>
      <c r="D991" t="s">
        <v>6038</v>
      </c>
      <c r="E991" t="s">
        <v>29</v>
      </c>
      <c r="F991" t="s">
        <v>30</v>
      </c>
      <c r="G991" t="s">
        <v>31</v>
      </c>
      <c r="J991" t="s">
        <v>6037</v>
      </c>
      <c r="K991" t="s">
        <v>1967</v>
      </c>
      <c r="L991" t="s">
        <v>6009</v>
      </c>
      <c r="M991" s="8">
        <v>0.07125</v>
      </c>
      <c r="N991">
        <v>105.747516212372</v>
      </c>
      <c r="O991">
        <v>1827</v>
      </c>
      <c r="P991" s="9">
        <v>0.231</v>
      </c>
      <c r="Q991" t="s">
        <v>870</v>
      </c>
      <c r="T991" s="15" t="s">
        <v>69</v>
      </c>
      <c r="W991" s="16" t="str">
        <f t="shared" si="105"/>
        <v>EN_WON_23_c03_HUN</v>
      </c>
      <c r="X991" s="12">
        <f t="shared" si="106"/>
        <v>1827</v>
      </c>
      <c r="Y991" s="11">
        <f t="shared" si="107"/>
        <v>1827</v>
      </c>
      <c r="AC991" t="s">
        <v>26</v>
      </c>
      <c r="AD991" t="s">
        <v>6039</v>
      </c>
      <c r="AE991" t="s">
        <v>6040</v>
      </c>
      <c r="AF991" t="s">
        <v>29</v>
      </c>
      <c r="AG991" t="s">
        <v>30</v>
      </c>
      <c r="AH991" t="s">
        <v>31</v>
      </c>
      <c r="AK991" t="s">
        <v>6039</v>
      </c>
      <c r="AL991" t="s">
        <v>1967</v>
      </c>
      <c r="AM991" t="s">
        <v>6016</v>
      </c>
      <c r="AN991" s="8">
        <v>4.7085</v>
      </c>
      <c r="AO991">
        <v>199.694880401046</v>
      </c>
      <c r="AP991">
        <v>1553</v>
      </c>
      <c r="AQ991" s="9">
        <v>0.432684453647658</v>
      </c>
      <c r="AR991" t="s">
        <v>119</v>
      </c>
      <c r="AT991" s="15" t="s">
        <v>119</v>
      </c>
      <c r="AW991" s="11" t="str">
        <f t="shared" si="108"/>
        <v>EN_WOF_43_c02_USA</v>
      </c>
      <c r="AX991" s="11">
        <f t="shared" si="109"/>
        <v>1553</v>
      </c>
      <c r="AY991" s="11">
        <f t="shared" si="110"/>
        <v>1553</v>
      </c>
      <c r="AZ991" s="17">
        <v>3</v>
      </c>
      <c r="BA991">
        <f t="shared" si="111"/>
        <v>15.53</v>
      </c>
    </row>
    <row r="992" spans="2:53">
      <c r="B992" t="s">
        <v>26</v>
      </c>
      <c r="C992" t="s">
        <v>6041</v>
      </c>
      <c r="D992" t="s">
        <v>6042</v>
      </c>
      <c r="E992" t="s">
        <v>29</v>
      </c>
      <c r="F992" t="s">
        <v>30</v>
      </c>
      <c r="G992" t="s">
        <v>31</v>
      </c>
      <c r="J992" t="s">
        <v>6041</v>
      </c>
      <c r="K992" t="s">
        <v>1967</v>
      </c>
      <c r="L992" t="s">
        <v>6009</v>
      </c>
      <c r="M992" s="8">
        <v>2.856</v>
      </c>
      <c r="N992">
        <v>0</v>
      </c>
      <c r="O992">
        <v>1827</v>
      </c>
      <c r="P992" s="9">
        <v>0.238825105042017</v>
      </c>
      <c r="Q992" t="s">
        <v>870</v>
      </c>
      <c r="T992" s="15" t="s">
        <v>69</v>
      </c>
      <c r="W992" s="16" t="str">
        <f t="shared" si="105"/>
        <v>EN_WON_24_c01_HUN</v>
      </c>
      <c r="X992" s="12">
        <f t="shared" si="106"/>
        <v>1827</v>
      </c>
      <c r="Y992" s="11">
        <f t="shared" si="107"/>
        <v>1827</v>
      </c>
      <c r="AC992" t="s">
        <v>26</v>
      </c>
      <c r="AD992" t="s">
        <v>6043</v>
      </c>
      <c r="AE992" t="s">
        <v>6044</v>
      </c>
      <c r="AF992" t="s">
        <v>29</v>
      </c>
      <c r="AG992" t="s">
        <v>30</v>
      </c>
      <c r="AH992" t="s">
        <v>31</v>
      </c>
      <c r="AK992" t="s">
        <v>6043</v>
      </c>
      <c r="AL992" t="s">
        <v>1967</v>
      </c>
      <c r="AM992" t="s">
        <v>6016</v>
      </c>
      <c r="AN992" s="8">
        <v>8.01075</v>
      </c>
      <c r="AO992">
        <v>199.694880401046</v>
      </c>
      <c r="AP992">
        <v>1553</v>
      </c>
      <c r="AQ992" s="9">
        <v>0.438250725587492</v>
      </c>
      <c r="AR992" t="s">
        <v>119</v>
      </c>
      <c r="AT992" s="15" t="s">
        <v>119</v>
      </c>
      <c r="AW992" s="11" t="str">
        <f t="shared" si="108"/>
        <v>EN_WOF_44_c02_USA</v>
      </c>
      <c r="AX992" s="11">
        <f t="shared" si="109"/>
        <v>1553</v>
      </c>
      <c r="AY992" s="11">
        <f t="shared" si="110"/>
        <v>1553</v>
      </c>
      <c r="AZ992" s="17">
        <v>3</v>
      </c>
      <c r="BA992">
        <f t="shared" si="111"/>
        <v>15.53</v>
      </c>
    </row>
    <row r="993" spans="2:53">
      <c r="B993" t="s">
        <v>26</v>
      </c>
      <c r="C993" t="s">
        <v>6045</v>
      </c>
      <c r="D993" t="s">
        <v>6046</v>
      </c>
      <c r="E993" t="s">
        <v>29</v>
      </c>
      <c r="F993" t="s">
        <v>30</v>
      </c>
      <c r="G993" t="s">
        <v>31</v>
      </c>
      <c r="J993" t="s">
        <v>6045</v>
      </c>
      <c r="K993" t="s">
        <v>1967</v>
      </c>
      <c r="L993" t="s">
        <v>6009</v>
      </c>
      <c r="M993" s="8">
        <v>0.3525</v>
      </c>
      <c r="N993">
        <v>80.7856561622413</v>
      </c>
      <c r="O993">
        <v>1827</v>
      </c>
      <c r="P993" s="9">
        <v>0.236</v>
      </c>
      <c r="Q993" t="s">
        <v>870</v>
      </c>
      <c r="T993" s="15" t="s">
        <v>69</v>
      </c>
      <c r="W993" s="16" t="str">
        <f t="shared" si="105"/>
        <v>EN_WON_24_c02_HUN</v>
      </c>
      <c r="X993" s="12">
        <f t="shared" si="106"/>
        <v>1827</v>
      </c>
      <c r="Y993" s="11">
        <f t="shared" si="107"/>
        <v>1827</v>
      </c>
      <c r="AC993" t="s">
        <v>26</v>
      </c>
      <c r="AD993" t="s">
        <v>6047</v>
      </c>
      <c r="AE993" t="s">
        <v>6048</v>
      </c>
      <c r="AF993" t="s">
        <v>29</v>
      </c>
      <c r="AG993" t="s">
        <v>30</v>
      </c>
      <c r="AH993" t="s">
        <v>31</v>
      </c>
      <c r="AK993" t="s">
        <v>6047</v>
      </c>
      <c r="AL993" t="s">
        <v>1967</v>
      </c>
      <c r="AM993" t="s">
        <v>6016</v>
      </c>
      <c r="AN993" s="8">
        <v>6.699</v>
      </c>
      <c r="AO993">
        <v>199.694880401046</v>
      </c>
      <c r="AP993">
        <v>1553</v>
      </c>
      <c r="AQ993" s="9">
        <v>0.449776757725034</v>
      </c>
      <c r="AR993" t="s">
        <v>119</v>
      </c>
      <c r="AT993" s="15" t="s">
        <v>119</v>
      </c>
      <c r="AW993" s="11" t="str">
        <f t="shared" si="108"/>
        <v>EN_WOF_45_c02_USA</v>
      </c>
      <c r="AX993" s="11">
        <f t="shared" si="109"/>
        <v>1553</v>
      </c>
      <c r="AY993" s="11">
        <f t="shared" si="110"/>
        <v>1553</v>
      </c>
      <c r="AZ993" s="17">
        <v>3</v>
      </c>
      <c r="BA993">
        <f t="shared" si="111"/>
        <v>15.53</v>
      </c>
    </row>
    <row r="994" spans="2:53">
      <c r="B994" t="s">
        <v>26</v>
      </c>
      <c r="C994" t="s">
        <v>6049</v>
      </c>
      <c r="D994" t="s">
        <v>6050</v>
      </c>
      <c r="E994" t="s">
        <v>29</v>
      </c>
      <c r="F994" t="s">
        <v>30</v>
      </c>
      <c r="G994" t="s">
        <v>31</v>
      </c>
      <c r="J994" t="s">
        <v>6049</v>
      </c>
      <c r="K994" t="s">
        <v>1967</v>
      </c>
      <c r="L994" t="s">
        <v>6009</v>
      </c>
      <c r="M994" s="8">
        <v>2.41275</v>
      </c>
      <c r="N994">
        <v>0</v>
      </c>
      <c r="O994">
        <v>1827</v>
      </c>
      <c r="P994" s="9">
        <v>0.246899906745415</v>
      </c>
      <c r="Q994" t="s">
        <v>870</v>
      </c>
      <c r="T994" s="15" t="s">
        <v>69</v>
      </c>
      <c r="W994" s="16" t="str">
        <f t="shared" si="105"/>
        <v>EN_WON_25_c01_HUN</v>
      </c>
      <c r="X994" s="12">
        <f t="shared" si="106"/>
        <v>1827</v>
      </c>
      <c r="Y994" s="11">
        <f t="shared" si="107"/>
        <v>1827</v>
      </c>
      <c r="AC994" t="s">
        <v>26</v>
      </c>
      <c r="AD994" t="s">
        <v>6051</v>
      </c>
      <c r="AE994" t="s">
        <v>6052</v>
      </c>
      <c r="AF994" t="s">
        <v>29</v>
      </c>
      <c r="AG994" t="s">
        <v>30</v>
      </c>
      <c r="AH994" t="s">
        <v>31</v>
      </c>
      <c r="AK994" t="s">
        <v>6051</v>
      </c>
      <c r="AL994" t="s">
        <v>1967</v>
      </c>
      <c r="AM994" t="s">
        <v>6016</v>
      </c>
      <c r="AN994" s="8">
        <v>3.9735</v>
      </c>
      <c r="AO994">
        <v>199.694880401046</v>
      </c>
      <c r="AP994">
        <v>1553</v>
      </c>
      <c r="AQ994" s="9">
        <v>0.462574745186863</v>
      </c>
      <c r="AR994" t="s">
        <v>119</v>
      </c>
      <c r="AT994" s="15" t="s">
        <v>119</v>
      </c>
      <c r="AW994" s="11" t="str">
        <f t="shared" si="108"/>
        <v>EN_WOF_46_c02_USA</v>
      </c>
      <c r="AX994" s="11">
        <f t="shared" si="109"/>
        <v>1553</v>
      </c>
      <c r="AY994" s="11">
        <f t="shared" si="110"/>
        <v>1553</v>
      </c>
      <c r="AZ994" s="17">
        <v>3</v>
      </c>
      <c r="BA994">
        <f t="shared" si="111"/>
        <v>15.53</v>
      </c>
    </row>
    <row r="995" spans="2:53">
      <c r="B995" t="s">
        <v>26</v>
      </c>
      <c r="C995" t="s">
        <v>6053</v>
      </c>
      <c r="D995" t="s">
        <v>6054</v>
      </c>
      <c r="E995" t="s">
        <v>29</v>
      </c>
      <c r="F995" t="s">
        <v>30</v>
      </c>
      <c r="G995" t="s">
        <v>31</v>
      </c>
      <c r="J995" t="s">
        <v>6053</v>
      </c>
      <c r="K995" t="s">
        <v>1967</v>
      </c>
      <c r="L995" t="s">
        <v>6009</v>
      </c>
      <c r="M995" s="8">
        <v>1.46025</v>
      </c>
      <c r="N995">
        <v>0</v>
      </c>
      <c r="O995">
        <v>1827</v>
      </c>
      <c r="P995" s="9">
        <v>0.257088854648177</v>
      </c>
      <c r="Q995" t="s">
        <v>870</v>
      </c>
      <c r="T995" s="15" t="s">
        <v>69</v>
      </c>
      <c r="W995" s="16" t="str">
        <f t="shared" si="105"/>
        <v>EN_WON_26_c01_HUN</v>
      </c>
      <c r="X995" s="12">
        <f t="shared" si="106"/>
        <v>1827</v>
      </c>
      <c r="Y995" s="11">
        <f t="shared" si="107"/>
        <v>1827</v>
      </c>
      <c r="AC995" t="s">
        <v>26</v>
      </c>
      <c r="AD995" t="s">
        <v>6055</v>
      </c>
      <c r="AE995" t="s">
        <v>6056</v>
      </c>
      <c r="AF995" t="s">
        <v>29</v>
      </c>
      <c r="AG995" t="s">
        <v>30</v>
      </c>
      <c r="AH995" t="s">
        <v>31</v>
      </c>
      <c r="AK995" t="s">
        <v>6055</v>
      </c>
      <c r="AL995" t="s">
        <v>1967</v>
      </c>
      <c r="AM995" t="s">
        <v>6016</v>
      </c>
      <c r="AN995" s="8">
        <v>6.357</v>
      </c>
      <c r="AO995">
        <v>199.694880401046</v>
      </c>
      <c r="AP995">
        <v>1553</v>
      </c>
      <c r="AQ995" s="9">
        <v>0.469427206229353</v>
      </c>
      <c r="AR995" t="s">
        <v>119</v>
      </c>
      <c r="AT995" s="15" t="s">
        <v>119</v>
      </c>
      <c r="AW995" s="11" t="str">
        <f t="shared" si="108"/>
        <v>EN_WOF_47_c02_USA</v>
      </c>
      <c r="AX995" s="11">
        <f t="shared" si="109"/>
        <v>1553</v>
      </c>
      <c r="AY995" s="11">
        <f t="shared" si="110"/>
        <v>1553</v>
      </c>
      <c r="AZ995" s="17">
        <v>3</v>
      </c>
      <c r="BA995">
        <f t="shared" si="111"/>
        <v>15.53</v>
      </c>
    </row>
    <row r="996" spans="2:53">
      <c r="B996" t="s">
        <v>26</v>
      </c>
      <c r="C996" t="s">
        <v>6057</v>
      </c>
      <c r="D996" t="s">
        <v>6058</v>
      </c>
      <c r="E996" t="s">
        <v>29</v>
      </c>
      <c r="F996" t="s">
        <v>30</v>
      </c>
      <c r="G996" t="s">
        <v>31</v>
      </c>
      <c r="J996" t="s">
        <v>6057</v>
      </c>
      <c r="K996" t="s">
        <v>1967</v>
      </c>
      <c r="L996" t="s">
        <v>6009</v>
      </c>
      <c r="M996" s="8">
        <v>0.0585</v>
      </c>
      <c r="N996">
        <v>80.7856561622413</v>
      </c>
      <c r="O996">
        <v>1827</v>
      </c>
      <c r="P996" s="9">
        <v>0.274</v>
      </c>
      <c r="Q996" t="s">
        <v>870</v>
      </c>
      <c r="T996" s="15" t="s">
        <v>69</v>
      </c>
      <c r="W996" s="16" t="str">
        <f t="shared" si="105"/>
        <v>EN_WON_27_c02_HUN</v>
      </c>
      <c r="X996" s="12">
        <f t="shared" si="106"/>
        <v>1827</v>
      </c>
      <c r="Y996" s="11">
        <f t="shared" si="107"/>
        <v>1827</v>
      </c>
      <c r="AC996" t="s">
        <v>26</v>
      </c>
      <c r="AD996" t="s">
        <v>6059</v>
      </c>
      <c r="AE996" t="s">
        <v>6060</v>
      </c>
      <c r="AF996" t="s">
        <v>29</v>
      </c>
      <c r="AG996" t="s">
        <v>30</v>
      </c>
      <c r="AH996" t="s">
        <v>31</v>
      </c>
      <c r="AK996" t="s">
        <v>6059</v>
      </c>
      <c r="AL996" t="s">
        <v>1967</v>
      </c>
      <c r="AM996" t="s">
        <v>6016</v>
      </c>
      <c r="AN996" s="8">
        <v>8.42625</v>
      </c>
      <c r="AO996">
        <v>199.694880401046</v>
      </c>
      <c r="AP996">
        <v>1553</v>
      </c>
      <c r="AQ996" s="9">
        <v>0.480486960391633</v>
      </c>
      <c r="AR996" t="s">
        <v>119</v>
      </c>
      <c r="AT996" s="15" t="s">
        <v>119</v>
      </c>
      <c r="AW996" s="11" t="str">
        <f t="shared" si="108"/>
        <v>EN_WOF_48_c02_USA</v>
      </c>
      <c r="AX996" s="11">
        <f t="shared" si="109"/>
        <v>1553</v>
      </c>
      <c r="AY996" s="11">
        <f t="shared" si="110"/>
        <v>1553</v>
      </c>
      <c r="AZ996" s="17">
        <v>3</v>
      </c>
      <c r="BA996">
        <f t="shared" si="111"/>
        <v>15.53</v>
      </c>
    </row>
    <row r="997" spans="2:53">
      <c r="B997" t="s">
        <v>26</v>
      </c>
      <c r="C997" t="s">
        <v>6061</v>
      </c>
      <c r="D997" t="s">
        <v>6062</v>
      </c>
      <c r="E997" t="s">
        <v>29</v>
      </c>
      <c r="F997" t="s">
        <v>30</v>
      </c>
      <c r="G997" t="s">
        <v>31</v>
      </c>
      <c r="J997" t="s">
        <v>6061</v>
      </c>
      <c r="K997" t="s">
        <v>1967</v>
      </c>
      <c r="L997" t="s">
        <v>6009</v>
      </c>
      <c r="M997" s="8">
        <v>0.438</v>
      </c>
      <c r="N997">
        <v>0</v>
      </c>
      <c r="O997">
        <v>1827</v>
      </c>
      <c r="P997" s="9">
        <v>0.286804794520548</v>
      </c>
      <c r="Q997" t="s">
        <v>870</v>
      </c>
      <c r="T997" s="15" t="s">
        <v>69</v>
      </c>
      <c r="W997" s="16" t="str">
        <f t="shared" si="105"/>
        <v>EN_WON_29_c01_HUN</v>
      </c>
      <c r="X997" s="12">
        <f t="shared" si="106"/>
        <v>1827</v>
      </c>
      <c r="Y997" s="11">
        <f t="shared" si="107"/>
        <v>1827</v>
      </c>
      <c r="AC997" t="s">
        <v>26</v>
      </c>
      <c r="AD997" t="s">
        <v>6063</v>
      </c>
      <c r="AE997" t="s">
        <v>6064</v>
      </c>
      <c r="AF997" t="s">
        <v>29</v>
      </c>
      <c r="AG997" t="s">
        <v>30</v>
      </c>
      <c r="AH997" t="s">
        <v>31</v>
      </c>
      <c r="AK997" t="s">
        <v>6063</v>
      </c>
      <c r="AL997" t="s">
        <v>1967</v>
      </c>
      <c r="AM997" t="s">
        <v>6016</v>
      </c>
      <c r="AN997" s="8">
        <v>7.03125</v>
      </c>
      <c r="AO997">
        <v>199.694880401046</v>
      </c>
      <c r="AP997">
        <v>1553</v>
      </c>
      <c r="AQ997" s="9">
        <v>0.48929632</v>
      </c>
      <c r="AR997" t="s">
        <v>119</v>
      </c>
      <c r="AT997" s="15" t="s">
        <v>119</v>
      </c>
      <c r="AW997" s="11" t="str">
        <f t="shared" si="108"/>
        <v>EN_WOF_49_c02_USA</v>
      </c>
      <c r="AX997" s="11">
        <f t="shared" si="109"/>
        <v>1553</v>
      </c>
      <c r="AY997" s="11">
        <f t="shared" si="110"/>
        <v>1553</v>
      </c>
      <c r="AZ997" s="17">
        <v>3</v>
      </c>
      <c r="BA997">
        <f t="shared" si="111"/>
        <v>15.53</v>
      </c>
    </row>
    <row r="998" spans="2:53">
      <c r="B998" t="s">
        <v>26</v>
      </c>
      <c r="C998" t="s">
        <v>6065</v>
      </c>
      <c r="D998" t="s">
        <v>6066</v>
      </c>
      <c r="E998" t="s">
        <v>29</v>
      </c>
      <c r="F998" t="s">
        <v>30</v>
      </c>
      <c r="G998" t="s">
        <v>31</v>
      </c>
      <c r="J998" t="s">
        <v>6065</v>
      </c>
      <c r="K998" t="s">
        <v>1967</v>
      </c>
      <c r="L998" t="s">
        <v>6009</v>
      </c>
      <c r="M998" s="8">
        <v>0.372</v>
      </c>
      <c r="N998">
        <v>0</v>
      </c>
      <c r="O998">
        <v>1827</v>
      </c>
      <c r="P998" s="9">
        <v>0.295</v>
      </c>
      <c r="Q998" t="s">
        <v>870</v>
      </c>
      <c r="T998" s="15" t="s">
        <v>69</v>
      </c>
      <c r="W998" s="16" t="str">
        <f t="shared" si="105"/>
        <v>EN_WON_30_c01_HUN</v>
      </c>
      <c r="X998" s="12">
        <f t="shared" si="106"/>
        <v>1827</v>
      </c>
      <c r="Y998" s="11">
        <f t="shared" si="107"/>
        <v>1827</v>
      </c>
      <c r="AC998" t="s">
        <v>26</v>
      </c>
      <c r="AD998" t="s">
        <v>6067</v>
      </c>
      <c r="AE998" t="s">
        <v>6068</v>
      </c>
      <c r="AF998" t="s">
        <v>29</v>
      </c>
      <c r="AG998" t="s">
        <v>30</v>
      </c>
      <c r="AH998" t="s">
        <v>31</v>
      </c>
      <c r="AK998" t="s">
        <v>6067</v>
      </c>
      <c r="AL998" t="s">
        <v>1967</v>
      </c>
      <c r="AM998" t="s">
        <v>6069</v>
      </c>
      <c r="AN998" s="8">
        <v>1.01325</v>
      </c>
      <c r="AO998">
        <v>199.694880401046</v>
      </c>
      <c r="AP998">
        <v>1997</v>
      </c>
      <c r="AQ998" s="9">
        <v>0.331</v>
      </c>
      <c r="AR998" t="s">
        <v>6070</v>
      </c>
      <c r="AT998" s="15" t="s">
        <v>89</v>
      </c>
      <c r="AW998" s="11" t="str">
        <f t="shared" si="108"/>
        <v>EN_WOF_33_c02_VCT</v>
      </c>
      <c r="AX998" s="11">
        <f t="shared" si="109"/>
        <v>1997</v>
      </c>
      <c r="AY998" s="11">
        <f t="shared" si="110"/>
        <v>1997</v>
      </c>
      <c r="AZ998" s="17">
        <v>3</v>
      </c>
      <c r="BA998">
        <f t="shared" si="111"/>
        <v>19.97</v>
      </c>
    </row>
    <row r="999" spans="2:53">
      <c r="B999" t="s">
        <v>26</v>
      </c>
      <c r="C999" t="s">
        <v>6071</v>
      </c>
      <c r="D999" t="s">
        <v>6072</v>
      </c>
      <c r="E999" t="s">
        <v>29</v>
      </c>
      <c r="F999" t="s">
        <v>30</v>
      </c>
      <c r="G999" t="s">
        <v>31</v>
      </c>
      <c r="J999" t="s">
        <v>6071</v>
      </c>
      <c r="K999" t="s">
        <v>1967</v>
      </c>
      <c r="L999" t="s">
        <v>3897</v>
      </c>
      <c r="M999" s="8">
        <v>8.02275</v>
      </c>
      <c r="N999">
        <v>145.23264029167</v>
      </c>
      <c r="O999">
        <v>2213</v>
      </c>
      <c r="P999" s="9">
        <v>0.152788164906048</v>
      </c>
      <c r="Q999" t="s">
        <v>880</v>
      </c>
      <c r="T999" s="15" t="s">
        <v>290</v>
      </c>
      <c r="W999" s="16" t="str">
        <f t="shared" si="105"/>
        <v>EN_WON_15_c04_IDN</v>
      </c>
      <c r="X999" s="12">
        <f t="shared" si="106"/>
        <v>2213</v>
      </c>
      <c r="Y999" s="11">
        <f t="shared" si="107"/>
        <v>2213</v>
      </c>
      <c r="AC999" t="s">
        <v>26</v>
      </c>
      <c r="AD999" t="s">
        <v>6073</v>
      </c>
      <c r="AE999" t="s">
        <v>6074</v>
      </c>
      <c r="AF999" t="s">
        <v>29</v>
      </c>
      <c r="AG999" t="s">
        <v>30</v>
      </c>
      <c r="AH999" t="s">
        <v>31</v>
      </c>
      <c r="AK999" t="s">
        <v>6073</v>
      </c>
      <c r="AL999" t="s">
        <v>1967</v>
      </c>
      <c r="AM999" t="s">
        <v>6069</v>
      </c>
      <c r="AN999" s="8">
        <v>3.20625</v>
      </c>
      <c r="AO999">
        <v>199.694880401046</v>
      </c>
      <c r="AP999">
        <v>1997</v>
      </c>
      <c r="AQ999" s="9">
        <v>0.353555087719298</v>
      </c>
      <c r="AR999" t="s">
        <v>6070</v>
      </c>
      <c r="AT999" s="15" t="s">
        <v>89</v>
      </c>
      <c r="AW999" s="11" t="str">
        <f t="shared" si="108"/>
        <v>EN_WOF_35_c02_VCT</v>
      </c>
      <c r="AX999" s="11">
        <f t="shared" si="109"/>
        <v>1997</v>
      </c>
      <c r="AY999" s="11">
        <f t="shared" si="110"/>
        <v>1997</v>
      </c>
      <c r="AZ999" s="17">
        <v>3</v>
      </c>
      <c r="BA999">
        <f t="shared" si="111"/>
        <v>19.97</v>
      </c>
    </row>
    <row r="1000" spans="2:53">
      <c r="B1000" t="s">
        <v>26</v>
      </c>
      <c r="C1000" t="s">
        <v>6075</v>
      </c>
      <c r="D1000" t="s">
        <v>6076</v>
      </c>
      <c r="E1000" t="s">
        <v>29</v>
      </c>
      <c r="F1000" t="s">
        <v>30</v>
      </c>
      <c r="G1000" t="s">
        <v>31</v>
      </c>
      <c r="J1000" t="s">
        <v>6075</v>
      </c>
      <c r="K1000" t="s">
        <v>1967</v>
      </c>
      <c r="L1000" t="s">
        <v>3897</v>
      </c>
      <c r="M1000" s="8">
        <v>0.252</v>
      </c>
      <c r="N1000">
        <v>105.747516212372</v>
      </c>
      <c r="O1000">
        <v>2213</v>
      </c>
      <c r="P1000" s="9">
        <v>0.159</v>
      </c>
      <c r="Q1000" t="s">
        <v>880</v>
      </c>
      <c r="T1000" s="15" t="s">
        <v>290</v>
      </c>
      <c r="W1000" s="16" t="str">
        <f t="shared" si="105"/>
        <v>EN_WON_16_c03_IDN</v>
      </c>
      <c r="X1000" s="12">
        <f t="shared" si="106"/>
        <v>2213</v>
      </c>
      <c r="Y1000" s="11">
        <f t="shared" si="107"/>
        <v>2213</v>
      </c>
      <c r="AC1000" t="s">
        <v>26</v>
      </c>
      <c r="AD1000" t="s">
        <v>6077</v>
      </c>
      <c r="AE1000" t="s">
        <v>6078</v>
      </c>
      <c r="AF1000" t="s">
        <v>29</v>
      </c>
      <c r="AG1000" t="s">
        <v>30</v>
      </c>
      <c r="AH1000" t="s">
        <v>31</v>
      </c>
      <c r="AK1000" t="s">
        <v>6077</v>
      </c>
      <c r="AL1000" t="s">
        <v>1967</v>
      </c>
      <c r="AM1000" t="s">
        <v>6069</v>
      </c>
      <c r="AN1000" s="8">
        <v>1.107</v>
      </c>
      <c r="AO1000">
        <v>199.694880401046</v>
      </c>
      <c r="AP1000">
        <v>1997</v>
      </c>
      <c r="AQ1000" s="9">
        <v>0.365</v>
      </c>
      <c r="AR1000" t="s">
        <v>6070</v>
      </c>
      <c r="AT1000" s="15" t="s">
        <v>89</v>
      </c>
      <c r="AW1000" s="11" t="str">
        <f t="shared" si="108"/>
        <v>EN_WOF_37_c02_VCT</v>
      </c>
      <c r="AX1000" s="11">
        <f t="shared" si="109"/>
        <v>1997</v>
      </c>
      <c r="AY1000" s="11">
        <f t="shared" si="110"/>
        <v>1997</v>
      </c>
      <c r="AZ1000" s="17">
        <v>3</v>
      </c>
      <c r="BA1000">
        <f t="shared" si="111"/>
        <v>19.97</v>
      </c>
    </row>
    <row r="1001" spans="2:53">
      <c r="B1001" t="s">
        <v>26</v>
      </c>
      <c r="C1001" t="s">
        <v>6079</v>
      </c>
      <c r="D1001" t="s">
        <v>6080</v>
      </c>
      <c r="E1001" t="s">
        <v>29</v>
      </c>
      <c r="F1001" t="s">
        <v>30</v>
      </c>
      <c r="G1001" t="s">
        <v>31</v>
      </c>
      <c r="J1001" t="s">
        <v>6079</v>
      </c>
      <c r="K1001" t="s">
        <v>1967</v>
      </c>
      <c r="L1001" t="s">
        <v>3897</v>
      </c>
      <c r="M1001" s="8">
        <v>29.18925</v>
      </c>
      <c r="N1001">
        <v>145.23264029167</v>
      </c>
      <c r="O1001">
        <v>2213</v>
      </c>
      <c r="P1001" s="9">
        <v>0.160300393124181</v>
      </c>
      <c r="Q1001" t="s">
        <v>880</v>
      </c>
      <c r="T1001" s="15" t="s">
        <v>290</v>
      </c>
      <c r="W1001" s="16" t="str">
        <f t="shared" si="105"/>
        <v>EN_WON_16_c04_IDN</v>
      </c>
      <c r="X1001" s="12">
        <f t="shared" si="106"/>
        <v>2213</v>
      </c>
      <c r="Y1001" s="11">
        <f t="shared" si="107"/>
        <v>2213</v>
      </c>
      <c r="AC1001" t="s">
        <v>26</v>
      </c>
      <c r="AD1001" t="s">
        <v>6081</v>
      </c>
      <c r="AE1001" t="s">
        <v>6082</v>
      </c>
      <c r="AF1001" t="s">
        <v>29</v>
      </c>
      <c r="AG1001" t="s">
        <v>30</v>
      </c>
      <c r="AH1001" t="s">
        <v>31</v>
      </c>
      <c r="AK1001" t="s">
        <v>6081</v>
      </c>
      <c r="AL1001" t="s">
        <v>1967</v>
      </c>
      <c r="AM1001" t="s">
        <v>6083</v>
      </c>
      <c r="AN1001" s="8">
        <v>3.89175</v>
      </c>
      <c r="AO1001">
        <v>199.694880401046</v>
      </c>
      <c r="AP1001">
        <v>1575</v>
      </c>
      <c r="AQ1001" s="9">
        <v>0.301</v>
      </c>
      <c r="AR1001" t="s">
        <v>1874</v>
      </c>
      <c r="AT1001" s="15" t="s">
        <v>89</v>
      </c>
      <c r="AW1001" s="11" t="str">
        <f t="shared" si="108"/>
        <v>EN_WOF_30_c02_VEN</v>
      </c>
      <c r="AX1001" s="11">
        <f t="shared" si="109"/>
        <v>1575</v>
      </c>
      <c r="AY1001" s="11">
        <f t="shared" si="110"/>
        <v>1575</v>
      </c>
      <c r="AZ1001" s="17">
        <v>3</v>
      </c>
      <c r="BA1001">
        <f t="shared" si="111"/>
        <v>15.75</v>
      </c>
    </row>
    <row r="1002" spans="2:53">
      <c r="B1002" t="s">
        <v>26</v>
      </c>
      <c r="C1002" t="s">
        <v>6084</v>
      </c>
      <c r="D1002" t="s">
        <v>6085</v>
      </c>
      <c r="E1002" t="s">
        <v>29</v>
      </c>
      <c r="F1002" t="s">
        <v>30</v>
      </c>
      <c r="G1002" t="s">
        <v>31</v>
      </c>
      <c r="J1002" t="s">
        <v>6084</v>
      </c>
      <c r="K1002" t="s">
        <v>1967</v>
      </c>
      <c r="L1002" t="s">
        <v>3897</v>
      </c>
      <c r="M1002" s="8">
        <v>0.21375</v>
      </c>
      <c r="N1002">
        <v>80.7856561622413</v>
      </c>
      <c r="O1002">
        <v>2213</v>
      </c>
      <c r="P1002" s="9">
        <v>0.166</v>
      </c>
      <c r="Q1002" t="s">
        <v>880</v>
      </c>
      <c r="T1002" s="15" t="s">
        <v>290</v>
      </c>
      <c r="W1002" s="16" t="str">
        <f t="shared" si="105"/>
        <v>EN_WON_17_c02_IDN</v>
      </c>
      <c r="X1002" s="12">
        <f t="shared" si="106"/>
        <v>2213</v>
      </c>
      <c r="Y1002" s="11">
        <f t="shared" si="107"/>
        <v>2213</v>
      </c>
      <c r="AC1002" t="s">
        <v>26</v>
      </c>
      <c r="AD1002" t="s">
        <v>6086</v>
      </c>
      <c r="AE1002" t="s">
        <v>6087</v>
      </c>
      <c r="AF1002" t="s">
        <v>29</v>
      </c>
      <c r="AG1002" t="s">
        <v>30</v>
      </c>
      <c r="AH1002" t="s">
        <v>31</v>
      </c>
      <c r="AK1002" t="s">
        <v>6086</v>
      </c>
      <c r="AL1002" t="s">
        <v>1967</v>
      </c>
      <c r="AM1002" t="s">
        <v>6083</v>
      </c>
      <c r="AN1002" s="8">
        <v>11.8605</v>
      </c>
      <c r="AO1002">
        <v>199.694880401046</v>
      </c>
      <c r="AP1002">
        <v>1575</v>
      </c>
      <c r="AQ1002" s="9">
        <v>0.310416656127482</v>
      </c>
      <c r="AR1002" t="s">
        <v>1874</v>
      </c>
      <c r="AT1002" s="15" t="s">
        <v>89</v>
      </c>
      <c r="AW1002" s="11" t="str">
        <f t="shared" si="108"/>
        <v>EN_WOF_31_c02_VEN</v>
      </c>
      <c r="AX1002" s="11">
        <f t="shared" si="109"/>
        <v>1575</v>
      </c>
      <c r="AY1002" s="11">
        <f t="shared" si="110"/>
        <v>1575</v>
      </c>
      <c r="AZ1002" s="17">
        <v>3</v>
      </c>
      <c r="BA1002">
        <f t="shared" si="111"/>
        <v>15.75</v>
      </c>
    </row>
    <row r="1003" spans="2:53">
      <c r="B1003" t="s">
        <v>26</v>
      </c>
      <c r="C1003" t="s">
        <v>6088</v>
      </c>
      <c r="D1003" t="s">
        <v>6089</v>
      </c>
      <c r="E1003" t="s">
        <v>29</v>
      </c>
      <c r="F1003" t="s">
        <v>30</v>
      </c>
      <c r="G1003" t="s">
        <v>31</v>
      </c>
      <c r="J1003" t="s">
        <v>6088</v>
      </c>
      <c r="K1003" t="s">
        <v>1967</v>
      </c>
      <c r="L1003" t="s">
        <v>3897</v>
      </c>
      <c r="M1003" s="8">
        <v>20.433</v>
      </c>
      <c r="N1003">
        <v>145.23264029167</v>
      </c>
      <c r="O1003">
        <v>2213</v>
      </c>
      <c r="P1003" s="9">
        <v>0.168335229775363</v>
      </c>
      <c r="Q1003" t="s">
        <v>880</v>
      </c>
      <c r="T1003" s="15" t="s">
        <v>290</v>
      </c>
      <c r="W1003" s="16" t="str">
        <f t="shared" si="105"/>
        <v>EN_WON_17_c04_IDN</v>
      </c>
      <c r="X1003" s="12">
        <f t="shared" si="106"/>
        <v>2213</v>
      </c>
      <c r="Y1003" s="11">
        <f t="shared" si="107"/>
        <v>2213</v>
      </c>
      <c r="AC1003" t="s">
        <v>26</v>
      </c>
      <c r="AD1003" t="s">
        <v>6090</v>
      </c>
      <c r="AE1003" t="s">
        <v>6091</v>
      </c>
      <c r="AF1003" t="s">
        <v>29</v>
      </c>
      <c r="AG1003" t="s">
        <v>30</v>
      </c>
      <c r="AH1003" t="s">
        <v>31</v>
      </c>
      <c r="AK1003" t="s">
        <v>6090</v>
      </c>
      <c r="AL1003" t="s">
        <v>1967</v>
      </c>
      <c r="AM1003" t="s">
        <v>6083</v>
      </c>
      <c r="AN1003" s="8">
        <v>12.92025</v>
      </c>
      <c r="AO1003">
        <v>199.694880401046</v>
      </c>
      <c r="AP1003">
        <v>1575</v>
      </c>
      <c r="AQ1003" s="9">
        <v>0.319238753120102</v>
      </c>
      <c r="AR1003" t="s">
        <v>1874</v>
      </c>
      <c r="AT1003" s="15" t="s">
        <v>89</v>
      </c>
      <c r="AW1003" s="11" t="str">
        <f t="shared" si="108"/>
        <v>EN_WOF_32_c02_VEN</v>
      </c>
      <c r="AX1003" s="11">
        <f t="shared" si="109"/>
        <v>1575</v>
      </c>
      <c r="AY1003" s="11">
        <f t="shared" si="110"/>
        <v>1575</v>
      </c>
      <c r="AZ1003" s="17">
        <v>3</v>
      </c>
      <c r="BA1003">
        <f t="shared" si="111"/>
        <v>15.75</v>
      </c>
    </row>
    <row r="1004" spans="2:53">
      <c r="B1004" t="s">
        <v>26</v>
      </c>
      <c r="C1004" t="s">
        <v>6092</v>
      </c>
      <c r="D1004" t="s">
        <v>6093</v>
      </c>
      <c r="E1004" t="s">
        <v>29</v>
      </c>
      <c r="F1004" t="s">
        <v>30</v>
      </c>
      <c r="G1004" t="s">
        <v>31</v>
      </c>
      <c r="J1004" t="s">
        <v>6092</v>
      </c>
      <c r="K1004" t="s">
        <v>1967</v>
      </c>
      <c r="L1004" t="s">
        <v>3897</v>
      </c>
      <c r="M1004" s="8">
        <v>6.33375</v>
      </c>
      <c r="N1004">
        <v>145.23264029167</v>
      </c>
      <c r="O1004">
        <v>2213</v>
      </c>
      <c r="P1004" s="9">
        <v>0.180412314979278</v>
      </c>
      <c r="Q1004" t="s">
        <v>880</v>
      </c>
      <c r="T1004" s="15" t="s">
        <v>290</v>
      </c>
      <c r="W1004" s="16" t="str">
        <f t="shared" si="105"/>
        <v>EN_WON_18_c04_IDN</v>
      </c>
      <c r="X1004" s="12">
        <f t="shared" si="106"/>
        <v>2213</v>
      </c>
      <c r="Y1004" s="11">
        <f t="shared" si="107"/>
        <v>2213</v>
      </c>
      <c r="AC1004" t="s">
        <v>26</v>
      </c>
      <c r="AD1004" t="s">
        <v>6094</v>
      </c>
      <c r="AE1004" t="s">
        <v>6095</v>
      </c>
      <c r="AF1004" t="s">
        <v>29</v>
      </c>
      <c r="AG1004" t="s">
        <v>30</v>
      </c>
      <c r="AH1004" t="s">
        <v>31</v>
      </c>
      <c r="AK1004" t="s">
        <v>6094</v>
      </c>
      <c r="AL1004" t="s">
        <v>1967</v>
      </c>
      <c r="AM1004" t="s">
        <v>6083</v>
      </c>
      <c r="AN1004" s="8">
        <v>2.3505</v>
      </c>
      <c r="AO1004">
        <v>199.694880401046</v>
      </c>
      <c r="AP1004">
        <v>1575</v>
      </c>
      <c r="AQ1004" s="9">
        <v>0.326044033184429</v>
      </c>
      <c r="AR1004" t="s">
        <v>1874</v>
      </c>
      <c r="AT1004" s="15" t="s">
        <v>89</v>
      </c>
      <c r="AW1004" s="11" t="str">
        <f t="shared" si="108"/>
        <v>EN_WOF_33_c02_VEN</v>
      </c>
      <c r="AX1004" s="11">
        <f t="shared" si="109"/>
        <v>1575</v>
      </c>
      <c r="AY1004" s="11">
        <f t="shared" si="110"/>
        <v>1575</v>
      </c>
      <c r="AZ1004" s="17">
        <v>3</v>
      </c>
      <c r="BA1004">
        <f t="shared" si="111"/>
        <v>15.75</v>
      </c>
    </row>
    <row r="1005" spans="2:53">
      <c r="B1005" t="s">
        <v>26</v>
      </c>
      <c r="C1005" t="s">
        <v>6096</v>
      </c>
      <c r="D1005" t="s">
        <v>6097</v>
      </c>
      <c r="E1005" t="s">
        <v>29</v>
      </c>
      <c r="F1005" t="s">
        <v>30</v>
      </c>
      <c r="G1005" t="s">
        <v>31</v>
      </c>
      <c r="J1005" t="s">
        <v>6096</v>
      </c>
      <c r="K1005" t="s">
        <v>1967</v>
      </c>
      <c r="L1005" t="s">
        <v>3897</v>
      </c>
      <c r="M1005" s="8">
        <v>0.58875</v>
      </c>
      <c r="N1005">
        <v>105.747516212372</v>
      </c>
      <c r="O1005">
        <v>2213</v>
      </c>
      <c r="P1005" s="9">
        <v>0.185</v>
      </c>
      <c r="Q1005" t="s">
        <v>880</v>
      </c>
      <c r="T1005" s="15" t="s">
        <v>290</v>
      </c>
      <c r="W1005" s="16" t="str">
        <f t="shared" si="105"/>
        <v>EN_WON_19_c03_IDN</v>
      </c>
      <c r="X1005" s="12">
        <f t="shared" si="106"/>
        <v>2213</v>
      </c>
      <c r="Y1005" s="11">
        <f t="shared" si="107"/>
        <v>2213</v>
      </c>
      <c r="AC1005" t="s">
        <v>26</v>
      </c>
      <c r="AD1005" t="s">
        <v>6098</v>
      </c>
      <c r="AE1005" t="s">
        <v>6099</v>
      </c>
      <c r="AF1005" t="s">
        <v>29</v>
      </c>
      <c r="AG1005" t="s">
        <v>30</v>
      </c>
      <c r="AH1005" t="s">
        <v>31</v>
      </c>
      <c r="AK1005" t="s">
        <v>6098</v>
      </c>
      <c r="AL1005" t="s">
        <v>1967</v>
      </c>
      <c r="AM1005" t="s">
        <v>6083</v>
      </c>
      <c r="AN1005" s="8">
        <v>14.8845</v>
      </c>
      <c r="AO1005">
        <v>199.694880401046</v>
      </c>
      <c r="AP1005">
        <v>1575</v>
      </c>
      <c r="AQ1005" s="9">
        <v>0.33863362894286</v>
      </c>
      <c r="AR1005" t="s">
        <v>1874</v>
      </c>
      <c r="AT1005" s="15" t="s">
        <v>89</v>
      </c>
      <c r="AW1005" s="11" t="str">
        <f t="shared" si="108"/>
        <v>EN_WOF_34_c02_VEN</v>
      </c>
      <c r="AX1005" s="11">
        <f t="shared" si="109"/>
        <v>1575</v>
      </c>
      <c r="AY1005" s="11">
        <f t="shared" si="110"/>
        <v>1575</v>
      </c>
      <c r="AZ1005" s="17">
        <v>3</v>
      </c>
      <c r="BA1005">
        <f t="shared" si="111"/>
        <v>15.75</v>
      </c>
    </row>
    <row r="1006" spans="2:53">
      <c r="B1006" t="s">
        <v>26</v>
      </c>
      <c r="C1006" t="s">
        <v>6100</v>
      </c>
      <c r="D1006" t="s">
        <v>6101</v>
      </c>
      <c r="E1006" t="s">
        <v>29</v>
      </c>
      <c r="F1006" t="s">
        <v>30</v>
      </c>
      <c r="G1006" t="s">
        <v>31</v>
      </c>
      <c r="J1006" t="s">
        <v>6100</v>
      </c>
      <c r="K1006" t="s">
        <v>1967</v>
      </c>
      <c r="L1006" t="s">
        <v>3897</v>
      </c>
      <c r="M1006" s="8">
        <v>13.24275</v>
      </c>
      <c r="N1006">
        <v>145.23264029167</v>
      </c>
      <c r="O1006">
        <v>2213</v>
      </c>
      <c r="P1006" s="9">
        <v>0.188021124766382</v>
      </c>
      <c r="Q1006" t="s">
        <v>880</v>
      </c>
      <c r="T1006" s="15" t="s">
        <v>290</v>
      </c>
      <c r="W1006" s="16" t="str">
        <f t="shared" si="105"/>
        <v>EN_WON_19_c04_IDN</v>
      </c>
      <c r="X1006" s="12">
        <f t="shared" si="106"/>
        <v>2213</v>
      </c>
      <c r="Y1006" s="11">
        <f t="shared" si="107"/>
        <v>2213</v>
      </c>
      <c r="AC1006" t="s">
        <v>26</v>
      </c>
      <c r="AD1006" t="s">
        <v>6102</v>
      </c>
      <c r="AE1006" t="s">
        <v>6103</v>
      </c>
      <c r="AF1006" t="s">
        <v>29</v>
      </c>
      <c r="AG1006" t="s">
        <v>30</v>
      </c>
      <c r="AH1006" t="s">
        <v>31</v>
      </c>
      <c r="AK1006" t="s">
        <v>6102</v>
      </c>
      <c r="AL1006" t="s">
        <v>1967</v>
      </c>
      <c r="AM1006" t="s">
        <v>6083</v>
      </c>
      <c r="AN1006" s="8">
        <v>1.05825</v>
      </c>
      <c r="AO1006">
        <v>199.694880401046</v>
      </c>
      <c r="AP1006">
        <v>1575</v>
      </c>
      <c r="AQ1006" s="9">
        <v>0.348805102763997</v>
      </c>
      <c r="AR1006" t="s">
        <v>1874</v>
      </c>
      <c r="AT1006" s="15" t="s">
        <v>89</v>
      </c>
      <c r="AW1006" s="11" t="str">
        <f t="shared" si="108"/>
        <v>EN_WOF_35_c02_VEN</v>
      </c>
      <c r="AX1006" s="11">
        <f t="shared" si="109"/>
        <v>1575</v>
      </c>
      <c r="AY1006" s="11">
        <f t="shared" si="110"/>
        <v>1575</v>
      </c>
      <c r="AZ1006" s="17">
        <v>3</v>
      </c>
      <c r="BA1006">
        <f t="shared" si="111"/>
        <v>15.75</v>
      </c>
    </row>
    <row r="1007" spans="2:53">
      <c r="B1007" t="s">
        <v>26</v>
      </c>
      <c r="C1007" t="s">
        <v>6104</v>
      </c>
      <c r="D1007" t="s">
        <v>6105</v>
      </c>
      <c r="E1007" t="s">
        <v>29</v>
      </c>
      <c r="F1007" t="s">
        <v>30</v>
      </c>
      <c r="G1007" t="s">
        <v>31</v>
      </c>
      <c r="J1007" t="s">
        <v>6104</v>
      </c>
      <c r="K1007" t="s">
        <v>1967</v>
      </c>
      <c r="L1007" t="s">
        <v>3897</v>
      </c>
      <c r="M1007" s="8">
        <v>1.725</v>
      </c>
      <c r="N1007">
        <v>80.7856561622413</v>
      </c>
      <c r="O1007">
        <v>2213</v>
      </c>
      <c r="P1007" s="9">
        <v>0.203</v>
      </c>
      <c r="Q1007" t="s">
        <v>880</v>
      </c>
      <c r="T1007" s="15" t="s">
        <v>290</v>
      </c>
      <c r="W1007" s="16" t="str">
        <f t="shared" si="105"/>
        <v>EN_WON_20_c02_IDN</v>
      </c>
      <c r="X1007" s="12">
        <f t="shared" si="106"/>
        <v>2213</v>
      </c>
      <c r="Y1007" s="11">
        <f t="shared" si="107"/>
        <v>2213</v>
      </c>
      <c r="AC1007" t="s">
        <v>26</v>
      </c>
      <c r="AD1007" t="s">
        <v>6106</v>
      </c>
      <c r="AE1007" t="s">
        <v>6107</v>
      </c>
      <c r="AF1007" t="s">
        <v>29</v>
      </c>
      <c r="AG1007" t="s">
        <v>30</v>
      </c>
      <c r="AH1007" t="s">
        <v>31</v>
      </c>
      <c r="AK1007" t="s">
        <v>6106</v>
      </c>
      <c r="AL1007" t="s">
        <v>1967</v>
      </c>
      <c r="AM1007" t="s">
        <v>6083</v>
      </c>
      <c r="AN1007" s="8">
        <v>10.27425</v>
      </c>
      <c r="AO1007">
        <v>199.694880401046</v>
      </c>
      <c r="AP1007">
        <v>1575</v>
      </c>
      <c r="AQ1007" s="9">
        <v>0.369591503029418</v>
      </c>
      <c r="AR1007" t="s">
        <v>1874</v>
      </c>
      <c r="AT1007" s="15" t="s">
        <v>89</v>
      </c>
      <c r="AW1007" s="11" t="str">
        <f t="shared" si="108"/>
        <v>EN_WOF_37_c02_VEN</v>
      </c>
      <c r="AX1007" s="11">
        <f t="shared" si="109"/>
        <v>1575</v>
      </c>
      <c r="AY1007" s="11">
        <f t="shared" si="110"/>
        <v>1575</v>
      </c>
      <c r="AZ1007" s="17">
        <v>3</v>
      </c>
      <c r="BA1007">
        <f t="shared" si="111"/>
        <v>15.75</v>
      </c>
    </row>
    <row r="1008" spans="2:53">
      <c r="B1008" t="s">
        <v>26</v>
      </c>
      <c r="C1008" t="s">
        <v>6108</v>
      </c>
      <c r="D1008" t="s">
        <v>6109</v>
      </c>
      <c r="E1008" t="s">
        <v>29</v>
      </c>
      <c r="F1008" t="s">
        <v>30</v>
      </c>
      <c r="G1008" t="s">
        <v>31</v>
      </c>
      <c r="J1008" t="s">
        <v>6108</v>
      </c>
      <c r="K1008" t="s">
        <v>1967</v>
      </c>
      <c r="L1008" t="s">
        <v>3897</v>
      </c>
      <c r="M1008" s="8">
        <v>0.0765</v>
      </c>
      <c r="N1008">
        <v>105.747516212372</v>
      </c>
      <c r="O1008">
        <v>2213</v>
      </c>
      <c r="P1008" s="9">
        <v>0.195</v>
      </c>
      <c r="Q1008" t="s">
        <v>880</v>
      </c>
      <c r="T1008" s="15" t="s">
        <v>290</v>
      </c>
      <c r="W1008" s="16" t="str">
        <f t="shared" si="105"/>
        <v>EN_WON_20_c03_IDN</v>
      </c>
      <c r="X1008" s="12">
        <f t="shared" si="106"/>
        <v>2213</v>
      </c>
      <c r="Y1008" s="11">
        <f t="shared" si="107"/>
        <v>2213</v>
      </c>
      <c r="AC1008" t="s">
        <v>26</v>
      </c>
      <c r="AD1008" t="s">
        <v>6110</v>
      </c>
      <c r="AE1008" t="s">
        <v>6111</v>
      </c>
      <c r="AF1008" t="s">
        <v>29</v>
      </c>
      <c r="AG1008" t="s">
        <v>30</v>
      </c>
      <c r="AH1008" t="s">
        <v>31</v>
      </c>
      <c r="AK1008" t="s">
        <v>6110</v>
      </c>
      <c r="AL1008" t="s">
        <v>1967</v>
      </c>
      <c r="AM1008" t="s">
        <v>6083</v>
      </c>
      <c r="AN1008" s="8">
        <v>4.3545</v>
      </c>
      <c r="AO1008">
        <v>199.694880401046</v>
      </c>
      <c r="AP1008">
        <v>1575</v>
      </c>
      <c r="AQ1008" s="9">
        <v>0.3785103341371</v>
      </c>
      <c r="AR1008" t="s">
        <v>1874</v>
      </c>
      <c r="AT1008" s="15" t="s">
        <v>89</v>
      </c>
      <c r="AW1008" s="11" t="str">
        <f t="shared" si="108"/>
        <v>EN_WOF_38_c02_VEN</v>
      </c>
      <c r="AX1008" s="11">
        <f t="shared" si="109"/>
        <v>1575</v>
      </c>
      <c r="AY1008" s="11">
        <f t="shared" si="110"/>
        <v>1575</v>
      </c>
      <c r="AZ1008" s="17">
        <v>3</v>
      </c>
      <c r="BA1008">
        <f t="shared" si="111"/>
        <v>15.75</v>
      </c>
    </row>
    <row r="1009" spans="2:53">
      <c r="B1009" t="s">
        <v>26</v>
      </c>
      <c r="C1009" t="s">
        <v>6112</v>
      </c>
      <c r="D1009" t="s">
        <v>6113</v>
      </c>
      <c r="E1009" t="s">
        <v>29</v>
      </c>
      <c r="F1009" t="s">
        <v>30</v>
      </c>
      <c r="G1009" t="s">
        <v>31</v>
      </c>
      <c r="J1009" t="s">
        <v>6112</v>
      </c>
      <c r="K1009" t="s">
        <v>1967</v>
      </c>
      <c r="L1009" t="s">
        <v>3897</v>
      </c>
      <c r="M1009" s="8">
        <v>6.67575</v>
      </c>
      <c r="N1009">
        <v>145.23264029167</v>
      </c>
      <c r="O1009">
        <v>2213</v>
      </c>
      <c r="P1009" s="9">
        <v>0.197190091001011</v>
      </c>
      <c r="Q1009" t="s">
        <v>880</v>
      </c>
      <c r="T1009" s="15" t="s">
        <v>290</v>
      </c>
      <c r="W1009" s="16" t="str">
        <f t="shared" si="105"/>
        <v>EN_WON_20_c04_IDN</v>
      </c>
      <c r="X1009" s="12">
        <f t="shared" si="106"/>
        <v>2213</v>
      </c>
      <c r="Y1009" s="11">
        <f t="shared" si="107"/>
        <v>2213</v>
      </c>
      <c r="AC1009" t="s">
        <v>26</v>
      </c>
      <c r="AD1009" t="s">
        <v>6114</v>
      </c>
      <c r="AE1009" t="s">
        <v>6115</v>
      </c>
      <c r="AF1009" t="s">
        <v>29</v>
      </c>
      <c r="AG1009" t="s">
        <v>30</v>
      </c>
      <c r="AH1009" t="s">
        <v>31</v>
      </c>
      <c r="AK1009" t="s">
        <v>6114</v>
      </c>
      <c r="AL1009" t="s">
        <v>1967</v>
      </c>
      <c r="AM1009" t="s">
        <v>6083</v>
      </c>
      <c r="AN1009" s="8">
        <v>20.08725</v>
      </c>
      <c r="AO1009">
        <v>199.694880401046</v>
      </c>
      <c r="AP1009">
        <v>1575</v>
      </c>
      <c r="AQ1009" s="9">
        <v>0.390749542620319</v>
      </c>
      <c r="AR1009" t="s">
        <v>1874</v>
      </c>
      <c r="AT1009" s="15" t="s">
        <v>89</v>
      </c>
      <c r="AW1009" s="11" t="str">
        <f t="shared" si="108"/>
        <v>EN_WOF_39_c02_VEN</v>
      </c>
      <c r="AX1009" s="11">
        <f t="shared" si="109"/>
        <v>1575</v>
      </c>
      <c r="AY1009" s="11">
        <f t="shared" si="110"/>
        <v>1575</v>
      </c>
      <c r="AZ1009" s="17">
        <v>3</v>
      </c>
      <c r="BA1009">
        <f t="shared" si="111"/>
        <v>15.75</v>
      </c>
    </row>
    <row r="1010" spans="2:53">
      <c r="B1010" t="s">
        <v>26</v>
      </c>
      <c r="C1010" t="s">
        <v>6116</v>
      </c>
      <c r="D1010" t="s">
        <v>6117</v>
      </c>
      <c r="E1010" t="s">
        <v>29</v>
      </c>
      <c r="F1010" t="s">
        <v>30</v>
      </c>
      <c r="G1010" t="s">
        <v>31</v>
      </c>
      <c r="J1010" t="s">
        <v>6116</v>
      </c>
      <c r="K1010" t="s">
        <v>1967</v>
      </c>
      <c r="L1010" t="s">
        <v>3897</v>
      </c>
      <c r="M1010" s="8">
        <v>0.639</v>
      </c>
      <c r="N1010">
        <v>145.23264029167</v>
      </c>
      <c r="O1010">
        <v>2213</v>
      </c>
      <c r="P1010" s="9">
        <v>0.211133802816901</v>
      </c>
      <c r="Q1010" t="s">
        <v>880</v>
      </c>
      <c r="T1010" s="15" t="s">
        <v>290</v>
      </c>
      <c r="W1010" s="16" t="str">
        <f t="shared" si="105"/>
        <v>EN_WON_21_c04_IDN</v>
      </c>
      <c r="X1010" s="12">
        <f t="shared" si="106"/>
        <v>2213</v>
      </c>
      <c r="Y1010" s="11">
        <f t="shared" si="107"/>
        <v>2213</v>
      </c>
      <c r="AC1010" t="s">
        <v>26</v>
      </c>
      <c r="AD1010" t="s">
        <v>6118</v>
      </c>
      <c r="AE1010" t="s">
        <v>6119</v>
      </c>
      <c r="AF1010" t="s">
        <v>29</v>
      </c>
      <c r="AG1010" t="s">
        <v>30</v>
      </c>
      <c r="AH1010" t="s">
        <v>31</v>
      </c>
      <c r="AK1010" t="s">
        <v>6118</v>
      </c>
      <c r="AL1010" t="s">
        <v>1967</v>
      </c>
      <c r="AM1010" t="s">
        <v>6083</v>
      </c>
      <c r="AN1010" s="8">
        <v>10.5375</v>
      </c>
      <c r="AO1010">
        <v>199.694880401046</v>
      </c>
      <c r="AP1010">
        <v>1575</v>
      </c>
      <c r="AQ1010" s="9">
        <v>0.398980284697509</v>
      </c>
      <c r="AR1010" t="s">
        <v>1874</v>
      </c>
      <c r="AT1010" s="15" t="s">
        <v>89</v>
      </c>
      <c r="AW1010" s="11" t="str">
        <f t="shared" si="108"/>
        <v>EN_WOF_40_c02_VEN</v>
      </c>
      <c r="AX1010" s="11">
        <f t="shared" si="109"/>
        <v>1575</v>
      </c>
      <c r="AY1010" s="11">
        <f t="shared" si="110"/>
        <v>1575</v>
      </c>
      <c r="AZ1010" s="17">
        <v>3</v>
      </c>
      <c r="BA1010">
        <f t="shared" si="111"/>
        <v>15.75</v>
      </c>
    </row>
    <row r="1011" spans="2:53">
      <c r="B1011" t="s">
        <v>26</v>
      </c>
      <c r="C1011" t="s">
        <v>6120</v>
      </c>
      <c r="D1011" t="s">
        <v>6121</v>
      </c>
      <c r="E1011" t="s">
        <v>29</v>
      </c>
      <c r="F1011" t="s">
        <v>30</v>
      </c>
      <c r="G1011" t="s">
        <v>31</v>
      </c>
      <c r="J1011" t="s">
        <v>6120</v>
      </c>
      <c r="K1011" t="s">
        <v>1967</v>
      </c>
      <c r="L1011" t="s">
        <v>3897</v>
      </c>
      <c r="M1011" s="8">
        <v>1.008</v>
      </c>
      <c r="N1011">
        <v>105.747516212372</v>
      </c>
      <c r="O1011">
        <v>2213</v>
      </c>
      <c r="P1011" s="9">
        <v>0.218654761904762</v>
      </c>
      <c r="Q1011" t="s">
        <v>880</v>
      </c>
      <c r="T1011" s="15" t="s">
        <v>290</v>
      </c>
      <c r="W1011" s="16" t="str">
        <f t="shared" si="105"/>
        <v>EN_WON_22_c03_IDN</v>
      </c>
      <c r="X1011" s="12">
        <f t="shared" si="106"/>
        <v>2213</v>
      </c>
      <c r="Y1011" s="11">
        <f t="shared" si="107"/>
        <v>2213</v>
      </c>
      <c r="AC1011" t="s">
        <v>26</v>
      </c>
      <c r="AD1011" t="s">
        <v>6122</v>
      </c>
      <c r="AE1011" t="s">
        <v>6123</v>
      </c>
      <c r="AF1011" t="s">
        <v>29</v>
      </c>
      <c r="AG1011" t="s">
        <v>30</v>
      </c>
      <c r="AH1011" t="s">
        <v>31</v>
      </c>
      <c r="AK1011" t="s">
        <v>6122</v>
      </c>
      <c r="AL1011" t="s">
        <v>1967</v>
      </c>
      <c r="AM1011" t="s">
        <v>6083</v>
      </c>
      <c r="AN1011" s="8">
        <v>8.1645</v>
      </c>
      <c r="AO1011">
        <v>199.694880401046</v>
      </c>
      <c r="AP1011">
        <v>1575</v>
      </c>
      <c r="AQ1011" s="9">
        <v>0.410382509645416</v>
      </c>
      <c r="AR1011" t="s">
        <v>1874</v>
      </c>
      <c r="AT1011" s="15" t="s">
        <v>89</v>
      </c>
      <c r="AW1011" s="11" t="str">
        <f t="shared" si="108"/>
        <v>EN_WOF_41_c02_VEN</v>
      </c>
      <c r="AX1011" s="11">
        <f t="shared" si="109"/>
        <v>1575</v>
      </c>
      <c r="AY1011" s="11">
        <f t="shared" si="110"/>
        <v>1575</v>
      </c>
      <c r="AZ1011" s="17">
        <v>3</v>
      </c>
      <c r="BA1011">
        <f t="shared" si="111"/>
        <v>15.75</v>
      </c>
    </row>
    <row r="1012" spans="2:53">
      <c r="B1012" t="s">
        <v>26</v>
      </c>
      <c r="C1012" t="s">
        <v>6124</v>
      </c>
      <c r="D1012" t="s">
        <v>6125</v>
      </c>
      <c r="E1012" t="s">
        <v>29</v>
      </c>
      <c r="F1012" t="s">
        <v>30</v>
      </c>
      <c r="G1012" t="s">
        <v>31</v>
      </c>
      <c r="J1012" t="s">
        <v>6124</v>
      </c>
      <c r="K1012" t="s">
        <v>1967</v>
      </c>
      <c r="L1012" t="s">
        <v>3897</v>
      </c>
      <c r="M1012" s="8">
        <v>1.461</v>
      </c>
      <c r="N1012">
        <v>145.23264029167</v>
      </c>
      <c r="O1012">
        <v>2213</v>
      </c>
      <c r="P1012" s="9">
        <v>0.216899897330595</v>
      </c>
      <c r="Q1012" t="s">
        <v>880</v>
      </c>
      <c r="T1012" s="15" t="s">
        <v>290</v>
      </c>
      <c r="W1012" s="16" t="str">
        <f t="shared" si="105"/>
        <v>EN_WON_22_c04_IDN</v>
      </c>
      <c r="X1012" s="12">
        <f t="shared" si="106"/>
        <v>2213</v>
      </c>
      <c r="Y1012" s="11">
        <f t="shared" si="107"/>
        <v>2213</v>
      </c>
      <c r="AC1012" t="s">
        <v>26</v>
      </c>
      <c r="AD1012" t="s">
        <v>6126</v>
      </c>
      <c r="AE1012" t="s">
        <v>6127</v>
      </c>
      <c r="AF1012" t="s">
        <v>29</v>
      </c>
      <c r="AG1012" t="s">
        <v>30</v>
      </c>
      <c r="AH1012" t="s">
        <v>31</v>
      </c>
      <c r="AK1012" t="s">
        <v>6126</v>
      </c>
      <c r="AL1012" t="s">
        <v>1967</v>
      </c>
      <c r="AM1012" t="s">
        <v>6083</v>
      </c>
      <c r="AN1012" s="8">
        <v>2.95275</v>
      </c>
      <c r="AO1012">
        <v>199.694880401046</v>
      </c>
      <c r="AP1012">
        <v>1575</v>
      </c>
      <c r="AQ1012" s="9">
        <v>0.416</v>
      </c>
      <c r="AR1012" t="s">
        <v>1874</v>
      </c>
      <c r="AT1012" s="15" t="s">
        <v>89</v>
      </c>
      <c r="AW1012" s="11" t="str">
        <f t="shared" si="108"/>
        <v>EN_WOF_42_c02_VEN</v>
      </c>
      <c r="AX1012" s="11">
        <f t="shared" si="109"/>
        <v>1575</v>
      </c>
      <c r="AY1012" s="11">
        <f t="shared" si="110"/>
        <v>1575</v>
      </c>
      <c r="AZ1012" s="17">
        <v>3</v>
      </c>
      <c r="BA1012">
        <f t="shared" si="111"/>
        <v>15.75</v>
      </c>
    </row>
    <row r="1013" spans="2:53">
      <c r="B1013" t="s">
        <v>26</v>
      </c>
      <c r="C1013" t="s">
        <v>6128</v>
      </c>
      <c r="D1013" t="s">
        <v>6129</v>
      </c>
      <c r="E1013" t="s">
        <v>29</v>
      </c>
      <c r="F1013" t="s">
        <v>30</v>
      </c>
      <c r="G1013" t="s">
        <v>31</v>
      </c>
      <c r="J1013" t="s">
        <v>6128</v>
      </c>
      <c r="K1013" t="s">
        <v>1967</v>
      </c>
      <c r="L1013" t="s">
        <v>3897</v>
      </c>
      <c r="M1013" s="8">
        <v>1.29675</v>
      </c>
      <c r="N1013">
        <v>145.23264029167</v>
      </c>
      <c r="O1013">
        <v>2213</v>
      </c>
      <c r="P1013" s="9">
        <v>0.228454598033545</v>
      </c>
      <c r="Q1013" t="s">
        <v>880</v>
      </c>
      <c r="T1013" s="15" t="s">
        <v>290</v>
      </c>
      <c r="W1013" s="16" t="str">
        <f t="shared" si="105"/>
        <v>EN_WON_23_c04_IDN</v>
      </c>
      <c r="X1013" s="12">
        <f t="shared" si="106"/>
        <v>2213</v>
      </c>
      <c r="Y1013" s="11">
        <f t="shared" si="107"/>
        <v>2213</v>
      </c>
      <c r="AC1013" t="s">
        <v>26</v>
      </c>
      <c r="AD1013" t="s">
        <v>6130</v>
      </c>
      <c r="AE1013" t="s">
        <v>6131</v>
      </c>
      <c r="AF1013" t="s">
        <v>29</v>
      </c>
      <c r="AG1013" t="s">
        <v>30</v>
      </c>
      <c r="AH1013" t="s">
        <v>31</v>
      </c>
      <c r="AK1013" t="s">
        <v>6130</v>
      </c>
      <c r="AL1013" t="s">
        <v>1967</v>
      </c>
      <c r="AM1013" t="s">
        <v>6083</v>
      </c>
      <c r="AN1013" s="8">
        <v>5.04075</v>
      </c>
      <c r="AO1013">
        <v>199.694880401046</v>
      </c>
      <c r="AP1013">
        <v>1575</v>
      </c>
      <c r="AQ1013" s="9">
        <v>0.425878589495611</v>
      </c>
      <c r="AR1013" t="s">
        <v>1874</v>
      </c>
      <c r="AT1013" s="15" t="s">
        <v>89</v>
      </c>
      <c r="AW1013" s="11" t="str">
        <f t="shared" si="108"/>
        <v>EN_WOF_43_c02_VEN</v>
      </c>
      <c r="AX1013" s="11">
        <f t="shared" si="109"/>
        <v>1575</v>
      </c>
      <c r="AY1013" s="11">
        <f t="shared" si="110"/>
        <v>1575</v>
      </c>
      <c r="AZ1013" s="17">
        <v>3</v>
      </c>
      <c r="BA1013">
        <f t="shared" si="111"/>
        <v>15.75</v>
      </c>
    </row>
    <row r="1014" spans="2:53">
      <c r="B1014" t="s">
        <v>26</v>
      </c>
      <c r="C1014" t="s">
        <v>6132</v>
      </c>
      <c r="D1014" t="s">
        <v>6133</v>
      </c>
      <c r="E1014" t="s">
        <v>29</v>
      </c>
      <c r="F1014" t="s">
        <v>30</v>
      </c>
      <c r="G1014" t="s">
        <v>31</v>
      </c>
      <c r="J1014" t="s">
        <v>6132</v>
      </c>
      <c r="K1014" t="s">
        <v>1967</v>
      </c>
      <c r="L1014" t="s">
        <v>3897</v>
      </c>
      <c r="M1014" s="8">
        <v>0.04125</v>
      </c>
      <c r="N1014">
        <v>80.7856561622413</v>
      </c>
      <c r="O1014">
        <v>2213</v>
      </c>
      <c r="P1014" s="9">
        <v>0.244</v>
      </c>
      <c r="Q1014" t="s">
        <v>880</v>
      </c>
      <c r="T1014" s="15" t="s">
        <v>290</v>
      </c>
      <c r="W1014" s="16" t="str">
        <f t="shared" si="105"/>
        <v>EN_WON_24_c02_IDN</v>
      </c>
      <c r="X1014" s="12">
        <f t="shared" si="106"/>
        <v>2213</v>
      </c>
      <c r="Y1014" s="11">
        <f t="shared" si="107"/>
        <v>2213</v>
      </c>
      <c r="AC1014" t="s">
        <v>26</v>
      </c>
      <c r="AD1014" t="s">
        <v>6134</v>
      </c>
      <c r="AE1014" t="s">
        <v>6135</v>
      </c>
      <c r="AF1014" t="s">
        <v>29</v>
      </c>
      <c r="AG1014" t="s">
        <v>30</v>
      </c>
      <c r="AH1014" t="s">
        <v>31</v>
      </c>
      <c r="AK1014" t="s">
        <v>6134</v>
      </c>
      <c r="AL1014" t="s">
        <v>1967</v>
      </c>
      <c r="AM1014" t="s">
        <v>6083</v>
      </c>
      <c r="AN1014" s="8">
        <v>5.454</v>
      </c>
      <c r="AO1014">
        <v>199.694880401046</v>
      </c>
      <c r="AP1014">
        <v>1575</v>
      </c>
      <c r="AQ1014" s="9">
        <v>0.442</v>
      </c>
      <c r="AR1014" t="s">
        <v>1874</v>
      </c>
      <c r="AT1014" s="15" t="s">
        <v>89</v>
      </c>
      <c r="AW1014" s="11" t="str">
        <f t="shared" si="108"/>
        <v>EN_WOF_44_c02_VEN</v>
      </c>
      <c r="AX1014" s="11">
        <f t="shared" si="109"/>
        <v>1575</v>
      </c>
      <c r="AY1014" s="11">
        <f t="shared" si="110"/>
        <v>1575</v>
      </c>
      <c r="AZ1014" s="17">
        <v>3</v>
      </c>
      <c r="BA1014">
        <f t="shared" si="111"/>
        <v>15.75</v>
      </c>
    </row>
    <row r="1015" spans="2:53">
      <c r="B1015" t="s">
        <v>26</v>
      </c>
      <c r="C1015" t="s">
        <v>6136</v>
      </c>
      <c r="D1015" t="s">
        <v>6137</v>
      </c>
      <c r="E1015" t="s">
        <v>29</v>
      </c>
      <c r="F1015" t="s">
        <v>30</v>
      </c>
      <c r="G1015" t="s">
        <v>31</v>
      </c>
      <c r="J1015" t="s">
        <v>6136</v>
      </c>
      <c r="K1015" t="s">
        <v>1967</v>
      </c>
      <c r="L1015" t="s">
        <v>3897</v>
      </c>
      <c r="M1015" s="8">
        <v>0.00675</v>
      </c>
      <c r="N1015">
        <v>145.23264029167</v>
      </c>
      <c r="O1015">
        <v>2213</v>
      </c>
      <c r="P1015" s="9">
        <v>0.24</v>
      </c>
      <c r="Q1015" t="s">
        <v>880</v>
      </c>
      <c r="T1015" s="15" t="s">
        <v>290</v>
      </c>
      <c r="W1015" s="16" t="str">
        <f t="shared" si="105"/>
        <v>EN_WON_24_c04_IDN</v>
      </c>
      <c r="X1015" s="12">
        <f t="shared" si="106"/>
        <v>2213</v>
      </c>
      <c r="Y1015" s="11">
        <f t="shared" si="107"/>
        <v>2213</v>
      </c>
      <c r="AC1015" t="s">
        <v>26</v>
      </c>
      <c r="AD1015" t="s">
        <v>6138</v>
      </c>
      <c r="AE1015" t="s">
        <v>6139</v>
      </c>
      <c r="AF1015" t="s">
        <v>29</v>
      </c>
      <c r="AG1015" t="s">
        <v>30</v>
      </c>
      <c r="AH1015" t="s">
        <v>31</v>
      </c>
      <c r="AK1015" t="s">
        <v>6138</v>
      </c>
      <c r="AL1015" t="s">
        <v>1967</v>
      </c>
      <c r="AM1015" t="s">
        <v>6083</v>
      </c>
      <c r="AN1015" s="8">
        <v>3.08475</v>
      </c>
      <c r="AO1015">
        <v>199.694880401046</v>
      </c>
      <c r="AP1015">
        <v>1575</v>
      </c>
      <c r="AQ1015" s="9">
        <v>0.44552832482373</v>
      </c>
      <c r="AR1015" t="s">
        <v>1874</v>
      </c>
      <c r="AT1015" s="15" t="s">
        <v>89</v>
      </c>
      <c r="AW1015" s="11" t="str">
        <f t="shared" si="108"/>
        <v>EN_WOF_45_c02_VEN</v>
      </c>
      <c r="AX1015" s="11">
        <f t="shared" si="109"/>
        <v>1575</v>
      </c>
      <c r="AY1015" s="11">
        <f t="shared" si="110"/>
        <v>1575</v>
      </c>
      <c r="AZ1015" s="17">
        <v>3</v>
      </c>
      <c r="BA1015">
        <f t="shared" si="111"/>
        <v>15.75</v>
      </c>
    </row>
    <row r="1016" spans="2:53">
      <c r="B1016" t="s">
        <v>26</v>
      </c>
      <c r="C1016" t="s">
        <v>6140</v>
      </c>
      <c r="D1016" t="s">
        <v>6141</v>
      </c>
      <c r="E1016" t="s">
        <v>29</v>
      </c>
      <c r="F1016" t="s">
        <v>30</v>
      </c>
      <c r="G1016" t="s">
        <v>31</v>
      </c>
      <c r="J1016" t="s">
        <v>6140</v>
      </c>
      <c r="K1016" t="s">
        <v>1967</v>
      </c>
      <c r="L1016" t="s">
        <v>3897</v>
      </c>
      <c r="M1016" s="8">
        <v>0.048</v>
      </c>
      <c r="N1016">
        <v>145.23264029167</v>
      </c>
      <c r="O1016">
        <v>2213</v>
      </c>
      <c r="P1016" s="9">
        <v>0.247</v>
      </c>
      <c r="Q1016" t="s">
        <v>880</v>
      </c>
      <c r="T1016" s="15" t="s">
        <v>290</v>
      </c>
      <c r="W1016" s="16" t="str">
        <f t="shared" si="105"/>
        <v>EN_WON_25_c04_IDN</v>
      </c>
      <c r="X1016" s="12">
        <f t="shared" si="106"/>
        <v>2213</v>
      </c>
      <c r="Y1016" s="11">
        <f t="shared" si="107"/>
        <v>2213</v>
      </c>
      <c r="AC1016" t="s">
        <v>26</v>
      </c>
      <c r="AD1016" t="s">
        <v>6142</v>
      </c>
      <c r="AE1016" t="s">
        <v>6143</v>
      </c>
      <c r="AF1016" t="s">
        <v>29</v>
      </c>
      <c r="AG1016" t="s">
        <v>30</v>
      </c>
      <c r="AH1016" t="s">
        <v>31</v>
      </c>
      <c r="AK1016" t="s">
        <v>6142</v>
      </c>
      <c r="AL1016" t="s">
        <v>1967</v>
      </c>
      <c r="AM1016" t="s">
        <v>6083</v>
      </c>
      <c r="AN1016" s="8">
        <v>6.2445</v>
      </c>
      <c r="AO1016">
        <v>199.694880401046</v>
      </c>
      <c r="AP1016">
        <v>1575</v>
      </c>
      <c r="AQ1016" s="9">
        <v>0.457477780446793</v>
      </c>
      <c r="AR1016" t="s">
        <v>1874</v>
      </c>
      <c r="AT1016" s="15" t="s">
        <v>89</v>
      </c>
      <c r="AW1016" s="11" t="str">
        <f t="shared" si="108"/>
        <v>EN_WOF_46_c02_VEN</v>
      </c>
      <c r="AX1016" s="11">
        <f t="shared" si="109"/>
        <v>1575</v>
      </c>
      <c r="AY1016" s="11">
        <f t="shared" si="110"/>
        <v>1575</v>
      </c>
      <c r="AZ1016" s="17">
        <v>3</v>
      </c>
      <c r="BA1016">
        <f t="shared" si="111"/>
        <v>15.75</v>
      </c>
    </row>
    <row r="1017" spans="2:53">
      <c r="B1017" t="s">
        <v>26</v>
      </c>
      <c r="C1017" t="s">
        <v>6144</v>
      </c>
      <c r="D1017" t="s">
        <v>6145</v>
      </c>
      <c r="E1017" t="s">
        <v>29</v>
      </c>
      <c r="F1017" t="s">
        <v>30</v>
      </c>
      <c r="G1017" t="s">
        <v>31</v>
      </c>
      <c r="J1017" t="s">
        <v>6144</v>
      </c>
      <c r="K1017" t="s">
        <v>1967</v>
      </c>
      <c r="L1017" t="s">
        <v>3897</v>
      </c>
      <c r="M1017" s="8">
        <v>1.4805</v>
      </c>
      <c r="N1017">
        <v>145.23264029167</v>
      </c>
      <c r="O1017">
        <v>2213</v>
      </c>
      <c r="P1017" s="9">
        <v>0.256</v>
      </c>
      <c r="Q1017" t="s">
        <v>880</v>
      </c>
      <c r="T1017" s="15" t="s">
        <v>290</v>
      </c>
      <c r="W1017" s="16" t="str">
        <f t="shared" si="105"/>
        <v>EN_WON_26_c04_IDN</v>
      </c>
      <c r="X1017" s="12">
        <f t="shared" si="106"/>
        <v>2213</v>
      </c>
      <c r="Y1017" s="11">
        <f t="shared" si="107"/>
        <v>2213</v>
      </c>
      <c r="AC1017" t="s">
        <v>26</v>
      </c>
      <c r="AD1017" t="s">
        <v>6146</v>
      </c>
      <c r="AE1017" t="s">
        <v>6147</v>
      </c>
      <c r="AF1017" t="s">
        <v>29</v>
      </c>
      <c r="AG1017" t="s">
        <v>30</v>
      </c>
      <c r="AH1017" t="s">
        <v>31</v>
      </c>
      <c r="AK1017" t="s">
        <v>6146</v>
      </c>
      <c r="AL1017" t="s">
        <v>1967</v>
      </c>
      <c r="AM1017" t="s">
        <v>6083</v>
      </c>
      <c r="AN1017" s="8">
        <v>5.919</v>
      </c>
      <c r="AO1017">
        <v>199.694880401046</v>
      </c>
      <c r="AP1017">
        <v>1575</v>
      </c>
      <c r="AQ1017" s="9">
        <v>0.473213887480993</v>
      </c>
      <c r="AR1017" t="s">
        <v>1874</v>
      </c>
      <c r="AT1017" s="15" t="s">
        <v>89</v>
      </c>
      <c r="AW1017" s="11" t="str">
        <f t="shared" si="108"/>
        <v>EN_WOF_47_c02_VEN</v>
      </c>
      <c r="AX1017" s="11">
        <f t="shared" si="109"/>
        <v>1575</v>
      </c>
      <c r="AY1017" s="11">
        <f t="shared" si="110"/>
        <v>1575</v>
      </c>
      <c r="AZ1017" s="17">
        <v>3</v>
      </c>
      <c r="BA1017">
        <f t="shared" si="111"/>
        <v>15.75</v>
      </c>
    </row>
    <row r="1018" spans="2:53">
      <c r="B1018" t="s">
        <v>26</v>
      </c>
      <c r="C1018" t="s">
        <v>6148</v>
      </c>
      <c r="D1018" t="s">
        <v>6149</v>
      </c>
      <c r="E1018" t="s">
        <v>29</v>
      </c>
      <c r="F1018" t="s">
        <v>30</v>
      </c>
      <c r="G1018" t="s">
        <v>31</v>
      </c>
      <c r="J1018" t="s">
        <v>6148</v>
      </c>
      <c r="K1018" t="s">
        <v>1967</v>
      </c>
      <c r="L1018" t="s">
        <v>3897</v>
      </c>
      <c r="M1018" s="8">
        <v>0.0525</v>
      </c>
      <c r="N1018">
        <v>80.7856561622413</v>
      </c>
      <c r="O1018">
        <v>2213</v>
      </c>
      <c r="P1018" s="9">
        <v>0.284</v>
      </c>
      <c r="Q1018" t="s">
        <v>880</v>
      </c>
      <c r="T1018" s="15" t="s">
        <v>290</v>
      </c>
      <c r="W1018" s="16" t="str">
        <f t="shared" si="105"/>
        <v>EN_WON_28_c02_IDN</v>
      </c>
      <c r="X1018" s="12">
        <f t="shared" si="106"/>
        <v>2213</v>
      </c>
      <c r="Y1018" s="11">
        <f t="shared" si="107"/>
        <v>2213</v>
      </c>
      <c r="AC1018" t="s">
        <v>26</v>
      </c>
      <c r="AD1018" t="s">
        <v>6150</v>
      </c>
      <c r="AE1018" t="s">
        <v>6151</v>
      </c>
      <c r="AF1018" t="s">
        <v>29</v>
      </c>
      <c r="AG1018" t="s">
        <v>30</v>
      </c>
      <c r="AH1018" t="s">
        <v>31</v>
      </c>
      <c r="AK1018" t="s">
        <v>6150</v>
      </c>
      <c r="AL1018" t="s">
        <v>1967</v>
      </c>
      <c r="AM1018" t="s">
        <v>6083</v>
      </c>
      <c r="AN1018" s="8">
        <v>4.698</v>
      </c>
      <c r="AO1018">
        <v>199.694880401046</v>
      </c>
      <c r="AP1018">
        <v>1575</v>
      </c>
      <c r="AQ1018" s="9">
        <v>0.480368454661558</v>
      </c>
      <c r="AR1018" t="s">
        <v>1874</v>
      </c>
      <c r="AT1018" s="15" t="s">
        <v>89</v>
      </c>
      <c r="AW1018" s="11" t="str">
        <f t="shared" si="108"/>
        <v>EN_WOF_48_c02_VEN</v>
      </c>
      <c r="AX1018" s="11">
        <f t="shared" si="109"/>
        <v>1575</v>
      </c>
      <c r="AY1018" s="11">
        <f t="shared" si="110"/>
        <v>1575</v>
      </c>
      <c r="AZ1018" s="17">
        <v>3</v>
      </c>
      <c r="BA1018">
        <f t="shared" si="111"/>
        <v>15.75</v>
      </c>
    </row>
    <row r="1019" spans="2:53">
      <c r="B1019" t="s">
        <v>26</v>
      </c>
      <c r="C1019" t="s">
        <v>6152</v>
      </c>
      <c r="D1019" t="s">
        <v>6153</v>
      </c>
      <c r="E1019" t="s">
        <v>29</v>
      </c>
      <c r="F1019" t="s">
        <v>30</v>
      </c>
      <c r="G1019" t="s">
        <v>31</v>
      </c>
      <c r="J1019" t="s">
        <v>6152</v>
      </c>
      <c r="K1019" t="s">
        <v>1967</v>
      </c>
      <c r="L1019" t="s">
        <v>3918</v>
      </c>
      <c r="M1019" s="8">
        <v>84.6015</v>
      </c>
      <c r="N1019">
        <v>80.7856561622413</v>
      </c>
      <c r="O1019">
        <v>1054</v>
      </c>
      <c r="P1019" s="9">
        <v>0.152865055584121</v>
      </c>
      <c r="Q1019" t="s">
        <v>926</v>
      </c>
      <c r="T1019" s="15" t="s">
        <v>35</v>
      </c>
      <c r="W1019" s="16" t="str">
        <f t="shared" si="105"/>
        <v>EN_WON_15_c02_IND</v>
      </c>
      <c r="X1019" s="12">
        <f t="shared" si="106"/>
        <v>1054</v>
      </c>
      <c r="Y1019" s="11">
        <f t="shared" si="107"/>
        <v>1054</v>
      </c>
      <c r="AC1019" t="s">
        <v>26</v>
      </c>
      <c r="AD1019" t="s">
        <v>6154</v>
      </c>
      <c r="AE1019" t="s">
        <v>6155</v>
      </c>
      <c r="AF1019" t="s">
        <v>29</v>
      </c>
      <c r="AG1019" t="s">
        <v>30</v>
      </c>
      <c r="AH1019" t="s">
        <v>31</v>
      </c>
      <c r="AK1019" t="s">
        <v>6154</v>
      </c>
      <c r="AL1019" t="s">
        <v>1967</v>
      </c>
      <c r="AM1019" t="s">
        <v>6083</v>
      </c>
      <c r="AN1019" s="8">
        <v>3.39975</v>
      </c>
      <c r="AO1019">
        <v>199.694880401046</v>
      </c>
      <c r="AP1019">
        <v>1575</v>
      </c>
      <c r="AQ1019" s="9">
        <v>0.495786454886389</v>
      </c>
      <c r="AR1019" t="s">
        <v>1874</v>
      </c>
      <c r="AT1019" s="15" t="s">
        <v>89</v>
      </c>
      <c r="AW1019" s="11" t="str">
        <f t="shared" si="108"/>
        <v>EN_WOF_50_c02_VEN</v>
      </c>
      <c r="AX1019" s="11">
        <f t="shared" si="109"/>
        <v>1575</v>
      </c>
      <c r="AY1019" s="11">
        <f t="shared" si="110"/>
        <v>1575</v>
      </c>
      <c r="AZ1019" s="17">
        <v>3</v>
      </c>
      <c r="BA1019">
        <f t="shared" si="111"/>
        <v>15.75</v>
      </c>
    </row>
    <row r="1020" spans="2:53">
      <c r="B1020" t="s">
        <v>26</v>
      </c>
      <c r="C1020" t="s">
        <v>6156</v>
      </c>
      <c r="D1020" t="s">
        <v>6157</v>
      </c>
      <c r="E1020" t="s">
        <v>29</v>
      </c>
      <c r="F1020" t="s">
        <v>30</v>
      </c>
      <c r="G1020" t="s">
        <v>31</v>
      </c>
      <c r="J1020" t="s">
        <v>6156</v>
      </c>
      <c r="K1020" t="s">
        <v>1967</v>
      </c>
      <c r="L1020" t="s">
        <v>3918</v>
      </c>
      <c r="M1020" s="8">
        <v>37.632</v>
      </c>
      <c r="N1020">
        <v>105.747516212372</v>
      </c>
      <c r="O1020">
        <v>1054</v>
      </c>
      <c r="P1020" s="9">
        <v>0.151945412149235</v>
      </c>
      <c r="Q1020" t="s">
        <v>926</v>
      </c>
      <c r="T1020" s="15" t="s">
        <v>35</v>
      </c>
      <c r="W1020" s="16" t="str">
        <f t="shared" si="105"/>
        <v>EN_WON_15_c03_IND</v>
      </c>
      <c r="X1020" s="12">
        <f t="shared" si="106"/>
        <v>1054</v>
      </c>
      <c r="Y1020" s="11">
        <f t="shared" si="107"/>
        <v>1054</v>
      </c>
      <c r="AC1020" t="s">
        <v>26</v>
      </c>
      <c r="AD1020" t="s">
        <v>6158</v>
      </c>
      <c r="AE1020" t="s">
        <v>6159</v>
      </c>
      <c r="AF1020" t="s">
        <v>29</v>
      </c>
      <c r="AG1020" t="s">
        <v>30</v>
      </c>
      <c r="AH1020" t="s">
        <v>31</v>
      </c>
      <c r="AK1020" t="s">
        <v>6158</v>
      </c>
      <c r="AL1020" t="s">
        <v>1967</v>
      </c>
      <c r="AM1020" t="s">
        <v>6083</v>
      </c>
      <c r="AN1020" s="8">
        <v>0.873</v>
      </c>
      <c r="AO1020">
        <v>199.694880401046</v>
      </c>
      <c r="AP1020">
        <v>1575</v>
      </c>
      <c r="AQ1020" s="9">
        <v>0.51</v>
      </c>
      <c r="AR1020" t="s">
        <v>1874</v>
      </c>
      <c r="AT1020" s="15" t="s">
        <v>89</v>
      </c>
      <c r="AW1020" s="11" t="str">
        <f t="shared" si="108"/>
        <v>EN_WOF_51_c02_VEN</v>
      </c>
      <c r="AX1020" s="11">
        <f t="shared" si="109"/>
        <v>1575</v>
      </c>
      <c r="AY1020" s="11">
        <f t="shared" si="110"/>
        <v>1575</v>
      </c>
      <c r="AZ1020" s="17">
        <v>3</v>
      </c>
      <c r="BA1020">
        <f t="shared" si="111"/>
        <v>15.75</v>
      </c>
    </row>
    <row r="1021" spans="2:53">
      <c r="B1021" t="s">
        <v>26</v>
      </c>
      <c r="C1021" t="s">
        <v>6160</v>
      </c>
      <c r="D1021" t="s">
        <v>6161</v>
      </c>
      <c r="E1021" t="s">
        <v>29</v>
      </c>
      <c r="F1021" t="s">
        <v>30</v>
      </c>
      <c r="G1021" t="s">
        <v>31</v>
      </c>
      <c r="J1021" t="s">
        <v>6160</v>
      </c>
      <c r="K1021" t="s">
        <v>1967</v>
      </c>
      <c r="L1021" t="s">
        <v>3918</v>
      </c>
      <c r="M1021" s="8">
        <v>35.85525</v>
      </c>
      <c r="N1021">
        <v>145.23264029167</v>
      </c>
      <c r="O1021">
        <v>1054</v>
      </c>
      <c r="P1021" s="9">
        <v>0.151989185684105</v>
      </c>
      <c r="Q1021" t="s">
        <v>926</v>
      </c>
      <c r="T1021" s="15" t="s">
        <v>35</v>
      </c>
      <c r="W1021" s="16" t="str">
        <f t="shared" si="105"/>
        <v>EN_WON_15_c04_IND</v>
      </c>
      <c r="X1021" s="12">
        <f t="shared" si="106"/>
        <v>1054</v>
      </c>
      <c r="Y1021" s="11">
        <f t="shared" si="107"/>
        <v>1054</v>
      </c>
      <c r="AC1021" t="s">
        <v>26</v>
      </c>
      <c r="AD1021" t="s">
        <v>6162</v>
      </c>
      <c r="AE1021" t="s">
        <v>6163</v>
      </c>
      <c r="AF1021" t="s">
        <v>29</v>
      </c>
      <c r="AG1021" t="s">
        <v>30</v>
      </c>
      <c r="AH1021" t="s">
        <v>31</v>
      </c>
      <c r="AK1021" t="s">
        <v>6162</v>
      </c>
      <c r="AL1021" t="s">
        <v>1967</v>
      </c>
      <c r="AM1021" t="s">
        <v>6083</v>
      </c>
      <c r="AN1021" s="8">
        <v>2.808</v>
      </c>
      <c r="AO1021">
        <v>199.694880401046</v>
      </c>
      <c r="AP1021">
        <v>1575</v>
      </c>
      <c r="AQ1021" s="9">
        <v>0.541</v>
      </c>
      <c r="AR1021" t="s">
        <v>1874</v>
      </c>
      <c r="AT1021" s="15" t="s">
        <v>89</v>
      </c>
      <c r="AW1021" s="11" t="str">
        <f t="shared" si="108"/>
        <v>EN_WOF_54_c02_VEN</v>
      </c>
      <c r="AX1021" s="11">
        <f t="shared" si="109"/>
        <v>1575</v>
      </c>
      <c r="AY1021" s="11">
        <f t="shared" si="110"/>
        <v>1575</v>
      </c>
      <c r="AZ1021" s="17">
        <v>3</v>
      </c>
      <c r="BA1021">
        <f t="shared" si="111"/>
        <v>15.75</v>
      </c>
    </row>
    <row r="1022" spans="2:53">
      <c r="B1022" t="s">
        <v>26</v>
      </c>
      <c r="C1022" t="s">
        <v>6164</v>
      </c>
      <c r="D1022" t="s">
        <v>6165</v>
      </c>
      <c r="E1022" t="s">
        <v>29</v>
      </c>
      <c r="F1022" t="s">
        <v>30</v>
      </c>
      <c r="G1022" t="s">
        <v>31</v>
      </c>
      <c r="J1022" t="s">
        <v>6164</v>
      </c>
      <c r="K1022" t="s">
        <v>1967</v>
      </c>
      <c r="L1022" t="s">
        <v>3918</v>
      </c>
      <c r="M1022" s="8">
        <v>151.69725</v>
      </c>
      <c r="N1022">
        <v>80.7856561622413</v>
      </c>
      <c r="O1022">
        <v>1054</v>
      </c>
      <c r="P1022" s="9">
        <v>0.159860814879637</v>
      </c>
      <c r="Q1022" t="s">
        <v>926</v>
      </c>
      <c r="T1022" s="15" t="s">
        <v>35</v>
      </c>
      <c r="W1022" s="16" t="str">
        <f t="shared" si="105"/>
        <v>EN_WON_16_c02_IND</v>
      </c>
      <c r="X1022" s="12">
        <f t="shared" si="106"/>
        <v>1054</v>
      </c>
      <c r="Y1022" s="11">
        <f t="shared" si="107"/>
        <v>1054</v>
      </c>
      <c r="AC1022" t="s">
        <v>26</v>
      </c>
      <c r="AD1022" t="s">
        <v>6166</v>
      </c>
      <c r="AE1022" t="s">
        <v>6167</v>
      </c>
      <c r="AF1022" t="s">
        <v>29</v>
      </c>
      <c r="AG1022" t="s">
        <v>30</v>
      </c>
      <c r="AH1022" t="s">
        <v>31</v>
      </c>
      <c r="AK1022" t="s">
        <v>6166</v>
      </c>
      <c r="AL1022" t="s">
        <v>1967</v>
      </c>
      <c r="AM1022" t="s">
        <v>6083</v>
      </c>
      <c r="AN1022" s="8">
        <v>4.8045</v>
      </c>
      <c r="AO1022">
        <v>199.694880401046</v>
      </c>
      <c r="AP1022">
        <v>1575</v>
      </c>
      <c r="AQ1022" s="9">
        <v>0.545264127380581</v>
      </c>
      <c r="AR1022" t="s">
        <v>1874</v>
      </c>
      <c r="AT1022" s="15" t="s">
        <v>89</v>
      </c>
      <c r="AW1022" s="11" t="str">
        <f t="shared" si="108"/>
        <v>EN_WOF_55_c02_VEN</v>
      </c>
      <c r="AX1022" s="11">
        <f t="shared" si="109"/>
        <v>1575</v>
      </c>
      <c r="AY1022" s="11">
        <f t="shared" si="110"/>
        <v>1575</v>
      </c>
      <c r="AZ1022" s="17">
        <v>3</v>
      </c>
      <c r="BA1022">
        <f t="shared" si="111"/>
        <v>15.75</v>
      </c>
    </row>
    <row r="1023" spans="2:53">
      <c r="B1023" t="s">
        <v>26</v>
      </c>
      <c r="C1023" t="s">
        <v>6168</v>
      </c>
      <c r="D1023" t="s">
        <v>6169</v>
      </c>
      <c r="E1023" t="s">
        <v>29</v>
      </c>
      <c r="F1023" t="s">
        <v>30</v>
      </c>
      <c r="G1023" t="s">
        <v>31</v>
      </c>
      <c r="J1023" t="s">
        <v>6168</v>
      </c>
      <c r="K1023" t="s">
        <v>1967</v>
      </c>
      <c r="L1023" t="s">
        <v>3918</v>
      </c>
      <c r="M1023" s="8">
        <v>128.03025</v>
      </c>
      <c r="N1023">
        <v>105.747516212372</v>
      </c>
      <c r="O1023">
        <v>1054</v>
      </c>
      <c r="P1023" s="9">
        <v>0.157648415120645</v>
      </c>
      <c r="Q1023" t="s">
        <v>926</v>
      </c>
      <c r="T1023" s="15" t="s">
        <v>35</v>
      </c>
      <c r="W1023" s="16" t="str">
        <f t="shared" si="105"/>
        <v>EN_WON_16_c03_IND</v>
      </c>
      <c r="X1023" s="12">
        <f t="shared" si="106"/>
        <v>1054</v>
      </c>
      <c r="Y1023" s="11">
        <f t="shared" si="107"/>
        <v>1054</v>
      </c>
      <c r="AC1023" t="s">
        <v>26</v>
      </c>
      <c r="AD1023" t="s">
        <v>6170</v>
      </c>
      <c r="AE1023" t="s">
        <v>6171</v>
      </c>
      <c r="AF1023" t="s">
        <v>29</v>
      </c>
      <c r="AG1023" t="s">
        <v>30</v>
      </c>
      <c r="AH1023" t="s">
        <v>31</v>
      </c>
      <c r="AK1023" t="s">
        <v>6170</v>
      </c>
      <c r="AL1023" t="s">
        <v>1967</v>
      </c>
      <c r="AM1023" t="s">
        <v>6083</v>
      </c>
      <c r="AN1023" s="8">
        <v>2.9445</v>
      </c>
      <c r="AO1023">
        <v>199.694880401046</v>
      </c>
      <c r="AP1023">
        <v>1575</v>
      </c>
      <c r="AQ1023" s="9">
        <v>0.579</v>
      </c>
      <c r="AR1023" t="s">
        <v>1874</v>
      </c>
      <c r="AT1023" s="15" t="s">
        <v>89</v>
      </c>
      <c r="AW1023" s="11" t="str">
        <f t="shared" si="108"/>
        <v>EN_WOF_58_c02_VEN</v>
      </c>
      <c r="AX1023" s="11">
        <f t="shared" si="109"/>
        <v>1575</v>
      </c>
      <c r="AY1023" s="11">
        <f t="shared" si="110"/>
        <v>1575</v>
      </c>
      <c r="AZ1023" s="17">
        <v>3</v>
      </c>
      <c r="BA1023">
        <f t="shared" si="111"/>
        <v>15.75</v>
      </c>
    </row>
    <row r="1024" spans="2:53">
      <c r="B1024" t="s">
        <v>26</v>
      </c>
      <c r="C1024" t="s">
        <v>6172</v>
      </c>
      <c r="D1024" t="s">
        <v>6173</v>
      </c>
      <c r="E1024" t="s">
        <v>29</v>
      </c>
      <c r="F1024" t="s">
        <v>30</v>
      </c>
      <c r="G1024" t="s">
        <v>31</v>
      </c>
      <c r="J1024" t="s">
        <v>6172</v>
      </c>
      <c r="K1024" t="s">
        <v>1967</v>
      </c>
      <c r="L1024" t="s">
        <v>3918</v>
      </c>
      <c r="M1024" s="8">
        <v>34.68225</v>
      </c>
      <c r="N1024">
        <v>145.23264029167</v>
      </c>
      <c r="O1024">
        <v>1054</v>
      </c>
      <c r="P1024" s="9">
        <v>0.159664987133188</v>
      </c>
      <c r="Q1024" t="s">
        <v>926</v>
      </c>
      <c r="T1024" s="15" t="s">
        <v>35</v>
      </c>
      <c r="W1024" s="16" t="str">
        <f t="shared" si="105"/>
        <v>EN_WON_16_c04_IND</v>
      </c>
      <c r="X1024" s="12">
        <f t="shared" si="106"/>
        <v>1054</v>
      </c>
      <c r="Y1024" s="11">
        <f t="shared" si="107"/>
        <v>1054</v>
      </c>
      <c r="AC1024" t="s">
        <v>26</v>
      </c>
      <c r="AD1024" t="s">
        <v>6174</v>
      </c>
      <c r="AE1024" t="s">
        <v>6175</v>
      </c>
      <c r="AF1024" t="s">
        <v>29</v>
      </c>
      <c r="AG1024" t="s">
        <v>30</v>
      </c>
      <c r="AH1024" t="s">
        <v>31</v>
      </c>
      <c r="AK1024" t="s">
        <v>6174</v>
      </c>
      <c r="AL1024" t="s">
        <v>1967</v>
      </c>
      <c r="AM1024" t="s">
        <v>6083</v>
      </c>
      <c r="AN1024" s="8">
        <v>3.23775</v>
      </c>
      <c r="AO1024">
        <v>199.694880401046</v>
      </c>
      <c r="AP1024">
        <v>1575</v>
      </c>
      <c r="AQ1024" s="9">
        <v>0.611417651146629</v>
      </c>
      <c r="AR1024" t="s">
        <v>1874</v>
      </c>
      <c r="AT1024" s="15" t="s">
        <v>89</v>
      </c>
      <c r="AW1024" s="11" t="str">
        <f t="shared" si="108"/>
        <v>EN_WOF_61_c02_VEN</v>
      </c>
      <c r="AX1024" s="11">
        <f t="shared" si="109"/>
        <v>1575</v>
      </c>
      <c r="AY1024" s="11">
        <f t="shared" si="110"/>
        <v>1575</v>
      </c>
      <c r="AZ1024" s="17">
        <v>3</v>
      </c>
      <c r="BA1024">
        <f t="shared" si="111"/>
        <v>15.75</v>
      </c>
    </row>
    <row r="1025" spans="2:53">
      <c r="B1025" t="s">
        <v>26</v>
      </c>
      <c r="C1025" t="s">
        <v>6176</v>
      </c>
      <c r="D1025" t="s">
        <v>6177</v>
      </c>
      <c r="E1025" t="s">
        <v>29</v>
      </c>
      <c r="F1025" t="s">
        <v>30</v>
      </c>
      <c r="G1025" t="s">
        <v>31</v>
      </c>
      <c r="J1025" t="s">
        <v>6176</v>
      </c>
      <c r="K1025" t="s">
        <v>1967</v>
      </c>
      <c r="L1025" t="s">
        <v>3918</v>
      </c>
      <c r="M1025" s="8">
        <v>140.06025</v>
      </c>
      <c r="N1025">
        <v>80.7856561622413</v>
      </c>
      <c r="O1025">
        <v>1054</v>
      </c>
      <c r="P1025" s="9">
        <v>0.168884137362314</v>
      </c>
      <c r="Q1025" t="s">
        <v>926</v>
      </c>
      <c r="T1025" s="15" t="s">
        <v>35</v>
      </c>
      <c r="W1025" s="16" t="str">
        <f t="shared" si="105"/>
        <v>EN_WON_17_c02_IND</v>
      </c>
      <c r="X1025" s="12">
        <f t="shared" si="106"/>
        <v>1054</v>
      </c>
      <c r="Y1025" s="11">
        <f t="shared" si="107"/>
        <v>1054</v>
      </c>
      <c r="AC1025" t="s">
        <v>26</v>
      </c>
      <c r="AD1025" t="s">
        <v>6178</v>
      </c>
      <c r="AE1025" t="s">
        <v>6179</v>
      </c>
      <c r="AF1025" t="s">
        <v>29</v>
      </c>
      <c r="AG1025" t="s">
        <v>30</v>
      </c>
      <c r="AH1025" t="s">
        <v>31</v>
      </c>
      <c r="AK1025" t="s">
        <v>6178</v>
      </c>
      <c r="AL1025" t="s">
        <v>1967</v>
      </c>
      <c r="AM1025" t="s">
        <v>6083</v>
      </c>
      <c r="AN1025" s="8">
        <v>6.3915</v>
      </c>
      <c r="AO1025">
        <v>199.694880401046</v>
      </c>
      <c r="AP1025">
        <v>1575</v>
      </c>
      <c r="AQ1025" s="9">
        <v>0.617744426191035</v>
      </c>
      <c r="AR1025" t="s">
        <v>1874</v>
      </c>
      <c r="AT1025" s="15" t="s">
        <v>89</v>
      </c>
      <c r="AW1025" s="11" t="str">
        <f t="shared" si="108"/>
        <v>EN_WOF_62_c02_VEN</v>
      </c>
      <c r="AX1025" s="11">
        <f t="shared" si="109"/>
        <v>1575</v>
      </c>
      <c r="AY1025" s="11">
        <f t="shared" si="110"/>
        <v>1575</v>
      </c>
      <c r="AZ1025" s="17">
        <v>3</v>
      </c>
      <c r="BA1025">
        <f t="shared" si="111"/>
        <v>15.75</v>
      </c>
    </row>
    <row r="1026" spans="2:53">
      <c r="B1026" t="s">
        <v>26</v>
      </c>
      <c r="C1026" t="s">
        <v>6180</v>
      </c>
      <c r="D1026" t="s">
        <v>6181</v>
      </c>
      <c r="E1026" t="s">
        <v>29</v>
      </c>
      <c r="F1026" t="s">
        <v>30</v>
      </c>
      <c r="G1026" t="s">
        <v>31</v>
      </c>
      <c r="J1026" t="s">
        <v>6180</v>
      </c>
      <c r="K1026" t="s">
        <v>1967</v>
      </c>
      <c r="L1026" t="s">
        <v>3918</v>
      </c>
      <c r="M1026" s="8">
        <v>130.7955</v>
      </c>
      <c r="N1026">
        <v>105.747516212372</v>
      </c>
      <c r="O1026">
        <v>1054</v>
      </c>
      <c r="P1026" s="9">
        <v>0.168066779820407</v>
      </c>
      <c r="Q1026" t="s">
        <v>926</v>
      </c>
      <c r="T1026" s="15" t="s">
        <v>35</v>
      </c>
      <c r="W1026" s="16" t="str">
        <f t="shared" si="105"/>
        <v>EN_WON_17_c03_IND</v>
      </c>
      <c r="X1026" s="12">
        <f t="shared" si="106"/>
        <v>1054</v>
      </c>
      <c r="Y1026" s="11">
        <f t="shared" si="107"/>
        <v>1054</v>
      </c>
      <c r="AC1026" t="s">
        <v>26</v>
      </c>
      <c r="AD1026" t="s">
        <v>6182</v>
      </c>
      <c r="AE1026" t="s">
        <v>6183</v>
      </c>
      <c r="AF1026" t="s">
        <v>29</v>
      </c>
      <c r="AG1026" t="s">
        <v>30</v>
      </c>
      <c r="AH1026" t="s">
        <v>31</v>
      </c>
      <c r="AK1026" t="s">
        <v>6182</v>
      </c>
      <c r="AL1026" t="s">
        <v>1967</v>
      </c>
      <c r="AM1026" t="s">
        <v>6083</v>
      </c>
      <c r="AN1026" s="8">
        <v>13.4595</v>
      </c>
      <c r="AO1026">
        <v>199.694880401046</v>
      </c>
      <c r="AP1026">
        <v>1575</v>
      </c>
      <c r="AQ1026" s="9">
        <v>0.630918087596122</v>
      </c>
      <c r="AR1026" t="s">
        <v>1874</v>
      </c>
      <c r="AT1026" s="15" t="s">
        <v>89</v>
      </c>
      <c r="AW1026" s="11" t="str">
        <f t="shared" si="108"/>
        <v>EN_WOF_63_c02_VEN</v>
      </c>
      <c r="AX1026" s="11">
        <f t="shared" si="109"/>
        <v>1575</v>
      </c>
      <c r="AY1026" s="11">
        <f t="shared" si="110"/>
        <v>1575</v>
      </c>
      <c r="AZ1026" s="17">
        <v>3</v>
      </c>
      <c r="BA1026">
        <f t="shared" si="111"/>
        <v>15.75</v>
      </c>
    </row>
    <row r="1027" spans="2:53">
      <c r="B1027" t="s">
        <v>26</v>
      </c>
      <c r="C1027" t="s">
        <v>6184</v>
      </c>
      <c r="D1027" t="s">
        <v>6185</v>
      </c>
      <c r="E1027" t="s">
        <v>29</v>
      </c>
      <c r="F1027" t="s">
        <v>30</v>
      </c>
      <c r="G1027" t="s">
        <v>31</v>
      </c>
      <c r="J1027" t="s">
        <v>6184</v>
      </c>
      <c r="K1027" t="s">
        <v>1967</v>
      </c>
      <c r="L1027" t="s">
        <v>3918</v>
      </c>
      <c r="M1027" s="8">
        <v>21.342</v>
      </c>
      <c r="N1027">
        <v>145.23264029167</v>
      </c>
      <c r="O1027">
        <v>1054</v>
      </c>
      <c r="P1027" s="9">
        <v>0.169962573798145</v>
      </c>
      <c r="Q1027" t="s">
        <v>926</v>
      </c>
      <c r="T1027" s="15" t="s">
        <v>35</v>
      </c>
      <c r="W1027" s="16" t="str">
        <f t="shared" si="105"/>
        <v>EN_WON_17_c04_IND</v>
      </c>
      <c r="X1027" s="12">
        <f t="shared" si="106"/>
        <v>1054</v>
      </c>
      <c r="Y1027" s="11">
        <f t="shared" si="107"/>
        <v>1054</v>
      </c>
      <c r="AC1027" t="s">
        <v>26</v>
      </c>
      <c r="AD1027" t="s">
        <v>6186</v>
      </c>
      <c r="AE1027" t="s">
        <v>6187</v>
      </c>
      <c r="AF1027" t="s">
        <v>29</v>
      </c>
      <c r="AG1027" t="s">
        <v>30</v>
      </c>
      <c r="AH1027" t="s">
        <v>31</v>
      </c>
      <c r="AK1027" t="s">
        <v>6186</v>
      </c>
      <c r="AL1027" t="s">
        <v>1967</v>
      </c>
      <c r="AM1027" t="s">
        <v>6083</v>
      </c>
      <c r="AN1027" s="8">
        <v>4.77</v>
      </c>
      <c r="AO1027">
        <v>199.694880401046</v>
      </c>
      <c r="AP1027">
        <v>1575</v>
      </c>
      <c r="AQ1027" s="9">
        <v>0.635</v>
      </c>
      <c r="AR1027" t="s">
        <v>1874</v>
      </c>
      <c r="AT1027" s="15" t="s">
        <v>89</v>
      </c>
      <c r="AW1027" s="11" t="str">
        <f t="shared" si="108"/>
        <v>EN_WOF_64_c02_VEN</v>
      </c>
      <c r="AX1027" s="11">
        <f t="shared" si="109"/>
        <v>1575</v>
      </c>
      <c r="AY1027" s="11">
        <f t="shared" si="110"/>
        <v>1575</v>
      </c>
      <c r="AZ1027" s="17">
        <v>3</v>
      </c>
      <c r="BA1027">
        <f t="shared" si="111"/>
        <v>15.75</v>
      </c>
    </row>
    <row r="1028" spans="2:53">
      <c r="B1028" t="s">
        <v>26</v>
      </c>
      <c r="C1028" t="s">
        <v>6188</v>
      </c>
      <c r="D1028" t="s">
        <v>6189</v>
      </c>
      <c r="E1028" t="s">
        <v>29</v>
      </c>
      <c r="F1028" t="s">
        <v>30</v>
      </c>
      <c r="G1028" t="s">
        <v>31</v>
      </c>
      <c r="J1028" t="s">
        <v>6188</v>
      </c>
      <c r="K1028" t="s">
        <v>1967</v>
      </c>
      <c r="L1028" t="s">
        <v>3918</v>
      </c>
      <c r="M1028" s="8">
        <v>139.53225</v>
      </c>
      <c r="N1028">
        <v>80.7856561622413</v>
      </c>
      <c r="O1028">
        <v>1054</v>
      </c>
      <c r="P1028" s="9">
        <v>0.179696795902023</v>
      </c>
      <c r="Q1028" t="s">
        <v>926</v>
      </c>
      <c r="T1028" s="15" t="s">
        <v>35</v>
      </c>
      <c r="W1028" s="16" t="str">
        <f t="shared" si="105"/>
        <v>EN_WON_18_c02_IND</v>
      </c>
      <c r="X1028" s="12">
        <f t="shared" si="106"/>
        <v>1054</v>
      </c>
      <c r="Y1028" s="11">
        <f t="shared" si="107"/>
        <v>1054</v>
      </c>
      <c r="AC1028" t="s">
        <v>26</v>
      </c>
      <c r="AD1028" t="s">
        <v>6190</v>
      </c>
      <c r="AE1028" t="s">
        <v>6191</v>
      </c>
      <c r="AF1028" t="s">
        <v>29</v>
      </c>
      <c r="AG1028" t="s">
        <v>30</v>
      </c>
      <c r="AH1028" t="s">
        <v>31</v>
      </c>
      <c r="AK1028" t="s">
        <v>6190</v>
      </c>
      <c r="AL1028" t="s">
        <v>1967</v>
      </c>
      <c r="AM1028" t="s">
        <v>6192</v>
      </c>
      <c r="AN1028" s="8">
        <v>2.334</v>
      </c>
      <c r="AO1028">
        <v>199.694880401046</v>
      </c>
      <c r="AP1028">
        <v>2213</v>
      </c>
      <c r="AQ1028" s="9">
        <v>0.301711118251928</v>
      </c>
      <c r="AR1028" t="s">
        <v>1900</v>
      </c>
      <c r="AT1028" s="15" t="s">
        <v>290</v>
      </c>
      <c r="AW1028" s="11" t="str">
        <f t="shared" si="108"/>
        <v>EN_WOF_30_c02_VNM</v>
      </c>
      <c r="AX1028" s="11">
        <f t="shared" si="109"/>
        <v>2213</v>
      </c>
      <c r="AY1028" s="11">
        <f t="shared" si="110"/>
        <v>2213</v>
      </c>
      <c r="AZ1028" s="17">
        <v>3</v>
      </c>
      <c r="BA1028">
        <f t="shared" si="111"/>
        <v>22.13</v>
      </c>
    </row>
    <row r="1029" spans="2:53">
      <c r="B1029" t="s">
        <v>26</v>
      </c>
      <c r="C1029" t="s">
        <v>6193</v>
      </c>
      <c r="D1029" t="s">
        <v>6194</v>
      </c>
      <c r="E1029" t="s">
        <v>29</v>
      </c>
      <c r="F1029" t="s">
        <v>30</v>
      </c>
      <c r="G1029" t="s">
        <v>31</v>
      </c>
      <c r="J1029" t="s">
        <v>6193</v>
      </c>
      <c r="K1029" t="s">
        <v>1967</v>
      </c>
      <c r="L1029" t="s">
        <v>3918</v>
      </c>
      <c r="M1029" s="8">
        <v>77.7045</v>
      </c>
      <c r="N1029">
        <v>105.747516212372</v>
      </c>
      <c r="O1029">
        <v>1054</v>
      </c>
      <c r="P1029" s="9">
        <v>0.179131015578248</v>
      </c>
      <c r="Q1029" t="s">
        <v>926</v>
      </c>
      <c r="T1029" s="15" t="s">
        <v>35</v>
      </c>
      <c r="W1029" s="16" t="str">
        <f t="shared" si="105"/>
        <v>EN_WON_18_c03_IND</v>
      </c>
      <c r="X1029" s="12">
        <f t="shared" si="106"/>
        <v>1054</v>
      </c>
      <c r="Y1029" s="11">
        <f t="shared" si="107"/>
        <v>1054</v>
      </c>
      <c r="AC1029" t="s">
        <v>26</v>
      </c>
      <c r="AD1029" t="s">
        <v>6195</v>
      </c>
      <c r="AE1029" t="s">
        <v>6196</v>
      </c>
      <c r="AF1029" t="s">
        <v>29</v>
      </c>
      <c r="AG1029" t="s">
        <v>30</v>
      </c>
      <c r="AH1029" t="s">
        <v>31</v>
      </c>
      <c r="AK1029" t="s">
        <v>6195</v>
      </c>
      <c r="AL1029" t="s">
        <v>1967</v>
      </c>
      <c r="AM1029" t="s">
        <v>6192</v>
      </c>
      <c r="AN1029" s="8">
        <v>2.91375</v>
      </c>
      <c r="AO1029">
        <v>45.3852000911468</v>
      </c>
      <c r="AP1029">
        <v>2213</v>
      </c>
      <c r="AQ1029" s="9">
        <v>0.310978120978121</v>
      </c>
      <c r="AR1029" t="s">
        <v>1900</v>
      </c>
      <c r="AT1029" s="15" t="s">
        <v>290</v>
      </c>
      <c r="AW1029" s="11" t="str">
        <f t="shared" si="108"/>
        <v>EN_WOF_31_c01_VNM</v>
      </c>
      <c r="AX1029" s="11">
        <f t="shared" si="109"/>
        <v>2213</v>
      </c>
      <c r="AY1029" s="11">
        <f t="shared" si="110"/>
        <v>2213</v>
      </c>
      <c r="AZ1029" s="17">
        <v>3</v>
      </c>
      <c r="BA1029">
        <f t="shared" si="111"/>
        <v>22.13</v>
      </c>
    </row>
    <row r="1030" spans="2:53">
      <c r="B1030" t="s">
        <v>26</v>
      </c>
      <c r="C1030" t="s">
        <v>6197</v>
      </c>
      <c r="D1030" t="s">
        <v>6198</v>
      </c>
      <c r="E1030" t="s">
        <v>29</v>
      </c>
      <c r="F1030" t="s">
        <v>30</v>
      </c>
      <c r="G1030" t="s">
        <v>31</v>
      </c>
      <c r="J1030" t="s">
        <v>6197</v>
      </c>
      <c r="K1030" t="s">
        <v>1967</v>
      </c>
      <c r="L1030" t="s">
        <v>3918</v>
      </c>
      <c r="M1030" s="8">
        <v>37.15125</v>
      </c>
      <c r="N1030">
        <v>145.23264029167</v>
      </c>
      <c r="O1030">
        <v>1054</v>
      </c>
      <c r="P1030" s="9">
        <v>0.17871297062683</v>
      </c>
      <c r="Q1030" t="s">
        <v>926</v>
      </c>
      <c r="T1030" s="15" t="s">
        <v>35</v>
      </c>
      <c r="W1030" s="16" t="str">
        <f t="shared" ref="W1030:W1093" si="112">J1030</f>
        <v>EN_WON_18_c04_IND</v>
      </c>
      <c r="X1030" s="12">
        <f t="shared" ref="X1030:X1093" si="113">O1030</f>
        <v>1054</v>
      </c>
      <c r="Y1030" s="11">
        <f t="shared" ref="Y1030:Y1093" si="114">X1030</f>
        <v>1054</v>
      </c>
      <c r="AC1030" t="s">
        <v>26</v>
      </c>
      <c r="AD1030" t="s">
        <v>6199</v>
      </c>
      <c r="AE1030" t="s">
        <v>6200</v>
      </c>
      <c r="AF1030" t="s">
        <v>29</v>
      </c>
      <c r="AG1030" t="s">
        <v>30</v>
      </c>
      <c r="AH1030" t="s">
        <v>31</v>
      </c>
      <c r="AK1030" t="s">
        <v>6199</v>
      </c>
      <c r="AL1030" t="s">
        <v>1967</v>
      </c>
      <c r="AM1030" t="s">
        <v>6192</v>
      </c>
      <c r="AN1030" s="8">
        <v>25.821</v>
      </c>
      <c r="AO1030">
        <v>199.694880401046</v>
      </c>
      <c r="AP1030">
        <v>2213</v>
      </c>
      <c r="AQ1030" s="9">
        <v>0.308591291971651</v>
      </c>
      <c r="AR1030" t="s">
        <v>1900</v>
      </c>
      <c r="AT1030" s="15" t="s">
        <v>290</v>
      </c>
      <c r="AW1030" s="11" t="str">
        <f t="shared" ref="AW1030:AW1093" si="115">AK1030</f>
        <v>EN_WOF_31_c02_VNM</v>
      </c>
      <c r="AX1030" s="11">
        <f t="shared" ref="AX1030:AX1093" si="116">AP1030</f>
        <v>2213</v>
      </c>
      <c r="AY1030" s="11">
        <f t="shared" ref="AY1030:AY1093" si="117">AX1030</f>
        <v>2213</v>
      </c>
      <c r="AZ1030" s="17">
        <v>3</v>
      </c>
      <c r="BA1030">
        <f t="shared" ref="BA1030:BA1093" si="118">AX1030*0.01</f>
        <v>22.13</v>
      </c>
    </row>
    <row r="1031" spans="2:53">
      <c r="B1031" t="s">
        <v>26</v>
      </c>
      <c r="C1031" t="s">
        <v>6201</v>
      </c>
      <c r="D1031" t="s">
        <v>6202</v>
      </c>
      <c r="E1031" t="s">
        <v>29</v>
      </c>
      <c r="F1031" t="s">
        <v>30</v>
      </c>
      <c r="G1031" t="s">
        <v>31</v>
      </c>
      <c r="J1031" t="s">
        <v>6201</v>
      </c>
      <c r="K1031" t="s">
        <v>1967</v>
      </c>
      <c r="L1031" t="s">
        <v>3918</v>
      </c>
      <c r="M1031" s="8">
        <v>183.0615</v>
      </c>
      <c r="N1031">
        <v>80.7856561622413</v>
      </c>
      <c r="O1031">
        <v>1054</v>
      </c>
      <c r="P1031" s="9">
        <v>0.189631611507608</v>
      </c>
      <c r="Q1031" t="s">
        <v>926</v>
      </c>
      <c r="T1031" s="15" t="s">
        <v>35</v>
      </c>
      <c r="W1031" s="16" t="str">
        <f t="shared" si="112"/>
        <v>EN_WON_19_c02_IND</v>
      </c>
      <c r="X1031" s="12">
        <f t="shared" si="113"/>
        <v>1054</v>
      </c>
      <c r="Y1031" s="11">
        <f t="shared" si="114"/>
        <v>1054</v>
      </c>
      <c r="AC1031" t="s">
        <v>26</v>
      </c>
      <c r="AD1031" t="s">
        <v>6203</v>
      </c>
      <c r="AE1031" t="s">
        <v>6204</v>
      </c>
      <c r="AF1031" t="s">
        <v>29</v>
      </c>
      <c r="AG1031" t="s">
        <v>30</v>
      </c>
      <c r="AH1031" t="s">
        <v>31</v>
      </c>
      <c r="AK1031" t="s">
        <v>6203</v>
      </c>
      <c r="AL1031" t="s">
        <v>1967</v>
      </c>
      <c r="AM1031" t="s">
        <v>6192</v>
      </c>
      <c r="AN1031" s="8">
        <v>2.25825</v>
      </c>
      <c r="AO1031">
        <v>45.3852000911468</v>
      </c>
      <c r="AP1031">
        <v>2213</v>
      </c>
      <c r="AQ1031" s="9">
        <v>0.317</v>
      </c>
      <c r="AR1031" t="s">
        <v>1900</v>
      </c>
      <c r="AT1031" s="15" t="s">
        <v>290</v>
      </c>
      <c r="AW1031" s="11" t="str">
        <f t="shared" si="115"/>
        <v>EN_WOF_32_c01_VNM</v>
      </c>
      <c r="AX1031" s="11">
        <f t="shared" si="116"/>
        <v>2213</v>
      </c>
      <c r="AY1031" s="11">
        <f t="shared" si="117"/>
        <v>2213</v>
      </c>
      <c r="AZ1031" s="17">
        <v>3</v>
      </c>
      <c r="BA1031">
        <f t="shared" si="118"/>
        <v>22.13</v>
      </c>
    </row>
    <row r="1032" spans="2:53">
      <c r="B1032" t="s">
        <v>26</v>
      </c>
      <c r="C1032" t="s">
        <v>6205</v>
      </c>
      <c r="D1032" t="s">
        <v>6206</v>
      </c>
      <c r="E1032" t="s">
        <v>29</v>
      </c>
      <c r="F1032" t="s">
        <v>30</v>
      </c>
      <c r="G1032" t="s">
        <v>31</v>
      </c>
      <c r="J1032" t="s">
        <v>6205</v>
      </c>
      <c r="K1032" t="s">
        <v>1967</v>
      </c>
      <c r="L1032" t="s">
        <v>3918</v>
      </c>
      <c r="M1032" s="8">
        <v>37.023</v>
      </c>
      <c r="N1032">
        <v>105.747516212372</v>
      </c>
      <c r="O1032">
        <v>1054</v>
      </c>
      <c r="P1032" s="9">
        <v>0.18948918240013</v>
      </c>
      <c r="Q1032" t="s">
        <v>926</v>
      </c>
      <c r="T1032" s="15" t="s">
        <v>35</v>
      </c>
      <c r="W1032" s="16" t="str">
        <f t="shared" si="112"/>
        <v>EN_WON_19_c03_IND</v>
      </c>
      <c r="X1032" s="12">
        <f t="shared" si="113"/>
        <v>1054</v>
      </c>
      <c r="Y1032" s="11">
        <f t="shared" si="114"/>
        <v>1054</v>
      </c>
      <c r="AC1032" t="s">
        <v>26</v>
      </c>
      <c r="AD1032" t="s">
        <v>6207</v>
      </c>
      <c r="AE1032" t="s">
        <v>6208</v>
      </c>
      <c r="AF1032" t="s">
        <v>29</v>
      </c>
      <c r="AG1032" t="s">
        <v>30</v>
      </c>
      <c r="AH1032" t="s">
        <v>31</v>
      </c>
      <c r="AK1032" t="s">
        <v>6207</v>
      </c>
      <c r="AL1032" t="s">
        <v>1967</v>
      </c>
      <c r="AM1032" t="s">
        <v>6192</v>
      </c>
      <c r="AN1032" s="8">
        <v>19.66725</v>
      </c>
      <c r="AO1032">
        <v>199.694880401046</v>
      </c>
      <c r="AP1032">
        <v>2213</v>
      </c>
      <c r="AQ1032" s="9">
        <v>0.318113945772795</v>
      </c>
      <c r="AR1032" t="s">
        <v>1900</v>
      </c>
      <c r="AT1032" s="15" t="s">
        <v>290</v>
      </c>
      <c r="AW1032" s="11" t="str">
        <f t="shared" si="115"/>
        <v>EN_WOF_32_c02_VNM</v>
      </c>
      <c r="AX1032" s="11">
        <f t="shared" si="116"/>
        <v>2213</v>
      </c>
      <c r="AY1032" s="11">
        <f t="shared" si="117"/>
        <v>2213</v>
      </c>
      <c r="AZ1032" s="17">
        <v>3</v>
      </c>
      <c r="BA1032">
        <f t="shared" si="118"/>
        <v>22.13</v>
      </c>
    </row>
    <row r="1033" spans="2:53">
      <c r="B1033" t="s">
        <v>26</v>
      </c>
      <c r="C1033" t="s">
        <v>6209</v>
      </c>
      <c r="D1033" t="s">
        <v>6210</v>
      </c>
      <c r="E1033" t="s">
        <v>29</v>
      </c>
      <c r="F1033" t="s">
        <v>30</v>
      </c>
      <c r="G1033" t="s">
        <v>31</v>
      </c>
      <c r="J1033" t="s">
        <v>6209</v>
      </c>
      <c r="K1033" t="s">
        <v>1967</v>
      </c>
      <c r="L1033" t="s">
        <v>3918</v>
      </c>
      <c r="M1033" s="8">
        <v>29.424</v>
      </c>
      <c r="N1033">
        <v>145.23264029167</v>
      </c>
      <c r="O1033">
        <v>1054</v>
      </c>
      <c r="P1033" s="9">
        <v>0.191141721044046</v>
      </c>
      <c r="Q1033" t="s">
        <v>926</v>
      </c>
      <c r="T1033" s="15" t="s">
        <v>35</v>
      </c>
      <c r="W1033" s="16" t="str">
        <f t="shared" si="112"/>
        <v>EN_WON_19_c04_IND</v>
      </c>
      <c r="X1033" s="12">
        <f t="shared" si="113"/>
        <v>1054</v>
      </c>
      <c r="Y1033" s="11">
        <f t="shared" si="114"/>
        <v>1054</v>
      </c>
      <c r="AC1033" t="s">
        <v>26</v>
      </c>
      <c r="AD1033" t="s">
        <v>6211</v>
      </c>
      <c r="AE1033" t="s">
        <v>6212</v>
      </c>
      <c r="AF1033" t="s">
        <v>29</v>
      </c>
      <c r="AG1033" t="s">
        <v>30</v>
      </c>
      <c r="AH1033" t="s">
        <v>31</v>
      </c>
      <c r="AK1033" t="s">
        <v>6211</v>
      </c>
      <c r="AL1033" t="s">
        <v>1967</v>
      </c>
      <c r="AM1033" t="s">
        <v>6192</v>
      </c>
      <c r="AN1033" s="8">
        <v>10.64775</v>
      </c>
      <c r="AO1033">
        <v>45.3852000911468</v>
      </c>
      <c r="AP1033">
        <v>2213</v>
      </c>
      <c r="AQ1033" s="9">
        <v>0.329167500176094</v>
      </c>
      <c r="AR1033" t="s">
        <v>1900</v>
      </c>
      <c r="AT1033" s="15" t="s">
        <v>290</v>
      </c>
      <c r="AW1033" s="11" t="str">
        <f t="shared" si="115"/>
        <v>EN_WOF_33_c01_VNM</v>
      </c>
      <c r="AX1033" s="11">
        <f t="shared" si="116"/>
        <v>2213</v>
      </c>
      <c r="AY1033" s="11">
        <f t="shared" si="117"/>
        <v>2213</v>
      </c>
      <c r="AZ1033" s="17">
        <v>3</v>
      </c>
      <c r="BA1033">
        <f t="shared" si="118"/>
        <v>22.13</v>
      </c>
    </row>
    <row r="1034" spans="2:53">
      <c r="B1034" t="s">
        <v>26</v>
      </c>
      <c r="C1034" t="s">
        <v>6213</v>
      </c>
      <c r="D1034" t="s">
        <v>6214</v>
      </c>
      <c r="E1034" t="s">
        <v>29</v>
      </c>
      <c r="F1034" t="s">
        <v>30</v>
      </c>
      <c r="G1034" t="s">
        <v>31</v>
      </c>
      <c r="J1034" t="s">
        <v>6213</v>
      </c>
      <c r="K1034" t="s">
        <v>1967</v>
      </c>
      <c r="L1034" t="s">
        <v>3918</v>
      </c>
      <c r="M1034" s="8">
        <v>5.742</v>
      </c>
      <c r="N1034">
        <v>0</v>
      </c>
      <c r="O1034">
        <v>1054</v>
      </c>
      <c r="P1034" s="9">
        <v>0.199</v>
      </c>
      <c r="Q1034" t="s">
        <v>926</v>
      </c>
      <c r="T1034" s="15" t="s">
        <v>35</v>
      </c>
      <c r="W1034" s="16" t="str">
        <f t="shared" si="112"/>
        <v>EN_WON_20_c01_IND</v>
      </c>
      <c r="X1034" s="12">
        <f t="shared" si="113"/>
        <v>1054</v>
      </c>
      <c r="Y1034" s="11">
        <f t="shared" si="114"/>
        <v>1054</v>
      </c>
      <c r="AC1034" t="s">
        <v>26</v>
      </c>
      <c r="AD1034" t="s">
        <v>6215</v>
      </c>
      <c r="AE1034" t="s">
        <v>6216</v>
      </c>
      <c r="AF1034" t="s">
        <v>29</v>
      </c>
      <c r="AG1034" t="s">
        <v>30</v>
      </c>
      <c r="AH1034" t="s">
        <v>31</v>
      </c>
      <c r="AK1034" t="s">
        <v>6215</v>
      </c>
      <c r="AL1034" t="s">
        <v>1967</v>
      </c>
      <c r="AM1034" t="s">
        <v>6192</v>
      </c>
      <c r="AN1034" s="8">
        <v>16.767</v>
      </c>
      <c r="AO1034">
        <v>199.694880401046</v>
      </c>
      <c r="AP1034">
        <v>2213</v>
      </c>
      <c r="AQ1034" s="9">
        <v>0.328797459295044</v>
      </c>
      <c r="AR1034" t="s">
        <v>1900</v>
      </c>
      <c r="AT1034" s="15" t="s">
        <v>290</v>
      </c>
      <c r="AW1034" s="11" t="str">
        <f t="shared" si="115"/>
        <v>EN_WOF_33_c02_VNM</v>
      </c>
      <c r="AX1034" s="11">
        <f t="shared" si="116"/>
        <v>2213</v>
      </c>
      <c r="AY1034" s="11">
        <f t="shared" si="117"/>
        <v>2213</v>
      </c>
      <c r="AZ1034" s="17">
        <v>3</v>
      </c>
      <c r="BA1034">
        <f t="shared" si="118"/>
        <v>22.13</v>
      </c>
    </row>
    <row r="1035" spans="2:53">
      <c r="B1035" t="s">
        <v>26</v>
      </c>
      <c r="C1035" t="s">
        <v>6217</v>
      </c>
      <c r="D1035" t="s">
        <v>6218</v>
      </c>
      <c r="E1035" t="s">
        <v>29</v>
      </c>
      <c r="F1035" t="s">
        <v>30</v>
      </c>
      <c r="G1035" t="s">
        <v>31</v>
      </c>
      <c r="J1035" t="s">
        <v>6217</v>
      </c>
      <c r="K1035" t="s">
        <v>1967</v>
      </c>
      <c r="L1035" t="s">
        <v>3918</v>
      </c>
      <c r="M1035" s="8">
        <v>70.9455</v>
      </c>
      <c r="N1035">
        <v>80.7856561622413</v>
      </c>
      <c r="O1035">
        <v>1054</v>
      </c>
      <c r="P1035" s="9">
        <v>0.199070015011523</v>
      </c>
      <c r="Q1035" t="s">
        <v>926</v>
      </c>
      <c r="T1035" s="15" t="s">
        <v>35</v>
      </c>
      <c r="W1035" s="16" t="str">
        <f t="shared" si="112"/>
        <v>EN_WON_20_c02_IND</v>
      </c>
      <c r="X1035" s="12">
        <f t="shared" si="113"/>
        <v>1054</v>
      </c>
      <c r="Y1035" s="11">
        <f t="shared" si="114"/>
        <v>1054</v>
      </c>
      <c r="AC1035" t="s">
        <v>26</v>
      </c>
      <c r="AD1035" t="s">
        <v>6219</v>
      </c>
      <c r="AE1035" t="s">
        <v>6220</v>
      </c>
      <c r="AF1035" t="s">
        <v>29</v>
      </c>
      <c r="AG1035" t="s">
        <v>30</v>
      </c>
      <c r="AH1035" t="s">
        <v>31</v>
      </c>
      <c r="AK1035" t="s">
        <v>6219</v>
      </c>
      <c r="AL1035" t="s">
        <v>1967</v>
      </c>
      <c r="AM1035" t="s">
        <v>6192</v>
      </c>
      <c r="AN1035" s="8">
        <v>10.8315</v>
      </c>
      <c r="AO1035">
        <v>45.3852000911468</v>
      </c>
      <c r="AP1035">
        <v>2213</v>
      </c>
      <c r="AQ1035" s="9">
        <v>0.338980473618612</v>
      </c>
      <c r="AR1035" t="s">
        <v>1900</v>
      </c>
      <c r="AT1035" s="15" t="s">
        <v>290</v>
      </c>
      <c r="AW1035" s="11" t="str">
        <f t="shared" si="115"/>
        <v>EN_WOF_34_c01_VNM</v>
      </c>
      <c r="AX1035" s="11">
        <f t="shared" si="116"/>
        <v>2213</v>
      </c>
      <c r="AY1035" s="11">
        <f t="shared" si="117"/>
        <v>2213</v>
      </c>
      <c r="AZ1035" s="17">
        <v>3</v>
      </c>
      <c r="BA1035">
        <f t="shared" si="118"/>
        <v>22.13</v>
      </c>
    </row>
    <row r="1036" spans="2:53">
      <c r="B1036" t="s">
        <v>26</v>
      </c>
      <c r="C1036" t="s">
        <v>6221</v>
      </c>
      <c r="D1036" t="s">
        <v>6222</v>
      </c>
      <c r="E1036" t="s">
        <v>29</v>
      </c>
      <c r="F1036" t="s">
        <v>30</v>
      </c>
      <c r="G1036" t="s">
        <v>31</v>
      </c>
      <c r="J1036" t="s">
        <v>6221</v>
      </c>
      <c r="K1036" t="s">
        <v>1967</v>
      </c>
      <c r="L1036" t="s">
        <v>3918</v>
      </c>
      <c r="M1036" s="8">
        <v>27.71925</v>
      </c>
      <c r="N1036">
        <v>105.747516212372</v>
      </c>
      <c r="O1036">
        <v>1054</v>
      </c>
      <c r="P1036" s="9">
        <v>0.198622202981682</v>
      </c>
      <c r="Q1036" t="s">
        <v>926</v>
      </c>
      <c r="T1036" s="15" t="s">
        <v>35</v>
      </c>
      <c r="W1036" s="16" t="str">
        <f t="shared" si="112"/>
        <v>EN_WON_20_c03_IND</v>
      </c>
      <c r="X1036" s="12">
        <f t="shared" si="113"/>
        <v>1054</v>
      </c>
      <c r="Y1036" s="11">
        <f t="shared" si="114"/>
        <v>1054</v>
      </c>
      <c r="AC1036" t="s">
        <v>26</v>
      </c>
      <c r="AD1036" t="s">
        <v>6223</v>
      </c>
      <c r="AE1036" t="s">
        <v>6224</v>
      </c>
      <c r="AF1036" t="s">
        <v>29</v>
      </c>
      <c r="AG1036" t="s">
        <v>30</v>
      </c>
      <c r="AH1036" t="s">
        <v>31</v>
      </c>
      <c r="AK1036" t="s">
        <v>6223</v>
      </c>
      <c r="AL1036" t="s">
        <v>1967</v>
      </c>
      <c r="AM1036" t="s">
        <v>6192</v>
      </c>
      <c r="AN1036" s="8">
        <v>13.51725</v>
      </c>
      <c r="AO1036">
        <v>199.694880401046</v>
      </c>
      <c r="AP1036">
        <v>2213</v>
      </c>
      <c r="AQ1036" s="9">
        <v>0.340204294512567</v>
      </c>
      <c r="AR1036" t="s">
        <v>1900</v>
      </c>
      <c r="AT1036" s="15" t="s">
        <v>290</v>
      </c>
      <c r="AW1036" s="11" t="str">
        <f t="shared" si="115"/>
        <v>EN_WOF_34_c02_VNM</v>
      </c>
      <c r="AX1036" s="11">
        <f t="shared" si="116"/>
        <v>2213</v>
      </c>
      <c r="AY1036" s="11">
        <f t="shared" si="117"/>
        <v>2213</v>
      </c>
      <c r="AZ1036" s="17">
        <v>3</v>
      </c>
      <c r="BA1036">
        <f t="shared" si="118"/>
        <v>22.13</v>
      </c>
    </row>
    <row r="1037" spans="2:53">
      <c r="B1037" t="s">
        <v>26</v>
      </c>
      <c r="C1037" t="s">
        <v>6225</v>
      </c>
      <c r="D1037" t="s">
        <v>6226</v>
      </c>
      <c r="E1037" t="s">
        <v>29</v>
      </c>
      <c r="F1037" t="s">
        <v>30</v>
      </c>
      <c r="G1037" t="s">
        <v>31</v>
      </c>
      <c r="J1037" t="s">
        <v>6225</v>
      </c>
      <c r="K1037" t="s">
        <v>1967</v>
      </c>
      <c r="L1037" t="s">
        <v>3918</v>
      </c>
      <c r="M1037" s="8">
        <v>9.32325</v>
      </c>
      <c r="N1037">
        <v>145.23264029167</v>
      </c>
      <c r="O1037">
        <v>1054</v>
      </c>
      <c r="P1037" s="9">
        <v>0.19881248491674</v>
      </c>
      <c r="Q1037" t="s">
        <v>926</v>
      </c>
      <c r="T1037" s="15" t="s">
        <v>35</v>
      </c>
      <c r="W1037" s="16" t="str">
        <f t="shared" si="112"/>
        <v>EN_WON_20_c04_IND</v>
      </c>
      <c r="X1037" s="12">
        <f t="shared" si="113"/>
        <v>1054</v>
      </c>
      <c r="Y1037" s="11">
        <f t="shared" si="114"/>
        <v>1054</v>
      </c>
      <c r="AC1037" t="s">
        <v>26</v>
      </c>
      <c r="AD1037" t="s">
        <v>6227</v>
      </c>
      <c r="AE1037" t="s">
        <v>6228</v>
      </c>
      <c r="AF1037" t="s">
        <v>29</v>
      </c>
      <c r="AG1037" t="s">
        <v>30</v>
      </c>
      <c r="AH1037" t="s">
        <v>31</v>
      </c>
      <c r="AK1037" t="s">
        <v>6227</v>
      </c>
      <c r="AL1037" t="s">
        <v>1967</v>
      </c>
      <c r="AM1037" t="s">
        <v>6192</v>
      </c>
      <c r="AN1037" s="8">
        <v>6.5175</v>
      </c>
      <c r="AO1037">
        <v>45.3852000911468</v>
      </c>
      <c r="AP1037">
        <v>2213</v>
      </c>
      <c r="AQ1037" s="9">
        <v>0.347338550057537</v>
      </c>
      <c r="AR1037" t="s">
        <v>1900</v>
      </c>
      <c r="AT1037" s="15" t="s">
        <v>290</v>
      </c>
      <c r="AW1037" s="11" t="str">
        <f t="shared" si="115"/>
        <v>EN_WOF_35_c01_VNM</v>
      </c>
      <c r="AX1037" s="11">
        <f t="shared" si="116"/>
        <v>2213</v>
      </c>
      <c r="AY1037" s="11">
        <f t="shared" si="117"/>
        <v>2213</v>
      </c>
      <c r="AZ1037" s="17">
        <v>3</v>
      </c>
      <c r="BA1037">
        <f t="shared" si="118"/>
        <v>22.13</v>
      </c>
    </row>
    <row r="1038" spans="2:53">
      <c r="B1038" t="s">
        <v>26</v>
      </c>
      <c r="C1038" t="s">
        <v>6229</v>
      </c>
      <c r="D1038" t="s">
        <v>6230</v>
      </c>
      <c r="E1038" t="s">
        <v>29</v>
      </c>
      <c r="F1038" t="s">
        <v>30</v>
      </c>
      <c r="G1038" t="s">
        <v>31</v>
      </c>
      <c r="J1038" t="s">
        <v>6229</v>
      </c>
      <c r="K1038" t="s">
        <v>1967</v>
      </c>
      <c r="L1038" t="s">
        <v>3918</v>
      </c>
      <c r="M1038" s="8">
        <v>0.3045</v>
      </c>
      <c r="N1038">
        <v>0</v>
      </c>
      <c r="O1038">
        <v>1054</v>
      </c>
      <c r="P1038" s="9">
        <v>0.205</v>
      </c>
      <c r="Q1038" t="s">
        <v>926</v>
      </c>
      <c r="T1038" s="15" t="s">
        <v>35</v>
      </c>
      <c r="W1038" s="16" t="str">
        <f t="shared" si="112"/>
        <v>EN_WON_21_c01_IND</v>
      </c>
      <c r="X1038" s="12">
        <f t="shared" si="113"/>
        <v>1054</v>
      </c>
      <c r="Y1038" s="11">
        <f t="shared" si="114"/>
        <v>1054</v>
      </c>
      <c r="AC1038" t="s">
        <v>26</v>
      </c>
      <c r="AD1038" t="s">
        <v>6231</v>
      </c>
      <c r="AE1038" t="s">
        <v>6232</v>
      </c>
      <c r="AF1038" t="s">
        <v>29</v>
      </c>
      <c r="AG1038" t="s">
        <v>30</v>
      </c>
      <c r="AH1038" t="s">
        <v>31</v>
      </c>
      <c r="AK1038" t="s">
        <v>6231</v>
      </c>
      <c r="AL1038" t="s">
        <v>1967</v>
      </c>
      <c r="AM1038" t="s">
        <v>6192</v>
      </c>
      <c r="AN1038" s="8">
        <v>27.14775</v>
      </c>
      <c r="AO1038">
        <v>199.694880401046</v>
      </c>
      <c r="AP1038">
        <v>2213</v>
      </c>
      <c r="AQ1038" s="9">
        <v>0.350087907837666</v>
      </c>
      <c r="AR1038" t="s">
        <v>1900</v>
      </c>
      <c r="AT1038" s="15" t="s">
        <v>290</v>
      </c>
      <c r="AW1038" s="11" t="str">
        <f t="shared" si="115"/>
        <v>EN_WOF_35_c02_VNM</v>
      </c>
      <c r="AX1038" s="11">
        <f t="shared" si="116"/>
        <v>2213</v>
      </c>
      <c r="AY1038" s="11">
        <f t="shared" si="117"/>
        <v>2213</v>
      </c>
      <c r="AZ1038" s="17">
        <v>3</v>
      </c>
      <c r="BA1038">
        <f t="shared" si="118"/>
        <v>22.13</v>
      </c>
    </row>
    <row r="1039" spans="2:53">
      <c r="B1039" t="s">
        <v>26</v>
      </c>
      <c r="C1039" t="s">
        <v>6233</v>
      </c>
      <c r="D1039" t="s">
        <v>6234</v>
      </c>
      <c r="E1039" t="s">
        <v>29</v>
      </c>
      <c r="F1039" t="s">
        <v>30</v>
      </c>
      <c r="G1039" t="s">
        <v>31</v>
      </c>
      <c r="J1039" t="s">
        <v>6233</v>
      </c>
      <c r="K1039" t="s">
        <v>1967</v>
      </c>
      <c r="L1039" t="s">
        <v>3918</v>
      </c>
      <c r="M1039" s="8">
        <v>100.16175</v>
      </c>
      <c r="N1039">
        <v>80.7856561622413</v>
      </c>
      <c r="O1039">
        <v>1054</v>
      </c>
      <c r="P1039" s="9">
        <v>0.208664714823773</v>
      </c>
      <c r="Q1039" t="s">
        <v>926</v>
      </c>
      <c r="T1039" s="15" t="s">
        <v>35</v>
      </c>
      <c r="W1039" s="16" t="str">
        <f t="shared" si="112"/>
        <v>EN_WON_21_c02_IND</v>
      </c>
      <c r="X1039" s="12">
        <f t="shared" si="113"/>
        <v>1054</v>
      </c>
      <c r="Y1039" s="11">
        <f t="shared" si="114"/>
        <v>1054</v>
      </c>
      <c r="AC1039" t="s">
        <v>26</v>
      </c>
      <c r="AD1039" t="s">
        <v>6235</v>
      </c>
      <c r="AE1039" t="s">
        <v>6236</v>
      </c>
      <c r="AF1039" t="s">
        <v>29</v>
      </c>
      <c r="AG1039" t="s">
        <v>30</v>
      </c>
      <c r="AH1039" t="s">
        <v>31</v>
      </c>
      <c r="AK1039" t="s">
        <v>6235</v>
      </c>
      <c r="AL1039" t="s">
        <v>1967</v>
      </c>
      <c r="AM1039" t="s">
        <v>6192</v>
      </c>
      <c r="AN1039" s="8">
        <v>3.9675</v>
      </c>
      <c r="AO1039">
        <v>45.3852000911468</v>
      </c>
      <c r="AP1039">
        <v>2213</v>
      </c>
      <c r="AQ1039" s="9">
        <v>0.364</v>
      </c>
      <c r="AR1039" t="s">
        <v>1900</v>
      </c>
      <c r="AT1039" s="15" t="s">
        <v>290</v>
      </c>
      <c r="AW1039" s="11" t="str">
        <f t="shared" si="115"/>
        <v>EN_WOF_36_c01_VNM</v>
      </c>
      <c r="AX1039" s="11">
        <f t="shared" si="116"/>
        <v>2213</v>
      </c>
      <c r="AY1039" s="11">
        <f t="shared" si="117"/>
        <v>2213</v>
      </c>
      <c r="AZ1039" s="17">
        <v>3</v>
      </c>
      <c r="BA1039">
        <f t="shared" si="118"/>
        <v>22.13</v>
      </c>
    </row>
    <row r="1040" spans="2:53">
      <c r="B1040" t="s">
        <v>26</v>
      </c>
      <c r="C1040" t="s">
        <v>6237</v>
      </c>
      <c r="D1040" t="s">
        <v>6238</v>
      </c>
      <c r="E1040" t="s">
        <v>29</v>
      </c>
      <c r="F1040" t="s">
        <v>30</v>
      </c>
      <c r="G1040" t="s">
        <v>31</v>
      </c>
      <c r="J1040" t="s">
        <v>6237</v>
      </c>
      <c r="K1040" t="s">
        <v>1967</v>
      </c>
      <c r="L1040" t="s">
        <v>3918</v>
      </c>
      <c r="M1040" s="8">
        <v>10.7835</v>
      </c>
      <c r="N1040">
        <v>105.747516212372</v>
      </c>
      <c r="O1040">
        <v>1054</v>
      </c>
      <c r="P1040" s="9">
        <v>0.207519821950202</v>
      </c>
      <c r="Q1040" t="s">
        <v>926</v>
      </c>
      <c r="T1040" s="15" t="s">
        <v>35</v>
      </c>
      <c r="W1040" s="16" t="str">
        <f t="shared" si="112"/>
        <v>EN_WON_21_c03_IND</v>
      </c>
      <c r="X1040" s="12">
        <f t="shared" si="113"/>
        <v>1054</v>
      </c>
      <c r="Y1040" s="11">
        <f t="shared" si="114"/>
        <v>1054</v>
      </c>
      <c r="AC1040" t="s">
        <v>26</v>
      </c>
      <c r="AD1040" t="s">
        <v>6239</v>
      </c>
      <c r="AE1040" t="s">
        <v>6240</v>
      </c>
      <c r="AF1040" t="s">
        <v>29</v>
      </c>
      <c r="AG1040" t="s">
        <v>30</v>
      </c>
      <c r="AH1040" t="s">
        <v>31</v>
      </c>
      <c r="AK1040" t="s">
        <v>6239</v>
      </c>
      <c r="AL1040" t="s">
        <v>1967</v>
      </c>
      <c r="AM1040" t="s">
        <v>6192</v>
      </c>
      <c r="AN1040" s="8">
        <v>15.11475</v>
      </c>
      <c r="AO1040">
        <v>199.694880401046</v>
      </c>
      <c r="AP1040">
        <v>2213</v>
      </c>
      <c r="AQ1040" s="9">
        <v>0.358598918275195</v>
      </c>
      <c r="AR1040" t="s">
        <v>1900</v>
      </c>
      <c r="AT1040" s="15" t="s">
        <v>290</v>
      </c>
      <c r="AW1040" s="11" t="str">
        <f t="shared" si="115"/>
        <v>EN_WOF_36_c02_VNM</v>
      </c>
      <c r="AX1040" s="11">
        <f t="shared" si="116"/>
        <v>2213</v>
      </c>
      <c r="AY1040" s="11">
        <f t="shared" si="117"/>
        <v>2213</v>
      </c>
      <c r="AZ1040" s="17">
        <v>3</v>
      </c>
      <c r="BA1040">
        <f t="shared" si="118"/>
        <v>22.13</v>
      </c>
    </row>
    <row r="1041" spans="2:53">
      <c r="B1041" t="s">
        <v>26</v>
      </c>
      <c r="C1041" t="s">
        <v>6241</v>
      </c>
      <c r="D1041" t="s">
        <v>6242</v>
      </c>
      <c r="E1041" t="s">
        <v>29</v>
      </c>
      <c r="F1041" t="s">
        <v>30</v>
      </c>
      <c r="G1041" t="s">
        <v>31</v>
      </c>
      <c r="J1041" t="s">
        <v>6241</v>
      </c>
      <c r="K1041" t="s">
        <v>1967</v>
      </c>
      <c r="L1041" t="s">
        <v>3918</v>
      </c>
      <c r="M1041" s="8">
        <v>5.0985</v>
      </c>
      <c r="N1041">
        <v>145.23264029167</v>
      </c>
      <c r="O1041">
        <v>1054</v>
      </c>
      <c r="P1041" s="9">
        <v>0.206</v>
      </c>
      <c r="Q1041" t="s">
        <v>926</v>
      </c>
      <c r="T1041" s="15" t="s">
        <v>35</v>
      </c>
      <c r="W1041" s="16" t="str">
        <f t="shared" si="112"/>
        <v>EN_WON_21_c04_IND</v>
      </c>
      <c r="X1041" s="12">
        <f t="shared" si="113"/>
        <v>1054</v>
      </c>
      <c r="Y1041" s="11">
        <f t="shared" si="114"/>
        <v>1054</v>
      </c>
      <c r="AC1041" t="s">
        <v>26</v>
      </c>
      <c r="AD1041" t="s">
        <v>6243</v>
      </c>
      <c r="AE1041" t="s">
        <v>6244</v>
      </c>
      <c r="AF1041" t="s">
        <v>29</v>
      </c>
      <c r="AG1041" t="s">
        <v>30</v>
      </c>
      <c r="AH1041" t="s">
        <v>31</v>
      </c>
      <c r="AK1041" t="s">
        <v>6243</v>
      </c>
      <c r="AL1041" t="s">
        <v>1967</v>
      </c>
      <c r="AM1041" t="s">
        <v>6192</v>
      </c>
      <c r="AN1041" s="8">
        <v>8.505</v>
      </c>
      <c r="AO1041">
        <v>45.3852000911468</v>
      </c>
      <c r="AP1041">
        <v>2213</v>
      </c>
      <c r="AQ1041" s="9">
        <v>0.369379188712522</v>
      </c>
      <c r="AR1041" t="s">
        <v>1900</v>
      </c>
      <c r="AT1041" s="15" t="s">
        <v>290</v>
      </c>
      <c r="AW1041" s="11" t="str">
        <f t="shared" si="115"/>
        <v>EN_WOF_37_c01_VNM</v>
      </c>
      <c r="AX1041" s="11">
        <f t="shared" si="116"/>
        <v>2213</v>
      </c>
      <c r="AY1041" s="11">
        <f t="shared" si="117"/>
        <v>2213</v>
      </c>
      <c r="AZ1041" s="17">
        <v>3</v>
      </c>
      <c r="BA1041">
        <f t="shared" si="118"/>
        <v>22.13</v>
      </c>
    </row>
    <row r="1042" spans="2:53">
      <c r="B1042" t="s">
        <v>26</v>
      </c>
      <c r="C1042" t="s">
        <v>6245</v>
      </c>
      <c r="D1042" t="s">
        <v>6246</v>
      </c>
      <c r="E1042" t="s">
        <v>29</v>
      </c>
      <c r="F1042" t="s">
        <v>30</v>
      </c>
      <c r="G1042" t="s">
        <v>31</v>
      </c>
      <c r="J1042" t="s">
        <v>6245</v>
      </c>
      <c r="K1042" t="s">
        <v>1967</v>
      </c>
      <c r="L1042" t="s">
        <v>3918</v>
      </c>
      <c r="M1042" s="8">
        <v>3.50475</v>
      </c>
      <c r="N1042">
        <v>0</v>
      </c>
      <c r="O1042">
        <v>1054</v>
      </c>
      <c r="P1042" s="9">
        <v>0.218482345388401</v>
      </c>
      <c r="Q1042" t="s">
        <v>926</v>
      </c>
      <c r="T1042" s="15" t="s">
        <v>35</v>
      </c>
      <c r="W1042" s="16" t="str">
        <f t="shared" si="112"/>
        <v>EN_WON_22_c01_IND</v>
      </c>
      <c r="X1042" s="12">
        <f t="shared" si="113"/>
        <v>1054</v>
      </c>
      <c r="Y1042" s="11">
        <f t="shared" si="114"/>
        <v>1054</v>
      </c>
      <c r="AC1042" t="s">
        <v>26</v>
      </c>
      <c r="AD1042" t="s">
        <v>6247</v>
      </c>
      <c r="AE1042" t="s">
        <v>6248</v>
      </c>
      <c r="AF1042" t="s">
        <v>29</v>
      </c>
      <c r="AG1042" t="s">
        <v>30</v>
      </c>
      <c r="AH1042" t="s">
        <v>31</v>
      </c>
      <c r="AK1042" t="s">
        <v>6247</v>
      </c>
      <c r="AL1042" t="s">
        <v>1967</v>
      </c>
      <c r="AM1042" t="s">
        <v>6192</v>
      </c>
      <c r="AN1042" s="8">
        <v>14.895</v>
      </c>
      <c r="AO1042">
        <v>199.694880401046</v>
      </c>
      <c r="AP1042">
        <v>2213</v>
      </c>
      <c r="AQ1042" s="9">
        <v>0.369145770392749</v>
      </c>
      <c r="AR1042" t="s">
        <v>1900</v>
      </c>
      <c r="AT1042" s="15" t="s">
        <v>290</v>
      </c>
      <c r="AW1042" s="11" t="str">
        <f t="shared" si="115"/>
        <v>EN_WOF_37_c02_VNM</v>
      </c>
      <c r="AX1042" s="11">
        <f t="shared" si="116"/>
        <v>2213</v>
      </c>
      <c r="AY1042" s="11">
        <f t="shared" si="117"/>
        <v>2213</v>
      </c>
      <c r="AZ1042" s="17">
        <v>3</v>
      </c>
      <c r="BA1042">
        <f t="shared" si="118"/>
        <v>22.13</v>
      </c>
    </row>
    <row r="1043" spans="2:53">
      <c r="B1043" t="s">
        <v>26</v>
      </c>
      <c r="C1043" t="s">
        <v>6249</v>
      </c>
      <c r="D1043" t="s">
        <v>6250</v>
      </c>
      <c r="E1043" t="s">
        <v>29</v>
      </c>
      <c r="F1043" t="s">
        <v>30</v>
      </c>
      <c r="G1043" t="s">
        <v>31</v>
      </c>
      <c r="J1043" t="s">
        <v>6249</v>
      </c>
      <c r="K1043" t="s">
        <v>1967</v>
      </c>
      <c r="L1043" t="s">
        <v>3918</v>
      </c>
      <c r="M1043" s="8">
        <v>91.07475</v>
      </c>
      <c r="N1043">
        <v>80.7856561622413</v>
      </c>
      <c r="O1043">
        <v>1054</v>
      </c>
      <c r="P1043" s="9">
        <v>0.219443915574844</v>
      </c>
      <c r="Q1043" t="s">
        <v>926</v>
      </c>
      <c r="T1043" s="15" t="s">
        <v>35</v>
      </c>
      <c r="W1043" s="16" t="str">
        <f t="shared" si="112"/>
        <v>EN_WON_22_c02_IND</v>
      </c>
      <c r="X1043" s="12">
        <f t="shared" si="113"/>
        <v>1054</v>
      </c>
      <c r="Y1043" s="11">
        <f t="shared" si="114"/>
        <v>1054</v>
      </c>
      <c r="AC1043" t="s">
        <v>26</v>
      </c>
      <c r="AD1043" t="s">
        <v>6251</v>
      </c>
      <c r="AE1043" t="s">
        <v>6252</v>
      </c>
      <c r="AF1043" t="s">
        <v>29</v>
      </c>
      <c r="AG1043" t="s">
        <v>30</v>
      </c>
      <c r="AH1043" t="s">
        <v>31</v>
      </c>
      <c r="AK1043" t="s">
        <v>6251</v>
      </c>
      <c r="AL1043" t="s">
        <v>1967</v>
      </c>
      <c r="AM1043" t="s">
        <v>6192</v>
      </c>
      <c r="AN1043" s="8">
        <v>1.7265</v>
      </c>
      <c r="AO1043">
        <v>45.3852000911468</v>
      </c>
      <c r="AP1043">
        <v>2213</v>
      </c>
      <c r="AQ1043" s="9">
        <v>0.381</v>
      </c>
      <c r="AR1043" t="s">
        <v>1900</v>
      </c>
      <c r="AT1043" s="15" t="s">
        <v>290</v>
      </c>
      <c r="AW1043" s="11" t="str">
        <f t="shared" si="115"/>
        <v>EN_WOF_38_c01_VNM</v>
      </c>
      <c r="AX1043" s="11">
        <f t="shared" si="116"/>
        <v>2213</v>
      </c>
      <c r="AY1043" s="11">
        <f t="shared" si="117"/>
        <v>2213</v>
      </c>
      <c r="AZ1043" s="17">
        <v>3</v>
      </c>
      <c r="BA1043">
        <f t="shared" si="118"/>
        <v>22.13</v>
      </c>
    </row>
    <row r="1044" spans="2:53">
      <c r="B1044" t="s">
        <v>26</v>
      </c>
      <c r="C1044" t="s">
        <v>6253</v>
      </c>
      <c r="D1044" t="s">
        <v>6254</v>
      </c>
      <c r="E1044" t="s">
        <v>29</v>
      </c>
      <c r="F1044" t="s">
        <v>30</v>
      </c>
      <c r="G1044" t="s">
        <v>31</v>
      </c>
      <c r="J1044" t="s">
        <v>6253</v>
      </c>
      <c r="K1044" t="s">
        <v>1967</v>
      </c>
      <c r="L1044" t="s">
        <v>3918</v>
      </c>
      <c r="M1044" s="8">
        <v>5.6295</v>
      </c>
      <c r="N1044">
        <v>105.747516212372</v>
      </c>
      <c r="O1044">
        <v>1054</v>
      </c>
      <c r="P1044" s="9">
        <v>0.215</v>
      </c>
      <c r="Q1044" t="s">
        <v>926</v>
      </c>
      <c r="T1044" s="15" t="s">
        <v>35</v>
      </c>
      <c r="W1044" s="16" t="str">
        <f t="shared" si="112"/>
        <v>EN_WON_22_c03_IND</v>
      </c>
      <c r="X1044" s="12">
        <f t="shared" si="113"/>
        <v>1054</v>
      </c>
      <c r="Y1044" s="11">
        <f t="shared" si="114"/>
        <v>1054</v>
      </c>
      <c r="AC1044" t="s">
        <v>26</v>
      </c>
      <c r="AD1044" t="s">
        <v>6255</v>
      </c>
      <c r="AE1044" t="s">
        <v>6256</v>
      </c>
      <c r="AF1044" t="s">
        <v>29</v>
      </c>
      <c r="AG1044" t="s">
        <v>30</v>
      </c>
      <c r="AH1044" t="s">
        <v>31</v>
      </c>
      <c r="AK1044" t="s">
        <v>6255</v>
      </c>
      <c r="AL1044" t="s">
        <v>1967</v>
      </c>
      <c r="AM1044" t="s">
        <v>6192</v>
      </c>
      <c r="AN1044" s="8">
        <v>14.53125</v>
      </c>
      <c r="AO1044">
        <v>199.694880401046</v>
      </c>
      <c r="AP1044">
        <v>2213</v>
      </c>
      <c r="AQ1044" s="9">
        <v>0.381957419354839</v>
      </c>
      <c r="AR1044" t="s">
        <v>1900</v>
      </c>
      <c r="AT1044" s="15" t="s">
        <v>290</v>
      </c>
      <c r="AW1044" s="11" t="str">
        <f t="shared" si="115"/>
        <v>EN_WOF_38_c02_VNM</v>
      </c>
      <c r="AX1044" s="11">
        <f t="shared" si="116"/>
        <v>2213</v>
      </c>
      <c r="AY1044" s="11">
        <f t="shared" si="117"/>
        <v>2213</v>
      </c>
      <c r="AZ1044" s="17">
        <v>3</v>
      </c>
      <c r="BA1044">
        <f t="shared" si="118"/>
        <v>22.13</v>
      </c>
    </row>
    <row r="1045" spans="2:53">
      <c r="B1045" t="s">
        <v>26</v>
      </c>
      <c r="C1045" t="s">
        <v>6257</v>
      </c>
      <c r="D1045" t="s">
        <v>6258</v>
      </c>
      <c r="E1045" t="s">
        <v>29</v>
      </c>
      <c r="F1045" t="s">
        <v>30</v>
      </c>
      <c r="G1045" t="s">
        <v>31</v>
      </c>
      <c r="J1045" t="s">
        <v>6257</v>
      </c>
      <c r="K1045" t="s">
        <v>1967</v>
      </c>
      <c r="L1045" t="s">
        <v>3918</v>
      </c>
      <c r="M1045" s="8">
        <v>4.4475</v>
      </c>
      <c r="N1045">
        <v>145.23264029167</v>
      </c>
      <c r="O1045">
        <v>1054</v>
      </c>
      <c r="P1045" s="9">
        <v>0.222967622259696</v>
      </c>
      <c r="Q1045" t="s">
        <v>926</v>
      </c>
      <c r="T1045" s="15" t="s">
        <v>35</v>
      </c>
      <c r="W1045" s="16" t="str">
        <f t="shared" si="112"/>
        <v>EN_WON_22_c04_IND</v>
      </c>
      <c r="X1045" s="12">
        <f t="shared" si="113"/>
        <v>1054</v>
      </c>
      <c r="Y1045" s="11">
        <f t="shared" si="114"/>
        <v>1054</v>
      </c>
      <c r="AC1045" t="s">
        <v>26</v>
      </c>
      <c r="AD1045" t="s">
        <v>6259</v>
      </c>
      <c r="AE1045" t="s">
        <v>6260</v>
      </c>
      <c r="AF1045" t="s">
        <v>29</v>
      </c>
      <c r="AG1045" t="s">
        <v>30</v>
      </c>
      <c r="AH1045" t="s">
        <v>31</v>
      </c>
      <c r="AK1045" t="s">
        <v>6259</v>
      </c>
      <c r="AL1045" t="s">
        <v>1967</v>
      </c>
      <c r="AM1045" t="s">
        <v>6192</v>
      </c>
      <c r="AN1045" s="8">
        <v>3.624</v>
      </c>
      <c r="AO1045">
        <v>45.3852000911468</v>
      </c>
      <c r="AP1045">
        <v>2213</v>
      </c>
      <c r="AQ1045" s="9">
        <v>0.392</v>
      </c>
      <c r="AR1045" t="s">
        <v>1900</v>
      </c>
      <c r="AT1045" s="15" t="s">
        <v>290</v>
      </c>
      <c r="AW1045" s="11" t="str">
        <f t="shared" si="115"/>
        <v>EN_WOF_39_c01_VNM</v>
      </c>
      <c r="AX1045" s="11">
        <f t="shared" si="116"/>
        <v>2213</v>
      </c>
      <c r="AY1045" s="11">
        <f t="shared" si="117"/>
        <v>2213</v>
      </c>
      <c r="AZ1045" s="17">
        <v>3</v>
      </c>
      <c r="BA1045">
        <f t="shared" si="118"/>
        <v>22.13</v>
      </c>
    </row>
    <row r="1046" spans="2:53">
      <c r="B1046" t="s">
        <v>26</v>
      </c>
      <c r="C1046" t="s">
        <v>6261</v>
      </c>
      <c r="D1046" t="s">
        <v>6262</v>
      </c>
      <c r="E1046" t="s">
        <v>29</v>
      </c>
      <c r="F1046" t="s">
        <v>30</v>
      </c>
      <c r="G1046" t="s">
        <v>31</v>
      </c>
      <c r="J1046" t="s">
        <v>6261</v>
      </c>
      <c r="K1046" t="s">
        <v>1967</v>
      </c>
      <c r="L1046" t="s">
        <v>3918</v>
      </c>
      <c r="M1046" s="8">
        <v>20.1765</v>
      </c>
      <c r="N1046">
        <v>0</v>
      </c>
      <c r="O1046">
        <v>1054</v>
      </c>
      <c r="P1046" s="9">
        <v>0.23027105791391</v>
      </c>
      <c r="Q1046" t="s">
        <v>926</v>
      </c>
      <c r="T1046" s="15" t="s">
        <v>35</v>
      </c>
      <c r="W1046" s="16" t="str">
        <f t="shared" si="112"/>
        <v>EN_WON_23_c01_IND</v>
      </c>
      <c r="X1046" s="12">
        <f t="shared" si="113"/>
        <v>1054</v>
      </c>
      <c r="Y1046" s="11">
        <f t="shared" si="114"/>
        <v>1054</v>
      </c>
      <c r="AC1046" t="s">
        <v>26</v>
      </c>
      <c r="AD1046" t="s">
        <v>6263</v>
      </c>
      <c r="AE1046" t="s">
        <v>6264</v>
      </c>
      <c r="AF1046" t="s">
        <v>29</v>
      </c>
      <c r="AG1046" t="s">
        <v>30</v>
      </c>
      <c r="AH1046" t="s">
        <v>31</v>
      </c>
      <c r="AK1046" t="s">
        <v>6263</v>
      </c>
      <c r="AL1046" t="s">
        <v>1967</v>
      </c>
      <c r="AM1046" t="s">
        <v>6192</v>
      </c>
      <c r="AN1046" s="8">
        <v>0.9075</v>
      </c>
      <c r="AO1046">
        <v>199.694880401046</v>
      </c>
      <c r="AP1046">
        <v>2213</v>
      </c>
      <c r="AQ1046" s="9">
        <v>0.391995867768595</v>
      </c>
      <c r="AR1046" t="s">
        <v>1900</v>
      </c>
      <c r="AT1046" s="15" t="s">
        <v>290</v>
      </c>
      <c r="AW1046" s="11" t="str">
        <f t="shared" si="115"/>
        <v>EN_WOF_39_c02_VNM</v>
      </c>
      <c r="AX1046" s="11">
        <f t="shared" si="116"/>
        <v>2213</v>
      </c>
      <c r="AY1046" s="11">
        <f t="shared" si="117"/>
        <v>2213</v>
      </c>
      <c r="AZ1046" s="17">
        <v>3</v>
      </c>
      <c r="BA1046">
        <f t="shared" si="118"/>
        <v>22.13</v>
      </c>
    </row>
    <row r="1047" spans="2:53">
      <c r="B1047" t="s">
        <v>26</v>
      </c>
      <c r="C1047" t="s">
        <v>6265</v>
      </c>
      <c r="D1047" t="s">
        <v>6266</v>
      </c>
      <c r="E1047" t="s">
        <v>29</v>
      </c>
      <c r="F1047" t="s">
        <v>30</v>
      </c>
      <c r="G1047" t="s">
        <v>31</v>
      </c>
      <c r="J1047" t="s">
        <v>6265</v>
      </c>
      <c r="K1047" t="s">
        <v>1967</v>
      </c>
      <c r="L1047" t="s">
        <v>3918</v>
      </c>
      <c r="M1047" s="8">
        <v>28.69725</v>
      </c>
      <c r="N1047">
        <v>80.7856561622413</v>
      </c>
      <c r="O1047">
        <v>1054</v>
      </c>
      <c r="P1047" s="9">
        <v>0.231460993649217</v>
      </c>
      <c r="Q1047" t="s">
        <v>926</v>
      </c>
      <c r="T1047" s="15" t="s">
        <v>35</v>
      </c>
      <c r="W1047" s="16" t="str">
        <f t="shared" si="112"/>
        <v>EN_WON_23_c02_IND</v>
      </c>
      <c r="X1047" s="12">
        <f t="shared" si="113"/>
        <v>1054</v>
      </c>
      <c r="Y1047" s="11">
        <f t="shared" si="114"/>
        <v>1054</v>
      </c>
      <c r="AC1047" t="s">
        <v>26</v>
      </c>
      <c r="AD1047" t="s">
        <v>6267</v>
      </c>
      <c r="AE1047" t="s">
        <v>6268</v>
      </c>
      <c r="AF1047" t="s">
        <v>29</v>
      </c>
      <c r="AG1047" t="s">
        <v>30</v>
      </c>
      <c r="AH1047" t="s">
        <v>31</v>
      </c>
      <c r="AK1047" t="s">
        <v>6267</v>
      </c>
      <c r="AL1047" t="s">
        <v>1967</v>
      </c>
      <c r="AM1047" t="s">
        <v>6192</v>
      </c>
      <c r="AN1047" s="8">
        <v>13.353</v>
      </c>
      <c r="AO1047">
        <v>199.694880401046</v>
      </c>
      <c r="AP1047">
        <v>2213</v>
      </c>
      <c r="AQ1047" s="9">
        <v>0.396945517861155</v>
      </c>
      <c r="AR1047" t="s">
        <v>1900</v>
      </c>
      <c r="AT1047" s="15" t="s">
        <v>290</v>
      </c>
      <c r="AW1047" s="11" t="str">
        <f t="shared" si="115"/>
        <v>EN_WOF_40_c02_VNM</v>
      </c>
      <c r="AX1047" s="11">
        <f t="shared" si="116"/>
        <v>2213</v>
      </c>
      <c r="AY1047" s="11">
        <f t="shared" si="117"/>
        <v>2213</v>
      </c>
      <c r="AZ1047" s="17">
        <v>3</v>
      </c>
      <c r="BA1047">
        <f t="shared" si="118"/>
        <v>22.13</v>
      </c>
    </row>
    <row r="1048" spans="2:53">
      <c r="B1048" t="s">
        <v>26</v>
      </c>
      <c r="C1048" t="s">
        <v>6269</v>
      </c>
      <c r="D1048" t="s">
        <v>6270</v>
      </c>
      <c r="E1048" t="s">
        <v>29</v>
      </c>
      <c r="F1048" t="s">
        <v>30</v>
      </c>
      <c r="G1048" t="s">
        <v>31</v>
      </c>
      <c r="J1048" t="s">
        <v>6269</v>
      </c>
      <c r="K1048" t="s">
        <v>1967</v>
      </c>
      <c r="L1048" t="s">
        <v>3918</v>
      </c>
      <c r="M1048" s="8">
        <v>5.0505</v>
      </c>
      <c r="N1048">
        <v>105.747516212372</v>
      </c>
      <c r="O1048">
        <v>1054</v>
      </c>
      <c r="P1048" s="9">
        <v>0.232</v>
      </c>
      <c r="Q1048" t="s">
        <v>926</v>
      </c>
      <c r="T1048" s="15" t="s">
        <v>35</v>
      </c>
      <c r="W1048" s="16" t="str">
        <f t="shared" si="112"/>
        <v>EN_WON_23_c03_IND</v>
      </c>
      <c r="X1048" s="12">
        <f t="shared" si="113"/>
        <v>1054</v>
      </c>
      <c r="Y1048" s="11">
        <f t="shared" si="114"/>
        <v>1054</v>
      </c>
      <c r="AC1048" t="s">
        <v>26</v>
      </c>
      <c r="AD1048" t="s">
        <v>6271</v>
      </c>
      <c r="AE1048" t="s">
        <v>6272</v>
      </c>
      <c r="AF1048" t="s">
        <v>29</v>
      </c>
      <c r="AG1048" t="s">
        <v>30</v>
      </c>
      <c r="AH1048" t="s">
        <v>31</v>
      </c>
      <c r="AK1048" t="s">
        <v>6271</v>
      </c>
      <c r="AL1048" t="s">
        <v>1967</v>
      </c>
      <c r="AM1048" t="s">
        <v>6192</v>
      </c>
      <c r="AN1048" s="8">
        <v>14.28975</v>
      </c>
      <c r="AO1048">
        <v>199.694880401046</v>
      </c>
      <c r="AP1048">
        <v>2213</v>
      </c>
      <c r="AQ1048" s="9">
        <v>0.407409069437884</v>
      </c>
      <c r="AR1048" t="s">
        <v>1900</v>
      </c>
      <c r="AT1048" s="15" t="s">
        <v>290</v>
      </c>
      <c r="AW1048" s="11" t="str">
        <f t="shared" si="115"/>
        <v>EN_WOF_41_c02_VNM</v>
      </c>
      <c r="AX1048" s="11">
        <f t="shared" si="116"/>
        <v>2213</v>
      </c>
      <c r="AY1048" s="11">
        <f t="shared" si="117"/>
        <v>2213</v>
      </c>
      <c r="AZ1048" s="17">
        <v>3</v>
      </c>
      <c r="BA1048">
        <f t="shared" si="118"/>
        <v>22.13</v>
      </c>
    </row>
    <row r="1049" spans="2:53">
      <c r="B1049" t="s">
        <v>26</v>
      </c>
      <c r="C1049" t="s">
        <v>6273</v>
      </c>
      <c r="D1049" t="s">
        <v>6274</v>
      </c>
      <c r="E1049" t="s">
        <v>29</v>
      </c>
      <c r="F1049" t="s">
        <v>30</v>
      </c>
      <c r="G1049" t="s">
        <v>31</v>
      </c>
      <c r="J1049" t="s">
        <v>6273</v>
      </c>
      <c r="K1049" t="s">
        <v>1967</v>
      </c>
      <c r="L1049" t="s">
        <v>3918</v>
      </c>
      <c r="M1049" s="8">
        <v>0.03225</v>
      </c>
      <c r="N1049">
        <v>145.23264029167</v>
      </c>
      <c r="O1049">
        <v>1054</v>
      </c>
      <c r="P1049" s="9">
        <v>0.225</v>
      </c>
      <c r="Q1049" t="s">
        <v>926</v>
      </c>
      <c r="T1049" s="15" t="s">
        <v>35</v>
      </c>
      <c r="W1049" s="16" t="str">
        <f t="shared" si="112"/>
        <v>EN_WON_23_c04_IND</v>
      </c>
      <c r="X1049" s="12">
        <f t="shared" si="113"/>
        <v>1054</v>
      </c>
      <c r="Y1049" s="11">
        <f t="shared" si="114"/>
        <v>1054</v>
      </c>
      <c r="AC1049" t="s">
        <v>26</v>
      </c>
      <c r="AD1049" t="s">
        <v>6275</v>
      </c>
      <c r="AE1049" t="s">
        <v>6276</v>
      </c>
      <c r="AF1049" t="s">
        <v>29</v>
      </c>
      <c r="AG1049" t="s">
        <v>30</v>
      </c>
      <c r="AH1049" t="s">
        <v>31</v>
      </c>
      <c r="AK1049" t="s">
        <v>6275</v>
      </c>
      <c r="AL1049" t="s">
        <v>1967</v>
      </c>
      <c r="AM1049" t="s">
        <v>6192</v>
      </c>
      <c r="AN1049" s="8">
        <v>2.18025</v>
      </c>
      <c r="AO1049">
        <v>199.694880401046</v>
      </c>
      <c r="AP1049">
        <v>2213</v>
      </c>
      <c r="AQ1049" s="9">
        <v>0.422</v>
      </c>
      <c r="AR1049" t="s">
        <v>1900</v>
      </c>
      <c r="AT1049" s="15" t="s">
        <v>290</v>
      </c>
      <c r="AW1049" s="11" t="str">
        <f t="shared" si="115"/>
        <v>EN_WOF_42_c02_VNM</v>
      </c>
      <c r="AX1049" s="11">
        <f t="shared" si="116"/>
        <v>2213</v>
      </c>
      <c r="AY1049" s="11">
        <f t="shared" si="117"/>
        <v>2213</v>
      </c>
      <c r="AZ1049" s="17">
        <v>3</v>
      </c>
      <c r="BA1049">
        <f t="shared" si="118"/>
        <v>22.13</v>
      </c>
    </row>
    <row r="1050" spans="2:53">
      <c r="B1050" t="s">
        <v>26</v>
      </c>
      <c r="C1050" t="s">
        <v>6277</v>
      </c>
      <c r="D1050" t="s">
        <v>6278</v>
      </c>
      <c r="E1050" t="s">
        <v>29</v>
      </c>
      <c r="F1050" t="s">
        <v>30</v>
      </c>
      <c r="G1050" t="s">
        <v>31</v>
      </c>
      <c r="J1050" t="s">
        <v>6277</v>
      </c>
      <c r="K1050" t="s">
        <v>1967</v>
      </c>
      <c r="L1050" t="s">
        <v>3918</v>
      </c>
      <c r="M1050" s="8">
        <v>10.35975</v>
      </c>
      <c r="N1050">
        <v>0</v>
      </c>
      <c r="O1050">
        <v>1054</v>
      </c>
      <c r="P1050" s="9">
        <v>0.238273365670021</v>
      </c>
      <c r="Q1050" t="s">
        <v>926</v>
      </c>
      <c r="T1050" s="15" t="s">
        <v>35</v>
      </c>
      <c r="W1050" s="16" t="str">
        <f t="shared" si="112"/>
        <v>EN_WON_24_c01_IND</v>
      </c>
      <c r="X1050" s="12">
        <f t="shared" si="113"/>
        <v>1054</v>
      </c>
      <c r="Y1050" s="11">
        <f t="shared" si="114"/>
        <v>1054</v>
      </c>
      <c r="AC1050" t="s">
        <v>26</v>
      </c>
      <c r="AD1050" t="s">
        <v>6279</v>
      </c>
      <c r="AE1050" t="s">
        <v>6280</v>
      </c>
      <c r="AF1050" t="s">
        <v>29</v>
      </c>
      <c r="AG1050" t="s">
        <v>30</v>
      </c>
      <c r="AH1050" t="s">
        <v>31</v>
      </c>
      <c r="AK1050" t="s">
        <v>6279</v>
      </c>
      <c r="AL1050" t="s">
        <v>1967</v>
      </c>
      <c r="AM1050" t="s">
        <v>6192</v>
      </c>
      <c r="AN1050" s="8">
        <v>14.55075</v>
      </c>
      <c r="AO1050">
        <v>199.694880401046</v>
      </c>
      <c r="AP1050">
        <v>2213</v>
      </c>
      <c r="AQ1050" s="9">
        <v>0.432603834853874</v>
      </c>
      <c r="AR1050" t="s">
        <v>1900</v>
      </c>
      <c r="AT1050" s="15" t="s">
        <v>290</v>
      </c>
      <c r="AW1050" s="11" t="str">
        <f t="shared" si="115"/>
        <v>EN_WOF_43_c02_VNM</v>
      </c>
      <c r="AX1050" s="11">
        <f t="shared" si="116"/>
        <v>2213</v>
      </c>
      <c r="AY1050" s="11">
        <f t="shared" si="117"/>
        <v>2213</v>
      </c>
      <c r="AZ1050" s="17">
        <v>3</v>
      </c>
      <c r="BA1050">
        <f t="shared" si="118"/>
        <v>22.13</v>
      </c>
    </row>
    <row r="1051" spans="2:53">
      <c r="B1051" t="s">
        <v>26</v>
      </c>
      <c r="C1051" t="s">
        <v>6281</v>
      </c>
      <c r="D1051" t="s">
        <v>6282</v>
      </c>
      <c r="E1051" t="s">
        <v>29</v>
      </c>
      <c r="F1051" t="s">
        <v>30</v>
      </c>
      <c r="G1051" t="s">
        <v>31</v>
      </c>
      <c r="J1051" t="s">
        <v>6281</v>
      </c>
      <c r="K1051" t="s">
        <v>1967</v>
      </c>
      <c r="L1051" t="s">
        <v>3918</v>
      </c>
      <c r="M1051" s="8">
        <v>9.783</v>
      </c>
      <c r="N1051">
        <v>80.7856561622413</v>
      </c>
      <c r="O1051">
        <v>1054</v>
      </c>
      <c r="P1051" s="9">
        <v>0.236655013799448</v>
      </c>
      <c r="Q1051" t="s">
        <v>926</v>
      </c>
      <c r="T1051" s="15" t="s">
        <v>35</v>
      </c>
      <c r="W1051" s="16" t="str">
        <f t="shared" si="112"/>
        <v>EN_WON_24_c02_IND</v>
      </c>
      <c r="X1051" s="12">
        <f t="shared" si="113"/>
        <v>1054</v>
      </c>
      <c r="Y1051" s="11">
        <f t="shared" si="114"/>
        <v>1054</v>
      </c>
      <c r="AC1051" t="s">
        <v>26</v>
      </c>
      <c r="AD1051" t="s">
        <v>6283</v>
      </c>
      <c r="AE1051" t="s">
        <v>6284</v>
      </c>
      <c r="AF1051" t="s">
        <v>29</v>
      </c>
      <c r="AG1051" t="s">
        <v>30</v>
      </c>
      <c r="AH1051" t="s">
        <v>31</v>
      </c>
      <c r="AK1051" t="s">
        <v>6283</v>
      </c>
      <c r="AL1051" t="s">
        <v>1967</v>
      </c>
      <c r="AM1051" t="s">
        <v>6192</v>
      </c>
      <c r="AN1051" s="8">
        <v>1.572</v>
      </c>
      <c r="AO1051">
        <v>199.694880401046</v>
      </c>
      <c r="AP1051">
        <v>2213</v>
      </c>
      <c r="AQ1051" s="9">
        <v>0.445</v>
      </c>
      <c r="AR1051" t="s">
        <v>1900</v>
      </c>
      <c r="AT1051" s="15" t="s">
        <v>290</v>
      </c>
      <c r="AW1051" s="11" t="str">
        <f t="shared" si="115"/>
        <v>EN_WOF_45_c02_VNM</v>
      </c>
      <c r="AX1051" s="11">
        <f t="shared" si="116"/>
        <v>2213</v>
      </c>
      <c r="AY1051" s="11">
        <f t="shared" si="117"/>
        <v>2213</v>
      </c>
      <c r="AZ1051" s="17">
        <v>3</v>
      </c>
      <c r="BA1051">
        <f t="shared" si="118"/>
        <v>22.13</v>
      </c>
    </row>
    <row r="1052" spans="2:53">
      <c r="B1052" t="s">
        <v>26</v>
      </c>
      <c r="C1052" t="s">
        <v>6285</v>
      </c>
      <c r="D1052" t="s">
        <v>6286</v>
      </c>
      <c r="E1052" t="s">
        <v>29</v>
      </c>
      <c r="F1052" t="s">
        <v>30</v>
      </c>
      <c r="G1052" t="s">
        <v>31</v>
      </c>
      <c r="J1052" t="s">
        <v>6285</v>
      </c>
      <c r="K1052" t="s">
        <v>1967</v>
      </c>
      <c r="L1052" t="s">
        <v>3918</v>
      </c>
      <c r="M1052" s="8">
        <v>3.88125</v>
      </c>
      <c r="N1052">
        <v>105.747516212372</v>
      </c>
      <c r="O1052">
        <v>1054</v>
      </c>
      <c r="P1052" s="9">
        <v>0.239</v>
      </c>
      <c r="Q1052" t="s">
        <v>926</v>
      </c>
      <c r="T1052" s="15" t="s">
        <v>35</v>
      </c>
      <c r="W1052" s="16" t="str">
        <f t="shared" si="112"/>
        <v>EN_WON_24_c03_IND</v>
      </c>
      <c r="X1052" s="12">
        <f t="shared" si="113"/>
        <v>1054</v>
      </c>
      <c r="Y1052" s="11">
        <f t="shared" si="114"/>
        <v>1054</v>
      </c>
      <c r="AC1052" t="s">
        <v>26</v>
      </c>
      <c r="AD1052" t="s">
        <v>6287</v>
      </c>
      <c r="AE1052" t="s">
        <v>6288</v>
      </c>
      <c r="AF1052" t="s">
        <v>29</v>
      </c>
      <c r="AG1052" t="s">
        <v>30</v>
      </c>
      <c r="AH1052" t="s">
        <v>31</v>
      </c>
      <c r="AK1052" t="s">
        <v>6287</v>
      </c>
      <c r="AL1052" t="s">
        <v>1967</v>
      </c>
      <c r="AM1052" t="s">
        <v>6192</v>
      </c>
      <c r="AN1052" s="8">
        <v>18.978</v>
      </c>
      <c r="AO1052">
        <v>199.694880401046</v>
      </c>
      <c r="AP1052">
        <v>2213</v>
      </c>
      <c r="AQ1052" s="9">
        <v>0.459467791653493</v>
      </c>
      <c r="AR1052" t="s">
        <v>1900</v>
      </c>
      <c r="AT1052" s="15" t="s">
        <v>290</v>
      </c>
      <c r="AW1052" s="11" t="str">
        <f t="shared" si="115"/>
        <v>EN_WOF_46_c02_VNM</v>
      </c>
      <c r="AX1052" s="11">
        <f t="shared" si="116"/>
        <v>2213</v>
      </c>
      <c r="AY1052" s="11">
        <f t="shared" si="117"/>
        <v>2213</v>
      </c>
      <c r="AZ1052" s="17">
        <v>3</v>
      </c>
      <c r="BA1052">
        <f t="shared" si="118"/>
        <v>22.13</v>
      </c>
    </row>
    <row r="1053" spans="2:53">
      <c r="B1053" t="s">
        <v>26</v>
      </c>
      <c r="C1053" t="s">
        <v>6289</v>
      </c>
      <c r="D1053" t="s">
        <v>6290</v>
      </c>
      <c r="E1053" t="s">
        <v>29</v>
      </c>
      <c r="F1053" t="s">
        <v>30</v>
      </c>
      <c r="G1053" t="s">
        <v>31</v>
      </c>
      <c r="J1053" t="s">
        <v>6289</v>
      </c>
      <c r="K1053" t="s">
        <v>1967</v>
      </c>
      <c r="L1053" t="s">
        <v>3918</v>
      </c>
      <c r="M1053" s="8">
        <v>7.89225</v>
      </c>
      <c r="N1053">
        <v>0</v>
      </c>
      <c r="O1053">
        <v>1054</v>
      </c>
      <c r="P1053" s="9">
        <v>0.247199182742564</v>
      </c>
      <c r="Q1053" t="s">
        <v>926</v>
      </c>
      <c r="T1053" s="15" t="s">
        <v>35</v>
      </c>
      <c r="W1053" s="16" t="str">
        <f t="shared" si="112"/>
        <v>EN_WON_25_c01_IND</v>
      </c>
      <c r="X1053" s="12">
        <f t="shared" si="113"/>
        <v>1054</v>
      </c>
      <c r="Y1053" s="11">
        <f t="shared" si="114"/>
        <v>1054</v>
      </c>
      <c r="AC1053" t="s">
        <v>26</v>
      </c>
      <c r="AD1053" t="s">
        <v>6291</v>
      </c>
      <c r="AE1053" t="s">
        <v>6292</v>
      </c>
      <c r="AF1053" t="s">
        <v>29</v>
      </c>
      <c r="AG1053" t="s">
        <v>30</v>
      </c>
      <c r="AH1053" t="s">
        <v>31</v>
      </c>
      <c r="AK1053" t="s">
        <v>6291</v>
      </c>
      <c r="AL1053" t="s">
        <v>1967</v>
      </c>
      <c r="AM1053" t="s">
        <v>6192</v>
      </c>
      <c r="AN1053" s="8">
        <v>3.67125</v>
      </c>
      <c r="AO1053">
        <v>45.3852000911468</v>
      </c>
      <c r="AP1053">
        <v>2213</v>
      </c>
      <c r="AQ1053" s="9">
        <v>0.472</v>
      </c>
      <c r="AR1053" t="s">
        <v>1900</v>
      </c>
      <c r="AT1053" s="15" t="s">
        <v>290</v>
      </c>
      <c r="AW1053" s="11" t="str">
        <f t="shared" si="115"/>
        <v>EN_WOF_47_c01_VNM</v>
      </c>
      <c r="AX1053" s="11">
        <f t="shared" si="116"/>
        <v>2213</v>
      </c>
      <c r="AY1053" s="11">
        <f t="shared" si="117"/>
        <v>2213</v>
      </c>
      <c r="AZ1053" s="17">
        <v>3</v>
      </c>
      <c r="BA1053">
        <f t="shared" si="118"/>
        <v>22.13</v>
      </c>
    </row>
    <row r="1054" spans="2:53">
      <c r="B1054" t="s">
        <v>26</v>
      </c>
      <c r="C1054" t="s">
        <v>6293</v>
      </c>
      <c r="D1054" t="s">
        <v>6294</v>
      </c>
      <c r="E1054" t="s">
        <v>29</v>
      </c>
      <c r="F1054" t="s">
        <v>30</v>
      </c>
      <c r="G1054" t="s">
        <v>31</v>
      </c>
      <c r="J1054" t="s">
        <v>6293</v>
      </c>
      <c r="K1054" t="s">
        <v>1967</v>
      </c>
      <c r="L1054" t="s">
        <v>3918</v>
      </c>
      <c r="M1054" s="8">
        <v>15.5715</v>
      </c>
      <c r="N1054">
        <v>80.7856561622413</v>
      </c>
      <c r="O1054">
        <v>1054</v>
      </c>
      <c r="P1054" s="9">
        <v>0.248846064926308</v>
      </c>
      <c r="Q1054" t="s">
        <v>926</v>
      </c>
      <c r="T1054" s="15" t="s">
        <v>35</v>
      </c>
      <c r="W1054" s="16" t="str">
        <f t="shared" si="112"/>
        <v>EN_WON_25_c02_IND</v>
      </c>
      <c r="X1054" s="12">
        <f t="shared" si="113"/>
        <v>1054</v>
      </c>
      <c r="Y1054" s="11">
        <f t="shared" si="114"/>
        <v>1054</v>
      </c>
      <c r="AC1054" t="s">
        <v>26</v>
      </c>
      <c r="AD1054" t="s">
        <v>6295</v>
      </c>
      <c r="AE1054" t="s">
        <v>6296</v>
      </c>
      <c r="AF1054" t="s">
        <v>29</v>
      </c>
      <c r="AG1054" t="s">
        <v>30</v>
      </c>
      <c r="AH1054" t="s">
        <v>31</v>
      </c>
      <c r="AK1054" t="s">
        <v>6295</v>
      </c>
      <c r="AL1054" t="s">
        <v>1967</v>
      </c>
      <c r="AM1054" t="s">
        <v>6192</v>
      </c>
      <c r="AN1054" s="8">
        <v>4.87275</v>
      </c>
      <c r="AO1054">
        <v>199.694880401046</v>
      </c>
      <c r="AP1054">
        <v>2213</v>
      </c>
      <c r="AQ1054" s="9">
        <v>0.469</v>
      </c>
      <c r="AR1054" t="s">
        <v>1900</v>
      </c>
      <c r="AT1054" s="15" t="s">
        <v>290</v>
      </c>
      <c r="AW1054" s="11" t="str">
        <f t="shared" si="115"/>
        <v>EN_WOF_47_c02_VNM</v>
      </c>
      <c r="AX1054" s="11">
        <f t="shared" si="116"/>
        <v>2213</v>
      </c>
      <c r="AY1054" s="11">
        <f t="shared" si="117"/>
        <v>2213</v>
      </c>
      <c r="AZ1054" s="17">
        <v>3</v>
      </c>
      <c r="BA1054">
        <f t="shared" si="118"/>
        <v>22.13</v>
      </c>
    </row>
    <row r="1055" spans="2:53">
      <c r="B1055" t="s">
        <v>26</v>
      </c>
      <c r="C1055" t="s">
        <v>6297</v>
      </c>
      <c r="D1055" t="s">
        <v>6298</v>
      </c>
      <c r="E1055" t="s">
        <v>29</v>
      </c>
      <c r="F1055" t="s">
        <v>30</v>
      </c>
      <c r="G1055" t="s">
        <v>31</v>
      </c>
      <c r="J1055" t="s">
        <v>6297</v>
      </c>
      <c r="K1055" t="s">
        <v>1967</v>
      </c>
      <c r="L1055" t="s">
        <v>3918</v>
      </c>
      <c r="M1055" s="8">
        <v>3.8505</v>
      </c>
      <c r="N1055">
        <v>145.23264029167</v>
      </c>
      <c r="O1055">
        <v>1054</v>
      </c>
      <c r="P1055" s="9">
        <v>0.249</v>
      </c>
      <c r="Q1055" t="s">
        <v>926</v>
      </c>
      <c r="T1055" s="15" t="s">
        <v>35</v>
      </c>
      <c r="W1055" s="16" t="str">
        <f t="shared" si="112"/>
        <v>EN_WON_25_c04_IND</v>
      </c>
      <c r="X1055" s="12">
        <f t="shared" si="113"/>
        <v>1054</v>
      </c>
      <c r="Y1055" s="11">
        <f t="shared" si="114"/>
        <v>1054</v>
      </c>
      <c r="AC1055" t="s">
        <v>26</v>
      </c>
      <c r="AD1055" t="s">
        <v>6299</v>
      </c>
      <c r="AE1055" t="s">
        <v>6300</v>
      </c>
      <c r="AF1055" t="s">
        <v>29</v>
      </c>
      <c r="AG1055" t="s">
        <v>30</v>
      </c>
      <c r="AH1055" t="s">
        <v>31</v>
      </c>
      <c r="AK1055" t="s">
        <v>6299</v>
      </c>
      <c r="AL1055" t="s">
        <v>1967</v>
      </c>
      <c r="AM1055" t="s">
        <v>6192</v>
      </c>
      <c r="AN1055" s="8">
        <v>8.76</v>
      </c>
      <c r="AO1055">
        <v>45.3852000911468</v>
      </c>
      <c r="AP1055">
        <v>2213</v>
      </c>
      <c r="AQ1055" s="9">
        <v>0.492283904109589</v>
      </c>
      <c r="AR1055" t="s">
        <v>1900</v>
      </c>
      <c r="AT1055" s="15" t="s">
        <v>290</v>
      </c>
      <c r="AW1055" s="11" t="str">
        <f t="shared" si="115"/>
        <v>EN_WOF_49_c01_VNM</v>
      </c>
      <c r="AX1055" s="11">
        <f t="shared" si="116"/>
        <v>2213</v>
      </c>
      <c r="AY1055" s="11">
        <f t="shared" si="117"/>
        <v>2213</v>
      </c>
      <c r="AZ1055" s="17">
        <v>3</v>
      </c>
      <c r="BA1055">
        <f t="shared" si="118"/>
        <v>22.13</v>
      </c>
    </row>
    <row r="1056" spans="2:53">
      <c r="B1056" t="s">
        <v>26</v>
      </c>
      <c r="C1056" t="s">
        <v>6301</v>
      </c>
      <c r="D1056" t="s">
        <v>6302</v>
      </c>
      <c r="E1056" t="s">
        <v>29</v>
      </c>
      <c r="F1056" t="s">
        <v>30</v>
      </c>
      <c r="G1056" t="s">
        <v>31</v>
      </c>
      <c r="J1056" t="s">
        <v>6301</v>
      </c>
      <c r="K1056" t="s">
        <v>1967</v>
      </c>
      <c r="L1056" t="s">
        <v>3918</v>
      </c>
      <c r="M1056" s="8">
        <v>20.7825</v>
      </c>
      <c r="N1056">
        <v>0</v>
      </c>
      <c r="O1056">
        <v>1054</v>
      </c>
      <c r="P1056" s="9">
        <v>0.2582691447131</v>
      </c>
      <c r="Q1056" t="s">
        <v>926</v>
      </c>
      <c r="T1056" s="15" t="s">
        <v>35</v>
      </c>
      <c r="W1056" s="16" t="str">
        <f t="shared" si="112"/>
        <v>EN_WON_26_c01_IND</v>
      </c>
      <c r="X1056" s="12">
        <f t="shared" si="113"/>
        <v>1054</v>
      </c>
      <c r="Y1056" s="11">
        <f t="shared" si="114"/>
        <v>1054</v>
      </c>
      <c r="AC1056" t="s">
        <v>26</v>
      </c>
      <c r="AD1056" t="s">
        <v>6303</v>
      </c>
      <c r="AE1056" t="s">
        <v>6304</v>
      </c>
      <c r="AF1056" t="s">
        <v>29</v>
      </c>
      <c r="AG1056" t="s">
        <v>30</v>
      </c>
      <c r="AH1056" t="s">
        <v>31</v>
      </c>
      <c r="AK1056" t="s">
        <v>6303</v>
      </c>
      <c r="AL1056" t="s">
        <v>1967</v>
      </c>
      <c r="AM1056" t="s">
        <v>6192</v>
      </c>
      <c r="AN1056" s="8">
        <v>14.253</v>
      </c>
      <c r="AO1056">
        <v>199.694880401046</v>
      </c>
      <c r="AP1056">
        <v>2213</v>
      </c>
      <c r="AQ1056" s="9">
        <v>0.48885666175542</v>
      </c>
      <c r="AR1056" t="s">
        <v>1900</v>
      </c>
      <c r="AT1056" s="15" t="s">
        <v>290</v>
      </c>
      <c r="AW1056" s="11" t="str">
        <f t="shared" si="115"/>
        <v>EN_WOF_49_c02_VNM</v>
      </c>
      <c r="AX1056" s="11">
        <f t="shared" si="116"/>
        <v>2213</v>
      </c>
      <c r="AY1056" s="11">
        <f t="shared" si="117"/>
        <v>2213</v>
      </c>
      <c r="AZ1056" s="17">
        <v>3</v>
      </c>
      <c r="BA1056">
        <f t="shared" si="118"/>
        <v>22.13</v>
      </c>
    </row>
    <row r="1057" spans="2:53">
      <c r="B1057" t="s">
        <v>26</v>
      </c>
      <c r="C1057" t="s">
        <v>6305</v>
      </c>
      <c r="D1057" t="s">
        <v>6306</v>
      </c>
      <c r="E1057" t="s">
        <v>29</v>
      </c>
      <c r="F1057" t="s">
        <v>30</v>
      </c>
      <c r="G1057" t="s">
        <v>31</v>
      </c>
      <c r="J1057" t="s">
        <v>6305</v>
      </c>
      <c r="K1057" t="s">
        <v>1967</v>
      </c>
      <c r="L1057" t="s">
        <v>3918</v>
      </c>
      <c r="M1057" s="8">
        <v>10.72425</v>
      </c>
      <c r="N1057">
        <v>80.7856561622413</v>
      </c>
      <c r="O1057">
        <v>1054</v>
      </c>
      <c r="P1057" s="9">
        <v>0.26</v>
      </c>
      <c r="Q1057" t="s">
        <v>926</v>
      </c>
      <c r="T1057" s="15" t="s">
        <v>35</v>
      </c>
      <c r="W1057" s="16" t="str">
        <f t="shared" si="112"/>
        <v>EN_WON_26_c02_IND</v>
      </c>
      <c r="X1057" s="12">
        <f t="shared" si="113"/>
        <v>1054</v>
      </c>
      <c r="Y1057" s="11">
        <f t="shared" si="114"/>
        <v>1054</v>
      </c>
      <c r="AC1057" t="s">
        <v>26</v>
      </c>
      <c r="AD1057" t="s">
        <v>6307</v>
      </c>
      <c r="AE1057" t="s">
        <v>6308</v>
      </c>
      <c r="AF1057" t="s">
        <v>29</v>
      </c>
      <c r="AG1057" t="s">
        <v>30</v>
      </c>
      <c r="AH1057" t="s">
        <v>31</v>
      </c>
      <c r="AK1057" t="s">
        <v>6307</v>
      </c>
      <c r="AL1057" t="s">
        <v>1967</v>
      </c>
      <c r="AM1057" t="s">
        <v>6192</v>
      </c>
      <c r="AN1057" s="8">
        <v>7.67175</v>
      </c>
      <c r="AO1057">
        <v>45.3852000911468</v>
      </c>
      <c r="AP1057">
        <v>2213</v>
      </c>
      <c r="AQ1057" s="9">
        <v>0.526879851402874</v>
      </c>
      <c r="AR1057" t="s">
        <v>1900</v>
      </c>
      <c r="AT1057" s="15" t="s">
        <v>290</v>
      </c>
      <c r="AW1057" s="11" t="str">
        <f t="shared" si="115"/>
        <v>EN_WOF_53_c01_VNM</v>
      </c>
      <c r="AX1057" s="11">
        <f t="shared" si="116"/>
        <v>2213</v>
      </c>
      <c r="AY1057" s="11">
        <f t="shared" si="117"/>
        <v>2213</v>
      </c>
      <c r="AZ1057" s="17">
        <v>3</v>
      </c>
      <c r="BA1057">
        <f t="shared" si="118"/>
        <v>22.13</v>
      </c>
    </row>
    <row r="1058" spans="2:53">
      <c r="B1058" t="s">
        <v>26</v>
      </c>
      <c r="C1058" t="s">
        <v>6309</v>
      </c>
      <c r="D1058" t="s">
        <v>6310</v>
      </c>
      <c r="E1058" t="s">
        <v>29</v>
      </c>
      <c r="F1058" t="s">
        <v>30</v>
      </c>
      <c r="G1058" t="s">
        <v>31</v>
      </c>
      <c r="J1058" t="s">
        <v>6309</v>
      </c>
      <c r="K1058" t="s">
        <v>1967</v>
      </c>
      <c r="L1058" t="s">
        <v>3918</v>
      </c>
      <c r="M1058" s="8">
        <v>11.06925</v>
      </c>
      <c r="N1058">
        <v>0</v>
      </c>
      <c r="O1058">
        <v>1054</v>
      </c>
      <c r="P1058" s="9">
        <v>0.26931472321973</v>
      </c>
      <c r="Q1058" t="s">
        <v>926</v>
      </c>
      <c r="T1058" s="15" t="s">
        <v>35</v>
      </c>
      <c r="W1058" s="16" t="str">
        <f t="shared" si="112"/>
        <v>EN_WON_27_c01_IND</v>
      </c>
      <c r="X1058" s="12">
        <f t="shared" si="113"/>
        <v>1054</v>
      </c>
      <c r="Y1058" s="11">
        <f t="shared" si="114"/>
        <v>1054</v>
      </c>
      <c r="AC1058" t="s">
        <v>26</v>
      </c>
      <c r="AD1058" t="s">
        <v>6311</v>
      </c>
      <c r="AE1058" t="s">
        <v>6312</v>
      </c>
      <c r="AF1058" t="s">
        <v>29</v>
      </c>
      <c r="AG1058" t="s">
        <v>30</v>
      </c>
      <c r="AH1058" t="s">
        <v>31</v>
      </c>
      <c r="AK1058" t="s">
        <v>6311</v>
      </c>
      <c r="AL1058" t="s">
        <v>1967</v>
      </c>
      <c r="AM1058" t="s">
        <v>6192</v>
      </c>
      <c r="AN1058" s="8">
        <v>6.44325</v>
      </c>
      <c r="AO1058">
        <v>45.3852000911468</v>
      </c>
      <c r="AP1058">
        <v>2213</v>
      </c>
      <c r="AQ1058" s="9">
        <v>0.548859620533116</v>
      </c>
      <c r="AR1058" t="s">
        <v>1900</v>
      </c>
      <c r="AT1058" s="15" t="s">
        <v>290</v>
      </c>
      <c r="AW1058" s="11" t="str">
        <f t="shared" si="115"/>
        <v>EN_WOF_55_c01_VNM</v>
      </c>
      <c r="AX1058" s="11">
        <f t="shared" si="116"/>
        <v>2213</v>
      </c>
      <c r="AY1058" s="11">
        <f t="shared" si="117"/>
        <v>2213</v>
      </c>
      <c r="AZ1058" s="17">
        <v>3</v>
      </c>
      <c r="BA1058">
        <f t="shared" si="118"/>
        <v>22.13</v>
      </c>
    </row>
    <row r="1059" spans="2:53">
      <c r="B1059" t="s">
        <v>26</v>
      </c>
      <c r="C1059" t="s">
        <v>6313</v>
      </c>
      <c r="D1059" t="s">
        <v>6314</v>
      </c>
      <c r="E1059" t="s">
        <v>29</v>
      </c>
      <c r="F1059" t="s">
        <v>30</v>
      </c>
      <c r="G1059" t="s">
        <v>31</v>
      </c>
      <c r="J1059" t="s">
        <v>6313</v>
      </c>
      <c r="K1059" t="s">
        <v>1967</v>
      </c>
      <c r="L1059" t="s">
        <v>3918</v>
      </c>
      <c r="M1059" s="8">
        <v>4.269</v>
      </c>
      <c r="N1059">
        <v>80.7856561622413</v>
      </c>
      <c r="O1059">
        <v>1054</v>
      </c>
      <c r="P1059" s="9">
        <v>0.266</v>
      </c>
      <c r="Q1059" t="s">
        <v>926</v>
      </c>
      <c r="T1059" s="15" t="s">
        <v>35</v>
      </c>
      <c r="W1059" s="16" t="str">
        <f t="shared" si="112"/>
        <v>EN_WON_27_c02_IND</v>
      </c>
      <c r="X1059" s="12">
        <f t="shared" si="113"/>
        <v>1054</v>
      </c>
      <c r="Y1059" s="11">
        <f t="shared" si="114"/>
        <v>1054</v>
      </c>
      <c r="AC1059" t="s">
        <v>26</v>
      </c>
      <c r="AD1059" t="s">
        <v>6315</v>
      </c>
      <c r="AE1059" t="s">
        <v>6316</v>
      </c>
      <c r="AF1059" t="s">
        <v>29</v>
      </c>
      <c r="AG1059" t="s">
        <v>30</v>
      </c>
      <c r="AH1059" t="s">
        <v>31</v>
      </c>
      <c r="AK1059" t="s">
        <v>6315</v>
      </c>
      <c r="AL1059" t="s">
        <v>1967</v>
      </c>
      <c r="AM1059" t="s">
        <v>6317</v>
      </c>
      <c r="AN1059" s="8">
        <v>4.266</v>
      </c>
      <c r="AO1059">
        <v>199.694880401046</v>
      </c>
      <c r="AP1059">
        <v>1554</v>
      </c>
      <c r="AQ1059" s="9">
        <v>0.302896624472574</v>
      </c>
      <c r="AR1059" t="s">
        <v>1924</v>
      </c>
      <c r="AT1059" s="15" t="s">
        <v>290</v>
      </c>
      <c r="AW1059" s="11" t="str">
        <f t="shared" si="115"/>
        <v>EN_WOF_30_c02_VUT</v>
      </c>
      <c r="AX1059" s="11">
        <f t="shared" si="116"/>
        <v>1554</v>
      </c>
      <c r="AY1059" s="11">
        <f t="shared" si="117"/>
        <v>1554</v>
      </c>
      <c r="AZ1059" s="17">
        <v>3</v>
      </c>
      <c r="BA1059">
        <f t="shared" si="118"/>
        <v>15.54</v>
      </c>
    </row>
    <row r="1060" spans="2:53">
      <c r="B1060" t="s">
        <v>26</v>
      </c>
      <c r="C1060" t="s">
        <v>6318</v>
      </c>
      <c r="D1060" t="s">
        <v>6319</v>
      </c>
      <c r="E1060" t="s">
        <v>29</v>
      </c>
      <c r="F1060" t="s">
        <v>30</v>
      </c>
      <c r="G1060" t="s">
        <v>31</v>
      </c>
      <c r="J1060" t="s">
        <v>6318</v>
      </c>
      <c r="K1060" t="s">
        <v>1967</v>
      </c>
      <c r="L1060" t="s">
        <v>3918</v>
      </c>
      <c r="M1060" s="8">
        <v>4.5225</v>
      </c>
      <c r="N1060">
        <v>105.747516212372</v>
      </c>
      <c r="O1060">
        <v>1054</v>
      </c>
      <c r="P1060" s="9">
        <v>0.268</v>
      </c>
      <c r="Q1060" t="s">
        <v>926</v>
      </c>
      <c r="T1060" s="15" t="s">
        <v>35</v>
      </c>
      <c r="W1060" s="16" t="str">
        <f t="shared" si="112"/>
        <v>EN_WON_27_c03_IND</v>
      </c>
      <c r="X1060" s="12">
        <f t="shared" si="113"/>
        <v>1054</v>
      </c>
      <c r="Y1060" s="11">
        <f t="shared" si="114"/>
        <v>1054</v>
      </c>
      <c r="AC1060" t="s">
        <v>26</v>
      </c>
      <c r="AD1060" t="s">
        <v>6320</v>
      </c>
      <c r="AE1060" t="s">
        <v>6321</v>
      </c>
      <c r="AF1060" t="s">
        <v>29</v>
      </c>
      <c r="AG1060" t="s">
        <v>30</v>
      </c>
      <c r="AH1060" t="s">
        <v>31</v>
      </c>
      <c r="AK1060" t="s">
        <v>6320</v>
      </c>
      <c r="AL1060" t="s">
        <v>1967</v>
      </c>
      <c r="AM1060" t="s">
        <v>6317</v>
      </c>
      <c r="AN1060" s="8">
        <v>9.702</v>
      </c>
      <c r="AO1060">
        <v>199.694880401046</v>
      </c>
      <c r="AP1060">
        <v>1554</v>
      </c>
      <c r="AQ1060" s="9">
        <v>0.308797696351268</v>
      </c>
      <c r="AR1060" t="s">
        <v>1924</v>
      </c>
      <c r="AT1060" s="15" t="s">
        <v>290</v>
      </c>
      <c r="AW1060" s="11" t="str">
        <f t="shared" si="115"/>
        <v>EN_WOF_31_c02_VUT</v>
      </c>
      <c r="AX1060" s="11">
        <f t="shared" si="116"/>
        <v>1554</v>
      </c>
      <c r="AY1060" s="11">
        <f t="shared" si="117"/>
        <v>1554</v>
      </c>
      <c r="AZ1060" s="17">
        <v>3</v>
      </c>
      <c r="BA1060">
        <f t="shared" si="118"/>
        <v>15.54</v>
      </c>
    </row>
    <row r="1061" spans="2:53">
      <c r="B1061" t="s">
        <v>26</v>
      </c>
      <c r="C1061" t="s">
        <v>6322</v>
      </c>
      <c r="D1061" t="s">
        <v>6323</v>
      </c>
      <c r="E1061" t="s">
        <v>29</v>
      </c>
      <c r="F1061" t="s">
        <v>30</v>
      </c>
      <c r="G1061" t="s">
        <v>31</v>
      </c>
      <c r="J1061" t="s">
        <v>6322</v>
      </c>
      <c r="K1061" t="s">
        <v>1967</v>
      </c>
      <c r="L1061" t="s">
        <v>3918</v>
      </c>
      <c r="M1061" s="8">
        <v>2.541</v>
      </c>
      <c r="N1061">
        <v>145.23264029167</v>
      </c>
      <c r="O1061">
        <v>1054</v>
      </c>
      <c r="P1061" s="9">
        <v>0.267</v>
      </c>
      <c r="Q1061" t="s">
        <v>926</v>
      </c>
      <c r="T1061" s="15" t="s">
        <v>35</v>
      </c>
      <c r="W1061" s="16" t="str">
        <f t="shared" si="112"/>
        <v>EN_WON_27_c04_IND</v>
      </c>
      <c r="X1061" s="12">
        <f t="shared" si="113"/>
        <v>1054</v>
      </c>
      <c r="Y1061" s="11">
        <f t="shared" si="114"/>
        <v>1054</v>
      </c>
      <c r="AC1061" t="s">
        <v>26</v>
      </c>
      <c r="AD1061" t="s">
        <v>6324</v>
      </c>
      <c r="AE1061" t="s">
        <v>6325</v>
      </c>
      <c r="AF1061" t="s">
        <v>29</v>
      </c>
      <c r="AG1061" t="s">
        <v>30</v>
      </c>
      <c r="AH1061" t="s">
        <v>31</v>
      </c>
      <c r="AK1061" t="s">
        <v>6324</v>
      </c>
      <c r="AL1061" t="s">
        <v>1967</v>
      </c>
      <c r="AM1061" t="s">
        <v>6317</v>
      </c>
      <c r="AN1061" s="8">
        <v>14.96925</v>
      </c>
      <c r="AO1061">
        <v>199.694880401046</v>
      </c>
      <c r="AP1061">
        <v>1554</v>
      </c>
      <c r="AQ1061" s="9">
        <v>0.319362443008167</v>
      </c>
      <c r="AR1061" t="s">
        <v>1924</v>
      </c>
      <c r="AT1061" s="15" t="s">
        <v>290</v>
      </c>
      <c r="AW1061" s="11" t="str">
        <f t="shared" si="115"/>
        <v>EN_WOF_32_c02_VUT</v>
      </c>
      <c r="AX1061" s="11">
        <f t="shared" si="116"/>
        <v>1554</v>
      </c>
      <c r="AY1061" s="11">
        <f t="shared" si="117"/>
        <v>1554</v>
      </c>
      <c r="AZ1061" s="17">
        <v>3</v>
      </c>
      <c r="BA1061">
        <f t="shared" si="118"/>
        <v>15.54</v>
      </c>
    </row>
    <row r="1062" spans="2:53">
      <c r="B1062" t="s">
        <v>26</v>
      </c>
      <c r="C1062" t="s">
        <v>6326</v>
      </c>
      <c r="D1062" t="s">
        <v>6327</v>
      </c>
      <c r="E1062" t="s">
        <v>29</v>
      </c>
      <c r="F1062" t="s">
        <v>30</v>
      </c>
      <c r="G1062" t="s">
        <v>31</v>
      </c>
      <c r="J1062" t="s">
        <v>6326</v>
      </c>
      <c r="K1062" t="s">
        <v>1967</v>
      </c>
      <c r="L1062" t="s">
        <v>3918</v>
      </c>
      <c r="M1062" s="8">
        <v>0.2085</v>
      </c>
      <c r="N1062">
        <v>0</v>
      </c>
      <c r="O1062">
        <v>1054</v>
      </c>
      <c r="P1062" s="9">
        <v>0.301107913669065</v>
      </c>
      <c r="Q1062" t="s">
        <v>926</v>
      </c>
      <c r="T1062" s="15" t="s">
        <v>35</v>
      </c>
      <c r="W1062" s="16" t="str">
        <f t="shared" si="112"/>
        <v>EN_WON_30_c01_IND</v>
      </c>
      <c r="X1062" s="12">
        <f t="shared" si="113"/>
        <v>1054</v>
      </c>
      <c r="Y1062" s="11">
        <f t="shared" si="114"/>
        <v>1054</v>
      </c>
      <c r="AC1062" t="s">
        <v>26</v>
      </c>
      <c r="AD1062" t="s">
        <v>6328</v>
      </c>
      <c r="AE1062" t="s">
        <v>6329</v>
      </c>
      <c r="AF1062" t="s">
        <v>29</v>
      </c>
      <c r="AG1062" t="s">
        <v>30</v>
      </c>
      <c r="AH1062" t="s">
        <v>31</v>
      </c>
      <c r="AK1062" t="s">
        <v>6328</v>
      </c>
      <c r="AL1062" t="s">
        <v>1967</v>
      </c>
      <c r="AM1062" t="s">
        <v>6317</v>
      </c>
      <c r="AN1062" s="8">
        <v>5.6625</v>
      </c>
      <c r="AO1062">
        <v>199.694880401046</v>
      </c>
      <c r="AP1062">
        <v>1554</v>
      </c>
      <c r="AQ1062" s="9">
        <v>0.328780529801324</v>
      </c>
      <c r="AR1062" t="s">
        <v>1924</v>
      </c>
      <c r="AT1062" s="15" t="s">
        <v>290</v>
      </c>
      <c r="AW1062" s="11" t="str">
        <f t="shared" si="115"/>
        <v>EN_WOF_33_c02_VUT</v>
      </c>
      <c r="AX1062" s="11">
        <f t="shared" si="116"/>
        <v>1554</v>
      </c>
      <c r="AY1062" s="11">
        <f t="shared" si="117"/>
        <v>1554</v>
      </c>
      <c r="AZ1062" s="17">
        <v>3</v>
      </c>
      <c r="BA1062">
        <f t="shared" si="118"/>
        <v>15.54</v>
      </c>
    </row>
    <row r="1063" spans="2:53">
      <c r="B1063" t="s">
        <v>26</v>
      </c>
      <c r="C1063" t="s">
        <v>6330</v>
      </c>
      <c r="D1063" t="s">
        <v>6331</v>
      </c>
      <c r="E1063" t="s">
        <v>29</v>
      </c>
      <c r="F1063" t="s">
        <v>30</v>
      </c>
      <c r="G1063" t="s">
        <v>31</v>
      </c>
      <c r="J1063" t="s">
        <v>6330</v>
      </c>
      <c r="K1063" t="s">
        <v>1967</v>
      </c>
      <c r="L1063" t="s">
        <v>3918</v>
      </c>
      <c r="M1063" s="8">
        <v>10.13175</v>
      </c>
      <c r="N1063">
        <v>105.747516212372</v>
      </c>
      <c r="O1063">
        <v>1054</v>
      </c>
      <c r="P1063" s="9">
        <v>0.307073210452291</v>
      </c>
      <c r="Q1063" t="s">
        <v>926</v>
      </c>
      <c r="T1063" s="15" t="s">
        <v>35</v>
      </c>
      <c r="W1063" s="16" t="str">
        <f t="shared" si="112"/>
        <v>EN_WON_31_c03_IND</v>
      </c>
      <c r="X1063" s="12">
        <f t="shared" si="113"/>
        <v>1054</v>
      </c>
      <c r="Y1063" s="11">
        <f t="shared" si="114"/>
        <v>1054</v>
      </c>
      <c r="AC1063" t="s">
        <v>26</v>
      </c>
      <c r="AD1063" t="s">
        <v>6332</v>
      </c>
      <c r="AE1063" t="s">
        <v>6333</v>
      </c>
      <c r="AF1063" t="s">
        <v>29</v>
      </c>
      <c r="AG1063" t="s">
        <v>30</v>
      </c>
      <c r="AH1063" t="s">
        <v>31</v>
      </c>
      <c r="AK1063" t="s">
        <v>6332</v>
      </c>
      <c r="AL1063" t="s">
        <v>1967</v>
      </c>
      <c r="AM1063" t="s">
        <v>6317</v>
      </c>
      <c r="AN1063" s="8">
        <v>18.375</v>
      </c>
      <c r="AO1063">
        <v>199.694880401046</v>
      </c>
      <c r="AP1063">
        <v>1554</v>
      </c>
      <c r="AQ1063" s="9">
        <v>0.339248163265306</v>
      </c>
      <c r="AR1063" t="s">
        <v>1924</v>
      </c>
      <c r="AT1063" s="15" t="s">
        <v>290</v>
      </c>
      <c r="AW1063" s="11" t="str">
        <f t="shared" si="115"/>
        <v>EN_WOF_34_c02_VUT</v>
      </c>
      <c r="AX1063" s="11">
        <f t="shared" si="116"/>
        <v>1554</v>
      </c>
      <c r="AY1063" s="11">
        <f t="shared" si="117"/>
        <v>1554</v>
      </c>
      <c r="AZ1063" s="17">
        <v>3</v>
      </c>
      <c r="BA1063">
        <f t="shared" si="118"/>
        <v>15.54</v>
      </c>
    </row>
    <row r="1064" spans="2:53">
      <c r="B1064" t="s">
        <v>26</v>
      </c>
      <c r="C1064" t="s">
        <v>6334</v>
      </c>
      <c r="D1064" t="s">
        <v>6335</v>
      </c>
      <c r="E1064" t="s">
        <v>29</v>
      </c>
      <c r="F1064" t="s">
        <v>30</v>
      </c>
      <c r="G1064" t="s">
        <v>31</v>
      </c>
      <c r="J1064" t="s">
        <v>6334</v>
      </c>
      <c r="K1064" t="s">
        <v>1967</v>
      </c>
      <c r="L1064" t="s">
        <v>3918</v>
      </c>
      <c r="M1064" s="8">
        <v>5.67675</v>
      </c>
      <c r="N1064">
        <v>0</v>
      </c>
      <c r="O1064">
        <v>1054</v>
      </c>
      <c r="P1064" s="9">
        <v>0.319</v>
      </c>
      <c r="Q1064" t="s">
        <v>926</v>
      </c>
      <c r="T1064" s="15" t="s">
        <v>35</v>
      </c>
      <c r="W1064" s="16" t="str">
        <f t="shared" si="112"/>
        <v>EN_WON_32_c01_IND</v>
      </c>
      <c r="X1064" s="12">
        <f t="shared" si="113"/>
        <v>1054</v>
      </c>
      <c r="Y1064" s="11">
        <f t="shared" si="114"/>
        <v>1054</v>
      </c>
      <c r="AC1064" t="s">
        <v>26</v>
      </c>
      <c r="AD1064" t="s">
        <v>6336</v>
      </c>
      <c r="AE1064" t="s">
        <v>6337</v>
      </c>
      <c r="AF1064" t="s">
        <v>29</v>
      </c>
      <c r="AG1064" t="s">
        <v>30</v>
      </c>
      <c r="AH1064" t="s">
        <v>31</v>
      </c>
      <c r="AK1064" t="s">
        <v>6336</v>
      </c>
      <c r="AL1064" t="s">
        <v>1967</v>
      </c>
      <c r="AM1064" t="s">
        <v>6317</v>
      </c>
      <c r="AN1064" s="8">
        <v>9.5805</v>
      </c>
      <c r="AO1064">
        <v>199.694880401046</v>
      </c>
      <c r="AP1064">
        <v>1554</v>
      </c>
      <c r="AQ1064" s="9">
        <v>0.351540629403476</v>
      </c>
      <c r="AR1064" t="s">
        <v>1924</v>
      </c>
      <c r="AT1064" s="15" t="s">
        <v>290</v>
      </c>
      <c r="AW1064" s="11" t="str">
        <f t="shared" si="115"/>
        <v>EN_WOF_35_c02_VUT</v>
      </c>
      <c r="AX1064" s="11">
        <f t="shared" si="116"/>
        <v>1554</v>
      </c>
      <c r="AY1064" s="11">
        <f t="shared" si="117"/>
        <v>1554</v>
      </c>
      <c r="AZ1064" s="17">
        <v>3</v>
      </c>
      <c r="BA1064">
        <f t="shared" si="118"/>
        <v>15.54</v>
      </c>
    </row>
    <row r="1065" spans="2:53">
      <c r="B1065" t="s">
        <v>26</v>
      </c>
      <c r="C1065" t="s">
        <v>6338</v>
      </c>
      <c r="D1065" t="s">
        <v>6339</v>
      </c>
      <c r="E1065" t="s">
        <v>29</v>
      </c>
      <c r="F1065" t="s">
        <v>30</v>
      </c>
      <c r="G1065" t="s">
        <v>31</v>
      </c>
      <c r="J1065" t="s">
        <v>6338</v>
      </c>
      <c r="K1065" t="s">
        <v>1967</v>
      </c>
      <c r="L1065" t="s">
        <v>3918</v>
      </c>
      <c r="M1065" s="8">
        <v>0.0135</v>
      </c>
      <c r="N1065">
        <v>0</v>
      </c>
      <c r="O1065">
        <v>1054</v>
      </c>
      <c r="P1065" s="9">
        <v>0.344</v>
      </c>
      <c r="Q1065" t="s">
        <v>926</v>
      </c>
      <c r="T1065" s="15" t="s">
        <v>35</v>
      </c>
      <c r="W1065" s="16" t="str">
        <f t="shared" si="112"/>
        <v>EN_WON_34_c01_IND</v>
      </c>
      <c r="X1065" s="12">
        <f t="shared" si="113"/>
        <v>1054</v>
      </c>
      <c r="Y1065" s="11">
        <f t="shared" si="114"/>
        <v>1054</v>
      </c>
      <c r="AC1065" t="s">
        <v>26</v>
      </c>
      <c r="AD1065" t="s">
        <v>6340</v>
      </c>
      <c r="AE1065" t="s">
        <v>6341</v>
      </c>
      <c r="AF1065" t="s">
        <v>29</v>
      </c>
      <c r="AG1065" t="s">
        <v>30</v>
      </c>
      <c r="AH1065" t="s">
        <v>31</v>
      </c>
      <c r="AK1065" t="s">
        <v>6340</v>
      </c>
      <c r="AL1065" t="s">
        <v>1967</v>
      </c>
      <c r="AM1065" t="s">
        <v>6317</v>
      </c>
      <c r="AN1065" s="8">
        <v>8.04975</v>
      </c>
      <c r="AO1065">
        <v>199.694880401046</v>
      </c>
      <c r="AP1065">
        <v>1554</v>
      </c>
      <c r="AQ1065" s="9">
        <v>0.359122426162303</v>
      </c>
      <c r="AR1065" t="s">
        <v>1924</v>
      </c>
      <c r="AT1065" s="15" t="s">
        <v>290</v>
      </c>
      <c r="AW1065" s="11" t="str">
        <f t="shared" si="115"/>
        <v>EN_WOF_36_c02_VUT</v>
      </c>
      <c r="AX1065" s="11">
        <f t="shared" si="116"/>
        <v>1554</v>
      </c>
      <c r="AY1065" s="11">
        <f t="shared" si="117"/>
        <v>1554</v>
      </c>
      <c r="AZ1065" s="17">
        <v>3</v>
      </c>
      <c r="BA1065">
        <f t="shared" si="118"/>
        <v>15.54</v>
      </c>
    </row>
    <row r="1066" spans="2:53">
      <c r="B1066" t="s">
        <v>26</v>
      </c>
      <c r="C1066" t="s">
        <v>6342</v>
      </c>
      <c r="D1066" t="s">
        <v>6343</v>
      </c>
      <c r="E1066" t="s">
        <v>29</v>
      </c>
      <c r="F1066" t="s">
        <v>30</v>
      </c>
      <c r="G1066" t="s">
        <v>31</v>
      </c>
      <c r="J1066" t="s">
        <v>6342</v>
      </c>
      <c r="K1066" t="s">
        <v>1967</v>
      </c>
      <c r="L1066" t="s">
        <v>3918</v>
      </c>
      <c r="M1066" s="8">
        <v>0.13275</v>
      </c>
      <c r="N1066">
        <v>0</v>
      </c>
      <c r="O1066">
        <v>1054</v>
      </c>
      <c r="P1066" s="9">
        <v>0.377</v>
      </c>
      <c r="Q1066" t="s">
        <v>926</v>
      </c>
      <c r="T1066" s="15" t="s">
        <v>35</v>
      </c>
      <c r="W1066" s="16" t="str">
        <f t="shared" si="112"/>
        <v>EN_WON_38_c01_IND</v>
      </c>
      <c r="X1066" s="12">
        <f t="shared" si="113"/>
        <v>1054</v>
      </c>
      <c r="Y1066" s="11">
        <f t="shared" si="114"/>
        <v>1054</v>
      </c>
      <c r="AC1066" t="s">
        <v>26</v>
      </c>
      <c r="AD1066" t="s">
        <v>6344</v>
      </c>
      <c r="AE1066" t="s">
        <v>6345</v>
      </c>
      <c r="AF1066" t="s">
        <v>29</v>
      </c>
      <c r="AG1066" t="s">
        <v>30</v>
      </c>
      <c r="AH1066" t="s">
        <v>31</v>
      </c>
      <c r="AK1066" t="s">
        <v>6344</v>
      </c>
      <c r="AL1066" t="s">
        <v>1967</v>
      </c>
      <c r="AM1066" t="s">
        <v>6317</v>
      </c>
      <c r="AN1066" s="8">
        <v>5.98275</v>
      </c>
      <c r="AO1066">
        <v>199.694880401046</v>
      </c>
      <c r="AP1066">
        <v>1554</v>
      </c>
      <c r="AQ1066" s="9">
        <v>0.376456061175881</v>
      </c>
      <c r="AR1066" t="s">
        <v>1924</v>
      </c>
      <c r="AT1066" s="15" t="s">
        <v>290</v>
      </c>
      <c r="AW1066" s="11" t="str">
        <f t="shared" si="115"/>
        <v>EN_WOF_38_c02_VUT</v>
      </c>
      <c r="AX1066" s="11">
        <f t="shared" si="116"/>
        <v>1554</v>
      </c>
      <c r="AY1066" s="11">
        <f t="shared" si="117"/>
        <v>1554</v>
      </c>
      <c r="AZ1066" s="17">
        <v>3</v>
      </c>
      <c r="BA1066">
        <f t="shared" si="118"/>
        <v>15.54</v>
      </c>
    </row>
    <row r="1067" spans="2:53">
      <c r="B1067" t="s">
        <v>26</v>
      </c>
      <c r="C1067" t="s">
        <v>6346</v>
      </c>
      <c r="D1067" t="s">
        <v>6347</v>
      </c>
      <c r="E1067" t="s">
        <v>29</v>
      </c>
      <c r="F1067" t="s">
        <v>30</v>
      </c>
      <c r="G1067" t="s">
        <v>31</v>
      </c>
      <c r="J1067" t="s">
        <v>6346</v>
      </c>
      <c r="K1067" t="s">
        <v>1967</v>
      </c>
      <c r="L1067" t="s">
        <v>3918</v>
      </c>
      <c r="M1067" s="8">
        <v>5.7</v>
      </c>
      <c r="N1067">
        <v>0</v>
      </c>
      <c r="O1067">
        <v>1054</v>
      </c>
      <c r="P1067" s="9">
        <v>0.402</v>
      </c>
      <c r="Q1067" t="s">
        <v>926</v>
      </c>
      <c r="T1067" s="15" t="s">
        <v>35</v>
      </c>
      <c r="W1067" s="16" t="str">
        <f t="shared" si="112"/>
        <v>EN_WON_40_c01_IND</v>
      </c>
      <c r="X1067" s="12">
        <f t="shared" si="113"/>
        <v>1054</v>
      </c>
      <c r="Y1067" s="11">
        <f t="shared" si="114"/>
        <v>1054</v>
      </c>
      <c r="AC1067" t="s">
        <v>26</v>
      </c>
      <c r="AD1067" t="s">
        <v>6348</v>
      </c>
      <c r="AE1067" t="s">
        <v>6349</v>
      </c>
      <c r="AF1067" t="s">
        <v>29</v>
      </c>
      <c r="AG1067" t="s">
        <v>30</v>
      </c>
      <c r="AH1067" t="s">
        <v>31</v>
      </c>
      <c r="AK1067" t="s">
        <v>6348</v>
      </c>
      <c r="AL1067" t="s">
        <v>1967</v>
      </c>
      <c r="AM1067" t="s">
        <v>6350</v>
      </c>
      <c r="AN1067" s="8">
        <v>3.04875</v>
      </c>
      <c r="AO1067">
        <v>199.694880401046</v>
      </c>
      <c r="AP1067">
        <v>1756</v>
      </c>
      <c r="AQ1067" s="9">
        <v>0.303982533825338</v>
      </c>
      <c r="AR1067" t="s">
        <v>1928</v>
      </c>
      <c r="AT1067" s="15" t="s">
        <v>80</v>
      </c>
      <c r="AW1067" s="11" t="str">
        <f t="shared" si="115"/>
        <v>EN_WOF_30_c02_YEM</v>
      </c>
      <c r="AX1067" s="11">
        <f t="shared" si="116"/>
        <v>1756</v>
      </c>
      <c r="AY1067" s="11">
        <f t="shared" si="117"/>
        <v>1756</v>
      </c>
      <c r="AZ1067" s="17">
        <v>3</v>
      </c>
      <c r="BA1067">
        <f t="shared" si="118"/>
        <v>17.56</v>
      </c>
    </row>
    <row r="1068" spans="2:53">
      <c r="B1068" t="s">
        <v>26</v>
      </c>
      <c r="C1068" t="s">
        <v>6351</v>
      </c>
      <c r="D1068" t="s">
        <v>6352</v>
      </c>
      <c r="E1068" t="s">
        <v>29</v>
      </c>
      <c r="F1068" t="s">
        <v>30</v>
      </c>
      <c r="G1068" t="s">
        <v>31</v>
      </c>
      <c r="J1068" t="s">
        <v>6351</v>
      </c>
      <c r="K1068" t="s">
        <v>1967</v>
      </c>
      <c r="L1068" t="s">
        <v>3918</v>
      </c>
      <c r="M1068" s="8">
        <v>2.043</v>
      </c>
      <c r="N1068">
        <v>0</v>
      </c>
      <c r="O1068">
        <v>1054</v>
      </c>
      <c r="P1068" s="9">
        <v>0.428</v>
      </c>
      <c r="Q1068" t="s">
        <v>926</v>
      </c>
      <c r="T1068" s="15" t="s">
        <v>35</v>
      </c>
      <c r="W1068" s="16" t="str">
        <f t="shared" si="112"/>
        <v>EN_WON_43_c01_IND</v>
      </c>
      <c r="X1068" s="12">
        <f t="shared" si="113"/>
        <v>1054</v>
      </c>
      <c r="Y1068" s="11">
        <f t="shared" si="114"/>
        <v>1054</v>
      </c>
      <c r="AC1068" t="s">
        <v>26</v>
      </c>
      <c r="AD1068" t="s">
        <v>6353</v>
      </c>
      <c r="AE1068" t="s">
        <v>6354</v>
      </c>
      <c r="AF1068" t="s">
        <v>29</v>
      </c>
      <c r="AG1068" t="s">
        <v>30</v>
      </c>
      <c r="AH1068" t="s">
        <v>31</v>
      </c>
      <c r="AK1068" t="s">
        <v>6353</v>
      </c>
      <c r="AL1068" t="s">
        <v>1967</v>
      </c>
      <c r="AM1068" t="s">
        <v>6350</v>
      </c>
      <c r="AN1068" s="8">
        <v>5.97825</v>
      </c>
      <c r="AO1068">
        <v>199.694880401046</v>
      </c>
      <c r="AP1068">
        <v>1756</v>
      </c>
      <c r="AQ1068" s="9">
        <v>0.310565675573956</v>
      </c>
      <c r="AR1068" t="s">
        <v>1928</v>
      </c>
      <c r="AT1068" s="15" t="s">
        <v>80</v>
      </c>
      <c r="AW1068" s="11" t="str">
        <f t="shared" si="115"/>
        <v>EN_WOF_31_c02_YEM</v>
      </c>
      <c r="AX1068" s="11">
        <f t="shared" si="116"/>
        <v>1756</v>
      </c>
      <c r="AY1068" s="11">
        <f t="shared" si="117"/>
        <v>1756</v>
      </c>
      <c r="AZ1068" s="17">
        <v>3</v>
      </c>
      <c r="BA1068">
        <f t="shared" si="118"/>
        <v>17.56</v>
      </c>
    </row>
    <row r="1069" spans="2:53">
      <c r="B1069" t="s">
        <v>26</v>
      </c>
      <c r="C1069" t="s">
        <v>6355</v>
      </c>
      <c r="D1069" t="s">
        <v>6356</v>
      </c>
      <c r="E1069" t="s">
        <v>29</v>
      </c>
      <c r="F1069" t="s">
        <v>30</v>
      </c>
      <c r="G1069" t="s">
        <v>31</v>
      </c>
      <c r="J1069" t="s">
        <v>6355</v>
      </c>
      <c r="K1069" t="s">
        <v>1967</v>
      </c>
      <c r="L1069" t="s">
        <v>3971</v>
      </c>
      <c r="M1069" s="8">
        <v>8.4525</v>
      </c>
      <c r="N1069">
        <v>0</v>
      </c>
      <c r="O1069">
        <v>2141</v>
      </c>
      <c r="P1069" s="9">
        <v>0.479641969831411</v>
      </c>
      <c r="Q1069" t="s">
        <v>966</v>
      </c>
      <c r="T1069" s="15" t="s">
        <v>69</v>
      </c>
      <c r="W1069" s="16" t="str">
        <f t="shared" si="112"/>
        <v>EN_WON_48_c01_IRL</v>
      </c>
      <c r="X1069" s="12">
        <f t="shared" si="113"/>
        <v>2141</v>
      </c>
      <c r="Y1069" s="11">
        <f t="shared" si="114"/>
        <v>2141</v>
      </c>
      <c r="AC1069" t="s">
        <v>26</v>
      </c>
      <c r="AD1069" t="s">
        <v>6357</v>
      </c>
      <c r="AE1069" t="s">
        <v>6358</v>
      </c>
      <c r="AF1069" t="s">
        <v>29</v>
      </c>
      <c r="AG1069" t="s">
        <v>30</v>
      </c>
      <c r="AH1069" t="s">
        <v>31</v>
      </c>
      <c r="AK1069" t="s">
        <v>6357</v>
      </c>
      <c r="AL1069" t="s">
        <v>1967</v>
      </c>
      <c r="AM1069" t="s">
        <v>6350</v>
      </c>
      <c r="AN1069" s="8">
        <v>4.10175</v>
      </c>
      <c r="AO1069">
        <v>199.694880401046</v>
      </c>
      <c r="AP1069">
        <v>1756</v>
      </c>
      <c r="AQ1069" s="9">
        <v>0.318205704882063</v>
      </c>
      <c r="AR1069" t="s">
        <v>1928</v>
      </c>
      <c r="AT1069" s="15" t="s">
        <v>80</v>
      </c>
      <c r="AW1069" s="11" t="str">
        <f t="shared" si="115"/>
        <v>EN_WOF_32_c02_YEM</v>
      </c>
      <c r="AX1069" s="11">
        <f t="shared" si="116"/>
        <v>1756</v>
      </c>
      <c r="AY1069" s="11">
        <f t="shared" si="117"/>
        <v>1756</v>
      </c>
      <c r="AZ1069" s="17">
        <v>3</v>
      </c>
      <c r="BA1069">
        <f t="shared" si="118"/>
        <v>17.56</v>
      </c>
    </row>
    <row r="1070" spans="2:53">
      <c r="B1070" t="s">
        <v>26</v>
      </c>
      <c r="C1070" t="s">
        <v>6359</v>
      </c>
      <c r="D1070" t="s">
        <v>6360</v>
      </c>
      <c r="E1070" t="s">
        <v>29</v>
      </c>
      <c r="F1070" t="s">
        <v>30</v>
      </c>
      <c r="G1070" t="s">
        <v>31</v>
      </c>
      <c r="J1070" t="s">
        <v>6359</v>
      </c>
      <c r="K1070" t="s">
        <v>1967</v>
      </c>
      <c r="L1070" t="s">
        <v>3971</v>
      </c>
      <c r="M1070" s="8">
        <v>0.0255</v>
      </c>
      <c r="N1070">
        <v>0</v>
      </c>
      <c r="O1070">
        <v>2141</v>
      </c>
      <c r="P1070" s="9">
        <v>0.486</v>
      </c>
      <c r="Q1070" t="s">
        <v>966</v>
      </c>
      <c r="T1070" s="15" t="s">
        <v>69</v>
      </c>
      <c r="W1070" s="16" t="str">
        <f t="shared" si="112"/>
        <v>EN_WON_49_c01_IRL</v>
      </c>
      <c r="X1070" s="12">
        <f t="shared" si="113"/>
        <v>2141</v>
      </c>
      <c r="Y1070" s="11">
        <f t="shared" si="114"/>
        <v>2141</v>
      </c>
      <c r="AC1070" t="s">
        <v>26</v>
      </c>
      <c r="AD1070" t="s">
        <v>6361</v>
      </c>
      <c r="AE1070" t="s">
        <v>6362</v>
      </c>
      <c r="AF1070" t="s">
        <v>29</v>
      </c>
      <c r="AG1070" t="s">
        <v>30</v>
      </c>
      <c r="AH1070" t="s">
        <v>31</v>
      </c>
      <c r="AK1070" t="s">
        <v>6361</v>
      </c>
      <c r="AL1070" t="s">
        <v>1967</v>
      </c>
      <c r="AM1070" t="s">
        <v>6350</v>
      </c>
      <c r="AN1070" s="8">
        <v>4.17375</v>
      </c>
      <c r="AO1070">
        <v>199.694880401046</v>
      </c>
      <c r="AP1070">
        <v>1756</v>
      </c>
      <c r="AQ1070" s="9">
        <v>0.331</v>
      </c>
      <c r="AR1070" t="s">
        <v>1928</v>
      </c>
      <c r="AT1070" s="15" t="s">
        <v>80</v>
      </c>
      <c r="AW1070" s="11" t="str">
        <f t="shared" si="115"/>
        <v>EN_WOF_33_c02_YEM</v>
      </c>
      <c r="AX1070" s="11">
        <f t="shared" si="116"/>
        <v>1756</v>
      </c>
      <c r="AY1070" s="11">
        <f t="shared" si="117"/>
        <v>1756</v>
      </c>
      <c r="AZ1070" s="17">
        <v>3</v>
      </c>
      <c r="BA1070">
        <f t="shared" si="118"/>
        <v>17.56</v>
      </c>
    </row>
    <row r="1071" spans="2:53">
      <c r="B1071" t="s">
        <v>26</v>
      </c>
      <c r="C1071" t="s">
        <v>6363</v>
      </c>
      <c r="D1071" t="s">
        <v>6364</v>
      </c>
      <c r="E1071" t="s">
        <v>29</v>
      </c>
      <c r="F1071" t="s">
        <v>30</v>
      </c>
      <c r="G1071" t="s">
        <v>31</v>
      </c>
      <c r="J1071" t="s">
        <v>6363</v>
      </c>
      <c r="K1071" t="s">
        <v>1967</v>
      </c>
      <c r="L1071" t="s">
        <v>3971</v>
      </c>
      <c r="M1071" s="8">
        <v>0.09</v>
      </c>
      <c r="N1071">
        <v>0</v>
      </c>
      <c r="O1071">
        <v>2141</v>
      </c>
      <c r="P1071" s="9">
        <v>0.502</v>
      </c>
      <c r="Q1071" t="s">
        <v>966</v>
      </c>
      <c r="T1071" s="15" t="s">
        <v>69</v>
      </c>
      <c r="W1071" s="16" t="str">
        <f t="shared" si="112"/>
        <v>EN_WON_50_c01_IRL</v>
      </c>
      <c r="X1071" s="12">
        <f t="shared" si="113"/>
        <v>2141</v>
      </c>
      <c r="Y1071" s="11">
        <f t="shared" si="114"/>
        <v>2141</v>
      </c>
      <c r="AC1071" t="s">
        <v>26</v>
      </c>
      <c r="AD1071" t="s">
        <v>6365</v>
      </c>
      <c r="AE1071" t="s">
        <v>6366</v>
      </c>
      <c r="AF1071" t="s">
        <v>29</v>
      </c>
      <c r="AG1071" t="s">
        <v>30</v>
      </c>
      <c r="AH1071" t="s">
        <v>31</v>
      </c>
      <c r="AK1071" t="s">
        <v>6365</v>
      </c>
      <c r="AL1071" t="s">
        <v>1967</v>
      </c>
      <c r="AM1071" t="s">
        <v>6350</v>
      </c>
      <c r="AN1071" s="8">
        <v>6.855</v>
      </c>
      <c r="AO1071">
        <v>199.694880401046</v>
      </c>
      <c r="AP1071">
        <v>1756</v>
      </c>
      <c r="AQ1071" s="9">
        <v>0.343125820568928</v>
      </c>
      <c r="AR1071" t="s">
        <v>1928</v>
      </c>
      <c r="AT1071" s="15" t="s">
        <v>80</v>
      </c>
      <c r="AW1071" s="11" t="str">
        <f t="shared" si="115"/>
        <v>EN_WOF_34_c02_YEM</v>
      </c>
      <c r="AX1071" s="11">
        <f t="shared" si="116"/>
        <v>1756</v>
      </c>
      <c r="AY1071" s="11">
        <f t="shared" si="117"/>
        <v>1756</v>
      </c>
      <c r="AZ1071" s="17">
        <v>3</v>
      </c>
      <c r="BA1071">
        <f t="shared" si="118"/>
        <v>17.56</v>
      </c>
    </row>
    <row r="1072" spans="2:53">
      <c r="B1072" t="s">
        <v>26</v>
      </c>
      <c r="C1072" t="s">
        <v>6367</v>
      </c>
      <c r="D1072" t="s">
        <v>6368</v>
      </c>
      <c r="E1072" t="s">
        <v>29</v>
      </c>
      <c r="F1072" t="s">
        <v>30</v>
      </c>
      <c r="G1072" t="s">
        <v>31</v>
      </c>
      <c r="J1072" t="s">
        <v>6367</v>
      </c>
      <c r="K1072" t="s">
        <v>1967</v>
      </c>
      <c r="L1072" t="s">
        <v>6369</v>
      </c>
      <c r="M1072" s="8">
        <v>6.1395</v>
      </c>
      <c r="N1072">
        <v>0</v>
      </c>
      <c r="O1072">
        <v>2081</v>
      </c>
      <c r="P1072" s="9">
        <v>0.283</v>
      </c>
      <c r="Q1072" t="s">
        <v>972</v>
      </c>
      <c r="T1072" s="15" t="s">
        <v>80</v>
      </c>
      <c r="W1072" s="16" t="str">
        <f t="shared" si="112"/>
        <v>EN_WON_28_c01_IRN</v>
      </c>
      <c r="X1072" s="12">
        <f t="shared" si="113"/>
        <v>2081</v>
      </c>
      <c r="Y1072" s="11">
        <f t="shared" si="114"/>
        <v>2081</v>
      </c>
      <c r="AC1072" t="s">
        <v>26</v>
      </c>
      <c r="AD1072" t="s">
        <v>6370</v>
      </c>
      <c r="AE1072" t="s">
        <v>6371</v>
      </c>
      <c r="AF1072" t="s">
        <v>29</v>
      </c>
      <c r="AG1072" t="s">
        <v>30</v>
      </c>
      <c r="AH1072" t="s">
        <v>31</v>
      </c>
      <c r="AK1072" t="s">
        <v>6370</v>
      </c>
      <c r="AL1072" t="s">
        <v>1967</v>
      </c>
      <c r="AM1072" t="s">
        <v>6350</v>
      </c>
      <c r="AN1072" s="8">
        <v>1.5555</v>
      </c>
      <c r="AO1072">
        <v>199.694880401046</v>
      </c>
      <c r="AP1072">
        <v>1756</v>
      </c>
      <c r="AQ1072" s="9">
        <v>0.345</v>
      </c>
      <c r="AR1072" t="s">
        <v>1928</v>
      </c>
      <c r="AT1072" s="15" t="s">
        <v>80</v>
      </c>
      <c r="AW1072" s="11" t="str">
        <f t="shared" si="115"/>
        <v>EN_WOF_35_c02_YEM</v>
      </c>
      <c r="AX1072" s="11">
        <f t="shared" si="116"/>
        <v>1756</v>
      </c>
      <c r="AY1072" s="11">
        <f t="shared" si="117"/>
        <v>1756</v>
      </c>
      <c r="AZ1072" s="17">
        <v>3</v>
      </c>
      <c r="BA1072">
        <f t="shared" si="118"/>
        <v>17.56</v>
      </c>
    </row>
    <row r="1073" spans="2:53">
      <c r="B1073" t="s">
        <v>26</v>
      </c>
      <c r="C1073" t="s">
        <v>6372</v>
      </c>
      <c r="D1073" t="s">
        <v>6373</v>
      </c>
      <c r="E1073" t="s">
        <v>29</v>
      </c>
      <c r="F1073" t="s">
        <v>30</v>
      </c>
      <c r="G1073" t="s">
        <v>31</v>
      </c>
      <c r="J1073" t="s">
        <v>6372</v>
      </c>
      <c r="K1073" t="s">
        <v>1967</v>
      </c>
      <c r="L1073" t="s">
        <v>6369</v>
      </c>
      <c r="M1073" s="8">
        <v>50.967</v>
      </c>
      <c r="N1073">
        <v>80.7856561622413</v>
      </c>
      <c r="O1073">
        <v>2081</v>
      </c>
      <c r="P1073" s="9">
        <v>0.28048850726941</v>
      </c>
      <c r="Q1073" t="s">
        <v>972</v>
      </c>
      <c r="T1073" s="15" t="s">
        <v>80</v>
      </c>
      <c r="W1073" s="16" t="str">
        <f t="shared" si="112"/>
        <v>EN_WON_28_c02_IRN</v>
      </c>
      <c r="X1073" s="12">
        <f t="shared" si="113"/>
        <v>2081</v>
      </c>
      <c r="Y1073" s="11">
        <f t="shared" si="114"/>
        <v>2081</v>
      </c>
      <c r="AC1073" t="s">
        <v>26</v>
      </c>
      <c r="AD1073" t="s">
        <v>6374</v>
      </c>
      <c r="AE1073" t="s">
        <v>6375</v>
      </c>
      <c r="AF1073" t="s">
        <v>29</v>
      </c>
      <c r="AG1073" t="s">
        <v>30</v>
      </c>
      <c r="AH1073" t="s">
        <v>31</v>
      </c>
      <c r="AK1073" t="s">
        <v>6374</v>
      </c>
      <c r="AL1073" t="s">
        <v>1967</v>
      </c>
      <c r="AM1073" t="s">
        <v>6350</v>
      </c>
      <c r="AN1073" s="8">
        <v>4.326</v>
      </c>
      <c r="AO1073">
        <v>199.694880401046</v>
      </c>
      <c r="AP1073">
        <v>1756</v>
      </c>
      <c r="AQ1073" s="9">
        <v>0.357990291262136</v>
      </c>
      <c r="AR1073" t="s">
        <v>1928</v>
      </c>
      <c r="AT1073" s="15" t="s">
        <v>80</v>
      </c>
      <c r="AW1073" s="11" t="str">
        <f t="shared" si="115"/>
        <v>EN_WOF_36_c02_YEM</v>
      </c>
      <c r="AX1073" s="11">
        <f t="shared" si="116"/>
        <v>1756</v>
      </c>
      <c r="AY1073" s="11">
        <f t="shared" si="117"/>
        <v>1756</v>
      </c>
      <c r="AZ1073" s="17">
        <v>3</v>
      </c>
      <c r="BA1073">
        <f t="shared" si="118"/>
        <v>17.56</v>
      </c>
    </row>
    <row r="1074" spans="2:53">
      <c r="B1074" t="s">
        <v>26</v>
      </c>
      <c r="C1074" t="s">
        <v>6376</v>
      </c>
      <c r="D1074" t="s">
        <v>6377</v>
      </c>
      <c r="E1074" t="s">
        <v>29</v>
      </c>
      <c r="F1074" t="s">
        <v>30</v>
      </c>
      <c r="G1074" t="s">
        <v>31</v>
      </c>
      <c r="J1074" t="s">
        <v>6376</v>
      </c>
      <c r="K1074" t="s">
        <v>1967</v>
      </c>
      <c r="L1074" t="s">
        <v>6369</v>
      </c>
      <c r="M1074" s="8">
        <v>30.8895</v>
      </c>
      <c r="N1074">
        <v>105.747516212372</v>
      </c>
      <c r="O1074">
        <v>2081</v>
      </c>
      <c r="P1074" s="9">
        <v>0.279754916719274</v>
      </c>
      <c r="Q1074" t="s">
        <v>972</v>
      </c>
      <c r="T1074" s="15" t="s">
        <v>80</v>
      </c>
      <c r="W1074" s="16" t="str">
        <f t="shared" si="112"/>
        <v>EN_WON_28_c03_IRN</v>
      </c>
      <c r="X1074" s="12">
        <f t="shared" si="113"/>
        <v>2081</v>
      </c>
      <c r="Y1074" s="11">
        <f t="shared" si="114"/>
        <v>2081</v>
      </c>
      <c r="AC1074" t="s">
        <v>26</v>
      </c>
      <c r="AD1074" t="s">
        <v>6378</v>
      </c>
      <c r="AE1074" t="s">
        <v>6379</v>
      </c>
      <c r="AF1074" t="s">
        <v>29</v>
      </c>
      <c r="AG1074" t="s">
        <v>30</v>
      </c>
      <c r="AH1074" t="s">
        <v>31</v>
      </c>
      <c r="AK1074" t="s">
        <v>6378</v>
      </c>
      <c r="AL1074" t="s">
        <v>1967</v>
      </c>
      <c r="AM1074" t="s">
        <v>6350</v>
      </c>
      <c r="AN1074" s="8">
        <v>0.88275</v>
      </c>
      <c r="AO1074">
        <v>199.694880401046</v>
      </c>
      <c r="AP1074">
        <v>1756</v>
      </c>
      <c r="AQ1074" s="9">
        <v>0.37</v>
      </c>
      <c r="AR1074" t="s">
        <v>1928</v>
      </c>
      <c r="AT1074" s="15" t="s">
        <v>80</v>
      </c>
      <c r="AW1074" s="11" t="str">
        <f t="shared" si="115"/>
        <v>EN_WOF_37_c02_YEM</v>
      </c>
      <c r="AX1074" s="11">
        <f t="shared" si="116"/>
        <v>1756</v>
      </c>
      <c r="AY1074" s="11">
        <f t="shared" si="117"/>
        <v>1756</v>
      </c>
      <c r="AZ1074" s="17">
        <v>3</v>
      </c>
      <c r="BA1074">
        <f t="shared" si="118"/>
        <v>17.56</v>
      </c>
    </row>
    <row r="1075" spans="2:53">
      <c r="B1075" t="s">
        <v>26</v>
      </c>
      <c r="C1075" t="s">
        <v>6380</v>
      </c>
      <c r="D1075" t="s">
        <v>6381</v>
      </c>
      <c r="E1075" t="s">
        <v>29</v>
      </c>
      <c r="F1075" t="s">
        <v>30</v>
      </c>
      <c r="G1075" t="s">
        <v>31</v>
      </c>
      <c r="J1075" t="s">
        <v>6380</v>
      </c>
      <c r="K1075" t="s">
        <v>1967</v>
      </c>
      <c r="L1075" t="s">
        <v>6369</v>
      </c>
      <c r="M1075" s="8">
        <v>15.3525</v>
      </c>
      <c r="N1075">
        <v>0</v>
      </c>
      <c r="O1075">
        <v>2081</v>
      </c>
      <c r="P1075" s="9">
        <v>0.291905813385442</v>
      </c>
      <c r="Q1075" t="s">
        <v>972</v>
      </c>
      <c r="T1075" s="15" t="s">
        <v>80</v>
      </c>
      <c r="W1075" s="16" t="str">
        <f t="shared" si="112"/>
        <v>EN_WON_29_c01_IRN</v>
      </c>
      <c r="X1075" s="12">
        <f t="shared" si="113"/>
        <v>2081</v>
      </c>
      <c r="Y1075" s="11">
        <f t="shared" si="114"/>
        <v>2081</v>
      </c>
      <c r="AC1075" t="s">
        <v>26</v>
      </c>
      <c r="AD1075" t="s">
        <v>6382</v>
      </c>
      <c r="AE1075" t="s">
        <v>6383</v>
      </c>
      <c r="AF1075" t="s">
        <v>29</v>
      </c>
      <c r="AG1075" t="s">
        <v>30</v>
      </c>
      <c r="AH1075" t="s">
        <v>31</v>
      </c>
      <c r="AK1075" t="s">
        <v>6382</v>
      </c>
      <c r="AL1075" t="s">
        <v>1967</v>
      </c>
      <c r="AM1075" t="s">
        <v>6350</v>
      </c>
      <c r="AN1075" s="8">
        <v>0.5055</v>
      </c>
      <c r="AO1075">
        <v>199.694880401046</v>
      </c>
      <c r="AP1075">
        <v>1756</v>
      </c>
      <c r="AQ1075" s="9">
        <v>0.381</v>
      </c>
      <c r="AR1075" t="s">
        <v>1928</v>
      </c>
      <c r="AT1075" s="15" t="s">
        <v>80</v>
      </c>
      <c r="AW1075" s="11" t="str">
        <f t="shared" si="115"/>
        <v>EN_WOF_38_c02_YEM</v>
      </c>
      <c r="AX1075" s="11">
        <f t="shared" si="116"/>
        <v>1756</v>
      </c>
      <c r="AY1075" s="11">
        <f t="shared" si="117"/>
        <v>1756</v>
      </c>
      <c r="AZ1075" s="17">
        <v>3</v>
      </c>
      <c r="BA1075">
        <f t="shared" si="118"/>
        <v>17.56</v>
      </c>
    </row>
    <row r="1076" spans="2:53">
      <c r="B1076" t="s">
        <v>26</v>
      </c>
      <c r="C1076" t="s">
        <v>6384</v>
      </c>
      <c r="D1076" t="s">
        <v>6385</v>
      </c>
      <c r="E1076" t="s">
        <v>29</v>
      </c>
      <c r="F1076" t="s">
        <v>30</v>
      </c>
      <c r="G1076" t="s">
        <v>31</v>
      </c>
      <c r="J1076" t="s">
        <v>6384</v>
      </c>
      <c r="K1076" t="s">
        <v>1967</v>
      </c>
      <c r="L1076" t="s">
        <v>6369</v>
      </c>
      <c r="M1076" s="8">
        <v>51.30225</v>
      </c>
      <c r="N1076">
        <v>80.7856561622413</v>
      </c>
      <c r="O1076">
        <v>2081</v>
      </c>
      <c r="P1076" s="9">
        <v>0.289761253161411</v>
      </c>
      <c r="Q1076" t="s">
        <v>972</v>
      </c>
      <c r="T1076" s="15" t="s">
        <v>80</v>
      </c>
      <c r="W1076" s="16" t="str">
        <f t="shared" si="112"/>
        <v>EN_WON_29_c02_IRN</v>
      </c>
      <c r="X1076" s="12">
        <f t="shared" si="113"/>
        <v>2081</v>
      </c>
      <c r="Y1076" s="11">
        <f t="shared" si="114"/>
        <v>2081</v>
      </c>
      <c r="AC1076" t="s">
        <v>26</v>
      </c>
      <c r="AD1076" t="s">
        <v>6386</v>
      </c>
      <c r="AE1076" t="s">
        <v>6387</v>
      </c>
      <c r="AF1076" t="s">
        <v>29</v>
      </c>
      <c r="AG1076" t="s">
        <v>30</v>
      </c>
      <c r="AH1076" t="s">
        <v>31</v>
      </c>
      <c r="AK1076" t="s">
        <v>6386</v>
      </c>
      <c r="AL1076" t="s">
        <v>1967</v>
      </c>
      <c r="AM1076" t="s">
        <v>6350</v>
      </c>
      <c r="AN1076" s="8">
        <v>15.906</v>
      </c>
      <c r="AO1076">
        <v>199.694880401046</v>
      </c>
      <c r="AP1076">
        <v>1756</v>
      </c>
      <c r="AQ1076" s="9">
        <v>0.388795690305545</v>
      </c>
      <c r="AR1076" t="s">
        <v>1928</v>
      </c>
      <c r="AT1076" s="15" t="s">
        <v>80</v>
      </c>
      <c r="AW1076" s="11" t="str">
        <f t="shared" si="115"/>
        <v>EN_WOF_39_c02_YEM</v>
      </c>
      <c r="AX1076" s="11">
        <f t="shared" si="116"/>
        <v>1756</v>
      </c>
      <c r="AY1076" s="11">
        <f t="shared" si="117"/>
        <v>1756</v>
      </c>
      <c r="AZ1076" s="17">
        <v>3</v>
      </c>
      <c r="BA1076">
        <f t="shared" si="118"/>
        <v>17.56</v>
      </c>
    </row>
    <row r="1077" spans="2:53">
      <c r="B1077" t="s">
        <v>26</v>
      </c>
      <c r="C1077" t="s">
        <v>6388</v>
      </c>
      <c r="D1077" t="s">
        <v>6389</v>
      </c>
      <c r="E1077" t="s">
        <v>29</v>
      </c>
      <c r="F1077" t="s">
        <v>30</v>
      </c>
      <c r="G1077" t="s">
        <v>31</v>
      </c>
      <c r="J1077" t="s">
        <v>6388</v>
      </c>
      <c r="K1077" t="s">
        <v>1967</v>
      </c>
      <c r="L1077" t="s">
        <v>6369</v>
      </c>
      <c r="M1077" s="8">
        <v>44.65275</v>
      </c>
      <c r="N1077">
        <v>105.747516212372</v>
      </c>
      <c r="O1077">
        <v>2081</v>
      </c>
      <c r="P1077" s="9">
        <v>0.289700807900969</v>
      </c>
      <c r="Q1077" t="s">
        <v>972</v>
      </c>
      <c r="T1077" s="15" t="s">
        <v>80</v>
      </c>
      <c r="W1077" s="16" t="str">
        <f t="shared" si="112"/>
        <v>EN_WON_29_c03_IRN</v>
      </c>
      <c r="X1077" s="12">
        <f t="shared" si="113"/>
        <v>2081</v>
      </c>
      <c r="Y1077" s="11">
        <f t="shared" si="114"/>
        <v>2081</v>
      </c>
      <c r="AC1077" t="s">
        <v>26</v>
      </c>
      <c r="AD1077" t="s">
        <v>6390</v>
      </c>
      <c r="AE1077" t="s">
        <v>6391</v>
      </c>
      <c r="AF1077" t="s">
        <v>29</v>
      </c>
      <c r="AG1077" t="s">
        <v>30</v>
      </c>
      <c r="AH1077" t="s">
        <v>31</v>
      </c>
      <c r="AK1077" t="s">
        <v>6390</v>
      </c>
      <c r="AL1077" t="s">
        <v>1967</v>
      </c>
      <c r="AM1077" t="s">
        <v>6350</v>
      </c>
      <c r="AN1077" s="8">
        <v>7.29</v>
      </c>
      <c r="AO1077">
        <v>199.694880401046</v>
      </c>
      <c r="AP1077">
        <v>1756</v>
      </c>
      <c r="AQ1077" s="9">
        <v>0.401373765432099</v>
      </c>
      <c r="AR1077" t="s">
        <v>1928</v>
      </c>
      <c r="AT1077" s="15" t="s">
        <v>80</v>
      </c>
      <c r="AW1077" s="11" t="str">
        <f t="shared" si="115"/>
        <v>EN_WOF_40_c02_YEM</v>
      </c>
      <c r="AX1077" s="11">
        <f t="shared" si="116"/>
        <v>1756</v>
      </c>
      <c r="AY1077" s="11">
        <f t="shared" si="117"/>
        <v>1756</v>
      </c>
      <c r="AZ1077" s="17">
        <v>3</v>
      </c>
      <c r="BA1077">
        <f t="shared" si="118"/>
        <v>17.56</v>
      </c>
    </row>
    <row r="1078" spans="2:53">
      <c r="B1078" t="s">
        <v>26</v>
      </c>
      <c r="C1078" t="s">
        <v>6392</v>
      </c>
      <c r="D1078" t="s">
        <v>6393</v>
      </c>
      <c r="E1078" t="s">
        <v>29</v>
      </c>
      <c r="F1078" t="s">
        <v>30</v>
      </c>
      <c r="G1078" t="s">
        <v>31</v>
      </c>
      <c r="J1078" t="s">
        <v>6392</v>
      </c>
      <c r="K1078" t="s">
        <v>1967</v>
      </c>
      <c r="L1078" t="s">
        <v>6369</v>
      </c>
      <c r="M1078" s="8">
        <v>7.0245</v>
      </c>
      <c r="N1078">
        <v>0</v>
      </c>
      <c r="O1078">
        <v>2081</v>
      </c>
      <c r="P1078" s="9">
        <v>0.298239696775571</v>
      </c>
      <c r="Q1078" t="s">
        <v>972</v>
      </c>
      <c r="T1078" s="15" t="s">
        <v>80</v>
      </c>
      <c r="W1078" s="16" t="str">
        <f t="shared" si="112"/>
        <v>EN_WON_30_c01_IRN</v>
      </c>
      <c r="X1078" s="12">
        <f t="shared" si="113"/>
        <v>2081</v>
      </c>
      <c r="Y1078" s="11">
        <f t="shared" si="114"/>
        <v>2081</v>
      </c>
      <c r="AC1078" t="s">
        <v>26</v>
      </c>
      <c r="AD1078" t="s">
        <v>6394</v>
      </c>
      <c r="AE1078" t="s">
        <v>6395</v>
      </c>
      <c r="AF1078" t="s">
        <v>29</v>
      </c>
      <c r="AG1078" t="s">
        <v>30</v>
      </c>
      <c r="AH1078" t="s">
        <v>31</v>
      </c>
      <c r="AK1078" t="s">
        <v>6394</v>
      </c>
      <c r="AL1078" t="s">
        <v>1967</v>
      </c>
      <c r="AM1078" t="s">
        <v>6350</v>
      </c>
      <c r="AN1078" s="8">
        <v>15.4935</v>
      </c>
      <c r="AO1078">
        <v>199.694880401046</v>
      </c>
      <c r="AP1078">
        <v>1756</v>
      </c>
      <c r="AQ1078" s="9">
        <v>0.409617097492497</v>
      </c>
      <c r="AR1078" t="s">
        <v>1928</v>
      </c>
      <c r="AT1078" s="15" t="s">
        <v>80</v>
      </c>
      <c r="AW1078" s="11" t="str">
        <f t="shared" si="115"/>
        <v>EN_WOF_41_c02_YEM</v>
      </c>
      <c r="AX1078" s="11">
        <f t="shared" si="116"/>
        <v>1756</v>
      </c>
      <c r="AY1078" s="11">
        <f t="shared" si="117"/>
        <v>1756</v>
      </c>
      <c r="AZ1078" s="17">
        <v>3</v>
      </c>
      <c r="BA1078">
        <f t="shared" si="118"/>
        <v>17.56</v>
      </c>
    </row>
    <row r="1079" spans="2:53">
      <c r="B1079" t="s">
        <v>26</v>
      </c>
      <c r="C1079" t="s">
        <v>6396</v>
      </c>
      <c r="D1079" t="s">
        <v>6397</v>
      </c>
      <c r="E1079" t="s">
        <v>29</v>
      </c>
      <c r="F1079" t="s">
        <v>30</v>
      </c>
      <c r="G1079" t="s">
        <v>31</v>
      </c>
      <c r="J1079" t="s">
        <v>6396</v>
      </c>
      <c r="K1079" t="s">
        <v>1967</v>
      </c>
      <c r="L1079" t="s">
        <v>6369</v>
      </c>
      <c r="M1079" s="8">
        <v>17.48025</v>
      </c>
      <c r="N1079">
        <v>80.7856561622413</v>
      </c>
      <c r="O1079">
        <v>2081</v>
      </c>
      <c r="P1079" s="9">
        <v>0.300275496631913</v>
      </c>
      <c r="Q1079" t="s">
        <v>972</v>
      </c>
      <c r="T1079" s="15" t="s">
        <v>80</v>
      </c>
      <c r="W1079" s="16" t="str">
        <f t="shared" si="112"/>
        <v>EN_WON_30_c02_IRN</v>
      </c>
      <c r="X1079" s="12">
        <f t="shared" si="113"/>
        <v>2081</v>
      </c>
      <c r="Y1079" s="11">
        <f t="shared" si="114"/>
        <v>2081</v>
      </c>
      <c r="AC1079" t="s">
        <v>26</v>
      </c>
      <c r="AD1079" t="s">
        <v>6398</v>
      </c>
      <c r="AE1079" t="s">
        <v>6399</v>
      </c>
      <c r="AF1079" t="s">
        <v>29</v>
      </c>
      <c r="AG1079" t="s">
        <v>30</v>
      </c>
      <c r="AH1079" t="s">
        <v>31</v>
      </c>
      <c r="AK1079" t="s">
        <v>6398</v>
      </c>
      <c r="AL1079" t="s">
        <v>1967</v>
      </c>
      <c r="AM1079" t="s">
        <v>6350</v>
      </c>
      <c r="AN1079" s="8">
        <v>15.29925</v>
      </c>
      <c r="AO1079">
        <v>199.694880401046</v>
      </c>
      <c r="AP1079">
        <v>1756</v>
      </c>
      <c r="AQ1079" s="9">
        <v>0.418301387322908</v>
      </c>
      <c r="AR1079" t="s">
        <v>1928</v>
      </c>
      <c r="AT1079" s="15" t="s">
        <v>80</v>
      </c>
      <c r="AW1079" s="11" t="str">
        <f t="shared" si="115"/>
        <v>EN_WOF_42_c02_YEM</v>
      </c>
      <c r="AX1079" s="11">
        <f t="shared" si="116"/>
        <v>1756</v>
      </c>
      <c r="AY1079" s="11">
        <f t="shared" si="117"/>
        <v>1756</v>
      </c>
      <c r="AZ1079" s="17">
        <v>3</v>
      </c>
      <c r="BA1079">
        <f t="shared" si="118"/>
        <v>17.56</v>
      </c>
    </row>
    <row r="1080" spans="2:53">
      <c r="B1080" t="s">
        <v>26</v>
      </c>
      <c r="C1080" t="s">
        <v>6400</v>
      </c>
      <c r="D1080" t="s">
        <v>6401</v>
      </c>
      <c r="E1080" t="s">
        <v>29</v>
      </c>
      <c r="F1080" t="s">
        <v>30</v>
      </c>
      <c r="G1080" t="s">
        <v>31</v>
      </c>
      <c r="J1080" t="s">
        <v>6400</v>
      </c>
      <c r="K1080" t="s">
        <v>1967</v>
      </c>
      <c r="L1080" t="s">
        <v>6369</v>
      </c>
      <c r="M1080" s="8">
        <v>10.8975</v>
      </c>
      <c r="N1080">
        <v>105.747516212372</v>
      </c>
      <c r="O1080">
        <v>2081</v>
      </c>
      <c r="P1080" s="9">
        <v>0.300054783207158</v>
      </c>
      <c r="Q1080" t="s">
        <v>972</v>
      </c>
      <c r="T1080" s="15" t="s">
        <v>80</v>
      </c>
      <c r="W1080" s="16" t="str">
        <f t="shared" si="112"/>
        <v>EN_WON_30_c03_IRN</v>
      </c>
      <c r="X1080" s="12">
        <f t="shared" si="113"/>
        <v>2081</v>
      </c>
      <c r="Y1080" s="11">
        <f t="shared" si="114"/>
        <v>2081</v>
      </c>
      <c r="AC1080" t="s">
        <v>26</v>
      </c>
      <c r="AD1080" t="s">
        <v>6402</v>
      </c>
      <c r="AE1080" t="s">
        <v>6403</v>
      </c>
      <c r="AF1080" t="s">
        <v>29</v>
      </c>
      <c r="AG1080" t="s">
        <v>30</v>
      </c>
      <c r="AH1080" t="s">
        <v>31</v>
      </c>
      <c r="AK1080" t="s">
        <v>6402</v>
      </c>
      <c r="AL1080" t="s">
        <v>1967</v>
      </c>
      <c r="AM1080" t="s">
        <v>6350</v>
      </c>
      <c r="AN1080" s="8">
        <v>2.1585</v>
      </c>
      <c r="AO1080">
        <v>199.694880401046</v>
      </c>
      <c r="AP1080">
        <v>1756</v>
      </c>
      <c r="AQ1080" s="9">
        <v>0.431963863794302</v>
      </c>
      <c r="AR1080" t="s">
        <v>1928</v>
      </c>
      <c r="AT1080" s="15" t="s">
        <v>80</v>
      </c>
      <c r="AW1080" s="11" t="str">
        <f t="shared" si="115"/>
        <v>EN_WOF_43_c02_YEM</v>
      </c>
      <c r="AX1080" s="11">
        <f t="shared" si="116"/>
        <v>1756</v>
      </c>
      <c r="AY1080" s="11">
        <f t="shared" si="117"/>
        <v>1756</v>
      </c>
      <c r="AZ1080" s="17">
        <v>3</v>
      </c>
      <c r="BA1080">
        <f t="shared" si="118"/>
        <v>17.56</v>
      </c>
    </row>
    <row r="1081" spans="2:53">
      <c r="B1081" t="s">
        <v>26</v>
      </c>
      <c r="C1081" t="s">
        <v>6404</v>
      </c>
      <c r="D1081" t="s">
        <v>6405</v>
      </c>
      <c r="E1081" t="s">
        <v>29</v>
      </c>
      <c r="F1081" t="s">
        <v>30</v>
      </c>
      <c r="G1081" t="s">
        <v>31</v>
      </c>
      <c r="J1081" t="s">
        <v>6404</v>
      </c>
      <c r="K1081" t="s">
        <v>1967</v>
      </c>
      <c r="L1081" t="s">
        <v>6369</v>
      </c>
      <c r="M1081" s="8">
        <v>5.62425</v>
      </c>
      <c r="N1081">
        <v>145.23264029167</v>
      </c>
      <c r="O1081">
        <v>2081</v>
      </c>
      <c r="P1081" s="9">
        <v>0.3</v>
      </c>
      <c r="Q1081" t="s">
        <v>972</v>
      </c>
      <c r="T1081" s="15" t="s">
        <v>80</v>
      </c>
      <c r="W1081" s="16" t="str">
        <f t="shared" si="112"/>
        <v>EN_WON_30_c04_IRN</v>
      </c>
      <c r="X1081" s="12">
        <f t="shared" si="113"/>
        <v>2081</v>
      </c>
      <c r="Y1081" s="11">
        <f t="shared" si="114"/>
        <v>2081</v>
      </c>
      <c r="AC1081" t="s">
        <v>26</v>
      </c>
      <c r="AD1081" t="s">
        <v>6406</v>
      </c>
      <c r="AE1081" t="s">
        <v>6407</v>
      </c>
      <c r="AF1081" t="s">
        <v>29</v>
      </c>
      <c r="AG1081" t="s">
        <v>30</v>
      </c>
      <c r="AH1081" t="s">
        <v>31</v>
      </c>
      <c r="AK1081" t="s">
        <v>6406</v>
      </c>
      <c r="AL1081" t="s">
        <v>1967</v>
      </c>
      <c r="AM1081" t="s">
        <v>6350</v>
      </c>
      <c r="AN1081" s="8">
        <v>4.52025</v>
      </c>
      <c r="AO1081">
        <v>199.694880401046</v>
      </c>
      <c r="AP1081">
        <v>1756</v>
      </c>
      <c r="AQ1081" s="9">
        <v>0.456029865604778</v>
      </c>
      <c r="AR1081" t="s">
        <v>1928</v>
      </c>
      <c r="AT1081" s="15" t="s">
        <v>80</v>
      </c>
      <c r="AW1081" s="11" t="str">
        <f t="shared" si="115"/>
        <v>EN_WOF_46_c02_YEM</v>
      </c>
      <c r="AX1081" s="11">
        <f t="shared" si="116"/>
        <v>1756</v>
      </c>
      <c r="AY1081" s="11">
        <f t="shared" si="117"/>
        <v>1756</v>
      </c>
      <c r="AZ1081" s="17">
        <v>3</v>
      </c>
      <c r="BA1081">
        <f t="shared" si="118"/>
        <v>17.56</v>
      </c>
    </row>
    <row r="1082" spans="2:53">
      <c r="B1082" t="s">
        <v>26</v>
      </c>
      <c r="C1082" t="s">
        <v>6408</v>
      </c>
      <c r="D1082" t="s">
        <v>6409</v>
      </c>
      <c r="E1082" t="s">
        <v>29</v>
      </c>
      <c r="F1082" t="s">
        <v>30</v>
      </c>
      <c r="G1082" t="s">
        <v>31</v>
      </c>
      <c r="J1082" t="s">
        <v>6408</v>
      </c>
      <c r="K1082" t="s">
        <v>1967</v>
      </c>
      <c r="L1082" t="s">
        <v>6369</v>
      </c>
      <c r="M1082" s="8">
        <v>5.46825</v>
      </c>
      <c r="N1082">
        <v>0</v>
      </c>
      <c r="O1082">
        <v>2081</v>
      </c>
      <c r="P1082" s="9">
        <v>0.31</v>
      </c>
      <c r="Q1082" t="s">
        <v>972</v>
      </c>
      <c r="T1082" s="15" t="s">
        <v>80</v>
      </c>
      <c r="W1082" s="16" t="str">
        <f t="shared" si="112"/>
        <v>EN_WON_31_c01_IRN</v>
      </c>
      <c r="X1082" s="12">
        <f t="shared" si="113"/>
        <v>2081</v>
      </c>
      <c r="Y1082" s="11">
        <f t="shared" si="114"/>
        <v>2081</v>
      </c>
      <c r="AC1082" t="s">
        <v>26</v>
      </c>
      <c r="AD1082" t="s">
        <v>6410</v>
      </c>
      <c r="AE1082" t="s">
        <v>6411</v>
      </c>
      <c r="AF1082" t="s">
        <v>29</v>
      </c>
      <c r="AG1082" t="s">
        <v>30</v>
      </c>
      <c r="AH1082" t="s">
        <v>31</v>
      </c>
      <c r="AK1082" t="s">
        <v>6410</v>
      </c>
      <c r="AL1082" t="s">
        <v>1967</v>
      </c>
      <c r="AM1082" t="s">
        <v>6350</v>
      </c>
      <c r="AN1082" s="8">
        <v>3.03525</v>
      </c>
      <c r="AO1082">
        <v>199.694880401046</v>
      </c>
      <c r="AP1082">
        <v>1756</v>
      </c>
      <c r="AQ1082" s="9">
        <v>0.496</v>
      </c>
      <c r="AR1082" t="s">
        <v>1928</v>
      </c>
      <c r="AT1082" s="15" t="s">
        <v>80</v>
      </c>
      <c r="AW1082" s="11" t="str">
        <f t="shared" si="115"/>
        <v>EN_WOF_50_c02_YEM</v>
      </c>
      <c r="AX1082" s="11">
        <f t="shared" si="116"/>
        <v>1756</v>
      </c>
      <c r="AY1082" s="11">
        <f t="shared" si="117"/>
        <v>1756</v>
      </c>
      <c r="AZ1082" s="17">
        <v>3</v>
      </c>
      <c r="BA1082">
        <f t="shared" si="118"/>
        <v>17.56</v>
      </c>
    </row>
    <row r="1083" spans="2:53">
      <c r="B1083" t="s">
        <v>26</v>
      </c>
      <c r="C1083" t="s">
        <v>6412</v>
      </c>
      <c r="D1083" t="s">
        <v>6413</v>
      </c>
      <c r="E1083" t="s">
        <v>29</v>
      </c>
      <c r="F1083" t="s">
        <v>30</v>
      </c>
      <c r="G1083" t="s">
        <v>31</v>
      </c>
      <c r="J1083" t="s">
        <v>6412</v>
      </c>
      <c r="K1083" t="s">
        <v>1967</v>
      </c>
      <c r="L1083" t="s">
        <v>6369</v>
      </c>
      <c r="M1083" s="8">
        <v>71.6955</v>
      </c>
      <c r="N1083">
        <v>80.7856561622413</v>
      </c>
      <c r="O1083">
        <v>2081</v>
      </c>
      <c r="P1083" s="9">
        <v>0.309506632215411</v>
      </c>
      <c r="Q1083" t="s">
        <v>972</v>
      </c>
      <c r="T1083" s="15" t="s">
        <v>80</v>
      </c>
      <c r="W1083" s="16" t="str">
        <f t="shared" si="112"/>
        <v>EN_WON_31_c02_IRN</v>
      </c>
      <c r="X1083" s="12">
        <f t="shared" si="113"/>
        <v>2081</v>
      </c>
      <c r="Y1083" s="11">
        <f t="shared" si="114"/>
        <v>2081</v>
      </c>
      <c r="AC1083" t="s">
        <v>26</v>
      </c>
      <c r="AD1083" t="s">
        <v>6414</v>
      </c>
      <c r="AE1083" t="s">
        <v>6415</v>
      </c>
      <c r="AF1083" t="s">
        <v>29</v>
      </c>
      <c r="AG1083" t="s">
        <v>30</v>
      </c>
      <c r="AH1083" t="s">
        <v>31</v>
      </c>
      <c r="AK1083" t="s">
        <v>6414</v>
      </c>
      <c r="AL1083" t="s">
        <v>1967</v>
      </c>
      <c r="AM1083" t="s">
        <v>6350</v>
      </c>
      <c r="AN1083" s="8">
        <v>3.51375</v>
      </c>
      <c r="AO1083">
        <v>199.694880401046</v>
      </c>
      <c r="AP1083">
        <v>1756</v>
      </c>
      <c r="AQ1083" s="9">
        <v>0.519471504802561</v>
      </c>
      <c r="AR1083" t="s">
        <v>1928</v>
      </c>
      <c r="AT1083" s="15" t="s">
        <v>80</v>
      </c>
      <c r="AW1083" s="11" t="str">
        <f t="shared" si="115"/>
        <v>EN_WOF_52_c02_YEM</v>
      </c>
      <c r="AX1083" s="11">
        <f t="shared" si="116"/>
        <v>1756</v>
      </c>
      <c r="AY1083" s="11">
        <f t="shared" si="117"/>
        <v>1756</v>
      </c>
      <c r="AZ1083" s="17">
        <v>3</v>
      </c>
      <c r="BA1083">
        <f t="shared" si="118"/>
        <v>17.56</v>
      </c>
    </row>
    <row r="1084" spans="2:53">
      <c r="B1084" t="s">
        <v>26</v>
      </c>
      <c r="C1084" t="s">
        <v>6416</v>
      </c>
      <c r="D1084" t="s">
        <v>6417</v>
      </c>
      <c r="E1084" t="s">
        <v>29</v>
      </c>
      <c r="F1084" t="s">
        <v>30</v>
      </c>
      <c r="G1084" t="s">
        <v>31</v>
      </c>
      <c r="J1084" t="s">
        <v>6416</v>
      </c>
      <c r="K1084" t="s">
        <v>1967</v>
      </c>
      <c r="L1084" t="s">
        <v>6369</v>
      </c>
      <c r="M1084" s="8">
        <v>12.4455</v>
      </c>
      <c r="N1084">
        <v>105.747516212372</v>
      </c>
      <c r="O1084">
        <v>2081</v>
      </c>
      <c r="P1084" s="9">
        <v>0.309431059419067</v>
      </c>
      <c r="Q1084" t="s">
        <v>972</v>
      </c>
      <c r="T1084" s="15" t="s">
        <v>80</v>
      </c>
      <c r="W1084" s="16" t="str">
        <f t="shared" si="112"/>
        <v>EN_WON_31_c03_IRN</v>
      </c>
      <c r="X1084" s="12">
        <f t="shared" si="113"/>
        <v>2081</v>
      </c>
      <c r="Y1084" s="11">
        <f t="shared" si="114"/>
        <v>2081</v>
      </c>
      <c r="AC1084" t="s">
        <v>26</v>
      </c>
      <c r="AD1084" t="s">
        <v>6418</v>
      </c>
      <c r="AE1084" t="s">
        <v>6419</v>
      </c>
      <c r="AF1084" t="s">
        <v>29</v>
      </c>
      <c r="AG1084" t="s">
        <v>30</v>
      </c>
      <c r="AH1084" t="s">
        <v>31</v>
      </c>
      <c r="AK1084" t="s">
        <v>6418</v>
      </c>
      <c r="AL1084" t="s">
        <v>1967</v>
      </c>
      <c r="AM1084" t="s">
        <v>6420</v>
      </c>
      <c r="AN1084" s="8">
        <v>4.29525</v>
      </c>
      <c r="AO1084">
        <v>199.694880401046</v>
      </c>
      <c r="AP1084">
        <v>1952</v>
      </c>
      <c r="AQ1084" s="9">
        <v>0.302</v>
      </c>
      <c r="AR1084" t="s">
        <v>1932</v>
      </c>
      <c r="AT1084" s="15" t="s">
        <v>54</v>
      </c>
      <c r="AW1084" s="11" t="str">
        <f t="shared" si="115"/>
        <v>EN_WOF_30_c02_ZAF</v>
      </c>
      <c r="AX1084" s="11">
        <f t="shared" si="116"/>
        <v>1952</v>
      </c>
      <c r="AY1084" s="11">
        <f t="shared" si="117"/>
        <v>1952</v>
      </c>
      <c r="AZ1084" s="17">
        <v>3</v>
      </c>
      <c r="BA1084">
        <f t="shared" si="118"/>
        <v>19.52</v>
      </c>
    </row>
    <row r="1085" spans="2:53">
      <c r="B1085" t="s">
        <v>26</v>
      </c>
      <c r="C1085" t="s">
        <v>6421</v>
      </c>
      <c r="D1085" t="s">
        <v>6422</v>
      </c>
      <c r="E1085" t="s">
        <v>29</v>
      </c>
      <c r="F1085" t="s">
        <v>30</v>
      </c>
      <c r="G1085" t="s">
        <v>31</v>
      </c>
      <c r="J1085" t="s">
        <v>6421</v>
      </c>
      <c r="K1085" t="s">
        <v>1967</v>
      </c>
      <c r="L1085" t="s">
        <v>6369</v>
      </c>
      <c r="M1085" s="8">
        <v>12.2055</v>
      </c>
      <c r="N1085">
        <v>0</v>
      </c>
      <c r="O1085">
        <v>2081</v>
      </c>
      <c r="P1085" s="9">
        <v>0.31844561877842</v>
      </c>
      <c r="Q1085" t="s">
        <v>972</v>
      </c>
      <c r="T1085" s="15" t="s">
        <v>80</v>
      </c>
      <c r="W1085" s="16" t="str">
        <f t="shared" si="112"/>
        <v>EN_WON_32_c01_IRN</v>
      </c>
      <c r="X1085" s="12">
        <f t="shared" si="113"/>
        <v>2081</v>
      </c>
      <c r="Y1085" s="11">
        <f t="shared" si="114"/>
        <v>2081</v>
      </c>
      <c r="AC1085" t="s">
        <v>26</v>
      </c>
      <c r="AD1085" t="s">
        <v>6423</v>
      </c>
      <c r="AE1085" t="s">
        <v>6424</v>
      </c>
      <c r="AF1085" t="s">
        <v>29</v>
      </c>
      <c r="AG1085" t="s">
        <v>30</v>
      </c>
      <c r="AH1085" t="s">
        <v>31</v>
      </c>
      <c r="AK1085" t="s">
        <v>6423</v>
      </c>
      <c r="AL1085" t="s">
        <v>1967</v>
      </c>
      <c r="AM1085" t="s">
        <v>6420</v>
      </c>
      <c r="AN1085" s="8">
        <v>5.559</v>
      </c>
      <c r="AO1085">
        <v>199.694880401046</v>
      </c>
      <c r="AP1085">
        <v>1952</v>
      </c>
      <c r="AQ1085" s="9">
        <v>0.319104560172693</v>
      </c>
      <c r="AR1085" t="s">
        <v>1932</v>
      </c>
      <c r="AT1085" s="15" t="s">
        <v>54</v>
      </c>
      <c r="AW1085" s="11" t="str">
        <f t="shared" si="115"/>
        <v>EN_WOF_32_c02_ZAF</v>
      </c>
      <c r="AX1085" s="11">
        <f t="shared" si="116"/>
        <v>1952</v>
      </c>
      <c r="AY1085" s="11">
        <f t="shared" si="117"/>
        <v>1952</v>
      </c>
      <c r="AZ1085" s="17">
        <v>3</v>
      </c>
      <c r="BA1085">
        <f t="shared" si="118"/>
        <v>19.52</v>
      </c>
    </row>
    <row r="1086" spans="2:53">
      <c r="B1086" t="s">
        <v>26</v>
      </c>
      <c r="C1086" t="s">
        <v>6425</v>
      </c>
      <c r="D1086" t="s">
        <v>6426</v>
      </c>
      <c r="E1086" t="s">
        <v>29</v>
      </c>
      <c r="F1086" t="s">
        <v>30</v>
      </c>
      <c r="G1086" t="s">
        <v>31</v>
      </c>
      <c r="J1086" t="s">
        <v>6425</v>
      </c>
      <c r="K1086" t="s">
        <v>1967</v>
      </c>
      <c r="L1086" t="s">
        <v>6369</v>
      </c>
      <c r="M1086" s="8">
        <v>10.41075</v>
      </c>
      <c r="N1086">
        <v>80.7856561622413</v>
      </c>
      <c r="O1086">
        <v>2081</v>
      </c>
      <c r="P1086" s="9">
        <v>0.320348533967293</v>
      </c>
      <c r="Q1086" t="s">
        <v>972</v>
      </c>
      <c r="T1086" s="15" t="s">
        <v>80</v>
      </c>
      <c r="W1086" s="16" t="str">
        <f t="shared" si="112"/>
        <v>EN_WON_32_c02_IRN</v>
      </c>
      <c r="X1086" s="12">
        <f t="shared" si="113"/>
        <v>2081</v>
      </c>
      <c r="Y1086" s="11">
        <f t="shared" si="114"/>
        <v>2081</v>
      </c>
      <c r="AC1086" t="s">
        <v>26</v>
      </c>
      <c r="AD1086" t="s">
        <v>6427</v>
      </c>
      <c r="AE1086" t="s">
        <v>6428</v>
      </c>
      <c r="AF1086" t="s">
        <v>29</v>
      </c>
      <c r="AG1086" t="s">
        <v>30</v>
      </c>
      <c r="AH1086" t="s">
        <v>31</v>
      </c>
      <c r="AK1086" t="s">
        <v>6427</v>
      </c>
      <c r="AL1086" t="s">
        <v>1967</v>
      </c>
      <c r="AM1086" t="s">
        <v>6420</v>
      </c>
      <c r="AN1086" s="8">
        <v>4.66575</v>
      </c>
      <c r="AO1086">
        <v>199.694880401046</v>
      </c>
      <c r="AP1086">
        <v>1952</v>
      </c>
      <c r="AQ1086" s="9">
        <v>0.337584793441569</v>
      </c>
      <c r="AR1086" t="s">
        <v>1932</v>
      </c>
      <c r="AT1086" s="15" t="s">
        <v>54</v>
      </c>
      <c r="AW1086" s="11" t="str">
        <f t="shared" si="115"/>
        <v>EN_WOF_34_c02_ZAF</v>
      </c>
      <c r="AX1086" s="11">
        <f t="shared" si="116"/>
        <v>1952</v>
      </c>
      <c r="AY1086" s="11">
        <f t="shared" si="117"/>
        <v>1952</v>
      </c>
      <c r="AZ1086" s="17">
        <v>3</v>
      </c>
      <c r="BA1086">
        <f t="shared" si="118"/>
        <v>19.52</v>
      </c>
    </row>
    <row r="1087" spans="2:53">
      <c r="B1087" t="s">
        <v>26</v>
      </c>
      <c r="C1087" t="s">
        <v>6429</v>
      </c>
      <c r="D1087" t="s">
        <v>6430</v>
      </c>
      <c r="E1087" t="s">
        <v>29</v>
      </c>
      <c r="F1087" t="s">
        <v>30</v>
      </c>
      <c r="G1087" t="s">
        <v>31</v>
      </c>
      <c r="J1087" t="s">
        <v>6429</v>
      </c>
      <c r="K1087" t="s">
        <v>1967</v>
      </c>
      <c r="L1087" t="s">
        <v>6369</v>
      </c>
      <c r="M1087" s="8">
        <v>10.32225</v>
      </c>
      <c r="N1087">
        <v>105.747516212372</v>
      </c>
      <c r="O1087">
        <v>2081</v>
      </c>
      <c r="P1087" s="9">
        <v>0.323533895226331</v>
      </c>
      <c r="Q1087" t="s">
        <v>972</v>
      </c>
      <c r="T1087" s="15" t="s">
        <v>80</v>
      </c>
      <c r="W1087" s="16" t="str">
        <f t="shared" si="112"/>
        <v>EN_WON_32_c03_IRN</v>
      </c>
      <c r="X1087" s="12">
        <f t="shared" si="113"/>
        <v>2081</v>
      </c>
      <c r="Y1087" s="11">
        <f t="shared" si="114"/>
        <v>2081</v>
      </c>
      <c r="AC1087" t="s">
        <v>26</v>
      </c>
      <c r="AD1087" t="s">
        <v>6431</v>
      </c>
      <c r="AE1087" t="s">
        <v>6432</v>
      </c>
      <c r="AF1087" t="s">
        <v>29</v>
      </c>
      <c r="AG1087" t="s">
        <v>30</v>
      </c>
      <c r="AH1087" t="s">
        <v>31</v>
      </c>
      <c r="AK1087" t="s">
        <v>6431</v>
      </c>
      <c r="AL1087" t="s">
        <v>1967</v>
      </c>
      <c r="AM1087" t="s">
        <v>6420</v>
      </c>
      <c r="AN1087" s="8">
        <v>5.7135</v>
      </c>
      <c r="AO1087">
        <v>199.694880401046</v>
      </c>
      <c r="AP1087">
        <v>1952</v>
      </c>
      <c r="AQ1087" s="9">
        <v>0.349</v>
      </c>
      <c r="AR1087" t="s">
        <v>1932</v>
      </c>
      <c r="AT1087" s="15" t="s">
        <v>54</v>
      </c>
      <c r="AW1087" s="11" t="str">
        <f t="shared" si="115"/>
        <v>EN_WOF_35_c02_ZAF</v>
      </c>
      <c r="AX1087" s="11">
        <f t="shared" si="116"/>
        <v>1952</v>
      </c>
      <c r="AY1087" s="11">
        <f t="shared" si="117"/>
        <v>1952</v>
      </c>
      <c r="AZ1087" s="17">
        <v>3</v>
      </c>
      <c r="BA1087">
        <f t="shared" si="118"/>
        <v>19.52</v>
      </c>
    </row>
    <row r="1088" spans="2:53">
      <c r="B1088" t="s">
        <v>26</v>
      </c>
      <c r="C1088" t="s">
        <v>6433</v>
      </c>
      <c r="D1088" t="s">
        <v>6434</v>
      </c>
      <c r="E1088" t="s">
        <v>29</v>
      </c>
      <c r="F1088" t="s">
        <v>30</v>
      </c>
      <c r="G1088" t="s">
        <v>31</v>
      </c>
      <c r="J1088" t="s">
        <v>6433</v>
      </c>
      <c r="K1088" t="s">
        <v>1967</v>
      </c>
      <c r="L1088" t="s">
        <v>6369</v>
      </c>
      <c r="M1088" s="8">
        <v>0.58725</v>
      </c>
      <c r="N1088">
        <v>145.23264029167</v>
      </c>
      <c r="O1088">
        <v>2081</v>
      </c>
      <c r="P1088" s="9">
        <v>0.322</v>
      </c>
      <c r="Q1088" t="s">
        <v>972</v>
      </c>
      <c r="T1088" s="15" t="s">
        <v>80</v>
      </c>
      <c r="W1088" s="16" t="str">
        <f t="shared" si="112"/>
        <v>EN_WON_32_c04_IRN</v>
      </c>
      <c r="X1088" s="12">
        <f t="shared" si="113"/>
        <v>2081</v>
      </c>
      <c r="Y1088" s="11">
        <f t="shared" si="114"/>
        <v>2081</v>
      </c>
      <c r="AC1088" t="s">
        <v>26</v>
      </c>
      <c r="AD1088" t="s">
        <v>6435</v>
      </c>
      <c r="AE1088" t="s">
        <v>6436</v>
      </c>
      <c r="AF1088" t="s">
        <v>29</v>
      </c>
      <c r="AG1088" t="s">
        <v>30</v>
      </c>
      <c r="AH1088" t="s">
        <v>31</v>
      </c>
      <c r="AK1088" t="s">
        <v>6435</v>
      </c>
      <c r="AL1088" t="s">
        <v>1967</v>
      </c>
      <c r="AM1088" t="s">
        <v>6420</v>
      </c>
      <c r="AN1088" s="8">
        <v>18.516</v>
      </c>
      <c r="AO1088">
        <v>199.694880401046</v>
      </c>
      <c r="AP1088">
        <v>1952</v>
      </c>
      <c r="AQ1088" s="9">
        <v>0.360945479585224</v>
      </c>
      <c r="AR1088" t="s">
        <v>1932</v>
      </c>
      <c r="AT1088" s="15" t="s">
        <v>54</v>
      </c>
      <c r="AW1088" s="11" t="str">
        <f t="shared" si="115"/>
        <v>EN_WOF_36_c02_ZAF</v>
      </c>
      <c r="AX1088" s="11">
        <f t="shared" si="116"/>
        <v>1952</v>
      </c>
      <c r="AY1088" s="11">
        <f t="shared" si="117"/>
        <v>1952</v>
      </c>
      <c r="AZ1088" s="17">
        <v>3</v>
      </c>
      <c r="BA1088">
        <f t="shared" si="118"/>
        <v>19.52</v>
      </c>
    </row>
    <row r="1089" spans="2:53">
      <c r="B1089" t="s">
        <v>26</v>
      </c>
      <c r="C1089" t="s">
        <v>6437</v>
      </c>
      <c r="D1089" t="s">
        <v>6438</v>
      </c>
      <c r="E1089" t="s">
        <v>29</v>
      </c>
      <c r="F1089" t="s">
        <v>30</v>
      </c>
      <c r="G1089" t="s">
        <v>31</v>
      </c>
      <c r="J1089" t="s">
        <v>6437</v>
      </c>
      <c r="K1089" t="s">
        <v>1967</v>
      </c>
      <c r="L1089" t="s">
        <v>6369</v>
      </c>
      <c r="M1089" s="8">
        <v>8.292</v>
      </c>
      <c r="N1089">
        <v>0</v>
      </c>
      <c r="O1089">
        <v>2081</v>
      </c>
      <c r="P1089" s="9">
        <v>0.328111432706223</v>
      </c>
      <c r="Q1089" t="s">
        <v>972</v>
      </c>
      <c r="T1089" s="15" t="s">
        <v>80</v>
      </c>
      <c r="W1089" s="16" t="str">
        <f t="shared" si="112"/>
        <v>EN_WON_33_c01_IRN</v>
      </c>
      <c r="X1089" s="12">
        <f t="shared" si="113"/>
        <v>2081</v>
      </c>
      <c r="Y1089" s="11">
        <f t="shared" si="114"/>
        <v>2081</v>
      </c>
      <c r="AC1089" t="s">
        <v>26</v>
      </c>
      <c r="AD1089" t="s">
        <v>6439</v>
      </c>
      <c r="AE1089" t="s">
        <v>6440</v>
      </c>
      <c r="AF1089" t="s">
        <v>29</v>
      </c>
      <c r="AG1089" t="s">
        <v>30</v>
      </c>
      <c r="AH1089" t="s">
        <v>31</v>
      </c>
      <c r="AK1089" t="s">
        <v>6439</v>
      </c>
      <c r="AL1089" t="s">
        <v>1967</v>
      </c>
      <c r="AM1089" t="s">
        <v>6420</v>
      </c>
      <c r="AN1089" s="8">
        <v>12.6</v>
      </c>
      <c r="AO1089">
        <v>199.694880401046</v>
      </c>
      <c r="AP1089">
        <v>1952</v>
      </c>
      <c r="AQ1089" s="9">
        <v>0.36998</v>
      </c>
      <c r="AR1089" t="s">
        <v>1932</v>
      </c>
      <c r="AT1089" s="15" t="s">
        <v>54</v>
      </c>
      <c r="AW1089" s="11" t="str">
        <f t="shared" si="115"/>
        <v>EN_WOF_37_c02_ZAF</v>
      </c>
      <c r="AX1089" s="11">
        <f t="shared" si="116"/>
        <v>1952</v>
      </c>
      <c r="AY1089" s="11">
        <f t="shared" si="117"/>
        <v>1952</v>
      </c>
      <c r="AZ1089" s="17">
        <v>3</v>
      </c>
      <c r="BA1089">
        <f t="shared" si="118"/>
        <v>19.52</v>
      </c>
    </row>
    <row r="1090" spans="2:53">
      <c r="B1090" t="s">
        <v>26</v>
      </c>
      <c r="C1090" t="s">
        <v>6441</v>
      </c>
      <c r="D1090" t="s">
        <v>6442</v>
      </c>
      <c r="E1090" t="s">
        <v>29</v>
      </c>
      <c r="F1090" t="s">
        <v>30</v>
      </c>
      <c r="G1090" t="s">
        <v>31</v>
      </c>
      <c r="J1090" t="s">
        <v>6441</v>
      </c>
      <c r="K1090" t="s">
        <v>1967</v>
      </c>
      <c r="L1090" t="s">
        <v>6369</v>
      </c>
      <c r="M1090" s="8">
        <v>12.138</v>
      </c>
      <c r="N1090">
        <v>80.7856561622413</v>
      </c>
      <c r="O1090">
        <v>2081</v>
      </c>
      <c r="P1090" s="9">
        <v>0.329499320316362</v>
      </c>
      <c r="Q1090" t="s">
        <v>972</v>
      </c>
      <c r="T1090" s="15" t="s">
        <v>80</v>
      </c>
      <c r="W1090" s="16" t="str">
        <f t="shared" si="112"/>
        <v>EN_WON_33_c02_IRN</v>
      </c>
      <c r="X1090" s="12">
        <f t="shared" si="113"/>
        <v>2081</v>
      </c>
      <c r="Y1090" s="11">
        <f t="shared" si="114"/>
        <v>2081</v>
      </c>
      <c r="AC1090" t="s">
        <v>26</v>
      </c>
      <c r="AD1090" t="s">
        <v>6443</v>
      </c>
      <c r="AE1090" t="s">
        <v>6444</v>
      </c>
      <c r="AF1090" t="s">
        <v>29</v>
      </c>
      <c r="AG1090" t="s">
        <v>30</v>
      </c>
      <c r="AH1090" t="s">
        <v>31</v>
      </c>
      <c r="AK1090" t="s">
        <v>6443</v>
      </c>
      <c r="AL1090" t="s">
        <v>1967</v>
      </c>
      <c r="AM1090" t="s">
        <v>6420</v>
      </c>
      <c r="AN1090" s="8">
        <v>19.16025</v>
      </c>
      <c r="AO1090">
        <v>199.694880401046</v>
      </c>
      <c r="AP1090">
        <v>1952</v>
      </c>
      <c r="AQ1090" s="9">
        <v>0.378715543899479</v>
      </c>
      <c r="AR1090" t="s">
        <v>1932</v>
      </c>
      <c r="AT1090" s="15" t="s">
        <v>54</v>
      </c>
      <c r="AW1090" s="11" t="str">
        <f t="shared" si="115"/>
        <v>EN_WOF_38_c02_ZAF</v>
      </c>
      <c r="AX1090" s="11">
        <f t="shared" si="116"/>
        <v>1952</v>
      </c>
      <c r="AY1090" s="11">
        <f t="shared" si="117"/>
        <v>1952</v>
      </c>
      <c r="AZ1090" s="17">
        <v>3</v>
      </c>
      <c r="BA1090">
        <f t="shared" si="118"/>
        <v>19.52</v>
      </c>
    </row>
    <row r="1091" spans="2:53">
      <c r="B1091" t="s">
        <v>26</v>
      </c>
      <c r="C1091" t="s">
        <v>6445</v>
      </c>
      <c r="D1091" t="s">
        <v>6446</v>
      </c>
      <c r="E1091" t="s">
        <v>29</v>
      </c>
      <c r="F1091" t="s">
        <v>30</v>
      </c>
      <c r="G1091" t="s">
        <v>31</v>
      </c>
      <c r="J1091" t="s">
        <v>6445</v>
      </c>
      <c r="K1091" t="s">
        <v>1967</v>
      </c>
      <c r="L1091" t="s">
        <v>6369</v>
      </c>
      <c r="M1091" s="8">
        <v>6.17625</v>
      </c>
      <c r="N1091">
        <v>105.747516212372</v>
      </c>
      <c r="O1091">
        <v>2081</v>
      </c>
      <c r="P1091" s="9">
        <v>0.334</v>
      </c>
      <c r="Q1091" t="s">
        <v>972</v>
      </c>
      <c r="T1091" s="15" t="s">
        <v>80</v>
      </c>
      <c r="W1091" s="16" t="str">
        <f t="shared" si="112"/>
        <v>EN_WON_33_c03_IRN</v>
      </c>
      <c r="X1091" s="12">
        <f t="shared" si="113"/>
        <v>2081</v>
      </c>
      <c r="Y1091" s="11">
        <f t="shared" si="114"/>
        <v>2081</v>
      </c>
      <c r="AC1091" t="s">
        <v>26</v>
      </c>
      <c r="AD1091" t="s">
        <v>6447</v>
      </c>
      <c r="AE1091" t="s">
        <v>6448</v>
      </c>
      <c r="AF1091" t="s">
        <v>29</v>
      </c>
      <c r="AG1091" t="s">
        <v>30</v>
      </c>
      <c r="AH1091" t="s">
        <v>31</v>
      </c>
      <c r="AK1091" t="s">
        <v>6447</v>
      </c>
      <c r="AL1091" t="s">
        <v>1967</v>
      </c>
      <c r="AM1091" t="s">
        <v>6420</v>
      </c>
      <c r="AN1091" s="8">
        <v>40.88175</v>
      </c>
      <c r="AO1091">
        <v>199.694880401046</v>
      </c>
      <c r="AP1091">
        <v>1952</v>
      </c>
      <c r="AQ1091" s="9">
        <v>0.390286154579978</v>
      </c>
      <c r="AR1091" t="s">
        <v>1932</v>
      </c>
      <c r="AT1091" s="15" t="s">
        <v>54</v>
      </c>
      <c r="AW1091" s="11" t="str">
        <f t="shared" si="115"/>
        <v>EN_WOF_39_c02_ZAF</v>
      </c>
      <c r="AX1091" s="11">
        <f t="shared" si="116"/>
        <v>1952</v>
      </c>
      <c r="AY1091" s="11">
        <f t="shared" si="117"/>
        <v>1952</v>
      </c>
      <c r="AZ1091" s="17">
        <v>3</v>
      </c>
      <c r="BA1091">
        <f t="shared" si="118"/>
        <v>19.52</v>
      </c>
    </row>
    <row r="1092" spans="2:53">
      <c r="B1092" t="s">
        <v>26</v>
      </c>
      <c r="C1092" t="s">
        <v>6449</v>
      </c>
      <c r="D1092" t="s">
        <v>6450</v>
      </c>
      <c r="E1092" t="s">
        <v>29</v>
      </c>
      <c r="F1092" t="s">
        <v>30</v>
      </c>
      <c r="G1092" t="s">
        <v>31</v>
      </c>
      <c r="J1092" t="s">
        <v>6449</v>
      </c>
      <c r="K1092" t="s">
        <v>1967</v>
      </c>
      <c r="L1092" t="s">
        <v>6369</v>
      </c>
      <c r="M1092" s="8">
        <v>19.9425</v>
      </c>
      <c r="N1092">
        <v>0</v>
      </c>
      <c r="O1092">
        <v>2081</v>
      </c>
      <c r="P1092" s="9">
        <v>0.340021323805942</v>
      </c>
      <c r="Q1092" t="s">
        <v>972</v>
      </c>
      <c r="T1092" s="15" t="s">
        <v>80</v>
      </c>
      <c r="W1092" s="16" t="str">
        <f t="shared" si="112"/>
        <v>EN_WON_34_c01_IRN</v>
      </c>
      <c r="X1092" s="12">
        <f t="shared" si="113"/>
        <v>2081</v>
      </c>
      <c r="Y1092" s="11">
        <f t="shared" si="114"/>
        <v>2081</v>
      </c>
      <c r="AC1092" t="s">
        <v>26</v>
      </c>
      <c r="AD1092" t="s">
        <v>6451</v>
      </c>
      <c r="AE1092" t="s">
        <v>6452</v>
      </c>
      <c r="AF1092" t="s">
        <v>29</v>
      </c>
      <c r="AG1092" t="s">
        <v>30</v>
      </c>
      <c r="AH1092" t="s">
        <v>31</v>
      </c>
      <c r="AK1092" t="s">
        <v>6451</v>
      </c>
      <c r="AL1092" t="s">
        <v>1967</v>
      </c>
      <c r="AM1092" t="s">
        <v>6420</v>
      </c>
      <c r="AN1092" s="8">
        <v>30.723</v>
      </c>
      <c r="AO1092">
        <v>199.694880401046</v>
      </c>
      <c r="AP1092">
        <v>1952</v>
      </c>
      <c r="AQ1092" s="9">
        <v>0.399728566546236</v>
      </c>
      <c r="AR1092" t="s">
        <v>1932</v>
      </c>
      <c r="AT1092" s="15" t="s">
        <v>54</v>
      </c>
      <c r="AW1092" s="11" t="str">
        <f t="shared" si="115"/>
        <v>EN_WOF_40_c02_ZAF</v>
      </c>
      <c r="AX1092" s="11">
        <f t="shared" si="116"/>
        <v>1952</v>
      </c>
      <c r="AY1092" s="11">
        <f t="shared" si="117"/>
        <v>1952</v>
      </c>
      <c r="AZ1092" s="17">
        <v>3</v>
      </c>
      <c r="BA1092">
        <f t="shared" si="118"/>
        <v>19.52</v>
      </c>
    </row>
    <row r="1093" spans="2:53">
      <c r="B1093" t="s">
        <v>26</v>
      </c>
      <c r="C1093" t="s">
        <v>6453</v>
      </c>
      <c r="D1093" t="s">
        <v>6454</v>
      </c>
      <c r="E1093" t="s">
        <v>29</v>
      </c>
      <c r="F1093" t="s">
        <v>30</v>
      </c>
      <c r="G1093" t="s">
        <v>31</v>
      </c>
      <c r="J1093" t="s">
        <v>6453</v>
      </c>
      <c r="K1093" t="s">
        <v>1967</v>
      </c>
      <c r="L1093" t="s">
        <v>6369</v>
      </c>
      <c r="M1093" s="8">
        <v>5.7675</v>
      </c>
      <c r="N1093">
        <v>80.7856561622413</v>
      </c>
      <c r="O1093">
        <v>2081</v>
      </c>
      <c r="P1093" s="9">
        <v>0.341</v>
      </c>
      <c r="Q1093" t="s">
        <v>972</v>
      </c>
      <c r="T1093" s="15" t="s">
        <v>80</v>
      </c>
      <c r="W1093" s="16" t="str">
        <f t="shared" si="112"/>
        <v>EN_WON_34_c02_IRN</v>
      </c>
      <c r="X1093" s="12">
        <f t="shared" si="113"/>
        <v>2081</v>
      </c>
      <c r="Y1093" s="11">
        <f t="shared" si="114"/>
        <v>2081</v>
      </c>
      <c r="AC1093" t="s">
        <v>26</v>
      </c>
      <c r="AD1093" t="s">
        <v>6455</v>
      </c>
      <c r="AE1093" t="s">
        <v>6456</v>
      </c>
      <c r="AF1093" t="s">
        <v>29</v>
      </c>
      <c r="AG1093" t="s">
        <v>30</v>
      </c>
      <c r="AH1093" t="s">
        <v>31</v>
      </c>
      <c r="AK1093" t="s">
        <v>6455</v>
      </c>
      <c r="AL1093" t="s">
        <v>1967</v>
      </c>
      <c r="AM1093" t="s">
        <v>6420</v>
      </c>
      <c r="AN1093" s="8">
        <v>46.91475</v>
      </c>
      <c r="AO1093">
        <v>199.694880401046</v>
      </c>
      <c r="AP1093">
        <v>1952</v>
      </c>
      <c r="AQ1093" s="9">
        <v>0.409051236551405</v>
      </c>
      <c r="AR1093" t="s">
        <v>1932</v>
      </c>
      <c r="AT1093" s="15" t="s">
        <v>54</v>
      </c>
      <c r="AW1093" s="11" t="str">
        <f t="shared" si="115"/>
        <v>EN_WOF_41_c02_ZAF</v>
      </c>
      <c r="AX1093" s="11">
        <f t="shared" si="116"/>
        <v>1952</v>
      </c>
      <c r="AY1093" s="11">
        <f t="shared" si="117"/>
        <v>1952</v>
      </c>
      <c r="AZ1093" s="17">
        <v>3</v>
      </c>
      <c r="BA1093">
        <f t="shared" si="118"/>
        <v>19.52</v>
      </c>
    </row>
    <row r="1094" spans="2:53">
      <c r="B1094" t="s">
        <v>26</v>
      </c>
      <c r="C1094" t="s">
        <v>6457</v>
      </c>
      <c r="D1094" t="s">
        <v>6458</v>
      </c>
      <c r="E1094" t="s">
        <v>29</v>
      </c>
      <c r="F1094" t="s">
        <v>30</v>
      </c>
      <c r="G1094" t="s">
        <v>31</v>
      </c>
      <c r="J1094" t="s">
        <v>6457</v>
      </c>
      <c r="K1094" t="s">
        <v>1967</v>
      </c>
      <c r="L1094" t="s">
        <v>6369</v>
      </c>
      <c r="M1094" s="8">
        <v>9.54525</v>
      </c>
      <c r="N1094">
        <v>105.747516212372</v>
      </c>
      <c r="O1094">
        <v>2081</v>
      </c>
      <c r="P1094" s="9">
        <v>0.341039207983028</v>
      </c>
      <c r="Q1094" t="s">
        <v>972</v>
      </c>
      <c r="T1094" s="15" t="s">
        <v>80</v>
      </c>
      <c r="W1094" s="16" t="str">
        <f t="shared" ref="W1094:W1157" si="119">J1094</f>
        <v>EN_WON_34_c03_IRN</v>
      </c>
      <c r="X1094" s="12">
        <f t="shared" ref="X1094:X1157" si="120">O1094</f>
        <v>2081</v>
      </c>
      <c r="Y1094" s="11">
        <f t="shared" ref="Y1094:Y1157" si="121">X1094</f>
        <v>2081</v>
      </c>
      <c r="AC1094" t="s">
        <v>26</v>
      </c>
      <c r="AD1094" t="s">
        <v>6459</v>
      </c>
      <c r="AE1094" t="s">
        <v>6460</v>
      </c>
      <c r="AF1094" t="s">
        <v>29</v>
      </c>
      <c r="AG1094" t="s">
        <v>30</v>
      </c>
      <c r="AH1094" t="s">
        <v>31</v>
      </c>
      <c r="AK1094" t="s">
        <v>6459</v>
      </c>
      <c r="AL1094" t="s">
        <v>1967</v>
      </c>
      <c r="AM1094" t="s">
        <v>6420</v>
      </c>
      <c r="AN1094" s="8">
        <v>51.66975</v>
      </c>
      <c r="AO1094">
        <v>199.694880401046</v>
      </c>
      <c r="AP1094">
        <v>1952</v>
      </c>
      <c r="AQ1094" s="9">
        <v>0.419205013571771</v>
      </c>
      <c r="AR1094" t="s">
        <v>1932</v>
      </c>
      <c r="AT1094" s="15" t="s">
        <v>54</v>
      </c>
      <c r="AW1094" s="11" t="str">
        <f t="shared" ref="AW1094:AW1103" si="122">AK1094</f>
        <v>EN_WOF_42_c02_ZAF</v>
      </c>
      <c r="AX1094" s="11">
        <f t="shared" ref="AX1094:AX1103" si="123">AP1094</f>
        <v>1952</v>
      </c>
      <c r="AY1094" s="11">
        <f t="shared" ref="AY1094:AY1103" si="124">AX1094</f>
        <v>1952</v>
      </c>
      <c r="AZ1094" s="17">
        <v>3</v>
      </c>
      <c r="BA1094">
        <f>AX1094*0.01</f>
        <v>19.52</v>
      </c>
    </row>
    <row r="1095" spans="2:53">
      <c r="B1095" t="s">
        <v>26</v>
      </c>
      <c r="C1095" t="s">
        <v>6461</v>
      </c>
      <c r="D1095" t="s">
        <v>6462</v>
      </c>
      <c r="E1095" t="s">
        <v>29</v>
      </c>
      <c r="F1095" t="s">
        <v>30</v>
      </c>
      <c r="G1095" t="s">
        <v>31</v>
      </c>
      <c r="J1095" t="s">
        <v>6461</v>
      </c>
      <c r="K1095" t="s">
        <v>1967</v>
      </c>
      <c r="L1095" t="s">
        <v>6369</v>
      </c>
      <c r="M1095" s="8">
        <v>16.857</v>
      </c>
      <c r="N1095">
        <v>0</v>
      </c>
      <c r="O1095">
        <v>2081</v>
      </c>
      <c r="P1095" s="9">
        <v>0.351380672717565</v>
      </c>
      <c r="Q1095" t="s">
        <v>972</v>
      </c>
      <c r="T1095" s="15" t="s">
        <v>80</v>
      </c>
      <c r="W1095" s="16" t="str">
        <f t="shared" si="119"/>
        <v>EN_WON_35_c01_IRN</v>
      </c>
      <c r="X1095" s="12">
        <f t="shared" si="120"/>
        <v>2081</v>
      </c>
      <c r="Y1095" s="11">
        <f t="shared" si="121"/>
        <v>2081</v>
      </c>
      <c r="AC1095" t="s">
        <v>26</v>
      </c>
      <c r="AD1095" t="s">
        <v>6463</v>
      </c>
      <c r="AE1095" t="s">
        <v>6464</v>
      </c>
      <c r="AF1095" t="s">
        <v>29</v>
      </c>
      <c r="AG1095" t="s">
        <v>30</v>
      </c>
      <c r="AH1095" t="s">
        <v>31</v>
      </c>
      <c r="AK1095" t="s">
        <v>6463</v>
      </c>
      <c r="AL1095" t="s">
        <v>1967</v>
      </c>
      <c r="AM1095" t="s">
        <v>6420</v>
      </c>
      <c r="AN1095" s="8">
        <v>68.43675</v>
      </c>
      <c r="AO1095">
        <v>199.694880401046</v>
      </c>
      <c r="AP1095">
        <v>1952</v>
      </c>
      <c r="AQ1095" s="9">
        <v>0.4302741509496</v>
      </c>
      <c r="AR1095" t="s">
        <v>1932</v>
      </c>
      <c r="AT1095" s="15" t="s">
        <v>54</v>
      </c>
      <c r="AW1095" s="11" t="str">
        <f t="shared" si="122"/>
        <v>EN_WOF_43_c02_ZAF</v>
      </c>
      <c r="AX1095" s="11">
        <f t="shared" si="123"/>
        <v>1952</v>
      </c>
      <c r="AY1095" s="11">
        <f t="shared" si="124"/>
        <v>1952</v>
      </c>
      <c r="AZ1095" s="17">
        <v>3</v>
      </c>
      <c r="BA1095">
        <f>AX1095*0.01</f>
        <v>19.52</v>
      </c>
    </row>
    <row r="1096" spans="2:53">
      <c r="B1096" t="s">
        <v>26</v>
      </c>
      <c r="C1096" t="s">
        <v>6465</v>
      </c>
      <c r="D1096" t="s">
        <v>6466</v>
      </c>
      <c r="E1096" t="s">
        <v>29</v>
      </c>
      <c r="F1096" t="s">
        <v>30</v>
      </c>
      <c r="G1096" t="s">
        <v>31</v>
      </c>
      <c r="J1096" t="s">
        <v>6465</v>
      </c>
      <c r="K1096" t="s">
        <v>1967</v>
      </c>
      <c r="L1096" t="s">
        <v>6369</v>
      </c>
      <c r="M1096" s="8">
        <v>23.44425</v>
      </c>
      <c r="N1096">
        <v>80.7856561622413</v>
      </c>
      <c r="O1096">
        <v>2081</v>
      </c>
      <c r="P1096" s="9">
        <v>0.350519722319972</v>
      </c>
      <c r="Q1096" t="s">
        <v>972</v>
      </c>
      <c r="T1096" s="15" t="s">
        <v>80</v>
      </c>
      <c r="W1096" s="16" t="str">
        <f t="shared" si="119"/>
        <v>EN_WON_35_c02_IRN</v>
      </c>
      <c r="X1096" s="12">
        <f t="shared" si="120"/>
        <v>2081</v>
      </c>
      <c r="Y1096" s="11">
        <f t="shared" si="121"/>
        <v>2081</v>
      </c>
      <c r="AC1096" t="s">
        <v>26</v>
      </c>
      <c r="AD1096" t="s">
        <v>6467</v>
      </c>
      <c r="AE1096" t="s">
        <v>6468</v>
      </c>
      <c r="AF1096" t="s">
        <v>29</v>
      </c>
      <c r="AG1096" t="s">
        <v>30</v>
      </c>
      <c r="AH1096" t="s">
        <v>31</v>
      </c>
      <c r="AK1096" t="s">
        <v>6467</v>
      </c>
      <c r="AL1096" t="s">
        <v>1967</v>
      </c>
      <c r="AM1096" t="s">
        <v>6420</v>
      </c>
      <c r="AN1096" s="8">
        <v>44.1735</v>
      </c>
      <c r="AO1096">
        <v>199.694880401046</v>
      </c>
      <c r="AP1096">
        <v>1952</v>
      </c>
      <c r="AQ1096" s="9">
        <v>0.439443325749601</v>
      </c>
      <c r="AR1096" t="s">
        <v>1932</v>
      </c>
      <c r="AT1096" s="15" t="s">
        <v>54</v>
      </c>
      <c r="AW1096" s="11" t="str">
        <f t="shared" si="122"/>
        <v>EN_WOF_44_c02_ZAF</v>
      </c>
      <c r="AX1096" s="11">
        <f t="shared" si="123"/>
        <v>1952</v>
      </c>
      <c r="AY1096" s="11">
        <f t="shared" si="124"/>
        <v>1952</v>
      </c>
      <c r="AZ1096" s="17">
        <v>3</v>
      </c>
      <c r="BA1096">
        <f>AX1096*0.01</f>
        <v>19.52</v>
      </c>
    </row>
    <row r="1097" spans="2:53">
      <c r="B1097" t="s">
        <v>26</v>
      </c>
      <c r="C1097" t="s">
        <v>6469</v>
      </c>
      <c r="D1097" t="s">
        <v>6470</v>
      </c>
      <c r="E1097" t="s">
        <v>29</v>
      </c>
      <c r="F1097" t="s">
        <v>30</v>
      </c>
      <c r="G1097" t="s">
        <v>31</v>
      </c>
      <c r="J1097" t="s">
        <v>6469</v>
      </c>
      <c r="K1097" t="s">
        <v>1967</v>
      </c>
      <c r="L1097" t="s">
        <v>6369</v>
      </c>
      <c r="M1097" s="8">
        <v>13.71675</v>
      </c>
      <c r="N1097">
        <v>0</v>
      </c>
      <c r="O1097">
        <v>2081</v>
      </c>
      <c r="P1097" s="9">
        <v>0.361188747334463</v>
      </c>
      <c r="Q1097" t="s">
        <v>972</v>
      </c>
      <c r="T1097" s="15" t="s">
        <v>80</v>
      </c>
      <c r="W1097" s="16" t="str">
        <f t="shared" si="119"/>
        <v>EN_WON_36_c01_IRN</v>
      </c>
      <c r="X1097" s="12">
        <f t="shared" si="120"/>
        <v>2081</v>
      </c>
      <c r="Y1097" s="11">
        <f t="shared" si="121"/>
        <v>2081</v>
      </c>
      <c r="AC1097" t="s">
        <v>26</v>
      </c>
      <c r="AD1097" t="s">
        <v>6471</v>
      </c>
      <c r="AE1097" t="s">
        <v>6472</v>
      </c>
      <c r="AF1097" t="s">
        <v>29</v>
      </c>
      <c r="AG1097" t="s">
        <v>30</v>
      </c>
      <c r="AH1097" t="s">
        <v>31</v>
      </c>
      <c r="AK1097" t="s">
        <v>6471</v>
      </c>
      <c r="AL1097" t="s">
        <v>1967</v>
      </c>
      <c r="AM1097" t="s">
        <v>6420</v>
      </c>
      <c r="AN1097" s="8">
        <v>109.6245</v>
      </c>
      <c r="AO1097">
        <v>199.694880401046</v>
      </c>
      <c r="AP1097">
        <v>1952</v>
      </c>
      <c r="AQ1097" s="9">
        <v>0.449657984757057</v>
      </c>
      <c r="AR1097" t="s">
        <v>1932</v>
      </c>
      <c r="AT1097" s="15" t="s">
        <v>54</v>
      </c>
      <c r="AW1097" s="11" t="str">
        <f t="shared" si="122"/>
        <v>EN_WOF_45_c02_ZAF</v>
      </c>
      <c r="AX1097" s="11">
        <f t="shared" si="123"/>
        <v>1952</v>
      </c>
      <c r="AY1097" s="11">
        <f t="shared" si="124"/>
        <v>1952</v>
      </c>
      <c r="AZ1097" s="17">
        <v>3</v>
      </c>
      <c r="BA1097">
        <f>AX1097*0.01</f>
        <v>19.52</v>
      </c>
    </row>
    <row r="1098" spans="2:53">
      <c r="B1098" t="s">
        <v>26</v>
      </c>
      <c r="C1098" t="s">
        <v>6473</v>
      </c>
      <c r="D1098" t="s">
        <v>6474</v>
      </c>
      <c r="E1098" t="s">
        <v>29</v>
      </c>
      <c r="F1098" t="s">
        <v>30</v>
      </c>
      <c r="G1098" t="s">
        <v>31</v>
      </c>
      <c r="J1098" t="s">
        <v>6473</v>
      </c>
      <c r="K1098" t="s">
        <v>1967</v>
      </c>
      <c r="L1098" t="s">
        <v>6369</v>
      </c>
      <c r="M1098" s="8">
        <v>6.0705</v>
      </c>
      <c r="N1098">
        <v>80.7856561622413</v>
      </c>
      <c r="O1098">
        <v>2081</v>
      </c>
      <c r="P1098" s="9">
        <v>0.36</v>
      </c>
      <c r="Q1098" t="s">
        <v>972</v>
      </c>
      <c r="T1098" s="15" t="s">
        <v>80</v>
      </c>
      <c r="W1098" s="16" t="str">
        <f t="shared" si="119"/>
        <v>EN_WON_36_c02_IRN</v>
      </c>
      <c r="X1098" s="12">
        <f t="shared" si="120"/>
        <v>2081</v>
      </c>
      <c r="Y1098" s="11">
        <f t="shared" si="121"/>
        <v>2081</v>
      </c>
      <c r="AC1098" t="s">
        <v>26</v>
      </c>
      <c r="AD1098" t="s">
        <v>6475</v>
      </c>
      <c r="AE1098" t="s">
        <v>6476</v>
      </c>
      <c r="AF1098" t="s">
        <v>29</v>
      </c>
      <c r="AG1098" t="s">
        <v>30</v>
      </c>
      <c r="AH1098" t="s">
        <v>31</v>
      </c>
      <c r="AK1098" t="s">
        <v>6475</v>
      </c>
      <c r="AL1098" t="s">
        <v>1967</v>
      </c>
      <c r="AM1098" t="s">
        <v>6420</v>
      </c>
      <c r="AN1098" s="8">
        <v>58.79925</v>
      </c>
      <c r="AO1098">
        <v>199.694880401046</v>
      </c>
      <c r="AP1098">
        <v>1952</v>
      </c>
      <c r="AQ1098" s="9">
        <v>0.457819436472404</v>
      </c>
      <c r="AR1098" t="s">
        <v>1932</v>
      </c>
      <c r="AT1098" s="15" t="s">
        <v>54</v>
      </c>
      <c r="AW1098" s="11" t="str">
        <f t="shared" si="122"/>
        <v>EN_WOF_46_c02_ZAF</v>
      </c>
      <c r="AX1098" s="11">
        <f t="shared" si="123"/>
        <v>1952</v>
      </c>
      <c r="AY1098" s="11">
        <f t="shared" si="124"/>
        <v>1952</v>
      </c>
      <c r="AZ1098" s="17">
        <v>3</v>
      </c>
      <c r="BA1098">
        <f>AX1098*0.01</f>
        <v>19.52</v>
      </c>
    </row>
    <row r="1099" spans="2:53">
      <c r="B1099" t="s">
        <v>26</v>
      </c>
      <c r="C1099" t="s">
        <v>6477</v>
      </c>
      <c r="D1099" t="s">
        <v>6478</v>
      </c>
      <c r="E1099" t="s">
        <v>29</v>
      </c>
      <c r="F1099" t="s">
        <v>30</v>
      </c>
      <c r="G1099" t="s">
        <v>31</v>
      </c>
      <c r="J1099" t="s">
        <v>6477</v>
      </c>
      <c r="K1099" t="s">
        <v>1967</v>
      </c>
      <c r="L1099" t="s">
        <v>6369</v>
      </c>
      <c r="M1099" s="8">
        <v>5.6115</v>
      </c>
      <c r="N1099">
        <v>0</v>
      </c>
      <c r="O1099">
        <v>2081</v>
      </c>
      <c r="P1099" s="9">
        <v>0.365</v>
      </c>
      <c r="Q1099" t="s">
        <v>972</v>
      </c>
      <c r="T1099" s="15" t="s">
        <v>80</v>
      </c>
      <c r="W1099" s="16" t="str">
        <f t="shared" si="119"/>
        <v>EN_WON_37_c01_IRN</v>
      </c>
      <c r="X1099" s="12">
        <f t="shared" si="120"/>
        <v>2081</v>
      </c>
      <c r="Y1099" s="11">
        <f t="shared" si="121"/>
        <v>2081</v>
      </c>
      <c r="AC1099" t="s">
        <v>26</v>
      </c>
      <c r="AD1099" t="s">
        <v>6479</v>
      </c>
      <c r="AE1099" t="s">
        <v>6480</v>
      </c>
      <c r="AF1099" t="s">
        <v>29</v>
      </c>
      <c r="AG1099" t="s">
        <v>30</v>
      </c>
      <c r="AH1099" t="s">
        <v>31</v>
      </c>
      <c r="AK1099" t="s">
        <v>6479</v>
      </c>
      <c r="AL1099" t="s">
        <v>1967</v>
      </c>
      <c r="AM1099" t="s">
        <v>6420</v>
      </c>
      <c r="AN1099" s="8">
        <v>39.048</v>
      </c>
      <c r="AO1099">
        <v>199.694880401046</v>
      </c>
      <c r="AP1099">
        <v>1952</v>
      </c>
      <c r="AQ1099" s="9">
        <v>0.467723321296865</v>
      </c>
      <c r="AR1099" t="s">
        <v>1932</v>
      </c>
      <c r="AT1099" s="15" t="s">
        <v>54</v>
      </c>
      <c r="AW1099" s="11" t="str">
        <f t="shared" si="122"/>
        <v>EN_WOF_47_c02_ZAF</v>
      </c>
      <c r="AX1099" s="11">
        <f t="shared" si="123"/>
        <v>1952</v>
      </c>
      <c r="AY1099" s="11">
        <f t="shared" si="124"/>
        <v>1952</v>
      </c>
      <c r="AZ1099" s="17">
        <v>3</v>
      </c>
      <c r="BA1099">
        <f>AX1099*0.01</f>
        <v>19.52</v>
      </c>
    </row>
    <row r="1100" spans="2:53">
      <c r="B1100" t="s">
        <v>26</v>
      </c>
      <c r="C1100" t="s">
        <v>6481</v>
      </c>
      <c r="D1100" t="s">
        <v>6482</v>
      </c>
      <c r="E1100" t="s">
        <v>29</v>
      </c>
      <c r="F1100" t="s">
        <v>30</v>
      </c>
      <c r="G1100" t="s">
        <v>31</v>
      </c>
      <c r="J1100" t="s">
        <v>6481</v>
      </c>
      <c r="K1100" t="s">
        <v>1967</v>
      </c>
      <c r="L1100" t="s">
        <v>6369</v>
      </c>
      <c r="M1100" s="8">
        <v>11.889</v>
      </c>
      <c r="N1100">
        <v>80.7856561622413</v>
      </c>
      <c r="O1100">
        <v>2081</v>
      </c>
      <c r="P1100" s="9">
        <v>0.367557406005551</v>
      </c>
      <c r="Q1100" t="s">
        <v>972</v>
      </c>
      <c r="T1100" s="15" t="s">
        <v>80</v>
      </c>
      <c r="W1100" s="16" t="str">
        <f t="shared" si="119"/>
        <v>EN_WON_37_c02_IRN</v>
      </c>
      <c r="X1100" s="12">
        <f t="shared" si="120"/>
        <v>2081</v>
      </c>
      <c r="Y1100" s="11">
        <f t="shared" si="121"/>
        <v>2081</v>
      </c>
      <c r="AC1100" t="s">
        <v>26</v>
      </c>
      <c r="AD1100" t="s">
        <v>6483</v>
      </c>
      <c r="AE1100" t="s">
        <v>6484</v>
      </c>
      <c r="AF1100" t="s">
        <v>29</v>
      </c>
      <c r="AG1100" t="s">
        <v>30</v>
      </c>
      <c r="AH1100" t="s">
        <v>31</v>
      </c>
      <c r="AK1100" t="s">
        <v>6483</v>
      </c>
      <c r="AL1100" t="s">
        <v>1967</v>
      </c>
      <c r="AM1100" t="s">
        <v>6420</v>
      </c>
      <c r="AN1100" s="8">
        <v>43.05375</v>
      </c>
      <c r="AO1100">
        <v>199.694880401046</v>
      </c>
      <c r="AP1100">
        <v>1952</v>
      </c>
      <c r="AQ1100" s="9">
        <v>0.479361222889992</v>
      </c>
      <c r="AR1100" t="s">
        <v>1932</v>
      </c>
      <c r="AT1100" s="15" t="s">
        <v>54</v>
      </c>
      <c r="AW1100" s="11" t="str">
        <f t="shared" si="122"/>
        <v>EN_WOF_48_c02_ZAF</v>
      </c>
      <c r="AX1100" s="11">
        <f t="shared" si="123"/>
        <v>1952</v>
      </c>
      <c r="AY1100" s="11">
        <f t="shared" si="124"/>
        <v>1952</v>
      </c>
      <c r="AZ1100" s="17">
        <v>3</v>
      </c>
      <c r="BA1100">
        <f>AX1100*0.01</f>
        <v>19.52</v>
      </c>
    </row>
    <row r="1101" spans="2:53">
      <c r="B1101" t="s">
        <v>26</v>
      </c>
      <c r="C1101" t="s">
        <v>6485</v>
      </c>
      <c r="D1101" t="s">
        <v>6486</v>
      </c>
      <c r="E1101" t="s">
        <v>29</v>
      </c>
      <c r="F1101" t="s">
        <v>30</v>
      </c>
      <c r="G1101" t="s">
        <v>31</v>
      </c>
      <c r="J1101" t="s">
        <v>6485</v>
      </c>
      <c r="K1101" t="s">
        <v>1967</v>
      </c>
      <c r="L1101" t="s">
        <v>6369</v>
      </c>
      <c r="M1101" s="8">
        <v>3.216</v>
      </c>
      <c r="N1101">
        <v>105.747516212372</v>
      </c>
      <c r="O1101">
        <v>2081</v>
      </c>
      <c r="P1101" s="9">
        <v>0.366</v>
      </c>
      <c r="Q1101" t="s">
        <v>972</v>
      </c>
      <c r="T1101" s="15" t="s">
        <v>80</v>
      </c>
      <c r="W1101" s="16" t="str">
        <f t="shared" si="119"/>
        <v>EN_WON_37_c03_IRN</v>
      </c>
      <c r="X1101" s="12">
        <f t="shared" si="120"/>
        <v>2081</v>
      </c>
      <c r="Y1101" s="11">
        <f t="shared" si="121"/>
        <v>2081</v>
      </c>
      <c r="AC1101" t="s">
        <v>26</v>
      </c>
      <c r="AD1101" t="s">
        <v>6487</v>
      </c>
      <c r="AE1101" t="s">
        <v>6488</v>
      </c>
      <c r="AF1101" t="s">
        <v>29</v>
      </c>
      <c r="AG1101" t="s">
        <v>30</v>
      </c>
      <c r="AH1101" t="s">
        <v>31</v>
      </c>
      <c r="AK1101" t="s">
        <v>6487</v>
      </c>
      <c r="AL1101" t="s">
        <v>1967</v>
      </c>
      <c r="AM1101" t="s">
        <v>6420</v>
      </c>
      <c r="AN1101" s="8">
        <v>33.17175</v>
      </c>
      <c r="AO1101">
        <v>199.694880401046</v>
      </c>
      <c r="AP1101">
        <v>1952</v>
      </c>
      <c r="AQ1101" s="9">
        <v>0.489294670917272</v>
      </c>
      <c r="AR1101" t="s">
        <v>1932</v>
      </c>
      <c r="AT1101" s="15" t="s">
        <v>54</v>
      </c>
      <c r="AW1101" s="11" t="str">
        <f t="shared" si="122"/>
        <v>EN_WOF_49_c02_ZAF</v>
      </c>
      <c r="AX1101" s="11">
        <f t="shared" si="123"/>
        <v>1952</v>
      </c>
      <c r="AY1101" s="11">
        <f t="shared" si="124"/>
        <v>1952</v>
      </c>
      <c r="AZ1101" s="17">
        <v>3</v>
      </c>
      <c r="BA1101">
        <f>AX1101*0.01</f>
        <v>19.52</v>
      </c>
    </row>
    <row r="1102" spans="2:53">
      <c r="B1102" t="s">
        <v>26</v>
      </c>
      <c r="C1102" t="s">
        <v>6489</v>
      </c>
      <c r="D1102" t="s">
        <v>6490</v>
      </c>
      <c r="E1102" t="s">
        <v>29</v>
      </c>
      <c r="F1102" t="s">
        <v>30</v>
      </c>
      <c r="G1102" t="s">
        <v>31</v>
      </c>
      <c r="J1102" t="s">
        <v>6489</v>
      </c>
      <c r="K1102" t="s">
        <v>1967</v>
      </c>
      <c r="L1102" t="s">
        <v>6369</v>
      </c>
      <c r="M1102" s="8">
        <v>6.37575</v>
      </c>
      <c r="N1102">
        <v>0</v>
      </c>
      <c r="O1102">
        <v>2081</v>
      </c>
      <c r="P1102" s="9">
        <v>0.379157510881073</v>
      </c>
      <c r="Q1102" t="s">
        <v>972</v>
      </c>
      <c r="T1102" s="15" t="s">
        <v>80</v>
      </c>
      <c r="W1102" s="16" t="str">
        <f t="shared" si="119"/>
        <v>EN_WON_38_c01_IRN</v>
      </c>
      <c r="X1102" s="12">
        <f t="shared" si="120"/>
        <v>2081</v>
      </c>
      <c r="Y1102" s="11">
        <f t="shared" si="121"/>
        <v>2081</v>
      </c>
      <c r="AC1102" t="s">
        <v>26</v>
      </c>
      <c r="AD1102" t="s">
        <v>6491</v>
      </c>
      <c r="AE1102" t="s">
        <v>6492</v>
      </c>
      <c r="AF1102" t="s">
        <v>29</v>
      </c>
      <c r="AG1102" t="s">
        <v>30</v>
      </c>
      <c r="AH1102" t="s">
        <v>31</v>
      </c>
      <c r="AK1102" t="s">
        <v>6491</v>
      </c>
      <c r="AL1102" t="s">
        <v>1967</v>
      </c>
      <c r="AM1102" t="s">
        <v>6420</v>
      </c>
      <c r="AN1102" s="8">
        <v>21.27825</v>
      </c>
      <c r="AO1102">
        <v>199.694880401046</v>
      </c>
      <c r="AP1102">
        <v>1952</v>
      </c>
      <c r="AQ1102" s="9">
        <v>0.498650311938247</v>
      </c>
      <c r="AR1102" t="s">
        <v>1932</v>
      </c>
      <c r="AT1102" s="15" t="s">
        <v>54</v>
      </c>
      <c r="AW1102" s="11" t="str">
        <f t="shared" si="122"/>
        <v>EN_WOF_50_c02_ZAF</v>
      </c>
      <c r="AX1102" s="11">
        <f t="shared" si="123"/>
        <v>1952</v>
      </c>
      <c r="AY1102" s="11">
        <f t="shared" si="124"/>
        <v>1952</v>
      </c>
      <c r="AZ1102" s="17">
        <v>3</v>
      </c>
      <c r="BA1102">
        <f>AX1102*0.01</f>
        <v>19.52</v>
      </c>
    </row>
    <row r="1103" spans="2:53">
      <c r="B1103" t="s">
        <v>26</v>
      </c>
      <c r="C1103" t="s">
        <v>6493</v>
      </c>
      <c r="D1103" t="s">
        <v>6494</v>
      </c>
      <c r="E1103" t="s">
        <v>29</v>
      </c>
      <c r="F1103" t="s">
        <v>30</v>
      </c>
      <c r="G1103" t="s">
        <v>31</v>
      </c>
      <c r="J1103" t="s">
        <v>6493</v>
      </c>
      <c r="K1103" t="s">
        <v>1967</v>
      </c>
      <c r="L1103" t="s">
        <v>6369</v>
      </c>
      <c r="M1103" s="8">
        <v>6.1845</v>
      </c>
      <c r="N1103">
        <v>80.7856561622413</v>
      </c>
      <c r="O1103">
        <v>2081</v>
      </c>
      <c r="P1103" s="9">
        <v>0.38</v>
      </c>
      <c r="Q1103" t="s">
        <v>972</v>
      </c>
      <c r="T1103" s="15" t="s">
        <v>80</v>
      </c>
      <c r="W1103" s="16" t="str">
        <f t="shared" si="119"/>
        <v>EN_WON_38_c02_IRN</v>
      </c>
      <c r="X1103" s="12">
        <f t="shared" si="120"/>
        <v>2081</v>
      </c>
      <c r="Y1103" s="11">
        <f t="shared" si="121"/>
        <v>2081</v>
      </c>
      <c r="AC1103" t="s">
        <v>26</v>
      </c>
      <c r="AD1103" t="s">
        <v>6495</v>
      </c>
      <c r="AE1103" t="s">
        <v>6496</v>
      </c>
      <c r="AF1103" t="s">
        <v>29</v>
      </c>
      <c r="AG1103" t="s">
        <v>30</v>
      </c>
      <c r="AH1103" t="s">
        <v>31</v>
      </c>
      <c r="AK1103" t="s">
        <v>6495</v>
      </c>
      <c r="AL1103" t="s">
        <v>1967</v>
      </c>
      <c r="AM1103" t="s">
        <v>6420</v>
      </c>
      <c r="AN1103" s="8">
        <v>0.94875</v>
      </c>
      <c r="AO1103">
        <v>199.694880401046</v>
      </c>
      <c r="AP1103">
        <v>1952</v>
      </c>
      <c r="AQ1103" s="9">
        <v>0.509</v>
      </c>
      <c r="AR1103" t="s">
        <v>1932</v>
      </c>
      <c r="AT1103" s="15" t="s">
        <v>54</v>
      </c>
      <c r="AW1103" s="11" t="str">
        <f t="shared" si="122"/>
        <v>EN_WOF_51_c02_ZAF</v>
      </c>
      <c r="AX1103" s="11">
        <f t="shared" si="123"/>
        <v>1952</v>
      </c>
      <c r="AY1103" s="11">
        <f t="shared" si="124"/>
        <v>1952</v>
      </c>
      <c r="AZ1103" s="17">
        <v>3</v>
      </c>
      <c r="BA1103">
        <f>AX1103*0.01</f>
        <v>19.52</v>
      </c>
    </row>
    <row r="1104" spans="2:53">
      <c r="B1104" t="s">
        <v>26</v>
      </c>
      <c r="C1104" t="s">
        <v>6497</v>
      </c>
      <c r="D1104" t="s">
        <v>6498</v>
      </c>
      <c r="E1104" t="s">
        <v>29</v>
      </c>
      <c r="F1104" t="s">
        <v>30</v>
      </c>
      <c r="G1104" t="s">
        <v>31</v>
      </c>
      <c r="J1104" t="s">
        <v>6497</v>
      </c>
      <c r="K1104" t="s">
        <v>1967</v>
      </c>
      <c r="L1104" t="s">
        <v>6369</v>
      </c>
      <c r="M1104" s="8">
        <v>4.674</v>
      </c>
      <c r="N1104">
        <v>0</v>
      </c>
      <c r="O1104">
        <v>2081</v>
      </c>
      <c r="P1104" s="9">
        <v>0.393</v>
      </c>
      <c r="Q1104" t="s">
        <v>972</v>
      </c>
      <c r="T1104" s="15" t="s">
        <v>80</v>
      </c>
      <c r="W1104" s="16" t="str">
        <f t="shared" si="119"/>
        <v>EN_WON_39_c01_IRN</v>
      </c>
      <c r="X1104" s="12">
        <f t="shared" si="120"/>
        <v>2081</v>
      </c>
      <c r="Y1104" s="11">
        <f t="shared" si="121"/>
        <v>2081</v>
      </c>
    </row>
    <row r="1105" spans="2:25">
      <c r="B1105" t="s">
        <v>26</v>
      </c>
      <c r="C1105" t="s">
        <v>6499</v>
      </c>
      <c r="D1105" t="s">
        <v>6500</v>
      </c>
      <c r="E1105" t="s">
        <v>29</v>
      </c>
      <c r="F1105" t="s">
        <v>30</v>
      </c>
      <c r="G1105" t="s">
        <v>31</v>
      </c>
      <c r="J1105" t="s">
        <v>6499</v>
      </c>
      <c r="K1105" t="s">
        <v>1967</v>
      </c>
      <c r="L1105" t="s">
        <v>6369</v>
      </c>
      <c r="M1105" s="8">
        <v>10.6065</v>
      </c>
      <c r="N1105">
        <v>0</v>
      </c>
      <c r="O1105">
        <v>2081</v>
      </c>
      <c r="P1105" s="9">
        <v>0.402</v>
      </c>
      <c r="Q1105" t="s">
        <v>972</v>
      </c>
      <c r="T1105" s="15" t="s">
        <v>80</v>
      </c>
      <c r="W1105" s="16" t="str">
        <f t="shared" si="119"/>
        <v>EN_WON_40_c01_IRN</v>
      </c>
      <c r="X1105" s="12">
        <f t="shared" si="120"/>
        <v>2081</v>
      </c>
      <c r="Y1105" s="11">
        <f t="shared" si="121"/>
        <v>2081</v>
      </c>
    </row>
    <row r="1106" spans="2:25">
      <c r="B1106" t="s">
        <v>26</v>
      </c>
      <c r="C1106" t="s">
        <v>6501</v>
      </c>
      <c r="D1106" t="s">
        <v>6502</v>
      </c>
      <c r="E1106" t="s">
        <v>29</v>
      </c>
      <c r="F1106" t="s">
        <v>30</v>
      </c>
      <c r="G1106" t="s">
        <v>31</v>
      </c>
      <c r="J1106" t="s">
        <v>6501</v>
      </c>
      <c r="K1106" t="s">
        <v>1967</v>
      </c>
      <c r="L1106" t="s">
        <v>6369</v>
      </c>
      <c r="M1106" s="8">
        <v>2.80125</v>
      </c>
      <c r="N1106">
        <v>0</v>
      </c>
      <c r="O1106">
        <v>2081</v>
      </c>
      <c r="P1106" s="9">
        <v>0.41</v>
      </c>
      <c r="Q1106" t="s">
        <v>972</v>
      </c>
      <c r="T1106" s="15" t="s">
        <v>80</v>
      </c>
      <c r="W1106" s="16" t="str">
        <f t="shared" si="119"/>
        <v>EN_WON_41_c01_IRN</v>
      </c>
      <c r="X1106" s="12">
        <f t="shared" si="120"/>
        <v>2081</v>
      </c>
      <c r="Y1106" s="11">
        <f t="shared" si="121"/>
        <v>2081</v>
      </c>
    </row>
    <row r="1107" spans="2:25">
      <c r="B1107" t="s">
        <v>26</v>
      </c>
      <c r="C1107" t="s">
        <v>6503</v>
      </c>
      <c r="D1107" t="s">
        <v>6504</v>
      </c>
      <c r="E1107" t="s">
        <v>29</v>
      </c>
      <c r="F1107" t="s">
        <v>30</v>
      </c>
      <c r="G1107" t="s">
        <v>31</v>
      </c>
      <c r="J1107" t="s">
        <v>6503</v>
      </c>
      <c r="K1107" t="s">
        <v>1967</v>
      </c>
      <c r="L1107" t="s">
        <v>6369</v>
      </c>
      <c r="M1107" s="8">
        <v>4.8315</v>
      </c>
      <c r="N1107">
        <v>80.7856561622413</v>
      </c>
      <c r="O1107">
        <v>2081</v>
      </c>
      <c r="P1107" s="9">
        <v>0.417</v>
      </c>
      <c r="Q1107" t="s">
        <v>972</v>
      </c>
      <c r="T1107" s="15" t="s">
        <v>80</v>
      </c>
      <c r="W1107" s="16" t="str">
        <f t="shared" si="119"/>
        <v>EN_WON_42_c02_IRN</v>
      </c>
      <c r="X1107" s="12">
        <f t="shared" si="120"/>
        <v>2081</v>
      </c>
      <c r="Y1107" s="11">
        <f t="shared" si="121"/>
        <v>2081</v>
      </c>
    </row>
    <row r="1108" spans="2:25">
      <c r="B1108" t="s">
        <v>26</v>
      </c>
      <c r="C1108" t="s">
        <v>6505</v>
      </c>
      <c r="D1108" t="s">
        <v>6506</v>
      </c>
      <c r="E1108" t="s">
        <v>29</v>
      </c>
      <c r="F1108" t="s">
        <v>30</v>
      </c>
      <c r="G1108" t="s">
        <v>31</v>
      </c>
      <c r="J1108" t="s">
        <v>6505</v>
      </c>
      <c r="K1108" t="s">
        <v>1967</v>
      </c>
      <c r="L1108" t="s">
        <v>6369</v>
      </c>
      <c r="M1108" s="8">
        <v>5.04225</v>
      </c>
      <c r="N1108">
        <v>105.747516212372</v>
      </c>
      <c r="O1108">
        <v>2081</v>
      </c>
      <c r="P1108" s="9">
        <v>0.422</v>
      </c>
      <c r="Q1108" t="s">
        <v>972</v>
      </c>
      <c r="T1108" s="15" t="s">
        <v>80</v>
      </c>
      <c r="W1108" s="16" t="str">
        <f t="shared" si="119"/>
        <v>EN_WON_42_c03_IRN</v>
      </c>
      <c r="X1108" s="12">
        <f t="shared" si="120"/>
        <v>2081</v>
      </c>
      <c r="Y1108" s="11">
        <f t="shared" si="121"/>
        <v>2081</v>
      </c>
    </row>
    <row r="1109" spans="2:25">
      <c r="B1109" t="s">
        <v>26</v>
      </c>
      <c r="C1109" t="s">
        <v>6507</v>
      </c>
      <c r="D1109" t="s">
        <v>6508</v>
      </c>
      <c r="E1109" t="s">
        <v>29</v>
      </c>
      <c r="F1109" t="s">
        <v>30</v>
      </c>
      <c r="G1109" t="s">
        <v>31</v>
      </c>
      <c r="J1109" t="s">
        <v>6507</v>
      </c>
      <c r="K1109" t="s">
        <v>1967</v>
      </c>
      <c r="L1109" t="s">
        <v>6369</v>
      </c>
      <c r="M1109" s="8">
        <v>3.801</v>
      </c>
      <c r="N1109">
        <v>0</v>
      </c>
      <c r="O1109">
        <v>2081</v>
      </c>
      <c r="P1109" s="9">
        <v>0.429</v>
      </c>
      <c r="Q1109" t="s">
        <v>972</v>
      </c>
      <c r="T1109" s="15" t="s">
        <v>80</v>
      </c>
      <c r="W1109" s="16" t="str">
        <f t="shared" si="119"/>
        <v>EN_WON_43_c01_IRN</v>
      </c>
      <c r="X1109" s="12">
        <f t="shared" si="120"/>
        <v>2081</v>
      </c>
      <c r="Y1109" s="11">
        <f t="shared" si="121"/>
        <v>2081</v>
      </c>
    </row>
    <row r="1110" spans="2:25">
      <c r="B1110" t="s">
        <v>26</v>
      </c>
      <c r="C1110" t="s">
        <v>6509</v>
      </c>
      <c r="D1110" t="s">
        <v>6510</v>
      </c>
      <c r="E1110" t="s">
        <v>29</v>
      </c>
      <c r="F1110" t="s">
        <v>30</v>
      </c>
      <c r="G1110" t="s">
        <v>31</v>
      </c>
      <c r="J1110" t="s">
        <v>6509</v>
      </c>
      <c r="K1110" t="s">
        <v>1967</v>
      </c>
      <c r="L1110" t="s">
        <v>6369</v>
      </c>
      <c r="M1110" s="8">
        <v>5.0025</v>
      </c>
      <c r="N1110">
        <v>0</v>
      </c>
      <c r="O1110">
        <v>2081</v>
      </c>
      <c r="P1110" s="9">
        <v>0.435</v>
      </c>
      <c r="Q1110" t="s">
        <v>972</v>
      </c>
      <c r="T1110" s="15" t="s">
        <v>80</v>
      </c>
      <c r="W1110" s="16" t="str">
        <f t="shared" si="119"/>
        <v>EN_WON_44_c01_IRN</v>
      </c>
      <c r="X1110" s="12">
        <f t="shared" si="120"/>
        <v>2081</v>
      </c>
      <c r="Y1110" s="11">
        <f t="shared" si="121"/>
        <v>2081</v>
      </c>
    </row>
    <row r="1111" spans="2:25">
      <c r="B1111" t="s">
        <v>26</v>
      </c>
      <c r="C1111" t="s">
        <v>6511</v>
      </c>
      <c r="D1111" t="s">
        <v>6512</v>
      </c>
      <c r="E1111" t="s">
        <v>29</v>
      </c>
      <c r="F1111" t="s">
        <v>30</v>
      </c>
      <c r="G1111" t="s">
        <v>31</v>
      </c>
      <c r="J1111" t="s">
        <v>6511</v>
      </c>
      <c r="K1111" t="s">
        <v>1967</v>
      </c>
      <c r="L1111" t="s">
        <v>6369</v>
      </c>
      <c r="M1111" s="8">
        <v>5.56125</v>
      </c>
      <c r="N1111">
        <v>80.7856561622413</v>
      </c>
      <c r="O1111">
        <v>2081</v>
      </c>
      <c r="P1111" s="9">
        <v>0.464</v>
      </c>
      <c r="Q1111" t="s">
        <v>972</v>
      </c>
      <c r="T1111" s="15" t="s">
        <v>80</v>
      </c>
      <c r="W1111" s="16" t="str">
        <f t="shared" si="119"/>
        <v>EN_WON_46_c02_IRN</v>
      </c>
      <c r="X1111" s="12">
        <f t="shared" si="120"/>
        <v>2081</v>
      </c>
      <c r="Y1111" s="11">
        <f t="shared" si="121"/>
        <v>2081</v>
      </c>
    </row>
    <row r="1112" spans="2:25">
      <c r="B1112" t="s">
        <v>26</v>
      </c>
      <c r="C1112" t="s">
        <v>6513</v>
      </c>
      <c r="D1112" t="s">
        <v>6514</v>
      </c>
      <c r="E1112" t="s">
        <v>29</v>
      </c>
      <c r="F1112" t="s">
        <v>30</v>
      </c>
      <c r="G1112" t="s">
        <v>31</v>
      </c>
      <c r="J1112" t="s">
        <v>6513</v>
      </c>
      <c r="K1112" t="s">
        <v>1967</v>
      </c>
      <c r="L1112" t="s">
        <v>6369</v>
      </c>
      <c r="M1112" s="8">
        <v>3.6375</v>
      </c>
      <c r="N1112">
        <v>0</v>
      </c>
      <c r="O1112">
        <v>2081</v>
      </c>
      <c r="P1112" s="9">
        <v>0.492</v>
      </c>
      <c r="Q1112" t="s">
        <v>972</v>
      </c>
      <c r="T1112" s="15" t="s">
        <v>80</v>
      </c>
      <c r="W1112" s="16" t="str">
        <f t="shared" si="119"/>
        <v>EN_WON_49_c01_IRN</v>
      </c>
      <c r="X1112" s="12">
        <f t="shared" si="120"/>
        <v>2081</v>
      </c>
      <c r="Y1112" s="11">
        <f t="shared" si="121"/>
        <v>2081</v>
      </c>
    </row>
    <row r="1113" spans="2:25">
      <c r="B1113" t="s">
        <v>26</v>
      </c>
      <c r="C1113" t="s">
        <v>6515</v>
      </c>
      <c r="D1113" t="s">
        <v>6516</v>
      </c>
      <c r="E1113" t="s">
        <v>29</v>
      </c>
      <c r="F1113" t="s">
        <v>30</v>
      </c>
      <c r="G1113" t="s">
        <v>31</v>
      </c>
      <c r="J1113" t="s">
        <v>6515</v>
      </c>
      <c r="K1113" t="s">
        <v>1967</v>
      </c>
      <c r="L1113" t="s">
        <v>6369</v>
      </c>
      <c r="M1113" s="8">
        <v>11.08875</v>
      </c>
      <c r="N1113">
        <v>0</v>
      </c>
      <c r="O1113">
        <v>2081</v>
      </c>
      <c r="P1113" s="9">
        <v>0.498576462631045</v>
      </c>
      <c r="Q1113" t="s">
        <v>972</v>
      </c>
      <c r="T1113" s="15" t="s">
        <v>80</v>
      </c>
      <c r="W1113" s="16" t="str">
        <f t="shared" si="119"/>
        <v>EN_WON_50_c01_IRN</v>
      </c>
      <c r="X1113" s="12">
        <f t="shared" si="120"/>
        <v>2081</v>
      </c>
      <c r="Y1113" s="11">
        <f t="shared" si="121"/>
        <v>2081</v>
      </c>
    </row>
    <row r="1114" spans="2:25">
      <c r="B1114" t="s">
        <v>26</v>
      </c>
      <c r="C1114" t="s">
        <v>6517</v>
      </c>
      <c r="D1114" t="s">
        <v>6518</v>
      </c>
      <c r="E1114" t="s">
        <v>29</v>
      </c>
      <c r="F1114" t="s">
        <v>30</v>
      </c>
      <c r="G1114" t="s">
        <v>31</v>
      </c>
      <c r="J1114" t="s">
        <v>6517</v>
      </c>
      <c r="K1114" t="s">
        <v>1967</v>
      </c>
      <c r="L1114" t="s">
        <v>6369</v>
      </c>
      <c r="M1114" s="8">
        <v>4.14</v>
      </c>
      <c r="N1114">
        <v>0</v>
      </c>
      <c r="O1114">
        <v>2081</v>
      </c>
      <c r="P1114" s="9">
        <v>0.514</v>
      </c>
      <c r="Q1114" t="s">
        <v>972</v>
      </c>
      <c r="T1114" s="15" t="s">
        <v>80</v>
      </c>
      <c r="W1114" s="16" t="str">
        <f t="shared" si="119"/>
        <v>EN_WON_51_c01_IRN</v>
      </c>
      <c r="X1114" s="12">
        <f t="shared" si="120"/>
        <v>2081</v>
      </c>
      <c r="Y1114" s="11">
        <f t="shared" si="121"/>
        <v>2081</v>
      </c>
    </row>
    <row r="1115" spans="2:25">
      <c r="B1115" t="s">
        <v>26</v>
      </c>
      <c r="C1115" t="s">
        <v>6519</v>
      </c>
      <c r="D1115" t="s">
        <v>6520</v>
      </c>
      <c r="E1115" t="s">
        <v>29</v>
      </c>
      <c r="F1115" t="s">
        <v>30</v>
      </c>
      <c r="G1115" t="s">
        <v>31</v>
      </c>
      <c r="J1115" t="s">
        <v>6519</v>
      </c>
      <c r="K1115" t="s">
        <v>1967</v>
      </c>
      <c r="L1115" t="s">
        <v>6369</v>
      </c>
      <c r="M1115" s="8">
        <v>3.3645</v>
      </c>
      <c r="N1115">
        <v>0</v>
      </c>
      <c r="O1115">
        <v>2081</v>
      </c>
      <c r="P1115" s="9">
        <v>0.521</v>
      </c>
      <c r="Q1115" t="s">
        <v>972</v>
      </c>
      <c r="T1115" s="15" t="s">
        <v>80</v>
      </c>
      <c r="W1115" s="16" t="str">
        <f t="shared" si="119"/>
        <v>EN_WON_52_c01_IRN</v>
      </c>
      <c r="X1115" s="12">
        <f t="shared" si="120"/>
        <v>2081</v>
      </c>
      <c r="Y1115" s="11">
        <f t="shared" si="121"/>
        <v>2081</v>
      </c>
    </row>
    <row r="1116" spans="2:25">
      <c r="B1116" t="s">
        <v>26</v>
      </c>
      <c r="C1116" t="s">
        <v>6521</v>
      </c>
      <c r="D1116" t="s">
        <v>6522</v>
      </c>
      <c r="E1116" t="s">
        <v>29</v>
      </c>
      <c r="F1116" t="s">
        <v>30</v>
      </c>
      <c r="G1116" t="s">
        <v>31</v>
      </c>
      <c r="J1116" t="s">
        <v>6521</v>
      </c>
      <c r="K1116" t="s">
        <v>1967</v>
      </c>
      <c r="L1116" t="s">
        <v>6523</v>
      </c>
      <c r="M1116" s="8">
        <v>61.689</v>
      </c>
      <c r="N1116">
        <v>0</v>
      </c>
      <c r="O1116">
        <v>1756</v>
      </c>
      <c r="P1116" s="9">
        <v>0.349377291737587</v>
      </c>
      <c r="Q1116" t="s">
        <v>988</v>
      </c>
      <c r="T1116" s="15" t="s">
        <v>80</v>
      </c>
      <c r="W1116" s="16" t="str">
        <f t="shared" si="119"/>
        <v>EN_WON_35_c01_IRQ</v>
      </c>
      <c r="X1116" s="12">
        <f t="shared" si="120"/>
        <v>1756</v>
      </c>
      <c r="Y1116" s="11">
        <f t="shared" si="121"/>
        <v>1756</v>
      </c>
    </row>
    <row r="1117" spans="2:25">
      <c r="B1117" t="s">
        <v>26</v>
      </c>
      <c r="C1117" t="s">
        <v>6524</v>
      </c>
      <c r="D1117" t="s">
        <v>6525</v>
      </c>
      <c r="E1117" t="s">
        <v>29</v>
      </c>
      <c r="F1117" t="s">
        <v>30</v>
      </c>
      <c r="G1117" t="s">
        <v>31</v>
      </c>
      <c r="J1117" t="s">
        <v>6524</v>
      </c>
      <c r="K1117" t="s">
        <v>1967</v>
      </c>
      <c r="L1117" t="s">
        <v>6523</v>
      </c>
      <c r="M1117" s="8">
        <v>31.716</v>
      </c>
      <c r="N1117">
        <v>0</v>
      </c>
      <c r="O1117">
        <v>1756</v>
      </c>
      <c r="P1117" s="9">
        <v>0.359579242338252</v>
      </c>
      <c r="Q1117" t="s">
        <v>988</v>
      </c>
      <c r="T1117" s="15" t="s">
        <v>80</v>
      </c>
      <c r="W1117" s="16" t="str">
        <f t="shared" si="119"/>
        <v>EN_WON_36_c01_IRQ</v>
      </c>
      <c r="X1117" s="12">
        <f t="shared" si="120"/>
        <v>1756</v>
      </c>
      <c r="Y1117" s="11">
        <f t="shared" si="121"/>
        <v>1756</v>
      </c>
    </row>
    <row r="1118" spans="2:25">
      <c r="B1118" t="s">
        <v>26</v>
      </c>
      <c r="C1118" t="s">
        <v>6526</v>
      </c>
      <c r="D1118" t="s">
        <v>6527</v>
      </c>
      <c r="E1118" t="s">
        <v>29</v>
      </c>
      <c r="F1118" t="s">
        <v>30</v>
      </c>
      <c r="G1118" t="s">
        <v>31</v>
      </c>
      <c r="J1118" t="s">
        <v>6526</v>
      </c>
      <c r="K1118" t="s">
        <v>1967</v>
      </c>
      <c r="L1118" t="s">
        <v>6523</v>
      </c>
      <c r="M1118" s="8">
        <v>10.83675</v>
      </c>
      <c r="N1118">
        <v>0</v>
      </c>
      <c r="O1118">
        <v>1756</v>
      </c>
      <c r="P1118" s="9">
        <v>0.368975984497197</v>
      </c>
      <c r="Q1118" t="s">
        <v>988</v>
      </c>
      <c r="T1118" s="15" t="s">
        <v>80</v>
      </c>
      <c r="W1118" s="16" t="str">
        <f t="shared" si="119"/>
        <v>EN_WON_37_c01_IRQ</v>
      </c>
      <c r="X1118" s="12">
        <f t="shared" si="120"/>
        <v>1756</v>
      </c>
      <c r="Y1118" s="11">
        <f t="shared" si="121"/>
        <v>1756</v>
      </c>
    </row>
    <row r="1119" spans="2:25">
      <c r="B1119" t="s">
        <v>26</v>
      </c>
      <c r="C1119" t="s">
        <v>6528</v>
      </c>
      <c r="D1119" t="s">
        <v>6529</v>
      </c>
      <c r="E1119" t="s">
        <v>29</v>
      </c>
      <c r="F1119" t="s">
        <v>30</v>
      </c>
      <c r="G1119" t="s">
        <v>31</v>
      </c>
      <c r="J1119" t="s">
        <v>6528</v>
      </c>
      <c r="K1119" t="s">
        <v>1967</v>
      </c>
      <c r="L1119" t="s">
        <v>6523</v>
      </c>
      <c r="M1119" s="8">
        <v>5.4405</v>
      </c>
      <c r="N1119">
        <v>0</v>
      </c>
      <c r="O1119">
        <v>1756</v>
      </c>
      <c r="P1119" s="9">
        <v>0.377</v>
      </c>
      <c r="Q1119" t="s">
        <v>988</v>
      </c>
      <c r="T1119" s="15" t="s">
        <v>80</v>
      </c>
      <c r="W1119" s="16" t="str">
        <f t="shared" si="119"/>
        <v>EN_WON_38_c01_IRQ</v>
      </c>
      <c r="X1119" s="12">
        <f t="shared" si="120"/>
        <v>1756</v>
      </c>
      <c r="Y1119" s="11">
        <f t="shared" si="121"/>
        <v>1756</v>
      </c>
    </row>
    <row r="1120" spans="2:25">
      <c r="B1120" t="s">
        <v>26</v>
      </c>
      <c r="C1120" t="s">
        <v>6530</v>
      </c>
      <c r="D1120" t="s">
        <v>6531</v>
      </c>
      <c r="E1120" t="s">
        <v>29</v>
      </c>
      <c r="F1120" t="s">
        <v>30</v>
      </c>
      <c r="G1120" t="s">
        <v>31</v>
      </c>
      <c r="J1120" t="s">
        <v>6530</v>
      </c>
      <c r="K1120" t="s">
        <v>1967</v>
      </c>
      <c r="L1120" t="s">
        <v>6523</v>
      </c>
      <c r="M1120" s="8">
        <v>12.276</v>
      </c>
      <c r="N1120">
        <v>0</v>
      </c>
      <c r="O1120">
        <v>1756</v>
      </c>
      <c r="P1120" s="9">
        <v>0.388519916911046</v>
      </c>
      <c r="Q1120" t="s">
        <v>988</v>
      </c>
      <c r="T1120" s="15" t="s">
        <v>80</v>
      </c>
      <c r="W1120" s="16" t="str">
        <f t="shared" si="119"/>
        <v>EN_WON_39_c01_IRQ</v>
      </c>
      <c r="X1120" s="12">
        <f t="shared" si="120"/>
        <v>1756</v>
      </c>
      <c r="Y1120" s="11">
        <f t="shared" si="121"/>
        <v>1756</v>
      </c>
    </row>
    <row r="1121" spans="2:25">
      <c r="B1121" t="s">
        <v>26</v>
      </c>
      <c r="C1121" t="s">
        <v>6532</v>
      </c>
      <c r="D1121" t="s">
        <v>6533</v>
      </c>
      <c r="E1121" t="s">
        <v>29</v>
      </c>
      <c r="F1121" t="s">
        <v>30</v>
      </c>
      <c r="G1121" t="s">
        <v>31</v>
      </c>
      <c r="J1121" t="s">
        <v>6532</v>
      </c>
      <c r="K1121" t="s">
        <v>1967</v>
      </c>
      <c r="L1121" t="s">
        <v>6523</v>
      </c>
      <c r="M1121" s="8">
        <v>12.213</v>
      </c>
      <c r="N1121">
        <v>0</v>
      </c>
      <c r="O1121">
        <v>1756</v>
      </c>
      <c r="P1121" s="9">
        <v>0.395</v>
      </c>
      <c r="Q1121" t="s">
        <v>988</v>
      </c>
      <c r="T1121" s="15" t="s">
        <v>80</v>
      </c>
      <c r="W1121" s="16" t="str">
        <f t="shared" si="119"/>
        <v>EN_WON_40_c01_IRQ</v>
      </c>
      <c r="X1121" s="12">
        <f t="shared" si="120"/>
        <v>1756</v>
      </c>
      <c r="Y1121" s="11">
        <f t="shared" si="121"/>
        <v>1756</v>
      </c>
    </row>
    <row r="1122" spans="2:25">
      <c r="B1122" t="s">
        <v>26</v>
      </c>
      <c r="C1122" t="s">
        <v>6534</v>
      </c>
      <c r="D1122" t="s">
        <v>6535</v>
      </c>
      <c r="E1122" t="s">
        <v>29</v>
      </c>
      <c r="F1122" t="s">
        <v>30</v>
      </c>
      <c r="G1122" t="s">
        <v>31</v>
      </c>
      <c r="J1122" t="s">
        <v>6534</v>
      </c>
      <c r="K1122" t="s">
        <v>1967</v>
      </c>
      <c r="L1122" t="s">
        <v>6536</v>
      </c>
      <c r="M1122" s="8">
        <v>4.28025</v>
      </c>
      <c r="N1122">
        <v>145.23264029167</v>
      </c>
      <c r="O1122">
        <v>1756</v>
      </c>
      <c r="P1122" s="9">
        <v>0.152</v>
      </c>
      <c r="Q1122" t="s">
        <v>1002</v>
      </c>
      <c r="T1122" s="15" t="s">
        <v>80</v>
      </c>
      <c r="W1122" s="16" t="str">
        <f t="shared" si="119"/>
        <v>EN_WON_15_c04_ISR</v>
      </c>
      <c r="X1122" s="12">
        <f t="shared" si="120"/>
        <v>1756</v>
      </c>
      <c r="Y1122" s="11">
        <f t="shared" si="121"/>
        <v>1756</v>
      </c>
    </row>
    <row r="1123" spans="2:25">
      <c r="B1123" t="s">
        <v>26</v>
      </c>
      <c r="C1123" t="s">
        <v>6537</v>
      </c>
      <c r="D1123" t="s">
        <v>6538</v>
      </c>
      <c r="E1123" t="s">
        <v>29</v>
      </c>
      <c r="F1123" t="s">
        <v>30</v>
      </c>
      <c r="G1123" t="s">
        <v>31</v>
      </c>
      <c r="J1123" t="s">
        <v>6537</v>
      </c>
      <c r="K1123" t="s">
        <v>1967</v>
      </c>
      <c r="L1123" t="s">
        <v>6536</v>
      </c>
      <c r="M1123" s="8">
        <v>4.78575</v>
      </c>
      <c r="N1123">
        <v>145.23264029167</v>
      </c>
      <c r="O1123">
        <v>1756</v>
      </c>
      <c r="P1123" s="9">
        <v>0.157</v>
      </c>
      <c r="Q1123" t="s">
        <v>1002</v>
      </c>
      <c r="T1123" s="15" t="s">
        <v>80</v>
      </c>
      <c r="W1123" s="16" t="str">
        <f t="shared" si="119"/>
        <v>EN_WON_16_c04_ISR</v>
      </c>
      <c r="X1123" s="12">
        <f t="shared" si="120"/>
        <v>1756</v>
      </c>
      <c r="Y1123" s="11">
        <f t="shared" si="121"/>
        <v>1756</v>
      </c>
    </row>
    <row r="1124" spans="2:25">
      <c r="B1124" t="s">
        <v>26</v>
      </c>
      <c r="C1124" t="s">
        <v>6539</v>
      </c>
      <c r="D1124" t="s">
        <v>6540</v>
      </c>
      <c r="E1124" t="s">
        <v>29</v>
      </c>
      <c r="F1124" t="s">
        <v>30</v>
      </c>
      <c r="G1124" t="s">
        <v>31</v>
      </c>
      <c r="J1124" t="s">
        <v>6539</v>
      </c>
      <c r="K1124" t="s">
        <v>1967</v>
      </c>
      <c r="L1124" t="s">
        <v>6536</v>
      </c>
      <c r="M1124" s="8">
        <v>3.0345</v>
      </c>
      <c r="N1124">
        <v>145.23264029167</v>
      </c>
      <c r="O1124">
        <v>1756</v>
      </c>
      <c r="P1124" s="9">
        <v>0.172</v>
      </c>
      <c r="Q1124" t="s">
        <v>1002</v>
      </c>
      <c r="T1124" s="15" t="s">
        <v>80</v>
      </c>
      <c r="W1124" s="16" t="str">
        <f t="shared" si="119"/>
        <v>EN_WON_17_c04_ISR</v>
      </c>
      <c r="X1124" s="12">
        <f t="shared" si="120"/>
        <v>1756</v>
      </c>
      <c r="Y1124" s="11">
        <f t="shared" si="121"/>
        <v>1756</v>
      </c>
    </row>
    <row r="1125" spans="2:25">
      <c r="B1125" t="s">
        <v>26</v>
      </c>
      <c r="C1125" t="s">
        <v>6541</v>
      </c>
      <c r="D1125" t="s">
        <v>6542</v>
      </c>
      <c r="E1125" t="s">
        <v>29</v>
      </c>
      <c r="F1125" t="s">
        <v>30</v>
      </c>
      <c r="G1125" t="s">
        <v>31</v>
      </c>
      <c r="J1125" t="s">
        <v>6541</v>
      </c>
      <c r="K1125" t="s">
        <v>1967</v>
      </c>
      <c r="L1125" t="s">
        <v>6536</v>
      </c>
      <c r="M1125" s="8">
        <v>12.67275</v>
      </c>
      <c r="N1125">
        <v>105.747516212372</v>
      </c>
      <c r="O1125">
        <v>1756</v>
      </c>
      <c r="P1125" s="9">
        <v>0.176503462153045</v>
      </c>
      <c r="Q1125" t="s">
        <v>1002</v>
      </c>
      <c r="T1125" s="15" t="s">
        <v>80</v>
      </c>
      <c r="W1125" s="16" t="str">
        <f t="shared" si="119"/>
        <v>EN_WON_18_c03_ISR</v>
      </c>
      <c r="X1125" s="12">
        <f t="shared" si="120"/>
        <v>1756</v>
      </c>
      <c r="Y1125" s="11">
        <f t="shared" si="121"/>
        <v>1756</v>
      </c>
    </row>
    <row r="1126" spans="2:25">
      <c r="B1126" t="s">
        <v>26</v>
      </c>
      <c r="C1126" t="s">
        <v>6543</v>
      </c>
      <c r="D1126" t="s">
        <v>6544</v>
      </c>
      <c r="E1126" t="s">
        <v>29</v>
      </c>
      <c r="F1126" t="s">
        <v>30</v>
      </c>
      <c r="G1126" t="s">
        <v>31</v>
      </c>
      <c r="J1126" t="s">
        <v>6543</v>
      </c>
      <c r="K1126" t="s">
        <v>1967</v>
      </c>
      <c r="L1126" t="s">
        <v>6536</v>
      </c>
      <c r="M1126" s="8">
        <v>3.918</v>
      </c>
      <c r="N1126">
        <v>145.23264029167</v>
      </c>
      <c r="O1126">
        <v>1756</v>
      </c>
      <c r="P1126" s="9">
        <v>0.181</v>
      </c>
      <c r="Q1126" t="s">
        <v>1002</v>
      </c>
      <c r="T1126" s="15" t="s">
        <v>80</v>
      </c>
      <c r="W1126" s="16" t="str">
        <f t="shared" si="119"/>
        <v>EN_WON_18_c04_ISR</v>
      </c>
      <c r="X1126" s="12">
        <f t="shared" si="120"/>
        <v>1756</v>
      </c>
      <c r="Y1126" s="11">
        <f t="shared" si="121"/>
        <v>1756</v>
      </c>
    </row>
    <row r="1127" spans="2:25">
      <c r="B1127" t="s">
        <v>26</v>
      </c>
      <c r="C1127" t="s">
        <v>6545</v>
      </c>
      <c r="D1127" t="s">
        <v>6546</v>
      </c>
      <c r="E1127" t="s">
        <v>29</v>
      </c>
      <c r="F1127" t="s">
        <v>30</v>
      </c>
      <c r="G1127" t="s">
        <v>31</v>
      </c>
      <c r="J1127" t="s">
        <v>6545</v>
      </c>
      <c r="K1127" t="s">
        <v>1967</v>
      </c>
      <c r="L1127" t="s">
        <v>6536</v>
      </c>
      <c r="M1127" s="8">
        <v>6.243</v>
      </c>
      <c r="N1127">
        <v>105.747516212372</v>
      </c>
      <c r="O1127">
        <v>1756</v>
      </c>
      <c r="P1127" s="9">
        <v>0.188</v>
      </c>
      <c r="Q1127" t="s">
        <v>1002</v>
      </c>
      <c r="T1127" s="15" t="s">
        <v>80</v>
      </c>
      <c r="W1127" s="16" t="str">
        <f t="shared" si="119"/>
        <v>EN_WON_19_c03_ISR</v>
      </c>
      <c r="X1127" s="12">
        <f t="shared" si="120"/>
        <v>1756</v>
      </c>
      <c r="Y1127" s="11">
        <f t="shared" si="121"/>
        <v>1756</v>
      </c>
    </row>
    <row r="1128" spans="2:25">
      <c r="B1128" t="s">
        <v>26</v>
      </c>
      <c r="C1128" t="s">
        <v>6547</v>
      </c>
      <c r="D1128" t="s">
        <v>6548</v>
      </c>
      <c r="E1128" t="s">
        <v>29</v>
      </c>
      <c r="F1128" t="s">
        <v>30</v>
      </c>
      <c r="G1128" t="s">
        <v>31</v>
      </c>
      <c r="J1128" t="s">
        <v>6547</v>
      </c>
      <c r="K1128" t="s">
        <v>1967</v>
      </c>
      <c r="L1128" t="s">
        <v>6536</v>
      </c>
      <c r="M1128" s="8">
        <v>3.95175</v>
      </c>
      <c r="N1128">
        <v>145.23264029167</v>
      </c>
      <c r="O1128">
        <v>1756</v>
      </c>
      <c r="P1128" s="9">
        <v>0.185</v>
      </c>
      <c r="Q1128" t="s">
        <v>1002</v>
      </c>
      <c r="T1128" s="15" t="s">
        <v>80</v>
      </c>
      <c r="W1128" s="16" t="str">
        <f t="shared" si="119"/>
        <v>EN_WON_19_c04_ISR</v>
      </c>
      <c r="X1128" s="12">
        <f t="shared" si="120"/>
        <v>1756</v>
      </c>
      <c r="Y1128" s="11">
        <f t="shared" si="121"/>
        <v>1756</v>
      </c>
    </row>
    <row r="1129" spans="2:25">
      <c r="B1129" t="s">
        <v>26</v>
      </c>
      <c r="C1129" t="s">
        <v>6549</v>
      </c>
      <c r="D1129" t="s">
        <v>6550</v>
      </c>
      <c r="E1129" t="s">
        <v>29</v>
      </c>
      <c r="F1129" t="s">
        <v>30</v>
      </c>
      <c r="G1129" t="s">
        <v>31</v>
      </c>
      <c r="J1129" t="s">
        <v>6549</v>
      </c>
      <c r="K1129" t="s">
        <v>1967</v>
      </c>
      <c r="L1129" t="s">
        <v>6536</v>
      </c>
      <c r="M1129" s="8">
        <v>2.87025</v>
      </c>
      <c r="N1129">
        <v>105.747516212372</v>
      </c>
      <c r="O1129">
        <v>1756</v>
      </c>
      <c r="P1129" s="9">
        <v>0.201</v>
      </c>
      <c r="Q1129" t="s">
        <v>1002</v>
      </c>
      <c r="T1129" s="15" t="s">
        <v>80</v>
      </c>
      <c r="W1129" s="16" t="str">
        <f t="shared" si="119"/>
        <v>EN_WON_20_c03_ISR</v>
      </c>
      <c r="X1129" s="12">
        <f t="shared" si="120"/>
        <v>1756</v>
      </c>
      <c r="Y1129" s="11">
        <f t="shared" si="121"/>
        <v>1756</v>
      </c>
    </row>
    <row r="1130" spans="2:25">
      <c r="B1130" t="s">
        <v>26</v>
      </c>
      <c r="C1130" t="s">
        <v>6551</v>
      </c>
      <c r="D1130" t="s">
        <v>6552</v>
      </c>
      <c r="E1130" t="s">
        <v>29</v>
      </c>
      <c r="F1130" t="s">
        <v>30</v>
      </c>
      <c r="G1130" t="s">
        <v>31</v>
      </c>
      <c r="J1130" t="s">
        <v>6551</v>
      </c>
      <c r="K1130" t="s">
        <v>1967</v>
      </c>
      <c r="L1130" t="s">
        <v>6536</v>
      </c>
      <c r="M1130" s="8">
        <v>4.46925</v>
      </c>
      <c r="N1130">
        <v>105.747516212372</v>
      </c>
      <c r="O1130">
        <v>1756</v>
      </c>
      <c r="P1130" s="9">
        <v>0.209</v>
      </c>
      <c r="Q1130" t="s">
        <v>1002</v>
      </c>
      <c r="T1130" s="15" t="s">
        <v>80</v>
      </c>
      <c r="W1130" s="16" t="str">
        <f t="shared" si="119"/>
        <v>EN_WON_21_c03_ISR</v>
      </c>
      <c r="X1130" s="12">
        <f t="shared" si="120"/>
        <v>1756</v>
      </c>
      <c r="Y1130" s="11">
        <f t="shared" si="121"/>
        <v>1756</v>
      </c>
    </row>
    <row r="1131" spans="2:25">
      <c r="B1131" t="s">
        <v>26</v>
      </c>
      <c r="C1131" t="s">
        <v>6553</v>
      </c>
      <c r="D1131" t="s">
        <v>6554</v>
      </c>
      <c r="E1131" t="s">
        <v>29</v>
      </c>
      <c r="F1131" t="s">
        <v>30</v>
      </c>
      <c r="G1131" t="s">
        <v>31</v>
      </c>
      <c r="J1131" t="s">
        <v>6553</v>
      </c>
      <c r="K1131" t="s">
        <v>1967</v>
      </c>
      <c r="L1131" t="s">
        <v>6536</v>
      </c>
      <c r="M1131" s="8">
        <v>6.29325</v>
      </c>
      <c r="N1131">
        <v>105.747516212372</v>
      </c>
      <c r="O1131">
        <v>1756</v>
      </c>
      <c r="P1131" s="9">
        <v>0.22</v>
      </c>
      <c r="Q1131" t="s">
        <v>1002</v>
      </c>
      <c r="T1131" s="15" t="s">
        <v>80</v>
      </c>
      <c r="W1131" s="16" t="str">
        <f t="shared" si="119"/>
        <v>EN_WON_22_c03_ISR</v>
      </c>
      <c r="X1131" s="12">
        <f t="shared" si="120"/>
        <v>1756</v>
      </c>
      <c r="Y1131" s="11">
        <f t="shared" si="121"/>
        <v>1756</v>
      </c>
    </row>
    <row r="1132" spans="2:25">
      <c r="B1132" t="s">
        <v>26</v>
      </c>
      <c r="C1132" t="s">
        <v>6555</v>
      </c>
      <c r="D1132" t="s">
        <v>6556</v>
      </c>
      <c r="E1132" t="s">
        <v>29</v>
      </c>
      <c r="F1132" t="s">
        <v>30</v>
      </c>
      <c r="G1132" t="s">
        <v>31</v>
      </c>
      <c r="J1132" t="s">
        <v>6555</v>
      </c>
      <c r="K1132" t="s">
        <v>1967</v>
      </c>
      <c r="L1132" t="s">
        <v>6536</v>
      </c>
      <c r="M1132" s="8">
        <v>3.7635</v>
      </c>
      <c r="N1132">
        <v>105.747516212372</v>
      </c>
      <c r="O1132">
        <v>1756</v>
      </c>
      <c r="P1132" s="9">
        <v>0.227</v>
      </c>
      <c r="Q1132" t="s">
        <v>1002</v>
      </c>
      <c r="T1132" s="15" t="s">
        <v>80</v>
      </c>
      <c r="W1132" s="16" t="str">
        <f t="shared" si="119"/>
        <v>EN_WON_23_c03_ISR</v>
      </c>
      <c r="X1132" s="12">
        <f t="shared" si="120"/>
        <v>1756</v>
      </c>
      <c r="Y1132" s="11">
        <f t="shared" si="121"/>
        <v>1756</v>
      </c>
    </row>
    <row r="1133" spans="2:25">
      <c r="B1133" t="s">
        <v>26</v>
      </c>
      <c r="C1133" t="s">
        <v>6557</v>
      </c>
      <c r="D1133" t="s">
        <v>6558</v>
      </c>
      <c r="E1133" t="s">
        <v>29</v>
      </c>
      <c r="F1133" t="s">
        <v>30</v>
      </c>
      <c r="G1133" t="s">
        <v>31</v>
      </c>
      <c r="J1133" t="s">
        <v>6557</v>
      </c>
      <c r="K1133" t="s">
        <v>1967</v>
      </c>
      <c r="L1133" t="s">
        <v>6536</v>
      </c>
      <c r="M1133" s="8">
        <v>4.1325</v>
      </c>
      <c r="N1133">
        <v>145.23264029167</v>
      </c>
      <c r="O1133">
        <v>1756</v>
      </c>
      <c r="P1133" s="9">
        <v>0.236</v>
      </c>
      <c r="Q1133" t="s">
        <v>1002</v>
      </c>
      <c r="T1133" s="15" t="s">
        <v>80</v>
      </c>
      <c r="W1133" s="16" t="str">
        <f t="shared" si="119"/>
        <v>EN_WON_24_c04_ISR</v>
      </c>
      <c r="X1133" s="12">
        <f t="shared" si="120"/>
        <v>1756</v>
      </c>
      <c r="Y1133" s="11">
        <f t="shared" si="121"/>
        <v>1756</v>
      </c>
    </row>
    <row r="1134" spans="2:25">
      <c r="B1134" t="s">
        <v>26</v>
      </c>
      <c r="C1134" t="s">
        <v>6559</v>
      </c>
      <c r="D1134" t="s">
        <v>6560</v>
      </c>
      <c r="E1134" t="s">
        <v>29</v>
      </c>
      <c r="F1134" t="s">
        <v>30</v>
      </c>
      <c r="G1134" t="s">
        <v>31</v>
      </c>
      <c r="J1134" t="s">
        <v>6559</v>
      </c>
      <c r="K1134" t="s">
        <v>1967</v>
      </c>
      <c r="L1134" t="s">
        <v>6536</v>
      </c>
      <c r="M1134" s="8">
        <v>5.553</v>
      </c>
      <c r="N1134">
        <v>105.747516212372</v>
      </c>
      <c r="O1134">
        <v>1756</v>
      </c>
      <c r="P1134" s="9">
        <v>0.277</v>
      </c>
      <c r="Q1134" t="s">
        <v>1002</v>
      </c>
      <c r="T1134" s="15" t="s">
        <v>80</v>
      </c>
      <c r="W1134" s="16" t="str">
        <f t="shared" si="119"/>
        <v>EN_WON_28_c03_ISR</v>
      </c>
      <c r="X1134" s="12">
        <f t="shared" si="120"/>
        <v>1756</v>
      </c>
      <c r="Y1134" s="11">
        <f t="shared" si="121"/>
        <v>1756</v>
      </c>
    </row>
    <row r="1135" spans="2:25">
      <c r="B1135" t="s">
        <v>26</v>
      </c>
      <c r="C1135" t="s">
        <v>6561</v>
      </c>
      <c r="D1135" t="s">
        <v>6562</v>
      </c>
      <c r="E1135" t="s">
        <v>29</v>
      </c>
      <c r="F1135" t="s">
        <v>30</v>
      </c>
      <c r="G1135" t="s">
        <v>31</v>
      </c>
      <c r="J1135" t="s">
        <v>6561</v>
      </c>
      <c r="K1135" t="s">
        <v>1967</v>
      </c>
      <c r="L1135" t="s">
        <v>4130</v>
      </c>
      <c r="M1135" s="8">
        <v>13.10475</v>
      </c>
      <c r="N1135">
        <v>105.747516212372</v>
      </c>
      <c r="O1135">
        <v>1670</v>
      </c>
      <c r="P1135" s="9">
        <v>0.180337721055343</v>
      </c>
      <c r="Q1135" t="s">
        <v>1010</v>
      </c>
      <c r="T1135" s="15" t="s">
        <v>69</v>
      </c>
      <c r="W1135" s="16" t="str">
        <f t="shared" si="119"/>
        <v>EN_WON_18_c03_ITA</v>
      </c>
      <c r="X1135" s="12">
        <f t="shared" si="120"/>
        <v>1670</v>
      </c>
      <c r="Y1135" s="11">
        <f t="shared" si="121"/>
        <v>1670</v>
      </c>
    </row>
    <row r="1136" spans="2:25">
      <c r="B1136" t="s">
        <v>26</v>
      </c>
      <c r="C1136" t="s">
        <v>6563</v>
      </c>
      <c r="D1136" t="s">
        <v>6564</v>
      </c>
      <c r="E1136" t="s">
        <v>29</v>
      </c>
      <c r="F1136" t="s">
        <v>30</v>
      </c>
      <c r="G1136" t="s">
        <v>31</v>
      </c>
      <c r="J1136" t="s">
        <v>6563</v>
      </c>
      <c r="K1136" t="s">
        <v>1967</v>
      </c>
      <c r="L1136" t="s">
        <v>4130</v>
      </c>
      <c r="M1136" s="8">
        <v>30.60225</v>
      </c>
      <c r="N1136">
        <v>145.23264029167</v>
      </c>
      <c r="O1136">
        <v>1670</v>
      </c>
      <c r="P1136" s="9">
        <v>0.178771021738598</v>
      </c>
      <c r="Q1136" t="s">
        <v>1010</v>
      </c>
      <c r="T1136" s="15" t="s">
        <v>69</v>
      </c>
      <c r="W1136" s="16" t="str">
        <f t="shared" si="119"/>
        <v>EN_WON_18_c04_ITA</v>
      </c>
      <c r="X1136" s="12">
        <f t="shared" si="120"/>
        <v>1670</v>
      </c>
      <c r="Y1136" s="11">
        <f t="shared" si="121"/>
        <v>1670</v>
      </c>
    </row>
    <row r="1137" spans="2:25">
      <c r="B1137" t="s">
        <v>26</v>
      </c>
      <c r="C1137" t="s">
        <v>6565</v>
      </c>
      <c r="D1137" t="s">
        <v>6566</v>
      </c>
      <c r="E1137" t="s">
        <v>29</v>
      </c>
      <c r="F1137" t="s">
        <v>30</v>
      </c>
      <c r="G1137" t="s">
        <v>31</v>
      </c>
      <c r="J1137" t="s">
        <v>6565</v>
      </c>
      <c r="K1137" t="s">
        <v>1967</v>
      </c>
      <c r="L1137" t="s">
        <v>4130</v>
      </c>
      <c r="M1137" s="8">
        <v>1.2045</v>
      </c>
      <c r="N1137">
        <v>80.7856561622413</v>
      </c>
      <c r="O1137">
        <v>1670</v>
      </c>
      <c r="P1137" s="9">
        <v>0.193970112079701</v>
      </c>
      <c r="Q1137" t="s">
        <v>1010</v>
      </c>
      <c r="T1137" s="15" t="s">
        <v>69</v>
      </c>
      <c r="W1137" s="16" t="str">
        <f t="shared" si="119"/>
        <v>EN_WON_19_c02_ITA</v>
      </c>
      <c r="X1137" s="12">
        <f t="shared" si="120"/>
        <v>1670</v>
      </c>
      <c r="Y1137" s="11">
        <f t="shared" si="121"/>
        <v>1670</v>
      </c>
    </row>
    <row r="1138" spans="2:25">
      <c r="B1138" t="s">
        <v>26</v>
      </c>
      <c r="C1138" t="s">
        <v>6567</v>
      </c>
      <c r="D1138" t="s">
        <v>6568</v>
      </c>
      <c r="E1138" t="s">
        <v>29</v>
      </c>
      <c r="F1138" t="s">
        <v>30</v>
      </c>
      <c r="G1138" t="s">
        <v>31</v>
      </c>
      <c r="J1138" t="s">
        <v>6567</v>
      </c>
      <c r="K1138" t="s">
        <v>1967</v>
      </c>
      <c r="L1138" t="s">
        <v>4130</v>
      </c>
      <c r="M1138" s="8">
        <v>6.1575</v>
      </c>
      <c r="N1138">
        <v>105.747516212372</v>
      </c>
      <c r="O1138">
        <v>1670</v>
      </c>
      <c r="P1138" s="9">
        <v>0.189</v>
      </c>
      <c r="Q1138" t="s">
        <v>1010</v>
      </c>
      <c r="T1138" s="15" t="s">
        <v>69</v>
      </c>
      <c r="W1138" s="16" t="str">
        <f t="shared" si="119"/>
        <v>EN_WON_19_c03_ITA</v>
      </c>
      <c r="X1138" s="12">
        <f t="shared" si="120"/>
        <v>1670</v>
      </c>
      <c r="Y1138" s="11">
        <f t="shared" si="121"/>
        <v>1670</v>
      </c>
    </row>
    <row r="1139" spans="2:25">
      <c r="B1139" t="s">
        <v>26</v>
      </c>
      <c r="C1139" t="s">
        <v>6569</v>
      </c>
      <c r="D1139" t="s">
        <v>6570</v>
      </c>
      <c r="E1139" t="s">
        <v>29</v>
      </c>
      <c r="F1139" t="s">
        <v>30</v>
      </c>
      <c r="G1139" t="s">
        <v>31</v>
      </c>
      <c r="J1139" t="s">
        <v>6569</v>
      </c>
      <c r="K1139" t="s">
        <v>1967</v>
      </c>
      <c r="L1139" t="s">
        <v>4130</v>
      </c>
      <c r="M1139" s="8">
        <v>26.166</v>
      </c>
      <c r="N1139">
        <v>145.23264029167</v>
      </c>
      <c r="O1139">
        <v>1670</v>
      </c>
      <c r="P1139" s="9">
        <v>0.19002806122449</v>
      </c>
      <c r="Q1139" t="s">
        <v>1010</v>
      </c>
      <c r="T1139" s="15" t="s">
        <v>69</v>
      </c>
      <c r="W1139" s="16" t="str">
        <f t="shared" si="119"/>
        <v>EN_WON_19_c04_ITA</v>
      </c>
      <c r="X1139" s="12">
        <f t="shared" si="120"/>
        <v>1670</v>
      </c>
      <c r="Y1139" s="11">
        <f t="shared" si="121"/>
        <v>1670</v>
      </c>
    </row>
    <row r="1140" spans="2:25">
      <c r="B1140" t="s">
        <v>26</v>
      </c>
      <c r="C1140" t="s">
        <v>6571</v>
      </c>
      <c r="D1140" t="s">
        <v>6572</v>
      </c>
      <c r="E1140" t="s">
        <v>29</v>
      </c>
      <c r="F1140" t="s">
        <v>30</v>
      </c>
      <c r="G1140" t="s">
        <v>31</v>
      </c>
      <c r="J1140" t="s">
        <v>6571</v>
      </c>
      <c r="K1140" t="s">
        <v>1967</v>
      </c>
      <c r="L1140" t="s">
        <v>4130</v>
      </c>
      <c r="M1140" s="8">
        <v>1.00875</v>
      </c>
      <c r="N1140">
        <v>80.7856561622413</v>
      </c>
      <c r="O1140">
        <v>1670</v>
      </c>
      <c r="P1140" s="9">
        <v>0.198447583643123</v>
      </c>
      <c r="Q1140" t="s">
        <v>1010</v>
      </c>
      <c r="T1140" s="15" t="s">
        <v>69</v>
      </c>
      <c r="W1140" s="16" t="str">
        <f t="shared" si="119"/>
        <v>EN_WON_20_c02_ITA</v>
      </c>
      <c r="X1140" s="12">
        <f t="shared" si="120"/>
        <v>1670</v>
      </c>
      <c r="Y1140" s="11">
        <f t="shared" si="121"/>
        <v>1670</v>
      </c>
    </row>
    <row r="1141" spans="2:25">
      <c r="B1141" t="s">
        <v>26</v>
      </c>
      <c r="C1141" t="s">
        <v>6573</v>
      </c>
      <c r="D1141" t="s">
        <v>6574</v>
      </c>
      <c r="E1141" t="s">
        <v>29</v>
      </c>
      <c r="F1141" t="s">
        <v>30</v>
      </c>
      <c r="G1141" t="s">
        <v>31</v>
      </c>
      <c r="J1141" t="s">
        <v>6573</v>
      </c>
      <c r="K1141" t="s">
        <v>1967</v>
      </c>
      <c r="L1141" t="s">
        <v>4130</v>
      </c>
      <c r="M1141" s="8">
        <v>27.48525</v>
      </c>
      <c r="N1141">
        <v>105.747516212372</v>
      </c>
      <c r="O1141">
        <v>1670</v>
      </c>
      <c r="P1141" s="9">
        <v>0.20059120801157</v>
      </c>
      <c r="Q1141" t="s">
        <v>1010</v>
      </c>
      <c r="T1141" s="15" t="s">
        <v>69</v>
      </c>
      <c r="W1141" s="16" t="str">
        <f t="shared" si="119"/>
        <v>EN_WON_20_c03_ITA</v>
      </c>
      <c r="X1141" s="12">
        <f t="shared" si="120"/>
        <v>1670</v>
      </c>
      <c r="Y1141" s="11">
        <f t="shared" si="121"/>
        <v>1670</v>
      </c>
    </row>
    <row r="1142" spans="2:25">
      <c r="B1142" t="s">
        <v>26</v>
      </c>
      <c r="C1142" t="s">
        <v>6575</v>
      </c>
      <c r="D1142" t="s">
        <v>6576</v>
      </c>
      <c r="E1142" t="s">
        <v>29</v>
      </c>
      <c r="F1142" t="s">
        <v>30</v>
      </c>
      <c r="G1142" t="s">
        <v>31</v>
      </c>
      <c r="J1142" t="s">
        <v>6575</v>
      </c>
      <c r="K1142" t="s">
        <v>1967</v>
      </c>
      <c r="L1142" t="s">
        <v>4130</v>
      </c>
      <c r="M1142" s="8">
        <v>35.11275</v>
      </c>
      <c r="N1142">
        <v>145.23264029167</v>
      </c>
      <c r="O1142">
        <v>1670</v>
      </c>
      <c r="P1142" s="9">
        <v>0.2005718435611</v>
      </c>
      <c r="Q1142" t="s">
        <v>1010</v>
      </c>
      <c r="T1142" s="15" t="s">
        <v>69</v>
      </c>
      <c r="W1142" s="16" t="str">
        <f t="shared" si="119"/>
        <v>EN_WON_20_c04_ITA</v>
      </c>
      <c r="X1142" s="12">
        <f t="shared" si="120"/>
        <v>1670</v>
      </c>
      <c r="Y1142" s="11">
        <f t="shared" si="121"/>
        <v>1670</v>
      </c>
    </row>
    <row r="1143" spans="2:25">
      <c r="B1143" t="s">
        <v>26</v>
      </c>
      <c r="C1143" t="s">
        <v>6577</v>
      </c>
      <c r="D1143" t="s">
        <v>6578</v>
      </c>
      <c r="E1143" t="s">
        <v>29</v>
      </c>
      <c r="F1143" t="s">
        <v>30</v>
      </c>
      <c r="G1143" t="s">
        <v>31</v>
      </c>
      <c r="J1143" t="s">
        <v>6577</v>
      </c>
      <c r="K1143" t="s">
        <v>1967</v>
      </c>
      <c r="L1143" t="s">
        <v>4130</v>
      </c>
      <c r="M1143" s="8">
        <v>12.88425</v>
      </c>
      <c r="N1143">
        <v>80.7856561622413</v>
      </c>
      <c r="O1143">
        <v>1670</v>
      </c>
      <c r="P1143" s="9">
        <v>0.209</v>
      </c>
      <c r="Q1143" t="s">
        <v>1010</v>
      </c>
      <c r="T1143" s="15" t="s">
        <v>69</v>
      </c>
      <c r="W1143" s="16" t="str">
        <f t="shared" si="119"/>
        <v>EN_WON_21_c02_ITA</v>
      </c>
      <c r="X1143" s="12">
        <f t="shared" si="120"/>
        <v>1670</v>
      </c>
      <c r="Y1143" s="11">
        <f t="shared" si="121"/>
        <v>1670</v>
      </c>
    </row>
    <row r="1144" spans="2:25">
      <c r="B1144" t="s">
        <v>26</v>
      </c>
      <c r="C1144" t="s">
        <v>6579</v>
      </c>
      <c r="D1144" t="s">
        <v>6580</v>
      </c>
      <c r="E1144" t="s">
        <v>29</v>
      </c>
      <c r="F1144" t="s">
        <v>30</v>
      </c>
      <c r="G1144" t="s">
        <v>31</v>
      </c>
      <c r="J1144" t="s">
        <v>6579</v>
      </c>
      <c r="K1144" t="s">
        <v>1967</v>
      </c>
      <c r="L1144" t="s">
        <v>4130</v>
      </c>
      <c r="M1144" s="8">
        <v>14.06175</v>
      </c>
      <c r="N1144">
        <v>105.747516212372</v>
      </c>
      <c r="O1144">
        <v>1670</v>
      </c>
      <c r="P1144" s="9">
        <v>0.211415915515494</v>
      </c>
      <c r="Q1144" t="s">
        <v>1010</v>
      </c>
      <c r="T1144" s="15" t="s">
        <v>69</v>
      </c>
      <c r="W1144" s="16" t="str">
        <f t="shared" si="119"/>
        <v>EN_WON_21_c03_ITA</v>
      </c>
      <c r="X1144" s="12">
        <f t="shared" si="120"/>
        <v>1670</v>
      </c>
      <c r="Y1144" s="11">
        <f t="shared" si="121"/>
        <v>1670</v>
      </c>
    </row>
    <row r="1145" spans="2:25">
      <c r="B1145" t="s">
        <v>26</v>
      </c>
      <c r="C1145" t="s">
        <v>6581</v>
      </c>
      <c r="D1145" t="s">
        <v>6582</v>
      </c>
      <c r="E1145" t="s">
        <v>29</v>
      </c>
      <c r="F1145" t="s">
        <v>30</v>
      </c>
      <c r="G1145" t="s">
        <v>31</v>
      </c>
      <c r="J1145" t="s">
        <v>6581</v>
      </c>
      <c r="K1145" t="s">
        <v>1967</v>
      </c>
      <c r="L1145" t="s">
        <v>4130</v>
      </c>
      <c r="M1145" s="8">
        <v>16.8705</v>
      </c>
      <c r="N1145">
        <v>145.23264029167</v>
      </c>
      <c r="O1145">
        <v>1670</v>
      </c>
      <c r="P1145" s="9">
        <v>0.209174535431671</v>
      </c>
      <c r="Q1145" t="s">
        <v>1010</v>
      </c>
      <c r="T1145" s="15" t="s">
        <v>69</v>
      </c>
      <c r="W1145" s="16" t="str">
        <f t="shared" si="119"/>
        <v>EN_WON_21_c04_ITA</v>
      </c>
      <c r="X1145" s="12">
        <f t="shared" si="120"/>
        <v>1670</v>
      </c>
      <c r="Y1145" s="11">
        <f t="shared" si="121"/>
        <v>1670</v>
      </c>
    </row>
    <row r="1146" spans="2:25">
      <c r="B1146" t="s">
        <v>26</v>
      </c>
      <c r="C1146" t="s">
        <v>6583</v>
      </c>
      <c r="D1146" t="s">
        <v>6584</v>
      </c>
      <c r="E1146" t="s">
        <v>29</v>
      </c>
      <c r="F1146" t="s">
        <v>30</v>
      </c>
      <c r="G1146" t="s">
        <v>31</v>
      </c>
      <c r="J1146" t="s">
        <v>6583</v>
      </c>
      <c r="K1146" t="s">
        <v>1967</v>
      </c>
      <c r="L1146" t="s">
        <v>4130</v>
      </c>
      <c r="M1146" s="8">
        <v>0.5865</v>
      </c>
      <c r="N1146">
        <v>0</v>
      </c>
      <c r="O1146">
        <v>1670</v>
      </c>
      <c r="P1146" s="9">
        <v>0.222</v>
      </c>
      <c r="Q1146" t="s">
        <v>1010</v>
      </c>
      <c r="T1146" s="15" t="s">
        <v>69</v>
      </c>
      <c r="W1146" s="16" t="str">
        <f t="shared" si="119"/>
        <v>EN_WON_22_c01_ITA</v>
      </c>
      <c r="X1146" s="12">
        <f t="shared" si="120"/>
        <v>1670</v>
      </c>
      <c r="Y1146" s="11">
        <f t="shared" si="121"/>
        <v>1670</v>
      </c>
    </row>
    <row r="1147" spans="2:25">
      <c r="B1147" t="s">
        <v>26</v>
      </c>
      <c r="C1147" t="s">
        <v>6585</v>
      </c>
      <c r="D1147" t="s">
        <v>6586</v>
      </c>
      <c r="E1147" t="s">
        <v>29</v>
      </c>
      <c r="F1147" t="s">
        <v>30</v>
      </c>
      <c r="G1147" t="s">
        <v>31</v>
      </c>
      <c r="J1147" t="s">
        <v>6585</v>
      </c>
      <c r="K1147" t="s">
        <v>1967</v>
      </c>
      <c r="L1147" t="s">
        <v>4130</v>
      </c>
      <c r="M1147" s="8">
        <v>7.51875</v>
      </c>
      <c r="N1147">
        <v>80.7856561622413</v>
      </c>
      <c r="O1147">
        <v>1670</v>
      </c>
      <c r="P1147" s="9">
        <v>0.220010673316708</v>
      </c>
      <c r="Q1147" t="s">
        <v>1010</v>
      </c>
      <c r="T1147" s="15" t="s">
        <v>69</v>
      </c>
      <c r="W1147" s="16" t="str">
        <f t="shared" si="119"/>
        <v>EN_WON_22_c02_ITA</v>
      </c>
      <c r="X1147" s="12">
        <f t="shared" si="120"/>
        <v>1670</v>
      </c>
      <c r="Y1147" s="11">
        <f t="shared" si="121"/>
        <v>1670</v>
      </c>
    </row>
    <row r="1148" spans="2:25">
      <c r="B1148" t="s">
        <v>26</v>
      </c>
      <c r="C1148" t="s">
        <v>6587</v>
      </c>
      <c r="D1148" t="s">
        <v>6588</v>
      </c>
      <c r="E1148" t="s">
        <v>29</v>
      </c>
      <c r="F1148" t="s">
        <v>30</v>
      </c>
      <c r="G1148" t="s">
        <v>31</v>
      </c>
      <c r="J1148" t="s">
        <v>6587</v>
      </c>
      <c r="K1148" t="s">
        <v>1967</v>
      </c>
      <c r="L1148" t="s">
        <v>4130</v>
      </c>
      <c r="M1148" s="8">
        <v>20.75625</v>
      </c>
      <c r="N1148">
        <v>105.747516212372</v>
      </c>
      <c r="O1148">
        <v>1670</v>
      </c>
      <c r="P1148" s="9">
        <v>0.219666702800361</v>
      </c>
      <c r="Q1148" t="s">
        <v>1010</v>
      </c>
      <c r="T1148" s="15" t="s">
        <v>69</v>
      </c>
      <c r="W1148" s="16" t="str">
        <f t="shared" si="119"/>
        <v>EN_WON_22_c03_ITA</v>
      </c>
      <c r="X1148" s="12">
        <f t="shared" si="120"/>
        <v>1670</v>
      </c>
      <c r="Y1148" s="11">
        <f t="shared" si="121"/>
        <v>1670</v>
      </c>
    </row>
    <row r="1149" spans="2:25">
      <c r="B1149" t="s">
        <v>26</v>
      </c>
      <c r="C1149" t="s">
        <v>6589</v>
      </c>
      <c r="D1149" t="s">
        <v>6590</v>
      </c>
      <c r="E1149" t="s">
        <v>29</v>
      </c>
      <c r="F1149" t="s">
        <v>30</v>
      </c>
      <c r="G1149" t="s">
        <v>31</v>
      </c>
      <c r="J1149" t="s">
        <v>6589</v>
      </c>
      <c r="K1149" t="s">
        <v>1967</v>
      </c>
      <c r="L1149" t="s">
        <v>4130</v>
      </c>
      <c r="M1149" s="8">
        <v>14.60475</v>
      </c>
      <c r="N1149">
        <v>145.23264029167</v>
      </c>
      <c r="O1149">
        <v>1670</v>
      </c>
      <c r="P1149" s="9">
        <v>0.217634827710163</v>
      </c>
      <c r="Q1149" t="s">
        <v>1010</v>
      </c>
      <c r="T1149" s="15" t="s">
        <v>69</v>
      </c>
      <c r="W1149" s="16" t="str">
        <f t="shared" si="119"/>
        <v>EN_WON_22_c04_ITA</v>
      </c>
      <c r="X1149" s="12">
        <f t="shared" si="120"/>
        <v>1670</v>
      </c>
      <c r="Y1149" s="11">
        <f t="shared" si="121"/>
        <v>1670</v>
      </c>
    </row>
    <row r="1150" spans="2:25">
      <c r="B1150" t="s">
        <v>26</v>
      </c>
      <c r="C1150" t="s">
        <v>6591</v>
      </c>
      <c r="D1150" t="s">
        <v>6592</v>
      </c>
      <c r="E1150" t="s">
        <v>29</v>
      </c>
      <c r="F1150" t="s">
        <v>30</v>
      </c>
      <c r="G1150" t="s">
        <v>31</v>
      </c>
      <c r="J1150" t="s">
        <v>6591</v>
      </c>
      <c r="K1150" t="s">
        <v>1967</v>
      </c>
      <c r="L1150" t="s">
        <v>4130</v>
      </c>
      <c r="M1150" s="8">
        <v>8.325</v>
      </c>
      <c r="N1150">
        <v>0</v>
      </c>
      <c r="O1150">
        <v>1670</v>
      </c>
      <c r="P1150" s="9">
        <v>0.232952432432432</v>
      </c>
      <c r="Q1150" t="s">
        <v>1010</v>
      </c>
      <c r="T1150" s="15" t="s">
        <v>69</v>
      </c>
      <c r="W1150" s="16" t="str">
        <f t="shared" si="119"/>
        <v>EN_WON_23_c01_ITA</v>
      </c>
      <c r="X1150" s="12">
        <f t="shared" si="120"/>
        <v>1670</v>
      </c>
      <c r="Y1150" s="11">
        <f t="shared" si="121"/>
        <v>1670</v>
      </c>
    </row>
    <row r="1151" spans="2:25">
      <c r="B1151" t="s">
        <v>26</v>
      </c>
      <c r="C1151" t="s">
        <v>6593</v>
      </c>
      <c r="D1151" t="s">
        <v>6594</v>
      </c>
      <c r="E1151" t="s">
        <v>29</v>
      </c>
      <c r="F1151" t="s">
        <v>30</v>
      </c>
      <c r="G1151" t="s">
        <v>31</v>
      </c>
      <c r="J1151" t="s">
        <v>6593</v>
      </c>
      <c r="K1151" t="s">
        <v>1967</v>
      </c>
      <c r="L1151" t="s">
        <v>4130</v>
      </c>
      <c r="M1151" s="8">
        <v>10.64025</v>
      </c>
      <c r="N1151">
        <v>80.7856561622413</v>
      </c>
      <c r="O1151">
        <v>1670</v>
      </c>
      <c r="P1151" s="9">
        <v>0.229890251638824</v>
      </c>
      <c r="Q1151" t="s">
        <v>1010</v>
      </c>
      <c r="T1151" s="15" t="s">
        <v>69</v>
      </c>
      <c r="W1151" s="16" t="str">
        <f t="shared" si="119"/>
        <v>EN_WON_23_c02_ITA</v>
      </c>
      <c r="X1151" s="12">
        <f t="shared" si="120"/>
        <v>1670</v>
      </c>
      <c r="Y1151" s="11">
        <f t="shared" si="121"/>
        <v>1670</v>
      </c>
    </row>
    <row r="1152" spans="2:25">
      <c r="B1152" t="s">
        <v>26</v>
      </c>
      <c r="C1152" t="s">
        <v>6595</v>
      </c>
      <c r="D1152" t="s">
        <v>6596</v>
      </c>
      <c r="E1152" t="s">
        <v>29</v>
      </c>
      <c r="F1152" t="s">
        <v>30</v>
      </c>
      <c r="G1152" t="s">
        <v>31</v>
      </c>
      <c r="J1152" t="s">
        <v>6595</v>
      </c>
      <c r="K1152" t="s">
        <v>1967</v>
      </c>
      <c r="L1152" t="s">
        <v>4130</v>
      </c>
      <c r="M1152" s="8">
        <v>21.09675</v>
      </c>
      <c r="N1152">
        <v>105.747516212372</v>
      </c>
      <c r="O1152">
        <v>1670</v>
      </c>
      <c r="P1152" s="9">
        <v>0.227557787336912</v>
      </c>
      <c r="Q1152" t="s">
        <v>1010</v>
      </c>
      <c r="T1152" s="15" t="s">
        <v>69</v>
      </c>
      <c r="W1152" s="16" t="str">
        <f t="shared" si="119"/>
        <v>EN_WON_23_c03_ITA</v>
      </c>
      <c r="X1152" s="12">
        <f t="shared" si="120"/>
        <v>1670</v>
      </c>
      <c r="Y1152" s="11">
        <f t="shared" si="121"/>
        <v>1670</v>
      </c>
    </row>
    <row r="1153" spans="2:25">
      <c r="B1153" t="s">
        <v>26</v>
      </c>
      <c r="C1153" t="s">
        <v>6597</v>
      </c>
      <c r="D1153" t="s">
        <v>6598</v>
      </c>
      <c r="E1153" t="s">
        <v>29</v>
      </c>
      <c r="F1153" t="s">
        <v>30</v>
      </c>
      <c r="G1153" t="s">
        <v>31</v>
      </c>
      <c r="J1153" t="s">
        <v>6597</v>
      </c>
      <c r="K1153" t="s">
        <v>1967</v>
      </c>
      <c r="L1153" t="s">
        <v>4130</v>
      </c>
      <c r="M1153" s="8">
        <v>13.338</v>
      </c>
      <c r="N1153">
        <v>145.23264029167</v>
      </c>
      <c r="O1153">
        <v>1670</v>
      </c>
      <c r="P1153" s="9">
        <v>0.228170265407108</v>
      </c>
      <c r="Q1153" t="s">
        <v>1010</v>
      </c>
      <c r="T1153" s="15" t="s">
        <v>69</v>
      </c>
      <c r="W1153" s="16" t="str">
        <f t="shared" si="119"/>
        <v>EN_WON_23_c04_ITA</v>
      </c>
      <c r="X1153" s="12">
        <f t="shared" si="120"/>
        <v>1670</v>
      </c>
      <c r="Y1153" s="11">
        <f t="shared" si="121"/>
        <v>1670</v>
      </c>
    </row>
    <row r="1154" spans="2:25">
      <c r="B1154" t="s">
        <v>26</v>
      </c>
      <c r="C1154" t="s">
        <v>6599</v>
      </c>
      <c r="D1154" t="s">
        <v>6600</v>
      </c>
      <c r="E1154" t="s">
        <v>29</v>
      </c>
      <c r="F1154" t="s">
        <v>30</v>
      </c>
      <c r="G1154" t="s">
        <v>31</v>
      </c>
      <c r="J1154" t="s">
        <v>6599</v>
      </c>
      <c r="K1154" t="s">
        <v>1967</v>
      </c>
      <c r="L1154" t="s">
        <v>4130</v>
      </c>
      <c r="M1154" s="8">
        <v>1.0395</v>
      </c>
      <c r="N1154">
        <v>0</v>
      </c>
      <c r="O1154">
        <v>1670</v>
      </c>
      <c r="P1154" s="9">
        <v>0.238</v>
      </c>
      <c r="Q1154" t="s">
        <v>1010</v>
      </c>
      <c r="T1154" s="15" t="s">
        <v>69</v>
      </c>
      <c r="W1154" s="16" t="str">
        <f t="shared" si="119"/>
        <v>EN_WON_24_c01_ITA</v>
      </c>
      <c r="X1154" s="12">
        <f t="shared" si="120"/>
        <v>1670</v>
      </c>
      <c r="Y1154" s="11">
        <f t="shared" si="121"/>
        <v>1670</v>
      </c>
    </row>
    <row r="1155" spans="2:25">
      <c r="B1155" t="s">
        <v>26</v>
      </c>
      <c r="C1155" t="s">
        <v>6601</v>
      </c>
      <c r="D1155" t="s">
        <v>6602</v>
      </c>
      <c r="E1155" t="s">
        <v>29</v>
      </c>
      <c r="F1155" t="s">
        <v>30</v>
      </c>
      <c r="G1155" t="s">
        <v>31</v>
      </c>
      <c r="J1155" t="s">
        <v>6601</v>
      </c>
      <c r="K1155" t="s">
        <v>1967</v>
      </c>
      <c r="L1155" t="s">
        <v>4130</v>
      </c>
      <c r="M1155" s="8">
        <v>1.5675</v>
      </c>
      <c r="N1155">
        <v>80.7856561622413</v>
      </c>
      <c r="O1155">
        <v>1670</v>
      </c>
      <c r="P1155" s="9">
        <v>0.242593301435407</v>
      </c>
      <c r="Q1155" t="s">
        <v>1010</v>
      </c>
      <c r="T1155" s="15" t="s">
        <v>69</v>
      </c>
      <c r="W1155" s="16" t="str">
        <f t="shared" si="119"/>
        <v>EN_WON_24_c02_ITA</v>
      </c>
      <c r="X1155" s="12">
        <f t="shared" si="120"/>
        <v>1670</v>
      </c>
      <c r="Y1155" s="11">
        <f t="shared" si="121"/>
        <v>1670</v>
      </c>
    </row>
    <row r="1156" spans="2:25">
      <c r="B1156" t="s">
        <v>26</v>
      </c>
      <c r="C1156" t="s">
        <v>6603</v>
      </c>
      <c r="D1156" t="s">
        <v>6604</v>
      </c>
      <c r="E1156" t="s">
        <v>29</v>
      </c>
      <c r="F1156" t="s">
        <v>30</v>
      </c>
      <c r="G1156" t="s">
        <v>31</v>
      </c>
      <c r="J1156" t="s">
        <v>6603</v>
      </c>
      <c r="K1156" t="s">
        <v>1967</v>
      </c>
      <c r="L1156" t="s">
        <v>4130</v>
      </c>
      <c r="M1156" s="8">
        <v>6.873</v>
      </c>
      <c r="N1156">
        <v>105.747516212372</v>
      </c>
      <c r="O1156">
        <v>1670</v>
      </c>
      <c r="P1156" s="9">
        <v>0.241989196857268</v>
      </c>
      <c r="Q1156" t="s">
        <v>1010</v>
      </c>
      <c r="T1156" s="15" t="s">
        <v>69</v>
      </c>
      <c r="W1156" s="16" t="str">
        <f t="shared" si="119"/>
        <v>EN_WON_24_c03_ITA</v>
      </c>
      <c r="X1156" s="12">
        <f t="shared" si="120"/>
        <v>1670</v>
      </c>
      <c r="Y1156" s="11">
        <f t="shared" si="121"/>
        <v>1670</v>
      </c>
    </row>
    <row r="1157" spans="2:25">
      <c r="B1157" t="s">
        <v>26</v>
      </c>
      <c r="C1157" t="s">
        <v>6605</v>
      </c>
      <c r="D1157" t="s">
        <v>6606</v>
      </c>
      <c r="E1157" t="s">
        <v>29</v>
      </c>
      <c r="F1157" t="s">
        <v>30</v>
      </c>
      <c r="G1157" t="s">
        <v>31</v>
      </c>
      <c r="J1157" t="s">
        <v>6605</v>
      </c>
      <c r="K1157" t="s">
        <v>1967</v>
      </c>
      <c r="L1157" t="s">
        <v>4130</v>
      </c>
      <c r="M1157" s="8">
        <v>0.68775</v>
      </c>
      <c r="N1157">
        <v>145.23264029167</v>
      </c>
      <c r="O1157">
        <v>1670</v>
      </c>
      <c r="P1157" s="9">
        <v>0.241</v>
      </c>
      <c r="Q1157" t="s">
        <v>1010</v>
      </c>
      <c r="T1157" s="15" t="s">
        <v>69</v>
      </c>
      <c r="W1157" s="16" t="str">
        <f t="shared" si="119"/>
        <v>EN_WON_24_c04_ITA</v>
      </c>
      <c r="X1157" s="12">
        <f t="shared" si="120"/>
        <v>1670</v>
      </c>
      <c r="Y1157" s="11">
        <f t="shared" si="121"/>
        <v>1670</v>
      </c>
    </row>
    <row r="1158" spans="2:25">
      <c r="B1158" t="s">
        <v>26</v>
      </c>
      <c r="C1158" t="s">
        <v>6607</v>
      </c>
      <c r="D1158" t="s">
        <v>6608</v>
      </c>
      <c r="E1158" t="s">
        <v>29</v>
      </c>
      <c r="F1158" t="s">
        <v>30</v>
      </c>
      <c r="G1158" t="s">
        <v>31</v>
      </c>
      <c r="J1158" t="s">
        <v>6607</v>
      </c>
      <c r="K1158" t="s">
        <v>1967</v>
      </c>
      <c r="L1158" t="s">
        <v>4130</v>
      </c>
      <c r="M1158" s="8">
        <v>9.744</v>
      </c>
      <c r="N1158">
        <v>0</v>
      </c>
      <c r="O1158">
        <v>1670</v>
      </c>
      <c r="P1158" s="9">
        <v>0.251041333128079</v>
      </c>
      <c r="Q1158" t="s">
        <v>1010</v>
      </c>
      <c r="T1158" s="15" t="s">
        <v>69</v>
      </c>
      <c r="W1158" s="16" t="str">
        <f t="shared" ref="W1158:W1221" si="125">J1158</f>
        <v>EN_WON_25_c01_ITA</v>
      </c>
      <c r="X1158" s="12">
        <f t="shared" ref="X1158:X1221" si="126">O1158</f>
        <v>1670</v>
      </c>
      <c r="Y1158" s="11">
        <f t="shared" ref="Y1158:Y1221" si="127">X1158</f>
        <v>1670</v>
      </c>
    </row>
    <row r="1159" spans="2:25">
      <c r="B1159" t="s">
        <v>26</v>
      </c>
      <c r="C1159" t="s">
        <v>6609</v>
      </c>
      <c r="D1159" t="s">
        <v>6610</v>
      </c>
      <c r="E1159" t="s">
        <v>29</v>
      </c>
      <c r="F1159" t="s">
        <v>30</v>
      </c>
      <c r="G1159" t="s">
        <v>31</v>
      </c>
      <c r="J1159" t="s">
        <v>6609</v>
      </c>
      <c r="K1159" t="s">
        <v>1967</v>
      </c>
      <c r="L1159" t="s">
        <v>4130</v>
      </c>
      <c r="M1159" s="8">
        <v>0.10575</v>
      </c>
      <c r="N1159">
        <v>0</v>
      </c>
      <c r="O1159">
        <v>1670</v>
      </c>
      <c r="P1159" s="9">
        <v>0.262</v>
      </c>
      <c r="Q1159" t="s">
        <v>1010</v>
      </c>
      <c r="T1159" s="15" t="s">
        <v>69</v>
      </c>
      <c r="W1159" s="16" t="str">
        <f t="shared" si="125"/>
        <v>EN_WON_26_c01_ITA</v>
      </c>
      <c r="X1159" s="12">
        <f t="shared" si="126"/>
        <v>1670</v>
      </c>
      <c r="Y1159" s="11">
        <f t="shared" si="127"/>
        <v>1670</v>
      </c>
    </row>
    <row r="1160" spans="2:25">
      <c r="B1160" t="s">
        <v>26</v>
      </c>
      <c r="C1160" t="s">
        <v>6611</v>
      </c>
      <c r="D1160" t="s">
        <v>6612</v>
      </c>
      <c r="E1160" t="s">
        <v>29</v>
      </c>
      <c r="F1160" t="s">
        <v>30</v>
      </c>
      <c r="G1160" t="s">
        <v>31</v>
      </c>
      <c r="J1160" t="s">
        <v>6611</v>
      </c>
      <c r="K1160" t="s">
        <v>1967</v>
      </c>
      <c r="L1160" t="s">
        <v>4130</v>
      </c>
      <c r="M1160" s="8">
        <v>0.12</v>
      </c>
      <c r="N1160">
        <v>80.7856561622413</v>
      </c>
      <c r="O1160">
        <v>1670</v>
      </c>
      <c r="P1160" s="9">
        <v>0.255</v>
      </c>
      <c r="Q1160" t="s">
        <v>1010</v>
      </c>
      <c r="T1160" s="15" t="s">
        <v>69</v>
      </c>
      <c r="W1160" s="16" t="str">
        <f t="shared" si="125"/>
        <v>EN_WON_26_c02_ITA</v>
      </c>
      <c r="X1160" s="12">
        <f t="shared" si="126"/>
        <v>1670</v>
      </c>
      <c r="Y1160" s="11">
        <f t="shared" si="127"/>
        <v>1670</v>
      </c>
    </row>
    <row r="1161" spans="2:25">
      <c r="B1161" t="s">
        <v>26</v>
      </c>
      <c r="C1161" t="s">
        <v>6613</v>
      </c>
      <c r="D1161" t="s">
        <v>6614</v>
      </c>
      <c r="E1161" t="s">
        <v>29</v>
      </c>
      <c r="F1161" t="s">
        <v>30</v>
      </c>
      <c r="G1161" t="s">
        <v>31</v>
      </c>
      <c r="J1161" t="s">
        <v>6613</v>
      </c>
      <c r="K1161" t="s">
        <v>1967</v>
      </c>
      <c r="L1161" t="s">
        <v>4130</v>
      </c>
      <c r="M1161" s="8">
        <v>0.04725</v>
      </c>
      <c r="N1161">
        <v>105.747516212372</v>
      </c>
      <c r="O1161">
        <v>1670</v>
      </c>
      <c r="P1161" s="9">
        <v>0.264</v>
      </c>
      <c r="Q1161" t="s">
        <v>1010</v>
      </c>
      <c r="T1161" s="15" t="s">
        <v>69</v>
      </c>
      <c r="W1161" s="16" t="str">
        <f t="shared" si="125"/>
        <v>EN_WON_26_c03_ITA</v>
      </c>
      <c r="X1161" s="12">
        <f t="shared" si="126"/>
        <v>1670</v>
      </c>
      <c r="Y1161" s="11">
        <f t="shared" si="127"/>
        <v>1670</v>
      </c>
    </row>
    <row r="1162" spans="2:25">
      <c r="B1162" t="s">
        <v>26</v>
      </c>
      <c r="C1162" t="s">
        <v>6615</v>
      </c>
      <c r="D1162" t="s">
        <v>6616</v>
      </c>
      <c r="E1162" t="s">
        <v>29</v>
      </c>
      <c r="F1162" t="s">
        <v>30</v>
      </c>
      <c r="G1162" t="s">
        <v>31</v>
      </c>
      <c r="J1162" t="s">
        <v>6615</v>
      </c>
      <c r="K1162" t="s">
        <v>1967</v>
      </c>
      <c r="L1162" t="s">
        <v>4130</v>
      </c>
      <c r="M1162" s="8">
        <v>1.34925</v>
      </c>
      <c r="N1162">
        <v>80.7856561622413</v>
      </c>
      <c r="O1162">
        <v>1670</v>
      </c>
      <c r="P1162" s="9">
        <v>0.269</v>
      </c>
      <c r="Q1162" t="s">
        <v>1010</v>
      </c>
      <c r="T1162" s="15" t="s">
        <v>69</v>
      </c>
      <c r="W1162" s="16" t="str">
        <f t="shared" si="125"/>
        <v>EN_WON_27_c02_ITA</v>
      </c>
      <c r="X1162" s="12">
        <f t="shared" si="126"/>
        <v>1670</v>
      </c>
      <c r="Y1162" s="11">
        <f t="shared" si="127"/>
        <v>1670</v>
      </c>
    </row>
    <row r="1163" spans="2:25">
      <c r="B1163" t="s">
        <v>26</v>
      </c>
      <c r="C1163" t="s">
        <v>6617</v>
      </c>
      <c r="D1163" t="s">
        <v>6618</v>
      </c>
      <c r="E1163" t="s">
        <v>29</v>
      </c>
      <c r="F1163" t="s">
        <v>30</v>
      </c>
      <c r="G1163" t="s">
        <v>31</v>
      </c>
      <c r="J1163" t="s">
        <v>6617</v>
      </c>
      <c r="K1163" t="s">
        <v>1967</v>
      </c>
      <c r="L1163" t="s">
        <v>4130</v>
      </c>
      <c r="M1163" s="8">
        <v>6.41925</v>
      </c>
      <c r="N1163">
        <v>105.747516212372</v>
      </c>
      <c r="O1163">
        <v>1670</v>
      </c>
      <c r="P1163" s="9">
        <v>0.265</v>
      </c>
      <c r="Q1163" t="s">
        <v>1010</v>
      </c>
      <c r="T1163" s="15" t="s">
        <v>69</v>
      </c>
      <c r="W1163" s="16" t="str">
        <f t="shared" si="125"/>
        <v>EN_WON_27_c03_ITA</v>
      </c>
      <c r="X1163" s="12">
        <f t="shared" si="126"/>
        <v>1670</v>
      </c>
      <c r="Y1163" s="11">
        <f t="shared" si="127"/>
        <v>1670</v>
      </c>
    </row>
    <row r="1164" spans="2:25">
      <c r="B1164" t="s">
        <v>26</v>
      </c>
      <c r="C1164" t="s">
        <v>6619</v>
      </c>
      <c r="D1164" t="s">
        <v>6620</v>
      </c>
      <c r="E1164" t="s">
        <v>29</v>
      </c>
      <c r="F1164" t="s">
        <v>30</v>
      </c>
      <c r="G1164" t="s">
        <v>31</v>
      </c>
      <c r="J1164" t="s">
        <v>6619</v>
      </c>
      <c r="K1164" t="s">
        <v>1967</v>
      </c>
      <c r="L1164" t="s">
        <v>4130</v>
      </c>
      <c r="M1164" s="8">
        <v>3.09075</v>
      </c>
      <c r="N1164">
        <v>0</v>
      </c>
      <c r="O1164">
        <v>1670</v>
      </c>
      <c r="P1164" s="9">
        <v>0.28</v>
      </c>
      <c r="Q1164" t="s">
        <v>1010</v>
      </c>
      <c r="T1164" s="15" t="s">
        <v>69</v>
      </c>
      <c r="W1164" s="16" t="str">
        <f t="shared" si="125"/>
        <v>EN_WON_28_c01_ITA</v>
      </c>
      <c r="X1164" s="12">
        <f t="shared" si="126"/>
        <v>1670</v>
      </c>
      <c r="Y1164" s="11">
        <f t="shared" si="127"/>
        <v>1670</v>
      </c>
    </row>
    <row r="1165" spans="2:25">
      <c r="B1165" t="s">
        <v>26</v>
      </c>
      <c r="C1165" t="s">
        <v>6621</v>
      </c>
      <c r="D1165" t="s">
        <v>6622</v>
      </c>
      <c r="E1165" t="s">
        <v>29</v>
      </c>
      <c r="F1165" t="s">
        <v>30</v>
      </c>
      <c r="G1165" t="s">
        <v>31</v>
      </c>
      <c r="J1165" t="s">
        <v>6621</v>
      </c>
      <c r="K1165" t="s">
        <v>1967</v>
      </c>
      <c r="L1165" t="s">
        <v>4130</v>
      </c>
      <c r="M1165" s="8">
        <v>0.006</v>
      </c>
      <c r="N1165">
        <v>80.7856561622413</v>
      </c>
      <c r="O1165">
        <v>1670</v>
      </c>
      <c r="P1165" s="9">
        <v>0.278</v>
      </c>
      <c r="Q1165" t="s">
        <v>1010</v>
      </c>
      <c r="T1165" s="15" t="s">
        <v>69</v>
      </c>
      <c r="W1165" s="16" t="str">
        <f t="shared" si="125"/>
        <v>EN_WON_28_c02_ITA</v>
      </c>
      <c r="X1165" s="12">
        <f t="shared" si="126"/>
        <v>1670</v>
      </c>
      <c r="Y1165" s="11">
        <f t="shared" si="127"/>
        <v>1670</v>
      </c>
    </row>
    <row r="1166" spans="2:25">
      <c r="B1166" t="s">
        <v>26</v>
      </c>
      <c r="C1166" t="s">
        <v>6623</v>
      </c>
      <c r="D1166" t="s">
        <v>6624</v>
      </c>
      <c r="E1166" t="s">
        <v>29</v>
      </c>
      <c r="F1166" t="s">
        <v>30</v>
      </c>
      <c r="G1166" t="s">
        <v>31</v>
      </c>
      <c r="J1166" t="s">
        <v>6623</v>
      </c>
      <c r="K1166" t="s">
        <v>1967</v>
      </c>
      <c r="L1166" t="s">
        <v>4130</v>
      </c>
      <c r="M1166" s="8">
        <v>0.639</v>
      </c>
      <c r="N1166">
        <v>0</v>
      </c>
      <c r="O1166">
        <v>1670</v>
      </c>
      <c r="P1166" s="9">
        <v>0.292738262910798</v>
      </c>
      <c r="Q1166" t="s">
        <v>1010</v>
      </c>
      <c r="T1166" s="15" t="s">
        <v>69</v>
      </c>
      <c r="W1166" s="16" t="str">
        <f t="shared" si="125"/>
        <v>EN_WON_29_c01_ITA</v>
      </c>
      <c r="X1166" s="12">
        <f t="shared" si="126"/>
        <v>1670</v>
      </c>
      <c r="Y1166" s="11">
        <f t="shared" si="127"/>
        <v>1670</v>
      </c>
    </row>
    <row r="1167" spans="2:25">
      <c r="B1167" t="s">
        <v>26</v>
      </c>
      <c r="C1167" t="s">
        <v>6625</v>
      </c>
      <c r="D1167" t="s">
        <v>6626</v>
      </c>
      <c r="E1167" t="s">
        <v>29</v>
      </c>
      <c r="F1167" t="s">
        <v>30</v>
      </c>
      <c r="G1167" t="s">
        <v>31</v>
      </c>
      <c r="J1167" t="s">
        <v>6625</v>
      </c>
      <c r="K1167" t="s">
        <v>1967</v>
      </c>
      <c r="L1167" t="s">
        <v>4130</v>
      </c>
      <c r="M1167" s="8">
        <v>6.636</v>
      </c>
      <c r="N1167">
        <v>80.7856561622413</v>
      </c>
      <c r="O1167">
        <v>1670</v>
      </c>
      <c r="P1167" s="9">
        <v>0.288</v>
      </c>
      <c r="Q1167" t="s">
        <v>1010</v>
      </c>
      <c r="T1167" s="15" t="s">
        <v>69</v>
      </c>
      <c r="W1167" s="16" t="str">
        <f t="shared" si="125"/>
        <v>EN_WON_29_c02_ITA</v>
      </c>
      <c r="X1167" s="12">
        <f t="shared" si="126"/>
        <v>1670</v>
      </c>
      <c r="Y1167" s="11">
        <f t="shared" si="127"/>
        <v>1670</v>
      </c>
    </row>
    <row r="1168" spans="2:25">
      <c r="B1168" t="s">
        <v>26</v>
      </c>
      <c r="C1168" t="s">
        <v>6627</v>
      </c>
      <c r="D1168" t="s">
        <v>6628</v>
      </c>
      <c r="E1168" t="s">
        <v>29</v>
      </c>
      <c r="F1168" t="s">
        <v>30</v>
      </c>
      <c r="G1168" t="s">
        <v>31</v>
      </c>
      <c r="J1168" t="s">
        <v>6627</v>
      </c>
      <c r="K1168" t="s">
        <v>1967</v>
      </c>
      <c r="L1168" t="s">
        <v>4130</v>
      </c>
      <c r="M1168" s="8">
        <v>3.98925</v>
      </c>
      <c r="N1168">
        <v>0</v>
      </c>
      <c r="O1168">
        <v>1670</v>
      </c>
      <c r="P1168" s="9">
        <v>0.302930438052265</v>
      </c>
      <c r="Q1168" t="s">
        <v>1010</v>
      </c>
      <c r="T1168" s="15" t="s">
        <v>69</v>
      </c>
      <c r="W1168" s="16" t="str">
        <f t="shared" si="125"/>
        <v>EN_WON_30_c01_ITA</v>
      </c>
      <c r="X1168" s="12">
        <f t="shared" si="126"/>
        <v>1670</v>
      </c>
      <c r="Y1168" s="11">
        <f t="shared" si="127"/>
        <v>1670</v>
      </c>
    </row>
    <row r="1169" spans="2:25">
      <c r="B1169" t="s">
        <v>26</v>
      </c>
      <c r="C1169" t="s">
        <v>6629</v>
      </c>
      <c r="D1169" t="s">
        <v>6630</v>
      </c>
      <c r="E1169" t="s">
        <v>29</v>
      </c>
      <c r="F1169" t="s">
        <v>30</v>
      </c>
      <c r="G1169" t="s">
        <v>31</v>
      </c>
      <c r="J1169" t="s">
        <v>6629</v>
      </c>
      <c r="K1169" t="s">
        <v>1967</v>
      </c>
      <c r="L1169" t="s">
        <v>4130</v>
      </c>
      <c r="M1169" s="8">
        <v>2.53575</v>
      </c>
      <c r="N1169">
        <v>0</v>
      </c>
      <c r="O1169">
        <v>1670</v>
      </c>
      <c r="P1169" s="9">
        <v>0.321972197574682</v>
      </c>
      <c r="Q1169" t="s">
        <v>1010</v>
      </c>
      <c r="T1169" s="15" t="s">
        <v>69</v>
      </c>
      <c r="W1169" s="16" t="str">
        <f t="shared" si="125"/>
        <v>EN_WON_32_c01_ITA</v>
      </c>
      <c r="X1169" s="12">
        <f t="shared" si="126"/>
        <v>1670</v>
      </c>
      <c r="Y1169" s="11">
        <f t="shared" si="127"/>
        <v>1670</v>
      </c>
    </row>
    <row r="1170" spans="2:25">
      <c r="B1170" t="s">
        <v>26</v>
      </c>
      <c r="C1170" t="s">
        <v>6631</v>
      </c>
      <c r="D1170" t="s">
        <v>6632</v>
      </c>
      <c r="E1170" t="s">
        <v>29</v>
      </c>
      <c r="F1170" t="s">
        <v>30</v>
      </c>
      <c r="G1170" t="s">
        <v>31</v>
      </c>
      <c r="J1170" t="s">
        <v>6631</v>
      </c>
      <c r="K1170" t="s">
        <v>1967</v>
      </c>
      <c r="L1170" t="s">
        <v>4130</v>
      </c>
      <c r="M1170" s="8">
        <v>0.018</v>
      </c>
      <c r="N1170">
        <v>0</v>
      </c>
      <c r="O1170">
        <v>1670</v>
      </c>
      <c r="P1170" s="9">
        <v>0.333</v>
      </c>
      <c r="Q1170" t="s">
        <v>1010</v>
      </c>
      <c r="T1170" s="15" t="s">
        <v>69</v>
      </c>
      <c r="W1170" s="16" t="str">
        <f t="shared" si="125"/>
        <v>EN_WON_33_c01_ITA</v>
      </c>
      <c r="X1170" s="12">
        <f t="shared" si="126"/>
        <v>1670</v>
      </c>
      <c r="Y1170" s="11">
        <f t="shared" si="127"/>
        <v>1670</v>
      </c>
    </row>
    <row r="1171" spans="2:25">
      <c r="B1171" t="s">
        <v>26</v>
      </c>
      <c r="C1171" t="s">
        <v>6633</v>
      </c>
      <c r="D1171" t="s">
        <v>6634</v>
      </c>
      <c r="E1171" t="s">
        <v>29</v>
      </c>
      <c r="F1171" t="s">
        <v>30</v>
      </c>
      <c r="G1171" t="s">
        <v>31</v>
      </c>
      <c r="J1171" t="s">
        <v>6633</v>
      </c>
      <c r="K1171" t="s">
        <v>1967</v>
      </c>
      <c r="L1171" t="s">
        <v>4130</v>
      </c>
      <c r="M1171" s="8">
        <v>0.012</v>
      </c>
      <c r="N1171">
        <v>105.747516212372</v>
      </c>
      <c r="O1171">
        <v>1670</v>
      </c>
      <c r="P1171" s="9">
        <v>0.335</v>
      </c>
      <c r="Q1171" t="s">
        <v>1010</v>
      </c>
      <c r="T1171" s="15" t="s">
        <v>69</v>
      </c>
      <c r="W1171" s="16" t="str">
        <f t="shared" si="125"/>
        <v>EN_WON_34_c03_ITA</v>
      </c>
      <c r="X1171" s="12">
        <f t="shared" si="126"/>
        <v>1670</v>
      </c>
      <c r="Y1171" s="11">
        <f t="shared" si="127"/>
        <v>1670</v>
      </c>
    </row>
    <row r="1172" spans="2:25">
      <c r="B1172" t="s">
        <v>26</v>
      </c>
      <c r="C1172" t="s">
        <v>6635</v>
      </c>
      <c r="D1172" t="s">
        <v>6636</v>
      </c>
      <c r="E1172" t="s">
        <v>29</v>
      </c>
      <c r="F1172" t="s">
        <v>30</v>
      </c>
      <c r="G1172" t="s">
        <v>31</v>
      </c>
      <c r="J1172" t="s">
        <v>6635</v>
      </c>
      <c r="K1172" t="s">
        <v>1967</v>
      </c>
      <c r="L1172" t="s">
        <v>4130</v>
      </c>
      <c r="M1172" s="8">
        <v>0.07425</v>
      </c>
      <c r="N1172">
        <v>0</v>
      </c>
      <c r="O1172">
        <v>1670</v>
      </c>
      <c r="P1172" s="9">
        <v>0.35</v>
      </c>
      <c r="Q1172" t="s">
        <v>1010</v>
      </c>
      <c r="T1172" s="15" t="s">
        <v>69</v>
      </c>
      <c r="W1172" s="16" t="str">
        <f t="shared" si="125"/>
        <v>EN_WON_35_c01_ITA</v>
      </c>
      <c r="X1172" s="12">
        <f t="shared" si="126"/>
        <v>1670</v>
      </c>
      <c r="Y1172" s="11">
        <f t="shared" si="127"/>
        <v>1670</v>
      </c>
    </row>
    <row r="1173" spans="2:25">
      <c r="B1173" t="s">
        <v>26</v>
      </c>
      <c r="C1173" t="s">
        <v>6637</v>
      </c>
      <c r="D1173" t="s">
        <v>6638</v>
      </c>
      <c r="E1173" t="s">
        <v>29</v>
      </c>
      <c r="F1173" t="s">
        <v>30</v>
      </c>
      <c r="G1173" t="s">
        <v>31</v>
      </c>
      <c r="J1173" t="s">
        <v>6637</v>
      </c>
      <c r="K1173" t="s">
        <v>1967</v>
      </c>
      <c r="L1173" t="s">
        <v>4167</v>
      </c>
      <c r="M1173" s="8">
        <v>0.07275</v>
      </c>
      <c r="N1173">
        <v>105.747516212372</v>
      </c>
      <c r="O1173">
        <v>1910</v>
      </c>
      <c r="P1173" s="9">
        <v>0.189</v>
      </c>
      <c r="Q1173" t="s">
        <v>1030</v>
      </c>
      <c r="T1173" s="15" t="s">
        <v>89</v>
      </c>
      <c r="W1173" s="16" t="str">
        <f t="shared" si="125"/>
        <v>EN_WON_19_c03_JAM</v>
      </c>
      <c r="X1173" s="12">
        <f t="shared" si="126"/>
        <v>1910</v>
      </c>
      <c r="Y1173" s="11">
        <f t="shared" si="127"/>
        <v>1910</v>
      </c>
    </row>
    <row r="1174" spans="2:25">
      <c r="B1174" t="s">
        <v>26</v>
      </c>
      <c r="C1174" t="s">
        <v>6639</v>
      </c>
      <c r="D1174" t="s">
        <v>6640</v>
      </c>
      <c r="E1174" t="s">
        <v>29</v>
      </c>
      <c r="F1174" t="s">
        <v>30</v>
      </c>
      <c r="G1174" t="s">
        <v>31</v>
      </c>
      <c r="J1174" t="s">
        <v>6639</v>
      </c>
      <c r="K1174" t="s">
        <v>1967</v>
      </c>
      <c r="L1174" t="s">
        <v>4167</v>
      </c>
      <c r="M1174" s="8">
        <v>0.165</v>
      </c>
      <c r="N1174">
        <v>145.23264029167</v>
      </c>
      <c r="O1174">
        <v>1910</v>
      </c>
      <c r="P1174" s="9">
        <v>0.299</v>
      </c>
      <c r="Q1174" t="s">
        <v>1030</v>
      </c>
      <c r="T1174" s="15" t="s">
        <v>89</v>
      </c>
      <c r="W1174" s="16" t="str">
        <f t="shared" si="125"/>
        <v>EN_WON_30_c04_JAM</v>
      </c>
      <c r="X1174" s="12">
        <f t="shared" si="126"/>
        <v>1910</v>
      </c>
      <c r="Y1174" s="11">
        <f t="shared" si="127"/>
        <v>1910</v>
      </c>
    </row>
    <row r="1175" spans="2:25">
      <c r="B1175" t="s">
        <v>26</v>
      </c>
      <c r="C1175" t="s">
        <v>6641</v>
      </c>
      <c r="D1175" t="s">
        <v>6642</v>
      </c>
      <c r="E1175" t="s">
        <v>29</v>
      </c>
      <c r="F1175" t="s">
        <v>30</v>
      </c>
      <c r="G1175" t="s">
        <v>31</v>
      </c>
      <c r="J1175" t="s">
        <v>6641</v>
      </c>
      <c r="K1175" t="s">
        <v>1967</v>
      </c>
      <c r="L1175" t="s">
        <v>4167</v>
      </c>
      <c r="M1175" s="8">
        <v>0.774</v>
      </c>
      <c r="N1175">
        <v>145.23264029167</v>
      </c>
      <c r="O1175">
        <v>1910</v>
      </c>
      <c r="P1175" s="9">
        <v>0.315</v>
      </c>
      <c r="Q1175" t="s">
        <v>1030</v>
      </c>
      <c r="T1175" s="15" t="s">
        <v>89</v>
      </c>
      <c r="W1175" s="16" t="str">
        <f t="shared" si="125"/>
        <v>EN_WON_32_c04_JAM</v>
      </c>
      <c r="X1175" s="12">
        <f t="shared" si="126"/>
        <v>1910</v>
      </c>
      <c r="Y1175" s="11">
        <f t="shared" si="127"/>
        <v>1910</v>
      </c>
    </row>
    <row r="1176" spans="2:25">
      <c r="B1176" t="s">
        <v>26</v>
      </c>
      <c r="C1176" t="s">
        <v>6643</v>
      </c>
      <c r="D1176" t="s">
        <v>6644</v>
      </c>
      <c r="E1176" t="s">
        <v>29</v>
      </c>
      <c r="F1176" t="s">
        <v>30</v>
      </c>
      <c r="G1176" t="s">
        <v>31</v>
      </c>
      <c r="J1176" t="s">
        <v>6643</v>
      </c>
      <c r="K1176" t="s">
        <v>1967</v>
      </c>
      <c r="L1176" t="s">
        <v>6645</v>
      </c>
      <c r="M1176" s="8">
        <v>18.2625</v>
      </c>
      <c r="N1176">
        <v>0</v>
      </c>
      <c r="O1176">
        <v>1756</v>
      </c>
      <c r="P1176" s="9">
        <v>0.298010965092402</v>
      </c>
      <c r="Q1176" t="s">
        <v>1036</v>
      </c>
      <c r="T1176" s="15" t="s">
        <v>80</v>
      </c>
      <c r="W1176" s="16" t="str">
        <f t="shared" si="125"/>
        <v>EN_WON_30_c01_JOR</v>
      </c>
      <c r="X1176" s="12">
        <f t="shared" si="126"/>
        <v>1756</v>
      </c>
      <c r="Y1176" s="11">
        <f t="shared" si="127"/>
        <v>1756</v>
      </c>
    </row>
    <row r="1177" spans="2:25">
      <c r="B1177" t="s">
        <v>26</v>
      </c>
      <c r="C1177" t="s">
        <v>6646</v>
      </c>
      <c r="D1177" t="s">
        <v>6647</v>
      </c>
      <c r="E1177" t="s">
        <v>29</v>
      </c>
      <c r="F1177" t="s">
        <v>30</v>
      </c>
      <c r="G1177" t="s">
        <v>31</v>
      </c>
      <c r="J1177" t="s">
        <v>6646</v>
      </c>
      <c r="K1177" t="s">
        <v>1967</v>
      </c>
      <c r="L1177" t="s">
        <v>6645</v>
      </c>
      <c r="M1177" s="8">
        <v>6.49125</v>
      </c>
      <c r="N1177">
        <v>80.7856561622413</v>
      </c>
      <c r="O1177">
        <v>1756</v>
      </c>
      <c r="P1177" s="9">
        <v>0.302</v>
      </c>
      <c r="Q1177" t="s">
        <v>1036</v>
      </c>
      <c r="T1177" s="15" t="s">
        <v>80</v>
      </c>
      <c r="W1177" s="16" t="str">
        <f t="shared" si="125"/>
        <v>EN_WON_30_c02_JOR</v>
      </c>
      <c r="X1177" s="12">
        <f t="shared" si="126"/>
        <v>1756</v>
      </c>
      <c r="Y1177" s="11">
        <f t="shared" si="127"/>
        <v>1756</v>
      </c>
    </row>
    <row r="1178" spans="2:25">
      <c r="B1178" t="s">
        <v>26</v>
      </c>
      <c r="C1178" t="s">
        <v>6648</v>
      </c>
      <c r="D1178" t="s">
        <v>6649</v>
      </c>
      <c r="E1178" t="s">
        <v>29</v>
      </c>
      <c r="F1178" t="s">
        <v>30</v>
      </c>
      <c r="G1178" t="s">
        <v>31</v>
      </c>
      <c r="J1178" t="s">
        <v>6648</v>
      </c>
      <c r="K1178" t="s">
        <v>1967</v>
      </c>
      <c r="L1178" t="s">
        <v>6645</v>
      </c>
      <c r="M1178" s="8">
        <v>6.10425</v>
      </c>
      <c r="N1178">
        <v>0</v>
      </c>
      <c r="O1178">
        <v>1756</v>
      </c>
      <c r="P1178" s="9">
        <v>0.338</v>
      </c>
      <c r="Q1178" t="s">
        <v>1036</v>
      </c>
      <c r="T1178" s="15" t="s">
        <v>80</v>
      </c>
      <c r="W1178" s="16" t="str">
        <f t="shared" si="125"/>
        <v>EN_WON_34_c01_JOR</v>
      </c>
      <c r="X1178" s="12">
        <f t="shared" si="126"/>
        <v>1756</v>
      </c>
      <c r="Y1178" s="11">
        <f t="shared" si="127"/>
        <v>1756</v>
      </c>
    </row>
    <row r="1179" spans="2:25">
      <c r="B1179" t="s">
        <v>26</v>
      </c>
      <c r="C1179" t="s">
        <v>6650</v>
      </c>
      <c r="D1179" t="s">
        <v>6651</v>
      </c>
      <c r="E1179" t="s">
        <v>29</v>
      </c>
      <c r="F1179" t="s">
        <v>30</v>
      </c>
      <c r="G1179" t="s">
        <v>31</v>
      </c>
      <c r="J1179" t="s">
        <v>6650</v>
      </c>
      <c r="K1179" t="s">
        <v>1967</v>
      </c>
      <c r="L1179" t="s">
        <v>4222</v>
      </c>
      <c r="M1179" s="8">
        <v>0.075</v>
      </c>
      <c r="N1179">
        <v>105.747516212372</v>
      </c>
      <c r="O1179">
        <v>2263</v>
      </c>
      <c r="P1179" s="9">
        <v>0.153</v>
      </c>
      <c r="Q1179" t="s">
        <v>1042</v>
      </c>
      <c r="T1179" s="15" t="s">
        <v>1043</v>
      </c>
      <c r="W1179" s="16" t="str">
        <f t="shared" si="125"/>
        <v>EN_WON_15_c03_JPN</v>
      </c>
      <c r="X1179" s="12">
        <f t="shared" si="126"/>
        <v>2263</v>
      </c>
      <c r="Y1179" s="11">
        <f t="shared" si="127"/>
        <v>2263</v>
      </c>
    </row>
    <row r="1180" spans="2:25">
      <c r="B1180" t="s">
        <v>26</v>
      </c>
      <c r="C1180" t="s">
        <v>6652</v>
      </c>
      <c r="D1180" t="s">
        <v>6653</v>
      </c>
      <c r="E1180" t="s">
        <v>29</v>
      </c>
      <c r="F1180" t="s">
        <v>30</v>
      </c>
      <c r="G1180" t="s">
        <v>31</v>
      </c>
      <c r="J1180" t="s">
        <v>6652</v>
      </c>
      <c r="K1180" t="s">
        <v>1967</v>
      </c>
      <c r="L1180" t="s">
        <v>4222</v>
      </c>
      <c r="M1180" s="8">
        <v>6.99825</v>
      </c>
      <c r="N1180">
        <v>145.23264029167</v>
      </c>
      <c r="O1180">
        <v>2263</v>
      </c>
      <c r="P1180" s="9">
        <v>0.153220447969135</v>
      </c>
      <c r="Q1180" t="s">
        <v>1042</v>
      </c>
      <c r="T1180" s="15" t="s">
        <v>1043</v>
      </c>
      <c r="W1180" s="16" t="str">
        <f t="shared" si="125"/>
        <v>EN_WON_15_c04_JPN</v>
      </c>
      <c r="X1180" s="12">
        <f t="shared" si="126"/>
        <v>2263</v>
      </c>
      <c r="Y1180" s="11">
        <f t="shared" si="127"/>
        <v>2263</v>
      </c>
    </row>
    <row r="1181" spans="2:25">
      <c r="B1181" t="s">
        <v>26</v>
      </c>
      <c r="C1181" t="s">
        <v>6654</v>
      </c>
      <c r="D1181" t="s">
        <v>6655</v>
      </c>
      <c r="E1181" t="s">
        <v>29</v>
      </c>
      <c r="F1181" t="s">
        <v>30</v>
      </c>
      <c r="G1181" t="s">
        <v>31</v>
      </c>
      <c r="J1181" t="s">
        <v>6654</v>
      </c>
      <c r="K1181" t="s">
        <v>1967</v>
      </c>
      <c r="L1181" t="s">
        <v>4222</v>
      </c>
      <c r="M1181" s="8">
        <v>58.089</v>
      </c>
      <c r="N1181">
        <v>145.23264029167</v>
      </c>
      <c r="O1181">
        <v>2263</v>
      </c>
      <c r="P1181" s="9">
        <v>0.158471685689201</v>
      </c>
      <c r="Q1181" t="s">
        <v>1042</v>
      </c>
      <c r="T1181" s="15" t="s">
        <v>1043</v>
      </c>
      <c r="W1181" s="16" t="str">
        <f t="shared" si="125"/>
        <v>EN_WON_16_c04_JPN</v>
      </c>
      <c r="X1181" s="12">
        <f t="shared" si="126"/>
        <v>2263</v>
      </c>
      <c r="Y1181" s="11">
        <f t="shared" si="127"/>
        <v>2263</v>
      </c>
    </row>
    <row r="1182" spans="2:25">
      <c r="B1182" t="s">
        <v>26</v>
      </c>
      <c r="C1182" t="s">
        <v>6656</v>
      </c>
      <c r="D1182" t="s">
        <v>6657</v>
      </c>
      <c r="E1182" t="s">
        <v>29</v>
      </c>
      <c r="F1182" t="s">
        <v>30</v>
      </c>
      <c r="G1182" t="s">
        <v>31</v>
      </c>
      <c r="J1182" t="s">
        <v>6656</v>
      </c>
      <c r="K1182" t="s">
        <v>1967</v>
      </c>
      <c r="L1182" t="s">
        <v>4222</v>
      </c>
      <c r="M1182" s="8">
        <v>94.07025</v>
      </c>
      <c r="N1182">
        <v>145.23264029167</v>
      </c>
      <c r="O1182">
        <v>2263</v>
      </c>
      <c r="P1182" s="9">
        <v>0.170168328988176</v>
      </c>
      <c r="Q1182" t="s">
        <v>1042</v>
      </c>
      <c r="T1182" s="15" t="s">
        <v>1043</v>
      </c>
      <c r="W1182" s="16" t="str">
        <f t="shared" si="125"/>
        <v>EN_WON_17_c04_JPN</v>
      </c>
      <c r="X1182" s="12">
        <f t="shared" si="126"/>
        <v>2263</v>
      </c>
      <c r="Y1182" s="11">
        <f t="shared" si="127"/>
        <v>2263</v>
      </c>
    </row>
    <row r="1183" spans="2:25">
      <c r="B1183" t="s">
        <v>26</v>
      </c>
      <c r="C1183" t="s">
        <v>6658</v>
      </c>
      <c r="D1183" t="s">
        <v>6659</v>
      </c>
      <c r="E1183" t="s">
        <v>29</v>
      </c>
      <c r="F1183" t="s">
        <v>30</v>
      </c>
      <c r="G1183" t="s">
        <v>31</v>
      </c>
      <c r="J1183" t="s">
        <v>6658</v>
      </c>
      <c r="K1183" t="s">
        <v>1967</v>
      </c>
      <c r="L1183" t="s">
        <v>4222</v>
      </c>
      <c r="M1183" s="8">
        <v>13.39125</v>
      </c>
      <c r="N1183">
        <v>105.747516212372</v>
      </c>
      <c r="O1183">
        <v>2263</v>
      </c>
      <c r="P1183" s="9">
        <v>0.181567068048166</v>
      </c>
      <c r="Q1183" t="s">
        <v>1042</v>
      </c>
      <c r="T1183" s="15" t="s">
        <v>1043</v>
      </c>
      <c r="W1183" s="16" t="str">
        <f t="shared" si="125"/>
        <v>EN_WON_18_c03_JPN</v>
      </c>
      <c r="X1183" s="12">
        <f t="shared" si="126"/>
        <v>2263</v>
      </c>
      <c r="Y1183" s="11">
        <f t="shared" si="127"/>
        <v>2263</v>
      </c>
    </row>
    <row r="1184" spans="2:25">
      <c r="B1184" t="s">
        <v>26</v>
      </c>
      <c r="C1184" t="s">
        <v>6660</v>
      </c>
      <c r="D1184" t="s">
        <v>6661</v>
      </c>
      <c r="E1184" t="s">
        <v>29</v>
      </c>
      <c r="F1184" t="s">
        <v>30</v>
      </c>
      <c r="G1184" t="s">
        <v>31</v>
      </c>
      <c r="J1184" t="s">
        <v>6660</v>
      </c>
      <c r="K1184" t="s">
        <v>1967</v>
      </c>
      <c r="L1184" t="s">
        <v>4222</v>
      </c>
      <c r="M1184" s="8">
        <v>82.1835</v>
      </c>
      <c r="N1184">
        <v>145.23264029167</v>
      </c>
      <c r="O1184">
        <v>2263</v>
      </c>
      <c r="P1184" s="9">
        <v>0.180289656682911</v>
      </c>
      <c r="Q1184" t="s">
        <v>1042</v>
      </c>
      <c r="T1184" s="15" t="s">
        <v>1043</v>
      </c>
      <c r="W1184" s="16" t="str">
        <f t="shared" si="125"/>
        <v>EN_WON_18_c04_JPN</v>
      </c>
      <c r="X1184" s="12">
        <f t="shared" si="126"/>
        <v>2263</v>
      </c>
      <c r="Y1184" s="11">
        <f t="shared" si="127"/>
        <v>2263</v>
      </c>
    </row>
    <row r="1185" spans="2:25">
      <c r="B1185" t="s">
        <v>26</v>
      </c>
      <c r="C1185" t="s">
        <v>6662</v>
      </c>
      <c r="D1185" t="s">
        <v>6663</v>
      </c>
      <c r="E1185" t="s">
        <v>29</v>
      </c>
      <c r="F1185" t="s">
        <v>30</v>
      </c>
      <c r="G1185" t="s">
        <v>31</v>
      </c>
      <c r="J1185" t="s">
        <v>6662</v>
      </c>
      <c r="K1185" t="s">
        <v>1967</v>
      </c>
      <c r="L1185" t="s">
        <v>4222</v>
      </c>
      <c r="M1185" s="8">
        <v>5.44875</v>
      </c>
      <c r="N1185">
        <v>105.747516212372</v>
      </c>
      <c r="O1185">
        <v>2263</v>
      </c>
      <c r="P1185" s="9">
        <v>0.192</v>
      </c>
      <c r="Q1185" t="s">
        <v>1042</v>
      </c>
      <c r="T1185" s="15" t="s">
        <v>1043</v>
      </c>
      <c r="W1185" s="16" t="str">
        <f t="shared" si="125"/>
        <v>EN_WON_19_c03_JPN</v>
      </c>
      <c r="X1185" s="12">
        <f t="shared" si="126"/>
        <v>2263</v>
      </c>
      <c r="Y1185" s="11">
        <f t="shared" si="127"/>
        <v>2263</v>
      </c>
    </row>
    <row r="1186" spans="2:25">
      <c r="B1186" t="s">
        <v>26</v>
      </c>
      <c r="C1186" t="s">
        <v>6664</v>
      </c>
      <c r="D1186" t="s">
        <v>6665</v>
      </c>
      <c r="E1186" t="s">
        <v>29</v>
      </c>
      <c r="F1186" t="s">
        <v>30</v>
      </c>
      <c r="G1186" t="s">
        <v>31</v>
      </c>
      <c r="J1186" t="s">
        <v>6664</v>
      </c>
      <c r="K1186" t="s">
        <v>1967</v>
      </c>
      <c r="L1186" t="s">
        <v>4222</v>
      </c>
      <c r="M1186" s="8">
        <v>59.9175</v>
      </c>
      <c r="N1186">
        <v>145.23264029167</v>
      </c>
      <c r="O1186">
        <v>2263</v>
      </c>
      <c r="P1186" s="9">
        <v>0.188174252096633</v>
      </c>
      <c r="Q1186" t="s">
        <v>1042</v>
      </c>
      <c r="T1186" s="15" t="s">
        <v>1043</v>
      </c>
      <c r="W1186" s="16" t="str">
        <f t="shared" si="125"/>
        <v>EN_WON_19_c04_JPN</v>
      </c>
      <c r="X1186" s="12">
        <f t="shared" si="126"/>
        <v>2263</v>
      </c>
      <c r="Y1186" s="11">
        <f t="shared" si="127"/>
        <v>2263</v>
      </c>
    </row>
    <row r="1187" spans="2:25">
      <c r="B1187" t="s">
        <v>26</v>
      </c>
      <c r="C1187" t="s">
        <v>6666</v>
      </c>
      <c r="D1187" t="s">
        <v>6667</v>
      </c>
      <c r="E1187" t="s">
        <v>29</v>
      </c>
      <c r="F1187" t="s">
        <v>30</v>
      </c>
      <c r="G1187" t="s">
        <v>31</v>
      </c>
      <c r="J1187" t="s">
        <v>6666</v>
      </c>
      <c r="K1187" t="s">
        <v>1967</v>
      </c>
      <c r="L1187" t="s">
        <v>4222</v>
      </c>
      <c r="M1187" s="8">
        <v>1.0155</v>
      </c>
      <c r="N1187">
        <v>105.747516212372</v>
      </c>
      <c r="O1187">
        <v>2263</v>
      </c>
      <c r="P1187" s="9">
        <v>0.201337518463811</v>
      </c>
      <c r="Q1187" t="s">
        <v>1042</v>
      </c>
      <c r="T1187" s="15" t="s">
        <v>1043</v>
      </c>
      <c r="W1187" s="16" t="str">
        <f t="shared" si="125"/>
        <v>EN_WON_20_c03_JPN</v>
      </c>
      <c r="X1187" s="12">
        <f t="shared" si="126"/>
        <v>2263</v>
      </c>
      <c r="Y1187" s="11">
        <f t="shared" si="127"/>
        <v>2263</v>
      </c>
    </row>
    <row r="1188" spans="2:25">
      <c r="B1188" t="s">
        <v>26</v>
      </c>
      <c r="C1188" t="s">
        <v>6668</v>
      </c>
      <c r="D1188" t="s">
        <v>6669</v>
      </c>
      <c r="E1188" t="s">
        <v>29</v>
      </c>
      <c r="F1188" t="s">
        <v>30</v>
      </c>
      <c r="G1188" t="s">
        <v>31</v>
      </c>
      <c r="J1188" t="s">
        <v>6668</v>
      </c>
      <c r="K1188" t="s">
        <v>1967</v>
      </c>
      <c r="L1188" t="s">
        <v>4222</v>
      </c>
      <c r="M1188" s="8">
        <v>64.3395</v>
      </c>
      <c r="N1188">
        <v>145.23264029167</v>
      </c>
      <c r="O1188">
        <v>2263</v>
      </c>
      <c r="P1188" s="9">
        <v>0.201085316951484</v>
      </c>
      <c r="Q1188" t="s">
        <v>1042</v>
      </c>
      <c r="T1188" s="15" t="s">
        <v>1043</v>
      </c>
      <c r="W1188" s="16" t="str">
        <f t="shared" si="125"/>
        <v>EN_WON_20_c04_JPN</v>
      </c>
      <c r="X1188" s="12">
        <f t="shared" si="126"/>
        <v>2263</v>
      </c>
      <c r="Y1188" s="11">
        <f t="shared" si="127"/>
        <v>2263</v>
      </c>
    </row>
    <row r="1189" spans="2:25">
      <c r="B1189" t="s">
        <v>26</v>
      </c>
      <c r="C1189" t="s">
        <v>6670</v>
      </c>
      <c r="D1189" t="s">
        <v>6671</v>
      </c>
      <c r="E1189" t="s">
        <v>29</v>
      </c>
      <c r="F1189" t="s">
        <v>30</v>
      </c>
      <c r="G1189" t="s">
        <v>31</v>
      </c>
      <c r="J1189" t="s">
        <v>6670</v>
      </c>
      <c r="K1189" t="s">
        <v>1967</v>
      </c>
      <c r="L1189" t="s">
        <v>4222</v>
      </c>
      <c r="M1189" s="8">
        <v>9.285</v>
      </c>
      <c r="N1189">
        <v>105.747516212372</v>
      </c>
      <c r="O1189">
        <v>2263</v>
      </c>
      <c r="P1189" s="9">
        <v>0.210423182552504</v>
      </c>
      <c r="Q1189" t="s">
        <v>1042</v>
      </c>
      <c r="T1189" s="15" t="s">
        <v>1043</v>
      </c>
      <c r="W1189" s="16" t="str">
        <f t="shared" si="125"/>
        <v>EN_WON_21_c03_JPN</v>
      </c>
      <c r="X1189" s="12">
        <f t="shared" si="126"/>
        <v>2263</v>
      </c>
      <c r="Y1189" s="11">
        <f t="shared" si="127"/>
        <v>2263</v>
      </c>
    </row>
    <row r="1190" spans="2:25">
      <c r="B1190" t="s">
        <v>26</v>
      </c>
      <c r="C1190" t="s">
        <v>6672</v>
      </c>
      <c r="D1190" t="s">
        <v>6673</v>
      </c>
      <c r="E1190" t="s">
        <v>29</v>
      </c>
      <c r="F1190" t="s">
        <v>30</v>
      </c>
      <c r="G1190" t="s">
        <v>31</v>
      </c>
      <c r="J1190" t="s">
        <v>6672</v>
      </c>
      <c r="K1190" t="s">
        <v>1967</v>
      </c>
      <c r="L1190" t="s">
        <v>4222</v>
      </c>
      <c r="M1190" s="8">
        <v>58.19925</v>
      </c>
      <c r="N1190">
        <v>145.23264029167</v>
      </c>
      <c r="O1190">
        <v>2263</v>
      </c>
      <c r="P1190" s="9">
        <v>0.208631606077398</v>
      </c>
      <c r="Q1190" t="s">
        <v>1042</v>
      </c>
      <c r="T1190" s="15" t="s">
        <v>1043</v>
      </c>
      <c r="W1190" s="16" t="str">
        <f t="shared" si="125"/>
        <v>EN_WON_21_c04_JPN</v>
      </c>
      <c r="X1190" s="12">
        <f t="shared" si="126"/>
        <v>2263</v>
      </c>
      <c r="Y1190" s="11">
        <f t="shared" si="127"/>
        <v>2263</v>
      </c>
    </row>
    <row r="1191" spans="2:25">
      <c r="B1191" t="s">
        <v>26</v>
      </c>
      <c r="C1191" t="s">
        <v>6674</v>
      </c>
      <c r="D1191" t="s">
        <v>6675</v>
      </c>
      <c r="E1191" t="s">
        <v>29</v>
      </c>
      <c r="F1191" t="s">
        <v>30</v>
      </c>
      <c r="G1191" t="s">
        <v>31</v>
      </c>
      <c r="J1191" t="s">
        <v>6674</v>
      </c>
      <c r="K1191" t="s">
        <v>1967</v>
      </c>
      <c r="L1191" t="s">
        <v>4222</v>
      </c>
      <c r="M1191" s="8">
        <v>6.03075</v>
      </c>
      <c r="N1191">
        <v>80.7856561622413</v>
      </c>
      <c r="O1191">
        <v>2263</v>
      </c>
      <c r="P1191" s="9">
        <v>0.218089665464494</v>
      </c>
      <c r="Q1191" t="s">
        <v>1042</v>
      </c>
      <c r="T1191" s="15" t="s">
        <v>1043</v>
      </c>
      <c r="W1191" s="16" t="str">
        <f t="shared" si="125"/>
        <v>EN_WON_22_c02_JPN</v>
      </c>
      <c r="X1191" s="12">
        <f t="shared" si="126"/>
        <v>2263</v>
      </c>
      <c r="Y1191" s="11">
        <f t="shared" si="127"/>
        <v>2263</v>
      </c>
    </row>
    <row r="1192" spans="2:25">
      <c r="B1192" t="s">
        <v>26</v>
      </c>
      <c r="C1192" t="s">
        <v>6676</v>
      </c>
      <c r="D1192" t="s">
        <v>6677</v>
      </c>
      <c r="E1192" t="s">
        <v>29</v>
      </c>
      <c r="F1192" t="s">
        <v>30</v>
      </c>
      <c r="G1192" t="s">
        <v>31</v>
      </c>
      <c r="J1192" t="s">
        <v>6676</v>
      </c>
      <c r="K1192" t="s">
        <v>1967</v>
      </c>
      <c r="L1192" t="s">
        <v>4222</v>
      </c>
      <c r="M1192" s="8">
        <v>11.8995</v>
      </c>
      <c r="N1192">
        <v>105.747516212372</v>
      </c>
      <c r="O1192">
        <v>2263</v>
      </c>
      <c r="P1192" s="9">
        <v>0.221285957393168</v>
      </c>
      <c r="Q1192" t="s">
        <v>1042</v>
      </c>
      <c r="T1192" s="15" t="s">
        <v>1043</v>
      </c>
      <c r="W1192" s="16" t="str">
        <f t="shared" si="125"/>
        <v>EN_WON_22_c03_JPN</v>
      </c>
      <c r="X1192" s="12">
        <f t="shared" si="126"/>
        <v>2263</v>
      </c>
      <c r="Y1192" s="11">
        <f t="shared" si="127"/>
        <v>2263</v>
      </c>
    </row>
    <row r="1193" spans="2:25">
      <c r="B1193" t="s">
        <v>26</v>
      </c>
      <c r="C1193" t="s">
        <v>6678</v>
      </c>
      <c r="D1193" t="s">
        <v>6679</v>
      </c>
      <c r="E1193" t="s">
        <v>29</v>
      </c>
      <c r="F1193" t="s">
        <v>30</v>
      </c>
      <c r="G1193" t="s">
        <v>31</v>
      </c>
      <c r="J1193" t="s">
        <v>6678</v>
      </c>
      <c r="K1193" t="s">
        <v>1967</v>
      </c>
      <c r="L1193" t="s">
        <v>4222</v>
      </c>
      <c r="M1193" s="8">
        <v>52.61475</v>
      </c>
      <c r="N1193">
        <v>145.23264029167</v>
      </c>
      <c r="O1193">
        <v>2263</v>
      </c>
      <c r="P1193" s="9">
        <v>0.218622924180007</v>
      </c>
      <c r="Q1193" t="s">
        <v>1042</v>
      </c>
      <c r="T1193" s="15" t="s">
        <v>1043</v>
      </c>
      <c r="W1193" s="16" t="str">
        <f t="shared" si="125"/>
        <v>EN_WON_22_c04_JPN</v>
      </c>
      <c r="X1193" s="12">
        <f t="shared" si="126"/>
        <v>2263</v>
      </c>
      <c r="Y1193" s="11">
        <f t="shared" si="127"/>
        <v>2263</v>
      </c>
    </row>
    <row r="1194" spans="2:25">
      <c r="B1194" t="s">
        <v>26</v>
      </c>
      <c r="C1194" t="s">
        <v>6680</v>
      </c>
      <c r="D1194" t="s">
        <v>6681</v>
      </c>
      <c r="E1194" t="s">
        <v>29</v>
      </c>
      <c r="F1194" t="s">
        <v>30</v>
      </c>
      <c r="G1194" t="s">
        <v>31</v>
      </c>
      <c r="J1194" t="s">
        <v>6680</v>
      </c>
      <c r="K1194" t="s">
        <v>1967</v>
      </c>
      <c r="L1194" t="s">
        <v>4222</v>
      </c>
      <c r="M1194" s="8">
        <v>6.12525</v>
      </c>
      <c r="N1194">
        <v>80.7856561622413</v>
      </c>
      <c r="O1194">
        <v>2263</v>
      </c>
      <c r="P1194" s="9">
        <v>0.23</v>
      </c>
      <c r="Q1194" t="s">
        <v>1042</v>
      </c>
      <c r="T1194" s="15" t="s">
        <v>1043</v>
      </c>
      <c r="W1194" s="16" t="str">
        <f t="shared" si="125"/>
        <v>EN_WON_23_c02_JPN</v>
      </c>
      <c r="X1194" s="12">
        <f t="shared" si="126"/>
        <v>2263</v>
      </c>
      <c r="Y1194" s="11">
        <f t="shared" si="127"/>
        <v>2263</v>
      </c>
    </row>
    <row r="1195" spans="2:25">
      <c r="B1195" t="s">
        <v>26</v>
      </c>
      <c r="C1195" t="s">
        <v>6682</v>
      </c>
      <c r="D1195" t="s">
        <v>6683</v>
      </c>
      <c r="E1195" t="s">
        <v>29</v>
      </c>
      <c r="F1195" t="s">
        <v>30</v>
      </c>
      <c r="G1195" t="s">
        <v>31</v>
      </c>
      <c r="J1195" t="s">
        <v>6682</v>
      </c>
      <c r="K1195" t="s">
        <v>1967</v>
      </c>
      <c r="L1195" t="s">
        <v>4222</v>
      </c>
      <c r="M1195" s="8">
        <v>5.625</v>
      </c>
      <c r="N1195">
        <v>105.747516212372</v>
      </c>
      <c r="O1195">
        <v>2263</v>
      </c>
      <c r="P1195" s="9">
        <v>0.227</v>
      </c>
      <c r="Q1195" t="s">
        <v>1042</v>
      </c>
      <c r="T1195" s="15" t="s">
        <v>1043</v>
      </c>
      <c r="W1195" s="16" t="str">
        <f t="shared" si="125"/>
        <v>EN_WON_23_c03_JPN</v>
      </c>
      <c r="X1195" s="12">
        <f t="shared" si="126"/>
        <v>2263</v>
      </c>
      <c r="Y1195" s="11">
        <f t="shared" si="127"/>
        <v>2263</v>
      </c>
    </row>
    <row r="1196" spans="2:25">
      <c r="B1196" t="s">
        <v>26</v>
      </c>
      <c r="C1196" t="s">
        <v>6684</v>
      </c>
      <c r="D1196" t="s">
        <v>6685</v>
      </c>
      <c r="E1196" t="s">
        <v>29</v>
      </c>
      <c r="F1196" t="s">
        <v>30</v>
      </c>
      <c r="G1196" t="s">
        <v>31</v>
      </c>
      <c r="J1196" t="s">
        <v>6684</v>
      </c>
      <c r="K1196" t="s">
        <v>1967</v>
      </c>
      <c r="L1196" t="s">
        <v>4222</v>
      </c>
      <c r="M1196" s="8">
        <v>36.13275</v>
      </c>
      <c r="N1196">
        <v>145.23264029167</v>
      </c>
      <c r="O1196">
        <v>2263</v>
      </c>
      <c r="P1196" s="9">
        <v>0.228396101874338</v>
      </c>
      <c r="Q1196" t="s">
        <v>1042</v>
      </c>
      <c r="T1196" s="15" t="s">
        <v>1043</v>
      </c>
      <c r="W1196" s="16" t="str">
        <f t="shared" si="125"/>
        <v>EN_WON_23_c04_JPN</v>
      </c>
      <c r="X1196" s="12">
        <f t="shared" si="126"/>
        <v>2263</v>
      </c>
      <c r="Y1196" s="11">
        <f t="shared" si="127"/>
        <v>2263</v>
      </c>
    </row>
    <row r="1197" spans="2:25">
      <c r="B1197" t="s">
        <v>26</v>
      </c>
      <c r="C1197" t="s">
        <v>6686</v>
      </c>
      <c r="D1197" t="s">
        <v>6687</v>
      </c>
      <c r="E1197" t="s">
        <v>29</v>
      </c>
      <c r="F1197" t="s">
        <v>30</v>
      </c>
      <c r="G1197" t="s">
        <v>31</v>
      </c>
      <c r="J1197" t="s">
        <v>6686</v>
      </c>
      <c r="K1197" t="s">
        <v>1967</v>
      </c>
      <c r="L1197" t="s">
        <v>4222</v>
      </c>
      <c r="M1197" s="8">
        <v>2.7555</v>
      </c>
      <c r="N1197">
        <v>80.7856561622413</v>
      </c>
      <c r="O1197">
        <v>2263</v>
      </c>
      <c r="P1197" s="9">
        <v>0.243234621665759</v>
      </c>
      <c r="Q1197" t="s">
        <v>1042</v>
      </c>
      <c r="T1197" s="15" t="s">
        <v>1043</v>
      </c>
      <c r="W1197" s="16" t="str">
        <f t="shared" si="125"/>
        <v>EN_WON_24_c02_JPN</v>
      </c>
      <c r="X1197" s="12">
        <f t="shared" si="126"/>
        <v>2263</v>
      </c>
      <c r="Y1197" s="11">
        <f t="shared" si="127"/>
        <v>2263</v>
      </c>
    </row>
    <row r="1198" spans="2:25">
      <c r="B1198" t="s">
        <v>26</v>
      </c>
      <c r="C1198" t="s">
        <v>6688</v>
      </c>
      <c r="D1198" t="s">
        <v>6689</v>
      </c>
      <c r="E1198" t="s">
        <v>29</v>
      </c>
      <c r="F1198" t="s">
        <v>30</v>
      </c>
      <c r="G1198" t="s">
        <v>31</v>
      </c>
      <c r="J1198" t="s">
        <v>6688</v>
      </c>
      <c r="K1198" t="s">
        <v>1967</v>
      </c>
      <c r="L1198" t="s">
        <v>4222</v>
      </c>
      <c r="M1198" s="8">
        <v>11.69325</v>
      </c>
      <c r="N1198">
        <v>105.747516212372</v>
      </c>
      <c r="O1198">
        <v>2263</v>
      </c>
      <c r="P1198" s="9">
        <v>0.24116586492207</v>
      </c>
      <c r="Q1198" t="s">
        <v>1042</v>
      </c>
      <c r="T1198" s="15" t="s">
        <v>1043</v>
      </c>
      <c r="W1198" s="16" t="str">
        <f t="shared" si="125"/>
        <v>EN_WON_24_c03_JPN</v>
      </c>
      <c r="X1198" s="12">
        <f t="shared" si="126"/>
        <v>2263</v>
      </c>
      <c r="Y1198" s="11">
        <f t="shared" si="127"/>
        <v>2263</v>
      </c>
    </row>
    <row r="1199" spans="2:25">
      <c r="B1199" t="s">
        <v>26</v>
      </c>
      <c r="C1199" t="s">
        <v>6690</v>
      </c>
      <c r="D1199" t="s">
        <v>6691</v>
      </c>
      <c r="E1199" t="s">
        <v>29</v>
      </c>
      <c r="F1199" t="s">
        <v>30</v>
      </c>
      <c r="G1199" t="s">
        <v>31</v>
      </c>
      <c r="J1199" t="s">
        <v>6690</v>
      </c>
      <c r="K1199" t="s">
        <v>1967</v>
      </c>
      <c r="L1199" t="s">
        <v>4222</v>
      </c>
      <c r="M1199" s="8">
        <v>15.90825</v>
      </c>
      <c r="N1199">
        <v>145.23264029167</v>
      </c>
      <c r="O1199">
        <v>2263</v>
      </c>
      <c r="P1199" s="9">
        <v>0.240286502286549</v>
      </c>
      <c r="Q1199" t="s">
        <v>1042</v>
      </c>
      <c r="T1199" s="15" t="s">
        <v>1043</v>
      </c>
      <c r="W1199" s="16" t="str">
        <f t="shared" si="125"/>
        <v>EN_WON_24_c04_JPN</v>
      </c>
      <c r="X1199" s="12">
        <f t="shared" si="126"/>
        <v>2263</v>
      </c>
      <c r="Y1199" s="11">
        <f t="shared" si="127"/>
        <v>2263</v>
      </c>
    </row>
    <row r="1200" spans="2:25">
      <c r="B1200" t="s">
        <v>26</v>
      </c>
      <c r="C1200" t="s">
        <v>6692</v>
      </c>
      <c r="D1200" t="s">
        <v>6693</v>
      </c>
      <c r="E1200" t="s">
        <v>29</v>
      </c>
      <c r="F1200" t="s">
        <v>30</v>
      </c>
      <c r="G1200" t="s">
        <v>31</v>
      </c>
      <c r="J1200" t="s">
        <v>6692</v>
      </c>
      <c r="K1200" t="s">
        <v>1967</v>
      </c>
      <c r="L1200" t="s">
        <v>4222</v>
      </c>
      <c r="M1200" s="8">
        <v>2.208</v>
      </c>
      <c r="N1200">
        <v>80.7856561622413</v>
      </c>
      <c r="O1200">
        <v>2263</v>
      </c>
      <c r="P1200" s="9">
        <v>0.251946331521739</v>
      </c>
      <c r="Q1200" t="s">
        <v>1042</v>
      </c>
      <c r="T1200" s="15" t="s">
        <v>1043</v>
      </c>
      <c r="W1200" s="16" t="str">
        <f t="shared" si="125"/>
        <v>EN_WON_25_c02_JPN</v>
      </c>
      <c r="X1200" s="12">
        <f t="shared" si="126"/>
        <v>2263</v>
      </c>
      <c r="Y1200" s="11">
        <f t="shared" si="127"/>
        <v>2263</v>
      </c>
    </row>
    <row r="1201" spans="2:25">
      <c r="B1201" t="s">
        <v>26</v>
      </c>
      <c r="C1201" t="s">
        <v>6694</v>
      </c>
      <c r="D1201" t="s">
        <v>6695</v>
      </c>
      <c r="E1201" t="s">
        <v>29</v>
      </c>
      <c r="F1201" t="s">
        <v>30</v>
      </c>
      <c r="G1201" t="s">
        <v>31</v>
      </c>
      <c r="J1201" t="s">
        <v>6694</v>
      </c>
      <c r="K1201" t="s">
        <v>1967</v>
      </c>
      <c r="L1201" t="s">
        <v>4222</v>
      </c>
      <c r="M1201" s="8">
        <v>13.92525</v>
      </c>
      <c r="N1201">
        <v>105.747516212372</v>
      </c>
      <c r="O1201">
        <v>2263</v>
      </c>
      <c r="P1201" s="9">
        <v>0.248913933322562</v>
      </c>
      <c r="Q1201" t="s">
        <v>1042</v>
      </c>
      <c r="T1201" s="15" t="s">
        <v>1043</v>
      </c>
      <c r="W1201" s="16" t="str">
        <f t="shared" si="125"/>
        <v>EN_WON_25_c03_JPN</v>
      </c>
      <c r="X1201" s="12">
        <f t="shared" si="126"/>
        <v>2263</v>
      </c>
      <c r="Y1201" s="11">
        <f t="shared" si="127"/>
        <v>2263</v>
      </c>
    </row>
    <row r="1202" spans="2:25">
      <c r="B1202" t="s">
        <v>26</v>
      </c>
      <c r="C1202" t="s">
        <v>6696</v>
      </c>
      <c r="D1202" t="s">
        <v>6697</v>
      </c>
      <c r="E1202" t="s">
        <v>29</v>
      </c>
      <c r="F1202" t="s">
        <v>30</v>
      </c>
      <c r="G1202" t="s">
        <v>31</v>
      </c>
      <c r="J1202" t="s">
        <v>6696</v>
      </c>
      <c r="K1202" t="s">
        <v>1967</v>
      </c>
      <c r="L1202" t="s">
        <v>4222</v>
      </c>
      <c r="M1202" s="8">
        <v>20.66025</v>
      </c>
      <c r="N1202">
        <v>145.23264029167</v>
      </c>
      <c r="O1202">
        <v>2263</v>
      </c>
      <c r="P1202" s="9">
        <v>0.250313391657894</v>
      </c>
      <c r="Q1202" t="s">
        <v>1042</v>
      </c>
      <c r="T1202" s="15" t="s">
        <v>1043</v>
      </c>
      <c r="W1202" s="16" t="str">
        <f t="shared" si="125"/>
        <v>EN_WON_25_c04_JPN</v>
      </c>
      <c r="X1202" s="12">
        <f t="shared" si="126"/>
        <v>2263</v>
      </c>
      <c r="Y1202" s="11">
        <f t="shared" si="127"/>
        <v>2263</v>
      </c>
    </row>
    <row r="1203" spans="2:25">
      <c r="B1203" t="s">
        <v>26</v>
      </c>
      <c r="C1203" t="s">
        <v>6698</v>
      </c>
      <c r="D1203" t="s">
        <v>6699</v>
      </c>
      <c r="E1203" t="s">
        <v>29</v>
      </c>
      <c r="F1203" t="s">
        <v>30</v>
      </c>
      <c r="G1203" t="s">
        <v>31</v>
      </c>
      <c r="J1203" t="s">
        <v>6698</v>
      </c>
      <c r="K1203" t="s">
        <v>1967</v>
      </c>
      <c r="L1203" t="s">
        <v>4222</v>
      </c>
      <c r="M1203" s="8">
        <v>3.5595</v>
      </c>
      <c r="N1203">
        <v>80.7856561622413</v>
      </c>
      <c r="O1203">
        <v>2263</v>
      </c>
      <c r="P1203" s="9">
        <v>0.262706278971766</v>
      </c>
      <c r="Q1203" t="s">
        <v>1042</v>
      </c>
      <c r="T1203" s="15" t="s">
        <v>1043</v>
      </c>
      <c r="W1203" s="16" t="str">
        <f t="shared" si="125"/>
        <v>EN_WON_26_c02_JPN</v>
      </c>
      <c r="X1203" s="12">
        <f t="shared" si="126"/>
        <v>2263</v>
      </c>
      <c r="Y1203" s="11">
        <f t="shared" si="127"/>
        <v>2263</v>
      </c>
    </row>
    <row r="1204" spans="2:25">
      <c r="B1204" t="s">
        <v>26</v>
      </c>
      <c r="C1204" t="s">
        <v>6700</v>
      </c>
      <c r="D1204" t="s">
        <v>6701</v>
      </c>
      <c r="E1204" t="s">
        <v>29</v>
      </c>
      <c r="F1204" t="s">
        <v>30</v>
      </c>
      <c r="G1204" t="s">
        <v>31</v>
      </c>
      <c r="J1204" t="s">
        <v>6700</v>
      </c>
      <c r="K1204" t="s">
        <v>1967</v>
      </c>
      <c r="L1204" t="s">
        <v>4222</v>
      </c>
      <c r="M1204" s="8">
        <v>17.058</v>
      </c>
      <c r="N1204">
        <v>105.747516212372</v>
      </c>
      <c r="O1204">
        <v>2263</v>
      </c>
      <c r="P1204" s="9">
        <v>0.262479335209286</v>
      </c>
      <c r="Q1204" t="s">
        <v>1042</v>
      </c>
      <c r="T1204" s="15" t="s">
        <v>1043</v>
      </c>
      <c r="W1204" s="16" t="str">
        <f t="shared" si="125"/>
        <v>EN_WON_26_c03_JPN</v>
      </c>
      <c r="X1204" s="12">
        <f t="shared" si="126"/>
        <v>2263</v>
      </c>
      <c r="Y1204" s="11">
        <f t="shared" si="127"/>
        <v>2263</v>
      </c>
    </row>
    <row r="1205" spans="2:25">
      <c r="B1205" t="s">
        <v>26</v>
      </c>
      <c r="C1205" t="s">
        <v>6702</v>
      </c>
      <c r="D1205" t="s">
        <v>6703</v>
      </c>
      <c r="E1205" t="s">
        <v>29</v>
      </c>
      <c r="F1205" t="s">
        <v>30</v>
      </c>
      <c r="G1205" t="s">
        <v>31</v>
      </c>
      <c r="J1205" t="s">
        <v>6702</v>
      </c>
      <c r="K1205" t="s">
        <v>1967</v>
      </c>
      <c r="L1205" t="s">
        <v>4222</v>
      </c>
      <c r="M1205" s="8">
        <v>28.68375</v>
      </c>
      <c r="N1205">
        <v>145.23264029167</v>
      </c>
      <c r="O1205">
        <v>2263</v>
      </c>
      <c r="P1205" s="9">
        <v>0.258421676036083</v>
      </c>
      <c r="Q1205" t="s">
        <v>1042</v>
      </c>
      <c r="T1205" s="15" t="s">
        <v>1043</v>
      </c>
      <c r="W1205" s="16" t="str">
        <f t="shared" si="125"/>
        <v>EN_WON_26_c04_JPN</v>
      </c>
      <c r="X1205" s="12">
        <f t="shared" si="126"/>
        <v>2263</v>
      </c>
      <c r="Y1205" s="11">
        <f t="shared" si="127"/>
        <v>2263</v>
      </c>
    </row>
    <row r="1206" spans="2:25">
      <c r="B1206" t="s">
        <v>26</v>
      </c>
      <c r="C1206" t="s">
        <v>6704</v>
      </c>
      <c r="D1206" t="s">
        <v>6705</v>
      </c>
      <c r="E1206" t="s">
        <v>29</v>
      </c>
      <c r="F1206" t="s">
        <v>30</v>
      </c>
      <c r="G1206" t="s">
        <v>31</v>
      </c>
      <c r="J1206" t="s">
        <v>6704</v>
      </c>
      <c r="K1206" t="s">
        <v>1967</v>
      </c>
      <c r="L1206" t="s">
        <v>4222</v>
      </c>
      <c r="M1206" s="8">
        <v>1.35</v>
      </c>
      <c r="N1206">
        <v>80.7856561622413</v>
      </c>
      <c r="O1206">
        <v>2263</v>
      </c>
      <c r="P1206" s="9">
        <v>0.272265555555556</v>
      </c>
      <c r="Q1206" t="s">
        <v>1042</v>
      </c>
      <c r="T1206" s="15" t="s">
        <v>1043</v>
      </c>
      <c r="W1206" s="16" t="str">
        <f t="shared" si="125"/>
        <v>EN_WON_27_c02_JPN</v>
      </c>
      <c r="X1206" s="12">
        <f t="shared" si="126"/>
        <v>2263</v>
      </c>
      <c r="Y1206" s="11">
        <f t="shared" si="127"/>
        <v>2263</v>
      </c>
    </row>
    <row r="1207" spans="2:25">
      <c r="B1207" t="s">
        <v>26</v>
      </c>
      <c r="C1207" t="s">
        <v>6706</v>
      </c>
      <c r="D1207" t="s">
        <v>6707</v>
      </c>
      <c r="E1207" t="s">
        <v>29</v>
      </c>
      <c r="F1207" t="s">
        <v>30</v>
      </c>
      <c r="G1207" t="s">
        <v>31</v>
      </c>
      <c r="J1207" t="s">
        <v>6706</v>
      </c>
      <c r="K1207" t="s">
        <v>1967</v>
      </c>
      <c r="L1207" t="s">
        <v>4222</v>
      </c>
      <c r="M1207" s="8">
        <v>6.50475</v>
      </c>
      <c r="N1207">
        <v>105.747516212372</v>
      </c>
      <c r="O1207">
        <v>2263</v>
      </c>
      <c r="P1207" s="9">
        <v>0.266556670125677</v>
      </c>
      <c r="Q1207" t="s">
        <v>1042</v>
      </c>
      <c r="T1207" s="15" t="s">
        <v>1043</v>
      </c>
      <c r="W1207" s="16" t="str">
        <f t="shared" si="125"/>
        <v>EN_WON_27_c03_JPN</v>
      </c>
      <c r="X1207" s="12">
        <f t="shared" si="126"/>
        <v>2263</v>
      </c>
      <c r="Y1207" s="11">
        <f t="shared" si="127"/>
        <v>2263</v>
      </c>
    </row>
    <row r="1208" spans="2:25">
      <c r="B1208" t="s">
        <v>26</v>
      </c>
      <c r="C1208" t="s">
        <v>6708</v>
      </c>
      <c r="D1208" t="s">
        <v>6709</v>
      </c>
      <c r="E1208" t="s">
        <v>29</v>
      </c>
      <c r="F1208" t="s">
        <v>30</v>
      </c>
      <c r="G1208" t="s">
        <v>31</v>
      </c>
      <c r="J1208" t="s">
        <v>6708</v>
      </c>
      <c r="K1208" t="s">
        <v>1967</v>
      </c>
      <c r="L1208" t="s">
        <v>4222</v>
      </c>
      <c r="M1208" s="8">
        <v>1.51725</v>
      </c>
      <c r="N1208">
        <v>145.23264029167</v>
      </c>
      <c r="O1208">
        <v>2263</v>
      </c>
      <c r="P1208" s="9">
        <v>0.266</v>
      </c>
      <c r="Q1208" t="s">
        <v>1042</v>
      </c>
      <c r="T1208" s="15" t="s">
        <v>1043</v>
      </c>
      <c r="W1208" s="16" t="str">
        <f t="shared" si="125"/>
        <v>EN_WON_27_c04_JPN</v>
      </c>
      <c r="X1208" s="12">
        <f t="shared" si="126"/>
        <v>2263</v>
      </c>
      <c r="Y1208" s="11">
        <f t="shared" si="127"/>
        <v>2263</v>
      </c>
    </row>
    <row r="1209" spans="2:25">
      <c r="B1209" t="s">
        <v>26</v>
      </c>
      <c r="C1209" t="s">
        <v>6710</v>
      </c>
      <c r="D1209" t="s">
        <v>6711</v>
      </c>
      <c r="E1209" t="s">
        <v>29</v>
      </c>
      <c r="F1209" t="s">
        <v>30</v>
      </c>
      <c r="G1209" t="s">
        <v>31</v>
      </c>
      <c r="J1209" t="s">
        <v>6710</v>
      </c>
      <c r="K1209" t="s">
        <v>1967</v>
      </c>
      <c r="L1209" t="s">
        <v>4222</v>
      </c>
      <c r="M1209" s="8">
        <v>10.19175</v>
      </c>
      <c r="N1209">
        <v>80.7856561622413</v>
      </c>
      <c r="O1209">
        <v>2263</v>
      </c>
      <c r="P1209" s="9">
        <v>0.278879976451542</v>
      </c>
      <c r="Q1209" t="s">
        <v>1042</v>
      </c>
      <c r="T1209" s="15" t="s">
        <v>1043</v>
      </c>
      <c r="W1209" s="16" t="str">
        <f t="shared" si="125"/>
        <v>EN_WON_28_c02_JPN</v>
      </c>
      <c r="X1209" s="12">
        <f t="shared" si="126"/>
        <v>2263</v>
      </c>
      <c r="Y1209" s="11">
        <f t="shared" si="127"/>
        <v>2263</v>
      </c>
    </row>
    <row r="1210" spans="2:25">
      <c r="B1210" t="s">
        <v>26</v>
      </c>
      <c r="C1210" t="s">
        <v>6712</v>
      </c>
      <c r="D1210" t="s">
        <v>6713</v>
      </c>
      <c r="E1210" t="s">
        <v>29</v>
      </c>
      <c r="F1210" t="s">
        <v>30</v>
      </c>
      <c r="G1210" t="s">
        <v>31</v>
      </c>
      <c r="J1210" t="s">
        <v>6712</v>
      </c>
      <c r="K1210" t="s">
        <v>1967</v>
      </c>
      <c r="L1210" t="s">
        <v>4222</v>
      </c>
      <c r="M1210" s="8">
        <v>1.017</v>
      </c>
      <c r="N1210">
        <v>105.747516212372</v>
      </c>
      <c r="O1210">
        <v>2263</v>
      </c>
      <c r="P1210" s="9">
        <v>0.283</v>
      </c>
      <c r="Q1210" t="s">
        <v>1042</v>
      </c>
      <c r="T1210" s="15" t="s">
        <v>1043</v>
      </c>
      <c r="W1210" s="16" t="str">
        <f t="shared" si="125"/>
        <v>EN_WON_28_c03_JPN</v>
      </c>
      <c r="X1210" s="12">
        <f t="shared" si="126"/>
        <v>2263</v>
      </c>
      <c r="Y1210" s="11">
        <f t="shared" si="127"/>
        <v>2263</v>
      </c>
    </row>
    <row r="1211" spans="2:25">
      <c r="B1211" t="s">
        <v>26</v>
      </c>
      <c r="C1211" t="s">
        <v>6714</v>
      </c>
      <c r="D1211" t="s">
        <v>6715</v>
      </c>
      <c r="E1211" t="s">
        <v>29</v>
      </c>
      <c r="F1211" t="s">
        <v>30</v>
      </c>
      <c r="G1211" t="s">
        <v>31</v>
      </c>
      <c r="J1211" t="s">
        <v>6714</v>
      </c>
      <c r="K1211" t="s">
        <v>1967</v>
      </c>
      <c r="L1211" t="s">
        <v>4222</v>
      </c>
      <c r="M1211" s="8">
        <v>2.77275</v>
      </c>
      <c r="N1211">
        <v>145.23264029167</v>
      </c>
      <c r="O1211">
        <v>2263</v>
      </c>
      <c r="P1211" s="9">
        <v>0.281945631593184</v>
      </c>
      <c r="Q1211" t="s">
        <v>1042</v>
      </c>
      <c r="T1211" s="15" t="s">
        <v>1043</v>
      </c>
      <c r="W1211" s="16" t="str">
        <f t="shared" si="125"/>
        <v>EN_WON_28_c04_JPN</v>
      </c>
      <c r="X1211" s="12">
        <f t="shared" si="126"/>
        <v>2263</v>
      </c>
      <c r="Y1211" s="11">
        <f t="shared" si="127"/>
        <v>2263</v>
      </c>
    </row>
    <row r="1212" spans="2:25">
      <c r="B1212" t="s">
        <v>26</v>
      </c>
      <c r="C1212" t="s">
        <v>6716</v>
      </c>
      <c r="D1212" t="s">
        <v>6717</v>
      </c>
      <c r="E1212" t="s">
        <v>29</v>
      </c>
      <c r="F1212" t="s">
        <v>30</v>
      </c>
      <c r="G1212" t="s">
        <v>31</v>
      </c>
      <c r="J1212" t="s">
        <v>6716</v>
      </c>
      <c r="K1212" t="s">
        <v>1967</v>
      </c>
      <c r="L1212" t="s">
        <v>4222</v>
      </c>
      <c r="M1212" s="8">
        <v>3.63675</v>
      </c>
      <c r="N1212">
        <v>0</v>
      </c>
      <c r="O1212">
        <v>2263</v>
      </c>
      <c r="P1212" s="9">
        <v>0.288162507733553</v>
      </c>
      <c r="Q1212" t="s">
        <v>1042</v>
      </c>
      <c r="T1212" s="15" t="s">
        <v>1043</v>
      </c>
      <c r="W1212" s="16" t="str">
        <f t="shared" si="125"/>
        <v>EN_WON_29_c01_JPN</v>
      </c>
      <c r="X1212" s="12">
        <f t="shared" si="126"/>
        <v>2263</v>
      </c>
      <c r="Y1212" s="11">
        <f t="shared" si="127"/>
        <v>2263</v>
      </c>
    </row>
    <row r="1213" spans="2:25">
      <c r="B1213" t="s">
        <v>26</v>
      </c>
      <c r="C1213" t="s">
        <v>6718</v>
      </c>
      <c r="D1213" t="s">
        <v>6719</v>
      </c>
      <c r="E1213" t="s">
        <v>29</v>
      </c>
      <c r="F1213" t="s">
        <v>30</v>
      </c>
      <c r="G1213" t="s">
        <v>31</v>
      </c>
      <c r="J1213" t="s">
        <v>6718</v>
      </c>
      <c r="K1213" t="s">
        <v>1967</v>
      </c>
      <c r="L1213" t="s">
        <v>4222</v>
      </c>
      <c r="M1213" s="8">
        <v>7.26975</v>
      </c>
      <c r="N1213">
        <v>105.747516212372</v>
      </c>
      <c r="O1213">
        <v>2263</v>
      </c>
      <c r="P1213" s="9">
        <v>0.287837202104612</v>
      </c>
      <c r="Q1213" t="s">
        <v>1042</v>
      </c>
      <c r="T1213" s="15" t="s">
        <v>1043</v>
      </c>
      <c r="W1213" s="16" t="str">
        <f t="shared" si="125"/>
        <v>EN_WON_29_c03_JPN</v>
      </c>
      <c r="X1213" s="12">
        <f t="shared" si="126"/>
        <v>2263</v>
      </c>
      <c r="Y1213" s="11">
        <f t="shared" si="127"/>
        <v>2263</v>
      </c>
    </row>
    <row r="1214" spans="2:25">
      <c r="B1214" t="s">
        <v>26</v>
      </c>
      <c r="C1214" t="s">
        <v>6720</v>
      </c>
      <c r="D1214" t="s">
        <v>6721</v>
      </c>
      <c r="E1214" t="s">
        <v>29</v>
      </c>
      <c r="F1214" t="s">
        <v>30</v>
      </c>
      <c r="G1214" t="s">
        <v>31</v>
      </c>
      <c r="J1214" t="s">
        <v>6720</v>
      </c>
      <c r="K1214" t="s">
        <v>1967</v>
      </c>
      <c r="L1214" t="s">
        <v>4222</v>
      </c>
      <c r="M1214" s="8">
        <v>0.6345</v>
      </c>
      <c r="N1214">
        <v>145.23264029167</v>
      </c>
      <c r="O1214">
        <v>2263</v>
      </c>
      <c r="P1214" s="9">
        <v>0.293</v>
      </c>
      <c r="Q1214" t="s">
        <v>1042</v>
      </c>
      <c r="T1214" s="15" t="s">
        <v>1043</v>
      </c>
      <c r="W1214" s="16" t="str">
        <f t="shared" si="125"/>
        <v>EN_WON_29_c04_JPN</v>
      </c>
      <c r="X1214" s="12">
        <f t="shared" si="126"/>
        <v>2263</v>
      </c>
      <c r="Y1214" s="11">
        <f t="shared" si="127"/>
        <v>2263</v>
      </c>
    </row>
    <row r="1215" spans="2:25">
      <c r="B1215" t="s">
        <v>26</v>
      </c>
      <c r="C1215" t="s">
        <v>6722</v>
      </c>
      <c r="D1215" t="s">
        <v>6723</v>
      </c>
      <c r="E1215" t="s">
        <v>29</v>
      </c>
      <c r="F1215" t="s">
        <v>30</v>
      </c>
      <c r="G1215" t="s">
        <v>31</v>
      </c>
      <c r="J1215" t="s">
        <v>6722</v>
      </c>
      <c r="K1215" t="s">
        <v>1967</v>
      </c>
      <c r="L1215" t="s">
        <v>4222</v>
      </c>
      <c r="M1215" s="8">
        <v>1.10025</v>
      </c>
      <c r="N1215">
        <v>0</v>
      </c>
      <c r="O1215">
        <v>2263</v>
      </c>
      <c r="P1215" s="9">
        <v>0.298092024539877</v>
      </c>
      <c r="Q1215" t="s">
        <v>1042</v>
      </c>
      <c r="T1215" s="15" t="s">
        <v>1043</v>
      </c>
      <c r="W1215" s="16" t="str">
        <f t="shared" si="125"/>
        <v>EN_WON_30_c01_JPN</v>
      </c>
      <c r="X1215" s="12">
        <f t="shared" si="126"/>
        <v>2263</v>
      </c>
      <c r="Y1215" s="11">
        <f t="shared" si="127"/>
        <v>2263</v>
      </c>
    </row>
    <row r="1216" spans="2:25">
      <c r="B1216" t="s">
        <v>26</v>
      </c>
      <c r="C1216" t="s">
        <v>6724</v>
      </c>
      <c r="D1216" t="s">
        <v>6725</v>
      </c>
      <c r="E1216" t="s">
        <v>29</v>
      </c>
      <c r="F1216" t="s">
        <v>30</v>
      </c>
      <c r="G1216" t="s">
        <v>31</v>
      </c>
      <c r="J1216" t="s">
        <v>6724</v>
      </c>
      <c r="K1216" t="s">
        <v>1967</v>
      </c>
      <c r="L1216" t="s">
        <v>4222</v>
      </c>
      <c r="M1216" s="8">
        <v>1.536</v>
      </c>
      <c r="N1216">
        <v>80.7856561622413</v>
      </c>
      <c r="O1216">
        <v>2263</v>
      </c>
      <c r="P1216" s="9">
        <v>0.300802734375</v>
      </c>
      <c r="Q1216" t="s">
        <v>1042</v>
      </c>
      <c r="T1216" s="15" t="s">
        <v>1043</v>
      </c>
      <c r="W1216" s="16" t="str">
        <f t="shared" si="125"/>
        <v>EN_WON_30_c02_JPN</v>
      </c>
      <c r="X1216" s="12">
        <f t="shared" si="126"/>
        <v>2263</v>
      </c>
      <c r="Y1216" s="11">
        <f t="shared" si="127"/>
        <v>2263</v>
      </c>
    </row>
    <row r="1217" spans="2:25">
      <c r="B1217" t="s">
        <v>26</v>
      </c>
      <c r="C1217" t="s">
        <v>6726</v>
      </c>
      <c r="D1217" t="s">
        <v>6727</v>
      </c>
      <c r="E1217" t="s">
        <v>29</v>
      </c>
      <c r="F1217" t="s">
        <v>30</v>
      </c>
      <c r="G1217" t="s">
        <v>31</v>
      </c>
      <c r="J1217" t="s">
        <v>6726</v>
      </c>
      <c r="K1217" t="s">
        <v>1967</v>
      </c>
      <c r="L1217" t="s">
        <v>4222</v>
      </c>
      <c r="M1217" s="8">
        <v>0.8895</v>
      </c>
      <c r="N1217">
        <v>105.747516212372</v>
      </c>
      <c r="O1217">
        <v>2263</v>
      </c>
      <c r="P1217" s="9">
        <v>0.301</v>
      </c>
      <c r="Q1217" t="s">
        <v>1042</v>
      </c>
      <c r="T1217" s="15" t="s">
        <v>1043</v>
      </c>
      <c r="W1217" s="16" t="str">
        <f t="shared" si="125"/>
        <v>EN_WON_30_c03_JPN</v>
      </c>
      <c r="X1217" s="12">
        <f t="shared" si="126"/>
        <v>2263</v>
      </c>
      <c r="Y1217" s="11">
        <f t="shared" si="127"/>
        <v>2263</v>
      </c>
    </row>
    <row r="1218" spans="2:25">
      <c r="B1218" t="s">
        <v>26</v>
      </c>
      <c r="C1218" t="s">
        <v>6728</v>
      </c>
      <c r="D1218" t="s">
        <v>6729</v>
      </c>
      <c r="E1218" t="s">
        <v>29</v>
      </c>
      <c r="F1218" t="s">
        <v>30</v>
      </c>
      <c r="G1218" t="s">
        <v>31</v>
      </c>
      <c r="J1218" t="s">
        <v>6728</v>
      </c>
      <c r="K1218" t="s">
        <v>1967</v>
      </c>
      <c r="L1218" t="s">
        <v>4222</v>
      </c>
      <c r="M1218" s="8">
        <v>0.12525</v>
      </c>
      <c r="N1218">
        <v>145.23264029167</v>
      </c>
      <c r="O1218">
        <v>2263</v>
      </c>
      <c r="P1218" s="9">
        <v>0.296</v>
      </c>
      <c r="Q1218" t="s">
        <v>1042</v>
      </c>
      <c r="T1218" s="15" t="s">
        <v>1043</v>
      </c>
      <c r="W1218" s="16" t="str">
        <f t="shared" si="125"/>
        <v>EN_WON_30_c04_JPN</v>
      </c>
      <c r="X1218" s="12">
        <f t="shared" si="126"/>
        <v>2263</v>
      </c>
      <c r="Y1218" s="11">
        <f t="shared" si="127"/>
        <v>2263</v>
      </c>
    </row>
    <row r="1219" spans="2:25">
      <c r="B1219" t="s">
        <v>26</v>
      </c>
      <c r="C1219" t="s">
        <v>6730</v>
      </c>
      <c r="D1219" t="s">
        <v>6731</v>
      </c>
      <c r="E1219" t="s">
        <v>29</v>
      </c>
      <c r="F1219" t="s">
        <v>30</v>
      </c>
      <c r="G1219" t="s">
        <v>31</v>
      </c>
      <c r="J1219" t="s">
        <v>6730</v>
      </c>
      <c r="K1219" t="s">
        <v>1967</v>
      </c>
      <c r="L1219" t="s">
        <v>4222</v>
      </c>
      <c r="M1219" s="8">
        <v>0.02325</v>
      </c>
      <c r="N1219">
        <v>0</v>
      </c>
      <c r="O1219">
        <v>2263</v>
      </c>
      <c r="P1219" s="9">
        <v>0.313483870967742</v>
      </c>
      <c r="Q1219" t="s">
        <v>1042</v>
      </c>
      <c r="T1219" s="15" t="s">
        <v>1043</v>
      </c>
      <c r="W1219" s="16" t="str">
        <f t="shared" si="125"/>
        <v>EN_WON_31_c01_JPN</v>
      </c>
      <c r="X1219" s="12">
        <f t="shared" si="126"/>
        <v>2263</v>
      </c>
      <c r="Y1219" s="11">
        <f t="shared" si="127"/>
        <v>2263</v>
      </c>
    </row>
    <row r="1220" spans="2:25">
      <c r="B1220" t="s">
        <v>26</v>
      </c>
      <c r="C1220" t="s">
        <v>6732</v>
      </c>
      <c r="D1220" t="s">
        <v>6733</v>
      </c>
      <c r="E1220" t="s">
        <v>29</v>
      </c>
      <c r="F1220" t="s">
        <v>30</v>
      </c>
      <c r="G1220" t="s">
        <v>31</v>
      </c>
      <c r="J1220" t="s">
        <v>6732</v>
      </c>
      <c r="K1220" t="s">
        <v>1967</v>
      </c>
      <c r="L1220" t="s">
        <v>4222</v>
      </c>
      <c r="M1220" s="8">
        <v>0.8025</v>
      </c>
      <c r="N1220">
        <v>80.7856561622413</v>
      </c>
      <c r="O1220">
        <v>2263</v>
      </c>
      <c r="P1220" s="9">
        <v>0.307942056074766</v>
      </c>
      <c r="Q1220" t="s">
        <v>1042</v>
      </c>
      <c r="T1220" s="15" t="s">
        <v>1043</v>
      </c>
      <c r="W1220" s="16" t="str">
        <f t="shared" si="125"/>
        <v>EN_WON_31_c02_JPN</v>
      </c>
      <c r="X1220" s="12">
        <f t="shared" si="126"/>
        <v>2263</v>
      </c>
      <c r="Y1220" s="11">
        <f t="shared" si="127"/>
        <v>2263</v>
      </c>
    </row>
    <row r="1221" spans="2:25">
      <c r="B1221" t="s">
        <v>26</v>
      </c>
      <c r="C1221" t="s">
        <v>6734</v>
      </c>
      <c r="D1221" t="s">
        <v>6735</v>
      </c>
      <c r="E1221" t="s">
        <v>29</v>
      </c>
      <c r="F1221" t="s">
        <v>30</v>
      </c>
      <c r="G1221" t="s">
        <v>31</v>
      </c>
      <c r="J1221" t="s">
        <v>6734</v>
      </c>
      <c r="K1221" t="s">
        <v>1967</v>
      </c>
      <c r="L1221" t="s">
        <v>4222</v>
      </c>
      <c r="M1221" s="8">
        <v>0.552</v>
      </c>
      <c r="N1221">
        <v>105.747516212372</v>
      </c>
      <c r="O1221">
        <v>2263</v>
      </c>
      <c r="P1221" s="9">
        <v>0.311002717391304</v>
      </c>
      <c r="Q1221" t="s">
        <v>1042</v>
      </c>
      <c r="T1221" s="15" t="s">
        <v>1043</v>
      </c>
      <c r="W1221" s="16" t="str">
        <f t="shared" si="125"/>
        <v>EN_WON_31_c03_JPN</v>
      </c>
      <c r="X1221" s="12">
        <f t="shared" si="126"/>
        <v>2263</v>
      </c>
      <c r="Y1221" s="11">
        <f t="shared" si="127"/>
        <v>2263</v>
      </c>
    </row>
    <row r="1222" spans="2:25">
      <c r="B1222" t="s">
        <v>26</v>
      </c>
      <c r="C1222" t="s">
        <v>6736</v>
      </c>
      <c r="D1222" t="s">
        <v>6737</v>
      </c>
      <c r="E1222" t="s">
        <v>29</v>
      </c>
      <c r="F1222" t="s">
        <v>30</v>
      </c>
      <c r="G1222" t="s">
        <v>31</v>
      </c>
      <c r="J1222" t="s">
        <v>6736</v>
      </c>
      <c r="K1222" t="s">
        <v>1967</v>
      </c>
      <c r="L1222" t="s">
        <v>4222</v>
      </c>
      <c r="M1222" s="8">
        <v>0.18075</v>
      </c>
      <c r="N1222">
        <v>0</v>
      </c>
      <c r="O1222">
        <v>2263</v>
      </c>
      <c r="P1222" s="9">
        <v>0.319</v>
      </c>
      <c r="Q1222" t="s">
        <v>1042</v>
      </c>
      <c r="T1222" s="15" t="s">
        <v>1043</v>
      </c>
      <c r="W1222" s="16" t="str">
        <f t="shared" ref="W1222:W1285" si="128">J1222</f>
        <v>EN_WON_32_c01_JPN</v>
      </c>
      <c r="X1222" s="12">
        <f t="shared" ref="X1222:X1285" si="129">O1222</f>
        <v>2263</v>
      </c>
      <c r="Y1222" s="11">
        <f t="shared" ref="Y1222:Y1285" si="130">X1222</f>
        <v>2263</v>
      </c>
    </row>
    <row r="1223" spans="2:25">
      <c r="B1223" t="s">
        <v>26</v>
      </c>
      <c r="C1223" t="s">
        <v>6738</v>
      </c>
      <c r="D1223" t="s">
        <v>6739</v>
      </c>
      <c r="E1223" t="s">
        <v>29</v>
      </c>
      <c r="F1223" t="s">
        <v>30</v>
      </c>
      <c r="G1223" t="s">
        <v>31</v>
      </c>
      <c r="J1223" t="s">
        <v>6738</v>
      </c>
      <c r="K1223" t="s">
        <v>1967</v>
      </c>
      <c r="L1223" t="s">
        <v>4222</v>
      </c>
      <c r="M1223" s="8">
        <v>0.552</v>
      </c>
      <c r="N1223">
        <v>80.7856561622413</v>
      </c>
      <c r="O1223">
        <v>2263</v>
      </c>
      <c r="P1223" s="9">
        <v>0.322</v>
      </c>
      <c r="Q1223" t="s">
        <v>1042</v>
      </c>
      <c r="T1223" s="15" t="s">
        <v>1043</v>
      </c>
      <c r="W1223" s="16" t="str">
        <f t="shared" si="128"/>
        <v>EN_WON_32_c02_JPN</v>
      </c>
      <c r="X1223" s="12">
        <f t="shared" si="129"/>
        <v>2263</v>
      </c>
      <c r="Y1223" s="11">
        <f t="shared" si="130"/>
        <v>2263</v>
      </c>
    </row>
    <row r="1224" spans="2:25">
      <c r="B1224" t="s">
        <v>26</v>
      </c>
      <c r="C1224" t="s">
        <v>6740</v>
      </c>
      <c r="D1224" t="s">
        <v>6741</v>
      </c>
      <c r="E1224" t="s">
        <v>29</v>
      </c>
      <c r="F1224" t="s">
        <v>30</v>
      </c>
      <c r="G1224" t="s">
        <v>31</v>
      </c>
      <c r="J1224" t="s">
        <v>6740</v>
      </c>
      <c r="K1224" t="s">
        <v>1967</v>
      </c>
      <c r="L1224" t="s">
        <v>4222</v>
      </c>
      <c r="M1224" s="8">
        <v>0.03825</v>
      </c>
      <c r="N1224">
        <v>145.23264029167</v>
      </c>
      <c r="O1224">
        <v>2263</v>
      </c>
      <c r="P1224" s="9">
        <v>0.32</v>
      </c>
      <c r="Q1224" t="s">
        <v>1042</v>
      </c>
      <c r="T1224" s="15" t="s">
        <v>1043</v>
      </c>
      <c r="W1224" s="16" t="str">
        <f t="shared" si="128"/>
        <v>EN_WON_32_c04_JPN</v>
      </c>
      <c r="X1224" s="12">
        <f t="shared" si="129"/>
        <v>2263</v>
      </c>
      <c r="Y1224" s="11">
        <f t="shared" si="130"/>
        <v>2263</v>
      </c>
    </row>
    <row r="1225" spans="2:25">
      <c r="B1225" t="s">
        <v>26</v>
      </c>
      <c r="C1225" t="s">
        <v>6742</v>
      </c>
      <c r="D1225" t="s">
        <v>6743</v>
      </c>
      <c r="E1225" t="s">
        <v>29</v>
      </c>
      <c r="F1225" t="s">
        <v>30</v>
      </c>
      <c r="G1225" t="s">
        <v>31</v>
      </c>
      <c r="J1225" t="s">
        <v>6742</v>
      </c>
      <c r="K1225" t="s">
        <v>1967</v>
      </c>
      <c r="L1225" t="s">
        <v>4222</v>
      </c>
      <c r="M1225" s="8">
        <v>0.0165</v>
      </c>
      <c r="N1225">
        <v>0</v>
      </c>
      <c r="O1225">
        <v>2263</v>
      </c>
      <c r="P1225" s="9">
        <v>0.328</v>
      </c>
      <c r="Q1225" t="s">
        <v>1042</v>
      </c>
      <c r="T1225" s="15" t="s">
        <v>1043</v>
      </c>
      <c r="W1225" s="16" t="str">
        <f t="shared" si="128"/>
        <v>EN_WON_33_c01_JPN</v>
      </c>
      <c r="X1225" s="12">
        <f t="shared" si="129"/>
        <v>2263</v>
      </c>
      <c r="Y1225" s="11">
        <f t="shared" si="130"/>
        <v>2263</v>
      </c>
    </row>
    <row r="1226" spans="2:25">
      <c r="B1226" t="s">
        <v>26</v>
      </c>
      <c r="C1226" t="s">
        <v>6744</v>
      </c>
      <c r="D1226" t="s">
        <v>6745</v>
      </c>
      <c r="E1226" t="s">
        <v>29</v>
      </c>
      <c r="F1226" t="s">
        <v>30</v>
      </c>
      <c r="G1226" t="s">
        <v>31</v>
      </c>
      <c r="J1226" t="s">
        <v>6744</v>
      </c>
      <c r="K1226" t="s">
        <v>1967</v>
      </c>
      <c r="L1226" t="s">
        <v>4222</v>
      </c>
      <c r="M1226" s="8">
        <v>0.4125</v>
      </c>
      <c r="N1226">
        <v>80.7856561622413</v>
      </c>
      <c r="O1226">
        <v>2263</v>
      </c>
      <c r="P1226" s="9">
        <v>0.327</v>
      </c>
      <c r="Q1226" t="s">
        <v>1042</v>
      </c>
      <c r="T1226" s="15" t="s">
        <v>1043</v>
      </c>
      <c r="W1226" s="16" t="str">
        <f t="shared" si="128"/>
        <v>EN_WON_33_c02_JPN</v>
      </c>
      <c r="X1226" s="12">
        <f t="shared" si="129"/>
        <v>2263</v>
      </c>
      <c r="Y1226" s="11">
        <f t="shared" si="130"/>
        <v>2263</v>
      </c>
    </row>
    <row r="1227" spans="2:25">
      <c r="B1227" t="s">
        <v>26</v>
      </c>
      <c r="C1227" t="s">
        <v>6746</v>
      </c>
      <c r="D1227" t="s">
        <v>6747</v>
      </c>
      <c r="E1227" t="s">
        <v>29</v>
      </c>
      <c r="F1227" t="s">
        <v>30</v>
      </c>
      <c r="G1227" t="s">
        <v>31</v>
      </c>
      <c r="J1227" t="s">
        <v>6746</v>
      </c>
      <c r="K1227" t="s">
        <v>1967</v>
      </c>
      <c r="L1227" t="s">
        <v>4222</v>
      </c>
      <c r="M1227" s="8">
        <v>0.56175</v>
      </c>
      <c r="N1227">
        <v>105.747516212372</v>
      </c>
      <c r="O1227">
        <v>2263</v>
      </c>
      <c r="P1227" s="9">
        <v>0.326841121495327</v>
      </c>
      <c r="Q1227" t="s">
        <v>1042</v>
      </c>
      <c r="T1227" s="15" t="s">
        <v>1043</v>
      </c>
      <c r="W1227" s="16" t="str">
        <f t="shared" si="128"/>
        <v>EN_WON_33_c03_JPN</v>
      </c>
      <c r="X1227" s="12">
        <f t="shared" si="129"/>
        <v>2263</v>
      </c>
      <c r="Y1227" s="11">
        <f t="shared" si="130"/>
        <v>2263</v>
      </c>
    </row>
    <row r="1228" spans="2:25">
      <c r="B1228" t="s">
        <v>26</v>
      </c>
      <c r="C1228" t="s">
        <v>6748</v>
      </c>
      <c r="D1228" t="s">
        <v>6749</v>
      </c>
      <c r="E1228" t="s">
        <v>29</v>
      </c>
      <c r="F1228" t="s">
        <v>30</v>
      </c>
      <c r="G1228" t="s">
        <v>31</v>
      </c>
      <c r="J1228" t="s">
        <v>6748</v>
      </c>
      <c r="K1228" t="s">
        <v>1967</v>
      </c>
      <c r="L1228" t="s">
        <v>4222</v>
      </c>
      <c r="M1228" s="8">
        <v>0.12825</v>
      </c>
      <c r="N1228">
        <v>0</v>
      </c>
      <c r="O1228">
        <v>2263</v>
      </c>
      <c r="P1228" s="9">
        <v>0.340058479532164</v>
      </c>
      <c r="Q1228" t="s">
        <v>1042</v>
      </c>
      <c r="T1228" s="15" t="s">
        <v>1043</v>
      </c>
      <c r="W1228" s="16" t="str">
        <f t="shared" si="128"/>
        <v>EN_WON_34_c01_JPN</v>
      </c>
      <c r="X1228" s="12">
        <f t="shared" si="129"/>
        <v>2263</v>
      </c>
      <c r="Y1228" s="11">
        <f t="shared" si="130"/>
        <v>2263</v>
      </c>
    </row>
    <row r="1229" spans="2:25">
      <c r="B1229" t="s">
        <v>26</v>
      </c>
      <c r="C1229" t="s">
        <v>6750</v>
      </c>
      <c r="D1229" t="s">
        <v>6751</v>
      </c>
      <c r="E1229" t="s">
        <v>29</v>
      </c>
      <c r="F1229" t="s">
        <v>30</v>
      </c>
      <c r="G1229" t="s">
        <v>31</v>
      </c>
      <c r="J1229" t="s">
        <v>6750</v>
      </c>
      <c r="K1229" t="s">
        <v>1967</v>
      </c>
      <c r="L1229" t="s">
        <v>4222</v>
      </c>
      <c r="M1229" s="8">
        <v>1.6335</v>
      </c>
      <c r="N1229">
        <v>0</v>
      </c>
      <c r="O1229">
        <v>2263</v>
      </c>
      <c r="P1229" s="9">
        <v>0.35003305785124</v>
      </c>
      <c r="Q1229" t="s">
        <v>1042</v>
      </c>
      <c r="T1229" s="15" t="s">
        <v>1043</v>
      </c>
      <c r="W1229" s="16" t="str">
        <f t="shared" si="128"/>
        <v>EN_WON_35_c01_JPN</v>
      </c>
      <c r="X1229" s="12">
        <f t="shared" si="129"/>
        <v>2263</v>
      </c>
      <c r="Y1229" s="11">
        <f t="shared" si="130"/>
        <v>2263</v>
      </c>
    </row>
    <row r="1230" spans="2:25">
      <c r="B1230" t="s">
        <v>26</v>
      </c>
      <c r="C1230" t="s">
        <v>6752</v>
      </c>
      <c r="D1230" t="s">
        <v>6753</v>
      </c>
      <c r="E1230" t="s">
        <v>29</v>
      </c>
      <c r="F1230" t="s">
        <v>30</v>
      </c>
      <c r="G1230" t="s">
        <v>31</v>
      </c>
      <c r="J1230" t="s">
        <v>6752</v>
      </c>
      <c r="K1230" t="s">
        <v>1967</v>
      </c>
      <c r="L1230" t="s">
        <v>4222</v>
      </c>
      <c r="M1230" s="8">
        <v>0.09975</v>
      </c>
      <c r="N1230">
        <v>0</v>
      </c>
      <c r="O1230">
        <v>2263</v>
      </c>
      <c r="P1230" s="9">
        <v>0.358</v>
      </c>
      <c r="Q1230" t="s">
        <v>1042</v>
      </c>
      <c r="T1230" s="15" t="s">
        <v>1043</v>
      </c>
      <c r="W1230" s="16" t="str">
        <f t="shared" si="128"/>
        <v>EN_WON_36_c01_JPN</v>
      </c>
      <c r="X1230" s="12">
        <f t="shared" si="129"/>
        <v>2263</v>
      </c>
      <c r="Y1230" s="11">
        <f t="shared" si="130"/>
        <v>2263</v>
      </c>
    </row>
    <row r="1231" spans="2:25">
      <c r="B1231" t="s">
        <v>26</v>
      </c>
      <c r="C1231" t="s">
        <v>6754</v>
      </c>
      <c r="D1231" t="s">
        <v>6755</v>
      </c>
      <c r="E1231" t="s">
        <v>29</v>
      </c>
      <c r="F1231" t="s">
        <v>30</v>
      </c>
      <c r="G1231" t="s">
        <v>31</v>
      </c>
      <c r="J1231" t="s">
        <v>6754</v>
      </c>
      <c r="K1231" t="s">
        <v>1967</v>
      </c>
      <c r="L1231" t="s">
        <v>4222</v>
      </c>
      <c r="M1231" s="8">
        <v>0.16125</v>
      </c>
      <c r="N1231">
        <v>80.7856561622413</v>
      </c>
      <c r="O1231">
        <v>2263</v>
      </c>
      <c r="P1231" s="9">
        <v>0.358</v>
      </c>
      <c r="Q1231" t="s">
        <v>1042</v>
      </c>
      <c r="T1231" s="15" t="s">
        <v>1043</v>
      </c>
      <c r="W1231" s="16" t="str">
        <f t="shared" si="128"/>
        <v>EN_WON_36_c02_JPN</v>
      </c>
      <c r="X1231" s="12">
        <f t="shared" si="129"/>
        <v>2263</v>
      </c>
      <c r="Y1231" s="11">
        <f t="shared" si="130"/>
        <v>2263</v>
      </c>
    </row>
    <row r="1232" spans="2:25">
      <c r="B1232" t="s">
        <v>26</v>
      </c>
      <c r="C1232" t="s">
        <v>6756</v>
      </c>
      <c r="D1232" t="s">
        <v>6757</v>
      </c>
      <c r="E1232" t="s">
        <v>29</v>
      </c>
      <c r="F1232" t="s">
        <v>30</v>
      </c>
      <c r="G1232" t="s">
        <v>31</v>
      </c>
      <c r="J1232" t="s">
        <v>6756</v>
      </c>
      <c r="K1232" t="s">
        <v>1967</v>
      </c>
      <c r="L1232" t="s">
        <v>4222</v>
      </c>
      <c r="M1232" s="8">
        <v>1.32525</v>
      </c>
      <c r="N1232">
        <v>0</v>
      </c>
      <c r="O1232">
        <v>2263</v>
      </c>
      <c r="P1232" s="9">
        <v>0.368260328239955</v>
      </c>
      <c r="Q1232" t="s">
        <v>1042</v>
      </c>
      <c r="T1232" s="15" t="s">
        <v>1043</v>
      </c>
      <c r="W1232" s="16" t="str">
        <f t="shared" si="128"/>
        <v>EN_WON_37_c01_JPN</v>
      </c>
      <c r="X1232" s="12">
        <f t="shared" si="129"/>
        <v>2263</v>
      </c>
      <c r="Y1232" s="11">
        <f t="shared" si="130"/>
        <v>2263</v>
      </c>
    </row>
    <row r="1233" spans="2:25">
      <c r="B1233" t="s">
        <v>26</v>
      </c>
      <c r="C1233" t="s">
        <v>6758</v>
      </c>
      <c r="D1233" t="s">
        <v>6759</v>
      </c>
      <c r="E1233" t="s">
        <v>29</v>
      </c>
      <c r="F1233" t="s">
        <v>30</v>
      </c>
      <c r="G1233" t="s">
        <v>31</v>
      </c>
      <c r="J1233" t="s">
        <v>6758</v>
      </c>
      <c r="K1233" t="s">
        <v>1967</v>
      </c>
      <c r="L1233" t="s">
        <v>4222</v>
      </c>
      <c r="M1233" s="8">
        <v>0.0195</v>
      </c>
      <c r="N1233">
        <v>80.7856561622413</v>
      </c>
      <c r="O1233">
        <v>2263</v>
      </c>
      <c r="P1233" s="9">
        <v>0.379461538461538</v>
      </c>
      <c r="Q1233" t="s">
        <v>1042</v>
      </c>
      <c r="T1233" s="15" t="s">
        <v>1043</v>
      </c>
      <c r="W1233" s="16" t="str">
        <f t="shared" si="128"/>
        <v>EN_WON_38_c02_JPN</v>
      </c>
      <c r="X1233" s="12">
        <f t="shared" si="129"/>
        <v>2263</v>
      </c>
      <c r="Y1233" s="11">
        <f t="shared" si="130"/>
        <v>2263</v>
      </c>
    </row>
    <row r="1234" spans="2:25">
      <c r="B1234" t="s">
        <v>26</v>
      </c>
      <c r="C1234" t="s">
        <v>6760</v>
      </c>
      <c r="D1234" t="s">
        <v>6761</v>
      </c>
      <c r="E1234" t="s">
        <v>29</v>
      </c>
      <c r="F1234" t="s">
        <v>30</v>
      </c>
      <c r="G1234" t="s">
        <v>31</v>
      </c>
      <c r="J1234" t="s">
        <v>6760</v>
      </c>
      <c r="K1234" t="s">
        <v>1967</v>
      </c>
      <c r="L1234" t="s">
        <v>4222</v>
      </c>
      <c r="M1234" s="8">
        <v>0.02625</v>
      </c>
      <c r="N1234">
        <v>105.747516212372</v>
      </c>
      <c r="O1234">
        <v>2263</v>
      </c>
      <c r="P1234" s="9">
        <v>0.381742857142857</v>
      </c>
      <c r="Q1234" t="s">
        <v>1042</v>
      </c>
      <c r="T1234" s="15" t="s">
        <v>1043</v>
      </c>
      <c r="W1234" s="16" t="str">
        <f t="shared" si="128"/>
        <v>EN_WON_38_c03_JPN</v>
      </c>
      <c r="X1234" s="12">
        <f t="shared" si="129"/>
        <v>2263</v>
      </c>
      <c r="Y1234" s="11">
        <f t="shared" si="130"/>
        <v>2263</v>
      </c>
    </row>
    <row r="1235" spans="2:25">
      <c r="B1235" t="s">
        <v>26</v>
      </c>
      <c r="C1235" t="s">
        <v>6762</v>
      </c>
      <c r="D1235" t="s">
        <v>6763</v>
      </c>
      <c r="E1235" t="s">
        <v>29</v>
      </c>
      <c r="F1235" t="s">
        <v>30</v>
      </c>
      <c r="G1235" t="s">
        <v>31</v>
      </c>
      <c r="J1235" t="s">
        <v>6762</v>
      </c>
      <c r="K1235" t="s">
        <v>1967</v>
      </c>
      <c r="L1235" t="s">
        <v>4222</v>
      </c>
      <c r="M1235" s="8">
        <v>0.0945</v>
      </c>
      <c r="N1235">
        <v>0</v>
      </c>
      <c r="O1235">
        <v>2263</v>
      </c>
      <c r="P1235" s="9">
        <v>0.38918253968254</v>
      </c>
      <c r="Q1235" t="s">
        <v>1042</v>
      </c>
      <c r="T1235" s="15" t="s">
        <v>1043</v>
      </c>
      <c r="W1235" s="16" t="str">
        <f t="shared" si="128"/>
        <v>EN_WON_39_c01_JPN</v>
      </c>
      <c r="X1235" s="12">
        <f t="shared" si="129"/>
        <v>2263</v>
      </c>
      <c r="Y1235" s="11">
        <f t="shared" si="130"/>
        <v>2263</v>
      </c>
    </row>
    <row r="1236" spans="2:25">
      <c r="B1236" t="s">
        <v>26</v>
      </c>
      <c r="C1236" t="s">
        <v>6764</v>
      </c>
      <c r="D1236" t="s">
        <v>6765</v>
      </c>
      <c r="E1236" t="s">
        <v>29</v>
      </c>
      <c r="F1236" t="s">
        <v>30</v>
      </c>
      <c r="G1236" t="s">
        <v>31</v>
      </c>
      <c r="J1236" t="s">
        <v>6764</v>
      </c>
      <c r="K1236" t="s">
        <v>1967</v>
      </c>
      <c r="L1236" t="s">
        <v>4222</v>
      </c>
      <c r="M1236" s="8">
        <v>0.13425</v>
      </c>
      <c r="N1236">
        <v>80.7856561622413</v>
      </c>
      <c r="O1236">
        <v>2263</v>
      </c>
      <c r="P1236" s="9">
        <v>0.388491620111732</v>
      </c>
      <c r="Q1236" t="s">
        <v>1042</v>
      </c>
      <c r="T1236" s="15" t="s">
        <v>1043</v>
      </c>
      <c r="W1236" s="16" t="str">
        <f t="shared" si="128"/>
        <v>EN_WON_39_c02_JPN</v>
      </c>
      <c r="X1236" s="12">
        <f t="shared" si="129"/>
        <v>2263</v>
      </c>
      <c r="Y1236" s="11">
        <f t="shared" si="130"/>
        <v>2263</v>
      </c>
    </row>
    <row r="1237" spans="2:25">
      <c r="B1237" t="s">
        <v>26</v>
      </c>
      <c r="C1237" t="s">
        <v>6766</v>
      </c>
      <c r="D1237" t="s">
        <v>6767</v>
      </c>
      <c r="E1237" t="s">
        <v>29</v>
      </c>
      <c r="F1237" t="s">
        <v>30</v>
      </c>
      <c r="G1237" t="s">
        <v>31</v>
      </c>
      <c r="J1237" t="s">
        <v>6766</v>
      </c>
      <c r="K1237" t="s">
        <v>1967</v>
      </c>
      <c r="L1237" t="s">
        <v>4222</v>
      </c>
      <c r="M1237" s="8">
        <v>0.11325</v>
      </c>
      <c r="N1237">
        <v>105.747516212372</v>
      </c>
      <c r="O1237">
        <v>2263</v>
      </c>
      <c r="P1237" s="9">
        <v>0.389</v>
      </c>
      <c r="Q1237" t="s">
        <v>1042</v>
      </c>
      <c r="T1237" s="15" t="s">
        <v>1043</v>
      </c>
      <c r="W1237" s="16" t="str">
        <f t="shared" si="128"/>
        <v>EN_WON_39_c03_JPN</v>
      </c>
      <c r="X1237" s="12">
        <f t="shared" si="129"/>
        <v>2263</v>
      </c>
      <c r="Y1237" s="11">
        <f t="shared" si="130"/>
        <v>2263</v>
      </c>
    </row>
    <row r="1238" spans="2:25">
      <c r="B1238" t="s">
        <v>26</v>
      </c>
      <c r="C1238" t="s">
        <v>6768</v>
      </c>
      <c r="D1238" t="s">
        <v>6769</v>
      </c>
      <c r="E1238" t="s">
        <v>29</v>
      </c>
      <c r="F1238" t="s">
        <v>30</v>
      </c>
      <c r="G1238" t="s">
        <v>31</v>
      </c>
      <c r="J1238" t="s">
        <v>6768</v>
      </c>
      <c r="K1238" t="s">
        <v>1967</v>
      </c>
      <c r="L1238" t="s">
        <v>4222</v>
      </c>
      <c r="M1238" s="8">
        <v>0.009</v>
      </c>
      <c r="N1238">
        <v>145.23264029167</v>
      </c>
      <c r="O1238">
        <v>2263</v>
      </c>
      <c r="P1238" s="9">
        <v>0.385</v>
      </c>
      <c r="Q1238" t="s">
        <v>1042</v>
      </c>
      <c r="T1238" s="15" t="s">
        <v>1043</v>
      </c>
      <c r="W1238" s="16" t="str">
        <f t="shared" si="128"/>
        <v>EN_WON_39_c04_JPN</v>
      </c>
      <c r="X1238" s="12">
        <f t="shared" si="129"/>
        <v>2263</v>
      </c>
      <c r="Y1238" s="11">
        <f t="shared" si="130"/>
        <v>2263</v>
      </c>
    </row>
    <row r="1239" spans="2:25">
      <c r="B1239" t="s">
        <v>26</v>
      </c>
      <c r="C1239" t="s">
        <v>6770</v>
      </c>
      <c r="D1239" t="s">
        <v>6771</v>
      </c>
      <c r="E1239" t="s">
        <v>29</v>
      </c>
      <c r="F1239" t="s">
        <v>30</v>
      </c>
      <c r="G1239" t="s">
        <v>31</v>
      </c>
      <c r="J1239" t="s">
        <v>6770</v>
      </c>
      <c r="K1239" t="s">
        <v>1967</v>
      </c>
      <c r="L1239" t="s">
        <v>4222</v>
      </c>
      <c r="M1239" s="8">
        <v>0.10425</v>
      </c>
      <c r="N1239">
        <v>0</v>
      </c>
      <c r="O1239">
        <v>2263</v>
      </c>
      <c r="P1239" s="9">
        <v>0.4</v>
      </c>
      <c r="Q1239" t="s">
        <v>1042</v>
      </c>
      <c r="T1239" s="15" t="s">
        <v>1043</v>
      </c>
      <c r="W1239" s="16" t="str">
        <f t="shared" si="128"/>
        <v>EN_WON_40_c01_JPN</v>
      </c>
      <c r="X1239" s="12">
        <f t="shared" si="129"/>
        <v>2263</v>
      </c>
      <c r="Y1239" s="11">
        <f t="shared" si="130"/>
        <v>2263</v>
      </c>
    </row>
    <row r="1240" spans="2:25">
      <c r="B1240" t="s">
        <v>26</v>
      </c>
      <c r="C1240" t="s">
        <v>6772</v>
      </c>
      <c r="D1240" t="s">
        <v>6773</v>
      </c>
      <c r="E1240" t="s">
        <v>29</v>
      </c>
      <c r="F1240" t="s">
        <v>30</v>
      </c>
      <c r="G1240" t="s">
        <v>31</v>
      </c>
      <c r="J1240" t="s">
        <v>6772</v>
      </c>
      <c r="K1240" t="s">
        <v>1967</v>
      </c>
      <c r="L1240" t="s">
        <v>4222</v>
      </c>
      <c r="M1240" s="8">
        <v>0.00975</v>
      </c>
      <c r="N1240">
        <v>80.7856561622413</v>
      </c>
      <c r="O1240">
        <v>2263</v>
      </c>
      <c r="P1240" s="9">
        <v>0.404</v>
      </c>
      <c r="Q1240" t="s">
        <v>1042</v>
      </c>
      <c r="T1240" s="15" t="s">
        <v>1043</v>
      </c>
      <c r="W1240" s="16" t="str">
        <f t="shared" si="128"/>
        <v>EN_WON_40_c02_JPN</v>
      </c>
      <c r="X1240" s="12">
        <f t="shared" si="129"/>
        <v>2263</v>
      </c>
      <c r="Y1240" s="11">
        <f t="shared" si="130"/>
        <v>2263</v>
      </c>
    </row>
    <row r="1241" spans="2:25">
      <c r="B1241" t="s">
        <v>26</v>
      </c>
      <c r="C1241" t="s">
        <v>6774</v>
      </c>
      <c r="D1241" t="s">
        <v>6775</v>
      </c>
      <c r="E1241" t="s">
        <v>29</v>
      </c>
      <c r="F1241" t="s">
        <v>30</v>
      </c>
      <c r="G1241" t="s">
        <v>31</v>
      </c>
      <c r="J1241" t="s">
        <v>6774</v>
      </c>
      <c r="K1241" t="s">
        <v>1967</v>
      </c>
      <c r="L1241" t="s">
        <v>4222</v>
      </c>
      <c r="M1241" s="8">
        <v>0.012</v>
      </c>
      <c r="N1241">
        <v>105.747516212372</v>
      </c>
      <c r="O1241">
        <v>2263</v>
      </c>
      <c r="P1241" s="9">
        <v>0.404</v>
      </c>
      <c r="Q1241" t="s">
        <v>1042</v>
      </c>
      <c r="T1241" s="15" t="s">
        <v>1043</v>
      </c>
      <c r="W1241" s="16" t="str">
        <f t="shared" si="128"/>
        <v>EN_WON_40_c03_JPN</v>
      </c>
      <c r="X1241" s="12">
        <f t="shared" si="129"/>
        <v>2263</v>
      </c>
      <c r="Y1241" s="11">
        <f t="shared" si="130"/>
        <v>2263</v>
      </c>
    </row>
    <row r="1242" spans="2:25">
      <c r="B1242" t="s">
        <v>26</v>
      </c>
      <c r="C1242" t="s">
        <v>6776</v>
      </c>
      <c r="D1242" t="s">
        <v>6777</v>
      </c>
      <c r="E1242" t="s">
        <v>29</v>
      </c>
      <c r="F1242" t="s">
        <v>30</v>
      </c>
      <c r="G1242" t="s">
        <v>31</v>
      </c>
      <c r="J1242" t="s">
        <v>6776</v>
      </c>
      <c r="K1242" t="s">
        <v>1967</v>
      </c>
      <c r="L1242" t="s">
        <v>4222</v>
      </c>
      <c r="M1242" s="8">
        <v>0.02625</v>
      </c>
      <c r="N1242">
        <v>0</v>
      </c>
      <c r="O1242">
        <v>2263</v>
      </c>
      <c r="P1242" s="9">
        <v>0.408</v>
      </c>
      <c r="Q1242" t="s">
        <v>1042</v>
      </c>
      <c r="T1242" s="15" t="s">
        <v>1043</v>
      </c>
      <c r="W1242" s="16" t="str">
        <f t="shared" si="128"/>
        <v>EN_WON_41_c01_JPN</v>
      </c>
      <c r="X1242" s="12">
        <f t="shared" si="129"/>
        <v>2263</v>
      </c>
      <c r="Y1242" s="11">
        <f t="shared" si="130"/>
        <v>2263</v>
      </c>
    </row>
    <row r="1243" spans="2:25">
      <c r="B1243" t="s">
        <v>26</v>
      </c>
      <c r="C1243" t="s">
        <v>6778</v>
      </c>
      <c r="D1243" t="s">
        <v>6779</v>
      </c>
      <c r="E1243" t="s">
        <v>29</v>
      </c>
      <c r="F1243" t="s">
        <v>30</v>
      </c>
      <c r="G1243" t="s">
        <v>31</v>
      </c>
      <c r="J1243" t="s">
        <v>6778</v>
      </c>
      <c r="K1243" t="s">
        <v>1967</v>
      </c>
      <c r="L1243" t="s">
        <v>4222</v>
      </c>
      <c r="M1243" s="8">
        <v>0.081</v>
      </c>
      <c r="N1243">
        <v>80.7856561622413</v>
      </c>
      <c r="O1243">
        <v>2263</v>
      </c>
      <c r="P1243" s="9">
        <v>0.412</v>
      </c>
      <c r="Q1243" t="s">
        <v>1042</v>
      </c>
      <c r="T1243" s="15" t="s">
        <v>1043</v>
      </c>
      <c r="W1243" s="16" t="str">
        <f t="shared" si="128"/>
        <v>EN_WON_41_c02_JPN</v>
      </c>
      <c r="X1243" s="12">
        <f t="shared" si="129"/>
        <v>2263</v>
      </c>
      <c r="Y1243" s="11">
        <f t="shared" si="130"/>
        <v>2263</v>
      </c>
    </row>
    <row r="1244" spans="2:25">
      <c r="B1244" t="s">
        <v>26</v>
      </c>
      <c r="C1244" t="s">
        <v>6780</v>
      </c>
      <c r="D1244" t="s">
        <v>6781</v>
      </c>
      <c r="E1244" t="s">
        <v>29</v>
      </c>
      <c r="F1244" t="s">
        <v>30</v>
      </c>
      <c r="G1244" t="s">
        <v>31</v>
      </c>
      <c r="J1244" t="s">
        <v>6780</v>
      </c>
      <c r="K1244" t="s">
        <v>1967</v>
      </c>
      <c r="L1244" t="s">
        <v>4222</v>
      </c>
      <c r="M1244" s="8">
        <v>0.012</v>
      </c>
      <c r="N1244">
        <v>105.747516212372</v>
      </c>
      <c r="O1244">
        <v>2263</v>
      </c>
      <c r="P1244" s="9">
        <v>0.422</v>
      </c>
      <c r="Q1244" t="s">
        <v>1042</v>
      </c>
      <c r="T1244" s="15" t="s">
        <v>1043</v>
      </c>
      <c r="W1244" s="16" t="str">
        <f t="shared" si="128"/>
        <v>EN_WON_42_c03_JPN</v>
      </c>
      <c r="X1244" s="12">
        <f t="shared" si="129"/>
        <v>2263</v>
      </c>
      <c r="Y1244" s="11">
        <f t="shared" si="130"/>
        <v>2263</v>
      </c>
    </row>
    <row r="1245" spans="2:25">
      <c r="B1245" t="s">
        <v>26</v>
      </c>
      <c r="C1245" t="s">
        <v>6782</v>
      </c>
      <c r="D1245" t="s">
        <v>6783</v>
      </c>
      <c r="E1245" t="s">
        <v>29</v>
      </c>
      <c r="F1245" t="s">
        <v>30</v>
      </c>
      <c r="G1245" t="s">
        <v>31</v>
      </c>
      <c r="J1245" t="s">
        <v>6782</v>
      </c>
      <c r="K1245" t="s">
        <v>1967</v>
      </c>
      <c r="L1245" t="s">
        <v>4222</v>
      </c>
      <c r="M1245" s="8">
        <v>0.087</v>
      </c>
      <c r="N1245">
        <v>0</v>
      </c>
      <c r="O1245">
        <v>2263</v>
      </c>
      <c r="P1245" s="9">
        <v>0.425</v>
      </c>
      <c r="Q1245" t="s">
        <v>1042</v>
      </c>
      <c r="T1245" s="15" t="s">
        <v>1043</v>
      </c>
      <c r="W1245" s="16" t="str">
        <f t="shared" si="128"/>
        <v>EN_WON_43_c01_JPN</v>
      </c>
      <c r="X1245" s="12">
        <f t="shared" si="129"/>
        <v>2263</v>
      </c>
      <c r="Y1245" s="11">
        <f t="shared" si="130"/>
        <v>2263</v>
      </c>
    </row>
    <row r="1246" spans="2:25">
      <c r="B1246" t="s">
        <v>26</v>
      </c>
      <c r="C1246" t="s">
        <v>6784</v>
      </c>
      <c r="D1246" t="s">
        <v>6785</v>
      </c>
      <c r="E1246" t="s">
        <v>29</v>
      </c>
      <c r="F1246" t="s">
        <v>30</v>
      </c>
      <c r="G1246" t="s">
        <v>31</v>
      </c>
      <c r="J1246" t="s">
        <v>6784</v>
      </c>
      <c r="K1246" t="s">
        <v>1967</v>
      </c>
      <c r="L1246" t="s">
        <v>4222</v>
      </c>
      <c r="M1246" s="8">
        <v>0.01125</v>
      </c>
      <c r="N1246">
        <v>80.7856561622413</v>
      </c>
      <c r="O1246">
        <v>2263</v>
      </c>
      <c r="P1246" s="9">
        <v>0.43</v>
      </c>
      <c r="Q1246" t="s">
        <v>1042</v>
      </c>
      <c r="T1246" s="15" t="s">
        <v>1043</v>
      </c>
      <c r="W1246" s="16" t="str">
        <f t="shared" si="128"/>
        <v>EN_WON_43_c02_JPN</v>
      </c>
      <c r="X1246" s="12">
        <f t="shared" si="129"/>
        <v>2263</v>
      </c>
      <c r="Y1246" s="11">
        <f t="shared" si="130"/>
        <v>2263</v>
      </c>
    </row>
    <row r="1247" spans="2:25">
      <c r="B1247" t="s">
        <v>26</v>
      </c>
      <c r="C1247" t="s">
        <v>6786</v>
      </c>
      <c r="D1247" t="s">
        <v>6787</v>
      </c>
      <c r="E1247" t="s">
        <v>29</v>
      </c>
      <c r="F1247" t="s">
        <v>30</v>
      </c>
      <c r="G1247" t="s">
        <v>31</v>
      </c>
      <c r="J1247" t="s">
        <v>6786</v>
      </c>
      <c r="K1247" t="s">
        <v>1967</v>
      </c>
      <c r="L1247" t="s">
        <v>4222</v>
      </c>
      <c r="M1247" s="8">
        <v>0.0105</v>
      </c>
      <c r="N1247">
        <v>105.747516212372</v>
      </c>
      <c r="O1247">
        <v>2263</v>
      </c>
      <c r="P1247" s="9">
        <v>0.426928571428571</v>
      </c>
      <c r="Q1247" t="s">
        <v>1042</v>
      </c>
      <c r="T1247" s="15" t="s">
        <v>1043</v>
      </c>
      <c r="W1247" s="16" t="str">
        <f t="shared" si="128"/>
        <v>EN_WON_43_c03_JPN</v>
      </c>
      <c r="X1247" s="12">
        <f t="shared" si="129"/>
        <v>2263</v>
      </c>
      <c r="Y1247" s="11">
        <f t="shared" si="130"/>
        <v>2263</v>
      </c>
    </row>
    <row r="1248" spans="2:25">
      <c r="B1248" t="s">
        <v>26</v>
      </c>
      <c r="C1248" t="s">
        <v>6788</v>
      </c>
      <c r="D1248" t="s">
        <v>6789</v>
      </c>
      <c r="E1248" t="s">
        <v>29</v>
      </c>
      <c r="F1248" t="s">
        <v>30</v>
      </c>
      <c r="G1248" t="s">
        <v>31</v>
      </c>
      <c r="J1248" t="s">
        <v>6788</v>
      </c>
      <c r="K1248" t="s">
        <v>1967</v>
      </c>
      <c r="L1248" t="s">
        <v>6790</v>
      </c>
      <c r="M1248" s="8">
        <v>60.21675</v>
      </c>
      <c r="N1248">
        <v>0</v>
      </c>
      <c r="O1248">
        <v>2809</v>
      </c>
      <c r="P1248" s="9">
        <v>0.428876122507442</v>
      </c>
      <c r="Q1248" t="s">
        <v>1071</v>
      </c>
      <c r="T1248" s="15" t="s">
        <v>112</v>
      </c>
      <c r="W1248" s="16" t="str">
        <f t="shared" si="128"/>
        <v>EN_WON_43_c01_KAZ</v>
      </c>
      <c r="X1248" s="12">
        <f t="shared" si="129"/>
        <v>2809</v>
      </c>
      <c r="Y1248" s="11">
        <f t="shared" si="130"/>
        <v>2809</v>
      </c>
    </row>
    <row r="1249" spans="2:25">
      <c r="B1249" t="s">
        <v>26</v>
      </c>
      <c r="C1249" t="s">
        <v>6791</v>
      </c>
      <c r="D1249" t="s">
        <v>6792</v>
      </c>
      <c r="E1249" t="s">
        <v>29</v>
      </c>
      <c r="F1249" t="s">
        <v>30</v>
      </c>
      <c r="G1249" t="s">
        <v>31</v>
      </c>
      <c r="J1249" t="s">
        <v>6791</v>
      </c>
      <c r="K1249" t="s">
        <v>1967</v>
      </c>
      <c r="L1249" t="s">
        <v>6790</v>
      </c>
      <c r="M1249" s="8">
        <v>32.41575</v>
      </c>
      <c r="N1249">
        <v>0</v>
      </c>
      <c r="O1249">
        <v>2809</v>
      </c>
      <c r="P1249" s="9">
        <v>0.438438259179566</v>
      </c>
      <c r="Q1249" t="s">
        <v>1071</v>
      </c>
      <c r="T1249" s="15" t="s">
        <v>112</v>
      </c>
      <c r="W1249" s="16" t="str">
        <f t="shared" si="128"/>
        <v>EN_WON_44_c01_KAZ</v>
      </c>
      <c r="X1249" s="12">
        <f t="shared" si="129"/>
        <v>2809</v>
      </c>
      <c r="Y1249" s="11">
        <f t="shared" si="130"/>
        <v>2809</v>
      </c>
    </row>
    <row r="1250" spans="2:25">
      <c r="B1250" t="s">
        <v>26</v>
      </c>
      <c r="C1250" t="s">
        <v>6793</v>
      </c>
      <c r="D1250" t="s">
        <v>6794</v>
      </c>
      <c r="E1250" t="s">
        <v>29</v>
      </c>
      <c r="F1250" t="s">
        <v>30</v>
      </c>
      <c r="G1250" t="s">
        <v>31</v>
      </c>
      <c r="J1250" t="s">
        <v>6793</v>
      </c>
      <c r="K1250" t="s">
        <v>1967</v>
      </c>
      <c r="L1250" t="s">
        <v>6790</v>
      </c>
      <c r="M1250" s="8">
        <v>5.44125</v>
      </c>
      <c r="N1250">
        <v>80.7856561622413</v>
      </c>
      <c r="O1250">
        <v>2809</v>
      </c>
      <c r="P1250" s="9">
        <v>0.438</v>
      </c>
      <c r="Q1250" t="s">
        <v>1071</v>
      </c>
      <c r="T1250" s="15" t="s">
        <v>112</v>
      </c>
      <c r="W1250" s="16" t="str">
        <f t="shared" si="128"/>
        <v>EN_WON_44_c02_KAZ</v>
      </c>
      <c r="X1250" s="12">
        <f t="shared" si="129"/>
        <v>2809</v>
      </c>
      <c r="Y1250" s="11">
        <f t="shared" si="130"/>
        <v>2809</v>
      </c>
    </row>
    <row r="1251" spans="2:25">
      <c r="B1251" t="s">
        <v>26</v>
      </c>
      <c r="C1251" t="s">
        <v>6795</v>
      </c>
      <c r="D1251" t="s">
        <v>6796</v>
      </c>
      <c r="E1251" t="s">
        <v>29</v>
      </c>
      <c r="F1251" t="s">
        <v>30</v>
      </c>
      <c r="G1251" t="s">
        <v>31</v>
      </c>
      <c r="J1251" t="s">
        <v>6795</v>
      </c>
      <c r="K1251" t="s">
        <v>1967</v>
      </c>
      <c r="L1251" t="s">
        <v>6790</v>
      </c>
      <c r="M1251" s="8">
        <v>24.72525</v>
      </c>
      <c r="N1251">
        <v>0</v>
      </c>
      <c r="O1251">
        <v>2809</v>
      </c>
      <c r="P1251" s="9">
        <v>0.450218157551491</v>
      </c>
      <c r="Q1251" t="s">
        <v>1071</v>
      </c>
      <c r="T1251" s="15" t="s">
        <v>112</v>
      </c>
      <c r="W1251" s="16" t="str">
        <f t="shared" si="128"/>
        <v>EN_WON_45_c01_KAZ</v>
      </c>
      <c r="X1251" s="12">
        <f t="shared" si="129"/>
        <v>2809</v>
      </c>
      <c r="Y1251" s="11">
        <f t="shared" si="130"/>
        <v>2809</v>
      </c>
    </row>
    <row r="1252" spans="2:25">
      <c r="B1252" t="s">
        <v>26</v>
      </c>
      <c r="C1252" t="s">
        <v>6797</v>
      </c>
      <c r="D1252" t="s">
        <v>6798</v>
      </c>
      <c r="E1252" t="s">
        <v>29</v>
      </c>
      <c r="F1252" t="s">
        <v>30</v>
      </c>
      <c r="G1252" t="s">
        <v>31</v>
      </c>
      <c r="J1252" t="s">
        <v>6797</v>
      </c>
      <c r="K1252" t="s">
        <v>1967</v>
      </c>
      <c r="L1252" t="s">
        <v>6790</v>
      </c>
      <c r="M1252" s="8">
        <v>13.164</v>
      </c>
      <c r="N1252">
        <v>0</v>
      </c>
      <c r="O1252">
        <v>2809</v>
      </c>
      <c r="P1252" s="9">
        <v>0.461097538742024</v>
      </c>
      <c r="Q1252" t="s">
        <v>1071</v>
      </c>
      <c r="T1252" s="15" t="s">
        <v>112</v>
      </c>
      <c r="W1252" s="16" t="str">
        <f t="shared" si="128"/>
        <v>EN_WON_46_c01_KAZ</v>
      </c>
      <c r="X1252" s="12">
        <f t="shared" si="129"/>
        <v>2809</v>
      </c>
      <c r="Y1252" s="11">
        <f t="shared" si="130"/>
        <v>2809</v>
      </c>
    </row>
    <row r="1253" spans="2:25">
      <c r="B1253" t="s">
        <v>26</v>
      </c>
      <c r="C1253" t="s">
        <v>6799</v>
      </c>
      <c r="D1253" t="s">
        <v>6800</v>
      </c>
      <c r="E1253" t="s">
        <v>29</v>
      </c>
      <c r="F1253" t="s">
        <v>30</v>
      </c>
      <c r="G1253" t="s">
        <v>31</v>
      </c>
      <c r="J1253" t="s">
        <v>6799</v>
      </c>
      <c r="K1253" t="s">
        <v>1967</v>
      </c>
      <c r="L1253" t="s">
        <v>6790</v>
      </c>
      <c r="M1253" s="8">
        <v>6.18075</v>
      </c>
      <c r="N1253">
        <v>0</v>
      </c>
      <c r="O1253">
        <v>2809</v>
      </c>
      <c r="P1253" s="9">
        <v>0.467988714961777</v>
      </c>
      <c r="Q1253" t="s">
        <v>1071</v>
      </c>
      <c r="T1253" s="15" t="s">
        <v>112</v>
      </c>
      <c r="W1253" s="16" t="str">
        <f t="shared" si="128"/>
        <v>EN_WON_47_c01_KAZ</v>
      </c>
      <c r="X1253" s="12">
        <f t="shared" si="129"/>
        <v>2809</v>
      </c>
      <c r="Y1253" s="11">
        <f t="shared" si="130"/>
        <v>2809</v>
      </c>
    </row>
    <row r="1254" spans="2:25">
      <c r="B1254" t="s">
        <v>26</v>
      </c>
      <c r="C1254" t="s">
        <v>6801</v>
      </c>
      <c r="D1254" t="s">
        <v>6802</v>
      </c>
      <c r="E1254" t="s">
        <v>29</v>
      </c>
      <c r="F1254" t="s">
        <v>30</v>
      </c>
      <c r="G1254" t="s">
        <v>31</v>
      </c>
      <c r="J1254" t="s">
        <v>6801</v>
      </c>
      <c r="K1254" t="s">
        <v>1967</v>
      </c>
      <c r="L1254" t="s">
        <v>6790</v>
      </c>
      <c r="M1254" s="8">
        <v>6.26925</v>
      </c>
      <c r="N1254">
        <v>0</v>
      </c>
      <c r="O1254">
        <v>2809</v>
      </c>
      <c r="P1254" s="9">
        <v>0.481</v>
      </c>
      <c r="Q1254" t="s">
        <v>1071</v>
      </c>
      <c r="T1254" s="15" t="s">
        <v>112</v>
      </c>
      <c r="W1254" s="16" t="str">
        <f t="shared" si="128"/>
        <v>EN_WON_48_c01_KAZ</v>
      </c>
      <c r="X1254" s="12">
        <f t="shared" si="129"/>
        <v>2809</v>
      </c>
      <c r="Y1254" s="11">
        <f t="shared" si="130"/>
        <v>2809</v>
      </c>
    </row>
    <row r="1255" spans="2:25">
      <c r="B1255" t="s">
        <v>26</v>
      </c>
      <c r="C1255" t="s">
        <v>6803</v>
      </c>
      <c r="D1255" t="s">
        <v>6804</v>
      </c>
      <c r="E1255" t="s">
        <v>29</v>
      </c>
      <c r="F1255" t="s">
        <v>30</v>
      </c>
      <c r="G1255" t="s">
        <v>31</v>
      </c>
      <c r="J1255" t="s">
        <v>6803</v>
      </c>
      <c r="K1255" t="s">
        <v>1967</v>
      </c>
      <c r="L1255" t="s">
        <v>6790</v>
      </c>
      <c r="M1255" s="8">
        <v>6.021</v>
      </c>
      <c r="N1255">
        <v>0</v>
      </c>
      <c r="O1255">
        <v>2809</v>
      </c>
      <c r="P1255" s="9">
        <v>0.488</v>
      </c>
      <c r="Q1255" t="s">
        <v>1071</v>
      </c>
      <c r="T1255" s="15" t="s">
        <v>112</v>
      </c>
      <c r="W1255" s="16" t="str">
        <f t="shared" si="128"/>
        <v>EN_WON_49_c01_KAZ</v>
      </c>
      <c r="X1255" s="12">
        <f t="shared" si="129"/>
        <v>2809</v>
      </c>
      <c r="Y1255" s="11">
        <f t="shared" si="130"/>
        <v>2809</v>
      </c>
    </row>
    <row r="1256" spans="2:25">
      <c r="B1256" t="s">
        <v>26</v>
      </c>
      <c r="C1256" t="s">
        <v>6805</v>
      </c>
      <c r="D1256" t="s">
        <v>6806</v>
      </c>
      <c r="E1256" t="s">
        <v>29</v>
      </c>
      <c r="F1256" t="s">
        <v>30</v>
      </c>
      <c r="G1256" t="s">
        <v>31</v>
      </c>
      <c r="J1256" t="s">
        <v>6805</v>
      </c>
      <c r="K1256" t="s">
        <v>1967</v>
      </c>
      <c r="L1256" t="s">
        <v>6790</v>
      </c>
      <c r="M1256" s="8">
        <v>7.44375</v>
      </c>
      <c r="N1256">
        <v>0</v>
      </c>
      <c r="O1256">
        <v>2809</v>
      </c>
      <c r="P1256" s="9">
        <v>0.495</v>
      </c>
      <c r="Q1256" t="s">
        <v>1071</v>
      </c>
      <c r="T1256" s="15" t="s">
        <v>112</v>
      </c>
      <c r="W1256" s="16" t="str">
        <f t="shared" si="128"/>
        <v>EN_WON_50_c01_KAZ</v>
      </c>
      <c r="X1256" s="12">
        <f t="shared" si="129"/>
        <v>2809</v>
      </c>
      <c r="Y1256" s="11">
        <f t="shared" si="130"/>
        <v>2809</v>
      </c>
    </row>
    <row r="1257" spans="2:25">
      <c r="B1257" t="s">
        <v>26</v>
      </c>
      <c r="C1257" t="s">
        <v>6807</v>
      </c>
      <c r="D1257" t="s">
        <v>6808</v>
      </c>
      <c r="E1257" t="s">
        <v>29</v>
      </c>
      <c r="F1257" t="s">
        <v>30</v>
      </c>
      <c r="G1257" t="s">
        <v>31</v>
      </c>
      <c r="J1257" t="s">
        <v>6807</v>
      </c>
      <c r="K1257" t="s">
        <v>1967</v>
      </c>
      <c r="L1257" t="s">
        <v>4240</v>
      </c>
      <c r="M1257" s="8">
        <v>2.85675</v>
      </c>
      <c r="N1257">
        <v>105.747516212372</v>
      </c>
      <c r="O1257">
        <v>1952</v>
      </c>
      <c r="P1257" s="9">
        <v>0.335</v>
      </c>
      <c r="Q1257" t="s">
        <v>1077</v>
      </c>
      <c r="T1257" s="15" t="s">
        <v>54</v>
      </c>
      <c r="W1257" s="16" t="str">
        <f t="shared" si="128"/>
        <v>EN_WON_34_c03_KEN</v>
      </c>
      <c r="X1257" s="12">
        <f t="shared" si="129"/>
        <v>1952</v>
      </c>
      <c r="Y1257" s="11">
        <f t="shared" si="130"/>
        <v>1952</v>
      </c>
    </row>
    <row r="1258" spans="2:25">
      <c r="B1258" t="s">
        <v>26</v>
      </c>
      <c r="C1258" t="s">
        <v>6809</v>
      </c>
      <c r="D1258" t="s">
        <v>6810</v>
      </c>
      <c r="E1258" t="s">
        <v>29</v>
      </c>
      <c r="F1258" t="s">
        <v>30</v>
      </c>
      <c r="G1258" t="s">
        <v>31</v>
      </c>
      <c r="J1258" t="s">
        <v>6809</v>
      </c>
      <c r="K1258" t="s">
        <v>1967</v>
      </c>
      <c r="L1258" t="s">
        <v>4240</v>
      </c>
      <c r="M1258" s="8">
        <v>4.14225</v>
      </c>
      <c r="N1258">
        <v>145.23264029167</v>
      </c>
      <c r="O1258">
        <v>1952</v>
      </c>
      <c r="P1258" s="9">
        <v>0.349374796306355</v>
      </c>
      <c r="Q1258" t="s">
        <v>1077</v>
      </c>
      <c r="T1258" s="15" t="s">
        <v>54</v>
      </c>
      <c r="W1258" s="16" t="str">
        <f t="shared" si="128"/>
        <v>EN_WON_35_c04_KEN</v>
      </c>
      <c r="X1258" s="12">
        <f t="shared" si="129"/>
        <v>1952</v>
      </c>
      <c r="Y1258" s="11">
        <f t="shared" si="130"/>
        <v>1952</v>
      </c>
    </row>
    <row r="1259" spans="2:25">
      <c r="B1259" t="s">
        <v>26</v>
      </c>
      <c r="C1259" t="s">
        <v>6811</v>
      </c>
      <c r="D1259" t="s">
        <v>6812</v>
      </c>
      <c r="E1259" t="s">
        <v>29</v>
      </c>
      <c r="F1259" t="s">
        <v>30</v>
      </c>
      <c r="G1259" t="s">
        <v>31</v>
      </c>
      <c r="J1259" t="s">
        <v>6811</v>
      </c>
      <c r="K1259" t="s">
        <v>1967</v>
      </c>
      <c r="L1259" t="s">
        <v>4240</v>
      </c>
      <c r="M1259" s="8">
        <v>1.3665</v>
      </c>
      <c r="N1259">
        <v>145.23264029167</v>
      </c>
      <c r="O1259">
        <v>1952</v>
      </c>
      <c r="P1259" s="9">
        <v>0.365</v>
      </c>
      <c r="Q1259" t="s">
        <v>1077</v>
      </c>
      <c r="T1259" s="15" t="s">
        <v>54</v>
      </c>
      <c r="W1259" s="16" t="str">
        <f t="shared" si="128"/>
        <v>EN_WON_37_c04_KEN</v>
      </c>
      <c r="X1259" s="12">
        <f t="shared" si="129"/>
        <v>1952</v>
      </c>
      <c r="Y1259" s="11">
        <f t="shared" si="130"/>
        <v>1952</v>
      </c>
    </row>
    <row r="1260" spans="2:25">
      <c r="B1260" t="s">
        <v>26</v>
      </c>
      <c r="C1260" t="s">
        <v>6813</v>
      </c>
      <c r="D1260" t="s">
        <v>6814</v>
      </c>
      <c r="E1260" t="s">
        <v>29</v>
      </c>
      <c r="F1260" t="s">
        <v>30</v>
      </c>
      <c r="G1260" t="s">
        <v>31</v>
      </c>
      <c r="J1260" t="s">
        <v>6813</v>
      </c>
      <c r="K1260" t="s">
        <v>1967</v>
      </c>
      <c r="L1260" t="s">
        <v>4240</v>
      </c>
      <c r="M1260" s="8">
        <v>0.9555</v>
      </c>
      <c r="N1260">
        <v>105.747516212372</v>
      </c>
      <c r="O1260">
        <v>1952</v>
      </c>
      <c r="P1260" s="9">
        <v>0.384</v>
      </c>
      <c r="Q1260" t="s">
        <v>1077</v>
      </c>
      <c r="T1260" s="15" t="s">
        <v>54</v>
      </c>
      <c r="W1260" s="16" t="str">
        <f t="shared" si="128"/>
        <v>EN_WON_38_c03_KEN</v>
      </c>
      <c r="X1260" s="12">
        <f t="shared" si="129"/>
        <v>1952</v>
      </c>
      <c r="Y1260" s="11">
        <f t="shared" si="130"/>
        <v>1952</v>
      </c>
    </row>
    <row r="1261" spans="2:25">
      <c r="B1261" t="s">
        <v>26</v>
      </c>
      <c r="C1261" t="s">
        <v>6815</v>
      </c>
      <c r="D1261" t="s">
        <v>6816</v>
      </c>
      <c r="E1261" t="s">
        <v>29</v>
      </c>
      <c r="F1261" t="s">
        <v>30</v>
      </c>
      <c r="G1261" t="s">
        <v>31</v>
      </c>
      <c r="J1261" t="s">
        <v>6815</v>
      </c>
      <c r="K1261" t="s">
        <v>1967</v>
      </c>
      <c r="L1261" t="s">
        <v>4240</v>
      </c>
      <c r="M1261" s="8">
        <v>1.20225</v>
      </c>
      <c r="N1261">
        <v>145.23264029167</v>
      </c>
      <c r="O1261">
        <v>1952</v>
      </c>
      <c r="P1261" s="9">
        <v>0.382</v>
      </c>
      <c r="Q1261" t="s">
        <v>1077</v>
      </c>
      <c r="T1261" s="15" t="s">
        <v>54</v>
      </c>
      <c r="W1261" s="16" t="str">
        <f t="shared" si="128"/>
        <v>EN_WON_38_c04_KEN</v>
      </c>
      <c r="X1261" s="12">
        <f t="shared" si="129"/>
        <v>1952</v>
      </c>
      <c r="Y1261" s="11">
        <f t="shared" si="130"/>
        <v>1952</v>
      </c>
    </row>
    <row r="1262" spans="2:25">
      <c r="B1262" t="s">
        <v>26</v>
      </c>
      <c r="C1262" t="s">
        <v>6817</v>
      </c>
      <c r="D1262" t="s">
        <v>6818</v>
      </c>
      <c r="E1262" t="s">
        <v>29</v>
      </c>
      <c r="F1262" t="s">
        <v>30</v>
      </c>
      <c r="G1262" t="s">
        <v>31</v>
      </c>
      <c r="J1262" t="s">
        <v>6817</v>
      </c>
      <c r="K1262" t="s">
        <v>1967</v>
      </c>
      <c r="L1262" t="s">
        <v>4240</v>
      </c>
      <c r="M1262" s="8">
        <v>2.697</v>
      </c>
      <c r="N1262">
        <v>80.7856561622413</v>
      </c>
      <c r="O1262">
        <v>1952</v>
      </c>
      <c r="P1262" s="9">
        <v>0.385</v>
      </c>
      <c r="Q1262" t="s">
        <v>1077</v>
      </c>
      <c r="T1262" s="15" t="s">
        <v>54</v>
      </c>
      <c r="W1262" s="16" t="str">
        <f t="shared" si="128"/>
        <v>EN_WON_39_c02_KEN</v>
      </c>
      <c r="X1262" s="12">
        <f t="shared" si="129"/>
        <v>1952</v>
      </c>
      <c r="Y1262" s="11">
        <f t="shared" si="130"/>
        <v>1952</v>
      </c>
    </row>
    <row r="1263" spans="2:25">
      <c r="B1263" t="s">
        <v>26</v>
      </c>
      <c r="C1263" t="s">
        <v>6819</v>
      </c>
      <c r="D1263" t="s">
        <v>6820</v>
      </c>
      <c r="E1263" t="s">
        <v>29</v>
      </c>
      <c r="F1263" t="s">
        <v>30</v>
      </c>
      <c r="G1263" t="s">
        <v>31</v>
      </c>
      <c r="J1263" t="s">
        <v>6819</v>
      </c>
      <c r="K1263" t="s">
        <v>1967</v>
      </c>
      <c r="L1263" t="s">
        <v>4240</v>
      </c>
      <c r="M1263" s="8">
        <v>1.72725</v>
      </c>
      <c r="N1263">
        <v>145.23264029167</v>
      </c>
      <c r="O1263">
        <v>1952</v>
      </c>
      <c r="P1263" s="9">
        <v>0.387</v>
      </c>
      <c r="Q1263" t="s">
        <v>1077</v>
      </c>
      <c r="T1263" s="15" t="s">
        <v>54</v>
      </c>
      <c r="W1263" s="16" t="str">
        <f t="shared" si="128"/>
        <v>EN_WON_39_c04_KEN</v>
      </c>
      <c r="X1263" s="12">
        <f t="shared" si="129"/>
        <v>1952</v>
      </c>
      <c r="Y1263" s="11">
        <f t="shared" si="130"/>
        <v>1952</v>
      </c>
    </row>
    <row r="1264" spans="2:25">
      <c r="B1264" t="s">
        <v>26</v>
      </c>
      <c r="C1264" t="s">
        <v>6821</v>
      </c>
      <c r="D1264" t="s">
        <v>6822</v>
      </c>
      <c r="E1264" t="s">
        <v>29</v>
      </c>
      <c r="F1264" t="s">
        <v>30</v>
      </c>
      <c r="G1264" t="s">
        <v>31</v>
      </c>
      <c r="J1264" t="s">
        <v>6821</v>
      </c>
      <c r="K1264" t="s">
        <v>1967</v>
      </c>
      <c r="L1264" t="s">
        <v>4240</v>
      </c>
      <c r="M1264" s="8">
        <v>2.05875</v>
      </c>
      <c r="N1264">
        <v>145.23264029167</v>
      </c>
      <c r="O1264">
        <v>1952</v>
      </c>
      <c r="P1264" s="9">
        <v>0.423</v>
      </c>
      <c r="Q1264" t="s">
        <v>1077</v>
      </c>
      <c r="T1264" s="15" t="s">
        <v>54</v>
      </c>
      <c r="W1264" s="16" t="str">
        <f t="shared" si="128"/>
        <v>EN_WON_42_c04_KEN</v>
      </c>
      <c r="X1264" s="12">
        <f t="shared" si="129"/>
        <v>1952</v>
      </c>
      <c r="Y1264" s="11">
        <f t="shared" si="130"/>
        <v>1952</v>
      </c>
    </row>
    <row r="1265" spans="2:25">
      <c r="B1265" t="s">
        <v>26</v>
      </c>
      <c r="C1265" t="s">
        <v>6823</v>
      </c>
      <c r="D1265" t="s">
        <v>6824</v>
      </c>
      <c r="E1265" t="s">
        <v>29</v>
      </c>
      <c r="F1265" t="s">
        <v>30</v>
      </c>
      <c r="G1265" t="s">
        <v>31</v>
      </c>
      <c r="J1265" t="s">
        <v>6823</v>
      </c>
      <c r="K1265" t="s">
        <v>1967</v>
      </c>
      <c r="L1265" t="s">
        <v>4240</v>
      </c>
      <c r="M1265" s="8">
        <v>1.2105</v>
      </c>
      <c r="N1265">
        <v>145.23264029167</v>
      </c>
      <c r="O1265">
        <v>1952</v>
      </c>
      <c r="P1265" s="9">
        <v>0.437</v>
      </c>
      <c r="Q1265" t="s">
        <v>1077</v>
      </c>
      <c r="T1265" s="15" t="s">
        <v>54</v>
      </c>
      <c r="W1265" s="16" t="str">
        <f t="shared" si="128"/>
        <v>EN_WON_44_c04_KEN</v>
      </c>
      <c r="X1265" s="12">
        <f t="shared" si="129"/>
        <v>1952</v>
      </c>
      <c r="Y1265" s="11">
        <f t="shared" si="130"/>
        <v>1952</v>
      </c>
    </row>
    <row r="1266" spans="2:25">
      <c r="B1266" t="s">
        <v>26</v>
      </c>
      <c r="C1266" t="s">
        <v>6825</v>
      </c>
      <c r="D1266" t="s">
        <v>6826</v>
      </c>
      <c r="E1266" t="s">
        <v>29</v>
      </c>
      <c r="F1266" t="s">
        <v>30</v>
      </c>
      <c r="G1266" t="s">
        <v>31</v>
      </c>
      <c r="J1266" t="s">
        <v>6825</v>
      </c>
      <c r="K1266" t="s">
        <v>1967</v>
      </c>
      <c r="L1266" t="s">
        <v>4240</v>
      </c>
      <c r="M1266" s="8">
        <v>1.11</v>
      </c>
      <c r="N1266">
        <v>145.23264029167</v>
      </c>
      <c r="O1266">
        <v>1952</v>
      </c>
      <c r="P1266" s="9">
        <v>0.458</v>
      </c>
      <c r="Q1266" t="s">
        <v>1077</v>
      </c>
      <c r="T1266" s="15" t="s">
        <v>54</v>
      </c>
      <c r="W1266" s="16" t="str">
        <f t="shared" si="128"/>
        <v>EN_WON_46_c04_KEN</v>
      </c>
      <c r="X1266" s="12">
        <f t="shared" si="129"/>
        <v>1952</v>
      </c>
      <c r="Y1266" s="11">
        <f t="shared" si="130"/>
        <v>1952</v>
      </c>
    </row>
    <row r="1267" spans="2:25">
      <c r="B1267" t="s">
        <v>26</v>
      </c>
      <c r="C1267" t="s">
        <v>6827</v>
      </c>
      <c r="D1267" t="s">
        <v>6828</v>
      </c>
      <c r="E1267" t="s">
        <v>29</v>
      </c>
      <c r="F1267" t="s">
        <v>30</v>
      </c>
      <c r="G1267" t="s">
        <v>31</v>
      </c>
      <c r="J1267" t="s">
        <v>6827</v>
      </c>
      <c r="K1267" t="s">
        <v>1967</v>
      </c>
      <c r="L1267" t="s">
        <v>4240</v>
      </c>
      <c r="M1267" s="8">
        <v>2.8005</v>
      </c>
      <c r="N1267">
        <v>105.747516212372</v>
      </c>
      <c r="O1267">
        <v>1952</v>
      </c>
      <c r="P1267" s="9">
        <v>0.472</v>
      </c>
      <c r="Q1267" t="s">
        <v>1077</v>
      </c>
      <c r="T1267" s="15" t="s">
        <v>54</v>
      </c>
      <c r="W1267" s="16" t="str">
        <f t="shared" si="128"/>
        <v>EN_WON_47_c03_KEN</v>
      </c>
      <c r="X1267" s="12">
        <f t="shared" si="129"/>
        <v>1952</v>
      </c>
      <c r="Y1267" s="11">
        <f t="shared" si="130"/>
        <v>1952</v>
      </c>
    </row>
    <row r="1268" spans="2:25">
      <c r="B1268" t="s">
        <v>26</v>
      </c>
      <c r="C1268" t="s">
        <v>6829</v>
      </c>
      <c r="D1268" t="s">
        <v>6830</v>
      </c>
      <c r="E1268" t="s">
        <v>29</v>
      </c>
      <c r="F1268" t="s">
        <v>30</v>
      </c>
      <c r="G1268" t="s">
        <v>31</v>
      </c>
      <c r="J1268" t="s">
        <v>6829</v>
      </c>
      <c r="K1268" t="s">
        <v>1967</v>
      </c>
      <c r="L1268" t="s">
        <v>4240</v>
      </c>
      <c r="M1268" s="8">
        <v>2.457</v>
      </c>
      <c r="N1268">
        <v>0</v>
      </c>
      <c r="O1268">
        <v>1952</v>
      </c>
      <c r="P1268" s="9">
        <v>0.477</v>
      </c>
      <c r="Q1268" t="s">
        <v>1077</v>
      </c>
      <c r="T1268" s="15" t="s">
        <v>54</v>
      </c>
      <c r="W1268" s="16" t="str">
        <f t="shared" si="128"/>
        <v>EN_WON_48_c01_KEN</v>
      </c>
      <c r="X1268" s="12">
        <f t="shared" si="129"/>
        <v>1952</v>
      </c>
      <c r="Y1268" s="11">
        <f t="shared" si="130"/>
        <v>1952</v>
      </c>
    </row>
    <row r="1269" spans="2:25">
      <c r="B1269" t="s">
        <v>26</v>
      </c>
      <c r="C1269" t="s">
        <v>6831</v>
      </c>
      <c r="D1269" t="s">
        <v>6832</v>
      </c>
      <c r="E1269" t="s">
        <v>29</v>
      </c>
      <c r="F1269" t="s">
        <v>30</v>
      </c>
      <c r="G1269" t="s">
        <v>31</v>
      </c>
      <c r="J1269" t="s">
        <v>6831</v>
      </c>
      <c r="K1269" t="s">
        <v>1967</v>
      </c>
      <c r="L1269" t="s">
        <v>4240</v>
      </c>
      <c r="M1269" s="8">
        <v>2.69925</v>
      </c>
      <c r="N1269">
        <v>145.23264029167</v>
      </c>
      <c r="O1269">
        <v>1952</v>
      </c>
      <c r="P1269" s="9">
        <v>0.479</v>
      </c>
      <c r="Q1269" t="s">
        <v>1077</v>
      </c>
      <c r="T1269" s="15" t="s">
        <v>54</v>
      </c>
      <c r="W1269" s="16" t="str">
        <f t="shared" si="128"/>
        <v>EN_WON_48_c04_KEN</v>
      </c>
      <c r="X1269" s="12">
        <f t="shared" si="129"/>
        <v>1952</v>
      </c>
      <c r="Y1269" s="11">
        <f t="shared" si="130"/>
        <v>1952</v>
      </c>
    </row>
    <row r="1270" spans="2:25">
      <c r="B1270" t="s">
        <v>26</v>
      </c>
      <c r="C1270" t="s">
        <v>6833</v>
      </c>
      <c r="D1270" t="s">
        <v>6834</v>
      </c>
      <c r="E1270" t="s">
        <v>29</v>
      </c>
      <c r="F1270" t="s">
        <v>30</v>
      </c>
      <c r="G1270" t="s">
        <v>31</v>
      </c>
      <c r="J1270" t="s">
        <v>6833</v>
      </c>
      <c r="K1270" t="s">
        <v>1967</v>
      </c>
      <c r="L1270" t="s">
        <v>4240</v>
      </c>
      <c r="M1270" s="8">
        <v>0.65625</v>
      </c>
      <c r="N1270">
        <v>80.7856561622413</v>
      </c>
      <c r="O1270">
        <v>1952</v>
      </c>
      <c r="P1270" s="9">
        <v>0.493</v>
      </c>
      <c r="Q1270" t="s">
        <v>1077</v>
      </c>
      <c r="T1270" s="15" t="s">
        <v>54</v>
      </c>
      <c r="W1270" s="16" t="str">
        <f t="shared" si="128"/>
        <v>EN_WON_49_c02_KEN</v>
      </c>
      <c r="X1270" s="12">
        <f t="shared" si="129"/>
        <v>1952</v>
      </c>
      <c r="Y1270" s="11">
        <f t="shared" si="130"/>
        <v>1952</v>
      </c>
    </row>
    <row r="1271" spans="2:25">
      <c r="B1271" t="s">
        <v>26</v>
      </c>
      <c r="C1271" t="s">
        <v>6835</v>
      </c>
      <c r="D1271" t="s">
        <v>6836</v>
      </c>
      <c r="E1271" t="s">
        <v>29</v>
      </c>
      <c r="F1271" t="s">
        <v>30</v>
      </c>
      <c r="G1271" t="s">
        <v>31</v>
      </c>
      <c r="J1271" t="s">
        <v>6835</v>
      </c>
      <c r="K1271" t="s">
        <v>1967</v>
      </c>
      <c r="L1271" t="s">
        <v>4240</v>
      </c>
      <c r="M1271" s="8">
        <v>2.29125</v>
      </c>
      <c r="N1271">
        <v>145.23264029167</v>
      </c>
      <c r="O1271">
        <v>1952</v>
      </c>
      <c r="P1271" s="9">
        <v>0.505</v>
      </c>
      <c r="Q1271" t="s">
        <v>1077</v>
      </c>
      <c r="T1271" s="15" t="s">
        <v>54</v>
      </c>
      <c r="W1271" s="16" t="str">
        <f t="shared" si="128"/>
        <v>EN_WON_51_c04_KEN</v>
      </c>
      <c r="X1271" s="12">
        <f t="shared" si="129"/>
        <v>1952</v>
      </c>
      <c r="Y1271" s="11">
        <f t="shared" si="130"/>
        <v>1952</v>
      </c>
    </row>
    <row r="1272" spans="2:25">
      <c r="B1272" t="s">
        <v>26</v>
      </c>
      <c r="C1272" t="s">
        <v>6837</v>
      </c>
      <c r="D1272" t="s">
        <v>6838</v>
      </c>
      <c r="E1272" t="s">
        <v>29</v>
      </c>
      <c r="F1272" t="s">
        <v>30</v>
      </c>
      <c r="G1272" t="s">
        <v>31</v>
      </c>
      <c r="J1272" t="s">
        <v>6837</v>
      </c>
      <c r="K1272" t="s">
        <v>1967</v>
      </c>
      <c r="L1272" t="s">
        <v>4240</v>
      </c>
      <c r="M1272" s="8">
        <v>3.0855</v>
      </c>
      <c r="N1272">
        <v>0</v>
      </c>
      <c r="O1272">
        <v>1952</v>
      </c>
      <c r="P1272" s="9">
        <v>0.538</v>
      </c>
      <c r="Q1272" t="s">
        <v>1077</v>
      </c>
      <c r="T1272" s="15" t="s">
        <v>54</v>
      </c>
      <c r="W1272" s="16" t="str">
        <f t="shared" si="128"/>
        <v>EN_WON_54_c01_KEN</v>
      </c>
      <c r="X1272" s="12">
        <f t="shared" si="129"/>
        <v>1952</v>
      </c>
      <c r="Y1272" s="11">
        <f t="shared" si="130"/>
        <v>1952</v>
      </c>
    </row>
    <row r="1273" spans="2:25">
      <c r="B1273" t="s">
        <v>26</v>
      </c>
      <c r="C1273" t="s">
        <v>6839</v>
      </c>
      <c r="D1273" t="s">
        <v>6840</v>
      </c>
      <c r="E1273" t="s">
        <v>29</v>
      </c>
      <c r="F1273" t="s">
        <v>30</v>
      </c>
      <c r="G1273" t="s">
        <v>31</v>
      </c>
      <c r="J1273" t="s">
        <v>6839</v>
      </c>
      <c r="K1273" t="s">
        <v>1967</v>
      </c>
      <c r="L1273" t="s">
        <v>4240</v>
      </c>
      <c r="M1273" s="8">
        <v>2.35425</v>
      </c>
      <c r="N1273">
        <v>80.7856561622413</v>
      </c>
      <c r="O1273">
        <v>1952</v>
      </c>
      <c r="P1273" s="9">
        <v>0.566</v>
      </c>
      <c r="Q1273" t="s">
        <v>1077</v>
      </c>
      <c r="T1273" s="15" t="s">
        <v>54</v>
      </c>
      <c r="W1273" s="16" t="str">
        <f t="shared" si="128"/>
        <v>EN_WON_57_c02_KEN</v>
      </c>
      <c r="X1273" s="12">
        <f t="shared" si="129"/>
        <v>1952</v>
      </c>
      <c r="Y1273" s="11">
        <f t="shared" si="130"/>
        <v>1952</v>
      </c>
    </row>
    <row r="1274" spans="2:25">
      <c r="B1274" t="s">
        <v>26</v>
      </c>
      <c r="C1274" t="s">
        <v>6841</v>
      </c>
      <c r="D1274" t="s">
        <v>6842</v>
      </c>
      <c r="E1274" t="s">
        <v>29</v>
      </c>
      <c r="F1274" t="s">
        <v>30</v>
      </c>
      <c r="G1274" t="s">
        <v>31</v>
      </c>
      <c r="J1274" t="s">
        <v>6841</v>
      </c>
      <c r="K1274" t="s">
        <v>1967</v>
      </c>
      <c r="L1274" t="s">
        <v>4240</v>
      </c>
      <c r="M1274" s="8">
        <v>2.6625</v>
      </c>
      <c r="N1274">
        <v>0</v>
      </c>
      <c r="O1274">
        <v>1952</v>
      </c>
      <c r="P1274" s="9">
        <v>0.592</v>
      </c>
      <c r="Q1274" t="s">
        <v>1077</v>
      </c>
      <c r="T1274" s="15" t="s">
        <v>54</v>
      </c>
      <c r="W1274" s="16" t="str">
        <f t="shared" si="128"/>
        <v>EN_WON_59_c01_KEN</v>
      </c>
      <c r="X1274" s="12">
        <f t="shared" si="129"/>
        <v>1952</v>
      </c>
      <c r="Y1274" s="11">
        <f t="shared" si="130"/>
        <v>1952</v>
      </c>
    </row>
    <row r="1275" spans="2:25">
      <c r="B1275" t="s">
        <v>26</v>
      </c>
      <c r="C1275" t="s">
        <v>6843</v>
      </c>
      <c r="D1275" t="s">
        <v>6844</v>
      </c>
      <c r="E1275" t="s">
        <v>29</v>
      </c>
      <c r="F1275" t="s">
        <v>30</v>
      </c>
      <c r="G1275" t="s">
        <v>31</v>
      </c>
      <c r="J1275" t="s">
        <v>6843</v>
      </c>
      <c r="K1275" t="s">
        <v>1967</v>
      </c>
      <c r="L1275" t="s">
        <v>6845</v>
      </c>
      <c r="M1275" s="8">
        <v>0.29775</v>
      </c>
      <c r="N1275">
        <v>80.7856561622413</v>
      </c>
      <c r="O1275">
        <v>2809</v>
      </c>
      <c r="P1275" s="9">
        <v>0.151224181360201</v>
      </c>
      <c r="Q1275" t="s">
        <v>1089</v>
      </c>
      <c r="T1275" s="15" t="s">
        <v>112</v>
      </c>
      <c r="W1275" s="16" t="str">
        <f t="shared" si="128"/>
        <v>EN_WON_15_c02_KGZ</v>
      </c>
      <c r="X1275" s="12">
        <f t="shared" si="129"/>
        <v>2809</v>
      </c>
      <c r="Y1275" s="11">
        <f t="shared" si="130"/>
        <v>2809</v>
      </c>
    </row>
    <row r="1276" spans="2:25">
      <c r="B1276" t="s">
        <v>26</v>
      </c>
      <c r="C1276" t="s">
        <v>6846</v>
      </c>
      <c r="D1276" t="s">
        <v>6847</v>
      </c>
      <c r="E1276" t="s">
        <v>29</v>
      </c>
      <c r="F1276" t="s">
        <v>30</v>
      </c>
      <c r="G1276" t="s">
        <v>31</v>
      </c>
      <c r="J1276" t="s">
        <v>6846</v>
      </c>
      <c r="K1276" t="s">
        <v>1967</v>
      </c>
      <c r="L1276" t="s">
        <v>6845</v>
      </c>
      <c r="M1276" s="8">
        <v>0.09</v>
      </c>
      <c r="N1276">
        <v>105.747516212372</v>
      </c>
      <c r="O1276">
        <v>2809</v>
      </c>
      <c r="P1276" s="9">
        <v>0.153716666666667</v>
      </c>
      <c r="Q1276" t="s">
        <v>1089</v>
      </c>
      <c r="T1276" s="15" t="s">
        <v>112</v>
      </c>
      <c r="W1276" s="16" t="str">
        <f t="shared" si="128"/>
        <v>EN_WON_15_c03_KGZ</v>
      </c>
      <c r="X1276" s="12">
        <f t="shared" si="129"/>
        <v>2809</v>
      </c>
      <c r="Y1276" s="11">
        <f t="shared" si="130"/>
        <v>2809</v>
      </c>
    </row>
    <row r="1277" spans="2:25">
      <c r="B1277" t="s">
        <v>26</v>
      </c>
      <c r="C1277" t="s">
        <v>6848</v>
      </c>
      <c r="D1277" t="s">
        <v>6849</v>
      </c>
      <c r="E1277" t="s">
        <v>29</v>
      </c>
      <c r="F1277" t="s">
        <v>30</v>
      </c>
      <c r="G1277" t="s">
        <v>31</v>
      </c>
      <c r="J1277" t="s">
        <v>6848</v>
      </c>
      <c r="K1277" t="s">
        <v>1967</v>
      </c>
      <c r="L1277" t="s">
        <v>6845</v>
      </c>
      <c r="M1277" s="8">
        <v>0.0105</v>
      </c>
      <c r="N1277">
        <v>145.23264029167</v>
      </c>
      <c r="O1277">
        <v>2809</v>
      </c>
      <c r="P1277" s="9">
        <v>0.152</v>
      </c>
      <c r="Q1277" t="s">
        <v>1089</v>
      </c>
      <c r="T1277" s="15" t="s">
        <v>112</v>
      </c>
      <c r="W1277" s="16" t="str">
        <f t="shared" si="128"/>
        <v>EN_WON_15_c04_KGZ</v>
      </c>
      <c r="X1277" s="12">
        <f t="shared" si="129"/>
        <v>2809</v>
      </c>
      <c r="Y1277" s="11">
        <f t="shared" si="130"/>
        <v>2809</v>
      </c>
    </row>
    <row r="1278" spans="2:25">
      <c r="B1278" t="s">
        <v>26</v>
      </c>
      <c r="C1278" t="s">
        <v>6850</v>
      </c>
      <c r="D1278" t="s">
        <v>6851</v>
      </c>
      <c r="E1278" t="s">
        <v>29</v>
      </c>
      <c r="F1278" t="s">
        <v>30</v>
      </c>
      <c r="G1278" t="s">
        <v>31</v>
      </c>
      <c r="J1278" t="s">
        <v>6850</v>
      </c>
      <c r="K1278" t="s">
        <v>1967</v>
      </c>
      <c r="L1278" t="s">
        <v>6845</v>
      </c>
      <c r="M1278" s="8">
        <v>0.45</v>
      </c>
      <c r="N1278">
        <v>105.747516212372</v>
      </c>
      <c r="O1278">
        <v>2809</v>
      </c>
      <c r="P1278" s="9">
        <v>0.160666666666667</v>
      </c>
      <c r="Q1278" t="s">
        <v>1089</v>
      </c>
      <c r="T1278" s="15" t="s">
        <v>112</v>
      </c>
      <c r="W1278" s="16" t="str">
        <f t="shared" si="128"/>
        <v>EN_WON_16_c03_KGZ</v>
      </c>
      <c r="X1278" s="12">
        <f t="shared" si="129"/>
        <v>2809</v>
      </c>
      <c r="Y1278" s="11">
        <f t="shared" si="130"/>
        <v>2809</v>
      </c>
    </row>
    <row r="1279" spans="2:25">
      <c r="B1279" t="s">
        <v>26</v>
      </c>
      <c r="C1279" t="s">
        <v>6852</v>
      </c>
      <c r="D1279" t="s">
        <v>6853</v>
      </c>
      <c r="E1279" t="s">
        <v>29</v>
      </c>
      <c r="F1279" t="s">
        <v>30</v>
      </c>
      <c r="G1279" t="s">
        <v>31</v>
      </c>
      <c r="J1279" t="s">
        <v>6852</v>
      </c>
      <c r="K1279" t="s">
        <v>1967</v>
      </c>
      <c r="L1279" t="s">
        <v>6845</v>
      </c>
      <c r="M1279" s="8">
        <v>0.00975</v>
      </c>
      <c r="N1279">
        <v>145.23264029167</v>
      </c>
      <c r="O1279">
        <v>2809</v>
      </c>
      <c r="P1279" s="9">
        <v>0.16</v>
      </c>
      <c r="Q1279" t="s">
        <v>1089</v>
      </c>
      <c r="T1279" s="15" t="s">
        <v>112</v>
      </c>
      <c r="W1279" s="16" t="str">
        <f t="shared" si="128"/>
        <v>EN_WON_16_c04_KGZ</v>
      </c>
      <c r="X1279" s="12">
        <f t="shared" si="129"/>
        <v>2809</v>
      </c>
      <c r="Y1279" s="11">
        <f t="shared" si="130"/>
        <v>2809</v>
      </c>
    </row>
    <row r="1280" spans="2:25">
      <c r="B1280" t="s">
        <v>26</v>
      </c>
      <c r="C1280" t="s">
        <v>6854</v>
      </c>
      <c r="D1280" t="s">
        <v>6855</v>
      </c>
      <c r="E1280" t="s">
        <v>29</v>
      </c>
      <c r="F1280" t="s">
        <v>30</v>
      </c>
      <c r="G1280" t="s">
        <v>31</v>
      </c>
      <c r="J1280" t="s">
        <v>6854</v>
      </c>
      <c r="K1280" t="s">
        <v>1967</v>
      </c>
      <c r="L1280" t="s">
        <v>6845</v>
      </c>
      <c r="M1280" s="8">
        <v>0.03675</v>
      </c>
      <c r="N1280">
        <v>80.7856561622413</v>
      </c>
      <c r="O1280">
        <v>2809</v>
      </c>
      <c r="P1280" s="9">
        <v>0.169795918367347</v>
      </c>
      <c r="Q1280" t="s">
        <v>1089</v>
      </c>
      <c r="T1280" s="15" t="s">
        <v>112</v>
      </c>
      <c r="W1280" s="16" t="str">
        <f t="shared" si="128"/>
        <v>EN_WON_17_c02_KGZ</v>
      </c>
      <c r="X1280" s="12">
        <f t="shared" si="129"/>
        <v>2809</v>
      </c>
      <c r="Y1280" s="11">
        <f t="shared" si="130"/>
        <v>2809</v>
      </c>
    </row>
    <row r="1281" spans="2:25">
      <c r="B1281" t="s">
        <v>26</v>
      </c>
      <c r="C1281" t="s">
        <v>6856</v>
      </c>
      <c r="D1281" t="s">
        <v>6857</v>
      </c>
      <c r="E1281" t="s">
        <v>29</v>
      </c>
      <c r="F1281" t="s">
        <v>30</v>
      </c>
      <c r="G1281" t="s">
        <v>31</v>
      </c>
      <c r="J1281" t="s">
        <v>6856</v>
      </c>
      <c r="K1281" t="s">
        <v>1967</v>
      </c>
      <c r="L1281" t="s">
        <v>6845</v>
      </c>
      <c r="M1281" s="8">
        <v>0.6615</v>
      </c>
      <c r="N1281">
        <v>105.747516212372</v>
      </c>
      <c r="O1281">
        <v>2809</v>
      </c>
      <c r="P1281" s="9">
        <v>0.169585034013605</v>
      </c>
      <c r="Q1281" t="s">
        <v>1089</v>
      </c>
      <c r="T1281" s="15" t="s">
        <v>112</v>
      </c>
      <c r="W1281" s="16" t="str">
        <f t="shared" si="128"/>
        <v>EN_WON_17_c03_KGZ</v>
      </c>
      <c r="X1281" s="12">
        <f t="shared" si="129"/>
        <v>2809</v>
      </c>
      <c r="Y1281" s="11">
        <f t="shared" si="130"/>
        <v>2809</v>
      </c>
    </row>
    <row r="1282" spans="2:25">
      <c r="B1282" t="s">
        <v>26</v>
      </c>
      <c r="C1282" t="s">
        <v>6858</v>
      </c>
      <c r="D1282" t="s">
        <v>6859</v>
      </c>
      <c r="E1282" t="s">
        <v>29</v>
      </c>
      <c r="F1282" t="s">
        <v>30</v>
      </c>
      <c r="G1282" t="s">
        <v>31</v>
      </c>
      <c r="J1282" t="s">
        <v>6858</v>
      </c>
      <c r="K1282" t="s">
        <v>1967</v>
      </c>
      <c r="L1282" t="s">
        <v>6845</v>
      </c>
      <c r="M1282" s="8">
        <v>0.4065</v>
      </c>
      <c r="N1282">
        <v>145.23264029167</v>
      </c>
      <c r="O1282">
        <v>2809</v>
      </c>
      <c r="P1282" s="9">
        <v>0.170018450184502</v>
      </c>
      <c r="Q1282" t="s">
        <v>1089</v>
      </c>
      <c r="T1282" s="15" t="s">
        <v>112</v>
      </c>
      <c r="W1282" s="16" t="str">
        <f t="shared" si="128"/>
        <v>EN_WON_17_c04_KGZ</v>
      </c>
      <c r="X1282" s="12">
        <f t="shared" si="129"/>
        <v>2809</v>
      </c>
      <c r="Y1282" s="11">
        <f t="shared" si="130"/>
        <v>2809</v>
      </c>
    </row>
    <row r="1283" spans="2:25">
      <c r="B1283" t="s">
        <v>26</v>
      </c>
      <c r="C1283" t="s">
        <v>6860</v>
      </c>
      <c r="D1283" t="s">
        <v>6861</v>
      </c>
      <c r="E1283" t="s">
        <v>29</v>
      </c>
      <c r="F1283" t="s">
        <v>30</v>
      </c>
      <c r="G1283" t="s">
        <v>31</v>
      </c>
      <c r="J1283" t="s">
        <v>6860</v>
      </c>
      <c r="K1283" t="s">
        <v>1967</v>
      </c>
      <c r="L1283" t="s">
        <v>6845</v>
      </c>
      <c r="M1283" s="8">
        <v>2.418</v>
      </c>
      <c r="N1283">
        <v>80.7856561622413</v>
      </c>
      <c r="O1283">
        <v>2809</v>
      </c>
      <c r="P1283" s="9">
        <v>0.176373138957816</v>
      </c>
      <c r="Q1283" t="s">
        <v>1089</v>
      </c>
      <c r="T1283" s="15" t="s">
        <v>112</v>
      </c>
      <c r="W1283" s="16" t="str">
        <f t="shared" si="128"/>
        <v>EN_WON_18_c02_KGZ</v>
      </c>
      <c r="X1283" s="12">
        <f t="shared" si="129"/>
        <v>2809</v>
      </c>
      <c r="Y1283" s="11">
        <f t="shared" si="130"/>
        <v>2809</v>
      </c>
    </row>
    <row r="1284" spans="2:25">
      <c r="B1284" t="s">
        <v>26</v>
      </c>
      <c r="C1284" t="s">
        <v>6862</v>
      </c>
      <c r="D1284" t="s">
        <v>6863</v>
      </c>
      <c r="E1284" t="s">
        <v>29</v>
      </c>
      <c r="F1284" t="s">
        <v>30</v>
      </c>
      <c r="G1284" t="s">
        <v>31</v>
      </c>
      <c r="J1284" t="s">
        <v>6862</v>
      </c>
      <c r="K1284" t="s">
        <v>1967</v>
      </c>
      <c r="L1284" t="s">
        <v>6845</v>
      </c>
      <c r="M1284" s="8">
        <v>1.8795</v>
      </c>
      <c r="N1284">
        <v>105.747516212372</v>
      </c>
      <c r="O1284">
        <v>2809</v>
      </c>
      <c r="P1284" s="9">
        <v>0.181362330407023</v>
      </c>
      <c r="Q1284" t="s">
        <v>1089</v>
      </c>
      <c r="T1284" s="15" t="s">
        <v>112</v>
      </c>
      <c r="W1284" s="16" t="str">
        <f t="shared" si="128"/>
        <v>EN_WON_18_c03_KGZ</v>
      </c>
      <c r="X1284" s="12">
        <f t="shared" si="129"/>
        <v>2809</v>
      </c>
      <c r="Y1284" s="11">
        <f t="shared" si="130"/>
        <v>2809</v>
      </c>
    </row>
    <row r="1285" spans="2:25">
      <c r="B1285" t="s">
        <v>26</v>
      </c>
      <c r="C1285" t="s">
        <v>6864</v>
      </c>
      <c r="D1285" t="s">
        <v>6865</v>
      </c>
      <c r="E1285" t="s">
        <v>29</v>
      </c>
      <c r="F1285" t="s">
        <v>30</v>
      </c>
      <c r="G1285" t="s">
        <v>31</v>
      </c>
      <c r="J1285" t="s">
        <v>6864</v>
      </c>
      <c r="K1285" t="s">
        <v>1967</v>
      </c>
      <c r="L1285" t="s">
        <v>6845</v>
      </c>
      <c r="M1285" s="8">
        <v>0.33525</v>
      </c>
      <c r="N1285">
        <v>145.23264029167</v>
      </c>
      <c r="O1285">
        <v>2809</v>
      </c>
      <c r="P1285" s="9">
        <v>0.179559284116331</v>
      </c>
      <c r="Q1285" t="s">
        <v>1089</v>
      </c>
      <c r="T1285" s="15" t="s">
        <v>112</v>
      </c>
      <c r="W1285" s="16" t="str">
        <f t="shared" si="128"/>
        <v>EN_WON_18_c04_KGZ</v>
      </c>
      <c r="X1285" s="12">
        <f t="shared" si="129"/>
        <v>2809</v>
      </c>
      <c r="Y1285" s="11">
        <f t="shared" si="130"/>
        <v>2809</v>
      </c>
    </row>
    <row r="1286" spans="2:25">
      <c r="B1286" t="s">
        <v>26</v>
      </c>
      <c r="C1286" t="s">
        <v>6866</v>
      </c>
      <c r="D1286" t="s">
        <v>6867</v>
      </c>
      <c r="E1286" t="s">
        <v>29</v>
      </c>
      <c r="F1286" t="s">
        <v>30</v>
      </c>
      <c r="G1286" t="s">
        <v>31</v>
      </c>
      <c r="J1286" t="s">
        <v>6866</v>
      </c>
      <c r="K1286" t="s">
        <v>1967</v>
      </c>
      <c r="L1286" t="s">
        <v>6845</v>
      </c>
      <c r="M1286" s="8">
        <v>0.174</v>
      </c>
      <c r="N1286">
        <v>80.7856561622413</v>
      </c>
      <c r="O1286">
        <v>2809</v>
      </c>
      <c r="P1286" s="9">
        <v>0.185</v>
      </c>
      <c r="Q1286" t="s">
        <v>1089</v>
      </c>
      <c r="T1286" s="15" t="s">
        <v>112</v>
      </c>
      <c r="W1286" s="16" t="str">
        <f t="shared" ref="W1286:W1349" si="131">J1286</f>
        <v>EN_WON_19_c02_KGZ</v>
      </c>
      <c r="X1286" s="12">
        <f t="shared" ref="X1286:X1349" si="132">O1286</f>
        <v>2809</v>
      </c>
      <c r="Y1286" s="11">
        <f t="shared" ref="Y1286:Y1349" si="133">X1286</f>
        <v>2809</v>
      </c>
    </row>
    <row r="1287" spans="2:25">
      <c r="B1287" t="s">
        <v>26</v>
      </c>
      <c r="C1287" t="s">
        <v>6868</v>
      </c>
      <c r="D1287" t="s">
        <v>6869</v>
      </c>
      <c r="E1287" t="s">
        <v>29</v>
      </c>
      <c r="F1287" t="s">
        <v>30</v>
      </c>
      <c r="G1287" t="s">
        <v>31</v>
      </c>
      <c r="J1287" t="s">
        <v>6868</v>
      </c>
      <c r="K1287" t="s">
        <v>1967</v>
      </c>
      <c r="L1287" t="s">
        <v>6845</v>
      </c>
      <c r="M1287" s="8">
        <v>0.77175</v>
      </c>
      <c r="N1287">
        <v>105.747516212372</v>
      </c>
      <c r="O1287">
        <v>2809</v>
      </c>
      <c r="P1287" s="9">
        <v>0.188883381924198</v>
      </c>
      <c r="Q1287" t="s">
        <v>1089</v>
      </c>
      <c r="T1287" s="15" t="s">
        <v>112</v>
      </c>
      <c r="W1287" s="16" t="str">
        <f t="shared" si="131"/>
        <v>EN_WON_19_c03_KGZ</v>
      </c>
      <c r="X1287" s="12">
        <f t="shared" si="132"/>
        <v>2809</v>
      </c>
      <c r="Y1287" s="11">
        <f t="shared" si="133"/>
        <v>2809</v>
      </c>
    </row>
    <row r="1288" spans="2:25">
      <c r="B1288" t="s">
        <v>26</v>
      </c>
      <c r="C1288" t="s">
        <v>6870</v>
      </c>
      <c r="D1288" t="s">
        <v>6871</v>
      </c>
      <c r="E1288" t="s">
        <v>29</v>
      </c>
      <c r="F1288" t="s">
        <v>30</v>
      </c>
      <c r="G1288" t="s">
        <v>31</v>
      </c>
      <c r="J1288" t="s">
        <v>6870</v>
      </c>
      <c r="K1288" t="s">
        <v>1967</v>
      </c>
      <c r="L1288" t="s">
        <v>6845</v>
      </c>
      <c r="M1288" s="8">
        <v>1.16025</v>
      </c>
      <c r="N1288">
        <v>145.23264029167</v>
      </c>
      <c r="O1288">
        <v>2809</v>
      </c>
      <c r="P1288" s="9">
        <v>0.187031027795734</v>
      </c>
      <c r="Q1288" t="s">
        <v>1089</v>
      </c>
      <c r="T1288" s="15" t="s">
        <v>112</v>
      </c>
      <c r="W1288" s="16" t="str">
        <f t="shared" si="131"/>
        <v>EN_WON_19_c04_KGZ</v>
      </c>
      <c r="X1288" s="12">
        <f t="shared" si="132"/>
        <v>2809</v>
      </c>
      <c r="Y1288" s="11">
        <f t="shared" si="133"/>
        <v>2809</v>
      </c>
    </row>
    <row r="1289" spans="2:25">
      <c r="B1289" t="s">
        <v>26</v>
      </c>
      <c r="C1289" t="s">
        <v>6872</v>
      </c>
      <c r="D1289" t="s">
        <v>6873</v>
      </c>
      <c r="E1289" t="s">
        <v>29</v>
      </c>
      <c r="F1289" t="s">
        <v>30</v>
      </c>
      <c r="G1289" t="s">
        <v>31</v>
      </c>
      <c r="J1289" t="s">
        <v>6872</v>
      </c>
      <c r="K1289" t="s">
        <v>1967</v>
      </c>
      <c r="L1289" t="s">
        <v>6845</v>
      </c>
      <c r="M1289" s="8">
        <v>0.83925</v>
      </c>
      <c r="N1289">
        <v>80.7856561622413</v>
      </c>
      <c r="O1289">
        <v>2809</v>
      </c>
      <c r="P1289" s="9">
        <v>0.199186773905273</v>
      </c>
      <c r="Q1289" t="s">
        <v>1089</v>
      </c>
      <c r="T1289" s="15" t="s">
        <v>112</v>
      </c>
      <c r="W1289" s="16" t="str">
        <f t="shared" si="131"/>
        <v>EN_WON_20_c02_KGZ</v>
      </c>
      <c r="X1289" s="12">
        <f t="shared" si="132"/>
        <v>2809</v>
      </c>
      <c r="Y1289" s="11">
        <f t="shared" si="133"/>
        <v>2809</v>
      </c>
    </row>
    <row r="1290" spans="2:25">
      <c r="B1290" t="s">
        <v>26</v>
      </c>
      <c r="C1290" t="s">
        <v>6874</v>
      </c>
      <c r="D1290" t="s">
        <v>6875</v>
      </c>
      <c r="E1290" t="s">
        <v>29</v>
      </c>
      <c r="F1290" t="s">
        <v>30</v>
      </c>
      <c r="G1290" t="s">
        <v>31</v>
      </c>
      <c r="J1290" t="s">
        <v>6874</v>
      </c>
      <c r="K1290" t="s">
        <v>1967</v>
      </c>
      <c r="L1290" t="s">
        <v>6845</v>
      </c>
      <c r="M1290" s="8">
        <v>0.0885</v>
      </c>
      <c r="N1290">
        <v>105.747516212372</v>
      </c>
      <c r="O1290">
        <v>2809</v>
      </c>
      <c r="P1290" s="9">
        <v>0.198</v>
      </c>
      <c r="Q1290" t="s">
        <v>1089</v>
      </c>
      <c r="T1290" s="15" t="s">
        <v>112</v>
      </c>
      <c r="W1290" s="16" t="str">
        <f t="shared" si="131"/>
        <v>EN_WON_20_c03_KGZ</v>
      </c>
      <c r="X1290" s="12">
        <f t="shared" si="132"/>
        <v>2809</v>
      </c>
      <c r="Y1290" s="11">
        <f t="shared" si="133"/>
        <v>2809</v>
      </c>
    </row>
    <row r="1291" spans="2:25">
      <c r="B1291" t="s">
        <v>26</v>
      </c>
      <c r="C1291" t="s">
        <v>6876</v>
      </c>
      <c r="D1291" t="s">
        <v>6877</v>
      </c>
      <c r="E1291" t="s">
        <v>29</v>
      </c>
      <c r="F1291" t="s">
        <v>30</v>
      </c>
      <c r="G1291" t="s">
        <v>31</v>
      </c>
      <c r="J1291" t="s">
        <v>6876</v>
      </c>
      <c r="K1291" t="s">
        <v>1967</v>
      </c>
      <c r="L1291" t="s">
        <v>6845</v>
      </c>
      <c r="M1291" s="8">
        <v>0.5325</v>
      </c>
      <c r="N1291">
        <v>145.23264029167</v>
      </c>
      <c r="O1291">
        <v>2809</v>
      </c>
      <c r="P1291" s="9">
        <v>0.2</v>
      </c>
      <c r="Q1291" t="s">
        <v>1089</v>
      </c>
      <c r="T1291" s="15" t="s">
        <v>112</v>
      </c>
      <c r="W1291" s="16" t="str">
        <f t="shared" si="131"/>
        <v>EN_WON_20_c04_KGZ</v>
      </c>
      <c r="X1291" s="12">
        <f t="shared" si="132"/>
        <v>2809</v>
      </c>
      <c r="Y1291" s="11">
        <f t="shared" si="133"/>
        <v>2809</v>
      </c>
    </row>
    <row r="1292" spans="2:25">
      <c r="B1292" t="s">
        <v>26</v>
      </c>
      <c r="C1292" t="s">
        <v>6878</v>
      </c>
      <c r="D1292" t="s">
        <v>6879</v>
      </c>
      <c r="E1292" t="s">
        <v>29</v>
      </c>
      <c r="F1292" t="s">
        <v>30</v>
      </c>
      <c r="G1292" t="s">
        <v>31</v>
      </c>
      <c r="J1292" t="s">
        <v>6878</v>
      </c>
      <c r="K1292" t="s">
        <v>1967</v>
      </c>
      <c r="L1292" t="s">
        <v>6845</v>
      </c>
      <c r="M1292" s="8">
        <v>2.18175</v>
      </c>
      <c r="N1292">
        <v>105.747516212372</v>
      </c>
      <c r="O1292">
        <v>2809</v>
      </c>
      <c r="P1292" s="9">
        <v>0.209370917841183</v>
      </c>
      <c r="Q1292" t="s">
        <v>1089</v>
      </c>
      <c r="T1292" s="15" t="s">
        <v>112</v>
      </c>
      <c r="W1292" s="16" t="str">
        <f t="shared" si="131"/>
        <v>EN_WON_21_c03_KGZ</v>
      </c>
      <c r="X1292" s="12">
        <f t="shared" si="132"/>
        <v>2809</v>
      </c>
      <c r="Y1292" s="11">
        <f t="shared" si="133"/>
        <v>2809</v>
      </c>
    </row>
    <row r="1293" spans="2:25">
      <c r="B1293" t="s">
        <v>26</v>
      </c>
      <c r="C1293" t="s">
        <v>6880</v>
      </c>
      <c r="D1293" t="s">
        <v>6881</v>
      </c>
      <c r="E1293" t="s">
        <v>29</v>
      </c>
      <c r="F1293" t="s">
        <v>30</v>
      </c>
      <c r="G1293" t="s">
        <v>31</v>
      </c>
      <c r="J1293" t="s">
        <v>6880</v>
      </c>
      <c r="K1293" t="s">
        <v>1967</v>
      </c>
      <c r="L1293" t="s">
        <v>6845</v>
      </c>
      <c r="M1293" s="8">
        <v>0.072</v>
      </c>
      <c r="N1293">
        <v>145.23264029167</v>
      </c>
      <c r="O1293">
        <v>2809</v>
      </c>
      <c r="P1293" s="9">
        <v>0.207302083333333</v>
      </c>
      <c r="Q1293" t="s">
        <v>1089</v>
      </c>
      <c r="T1293" s="15" t="s">
        <v>112</v>
      </c>
      <c r="W1293" s="16" t="str">
        <f t="shared" si="131"/>
        <v>EN_WON_21_c04_KGZ</v>
      </c>
      <c r="X1293" s="12">
        <f t="shared" si="132"/>
        <v>2809</v>
      </c>
      <c r="Y1293" s="11">
        <f t="shared" si="133"/>
        <v>2809</v>
      </c>
    </row>
    <row r="1294" spans="2:25">
      <c r="B1294" t="s">
        <v>26</v>
      </c>
      <c r="C1294" t="s">
        <v>6882</v>
      </c>
      <c r="D1294" t="s">
        <v>6883</v>
      </c>
      <c r="E1294" t="s">
        <v>29</v>
      </c>
      <c r="F1294" t="s">
        <v>30</v>
      </c>
      <c r="G1294" t="s">
        <v>31</v>
      </c>
      <c r="J1294" t="s">
        <v>6882</v>
      </c>
      <c r="K1294" t="s">
        <v>1967</v>
      </c>
      <c r="L1294" t="s">
        <v>6845</v>
      </c>
      <c r="M1294" s="8">
        <v>0.5565</v>
      </c>
      <c r="N1294">
        <v>105.747516212372</v>
      </c>
      <c r="O1294">
        <v>2809</v>
      </c>
      <c r="P1294" s="9">
        <v>0.222099730458221</v>
      </c>
      <c r="Q1294" t="s">
        <v>1089</v>
      </c>
      <c r="T1294" s="15" t="s">
        <v>112</v>
      </c>
      <c r="W1294" s="16" t="str">
        <f t="shared" si="131"/>
        <v>EN_WON_22_c03_KGZ</v>
      </c>
      <c r="X1294" s="12">
        <f t="shared" si="132"/>
        <v>2809</v>
      </c>
      <c r="Y1294" s="11">
        <f t="shared" si="133"/>
        <v>2809</v>
      </c>
    </row>
    <row r="1295" spans="2:25">
      <c r="B1295" t="s">
        <v>26</v>
      </c>
      <c r="C1295" t="s">
        <v>6884</v>
      </c>
      <c r="D1295" t="s">
        <v>6885</v>
      </c>
      <c r="E1295" t="s">
        <v>29</v>
      </c>
      <c r="F1295" t="s">
        <v>30</v>
      </c>
      <c r="G1295" t="s">
        <v>31</v>
      </c>
      <c r="J1295" t="s">
        <v>6884</v>
      </c>
      <c r="K1295" t="s">
        <v>1967</v>
      </c>
      <c r="L1295" t="s">
        <v>6845</v>
      </c>
      <c r="M1295" s="8">
        <v>0.216</v>
      </c>
      <c r="N1295">
        <v>145.23264029167</v>
      </c>
      <c r="O1295">
        <v>2809</v>
      </c>
      <c r="P1295" s="9">
        <v>0.2158125</v>
      </c>
      <c r="Q1295" t="s">
        <v>1089</v>
      </c>
      <c r="T1295" s="15" t="s">
        <v>112</v>
      </c>
      <c r="W1295" s="16" t="str">
        <f t="shared" si="131"/>
        <v>EN_WON_22_c04_KGZ</v>
      </c>
      <c r="X1295" s="12">
        <f t="shared" si="132"/>
        <v>2809</v>
      </c>
      <c r="Y1295" s="11">
        <f t="shared" si="133"/>
        <v>2809</v>
      </c>
    </row>
    <row r="1296" spans="2:25">
      <c r="B1296" t="s">
        <v>26</v>
      </c>
      <c r="C1296" t="s">
        <v>6886</v>
      </c>
      <c r="D1296" t="s">
        <v>6887</v>
      </c>
      <c r="E1296" t="s">
        <v>29</v>
      </c>
      <c r="F1296" t="s">
        <v>30</v>
      </c>
      <c r="G1296" t="s">
        <v>31</v>
      </c>
      <c r="J1296" t="s">
        <v>6886</v>
      </c>
      <c r="K1296" t="s">
        <v>1967</v>
      </c>
      <c r="L1296" t="s">
        <v>6845</v>
      </c>
      <c r="M1296" s="8">
        <v>0.08025</v>
      </c>
      <c r="N1296">
        <v>105.747516212372</v>
      </c>
      <c r="O1296">
        <v>2809</v>
      </c>
      <c r="P1296" s="9">
        <v>0.226</v>
      </c>
      <c r="Q1296" t="s">
        <v>1089</v>
      </c>
      <c r="T1296" s="15" t="s">
        <v>112</v>
      </c>
      <c r="W1296" s="16" t="str">
        <f t="shared" si="131"/>
        <v>EN_WON_23_c03_KGZ</v>
      </c>
      <c r="X1296" s="12">
        <f t="shared" si="132"/>
        <v>2809</v>
      </c>
      <c r="Y1296" s="11">
        <f t="shared" si="133"/>
        <v>2809</v>
      </c>
    </row>
    <row r="1297" spans="2:25">
      <c r="B1297" t="s">
        <v>26</v>
      </c>
      <c r="C1297" t="s">
        <v>6888</v>
      </c>
      <c r="D1297" t="s">
        <v>6889</v>
      </c>
      <c r="E1297" t="s">
        <v>29</v>
      </c>
      <c r="F1297" t="s">
        <v>30</v>
      </c>
      <c r="G1297" t="s">
        <v>31</v>
      </c>
      <c r="J1297" t="s">
        <v>6888</v>
      </c>
      <c r="K1297" t="s">
        <v>1967</v>
      </c>
      <c r="L1297" t="s">
        <v>6845</v>
      </c>
      <c r="M1297" s="8">
        <v>0.198</v>
      </c>
      <c r="N1297">
        <v>105.747516212372</v>
      </c>
      <c r="O1297">
        <v>2809</v>
      </c>
      <c r="P1297" s="9">
        <v>0.246</v>
      </c>
      <c r="Q1297" t="s">
        <v>1089</v>
      </c>
      <c r="T1297" s="15" t="s">
        <v>112</v>
      </c>
      <c r="W1297" s="16" t="str">
        <f t="shared" si="131"/>
        <v>EN_WON_25_c03_KGZ</v>
      </c>
      <c r="X1297" s="12">
        <f t="shared" si="132"/>
        <v>2809</v>
      </c>
      <c r="Y1297" s="11">
        <f t="shared" si="133"/>
        <v>2809</v>
      </c>
    </row>
    <row r="1298" spans="2:25">
      <c r="B1298" t="s">
        <v>26</v>
      </c>
      <c r="C1298" t="s">
        <v>6890</v>
      </c>
      <c r="D1298" t="s">
        <v>6891</v>
      </c>
      <c r="E1298" t="s">
        <v>29</v>
      </c>
      <c r="F1298" t="s">
        <v>30</v>
      </c>
      <c r="G1298" t="s">
        <v>31</v>
      </c>
      <c r="J1298" t="s">
        <v>6890</v>
      </c>
      <c r="K1298" t="s">
        <v>1967</v>
      </c>
      <c r="L1298" t="s">
        <v>6845</v>
      </c>
      <c r="M1298" s="8">
        <v>0.13875</v>
      </c>
      <c r="N1298">
        <v>145.23264029167</v>
      </c>
      <c r="O1298">
        <v>2809</v>
      </c>
      <c r="P1298" s="9">
        <v>0.246</v>
      </c>
      <c r="Q1298" t="s">
        <v>1089</v>
      </c>
      <c r="T1298" s="15" t="s">
        <v>112</v>
      </c>
      <c r="W1298" s="16" t="str">
        <f t="shared" si="131"/>
        <v>EN_WON_25_c04_KGZ</v>
      </c>
      <c r="X1298" s="12">
        <f t="shared" si="132"/>
        <v>2809</v>
      </c>
      <c r="Y1298" s="11">
        <f t="shared" si="133"/>
        <v>2809</v>
      </c>
    </row>
    <row r="1299" spans="2:25">
      <c r="B1299" t="s">
        <v>26</v>
      </c>
      <c r="C1299" t="s">
        <v>6892</v>
      </c>
      <c r="D1299" t="s">
        <v>6893</v>
      </c>
      <c r="E1299" t="s">
        <v>29</v>
      </c>
      <c r="F1299" t="s">
        <v>30</v>
      </c>
      <c r="G1299" t="s">
        <v>31</v>
      </c>
      <c r="J1299" t="s">
        <v>6892</v>
      </c>
      <c r="K1299" t="s">
        <v>1967</v>
      </c>
      <c r="L1299" t="s">
        <v>6845</v>
      </c>
      <c r="M1299" s="8">
        <v>0.72825</v>
      </c>
      <c r="N1299">
        <v>145.23264029167</v>
      </c>
      <c r="O1299">
        <v>2809</v>
      </c>
      <c r="P1299" s="9">
        <v>0.268771369721936</v>
      </c>
      <c r="Q1299" t="s">
        <v>1089</v>
      </c>
      <c r="T1299" s="15" t="s">
        <v>112</v>
      </c>
      <c r="W1299" s="16" t="str">
        <f t="shared" si="131"/>
        <v>EN_WON_27_c04_KGZ</v>
      </c>
      <c r="X1299" s="12">
        <f t="shared" si="132"/>
        <v>2809</v>
      </c>
      <c r="Y1299" s="11">
        <f t="shared" si="133"/>
        <v>2809</v>
      </c>
    </row>
    <row r="1300" spans="2:25">
      <c r="B1300" t="s">
        <v>26</v>
      </c>
      <c r="C1300" t="s">
        <v>6894</v>
      </c>
      <c r="D1300" t="s">
        <v>6895</v>
      </c>
      <c r="E1300" t="s">
        <v>29</v>
      </c>
      <c r="F1300" t="s">
        <v>30</v>
      </c>
      <c r="G1300" t="s">
        <v>31</v>
      </c>
      <c r="J1300" t="s">
        <v>6894</v>
      </c>
      <c r="K1300" t="s">
        <v>1967</v>
      </c>
      <c r="L1300" t="s">
        <v>6845</v>
      </c>
      <c r="M1300" s="8">
        <v>2.81475</v>
      </c>
      <c r="N1300">
        <v>105.747516212372</v>
      </c>
      <c r="O1300">
        <v>2809</v>
      </c>
      <c r="P1300" s="9">
        <v>0.341</v>
      </c>
      <c r="Q1300" t="s">
        <v>1089</v>
      </c>
      <c r="T1300" s="15" t="s">
        <v>112</v>
      </c>
      <c r="W1300" s="16" t="str">
        <f t="shared" si="131"/>
        <v>EN_WON_34_c03_KGZ</v>
      </c>
      <c r="X1300" s="12">
        <f t="shared" si="132"/>
        <v>2809</v>
      </c>
      <c r="Y1300" s="11">
        <f t="shared" si="133"/>
        <v>2809</v>
      </c>
    </row>
    <row r="1301" spans="2:25">
      <c r="B1301" t="s">
        <v>26</v>
      </c>
      <c r="C1301" t="s">
        <v>6896</v>
      </c>
      <c r="D1301" t="s">
        <v>6897</v>
      </c>
      <c r="E1301" t="s">
        <v>29</v>
      </c>
      <c r="F1301" t="s">
        <v>30</v>
      </c>
      <c r="G1301" t="s">
        <v>31</v>
      </c>
      <c r="J1301" t="s">
        <v>6896</v>
      </c>
      <c r="K1301" t="s">
        <v>1967</v>
      </c>
      <c r="L1301" t="s">
        <v>6898</v>
      </c>
      <c r="M1301" s="8">
        <v>0.012</v>
      </c>
      <c r="N1301">
        <v>80.7856561622413</v>
      </c>
      <c r="O1301">
        <v>2213</v>
      </c>
      <c r="P1301" s="9">
        <v>0.154</v>
      </c>
      <c r="Q1301" t="s">
        <v>1099</v>
      </c>
      <c r="T1301" s="15" t="s">
        <v>290</v>
      </c>
      <c r="W1301" s="16" t="str">
        <f t="shared" si="131"/>
        <v>EN_WON_15_c02_KHM</v>
      </c>
      <c r="X1301" s="12">
        <f t="shared" si="132"/>
        <v>2213</v>
      </c>
      <c r="Y1301" s="11">
        <f t="shared" si="133"/>
        <v>2213</v>
      </c>
    </row>
    <row r="1302" spans="2:25">
      <c r="B1302" t="s">
        <v>26</v>
      </c>
      <c r="C1302" t="s">
        <v>6899</v>
      </c>
      <c r="D1302" t="s">
        <v>6900</v>
      </c>
      <c r="E1302" t="s">
        <v>29</v>
      </c>
      <c r="F1302" t="s">
        <v>30</v>
      </c>
      <c r="G1302" t="s">
        <v>31</v>
      </c>
      <c r="J1302" t="s">
        <v>6899</v>
      </c>
      <c r="K1302" t="s">
        <v>1967</v>
      </c>
      <c r="L1302" t="s">
        <v>6898</v>
      </c>
      <c r="M1302" s="8">
        <v>0.021</v>
      </c>
      <c r="N1302">
        <v>105.747516212372</v>
      </c>
      <c r="O1302">
        <v>2213</v>
      </c>
      <c r="P1302" s="9">
        <v>0.153</v>
      </c>
      <c r="Q1302" t="s">
        <v>1099</v>
      </c>
      <c r="T1302" s="15" t="s">
        <v>290</v>
      </c>
      <c r="W1302" s="16" t="str">
        <f t="shared" si="131"/>
        <v>EN_WON_15_c03_KHM</v>
      </c>
      <c r="X1302" s="12">
        <f t="shared" si="132"/>
        <v>2213</v>
      </c>
      <c r="Y1302" s="11">
        <f t="shared" si="133"/>
        <v>2213</v>
      </c>
    </row>
    <row r="1303" spans="2:25">
      <c r="B1303" t="s">
        <v>26</v>
      </c>
      <c r="C1303" t="s">
        <v>6901</v>
      </c>
      <c r="D1303" t="s">
        <v>6902</v>
      </c>
      <c r="E1303" t="s">
        <v>29</v>
      </c>
      <c r="F1303" t="s">
        <v>30</v>
      </c>
      <c r="G1303" t="s">
        <v>31</v>
      </c>
      <c r="J1303" t="s">
        <v>6901</v>
      </c>
      <c r="K1303" t="s">
        <v>1967</v>
      </c>
      <c r="L1303" t="s">
        <v>6898</v>
      </c>
      <c r="M1303" s="8">
        <v>5.28675</v>
      </c>
      <c r="N1303">
        <v>80.7856561622413</v>
      </c>
      <c r="O1303">
        <v>2213</v>
      </c>
      <c r="P1303" s="9">
        <v>0.159643921123564</v>
      </c>
      <c r="Q1303" t="s">
        <v>1099</v>
      </c>
      <c r="T1303" s="15" t="s">
        <v>290</v>
      </c>
      <c r="W1303" s="16" t="str">
        <f t="shared" si="131"/>
        <v>EN_WON_16_c02_KHM</v>
      </c>
      <c r="X1303" s="12">
        <f t="shared" si="132"/>
        <v>2213</v>
      </c>
      <c r="Y1303" s="11">
        <f t="shared" si="133"/>
        <v>2213</v>
      </c>
    </row>
    <row r="1304" spans="2:25">
      <c r="B1304" t="s">
        <v>26</v>
      </c>
      <c r="C1304" t="s">
        <v>6903</v>
      </c>
      <c r="D1304" t="s">
        <v>6904</v>
      </c>
      <c r="E1304" t="s">
        <v>29</v>
      </c>
      <c r="F1304" t="s">
        <v>30</v>
      </c>
      <c r="G1304" t="s">
        <v>31</v>
      </c>
      <c r="J1304" t="s">
        <v>6903</v>
      </c>
      <c r="K1304" t="s">
        <v>1967</v>
      </c>
      <c r="L1304" t="s">
        <v>6898</v>
      </c>
      <c r="M1304" s="8">
        <v>6.4575</v>
      </c>
      <c r="N1304">
        <v>105.747516212372</v>
      </c>
      <c r="O1304">
        <v>2213</v>
      </c>
      <c r="P1304" s="9">
        <v>0.162635772357724</v>
      </c>
      <c r="Q1304" t="s">
        <v>1099</v>
      </c>
      <c r="T1304" s="15" t="s">
        <v>290</v>
      </c>
      <c r="W1304" s="16" t="str">
        <f t="shared" si="131"/>
        <v>EN_WON_16_c03_KHM</v>
      </c>
      <c r="X1304" s="12">
        <f t="shared" si="132"/>
        <v>2213</v>
      </c>
      <c r="Y1304" s="11">
        <f t="shared" si="133"/>
        <v>2213</v>
      </c>
    </row>
    <row r="1305" spans="2:25">
      <c r="B1305" t="s">
        <v>26</v>
      </c>
      <c r="C1305" t="s">
        <v>6905</v>
      </c>
      <c r="D1305" t="s">
        <v>6906</v>
      </c>
      <c r="E1305" t="s">
        <v>29</v>
      </c>
      <c r="F1305" t="s">
        <v>30</v>
      </c>
      <c r="G1305" t="s">
        <v>31</v>
      </c>
      <c r="J1305" t="s">
        <v>6905</v>
      </c>
      <c r="K1305" t="s">
        <v>1967</v>
      </c>
      <c r="L1305" t="s">
        <v>6898</v>
      </c>
      <c r="M1305" s="8">
        <v>2.973</v>
      </c>
      <c r="N1305">
        <v>105.747516212372</v>
      </c>
      <c r="O1305">
        <v>2213</v>
      </c>
      <c r="P1305" s="9">
        <v>0.165714429868819</v>
      </c>
      <c r="Q1305" t="s">
        <v>1099</v>
      </c>
      <c r="T1305" s="15" t="s">
        <v>290</v>
      </c>
      <c r="W1305" s="16" t="str">
        <f t="shared" si="131"/>
        <v>EN_WON_17_c03_KHM</v>
      </c>
      <c r="X1305" s="12">
        <f t="shared" si="132"/>
        <v>2213</v>
      </c>
      <c r="Y1305" s="11">
        <f t="shared" si="133"/>
        <v>2213</v>
      </c>
    </row>
    <row r="1306" spans="2:25">
      <c r="B1306" t="s">
        <v>26</v>
      </c>
      <c r="C1306" t="s">
        <v>6907</v>
      </c>
      <c r="D1306" t="s">
        <v>6908</v>
      </c>
      <c r="E1306" t="s">
        <v>29</v>
      </c>
      <c r="F1306" t="s">
        <v>30</v>
      </c>
      <c r="G1306" t="s">
        <v>31</v>
      </c>
      <c r="J1306" t="s">
        <v>6907</v>
      </c>
      <c r="K1306" t="s">
        <v>1967</v>
      </c>
      <c r="L1306" t="s">
        <v>6898</v>
      </c>
      <c r="M1306" s="8">
        <v>1.05075</v>
      </c>
      <c r="N1306">
        <v>105.747516212372</v>
      </c>
      <c r="O1306">
        <v>2213</v>
      </c>
      <c r="P1306" s="9">
        <v>0.178817987152034</v>
      </c>
      <c r="Q1306" t="s">
        <v>1099</v>
      </c>
      <c r="T1306" s="15" t="s">
        <v>290</v>
      </c>
      <c r="W1306" s="16" t="str">
        <f t="shared" si="131"/>
        <v>EN_WON_18_c03_KHM</v>
      </c>
      <c r="X1306" s="12">
        <f t="shared" si="132"/>
        <v>2213</v>
      </c>
      <c r="Y1306" s="11">
        <f t="shared" si="133"/>
        <v>2213</v>
      </c>
    </row>
    <row r="1307" spans="2:25">
      <c r="B1307" t="s">
        <v>26</v>
      </c>
      <c r="C1307" t="s">
        <v>6909</v>
      </c>
      <c r="D1307" t="s">
        <v>6910</v>
      </c>
      <c r="E1307" t="s">
        <v>29</v>
      </c>
      <c r="F1307" t="s">
        <v>30</v>
      </c>
      <c r="G1307" t="s">
        <v>31</v>
      </c>
      <c r="J1307" t="s">
        <v>6909</v>
      </c>
      <c r="K1307" t="s">
        <v>1967</v>
      </c>
      <c r="L1307" t="s">
        <v>6898</v>
      </c>
      <c r="M1307" s="8">
        <v>0.075</v>
      </c>
      <c r="N1307">
        <v>145.23264029167</v>
      </c>
      <c r="O1307">
        <v>2213</v>
      </c>
      <c r="P1307" s="9">
        <v>0.176</v>
      </c>
      <c r="Q1307" t="s">
        <v>1099</v>
      </c>
      <c r="T1307" s="15" t="s">
        <v>290</v>
      </c>
      <c r="W1307" s="16" t="str">
        <f t="shared" si="131"/>
        <v>EN_WON_18_c04_KHM</v>
      </c>
      <c r="X1307" s="12">
        <f t="shared" si="132"/>
        <v>2213</v>
      </c>
      <c r="Y1307" s="11">
        <f t="shared" si="133"/>
        <v>2213</v>
      </c>
    </row>
    <row r="1308" spans="2:25">
      <c r="B1308" t="s">
        <v>26</v>
      </c>
      <c r="C1308" t="s">
        <v>6911</v>
      </c>
      <c r="D1308" t="s">
        <v>6912</v>
      </c>
      <c r="E1308" t="s">
        <v>29</v>
      </c>
      <c r="F1308" t="s">
        <v>30</v>
      </c>
      <c r="G1308" t="s">
        <v>31</v>
      </c>
      <c r="J1308" t="s">
        <v>6911</v>
      </c>
      <c r="K1308" t="s">
        <v>1967</v>
      </c>
      <c r="L1308" t="s">
        <v>6898</v>
      </c>
      <c r="M1308" s="8">
        <v>0.21525</v>
      </c>
      <c r="N1308">
        <v>80.7856561622413</v>
      </c>
      <c r="O1308">
        <v>2213</v>
      </c>
      <c r="P1308" s="9">
        <v>0.189</v>
      </c>
      <c r="Q1308" t="s">
        <v>1099</v>
      </c>
      <c r="T1308" s="15" t="s">
        <v>290</v>
      </c>
      <c r="W1308" s="16" t="str">
        <f t="shared" si="131"/>
        <v>EN_WON_19_c02_KHM</v>
      </c>
      <c r="X1308" s="12">
        <f t="shared" si="132"/>
        <v>2213</v>
      </c>
      <c r="Y1308" s="11">
        <f t="shared" si="133"/>
        <v>2213</v>
      </c>
    </row>
    <row r="1309" spans="2:25">
      <c r="B1309" t="s">
        <v>26</v>
      </c>
      <c r="C1309" t="s">
        <v>6913</v>
      </c>
      <c r="D1309" t="s">
        <v>6914</v>
      </c>
      <c r="E1309" t="s">
        <v>29</v>
      </c>
      <c r="F1309" t="s">
        <v>30</v>
      </c>
      <c r="G1309" t="s">
        <v>31</v>
      </c>
      <c r="J1309" t="s">
        <v>6913</v>
      </c>
      <c r="K1309" t="s">
        <v>1967</v>
      </c>
      <c r="L1309" t="s">
        <v>6898</v>
      </c>
      <c r="M1309" s="8">
        <v>1.9635</v>
      </c>
      <c r="N1309">
        <v>105.747516212372</v>
      </c>
      <c r="O1309">
        <v>2213</v>
      </c>
      <c r="P1309" s="9">
        <v>0.201775783040489</v>
      </c>
      <c r="Q1309" t="s">
        <v>1099</v>
      </c>
      <c r="T1309" s="15" t="s">
        <v>290</v>
      </c>
      <c r="W1309" s="16" t="str">
        <f t="shared" si="131"/>
        <v>EN_WON_20_c03_KHM</v>
      </c>
      <c r="X1309" s="12">
        <f t="shared" si="132"/>
        <v>2213</v>
      </c>
      <c r="Y1309" s="11">
        <f t="shared" si="133"/>
        <v>2213</v>
      </c>
    </row>
    <row r="1310" spans="2:25">
      <c r="B1310" t="s">
        <v>26</v>
      </c>
      <c r="C1310" t="s">
        <v>6915</v>
      </c>
      <c r="D1310" t="s">
        <v>6916</v>
      </c>
      <c r="E1310" t="s">
        <v>29</v>
      </c>
      <c r="F1310" t="s">
        <v>30</v>
      </c>
      <c r="G1310" t="s">
        <v>31</v>
      </c>
      <c r="J1310" t="s">
        <v>6915</v>
      </c>
      <c r="K1310" t="s">
        <v>1967</v>
      </c>
      <c r="L1310" t="s">
        <v>6898</v>
      </c>
      <c r="M1310" s="8">
        <v>0.9525</v>
      </c>
      <c r="N1310">
        <v>105.747516212372</v>
      </c>
      <c r="O1310">
        <v>2213</v>
      </c>
      <c r="P1310" s="9">
        <v>0.20711811023622</v>
      </c>
      <c r="Q1310" t="s">
        <v>1099</v>
      </c>
      <c r="T1310" s="15" t="s">
        <v>290</v>
      </c>
      <c r="W1310" s="16" t="str">
        <f t="shared" si="131"/>
        <v>EN_WON_21_c03_KHM</v>
      </c>
      <c r="X1310" s="12">
        <f t="shared" si="132"/>
        <v>2213</v>
      </c>
      <c r="Y1310" s="11">
        <f t="shared" si="133"/>
        <v>2213</v>
      </c>
    </row>
    <row r="1311" spans="2:25">
      <c r="B1311" t="s">
        <v>26</v>
      </c>
      <c r="C1311" t="s">
        <v>6917</v>
      </c>
      <c r="D1311" t="s">
        <v>6918</v>
      </c>
      <c r="E1311" t="s">
        <v>29</v>
      </c>
      <c r="F1311" t="s">
        <v>30</v>
      </c>
      <c r="G1311" t="s">
        <v>31</v>
      </c>
      <c r="J1311" t="s">
        <v>6917</v>
      </c>
      <c r="K1311" t="s">
        <v>1967</v>
      </c>
      <c r="L1311" t="s">
        <v>6898</v>
      </c>
      <c r="M1311" s="8">
        <v>2.1495</v>
      </c>
      <c r="N1311">
        <v>145.23264029167</v>
      </c>
      <c r="O1311">
        <v>2213</v>
      </c>
      <c r="P1311" s="9">
        <v>0.24</v>
      </c>
      <c r="Q1311" t="s">
        <v>1099</v>
      </c>
      <c r="T1311" s="15" t="s">
        <v>290</v>
      </c>
      <c r="W1311" s="16" t="str">
        <f t="shared" si="131"/>
        <v>EN_WON_24_c04_KHM</v>
      </c>
      <c r="X1311" s="12">
        <f t="shared" si="132"/>
        <v>2213</v>
      </c>
      <c r="Y1311" s="11">
        <f t="shared" si="133"/>
        <v>2213</v>
      </c>
    </row>
    <row r="1312" spans="2:25">
      <c r="B1312" t="s">
        <v>26</v>
      </c>
      <c r="C1312" t="s">
        <v>6919</v>
      </c>
      <c r="D1312" t="s">
        <v>6920</v>
      </c>
      <c r="E1312" t="s">
        <v>29</v>
      </c>
      <c r="F1312" t="s">
        <v>30</v>
      </c>
      <c r="G1312" t="s">
        <v>31</v>
      </c>
      <c r="J1312" t="s">
        <v>6919</v>
      </c>
      <c r="K1312" t="s">
        <v>1967</v>
      </c>
      <c r="L1312" t="s">
        <v>4268</v>
      </c>
      <c r="M1312" s="8">
        <v>12.55875</v>
      </c>
      <c r="N1312">
        <v>145.23264029167</v>
      </c>
      <c r="O1312">
        <v>2236</v>
      </c>
      <c r="P1312" s="9">
        <v>0.151489160943565</v>
      </c>
      <c r="Q1312" t="s">
        <v>1107</v>
      </c>
      <c r="T1312" s="15" t="s">
        <v>1043</v>
      </c>
      <c r="W1312" s="16" t="str">
        <f t="shared" si="131"/>
        <v>EN_WON_15_c04_KOR</v>
      </c>
      <c r="X1312" s="12">
        <f t="shared" si="132"/>
        <v>2236</v>
      </c>
      <c r="Y1312" s="11">
        <f t="shared" si="133"/>
        <v>2236</v>
      </c>
    </row>
    <row r="1313" spans="2:25">
      <c r="B1313" t="s">
        <v>26</v>
      </c>
      <c r="C1313" t="s">
        <v>6921</v>
      </c>
      <c r="D1313" t="s">
        <v>6922</v>
      </c>
      <c r="E1313" t="s">
        <v>29</v>
      </c>
      <c r="F1313" t="s">
        <v>30</v>
      </c>
      <c r="G1313" t="s">
        <v>31</v>
      </c>
      <c r="J1313" t="s">
        <v>6921</v>
      </c>
      <c r="K1313" t="s">
        <v>1967</v>
      </c>
      <c r="L1313" t="s">
        <v>4268</v>
      </c>
      <c r="M1313" s="8">
        <v>41.1435</v>
      </c>
      <c r="N1313">
        <v>145.23264029167</v>
      </c>
      <c r="O1313">
        <v>2236</v>
      </c>
      <c r="P1313" s="9">
        <v>0.15900138539502</v>
      </c>
      <c r="Q1313" t="s">
        <v>1107</v>
      </c>
      <c r="T1313" s="15" t="s">
        <v>1043</v>
      </c>
      <c r="W1313" s="16" t="str">
        <f t="shared" si="131"/>
        <v>EN_WON_16_c04_KOR</v>
      </c>
      <c r="X1313" s="12">
        <f t="shared" si="132"/>
        <v>2236</v>
      </c>
      <c r="Y1313" s="11">
        <f t="shared" si="133"/>
        <v>2236</v>
      </c>
    </row>
    <row r="1314" spans="2:25">
      <c r="B1314" t="s">
        <v>26</v>
      </c>
      <c r="C1314" t="s">
        <v>6923</v>
      </c>
      <c r="D1314" t="s">
        <v>6924</v>
      </c>
      <c r="E1314" t="s">
        <v>29</v>
      </c>
      <c r="F1314" t="s">
        <v>30</v>
      </c>
      <c r="G1314" t="s">
        <v>31</v>
      </c>
      <c r="J1314" t="s">
        <v>6923</v>
      </c>
      <c r="K1314" t="s">
        <v>1967</v>
      </c>
      <c r="L1314" t="s">
        <v>4268</v>
      </c>
      <c r="M1314" s="8">
        <v>36.34125</v>
      </c>
      <c r="N1314">
        <v>145.23264029167</v>
      </c>
      <c r="O1314">
        <v>2236</v>
      </c>
      <c r="P1314" s="9">
        <v>0.168912124651739</v>
      </c>
      <c r="Q1314" t="s">
        <v>1107</v>
      </c>
      <c r="T1314" s="15" t="s">
        <v>1043</v>
      </c>
      <c r="W1314" s="16" t="str">
        <f t="shared" si="131"/>
        <v>EN_WON_17_c04_KOR</v>
      </c>
      <c r="X1314" s="12">
        <f t="shared" si="132"/>
        <v>2236</v>
      </c>
      <c r="Y1314" s="11">
        <f t="shared" si="133"/>
        <v>2236</v>
      </c>
    </row>
    <row r="1315" spans="2:25">
      <c r="B1315" t="s">
        <v>26</v>
      </c>
      <c r="C1315" t="s">
        <v>6925</v>
      </c>
      <c r="D1315" t="s">
        <v>6926</v>
      </c>
      <c r="E1315" t="s">
        <v>29</v>
      </c>
      <c r="F1315" t="s">
        <v>30</v>
      </c>
      <c r="G1315" t="s">
        <v>31</v>
      </c>
      <c r="J1315" t="s">
        <v>6925</v>
      </c>
      <c r="K1315" t="s">
        <v>1967</v>
      </c>
      <c r="L1315" t="s">
        <v>4268</v>
      </c>
      <c r="M1315" s="8">
        <v>5.94075</v>
      </c>
      <c r="N1315">
        <v>105.747516212372</v>
      </c>
      <c r="O1315">
        <v>2236</v>
      </c>
      <c r="P1315" s="9">
        <v>0.181</v>
      </c>
      <c r="Q1315" t="s">
        <v>1107</v>
      </c>
      <c r="T1315" s="15" t="s">
        <v>1043</v>
      </c>
      <c r="W1315" s="16" t="str">
        <f t="shared" si="131"/>
        <v>EN_WON_18_c03_KOR</v>
      </c>
      <c r="X1315" s="12">
        <f t="shared" si="132"/>
        <v>2236</v>
      </c>
      <c r="Y1315" s="11">
        <f t="shared" si="133"/>
        <v>2236</v>
      </c>
    </row>
    <row r="1316" spans="2:25">
      <c r="B1316" t="s">
        <v>26</v>
      </c>
      <c r="C1316" t="s">
        <v>6927</v>
      </c>
      <c r="D1316" t="s">
        <v>6928</v>
      </c>
      <c r="E1316" t="s">
        <v>29</v>
      </c>
      <c r="F1316" t="s">
        <v>30</v>
      </c>
      <c r="G1316" t="s">
        <v>31</v>
      </c>
      <c r="J1316" t="s">
        <v>6927</v>
      </c>
      <c r="K1316" t="s">
        <v>1967</v>
      </c>
      <c r="L1316" t="s">
        <v>4268</v>
      </c>
      <c r="M1316" s="8">
        <v>21.17325</v>
      </c>
      <c r="N1316">
        <v>145.23264029167</v>
      </c>
      <c r="O1316">
        <v>2236</v>
      </c>
      <c r="P1316" s="9">
        <v>0.181304771350643</v>
      </c>
      <c r="Q1316" t="s">
        <v>1107</v>
      </c>
      <c r="T1316" s="15" t="s">
        <v>1043</v>
      </c>
      <c r="W1316" s="16" t="str">
        <f t="shared" si="131"/>
        <v>EN_WON_18_c04_KOR</v>
      </c>
      <c r="X1316" s="12">
        <f t="shared" si="132"/>
        <v>2236</v>
      </c>
      <c r="Y1316" s="11">
        <f t="shared" si="133"/>
        <v>2236</v>
      </c>
    </row>
    <row r="1317" spans="2:25">
      <c r="B1317" t="s">
        <v>26</v>
      </c>
      <c r="C1317" t="s">
        <v>6929</v>
      </c>
      <c r="D1317" t="s">
        <v>6930</v>
      </c>
      <c r="E1317" t="s">
        <v>29</v>
      </c>
      <c r="F1317" t="s">
        <v>30</v>
      </c>
      <c r="G1317" t="s">
        <v>31</v>
      </c>
      <c r="J1317" t="s">
        <v>6929</v>
      </c>
      <c r="K1317" t="s">
        <v>1967</v>
      </c>
      <c r="L1317" t="s">
        <v>4268</v>
      </c>
      <c r="M1317" s="8">
        <v>9.18675</v>
      </c>
      <c r="N1317">
        <v>105.747516212372</v>
      </c>
      <c r="O1317">
        <v>2236</v>
      </c>
      <c r="P1317" s="9">
        <v>0.189515552289983</v>
      </c>
      <c r="Q1317" t="s">
        <v>1107</v>
      </c>
      <c r="T1317" s="15" t="s">
        <v>1043</v>
      </c>
      <c r="W1317" s="16" t="str">
        <f t="shared" si="131"/>
        <v>EN_WON_19_c03_KOR</v>
      </c>
      <c r="X1317" s="12">
        <f t="shared" si="132"/>
        <v>2236</v>
      </c>
      <c r="Y1317" s="11">
        <f t="shared" si="133"/>
        <v>2236</v>
      </c>
    </row>
    <row r="1318" spans="2:25">
      <c r="B1318" t="s">
        <v>26</v>
      </c>
      <c r="C1318" t="s">
        <v>6931</v>
      </c>
      <c r="D1318" t="s">
        <v>6932</v>
      </c>
      <c r="E1318" t="s">
        <v>29</v>
      </c>
      <c r="F1318" t="s">
        <v>30</v>
      </c>
      <c r="G1318" t="s">
        <v>31</v>
      </c>
      <c r="J1318" t="s">
        <v>6931</v>
      </c>
      <c r="K1318" t="s">
        <v>1967</v>
      </c>
      <c r="L1318" t="s">
        <v>4268</v>
      </c>
      <c r="M1318" s="8">
        <v>24.2115</v>
      </c>
      <c r="N1318">
        <v>145.23264029167</v>
      </c>
      <c r="O1318">
        <v>2236</v>
      </c>
      <c r="P1318" s="9">
        <v>0.189192800941701</v>
      </c>
      <c r="Q1318" t="s">
        <v>1107</v>
      </c>
      <c r="T1318" s="15" t="s">
        <v>1043</v>
      </c>
      <c r="W1318" s="16" t="str">
        <f t="shared" si="131"/>
        <v>EN_WON_19_c04_KOR</v>
      </c>
      <c r="X1318" s="12">
        <f t="shared" si="132"/>
        <v>2236</v>
      </c>
      <c r="Y1318" s="11">
        <f t="shared" si="133"/>
        <v>2236</v>
      </c>
    </row>
    <row r="1319" spans="2:25">
      <c r="B1319" t="s">
        <v>26</v>
      </c>
      <c r="C1319" t="s">
        <v>6933</v>
      </c>
      <c r="D1319" t="s">
        <v>6934</v>
      </c>
      <c r="E1319" t="s">
        <v>29</v>
      </c>
      <c r="F1319" t="s">
        <v>30</v>
      </c>
      <c r="G1319" t="s">
        <v>31</v>
      </c>
      <c r="J1319" t="s">
        <v>6933</v>
      </c>
      <c r="K1319" t="s">
        <v>1967</v>
      </c>
      <c r="L1319" t="s">
        <v>4268</v>
      </c>
      <c r="M1319" s="8">
        <v>0.23325</v>
      </c>
      <c r="N1319">
        <v>80.7856561622413</v>
      </c>
      <c r="O1319">
        <v>2236</v>
      </c>
      <c r="P1319" s="9">
        <v>0.203</v>
      </c>
      <c r="Q1319" t="s">
        <v>1107</v>
      </c>
      <c r="T1319" s="15" t="s">
        <v>1043</v>
      </c>
      <c r="W1319" s="16" t="str">
        <f t="shared" si="131"/>
        <v>EN_WON_20_c02_KOR</v>
      </c>
      <c r="X1319" s="12">
        <f t="shared" si="132"/>
        <v>2236</v>
      </c>
      <c r="Y1319" s="11">
        <f t="shared" si="133"/>
        <v>2236</v>
      </c>
    </row>
    <row r="1320" spans="2:25">
      <c r="B1320" t="s">
        <v>26</v>
      </c>
      <c r="C1320" t="s">
        <v>6935</v>
      </c>
      <c r="D1320" t="s">
        <v>6936</v>
      </c>
      <c r="E1320" t="s">
        <v>29</v>
      </c>
      <c r="F1320" t="s">
        <v>30</v>
      </c>
      <c r="G1320" t="s">
        <v>31</v>
      </c>
      <c r="J1320" t="s">
        <v>6935</v>
      </c>
      <c r="K1320" t="s">
        <v>1967</v>
      </c>
      <c r="L1320" t="s">
        <v>4268</v>
      </c>
      <c r="M1320" s="8">
        <v>1.3065</v>
      </c>
      <c r="N1320">
        <v>145.23264029167</v>
      </c>
      <c r="O1320">
        <v>2236</v>
      </c>
      <c r="P1320" s="9">
        <v>0.2</v>
      </c>
      <c r="Q1320" t="s">
        <v>1107</v>
      </c>
      <c r="T1320" s="15" t="s">
        <v>1043</v>
      </c>
      <c r="W1320" s="16" t="str">
        <f t="shared" si="131"/>
        <v>EN_WON_20_c04_KOR</v>
      </c>
      <c r="X1320" s="12">
        <f t="shared" si="132"/>
        <v>2236</v>
      </c>
      <c r="Y1320" s="11">
        <f t="shared" si="133"/>
        <v>2236</v>
      </c>
    </row>
    <row r="1321" spans="2:25">
      <c r="B1321" t="s">
        <v>26</v>
      </c>
      <c r="C1321" t="s">
        <v>6937</v>
      </c>
      <c r="D1321" t="s">
        <v>6938</v>
      </c>
      <c r="E1321" t="s">
        <v>29</v>
      </c>
      <c r="F1321" t="s">
        <v>30</v>
      </c>
      <c r="G1321" t="s">
        <v>31</v>
      </c>
      <c r="J1321" t="s">
        <v>6937</v>
      </c>
      <c r="K1321" t="s">
        <v>1967</v>
      </c>
      <c r="L1321" t="s">
        <v>4268</v>
      </c>
      <c r="M1321" s="8">
        <v>6.0615</v>
      </c>
      <c r="N1321">
        <v>105.747516212372</v>
      </c>
      <c r="O1321">
        <v>2236</v>
      </c>
      <c r="P1321" s="9">
        <v>0.223</v>
      </c>
      <c r="Q1321" t="s">
        <v>1107</v>
      </c>
      <c r="T1321" s="15" t="s">
        <v>1043</v>
      </c>
      <c r="W1321" s="16" t="str">
        <f t="shared" si="131"/>
        <v>EN_WON_22_c03_KOR</v>
      </c>
      <c r="X1321" s="12">
        <f t="shared" si="132"/>
        <v>2236</v>
      </c>
      <c r="Y1321" s="11">
        <f t="shared" si="133"/>
        <v>2236</v>
      </c>
    </row>
    <row r="1322" spans="2:25">
      <c r="B1322" t="s">
        <v>26</v>
      </c>
      <c r="C1322" t="s">
        <v>6939</v>
      </c>
      <c r="D1322" t="s">
        <v>6940</v>
      </c>
      <c r="E1322" t="s">
        <v>29</v>
      </c>
      <c r="F1322" t="s">
        <v>30</v>
      </c>
      <c r="G1322" t="s">
        <v>31</v>
      </c>
      <c r="J1322" t="s">
        <v>6939</v>
      </c>
      <c r="K1322" t="s">
        <v>1967</v>
      </c>
      <c r="L1322" t="s">
        <v>4268</v>
      </c>
      <c r="M1322" s="8">
        <v>8.45475</v>
      </c>
      <c r="N1322">
        <v>145.23264029167</v>
      </c>
      <c r="O1322">
        <v>2236</v>
      </c>
      <c r="P1322" s="9">
        <v>0.218242526390491</v>
      </c>
      <c r="Q1322" t="s">
        <v>1107</v>
      </c>
      <c r="T1322" s="15" t="s">
        <v>1043</v>
      </c>
      <c r="W1322" s="16" t="str">
        <f t="shared" si="131"/>
        <v>EN_WON_22_c04_KOR</v>
      </c>
      <c r="X1322" s="12">
        <f t="shared" si="132"/>
        <v>2236</v>
      </c>
      <c r="Y1322" s="11">
        <f t="shared" si="133"/>
        <v>2236</v>
      </c>
    </row>
    <row r="1323" spans="2:25">
      <c r="B1323" t="s">
        <v>26</v>
      </c>
      <c r="C1323" t="s">
        <v>6941</v>
      </c>
      <c r="D1323" t="s">
        <v>6942</v>
      </c>
      <c r="E1323" t="s">
        <v>29</v>
      </c>
      <c r="F1323" t="s">
        <v>30</v>
      </c>
      <c r="G1323" t="s">
        <v>31</v>
      </c>
      <c r="J1323" t="s">
        <v>6941</v>
      </c>
      <c r="K1323" t="s">
        <v>1967</v>
      </c>
      <c r="L1323" t="s">
        <v>4268</v>
      </c>
      <c r="M1323" s="8">
        <v>5.1225</v>
      </c>
      <c r="N1323">
        <v>105.747516212372</v>
      </c>
      <c r="O1323">
        <v>2236</v>
      </c>
      <c r="P1323" s="9">
        <v>0.23</v>
      </c>
      <c r="Q1323" t="s">
        <v>1107</v>
      </c>
      <c r="T1323" s="15" t="s">
        <v>1043</v>
      </c>
      <c r="W1323" s="16" t="str">
        <f t="shared" si="131"/>
        <v>EN_WON_23_c03_KOR</v>
      </c>
      <c r="X1323" s="12">
        <f t="shared" si="132"/>
        <v>2236</v>
      </c>
      <c r="Y1323" s="11">
        <f t="shared" si="133"/>
        <v>2236</v>
      </c>
    </row>
    <row r="1324" spans="2:25">
      <c r="B1324" t="s">
        <v>26</v>
      </c>
      <c r="C1324" t="s">
        <v>6943</v>
      </c>
      <c r="D1324" t="s">
        <v>6944</v>
      </c>
      <c r="E1324" t="s">
        <v>29</v>
      </c>
      <c r="F1324" t="s">
        <v>30</v>
      </c>
      <c r="G1324" t="s">
        <v>31</v>
      </c>
      <c r="J1324" t="s">
        <v>6943</v>
      </c>
      <c r="K1324" t="s">
        <v>1967</v>
      </c>
      <c r="L1324" t="s">
        <v>4268</v>
      </c>
      <c r="M1324" s="8">
        <v>14.424</v>
      </c>
      <c r="N1324">
        <v>145.23264029167</v>
      </c>
      <c r="O1324">
        <v>2236</v>
      </c>
      <c r="P1324" s="9">
        <v>0.229277090266223</v>
      </c>
      <c r="Q1324" t="s">
        <v>1107</v>
      </c>
      <c r="T1324" s="15" t="s">
        <v>1043</v>
      </c>
      <c r="W1324" s="16" t="str">
        <f t="shared" si="131"/>
        <v>EN_WON_23_c04_KOR</v>
      </c>
      <c r="X1324" s="12">
        <f t="shared" si="132"/>
        <v>2236</v>
      </c>
      <c r="Y1324" s="11">
        <f t="shared" si="133"/>
        <v>2236</v>
      </c>
    </row>
    <row r="1325" spans="2:25">
      <c r="B1325" t="s">
        <v>26</v>
      </c>
      <c r="C1325" t="s">
        <v>6945</v>
      </c>
      <c r="D1325" t="s">
        <v>6946</v>
      </c>
      <c r="E1325" t="s">
        <v>29</v>
      </c>
      <c r="F1325" t="s">
        <v>30</v>
      </c>
      <c r="G1325" t="s">
        <v>31</v>
      </c>
      <c r="J1325" t="s">
        <v>6945</v>
      </c>
      <c r="K1325" t="s">
        <v>1967</v>
      </c>
      <c r="L1325" t="s">
        <v>4268</v>
      </c>
      <c r="M1325" s="8">
        <v>1.029</v>
      </c>
      <c r="N1325">
        <v>80.7856561622413</v>
      </c>
      <c r="O1325">
        <v>2236</v>
      </c>
      <c r="P1325" s="9">
        <v>0.235</v>
      </c>
      <c r="Q1325" t="s">
        <v>1107</v>
      </c>
      <c r="T1325" s="15" t="s">
        <v>1043</v>
      </c>
      <c r="W1325" s="16" t="str">
        <f t="shared" si="131"/>
        <v>EN_WON_24_c02_KOR</v>
      </c>
      <c r="X1325" s="12">
        <f t="shared" si="132"/>
        <v>2236</v>
      </c>
      <c r="Y1325" s="11">
        <f t="shared" si="133"/>
        <v>2236</v>
      </c>
    </row>
    <row r="1326" spans="2:25">
      <c r="B1326" t="s">
        <v>26</v>
      </c>
      <c r="C1326" t="s">
        <v>6947</v>
      </c>
      <c r="D1326" t="s">
        <v>6948</v>
      </c>
      <c r="E1326" t="s">
        <v>29</v>
      </c>
      <c r="F1326" t="s">
        <v>30</v>
      </c>
      <c r="G1326" t="s">
        <v>31</v>
      </c>
      <c r="J1326" t="s">
        <v>6947</v>
      </c>
      <c r="K1326" t="s">
        <v>1967</v>
      </c>
      <c r="L1326" t="s">
        <v>4268</v>
      </c>
      <c r="M1326" s="8">
        <v>1.44825</v>
      </c>
      <c r="N1326">
        <v>105.747516212372</v>
      </c>
      <c r="O1326">
        <v>2236</v>
      </c>
      <c r="P1326" s="9">
        <v>0.244</v>
      </c>
      <c r="Q1326" t="s">
        <v>1107</v>
      </c>
      <c r="T1326" s="15" t="s">
        <v>1043</v>
      </c>
      <c r="W1326" s="16" t="str">
        <f t="shared" si="131"/>
        <v>EN_WON_24_c03_KOR</v>
      </c>
      <c r="X1326" s="12">
        <f t="shared" si="132"/>
        <v>2236</v>
      </c>
      <c r="Y1326" s="11">
        <f t="shared" si="133"/>
        <v>2236</v>
      </c>
    </row>
    <row r="1327" spans="2:25">
      <c r="B1327" t="s">
        <v>26</v>
      </c>
      <c r="C1327" t="s">
        <v>6949</v>
      </c>
      <c r="D1327" t="s">
        <v>6950</v>
      </c>
      <c r="E1327" t="s">
        <v>29</v>
      </c>
      <c r="F1327" t="s">
        <v>30</v>
      </c>
      <c r="G1327" t="s">
        <v>31</v>
      </c>
      <c r="J1327" t="s">
        <v>6949</v>
      </c>
      <c r="K1327" t="s">
        <v>1967</v>
      </c>
      <c r="L1327" t="s">
        <v>4268</v>
      </c>
      <c r="M1327" s="8">
        <v>4.18875</v>
      </c>
      <c r="N1327">
        <v>145.23264029167</v>
      </c>
      <c r="O1327">
        <v>2236</v>
      </c>
      <c r="P1327" s="9">
        <v>0.237</v>
      </c>
      <c r="Q1327" t="s">
        <v>1107</v>
      </c>
      <c r="T1327" s="15" t="s">
        <v>1043</v>
      </c>
      <c r="W1327" s="16" t="str">
        <f t="shared" si="131"/>
        <v>EN_WON_24_c04_KOR</v>
      </c>
      <c r="X1327" s="12">
        <f t="shared" si="132"/>
        <v>2236</v>
      </c>
      <c r="Y1327" s="11">
        <f t="shared" si="133"/>
        <v>2236</v>
      </c>
    </row>
    <row r="1328" spans="2:25">
      <c r="B1328" t="s">
        <v>26</v>
      </c>
      <c r="C1328" t="s">
        <v>6951</v>
      </c>
      <c r="D1328" t="s">
        <v>6952</v>
      </c>
      <c r="E1328" t="s">
        <v>29</v>
      </c>
      <c r="F1328" t="s">
        <v>30</v>
      </c>
      <c r="G1328" t="s">
        <v>31</v>
      </c>
      <c r="J1328" t="s">
        <v>6951</v>
      </c>
      <c r="K1328" t="s">
        <v>1967</v>
      </c>
      <c r="L1328" t="s">
        <v>4268</v>
      </c>
      <c r="M1328" s="8">
        <v>0.984</v>
      </c>
      <c r="N1328">
        <v>80.7856561622413</v>
      </c>
      <c r="O1328">
        <v>2236</v>
      </c>
      <c r="P1328" s="9">
        <v>0.245</v>
      </c>
      <c r="Q1328" t="s">
        <v>1107</v>
      </c>
      <c r="T1328" s="15" t="s">
        <v>1043</v>
      </c>
      <c r="W1328" s="16" t="str">
        <f t="shared" si="131"/>
        <v>EN_WON_25_c02_KOR</v>
      </c>
      <c r="X1328" s="12">
        <f t="shared" si="132"/>
        <v>2236</v>
      </c>
      <c r="Y1328" s="11">
        <f t="shared" si="133"/>
        <v>2236</v>
      </c>
    </row>
    <row r="1329" spans="2:25">
      <c r="B1329" t="s">
        <v>26</v>
      </c>
      <c r="C1329" t="s">
        <v>6953</v>
      </c>
      <c r="D1329" t="s">
        <v>6954</v>
      </c>
      <c r="E1329" t="s">
        <v>29</v>
      </c>
      <c r="F1329" t="s">
        <v>30</v>
      </c>
      <c r="G1329" t="s">
        <v>31</v>
      </c>
      <c r="J1329" t="s">
        <v>6953</v>
      </c>
      <c r="K1329" t="s">
        <v>1967</v>
      </c>
      <c r="L1329" t="s">
        <v>4268</v>
      </c>
      <c r="M1329" s="8">
        <v>3.64275</v>
      </c>
      <c r="N1329">
        <v>105.747516212372</v>
      </c>
      <c r="O1329">
        <v>2236</v>
      </c>
      <c r="P1329" s="9">
        <v>0.250008647313156</v>
      </c>
      <c r="Q1329" t="s">
        <v>1107</v>
      </c>
      <c r="T1329" s="15" t="s">
        <v>1043</v>
      </c>
      <c r="W1329" s="16" t="str">
        <f t="shared" si="131"/>
        <v>EN_WON_25_c03_KOR</v>
      </c>
      <c r="X1329" s="12">
        <f t="shared" si="132"/>
        <v>2236</v>
      </c>
      <c r="Y1329" s="11">
        <f t="shared" si="133"/>
        <v>2236</v>
      </c>
    </row>
    <row r="1330" spans="2:25">
      <c r="B1330" t="s">
        <v>26</v>
      </c>
      <c r="C1330" t="s">
        <v>6955</v>
      </c>
      <c r="D1330" t="s">
        <v>6956</v>
      </c>
      <c r="E1330" t="s">
        <v>29</v>
      </c>
      <c r="F1330" t="s">
        <v>30</v>
      </c>
      <c r="G1330" t="s">
        <v>31</v>
      </c>
      <c r="J1330" t="s">
        <v>6955</v>
      </c>
      <c r="K1330" t="s">
        <v>1967</v>
      </c>
      <c r="L1330" t="s">
        <v>4268</v>
      </c>
      <c r="M1330" s="8">
        <v>4.4235</v>
      </c>
      <c r="N1330">
        <v>105.747516212372</v>
      </c>
      <c r="O1330">
        <v>2236</v>
      </c>
      <c r="P1330" s="9">
        <v>0.257</v>
      </c>
      <c r="Q1330" t="s">
        <v>1107</v>
      </c>
      <c r="T1330" s="15" t="s">
        <v>1043</v>
      </c>
      <c r="W1330" s="16" t="str">
        <f t="shared" si="131"/>
        <v>EN_WON_26_c03_KOR</v>
      </c>
      <c r="X1330" s="12">
        <f t="shared" si="132"/>
        <v>2236</v>
      </c>
      <c r="Y1330" s="11">
        <f t="shared" si="133"/>
        <v>2236</v>
      </c>
    </row>
    <row r="1331" spans="2:25">
      <c r="B1331" t="s">
        <v>26</v>
      </c>
      <c r="C1331" t="s">
        <v>6957</v>
      </c>
      <c r="D1331" t="s">
        <v>6958</v>
      </c>
      <c r="E1331" t="s">
        <v>29</v>
      </c>
      <c r="F1331" t="s">
        <v>30</v>
      </c>
      <c r="G1331" t="s">
        <v>31</v>
      </c>
      <c r="J1331" t="s">
        <v>6957</v>
      </c>
      <c r="K1331" t="s">
        <v>1967</v>
      </c>
      <c r="L1331" t="s">
        <v>4268</v>
      </c>
      <c r="M1331" s="8">
        <v>0.777</v>
      </c>
      <c r="N1331">
        <v>105.747516212372</v>
      </c>
      <c r="O1331">
        <v>2236</v>
      </c>
      <c r="P1331" s="9">
        <v>0.269</v>
      </c>
      <c r="Q1331" t="s">
        <v>1107</v>
      </c>
      <c r="T1331" s="15" t="s">
        <v>1043</v>
      </c>
      <c r="W1331" s="16" t="str">
        <f t="shared" si="131"/>
        <v>EN_WON_27_c03_KOR</v>
      </c>
      <c r="X1331" s="12">
        <f t="shared" si="132"/>
        <v>2236</v>
      </c>
      <c r="Y1331" s="11">
        <f t="shared" si="133"/>
        <v>2236</v>
      </c>
    </row>
    <row r="1332" spans="2:25">
      <c r="B1332" t="s">
        <v>26</v>
      </c>
      <c r="C1332" t="s">
        <v>6959</v>
      </c>
      <c r="D1332" t="s">
        <v>6960</v>
      </c>
      <c r="E1332" t="s">
        <v>29</v>
      </c>
      <c r="F1332" t="s">
        <v>30</v>
      </c>
      <c r="G1332" t="s">
        <v>31</v>
      </c>
      <c r="J1332" t="s">
        <v>6959</v>
      </c>
      <c r="K1332" t="s">
        <v>1967</v>
      </c>
      <c r="L1332" t="s">
        <v>4268</v>
      </c>
      <c r="M1332" s="8">
        <v>1.4865</v>
      </c>
      <c r="N1332">
        <v>80.7856561622413</v>
      </c>
      <c r="O1332">
        <v>2236</v>
      </c>
      <c r="P1332" s="9">
        <v>0.281</v>
      </c>
      <c r="Q1332" t="s">
        <v>1107</v>
      </c>
      <c r="T1332" s="15" t="s">
        <v>1043</v>
      </c>
      <c r="W1332" s="16" t="str">
        <f t="shared" si="131"/>
        <v>EN_WON_28_c02_KOR</v>
      </c>
      <c r="X1332" s="12">
        <f t="shared" si="132"/>
        <v>2236</v>
      </c>
      <c r="Y1332" s="11">
        <f t="shared" si="133"/>
        <v>2236</v>
      </c>
    </row>
    <row r="1333" spans="2:25">
      <c r="B1333" t="s">
        <v>26</v>
      </c>
      <c r="C1333" t="s">
        <v>6961</v>
      </c>
      <c r="D1333" t="s">
        <v>6962</v>
      </c>
      <c r="E1333" t="s">
        <v>29</v>
      </c>
      <c r="F1333" t="s">
        <v>30</v>
      </c>
      <c r="G1333" t="s">
        <v>31</v>
      </c>
      <c r="J1333" t="s">
        <v>6961</v>
      </c>
      <c r="K1333" t="s">
        <v>1967</v>
      </c>
      <c r="L1333" t="s">
        <v>4268</v>
      </c>
      <c r="M1333" s="8">
        <v>0.9555</v>
      </c>
      <c r="N1333">
        <v>0</v>
      </c>
      <c r="O1333">
        <v>2236</v>
      </c>
      <c r="P1333" s="9">
        <v>0.288</v>
      </c>
      <c r="Q1333" t="s">
        <v>1107</v>
      </c>
      <c r="T1333" s="15" t="s">
        <v>1043</v>
      </c>
      <c r="W1333" s="16" t="str">
        <f t="shared" si="131"/>
        <v>EN_WON_29_c01_KOR</v>
      </c>
      <c r="X1333" s="12">
        <f t="shared" si="132"/>
        <v>2236</v>
      </c>
      <c r="Y1333" s="11">
        <f t="shared" si="133"/>
        <v>2236</v>
      </c>
    </row>
    <row r="1334" spans="2:25">
      <c r="B1334" t="s">
        <v>26</v>
      </c>
      <c r="C1334" t="s">
        <v>6963</v>
      </c>
      <c r="D1334" t="s">
        <v>6964</v>
      </c>
      <c r="E1334" t="s">
        <v>29</v>
      </c>
      <c r="F1334" t="s">
        <v>30</v>
      </c>
      <c r="G1334" t="s">
        <v>31</v>
      </c>
      <c r="J1334" t="s">
        <v>6963</v>
      </c>
      <c r="K1334" t="s">
        <v>1967</v>
      </c>
      <c r="L1334" t="s">
        <v>4268</v>
      </c>
      <c r="M1334" s="8">
        <v>2.25375</v>
      </c>
      <c r="N1334">
        <v>80.7856561622413</v>
      </c>
      <c r="O1334">
        <v>2236</v>
      </c>
      <c r="P1334" s="9">
        <v>0.301910149750416</v>
      </c>
      <c r="Q1334" t="s">
        <v>1107</v>
      </c>
      <c r="T1334" s="15" t="s">
        <v>1043</v>
      </c>
      <c r="W1334" s="16" t="str">
        <f t="shared" si="131"/>
        <v>EN_WON_30_c02_KOR</v>
      </c>
      <c r="X1334" s="12">
        <f t="shared" si="132"/>
        <v>2236</v>
      </c>
      <c r="Y1334" s="11">
        <f t="shared" si="133"/>
        <v>2236</v>
      </c>
    </row>
    <row r="1335" spans="2:25">
      <c r="B1335" t="s">
        <v>26</v>
      </c>
      <c r="C1335" t="s">
        <v>6965</v>
      </c>
      <c r="D1335" t="s">
        <v>6966</v>
      </c>
      <c r="E1335" t="s">
        <v>29</v>
      </c>
      <c r="F1335" t="s">
        <v>30</v>
      </c>
      <c r="G1335" t="s">
        <v>31</v>
      </c>
      <c r="J1335" t="s">
        <v>6965</v>
      </c>
      <c r="K1335" t="s">
        <v>1967</v>
      </c>
      <c r="L1335" t="s">
        <v>4268</v>
      </c>
      <c r="M1335" s="8">
        <v>1.9515</v>
      </c>
      <c r="N1335">
        <v>0</v>
      </c>
      <c r="O1335">
        <v>2236</v>
      </c>
      <c r="P1335" s="9">
        <v>0.305</v>
      </c>
      <c r="Q1335" t="s">
        <v>1107</v>
      </c>
      <c r="T1335" s="15" t="s">
        <v>1043</v>
      </c>
      <c r="W1335" s="16" t="str">
        <f t="shared" si="131"/>
        <v>EN_WON_31_c01_KOR</v>
      </c>
      <c r="X1335" s="12">
        <f t="shared" si="132"/>
        <v>2236</v>
      </c>
      <c r="Y1335" s="11">
        <f t="shared" si="133"/>
        <v>2236</v>
      </c>
    </row>
    <row r="1336" spans="2:25">
      <c r="B1336" t="s">
        <v>26</v>
      </c>
      <c r="C1336" t="s">
        <v>6967</v>
      </c>
      <c r="D1336" t="s">
        <v>6968</v>
      </c>
      <c r="E1336" t="s">
        <v>29</v>
      </c>
      <c r="F1336" t="s">
        <v>30</v>
      </c>
      <c r="G1336" t="s">
        <v>31</v>
      </c>
      <c r="J1336" t="s">
        <v>6967</v>
      </c>
      <c r="K1336" t="s">
        <v>1967</v>
      </c>
      <c r="L1336" t="s">
        <v>4268</v>
      </c>
      <c r="M1336" s="8">
        <v>0.684</v>
      </c>
      <c r="N1336">
        <v>80.7856561622413</v>
      </c>
      <c r="O1336">
        <v>2236</v>
      </c>
      <c r="P1336" s="9">
        <v>0.311612938596491</v>
      </c>
      <c r="Q1336" t="s">
        <v>1107</v>
      </c>
      <c r="T1336" s="15" t="s">
        <v>1043</v>
      </c>
      <c r="W1336" s="16" t="str">
        <f t="shared" si="131"/>
        <v>EN_WON_31_c02_KOR</v>
      </c>
      <c r="X1336" s="12">
        <f t="shared" si="132"/>
        <v>2236</v>
      </c>
      <c r="Y1336" s="11">
        <f t="shared" si="133"/>
        <v>2236</v>
      </c>
    </row>
    <row r="1337" spans="2:25">
      <c r="B1337" t="s">
        <v>26</v>
      </c>
      <c r="C1337" t="s">
        <v>6969</v>
      </c>
      <c r="D1337" t="s">
        <v>6970</v>
      </c>
      <c r="E1337" t="s">
        <v>29</v>
      </c>
      <c r="F1337" t="s">
        <v>30</v>
      </c>
      <c r="G1337" t="s">
        <v>31</v>
      </c>
      <c r="J1337" t="s">
        <v>6969</v>
      </c>
      <c r="K1337" t="s">
        <v>1967</v>
      </c>
      <c r="L1337" t="s">
        <v>4268</v>
      </c>
      <c r="M1337" s="8">
        <v>1.08225</v>
      </c>
      <c r="N1337">
        <v>80.7856561622413</v>
      </c>
      <c r="O1337">
        <v>2236</v>
      </c>
      <c r="P1337" s="9">
        <v>0.315997227997228</v>
      </c>
      <c r="Q1337" t="s">
        <v>1107</v>
      </c>
      <c r="T1337" s="15" t="s">
        <v>1043</v>
      </c>
      <c r="W1337" s="16" t="str">
        <f t="shared" si="131"/>
        <v>EN_WON_32_c02_KOR</v>
      </c>
      <c r="X1337" s="12">
        <f t="shared" si="132"/>
        <v>2236</v>
      </c>
      <c r="Y1337" s="11">
        <f t="shared" si="133"/>
        <v>2236</v>
      </c>
    </row>
    <row r="1338" spans="2:25">
      <c r="B1338" t="s">
        <v>26</v>
      </c>
      <c r="C1338" t="s">
        <v>6971</v>
      </c>
      <c r="D1338" t="s">
        <v>6972</v>
      </c>
      <c r="E1338" t="s">
        <v>29</v>
      </c>
      <c r="F1338" t="s">
        <v>30</v>
      </c>
      <c r="G1338" t="s">
        <v>31</v>
      </c>
      <c r="J1338" t="s">
        <v>6971</v>
      </c>
      <c r="K1338" t="s">
        <v>1967</v>
      </c>
      <c r="L1338" t="s">
        <v>4268</v>
      </c>
      <c r="M1338" s="8">
        <v>0.13575</v>
      </c>
      <c r="N1338">
        <v>0</v>
      </c>
      <c r="O1338">
        <v>2236</v>
      </c>
      <c r="P1338" s="9">
        <v>0.354</v>
      </c>
      <c r="Q1338" t="s">
        <v>1107</v>
      </c>
      <c r="T1338" s="15" t="s">
        <v>1043</v>
      </c>
      <c r="W1338" s="16" t="str">
        <f t="shared" si="131"/>
        <v>EN_WON_35_c01_KOR</v>
      </c>
      <c r="X1338" s="12">
        <f t="shared" si="132"/>
        <v>2236</v>
      </c>
      <c r="Y1338" s="11">
        <f t="shared" si="133"/>
        <v>2236</v>
      </c>
    </row>
    <row r="1339" spans="2:25">
      <c r="B1339" t="s">
        <v>26</v>
      </c>
      <c r="C1339" t="s">
        <v>6973</v>
      </c>
      <c r="D1339" t="s">
        <v>6974</v>
      </c>
      <c r="E1339" t="s">
        <v>29</v>
      </c>
      <c r="F1339" t="s">
        <v>30</v>
      </c>
      <c r="G1339" t="s">
        <v>31</v>
      </c>
      <c r="J1339" t="s">
        <v>6973</v>
      </c>
      <c r="K1339" t="s">
        <v>1967</v>
      </c>
      <c r="L1339" t="s">
        <v>4268</v>
      </c>
      <c r="M1339" s="8">
        <v>0.13575</v>
      </c>
      <c r="N1339">
        <v>80.7856561622413</v>
      </c>
      <c r="O1339">
        <v>2236</v>
      </c>
      <c r="P1339" s="9">
        <v>0.365</v>
      </c>
      <c r="Q1339" t="s">
        <v>1107</v>
      </c>
      <c r="T1339" s="15" t="s">
        <v>1043</v>
      </c>
      <c r="W1339" s="16" t="str">
        <f t="shared" si="131"/>
        <v>EN_WON_37_c02_KOR</v>
      </c>
      <c r="X1339" s="12">
        <f t="shared" si="132"/>
        <v>2236</v>
      </c>
      <c r="Y1339" s="11">
        <f t="shared" si="133"/>
        <v>2236</v>
      </c>
    </row>
    <row r="1340" spans="2:25">
      <c r="B1340" t="s">
        <v>26</v>
      </c>
      <c r="C1340" t="s">
        <v>6975</v>
      </c>
      <c r="D1340" t="s">
        <v>6976</v>
      </c>
      <c r="E1340" t="s">
        <v>29</v>
      </c>
      <c r="F1340" t="s">
        <v>30</v>
      </c>
      <c r="G1340" t="s">
        <v>31</v>
      </c>
      <c r="J1340" t="s">
        <v>6975</v>
      </c>
      <c r="K1340" t="s">
        <v>1967</v>
      </c>
      <c r="L1340" t="s">
        <v>4268</v>
      </c>
      <c r="M1340" s="8">
        <v>0.0435</v>
      </c>
      <c r="N1340">
        <v>0</v>
      </c>
      <c r="O1340">
        <v>2236</v>
      </c>
      <c r="P1340" s="9">
        <v>0.388</v>
      </c>
      <c r="Q1340" t="s">
        <v>1107</v>
      </c>
      <c r="T1340" s="15" t="s">
        <v>1043</v>
      </c>
      <c r="W1340" s="16" t="str">
        <f t="shared" si="131"/>
        <v>EN_WON_39_c01_KOR</v>
      </c>
      <c r="X1340" s="12">
        <f t="shared" si="132"/>
        <v>2236</v>
      </c>
      <c r="Y1340" s="11">
        <f t="shared" si="133"/>
        <v>2236</v>
      </c>
    </row>
    <row r="1341" spans="2:25">
      <c r="B1341" t="s">
        <v>26</v>
      </c>
      <c r="C1341" t="s">
        <v>6977</v>
      </c>
      <c r="D1341" t="s">
        <v>6978</v>
      </c>
      <c r="E1341" t="s">
        <v>29</v>
      </c>
      <c r="F1341" t="s">
        <v>30</v>
      </c>
      <c r="G1341" t="s">
        <v>31</v>
      </c>
      <c r="J1341" t="s">
        <v>6977</v>
      </c>
      <c r="K1341" t="s">
        <v>1967</v>
      </c>
      <c r="L1341" t="s">
        <v>4268</v>
      </c>
      <c r="M1341" s="8">
        <v>0.04875</v>
      </c>
      <c r="N1341">
        <v>80.7856561622413</v>
      </c>
      <c r="O1341">
        <v>2236</v>
      </c>
      <c r="P1341" s="9">
        <v>0.389984615384615</v>
      </c>
      <c r="Q1341" t="s">
        <v>1107</v>
      </c>
      <c r="T1341" s="15" t="s">
        <v>1043</v>
      </c>
      <c r="W1341" s="16" t="str">
        <f t="shared" si="131"/>
        <v>EN_WON_39_c02_KOR</v>
      </c>
      <c r="X1341" s="12">
        <f t="shared" si="132"/>
        <v>2236</v>
      </c>
      <c r="Y1341" s="11">
        <f t="shared" si="133"/>
        <v>2236</v>
      </c>
    </row>
    <row r="1342" spans="2:25">
      <c r="B1342" t="s">
        <v>26</v>
      </c>
      <c r="C1342" t="s">
        <v>6979</v>
      </c>
      <c r="D1342" t="s">
        <v>6980</v>
      </c>
      <c r="E1342" t="s">
        <v>29</v>
      </c>
      <c r="F1342" t="s">
        <v>30</v>
      </c>
      <c r="G1342" t="s">
        <v>31</v>
      </c>
      <c r="J1342" t="s">
        <v>6979</v>
      </c>
      <c r="K1342" t="s">
        <v>1967</v>
      </c>
      <c r="L1342" t="s">
        <v>4268</v>
      </c>
      <c r="M1342" s="8">
        <v>0.01275</v>
      </c>
      <c r="N1342">
        <v>0</v>
      </c>
      <c r="O1342">
        <v>2236</v>
      </c>
      <c r="P1342" s="9">
        <v>0.412</v>
      </c>
      <c r="Q1342" t="s">
        <v>1107</v>
      </c>
      <c r="T1342" s="15" t="s">
        <v>1043</v>
      </c>
      <c r="W1342" s="16" t="str">
        <f t="shared" si="131"/>
        <v>EN_WON_41_c01_KOR</v>
      </c>
      <c r="X1342" s="12">
        <f t="shared" si="132"/>
        <v>2236</v>
      </c>
      <c r="Y1342" s="11">
        <f t="shared" si="133"/>
        <v>2236</v>
      </c>
    </row>
    <row r="1343" spans="2:25">
      <c r="B1343" t="s">
        <v>26</v>
      </c>
      <c r="C1343" t="s">
        <v>6981</v>
      </c>
      <c r="D1343" t="s">
        <v>6982</v>
      </c>
      <c r="E1343" t="s">
        <v>29</v>
      </c>
      <c r="F1343" t="s">
        <v>30</v>
      </c>
      <c r="G1343" t="s">
        <v>31</v>
      </c>
      <c r="J1343" t="s">
        <v>6981</v>
      </c>
      <c r="K1343" t="s">
        <v>1967</v>
      </c>
      <c r="L1343" t="s">
        <v>6983</v>
      </c>
      <c r="M1343" s="8">
        <v>0.1245</v>
      </c>
      <c r="N1343">
        <v>80.7856561622413</v>
      </c>
      <c r="O1343">
        <v>1756</v>
      </c>
      <c r="P1343" s="9">
        <v>0.294</v>
      </c>
      <c r="Q1343" t="s">
        <v>1123</v>
      </c>
      <c r="T1343" s="15" t="s">
        <v>80</v>
      </c>
      <c r="W1343" s="16" t="str">
        <f t="shared" si="131"/>
        <v>EN_WON_29_c02_KWT</v>
      </c>
      <c r="X1343" s="12">
        <f t="shared" si="132"/>
        <v>1756</v>
      </c>
      <c r="Y1343" s="11">
        <f t="shared" si="133"/>
        <v>1756</v>
      </c>
    </row>
    <row r="1344" spans="2:25">
      <c r="B1344" t="s">
        <v>26</v>
      </c>
      <c r="C1344" t="s">
        <v>6984</v>
      </c>
      <c r="D1344" t="s">
        <v>6985</v>
      </c>
      <c r="E1344" t="s">
        <v>29</v>
      </c>
      <c r="F1344" t="s">
        <v>30</v>
      </c>
      <c r="G1344" t="s">
        <v>31</v>
      </c>
      <c r="J1344" t="s">
        <v>6984</v>
      </c>
      <c r="K1344" t="s">
        <v>1967</v>
      </c>
      <c r="L1344" t="s">
        <v>6983</v>
      </c>
      <c r="M1344" s="8">
        <v>5.65125</v>
      </c>
      <c r="N1344">
        <v>0</v>
      </c>
      <c r="O1344">
        <v>1756</v>
      </c>
      <c r="P1344" s="9">
        <v>0.326</v>
      </c>
      <c r="Q1344" t="s">
        <v>1123</v>
      </c>
      <c r="T1344" s="15" t="s">
        <v>80</v>
      </c>
      <c r="W1344" s="16" t="str">
        <f t="shared" si="131"/>
        <v>EN_WON_33_c01_KWT</v>
      </c>
      <c r="X1344" s="12">
        <f t="shared" si="132"/>
        <v>1756</v>
      </c>
      <c r="Y1344" s="11">
        <f t="shared" si="133"/>
        <v>1756</v>
      </c>
    </row>
    <row r="1345" spans="2:25">
      <c r="B1345" t="s">
        <v>26</v>
      </c>
      <c r="C1345" t="s">
        <v>6986</v>
      </c>
      <c r="D1345" t="s">
        <v>6987</v>
      </c>
      <c r="E1345" t="s">
        <v>29</v>
      </c>
      <c r="F1345" t="s">
        <v>30</v>
      </c>
      <c r="G1345" t="s">
        <v>31</v>
      </c>
      <c r="J1345" t="s">
        <v>6986</v>
      </c>
      <c r="K1345" t="s">
        <v>1967</v>
      </c>
      <c r="L1345" t="s">
        <v>6983</v>
      </c>
      <c r="M1345" s="8">
        <v>2.14425</v>
      </c>
      <c r="N1345">
        <v>0</v>
      </c>
      <c r="O1345">
        <v>1756</v>
      </c>
      <c r="P1345" s="9">
        <v>0.344</v>
      </c>
      <c r="Q1345" t="s">
        <v>1123</v>
      </c>
      <c r="T1345" s="15" t="s">
        <v>80</v>
      </c>
      <c r="W1345" s="16" t="str">
        <f t="shared" si="131"/>
        <v>EN_WON_34_c01_KWT</v>
      </c>
      <c r="X1345" s="12">
        <f t="shared" si="132"/>
        <v>1756</v>
      </c>
      <c r="Y1345" s="11">
        <f t="shared" si="133"/>
        <v>1756</v>
      </c>
    </row>
    <row r="1346" spans="2:25">
      <c r="B1346" t="s">
        <v>26</v>
      </c>
      <c r="C1346" t="s">
        <v>6988</v>
      </c>
      <c r="D1346" t="s">
        <v>6989</v>
      </c>
      <c r="E1346" t="s">
        <v>29</v>
      </c>
      <c r="F1346" t="s">
        <v>30</v>
      </c>
      <c r="G1346" t="s">
        <v>31</v>
      </c>
      <c r="J1346" t="s">
        <v>6988</v>
      </c>
      <c r="K1346" t="s">
        <v>1967</v>
      </c>
      <c r="L1346" t="s">
        <v>6983</v>
      </c>
      <c r="M1346" s="8">
        <v>5.166</v>
      </c>
      <c r="N1346">
        <v>0</v>
      </c>
      <c r="O1346">
        <v>1756</v>
      </c>
      <c r="P1346" s="9">
        <v>0.348557055749129</v>
      </c>
      <c r="Q1346" t="s">
        <v>1123</v>
      </c>
      <c r="T1346" s="15" t="s">
        <v>80</v>
      </c>
      <c r="W1346" s="16" t="str">
        <f t="shared" si="131"/>
        <v>EN_WON_35_c01_KWT</v>
      </c>
      <c r="X1346" s="12">
        <f t="shared" si="132"/>
        <v>1756</v>
      </c>
      <c r="Y1346" s="11">
        <f t="shared" si="133"/>
        <v>1756</v>
      </c>
    </row>
    <row r="1347" spans="2:25">
      <c r="B1347" t="s">
        <v>26</v>
      </c>
      <c r="C1347" t="s">
        <v>6990</v>
      </c>
      <c r="D1347" t="s">
        <v>6991</v>
      </c>
      <c r="E1347" t="s">
        <v>29</v>
      </c>
      <c r="F1347" t="s">
        <v>30</v>
      </c>
      <c r="G1347" t="s">
        <v>31</v>
      </c>
      <c r="J1347" t="s">
        <v>6990</v>
      </c>
      <c r="K1347" t="s">
        <v>1967</v>
      </c>
      <c r="L1347" t="s">
        <v>6983</v>
      </c>
      <c r="M1347" s="8">
        <v>14.577</v>
      </c>
      <c r="N1347">
        <v>0</v>
      </c>
      <c r="O1347">
        <v>1756</v>
      </c>
      <c r="P1347" s="9">
        <v>0.360814622350278</v>
      </c>
      <c r="Q1347" t="s">
        <v>1123</v>
      </c>
      <c r="T1347" s="15" t="s">
        <v>80</v>
      </c>
      <c r="W1347" s="16" t="str">
        <f t="shared" si="131"/>
        <v>EN_WON_36_c01_KWT</v>
      </c>
      <c r="X1347" s="12">
        <f t="shared" si="132"/>
        <v>1756</v>
      </c>
      <c r="Y1347" s="11">
        <f t="shared" si="133"/>
        <v>1756</v>
      </c>
    </row>
    <row r="1348" spans="2:25">
      <c r="B1348" t="s">
        <v>26</v>
      </c>
      <c r="C1348" t="s">
        <v>6992</v>
      </c>
      <c r="D1348" t="s">
        <v>6993</v>
      </c>
      <c r="E1348" t="s">
        <v>29</v>
      </c>
      <c r="F1348" t="s">
        <v>30</v>
      </c>
      <c r="G1348" t="s">
        <v>31</v>
      </c>
      <c r="J1348" t="s">
        <v>6992</v>
      </c>
      <c r="K1348" t="s">
        <v>1967</v>
      </c>
      <c r="L1348" t="s">
        <v>6983</v>
      </c>
      <c r="M1348" s="8">
        <v>6.0975</v>
      </c>
      <c r="N1348">
        <v>0</v>
      </c>
      <c r="O1348">
        <v>1756</v>
      </c>
      <c r="P1348" s="9">
        <v>0.381</v>
      </c>
      <c r="Q1348" t="s">
        <v>1123</v>
      </c>
      <c r="T1348" s="15" t="s">
        <v>80</v>
      </c>
      <c r="W1348" s="16" t="str">
        <f t="shared" si="131"/>
        <v>EN_WON_38_c01_KWT</v>
      </c>
      <c r="X1348" s="12">
        <f t="shared" si="132"/>
        <v>1756</v>
      </c>
      <c r="Y1348" s="11">
        <f t="shared" si="133"/>
        <v>1756</v>
      </c>
    </row>
    <row r="1349" spans="2:25">
      <c r="B1349" t="s">
        <v>26</v>
      </c>
      <c r="C1349" t="s">
        <v>6994</v>
      </c>
      <c r="D1349" t="s">
        <v>6995</v>
      </c>
      <c r="E1349" t="s">
        <v>29</v>
      </c>
      <c r="F1349" t="s">
        <v>30</v>
      </c>
      <c r="G1349" t="s">
        <v>31</v>
      </c>
      <c r="J1349" t="s">
        <v>6994</v>
      </c>
      <c r="K1349" t="s">
        <v>1967</v>
      </c>
      <c r="L1349" t="s">
        <v>6983</v>
      </c>
      <c r="M1349" s="8">
        <v>11.93925</v>
      </c>
      <c r="N1349">
        <v>0</v>
      </c>
      <c r="O1349">
        <v>1756</v>
      </c>
      <c r="P1349" s="9">
        <v>0.387791758276274</v>
      </c>
      <c r="Q1349" t="s">
        <v>1123</v>
      </c>
      <c r="T1349" s="15" t="s">
        <v>80</v>
      </c>
      <c r="W1349" s="16" t="str">
        <f t="shared" si="131"/>
        <v>EN_WON_39_c01_KWT</v>
      </c>
      <c r="X1349" s="12">
        <f t="shared" si="132"/>
        <v>1756</v>
      </c>
      <c r="Y1349" s="11">
        <f t="shared" si="133"/>
        <v>1756</v>
      </c>
    </row>
    <row r="1350" spans="2:25">
      <c r="B1350" t="s">
        <v>26</v>
      </c>
      <c r="C1350" t="s">
        <v>6996</v>
      </c>
      <c r="D1350" t="s">
        <v>6997</v>
      </c>
      <c r="E1350" t="s">
        <v>29</v>
      </c>
      <c r="F1350" t="s">
        <v>30</v>
      </c>
      <c r="G1350" t="s">
        <v>31</v>
      </c>
      <c r="J1350" t="s">
        <v>6996</v>
      </c>
      <c r="K1350" t="s">
        <v>1967</v>
      </c>
      <c r="L1350" t="s">
        <v>6983</v>
      </c>
      <c r="M1350" s="8">
        <v>6.3945</v>
      </c>
      <c r="N1350">
        <v>0</v>
      </c>
      <c r="O1350">
        <v>1756</v>
      </c>
      <c r="P1350" s="9">
        <v>0.4</v>
      </c>
      <c r="Q1350" t="s">
        <v>1123</v>
      </c>
      <c r="T1350" s="15" t="s">
        <v>80</v>
      </c>
      <c r="W1350" s="16" t="str">
        <f t="shared" ref="W1350:W1413" si="134">J1350</f>
        <v>EN_WON_40_c01_KWT</v>
      </c>
      <c r="X1350" s="12">
        <f t="shared" ref="X1350:X1413" si="135">O1350</f>
        <v>1756</v>
      </c>
      <c r="Y1350" s="11">
        <f t="shared" ref="Y1350:Y1413" si="136">X1350</f>
        <v>1756</v>
      </c>
    </row>
    <row r="1351" spans="2:25">
      <c r="B1351" t="s">
        <v>26</v>
      </c>
      <c r="C1351" t="s">
        <v>6998</v>
      </c>
      <c r="D1351" t="s">
        <v>6999</v>
      </c>
      <c r="E1351" t="s">
        <v>29</v>
      </c>
      <c r="F1351" t="s">
        <v>30</v>
      </c>
      <c r="G1351" t="s">
        <v>31</v>
      </c>
      <c r="J1351" t="s">
        <v>6998</v>
      </c>
      <c r="K1351" t="s">
        <v>1967</v>
      </c>
      <c r="L1351" t="s">
        <v>7000</v>
      </c>
      <c r="M1351" s="8">
        <v>0.0405</v>
      </c>
      <c r="N1351">
        <v>80.7856561622413</v>
      </c>
      <c r="O1351">
        <v>2213</v>
      </c>
      <c r="P1351" s="9">
        <v>0.151555555555556</v>
      </c>
      <c r="Q1351" t="s">
        <v>1129</v>
      </c>
      <c r="T1351" s="15" t="s">
        <v>290</v>
      </c>
      <c r="W1351" s="16" t="str">
        <f t="shared" si="134"/>
        <v>EN_WON_15_c02_LAO</v>
      </c>
      <c r="X1351" s="12">
        <f t="shared" si="135"/>
        <v>2213</v>
      </c>
      <c r="Y1351" s="11">
        <f t="shared" si="136"/>
        <v>2213</v>
      </c>
    </row>
    <row r="1352" spans="2:25">
      <c r="B1352" t="s">
        <v>26</v>
      </c>
      <c r="C1352" t="s">
        <v>7001</v>
      </c>
      <c r="D1352" t="s">
        <v>7002</v>
      </c>
      <c r="E1352" t="s">
        <v>29</v>
      </c>
      <c r="F1352" t="s">
        <v>30</v>
      </c>
      <c r="G1352" t="s">
        <v>31</v>
      </c>
      <c r="J1352" t="s">
        <v>7001</v>
      </c>
      <c r="K1352" t="s">
        <v>1967</v>
      </c>
      <c r="L1352" t="s">
        <v>7000</v>
      </c>
      <c r="M1352" s="8">
        <v>0.07875</v>
      </c>
      <c r="N1352">
        <v>105.747516212372</v>
      </c>
      <c r="O1352">
        <v>2213</v>
      </c>
      <c r="P1352" s="9">
        <v>0.151314285714286</v>
      </c>
      <c r="Q1352" t="s">
        <v>1129</v>
      </c>
      <c r="T1352" s="15" t="s">
        <v>290</v>
      </c>
      <c r="W1352" s="16" t="str">
        <f t="shared" si="134"/>
        <v>EN_WON_15_c03_LAO</v>
      </c>
      <c r="X1352" s="12">
        <f t="shared" si="135"/>
        <v>2213</v>
      </c>
      <c r="Y1352" s="11">
        <f t="shared" si="136"/>
        <v>2213</v>
      </c>
    </row>
    <row r="1353" spans="2:25">
      <c r="B1353" t="s">
        <v>26</v>
      </c>
      <c r="C1353" t="s">
        <v>7003</v>
      </c>
      <c r="D1353" t="s">
        <v>7004</v>
      </c>
      <c r="E1353" t="s">
        <v>29</v>
      </c>
      <c r="F1353" t="s">
        <v>30</v>
      </c>
      <c r="G1353" t="s">
        <v>31</v>
      </c>
      <c r="J1353" t="s">
        <v>7003</v>
      </c>
      <c r="K1353" t="s">
        <v>1967</v>
      </c>
      <c r="L1353" t="s">
        <v>7000</v>
      </c>
      <c r="M1353" s="8">
        <v>0.0615</v>
      </c>
      <c r="N1353">
        <v>80.7856561622413</v>
      </c>
      <c r="O1353">
        <v>2213</v>
      </c>
      <c r="P1353" s="9">
        <v>0.162109756097561</v>
      </c>
      <c r="Q1353" t="s">
        <v>1129</v>
      </c>
      <c r="T1353" s="15" t="s">
        <v>290</v>
      </c>
      <c r="W1353" s="16" t="str">
        <f t="shared" si="134"/>
        <v>EN_WON_16_c02_LAO</v>
      </c>
      <c r="X1353" s="12">
        <f t="shared" si="135"/>
        <v>2213</v>
      </c>
      <c r="Y1353" s="11">
        <f t="shared" si="136"/>
        <v>2213</v>
      </c>
    </row>
    <row r="1354" spans="2:25">
      <c r="B1354" t="s">
        <v>26</v>
      </c>
      <c r="C1354" t="s">
        <v>7005</v>
      </c>
      <c r="D1354" t="s">
        <v>7006</v>
      </c>
      <c r="E1354" t="s">
        <v>29</v>
      </c>
      <c r="F1354" t="s">
        <v>30</v>
      </c>
      <c r="G1354" t="s">
        <v>31</v>
      </c>
      <c r="J1354" t="s">
        <v>7005</v>
      </c>
      <c r="K1354" t="s">
        <v>1967</v>
      </c>
      <c r="L1354" t="s">
        <v>7000</v>
      </c>
      <c r="M1354" s="8">
        <v>0.67725</v>
      </c>
      <c r="N1354">
        <v>105.747516212372</v>
      </c>
      <c r="O1354">
        <v>2213</v>
      </c>
      <c r="P1354" s="9">
        <v>0.160062015503876</v>
      </c>
      <c r="Q1354" t="s">
        <v>1129</v>
      </c>
      <c r="T1354" s="15" t="s">
        <v>290</v>
      </c>
      <c r="W1354" s="16" t="str">
        <f t="shared" si="134"/>
        <v>EN_WON_16_c03_LAO</v>
      </c>
      <c r="X1354" s="12">
        <f t="shared" si="135"/>
        <v>2213</v>
      </c>
      <c r="Y1354" s="11">
        <f t="shared" si="136"/>
        <v>2213</v>
      </c>
    </row>
    <row r="1355" spans="2:25">
      <c r="B1355" t="s">
        <v>26</v>
      </c>
      <c r="C1355" t="s">
        <v>7007</v>
      </c>
      <c r="D1355" t="s">
        <v>7008</v>
      </c>
      <c r="E1355" t="s">
        <v>29</v>
      </c>
      <c r="F1355" t="s">
        <v>30</v>
      </c>
      <c r="G1355" t="s">
        <v>31</v>
      </c>
      <c r="J1355" t="s">
        <v>7007</v>
      </c>
      <c r="K1355" t="s">
        <v>1967</v>
      </c>
      <c r="L1355" t="s">
        <v>7000</v>
      </c>
      <c r="M1355" s="8">
        <v>0.972</v>
      </c>
      <c r="N1355">
        <v>80.7856561622413</v>
      </c>
      <c r="O1355">
        <v>2213</v>
      </c>
      <c r="P1355" s="9">
        <v>0.171965277777778</v>
      </c>
      <c r="Q1355" t="s">
        <v>1129</v>
      </c>
      <c r="T1355" s="15" t="s">
        <v>290</v>
      </c>
      <c r="W1355" s="16" t="str">
        <f t="shared" si="134"/>
        <v>EN_WON_17_c02_LAO</v>
      </c>
      <c r="X1355" s="12">
        <f t="shared" si="135"/>
        <v>2213</v>
      </c>
      <c r="Y1355" s="11">
        <f t="shared" si="136"/>
        <v>2213</v>
      </c>
    </row>
    <row r="1356" spans="2:25">
      <c r="B1356" t="s">
        <v>26</v>
      </c>
      <c r="C1356" t="s">
        <v>7009</v>
      </c>
      <c r="D1356" t="s">
        <v>7010</v>
      </c>
      <c r="E1356" t="s">
        <v>29</v>
      </c>
      <c r="F1356" t="s">
        <v>30</v>
      </c>
      <c r="G1356" t="s">
        <v>31</v>
      </c>
      <c r="J1356" t="s">
        <v>7009</v>
      </c>
      <c r="K1356" t="s">
        <v>1967</v>
      </c>
      <c r="L1356" t="s">
        <v>7000</v>
      </c>
      <c r="M1356" s="8">
        <v>3.08775</v>
      </c>
      <c r="N1356">
        <v>105.747516212372</v>
      </c>
      <c r="O1356">
        <v>2213</v>
      </c>
      <c r="P1356" s="9">
        <v>0.167797182414379</v>
      </c>
      <c r="Q1356" t="s">
        <v>1129</v>
      </c>
      <c r="T1356" s="15" t="s">
        <v>290</v>
      </c>
      <c r="W1356" s="16" t="str">
        <f t="shared" si="134"/>
        <v>EN_WON_17_c03_LAO</v>
      </c>
      <c r="X1356" s="12">
        <f t="shared" si="135"/>
        <v>2213</v>
      </c>
      <c r="Y1356" s="11">
        <f t="shared" si="136"/>
        <v>2213</v>
      </c>
    </row>
    <row r="1357" spans="2:25">
      <c r="B1357" t="s">
        <v>26</v>
      </c>
      <c r="C1357" t="s">
        <v>7011</v>
      </c>
      <c r="D1357" t="s">
        <v>7012</v>
      </c>
      <c r="E1357" t="s">
        <v>29</v>
      </c>
      <c r="F1357" t="s">
        <v>30</v>
      </c>
      <c r="G1357" t="s">
        <v>31</v>
      </c>
      <c r="J1357" t="s">
        <v>7011</v>
      </c>
      <c r="K1357" t="s">
        <v>1967</v>
      </c>
      <c r="L1357" t="s">
        <v>7000</v>
      </c>
      <c r="M1357" s="8">
        <v>0.66</v>
      </c>
      <c r="N1357">
        <v>145.23264029167</v>
      </c>
      <c r="O1357">
        <v>2213</v>
      </c>
      <c r="P1357" s="9">
        <v>0.171</v>
      </c>
      <c r="Q1357" t="s">
        <v>1129</v>
      </c>
      <c r="T1357" s="15" t="s">
        <v>290</v>
      </c>
      <c r="W1357" s="16" t="str">
        <f t="shared" si="134"/>
        <v>EN_WON_17_c04_LAO</v>
      </c>
      <c r="X1357" s="12">
        <f t="shared" si="135"/>
        <v>2213</v>
      </c>
      <c r="Y1357" s="11">
        <f t="shared" si="136"/>
        <v>2213</v>
      </c>
    </row>
    <row r="1358" spans="2:25">
      <c r="B1358" t="s">
        <v>26</v>
      </c>
      <c r="C1358" t="s">
        <v>7013</v>
      </c>
      <c r="D1358" t="s">
        <v>7014</v>
      </c>
      <c r="E1358" t="s">
        <v>29</v>
      </c>
      <c r="F1358" t="s">
        <v>30</v>
      </c>
      <c r="G1358" t="s">
        <v>31</v>
      </c>
      <c r="J1358" t="s">
        <v>7013</v>
      </c>
      <c r="K1358" t="s">
        <v>1967</v>
      </c>
      <c r="L1358" t="s">
        <v>7000</v>
      </c>
      <c r="M1358" s="8">
        <v>0.25725</v>
      </c>
      <c r="N1358">
        <v>80.7856561622413</v>
      </c>
      <c r="O1358">
        <v>2213</v>
      </c>
      <c r="P1358" s="9">
        <v>0.181061224489796</v>
      </c>
      <c r="Q1358" t="s">
        <v>1129</v>
      </c>
      <c r="T1358" s="15" t="s">
        <v>290</v>
      </c>
      <c r="W1358" s="16" t="str">
        <f t="shared" si="134"/>
        <v>EN_WON_18_c02_LAO</v>
      </c>
      <c r="X1358" s="12">
        <f t="shared" si="135"/>
        <v>2213</v>
      </c>
      <c r="Y1358" s="11">
        <f t="shared" si="136"/>
        <v>2213</v>
      </c>
    </row>
    <row r="1359" spans="2:25">
      <c r="B1359" t="s">
        <v>26</v>
      </c>
      <c r="C1359" t="s">
        <v>7015</v>
      </c>
      <c r="D1359" t="s">
        <v>7016</v>
      </c>
      <c r="E1359" t="s">
        <v>29</v>
      </c>
      <c r="F1359" t="s">
        <v>30</v>
      </c>
      <c r="G1359" t="s">
        <v>31</v>
      </c>
      <c r="J1359" t="s">
        <v>7015</v>
      </c>
      <c r="K1359" t="s">
        <v>1967</v>
      </c>
      <c r="L1359" t="s">
        <v>7000</v>
      </c>
      <c r="M1359" s="8">
        <v>0.35925</v>
      </c>
      <c r="N1359">
        <v>105.747516212372</v>
      </c>
      <c r="O1359">
        <v>2213</v>
      </c>
      <c r="P1359" s="9">
        <v>0.181828810020877</v>
      </c>
      <c r="Q1359" t="s">
        <v>1129</v>
      </c>
      <c r="T1359" s="15" t="s">
        <v>290</v>
      </c>
      <c r="W1359" s="16" t="str">
        <f t="shared" si="134"/>
        <v>EN_WON_18_c03_LAO</v>
      </c>
      <c r="X1359" s="12">
        <f t="shared" si="135"/>
        <v>2213</v>
      </c>
      <c r="Y1359" s="11">
        <f t="shared" si="136"/>
        <v>2213</v>
      </c>
    </row>
    <row r="1360" spans="2:25">
      <c r="B1360" t="s">
        <v>26</v>
      </c>
      <c r="C1360" t="s">
        <v>7017</v>
      </c>
      <c r="D1360" t="s">
        <v>7018</v>
      </c>
      <c r="E1360" t="s">
        <v>29</v>
      </c>
      <c r="F1360" t="s">
        <v>30</v>
      </c>
      <c r="G1360" t="s">
        <v>31</v>
      </c>
      <c r="J1360" t="s">
        <v>7017</v>
      </c>
      <c r="K1360" t="s">
        <v>1967</v>
      </c>
      <c r="L1360" t="s">
        <v>7000</v>
      </c>
      <c r="M1360" s="8">
        <v>0.495</v>
      </c>
      <c r="N1360">
        <v>145.23264029167</v>
      </c>
      <c r="O1360">
        <v>2213</v>
      </c>
      <c r="P1360" s="9">
        <v>0.177759090909091</v>
      </c>
      <c r="Q1360" t="s">
        <v>1129</v>
      </c>
      <c r="T1360" s="15" t="s">
        <v>290</v>
      </c>
      <c r="W1360" s="16" t="str">
        <f t="shared" si="134"/>
        <v>EN_WON_18_c04_LAO</v>
      </c>
      <c r="X1360" s="12">
        <f t="shared" si="135"/>
        <v>2213</v>
      </c>
      <c r="Y1360" s="11">
        <f t="shared" si="136"/>
        <v>2213</v>
      </c>
    </row>
    <row r="1361" spans="2:25">
      <c r="B1361" t="s">
        <v>26</v>
      </c>
      <c r="C1361" t="s">
        <v>7019</v>
      </c>
      <c r="D1361" t="s">
        <v>7020</v>
      </c>
      <c r="E1361" t="s">
        <v>29</v>
      </c>
      <c r="F1361" t="s">
        <v>30</v>
      </c>
      <c r="G1361" t="s">
        <v>31</v>
      </c>
      <c r="J1361" t="s">
        <v>7019</v>
      </c>
      <c r="K1361" t="s">
        <v>1967</v>
      </c>
      <c r="L1361" t="s">
        <v>7000</v>
      </c>
      <c r="M1361" s="8">
        <v>0.01575</v>
      </c>
      <c r="N1361">
        <v>80.7856561622413</v>
      </c>
      <c r="O1361">
        <v>2213</v>
      </c>
      <c r="P1361" s="9">
        <v>0.185428571428571</v>
      </c>
      <c r="Q1361" t="s">
        <v>1129</v>
      </c>
      <c r="T1361" s="15" t="s">
        <v>290</v>
      </c>
      <c r="W1361" s="16" t="str">
        <f t="shared" si="134"/>
        <v>EN_WON_19_c02_LAO</v>
      </c>
      <c r="X1361" s="12">
        <f t="shared" si="135"/>
        <v>2213</v>
      </c>
      <c r="Y1361" s="11">
        <f t="shared" si="136"/>
        <v>2213</v>
      </c>
    </row>
    <row r="1362" spans="2:25">
      <c r="B1362" t="s">
        <v>26</v>
      </c>
      <c r="C1362" t="s">
        <v>7021</v>
      </c>
      <c r="D1362" t="s">
        <v>7022</v>
      </c>
      <c r="E1362" t="s">
        <v>29</v>
      </c>
      <c r="F1362" t="s">
        <v>30</v>
      </c>
      <c r="G1362" t="s">
        <v>31</v>
      </c>
      <c r="J1362" t="s">
        <v>7021</v>
      </c>
      <c r="K1362" t="s">
        <v>1967</v>
      </c>
      <c r="L1362" t="s">
        <v>7000</v>
      </c>
      <c r="M1362" s="8">
        <v>2.70225</v>
      </c>
      <c r="N1362">
        <v>105.747516212372</v>
      </c>
      <c r="O1362">
        <v>2213</v>
      </c>
      <c r="P1362" s="9">
        <v>0.185384401887316</v>
      </c>
      <c r="Q1362" t="s">
        <v>1129</v>
      </c>
      <c r="T1362" s="15" t="s">
        <v>290</v>
      </c>
      <c r="W1362" s="16" t="str">
        <f t="shared" si="134"/>
        <v>EN_WON_19_c03_LAO</v>
      </c>
      <c r="X1362" s="12">
        <f t="shared" si="135"/>
        <v>2213</v>
      </c>
      <c r="Y1362" s="11">
        <f t="shared" si="136"/>
        <v>2213</v>
      </c>
    </row>
    <row r="1363" spans="2:25">
      <c r="B1363" t="s">
        <v>26</v>
      </c>
      <c r="C1363" t="s">
        <v>7023</v>
      </c>
      <c r="D1363" t="s">
        <v>7024</v>
      </c>
      <c r="E1363" t="s">
        <v>29</v>
      </c>
      <c r="F1363" t="s">
        <v>30</v>
      </c>
      <c r="G1363" t="s">
        <v>31</v>
      </c>
      <c r="J1363" t="s">
        <v>7023</v>
      </c>
      <c r="K1363" t="s">
        <v>1967</v>
      </c>
      <c r="L1363" t="s">
        <v>7000</v>
      </c>
      <c r="M1363" s="8">
        <v>1.10475</v>
      </c>
      <c r="N1363">
        <v>145.23264029167</v>
      </c>
      <c r="O1363">
        <v>2213</v>
      </c>
      <c r="P1363" s="9">
        <v>0.191452817379498</v>
      </c>
      <c r="Q1363" t="s">
        <v>1129</v>
      </c>
      <c r="T1363" s="15" t="s">
        <v>290</v>
      </c>
      <c r="W1363" s="16" t="str">
        <f t="shared" si="134"/>
        <v>EN_WON_19_c04_LAO</v>
      </c>
      <c r="X1363" s="12">
        <f t="shared" si="135"/>
        <v>2213</v>
      </c>
      <c r="Y1363" s="11">
        <f t="shared" si="136"/>
        <v>2213</v>
      </c>
    </row>
    <row r="1364" spans="2:25">
      <c r="B1364" t="s">
        <v>26</v>
      </c>
      <c r="C1364" t="s">
        <v>7025</v>
      </c>
      <c r="D1364" t="s">
        <v>7026</v>
      </c>
      <c r="E1364" t="s">
        <v>29</v>
      </c>
      <c r="F1364" t="s">
        <v>30</v>
      </c>
      <c r="G1364" t="s">
        <v>31</v>
      </c>
      <c r="J1364" t="s">
        <v>7025</v>
      </c>
      <c r="K1364" t="s">
        <v>1967</v>
      </c>
      <c r="L1364" t="s">
        <v>7000</v>
      </c>
      <c r="M1364" s="8">
        <v>3.2265</v>
      </c>
      <c r="N1364">
        <v>105.747516212372</v>
      </c>
      <c r="O1364">
        <v>2213</v>
      </c>
      <c r="P1364" s="9">
        <v>0.203984425848443</v>
      </c>
      <c r="Q1364" t="s">
        <v>1129</v>
      </c>
      <c r="T1364" s="15" t="s">
        <v>290</v>
      </c>
      <c r="W1364" s="16" t="str">
        <f t="shared" si="134"/>
        <v>EN_WON_20_c03_LAO</v>
      </c>
      <c r="X1364" s="12">
        <f t="shared" si="135"/>
        <v>2213</v>
      </c>
      <c r="Y1364" s="11">
        <f t="shared" si="136"/>
        <v>2213</v>
      </c>
    </row>
    <row r="1365" spans="2:25">
      <c r="B1365" t="s">
        <v>26</v>
      </c>
      <c r="C1365" t="s">
        <v>7027</v>
      </c>
      <c r="D1365" t="s">
        <v>7028</v>
      </c>
      <c r="E1365" t="s">
        <v>29</v>
      </c>
      <c r="F1365" t="s">
        <v>30</v>
      </c>
      <c r="G1365" t="s">
        <v>31</v>
      </c>
      <c r="J1365" t="s">
        <v>7027</v>
      </c>
      <c r="K1365" t="s">
        <v>1967</v>
      </c>
      <c r="L1365" t="s">
        <v>7000</v>
      </c>
      <c r="M1365" s="8">
        <v>0.21525</v>
      </c>
      <c r="N1365">
        <v>145.23264029167</v>
      </c>
      <c r="O1365">
        <v>2213</v>
      </c>
      <c r="P1365" s="9">
        <v>0.197216027874564</v>
      </c>
      <c r="Q1365" t="s">
        <v>1129</v>
      </c>
      <c r="T1365" s="15" t="s">
        <v>290</v>
      </c>
      <c r="W1365" s="16" t="str">
        <f t="shared" si="134"/>
        <v>EN_WON_20_c04_LAO</v>
      </c>
      <c r="X1365" s="12">
        <f t="shared" si="135"/>
        <v>2213</v>
      </c>
      <c r="Y1365" s="11">
        <f t="shared" si="136"/>
        <v>2213</v>
      </c>
    </row>
    <row r="1366" spans="2:25">
      <c r="B1366" t="s">
        <v>26</v>
      </c>
      <c r="C1366" t="s">
        <v>7029</v>
      </c>
      <c r="D1366" t="s">
        <v>7030</v>
      </c>
      <c r="E1366" t="s">
        <v>29</v>
      </c>
      <c r="F1366" t="s">
        <v>30</v>
      </c>
      <c r="G1366" t="s">
        <v>31</v>
      </c>
      <c r="J1366" t="s">
        <v>7029</v>
      </c>
      <c r="K1366" t="s">
        <v>1967</v>
      </c>
      <c r="L1366" t="s">
        <v>7000</v>
      </c>
      <c r="M1366" s="8">
        <v>0.45</v>
      </c>
      <c r="N1366">
        <v>105.747516212372</v>
      </c>
      <c r="O1366">
        <v>2213</v>
      </c>
      <c r="P1366" s="9">
        <v>0.210536666666667</v>
      </c>
      <c r="Q1366" t="s">
        <v>1129</v>
      </c>
      <c r="T1366" s="15" t="s">
        <v>290</v>
      </c>
      <c r="W1366" s="16" t="str">
        <f t="shared" si="134"/>
        <v>EN_WON_21_c03_LAO</v>
      </c>
      <c r="X1366" s="12">
        <f t="shared" si="135"/>
        <v>2213</v>
      </c>
      <c r="Y1366" s="11">
        <f t="shared" si="136"/>
        <v>2213</v>
      </c>
    </row>
    <row r="1367" spans="2:25">
      <c r="B1367" t="s">
        <v>26</v>
      </c>
      <c r="C1367" t="s">
        <v>7031</v>
      </c>
      <c r="D1367" t="s">
        <v>7032</v>
      </c>
      <c r="E1367" t="s">
        <v>29</v>
      </c>
      <c r="F1367" t="s">
        <v>30</v>
      </c>
      <c r="G1367" t="s">
        <v>31</v>
      </c>
      <c r="J1367" t="s">
        <v>7031</v>
      </c>
      <c r="K1367" t="s">
        <v>1967</v>
      </c>
      <c r="L1367" t="s">
        <v>7000</v>
      </c>
      <c r="M1367" s="8">
        <v>0.228</v>
      </c>
      <c r="N1367">
        <v>145.23264029167</v>
      </c>
      <c r="O1367">
        <v>2213</v>
      </c>
      <c r="P1367" s="9">
        <v>0.212447368421053</v>
      </c>
      <c r="Q1367" t="s">
        <v>1129</v>
      </c>
      <c r="T1367" s="15" t="s">
        <v>290</v>
      </c>
      <c r="W1367" s="16" t="str">
        <f t="shared" si="134"/>
        <v>EN_WON_21_c04_LAO</v>
      </c>
      <c r="X1367" s="12">
        <f t="shared" si="135"/>
        <v>2213</v>
      </c>
      <c r="Y1367" s="11">
        <f t="shared" si="136"/>
        <v>2213</v>
      </c>
    </row>
    <row r="1368" spans="2:25">
      <c r="B1368" t="s">
        <v>26</v>
      </c>
      <c r="C1368" t="s">
        <v>7033</v>
      </c>
      <c r="D1368" t="s">
        <v>7034</v>
      </c>
      <c r="E1368" t="s">
        <v>29</v>
      </c>
      <c r="F1368" t="s">
        <v>30</v>
      </c>
      <c r="G1368" t="s">
        <v>31</v>
      </c>
      <c r="J1368" t="s">
        <v>7033</v>
      </c>
      <c r="K1368" t="s">
        <v>1967</v>
      </c>
      <c r="L1368" t="s">
        <v>7000</v>
      </c>
      <c r="M1368" s="8">
        <v>4.41225</v>
      </c>
      <c r="N1368">
        <v>80.7856561622413</v>
      </c>
      <c r="O1368">
        <v>2213</v>
      </c>
      <c r="P1368" s="9">
        <v>0.219241203467619</v>
      </c>
      <c r="Q1368" t="s">
        <v>1129</v>
      </c>
      <c r="T1368" s="15" t="s">
        <v>290</v>
      </c>
      <c r="W1368" s="16" t="str">
        <f t="shared" si="134"/>
        <v>EN_WON_22_c02_LAO</v>
      </c>
      <c r="X1368" s="12">
        <f t="shared" si="135"/>
        <v>2213</v>
      </c>
      <c r="Y1368" s="11">
        <f t="shared" si="136"/>
        <v>2213</v>
      </c>
    </row>
    <row r="1369" spans="2:25">
      <c r="B1369" t="s">
        <v>26</v>
      </c>
      <c r="C1369" t="s">
        <v>7035</v>
      </c>
      <c r="D1369" t="s">
        <v>7036</v>
      </c>
      <c r="E1369" t="s">
        <v>29</v>
      </c>
      <c r="F1369" t="s">
        <v>30</v>
      </c>
      <c r="G1369" t="s">
        <v>31</v>
      </c>
      <c r="J1369" t="s">
        <v>7035</v>
      </c>
      <c r="K1369" t="s">
        <v>1967</v>
      </c>
      <c r="L1369" t="s">
        <v>7000</v>
      </c>
      <c r="M1369" s="8">
        <v>1.78125</v>
      </c>
      <c r="N1369">
        <v>105.747516212372</v>
      </c>
      <c r="O1369">
        <v>2213</v>
      </c>
      <c r="P1369" s="9">
        <v>0.218777684210526</v>
      </c>
      <c r="Q1369" t="s">
        <v>1129</v>
      </c>
      <c r="T1369" s="15" t="s">
        <v>290</v>
      </c>
      <c r="W1369" s="16" t="str">
        <f t="shared" si="134"/>
        <v>EN_WON_22_c03_LAO</v>
      </c>
      <c r="X1369" s="12">
        <f t="shared" si="135"/>
        <v>2213</v>
      </c>
      <c r="Y1369" s="11">
        <f t="shared" si="136"/>
        <v>2213</v>
      </c>
    </row>
    <row r="1370" spans="2:25">
      <c r="B1370" t="s">
        <v>26</v>
      </c>
      <c r="C1370" t="s">
        <v>7037</v>
      </c>
      <c r="D1370" t="s">
        <v>7038</v>
      </c>
      <c r="E1370" t="s">
        <v>29</v>
      </c>
      <c r="F1370" t="s">
        <v>30</v>
      </c>
      <c r="G1370" t="s">
        <v>31</v>
      </c>
      <c r="J1370" t="s">
        <v>7037</v>
      </c>
      <c r="K1370" t="s">
        <v>1967</v>
      </c>
      <c r="L1370" t="s">
        <v>7000</v>
      </c>
      <c r="M1370" s="8">
        <v>0.5085</v>
      </c>
      <c r="N1370">
        <v>145.23264029167</v>
      </c>
      <c r="O1370">
        <v>2213</v>
      </c>
      <c r="P1370" s="9">
        <v>0.218</v>
      </c>
      <c r="Q1370" t="s">
        <v>1129</v>
      </c>
      <c r="T1370" s="15" t="s">
        <v>290</v>
      </c>
      <c r="W1370" s="16" t="str">
        <f t="shared" si="134"/>
        <v>EN_WON_22_c04_LAO</v>
      </c>
      <c r="X1370" s="12">
        <f t="shared" si="135"/>
        <v>2213</v>
      </c>
      <c r="Y1370" s="11">
        <f t="shared" si="136"/>
        <v>2213</v>
      </c>
    </row>
    <row r="1371" spans="2:25">
      <c r="B1371" t="s">
        <v>26</v>
      </c>
      <c r="C1371" t="s">
        <v>7039</v>
      </c>
      <c r="D1371" t="s">
        <v>7040</v>
      </c>
      <c r="E1371" t="s">
        <v>29</v>
      </c>
      <c r="F1371" t="s">
        <v>30</v>
      </c>
      <c r="G1371" t="s">
        <v>31</v>
      </c>
      <c r="J1371" t="s">
        <v>7039</v>
      </c>
      <c r="K1371" t="s">
        <v>1967</v>
      </c>
      <c r="L1371" t="s">
        <v>7000</v>
      </c>
      <c r="M1371" s="8">
        <v>2.586</v>
      </c>
      <c r="N1371">
        <v>80.7856561622413</v>
      </c>
      <c r="O1371">
        <v>2213</v>
      </c>
      <c r="P1371" s="9">
        <v>0.225087006960557</v>
      </c>
      <c r="Q1371" t="s">
        <v>1129</v>
      </c>
      <c r="T1371" s="15" t="s">
        <v>290</v>
      </c>
      <c r="W1371" s="16" t="str">
        <f t="shared" si="134"/>
        <v>EN_WON_23_c02_LAO</v>
      </c>
      <c r="X1371" s="12">
        <f t="shared" si="135"/>
        <v>2213</v>
      </c>
      <c r="Y1371" s="11">
        <f t="shared" si="136"/>
        <v>2213</v>
      </c>
    </row>
    <row r="1372" spans="2:25">
      <c r="B1372" t="s">
        <v>26</v>
      </c>
      <c r="C1372" t="s">
        <v>7041</v>
      </c>
      <c r="D1372" t="s">
        <v>7042</v>
      </c>
      <c r="E1372" t="s">
        <v>29</v>
      </c>
      <c r="F1372" t="s">
        <v>30</v>
      </c>
      <c r="G1372" t="s">
        <v>31</v>
      </c>
      <c r="J1372" t="s">
        <v>7041</v>
      </c>
      <c r="K1372" t="s">
        <v>1967</v>
      </c>
      <c r="L1372" t="s">
        <v>7000</v>
      </c>
      <c r="M1372" s="8">
        <v>0.063</v>
      </c>
      <c r="N1372">
        <v>145.23264029167</v>
      </c>
      <c r="O1372">
        <v>2213</v>
      </c>
      <c r="P1372" s="9">
        <v>0.232</v>
      </c>
      <c r="Q1372" t="s">
        <v>1129</v>
      </c>
      <c r="T1372" s="15" t="s">
        <v>290</v>
      </c>
      <c r="W1372" s="16" t="str">
        <f t="shared" si="134"/>
        <v>EN_WON_23_c04_LAO</v>
      </c>
      <c r="X1372" s="12">
        <f t="shared" si="135"/>
        <v>2213</v>
      </c>
      <c r="Y1372" s="11">
        <f t="shared" si="136"/>
        <v>2213</v>
      </c>
    </row>
    <row r="1373" spans="2:25">
      <c r="B1373" t="s">
        <v>26</v>
      </c>
      <c r="C1373" t="s">
        <v>7043</v>
      </c>
      <c r="D1373" t="s">
        <v>7044</v>
      </c>
      <c r="E1373" t="s">
        <v>29</v>
      </c>
      <c r="F1373" t="s">
        <v>30</v>
      </c>
      <c r="G1373" t="s">
        <v>31</v>
      </c>
      <c r="J1373" t="s">
        <v>7043</v>
      </c>
      <c r="K1373" t="s">
        <v>1967</v>
      </c>
      <c r="L1373" t="s">
        <v>7000</v>
      </c>
      <c r="M1373" s="8">
        <v>0.05175</v>
      </c>
      <c r="N1373">
        <v>80.7856561622413</v>
      </c>
      <c r="O1373">
        <v>2213</v>
      </c>
      <c r="P1373" s="9">
        <v>0.239</v>
      </c>
      <c r="Q1373" t="s">
        <v>1129</v>
      </c>
      <c r="T1373" s="15" t="s">
        <v>290</v>
      </c>
      <c r="W1373" s="16" t="str">
        <f t="shared" si="134"/>
        <v>EN_WON_24_c02_LAO</v>
      </c>
      <c r="X1373" s="12">
        <f t="shared" si="135"/>
        <v>2213</v>
      </c>
      <c r="Y1373" s="11">
        <f t="shared" si="136"/>
        <v>2213</v>
      </c>
    </row>
    <row r="1374" spans="2:25">
      <c r="B1374" t="s">
        <v>26</v>
      </c>
      <c r="C1374" t="s">
        <v>7045</v>
      </c>
      <c r="D1374" t="s">
        <v>7046</v>
      </c>
      <c r="E1374" t="s">
        <v>29</v>
      </c>
      <c r="F1374" t="s">
        <v>30</v>
      </c>
      <c r="G1374" t="s">
        <v>31</v>
      </c>
      <c r="J1374" t="s">
        <v>7045</v>
      </c>
      <c r="K1374" t="s">
        <v>1967</v>
      </c>
      <c r="L1374" t="s">
        <v>7000</v>
      </c>
      <c r="M1374" s="8">
        <v>3.075</v>
      </c>
      <c r="N1374">
        <v>0</v>
      </c>
      <c r="O1374">
        <v>2213</v>
      </c>
      <c r="P1374" s="9">
        <v>0.249</v>
      </c>
      <c r="Q1374" t="s">
        <v>1129</v>
      </c>
      <c r="T1374" s="15" t="s">
        <v>290</v>
      </c>
      <c r="W1374" s="16" t="str">
        <f t="shared" si="134"/>
        <v>EN_WON_25_c01_LAO</v>
      </c>
      <c r="X1374" s="12">
        <f t="shared" si="135"/>
        <v>2213</v>
      </c>
      <c r="Y1374" s="11">
        <f t="shared" si="136"/>
        <v>2213</v>
      </c>
    </row>
    <row r="1375" spans="2:25">
      <c r="B1375" t="s">
        <v>26</v>
      </c>
      <c r="C1375" t="s">
        <v>7047</v>
      </c>
      <c r="D1375" t="s">
        <v>7048</v>
      </c>
      <c r="E1375" t="s">
        <v>29</v>
      </c>
      <c r="F1375" t="s">
        <v>30</v>
      </c>
      <c r="G1375" t="s">
        <v>31</v>
      </c>
      <c r="J1375" t="s">
        <v>7047</v>
      </c>
      <c r="K1375" t="s">
        <v>1967</v>
      </c>
      <c r="L1375" t="s">
        <v>7000</v>
      </c>
      <c r="M1375" s="8">
        <v>2.6865</v>
      </c>
      <c r="N1375">
        <v>80.7856561622413</v>
      </c>
      <c r="O1375">
        <v>2213</v>
      </c>
      <c r="P1375" s="9">
        <v>0.245</v>
      </c>
      <c r="Q1375" t="s">
        <v>1129</v>
      </c>
      <c r="T1375" s="15" t="s">
        <v>290</v>
      </c>
      <c r="W1375" s="16" t="str">
        <f t="shared" si="134"/>
        <v>EN_WON_25_c02_LAO</v>
      </c>
      <c r="X1375" s="12">
        <f t="shared" si="135"/>
        <v>2213</v>
      </c>
      <c r="Y1375" s="11">
        <f t="shared" si="136"/>
        <v>2213</v>
      </c>
    </row>
    <row r="1376" spans="2:25">
      <c r="B1376" t="s">
        <v>26</v>
      </c>
      <c r="C1376" t="s">
        <v>7049</v>
      </c>
      <c r="D1376" t="s">
        <v>7050</v>
      </c>
      <c r="E1376" t="s">
        <v>29</v>
      </c>
      <c r="F1376" t="s">
        <v>30</v>
      </c>
      <c r="G1376" t="s">
        <v>31</v>
      </c>
      <c r="J1376" t="s">
        <v>7049</v>
      </c>
      <c r="K1376" t="s">
        <v>1967</v>
      </c>
      <c r="L1376" t="s">
        <v>7000</v>
      </c>
      <c r="M1376" s="8">
        <v>0.22575</v>
      </c>
      <c r="N1376">
        <v>145.23264029167</v>
      </c>
      <c r="O1376">
        <v>2213</v>
      </c>
      <c r="P1376" s="9">
        <v>0.253</v>
      </c>
      <c r="Q1376" t="s">
        <v>1129</v>
      </c>
      <c r="T1376" s="15" t="s">
        <v>290</v>
      </c>
      <c r="W1376" s="16" t="str">
        <f t="shared" si="134"/>
        <v>EN_WON_25_c04_LAO</v>
      </c>
      <c r="X1376" s="12">
        <f t="shared" si="135"/>
        <v>2213</v>
      </c>
      <c r="Y1376" s="11">
        <f t="shared" si="136"/>
        <v>2213</v>
      </c>
    </row>
    <row r="1377" spans="2:25">
      <c r="B1377" t="s">
        <v>26</v>
      </c>
      <c r="C1377" t="s">
        <v>7051</v>
      </c>
      <c r="D1377" t="s">
        <v>7052</v>
      </c>
      <c r="E1377" t="s">
        <v>29</v>
      </c>
      <c r="F1377" t="s">
        <v>30</v>
      </c>
      <c r="G1377" t="s">
        <v>31</v>
      </c>
      <c r="J1377" t="s">
        <v>7051</v>
      </c>
      <c r="K1377" t="s">
        <v>1967</v>
      </c>
      <c r="L1377" t="s">
        <v>7000</v>
      </c>
      <c r="M1377" s="8">
        <v>3.15075</v>
      </c>
      <c r="N1377">
        <v>0</v>
      </c>
      <c r="O1377">
        <v>2213</v>
      </c>
      <c r="P1377" s="9">
        <v>0.256</v>
      </c>
      <c r="Q1377" t="s">
        <v>1129</v>
      </c>
      <c r="T1377" s="15" t="s">
        <v>290</v>
      </c>
      <c r="W1377" s="16" t="str">
        <f t="shared" si="134"/>
        <v>EN_WON_26_c01_LAO</v>
      </c>
      <c r="X1377" s="12">
        <f t="shared" si="135"/>
        <v>2213</v>
      </c>
      <c r="Y1377" s="11">
        <f t="shared" si="136"/>
        <v>2213</v>
      </c>
    </row>
    <row r="1378" spans="2:25">
      <c r="B1378" t="s">
        <v>26</v>
      </c>
      <c r="C1378" t="s">
        <v>7053</v>
      </c>
      <c r="D1378" t="s">
        <v>7054</v>
      </c>
      <c r="E1378" t="s">
        <v>29</v>
      </c>
      <c r="F1378" t="s">
        <v>30</v>
      </c>
      <c r="G1378" t="s">
        <v>31</v>
      </c>
      <c r="J1378" t="s">
        <v>7053</v>
      </c>
      <c r="K1378" t="s">
        <v>1967</v>
      </c>
      <c r="L1378" t="s">
        <v>7000</v>
      </c>
      <c r="M1378" s="8">
        <v>0.13575</v>
      </c>
      <c r="N1378">
        <v>105.747516212372</v>
      </c>
      <c r="O1378">
        <v>2213</v>
      </c>
      <c r="P1378" s="9">
        <v>0.255</v>
      </c>
      <c r="Q1378" t="s">
        <v>1129</v>
      </c>
      <c r="T1378" s="15" t="s">
        <v>290</v>
      </c>
      <c r="W1378" s="16" t="str">
        <f t="shared" si="134"/>
        <v>EN_WON_26_c03_LAO</v>
      </c>
      <c r="X1378" s="12">
        <f t="shared" si="135"/>
        <v>2213</v>
      </c>
      <c r="Y1378" s="11">
        <f t="shared" si="136"/>
        <v>2213</v>
      </c>
    </row>
    <row r="1379" spans="2:25">
      <c r="B1379" t="s">
        <v>26</v>
      </c>
      <c r="C1379" t="s">
        <v>7055</v>
      </c>
      <c r="D1379" t="s">
        <v>7056</v>
      </c>
      <c r="E1379" t="s">
        <v>29</v>
      </c>
      <c r="F1379" t="s">
        <v>30</v>
      </c>
      <c r="G1379" t="s">
        <v>31</v>
      </c>
      <c r="J1379" t="s">
        <v>7055</v>
      </c>
      <c r="K1379" t="s">
        <v>1967</v>
      </c>
      <c r="L1379" t="s">
        <v>7000</v>
      </c>
      <c r="M1379" s="8">
        <v>0.1545</v>
      </c>
      <c r="N1379">
        <v>80.7856561622413</v>
      </c>
      <c r="O1379">
        <v>2213</v>
      </c>
      <c r="P1379" s="9">
        <v>0.271</v>
      </c>
      <c r="Q1379" t="s">
        <v>1129</v>
      </c>
      <c r="T1379" s="15" t="s">
        <v>290</v>
      </c>
      <c r="W1379" s="16" t="str">
        <f t="shared" si="134"/>
        <v>EN_WON_27_c02_LAO</v>
      </c>
      <c r="X1379" s="12">
        <f t="shared" si="135"/>
        <v>2213</v>
      </c>
      <c r="Y1379" s="11">
        <f t="shared" si="136"/>
        <v>2213</v>
      </c>
    </row>
    <row r="1380" spans="2:25">
      <c r="B1380" t="s">
        <v>26</v>
      </c>
      <c r="C1380" t="s">
        <v>7057</v>
      </c>
      <c r="D1380" t="s">
        <v>7058</v>
      </c>
      <c r="E1380" t="s">
        <v>29</v>
      </c>
      <c r="F1380" t="s">
        <v>30</v>
      </c>
      <c r="G1380" t="s">
        <v>31</v>
      </c>
      <c r="J1380" t="s">
        <v>7057</v>
      </c>
      <c r="K1380" t="s">
        <v>1967</v>
      </c>
      <c r="L1380" t="s">
        <v>7000</v>
      </c>
      <c r="M1380" s="8">
        <v>1.94625</v>
      </c>
      <c r="N1380">
        <v>80.7856561622413</v>
      </c>
      <c r="O1380">
        <v>2213</v>
      </c>
      <c r="P1380" s="9">
        <v>0.285</v>
      </c>
      <c r="Q1380" t="s">
        <v>1129</v>
      </c>
      <c r="T1380" s="15" t="s">
        <v>290</v>
      </c>
      <c r="W1380" s="16" t="str">
        <f t="shared" si="134"/>
        <v>EN_WON_28_c02_LAO</v>
      </c>
      <c r="X1380" s="12">
        <f t="shared" si="135"/>
        <v>2213</v>
      </c>
      <c r="Y1380" s="11">
        <f t="shared" si="136"/>
        <v>2213</v>
      </c>
    </row>
    <row r="1381" spans="2:25">
      <c r="B1381" t="s">
        <v>26</v>
      </c>
      <c r="C1381" t="s">
        <v>7059</v>
      </c>
      <c r="D1381" t="s">
        <v>7060</v>
      </c>
      <c r="E1381" t="s">
        <v>29</v>
      </c>
      <c r="F1381" t="s">
        <v>30</v>
      </c>
      <c r="G1381" t="s">
        <v>31</v>
      </c>
      <c r="J1381" t="s">
        <v>7059</v>
      </c>
      <c r="K1381" t="s">
        <v>1967</v>
      </c>
      <c r="L1381" t="s">
        <v>7000</v>
      </c>
      <c r="M1381" s="8">
        <v>0.78525</v>
      </c>
      <c r="N1381">
        <v>105.747516212372</v>
      </c>
      <c r="O1381">
        <v>2213</v>
      </c>
      <c r="P1381" s="9">
        <v>0.291</v>
      </c>
      <c r="Q1381" t="s">
        <v>1129</v>
      </c>
      <c r="T1381" s="15" t="s">
        <v>290</v>
      </c>
      <c r="W1381" s="16" t="str">
        <f t="shared" si="134"/>
        <v>EN_WON_29_c03_LAO</v>
      </c>
      <c r="X1381" s="12">
        <f t="shared" si="135"/>
        <v>2213</v>
      </c>
      <c r="Y1381" s="11">
        <f t="shared" si="136"/>
        <v>2213</v>
      </c>
    </row>
    <row r="1382" spans="2:25">
      <c r="B1382" t="s">
        <v>26</v>
      </c>
      <c r="C1382" t="s">
        <v>7061</v>
      </c>
      <c r="D1382" t="s">
        <v>7062</v>
      </c>
      <c r="E1382" t="s">
        <v>29</v>
      </c>
      <c r="F1382" t="s">
        <v>30</v>
      </c>
      <c r="G1382" t="s">
        <v>31</v>
      </c>
      <c r="J1382" t="s">
        <v>7061</v>
      </c>
      <c r="K1382" t="s">
        <v>1967</v>
      </c>
      <c r="L1382" t="s">
        <v>7000</v>
      </c>
      <c r="M1382" s="8">
        <v>0.28875</v>
      </c>
      <c r="N1382">
        <v>105.747516212372</v>
      </c>
      <c r="O1382">
        <v>2213</v>
      </c>
      <c r="P1382" s="9">
        <v>0.3</v>
      </c>
      <c r="Q1382" t="s">
        <v>1129</v>
      </c>
      <c r="T1382" s="15" t="s">
        <v>290</v>
      </c>
      <c r="W1382" s="16" t="str">
        <f t="shared" si="134"/>
        <v>EN_WON_30_c03_LAO</v>
      </c>
      <c r="X1382" s="12">
        <f t="shared" si="135"/>
        <v>2213</v>
      </c>
      <c r="Y1382" s="11">
        <f t="shared" si="136"/>
        <v>2213</v>
      </c>
    </row>
    <row r="1383" spans="2:25">
      <c r="B1383" t="s">
        <v>26</v>
      </c>
      <c r="C1383" t="s">
        <v>7063</v>
      </c>
      <c r="D1383" t="s">
        <v>7064</v>
      </c>
      <c r="E1383" t="s">
        <v>29</v>
      </c>
      <c r="F1383" t="s">
        <v>30</v>
      </c>
      <c r="G1383" t="s">
        <v>31</v>
      </c>
      <c r="J1383" t="s">
        <v>7063</v>
      </c>
      <c r="K1383" t="s">
        <v>1967</v>
      </c>
      <c r="L1383" t="s">
        <v>7065</v>
      </c>
      <c r="M1383" s="8">
        <v>1.22025</v>
      </c>
      <c r="N1383">
        <v>145.23264029167</v>
      </c>
      <c r="O1383">
        <v>1756</v>
      </c>
      <c r="P1383" s="9">
        <v>0.174</v>
      </c>
      <c r="Q1383" t="s">
        <v>1135</v>
      </c>
      <c r="T1383" s="15" t="s">
        <v>80</v>
      </c>
      <c r="W1383" s="16" t="str">
        <f t="shared" si="134"/>
        <v>EN_WON_17_c04_LBN</v>
      </c>
      <c r="X1383" s="12">
        <f t="shared" si="135"/>
        <v>1756</v>
      </c>
      <c r="Y1383" s="11">
        <f t="shared" si="136"/>
        <v>1756</v>
      </c>
    </row>
    <row r="1384" spans="2:25">
      <c r="B1384" t="s">
        <v>26</v>
      </c>
      <c r="C1384" t="s">
        <v>7066</v>
      </c>
      <c r="D1384" t="s">
        <v>7067</v>
      </c>
      <c r="E1384" t="s">
        <v>29</v>
      </c>
      <c r="F1384" t="s">
        <v>30</v>
      </c>
      <c r="G1384" t="s">
        <v>31</v>
      </c>
      <c r="J1384" t="s">
        <v>7066</v>
      </c>
      <c r="K1384" t="s">
        <v>1967</v>
      </c>
      <c r="L1384" t="s">
        <v>7065</v>
      </c>
      <c r="M1384" s="8">
        <v>4.899</v>
      </c>
      <c r="N1384">
        <v>145.23264029167</v>
      </c>
      <c r="O1384">
        <v>1756</v>
      </c>
      <c r="P1384" s="9">
        <v>0.175</v>
      </c>
      <c r="Q1384" t="s">
        <v>1135</v>
      </c>
      <c r="T1384" s="15" t="s">
        <v>80</v>
      </c>
      <c r="W1384" s="16" t="str">
        <f t="shared" si="134"/>
        <v>EN_WON_18_c04_LBN</v>
      </c>
      <c r="X1384" s="12">
        <f t="shared" si="135"/>
        <v>1756</v>
      </c>
      <c r="Y1384" s="11">
        <f t="shared" si="136"/>
        <v>1756</v>
      </c>
    </row>
    <row r="1385" spans="2:25">
      <c r="B1385" t="s">
        <v>26</v>
      </c>
      <c r="C1385" t="s">
        <v>7068</v>
      </c>
      <c r="D1385" t="s">
        <v>7069</v>
      </c>
      <c r="E1385" t="s">
        <v>29</v>
      </c>
      <c r="F1385" t="s">
        <v>30</v>
      </c>
      <c r="G1385" t="s">
        <v>31</v>
      </c>
      <c r="J1385" t="s">
        <v>7068</v>
      </c>
      <c r="K1385" t="s">
        <v>1967</v>
      </c>
      <c r="L1385" t="s">
        <v>7065</v>
      </c>
      <c r="M1385" s="8">
        <v>8.58075</v>
      </c>
      <c r="N1385">
        <v>145.23264029167</v>
      </c>
      <c r="O1385">
        <v>1756</v>
      </c>
      <c r="P1385" s="9">
        <v>0.187769425749497</v>
      </c>
      <c r="Q1385" t="s">
        <v>1135</v>
      </c>
      <c r="T1385" s="15" t="s">
        <v>80</v>
      </c>
      <c r="W1385" s="16" t="str">
        <f t="shared" si="134"/>
        <v>EN_WON_19_c04_LBN</v>
      </c>
      <c r="X1385" s="12">
        <f t="shared" si="135"/>
        <v>1756</v>
      </c>
      <c r="Y1385" s="11">
        <f t="shared" si="136"/>
        <v>1756</v>
      </c>
    </row>
    <row r="1386" spans="2:25">
      <c r="B1386" t="s">
        <v>26</v>
      </c>
      <c r="C1386" t="s">
        <v>7070</v>
      </c>
      <c r="D1386" t="s">
        <v>7071</v>
      </c>
      <c r="E1386" t="s">
        <v>29</v>
      </c>
      <c r="F1386" t="s">
        <v>30</v>
      </c>
      <c r="G1386" t="s">
        <v>31</v>
      </c>
      <c r="J1386" t="s">
        <v>7070</v>
      </c>
      <c r="K1386" t="s">
        <v>1967</v>
      </c>
      <c r="L1386" t="s">
        <v>4341</v>
      </c>
      <c r="M1386" s="8">
        <v>30.00675</v>
      </c>
      <c r="N1386">
        <v>145.23264029167</v>
      </c>
      <c r="O1386">
        <v>1514</v>
      </c>
      <c r="P1386" s="9">
        <v>0.408611337449074</v>
      </c>
      <c r="Q1386" t="s">
        <v>1149</v>
      </c>
      <c r="T1386" s="15" t="s">
        <v>80</v>
      </c>
      <c r="W1386" s="16" t="str">
        <f t="shared" si="134"/>
        <v>EN_WON_41_c04_LBY</v>
      </c>
      <c r="X1386" s="12">
        <f t="shared" si="135"/>
        <v>1514</v>
      </c>
      <c r="Y1386" s="11">
        <f t="shared" si="136"/>
        <v>1514</v>
      </c>
    </row>
    <row r="1387" spans="2:25">
      <c r="B1387" t="s">
        <v>26</v>
      </c>
      <c r="C1387" t="s">
        <v>7072</v>
      </c>
      <c r="D1387" t="s">
        <v>7073</v>
      </c>
      <c r="E1387" t="s">
        <v>29</v>
      </c>
      <c r="F1387" t="s">
        <v>30</v>
      </c>
      <c r="G1387" t="s">
        <v>31</v>
      </c>
      <c r="J1387" t="s">
        <v>7072</v>
      </c>
      <c r="K1387" t="s">
        <v>1967</v>
      </c>
      <c r="L1387" t="s">
        <v>4341</v>
      </c>
      <c r="M1387" s="8">
        <v>6.003</v>
      </c>
      <c r="N1387">
        <v>105.747516212372</v>
      </c>
      <c r="O1387">
        <v>1514</v>
      </c>
      <c r="P1387" s="9">
        <v>0.424</v>
      </c>
      <c r="Q1387" t="s">
        <v>1149</v>
      </c>
      <c r="T1387" s="15" t="s">
        <v>80</v>
      </c>
      <c r="W1387" s="16" t="str">
        <f t="shared" si="134"/>
        <v>EN_WON_42_c03_LBY</v>
      </c>
      <c r="X1387" s="12">
        <f t="shared" si="135"/>
        <v>1514</v>
      </c>
      <c r="Y1387" s="11">
        <f t="shared" si="136"/>
        <v>1514</v>
      </c>
    </row>
    <row r="1388" spans="2:25">
      <c r="B1388" t="s">
        <v>26</v>
      </c>
      <c r="C1388" t="s">
        <v>7074</v>
      </c>
      <c r="D1388" t="s">
        <v>7075</v>
      </c>
      <c r="E1388" t="s">
        <v>29</v>
      </c>
      <c r="F1388" t="s">
        <v>30</v>
      </c>
      <c r="G1388" t="s">
        <v>31</v>
      </c>
      <c r="J1388" t="s">
        <v>7074</v>
      </c>
      <c r="K1388" t="s">
        <v>1967</v>
      </c>
      <c r="L1388" t="s">
        <v>4341</v>
      </c>
      <c r="M1388" s="8">
        <v>12.07125</v>
      </c>
      <c r="N1388">
        <v>145.23264029167</v>
      </c>
      <c r="O1388">
        <v>1514</v>
      </c>
      <c r="P1388" s="9">
        <v>0.419502702702703</v>
      </c>
      <c r="Q1388" t="s">
        <v>1149</v>
      </c>
      <c r="T1388" s="15" t="s">
        <v>80</v>
      </c>
      <c r="W1388" s="16" t="str">
        <f t="shared" si="134"/>
        <v>EN_WON_42_c04_LBY</v>
      </c>
      <c r="X1388" s="12">
        <f t="shared" si="135"/>
        <v>1514</v>
      </c>
      <c r="Y1388" s="11">
        <f t="shared" si="136"/>
        <v>1514</v>
      </c>
    </row>
    <row r="1389" spans="2:25">
      <c r="B1389" t="s">
        <v>26</v>
      </c>
      <c r="C1389" t="s">
        <v>7076</v>
      </c>
      <c r="D1389" t="s">
        <v>7077</v>
      </c>
      <c r="E1389" t="s">
        <v>29</v>
      </c>
      <c r="F1389" t="s">
        <v>30</v>
      </c>
      <c r="G1389" t="s">
        <v>31</v>
      </c>
      <c r="J1389" t="s">
        <v>7076</v>
      </c>
      <c r="K1389" t="s">
        <v>1967</v>
      </c>
      <c r="L1389" t="s">
        <v>4341</v>
      </c>
      <c r="M1389" s="8">
        <v>18.06525</v>
      </c>
      <c r="N1389">
        <v>145.23264029167</v>
      </c>
      <c r="O1389">
        <v>1514</v>
      </c>
      <c r="P1389" s="9">
        <v>0.429320463320463</v>
      </c>
      <c r="Q1389" t="s">
        <v>1149</v>
      </c>
      <c r="T1389" s="15" t="s">
        <v>80</v>
      </c>
      <c r="W1389" s="16" t="str">
        <f t="shared" si="134"/>
        <v>EN_WON_43_c04_LBY</v>
      </c>
      <c r="X1389" s="12">
        <f t="shared" si="135"/>
        <v>1514</v>
      </c>
      <c r="Y1389" s="11">
        <f t="shared" si="136"/>
        <v>1514</v>
      </c>
    </row>
    <row r="1390" spans="2:25">
      <c r="B1390" t="s">
        <v>26</v>
      </c>
      <c r="C1390" t="s">
        <v>7078</v>
      </c>
      <c r="D1390" t="s">
        <v>7079</v>
      </c>
      <c r="E1390" t="s">
        <v>29</v>
      </c>
      <c r="F1390" t="s">
        <v>30</v>
      </c>
      <c r="G1390" t="s">
        <v>31</v>
      </c>
      <c r="J1390" t="s">
        <v>7078</v>
      </c>
      <c r="K1390" t="s">
        <v>1967</v>
      </c>
      <c r="L1390" t="s">
        <v>4341</v>
      </c>
      <c r="M1390" s="8">
        <v>6.003</v>
      </c>
      <c r="N1390">
        <v>105.747516212372</v>
      </c>
      <c r="O1390">
        <v>1514</v>
      </c>
      <c r="P1390" s="9">
        <v>0.484</v>
      </c>
      <c r="Q1390" t="s">
        <v>1149</v>
      </c>
      <c r="T1390" s="15" t="s">
        <v>80</v>
      </c>
      <c r="W1390" s="16" t="str">
        <f t="shared" si="134"/>
        <v>EN_WON_48_c03_LBY</v>
      </c>
      <c r="X1390" s="12">
        <f t="shared" si="135"/>
        <v>1514</v>
      </c>
      <c r="Y1390" s="11">
        <f t="shared" si="136"/>
        <v>1514</v>
      </c>
    </row>
    <row r="1391" spans="2:25">
      <c r="B1391" t="s">
        <v>26</v>
      </c>
      <c r="C1391" t="s">
        <v>7080</v>
      </c>
      <c r="D1391" t="s">
        <v>7081</v>
      </c>
      <c r="E1391" t="s">
        <v>29</v>
      </c>
      <c r="F1391" t="s">
        <v>30</v>
      </c>
      <c r="G1391" t="s">
        <v>31</v>
      </c>
      <c r="J1391" t="s">
        <v>7080</v>
      </c>
      <c r="K1391" t="s">
        <v>1967</v>
      </c>
      <c r="L1391" t="s">
        <v>4392</v>
      </c>
      <c r="M1391" s="8">
        <v>2.21775</v>
      </c>
      <c r="N1391">
        <v>80.7856561622413</v>
      </c>
      <c r="O1391">
        <v>2081</v>
      </c>
      <c r="P1391" s="9">
        <v>0.265327358809604</v>
      </c>
      <c r="Q1391" t="s">
        <v>1155</v>
      </c>
      <c r="T1391" s="15" t="s">
        <v>35</v>
      </c>
      <c r="W1391" s="16" t="str">
        <f t="shared" si="134"/>
        <v>EN_WON_27_c02_LKA</v>
      </c>
      <c r="X1391" s="12">
        <f t="shared" si="135"/>
        <v>2081</v>
      </c>
      <c r="Y1391" s="11">
        <f t="shared" si="136"/>
        <v>2081</v>
      </c>
    </row>
    <row r="1392" spans="2:25">
      <c r="B1392" t="s">
        <v>26</v>
      </c>
      <c r="C1392" t="s">
        <v>7082</v>
      </c>
      <c r="D1392" t="s">
        <v>7083</v>
      </c>
      <c r="E1392" t="s">
        <v>29</v>
      </c>
      <c r="F1392" t="s">
        <v>30</v>
      </c>
      <c r="G1392" t="s">
        <v>31</v>
      </c>
      <c r="J1392" t="s">
        <v>7082</v>
      </c>
      <c r="K1392" t="s">
        <v>1967</v>
      </c>
      <c r="L1392" t="s">
        <v>4392</v>
      </c>
      <c r="M1392" s="8">
        <v>2.38425</v>
      </c>
      <c r="N1392">
        <v>0</v>
      </c>
      <c r="O1392">
        <v>2081</v>
      </c>
      <c r="P1392" s="9">
        <v>0.278229631959736</v>
      </c>
      <c r="Q1392" t="s">
        <v>1155</v>
      </c>
      <c r="T1392" s="15" t="s">
        <v>35</v>
      </c>
      <c r="W1392" s="16" t="str">
        <f t="shared" si="134"/>
        <v>EN_WON_28_c01_LKA</v>
      </c>
      <c r="X1392" s="12">
        <f t="shared" si="135"/>
        <v>2081</v>
      </c>
      <c r="Y1392" s="11">
        <f t="shared" si="136"/>
        <v>2081</v>
      </c>
    </row>
    <row r="1393" spans="2:25">
      <c r="B1393" t="s">
        <v>26</v>
      </c>
      <c r="C1393" t="s">
        <v>7084</v>
      </c>
      <c r="D1393" t="s">
        <v>7085</v>
      </c>
      <c r="E1393" t="s">
        <v>29</v>
      </c>
      <c r="F1393" t="s">
        <v>30</v>
      </c>
      <c r="G1393" t="s">
        <v>31</v>
      </c>
      <c r="J1393" t="s">
        <v>7084</v>
      </c>
      <c r="K1393" t="s">
        <v>1967</v>
      </c>
      <c r="L1393" t="s">
        <v>4392</v>
      </c>
      <c r="M1393" s="8">
        <v>1.8405</v>
      </c>
      <c r="N1393">
        <v>80.7856561622413</v>
      </c>
      <c r="O1393">
        <v>2081</v>
      </c>
      <c r="P1393" s="9">
        <v>0.278251833740831</v>
      </c>
      <c r="Q1393" t="s">
        <v>1155</v>
      </c>
      <c r="T1393" s="15" t="s">
        <v>35</v>
      </c>
      <c r="W1393" s="16" t="str">
        <f t="shared" si="134"/>
        <v>EN_WON_28_c02_LKA</v>
      </c>
      <c r="X1393" s="12">
        <f t="shared" si="135"/>
        <v>2081</v>
      </c>
      <c r="Y1393" s="11">
        <f t="shared" si="136"/>
        <v>2081</v>
      </c>
    </row>
    <row r="1394" spans="2:25">
      <c r="B1394" t="s">
        <v>26</v>
      </c>
      <c r="C1394" t="s">
        <v>7086</v>
      </c>
      <c r="D1394" t="s">
        <v>7087</v>
      </c>
      <c r="E1394" t="s">
        <v>29</v>
      </c>
      <c r="F1394" t="s">
        <v>30</v>
      </c>
      <c r="G1394" t="s">
        <v>31</v>
      </c>
      <c r="J1394" t="s">
        <v>7086</v>
      </c>
      <c r="K1394" t="s">
        <v>1967</v>
      </c>
      <c r="L1394" t="s">
        <v>4392</v>
      </c>
      <c r="M1394" s="8">
        <v>1.2105</v>
      </c>
      <c r="N1394">
        <v>80.7856561622413</v>
      </c>
      <c r="O1394">
        <v>2081</v>
      </c>
      <c r="P1394" s="9">
        <v>0.290283767038414</v>
      </c>
      <c r="Q1394" t="s">
        <v>1155</v>
      </c>
      <c r="T1394" s="15" t="s">
        <v>35</v>
      </c>
      <c r="W1394" s="16" t="str">
        <f t="shared" si="134"/>
        <v>EN_WON_29_c02_LKA</v>
      </c>
      <c r="X1394" s="12">
        <f t="shared" si="135"/>
        <v>2081</v>
      </c>
      <c r="Y1394" s="11">
        <f t="shared" si="136"/>
        <v>2081</v>
      </c>
    </row>
    <row r="1395" spans="2:25">
      <c r="B1395" t="s">
        <v>26</v>
      </c>
      <c r="C1395" t="s">
        <v>7088</v>
      </c>
      <c r="D1395" t="s">
        <v>7089</v>
      </c>
      <c r="E1395" t="s">
        <v>29</v>
      </c>
      <c r="F1395" t="s">
        <v>30</v>
      </c>
      <c r="G1395" t="s">
        <v>31</v>
      </c>
      <c r="J1395" t="s">
        <v>7088</v>
      </c>
      <c r="K1395" t="s">
        <v>1967</v>
      </c>
      <c r="L1395" t="s">
        <v>4392</v>
      </c>
      <c r="M1395" s="8">
        <v>0.15075</v>
      </c>
      <c r="N1395">
        <v>105.747516212372</v>
      </c>
      <c r="O1395">
        <v>2081</v>
      </c>
      <c r="P1395" s="9">
        <v>0.289</v>
      </c>
      <c r="Q1395" t="s">
        <v>1155</v>
      </c>
      <c r="T1395" s="15" t="s">
        <v>35</v>
      </c>
      <c r="W1395" s="16" t="str">
        <f t="shared" si="134"/>
        <v>EN_WON_29_c03_LKA</v>
      </c>
      <c r="X1395" s="12">
        <f t="shared" si="135"/>
        <v>2081</v>
      </c>
      <c r="Y1395" s="11">
        <f t="shared" si="136"/>
        <v>2081</v>
      </c>
    </row>
    <row r="1396" spans="2:25">
      <c r="B1396" t="s">
        <v>26</v>
      </c>
      <c r="C1396" t="s">
        <v>7090</v>
      </c>
      <c r="D1396" t="s">
        <v>7091</v>
      </c>
      <c r="E1396" t="s">
        <v>29</v>
      </c>
      <c r="F1396" t="s">
        <v>30</v>
      </c>
      <c r="G1396" t="s">
        <v>31</v>
      </c>
      <c r="J1396" t="s">
        <v>7090</v>
      </c>
      <c r="K1396" t="s">
        <v>1967</v>
      </c>
      <c r="L1396" t="s">
        <v>4392</v>
      </c>
      <c r="M1396" s="8">
        <v>0.20175</v>
      </c>
      <c r="N1396">
        <v>105.747516212372</v>
      </c>
      <c r="O1396">
        <v>2081</v>
      </c>
      <c r="P1396" s="9">
        <v>0.296</v>
      </c>
      <c r="Q1396" t="s">
        <v>1155</v>
      </c>
      <c r="T1396" s="15" t="s">
        <v>35</v>
      </c>
      <c r="W1396" s="16" t="str">
        <f t="shared" si="134"/>
        <v>EN_WON_30_c03_LKA</v>
      </c>
      <c r="X1396" s="12">
        <f t="shared" si="135"/>
        <v>2081</v>
      </c>
      <c r="Y1396" s="11">
        <f t="shared" si="136"/>
        <v>2081</v>
      </c>
    </row>
    <row r="1397" spans="2:25">
      <c r="B1397" t="s">
        <v>26</v>
      </c>
      <c r="C1397" t="s">
        <v>7092</v>
      </c>
      <c r="D1397" t="s">
        <v>7093</v>
      </c>
      <c r="E1397" t="s">
        <v>29</v>
      </c>
      <c r="F1397" t="s">
        <v>30</v>
      </c>
      <c r="G1397" t="s">
        <v>31</v>
      </c>
      <c r="J1397" t="s">
        <v>7092</v>
      </c>
      <c r="K1397" t="s">
        <v>1967</v>
      </c>
      <c r="L1397" t="s">
        <v>4392</v>
      </c>
      <c r="M1397" s="8">
        <v>0.0675</v>
      </c>
      <c r="N1397">
        <v>0</v>
      </c>
      <c r="O1397">
        <v>2081</v>
      </c>
      <c r="P1397" s="9">
        <v>0.314</v>
      </c>
      <c r="Q1397" t="s">
        <v>1155</v>
      </c>
      <c r="T1397" s="15" t="s">
        <v>35</v>
      </c>
      <c r="W1397" s="16" t="str">
        <f t="shared" si="134"/>
        <v>EN_WON_31_c01_LKA</v>
      </c>
      <c r="X1397" s="12">
        <f t="shared" si="135"/>
        <v>2081</v>
      </c>
      <c r="Y1397" s="11">
        <f t="shared" si="136"/>
        <v>2081</v>
      </c>
    </row>
    <row r="1398" spans="2:25">
      <c r="B1398" t="s">
        <v>26</v>
      </c>
      <c r="C1398" t="s">
        <v>7094</v>
      </c>
      <c r="D1398" t="s">
        <v>7095</v>
      </c>
      <c r="E1398" t="s">
        <v>29</v>
      </c>
      <c r="F1398" t="s">
        <v>30</v>
      </c>
      <c r="G1398" t="s">
        <v>31</v>
      </c>
      <c r="J1398" t="s">
        <v>7094</v>
      </c>
      <c r="K1398" t="s">
        <v>1967</v>
      </c>
      <c r="L1398" t="s">
        <v>4392</v>
      </c>
      <c r="M1398" s="8">
        <v>0.78975</v>
      </c>
      <c r="N1398">
        <v>80.7856561622413</v>
      </c>
      <c r="O1398">
        <v>2081</v>
      </c>
      <c r="P1398" s="9">
        <v>0.317</v>
      </c>
      <c r="Q1398" t="s">
        <v>1155</v>
      </c>
      <c r="T1398" s="15" t="s">
        <v>35</v>
      </c>
      <c r="W1398" s="16" t="str">
        <f t="shared" si="134"/>
        <v>EN_WON_32_c02_LKA</v>
      </c>
      <c r="X1398" s="12">
        <f t="shared" si="135"/>
        <v>2081</v>
      </c>
      <c r="Y1398" s="11">
        <f t="shared" si="136"/>
        <v>2081</v>
      </c>
    </row>
    <row r="1399" spans="2:25">
      <c r="B1399" t="s">
        <v>26</v>
      </c>
      <c r="C1399" t="s">
        <v>7096</v>
      </c>
      <c r="D1399" t="s">
        <v>7097</v>
      </c>
      <c r="E1399" t="s">
        <v>29</v>
      </c>
      <c r="F1399" t="s">
        <v>30</v>
      </c>
      <c r="G1399" t="s">
        <v>31</v>
      </c>
      <c r="J1399" t="s">
        <v>7096</v>
      </c>
      <c r="K1399" t="s">
        <v>1967</v>
      </c>
      <c r="L1399" t="s">
        <v>4392</v>
      </c>
      <c r="M1399" s="8">
        <v>0.80325</v>
      </c>
      <c r="N1399">
        <v>105.747516212372</v>
      </c>
      <c r="O1399">
        <v>2081</v>
      </c>
      <c r="P1399" s="9">
        <v>0.33</v>
      </c>
      <c r="Q1399" t="s">
        <v>1155</v>
      </c>
      <c r="T1399" s="15" t="s">
        <v>35</v>
      </c>
      <c r="W1399" s="16" t="str">
        <f t="shared" si="134"/>
        <v>EN_WON_33_c03_LKA</v>
      </c>
      <c r="X1399" s="12">
        <f t="shared" si="135"/>
        <v>2081</v>
      </c>
      <c r="Y1399" s="11">
        <f t="shared" si="136"/>
        <v>2081</v>
      </c>
    </row>
    <row r="1400" spans="2:25">
      <c r="B1400" t="s">
        <v>26</v>
      </c>
      <c r="C1400" t="s">
        <v>7098</v>
      </c>
      <c r="D1400" t="s">
        <v>7099</v>
      </c>
      <c r="E1400" t="s">
        <v>29</v>
      </c>
      <c r="F1400" t="s">
        <v>30</v>
      </c>
      <c r="G1400" t="s">
        <v>31</v>
      </c>
      <c r="J1400" t="s">
        <v>7098</v>
      </c>
      <c r="K1400" t="s">
        <v>1967</v>
      </c>
      <c r="L1400" t="s">
        <v>4392</v>
      </c>
      <c r="M1400" s="8">
        <v>3.0105</v>
      </c>
      <c r="N1400">
        <v>0</v>
      </c>
      <c r="O1400">
        <v>2081</v>
      </c>
      <c r="P1400" s="9">
        <v>0.343589436970603</v>
      </c>
      <c r="Q1400" t="s">
        <v>1155</v>
      </c>
      <c r="T1400" s="15" t="s">
        <v>35</v>
      </c>
      <c r="W1400" s="16" t="str">
        <f t="shared" si="134"/>
        <v>EN_WON_34_c01_LKA</v>
      </c>
      <c r="X1400" s="12">
        <f t="shared" si="135"/>
        <v>2081</v>
      </c>
      <c r="Y1400" s="11">
        <f t="shared" si="136"/>
        <v>2081</v>
      </c>
    </row>
    <row r="1401" spans="2:25">
      <c r="B1401" t="s">
        <v>26</v>
      </c>
      <c r="C1401" t="s">
        <v>7100</v>
      </c>
      <c r="D1401" t="s">
        <v>7101</v>
      </c>
      <c r="E1401" t="s">
        <v>29</v>
      </c>
      <c r="F1401" t="s">
        <v>30</v>
      </c>
      <c r="G1401" t="s">
        <v>31</v>
      </c>
      <c r="J1401" t="s">
        <v>7100</v>
      </c>
      <c r="K1401" t="s">
        <v>1967</v>
      </c>
      <c r="L1401" t="s">
        <v>4392</v>
      </c>
      <c r="M1401" s="8">
        <v>0.4365</v>
      </c>
      <c r="N1401">
        <v>105.747516212372</v>
      </c>
      <c r="O1401">
        <v>2081</v>
      </c>
      <c r="P1401" s="9">
        <v>0.337</v>
      </c>
      <c r="Q1401" t="s">
        <v>1155</v>
      </c>
      <c r="T1401" s="15" t="s">
        <v>35</v>
      </c>
      <c r="W1401" s="16" t="str">
        <f t="shared" si="134"/>
        <v>EN_WON_34_c03_LKA</v>
      </c>
      <c r="X1401" s="12">
        <f t="shared" si="135"/>
        <v>2081</v>
      </c>
      <c r="Y1401" s="11">
        <f t="shared" si="136"/>
        <v>2081</v>
      </c>
    </row>
    <row r="1402" spans="2:25">
      <c r="B1402" t="s">
        <v>26</v>
      </c>
      <c r="C1402" t="s">
        <v>7102</v>
      </c>
      <c r="D1402" t="s">
        <v>7103</v>
      </c>
      <c r="E1402" t="s">
        <v>29</v>
      </c>
      <c r="F1402" t="s">
        <v>30</v>
      </c>
      <c r="G1402" t="s">
        <v>31</v>
      </c>
      <c r="J1402" t="s">
        <v>7102</v>
      </c>
      <c r="K1402" t="s">
        <v>1967</v>
      </c>
      <c r="L1402" t="s">
        <v>4392</v>
      </c>
      <c r="M1402" s="8">
        <v>0.225</v>
      </c>
      <c r="N1402">
        <v>0</v>
      </c>
      <c r="O1402">
        <v>2081</v>
      </c>
      <c r="P1402" s="9">
        <v>0.37</v>
      </c>
      <c r="Q1402" t="s">
        <v>1155</v>
      </c>
      <c r="T1402" s="15" t="s">
        <v>35</v>
      </c>
      <c r="W1402" s="16" t="str">
        <f t="shared" si="134"/>
        <v>EN_WON_37_c01_LKA</v>
      </c>
      <c r="X1402" s="12">
        <f t="shared" si="135"/>
        <v>2081</v>
      </c>
      <c r="Y1402" s="11">
        <f t="shared" si="136"/>
        <v>2081</v>
      </c>
    </row>
    <row r="1403" spans="2:25">
      <c r="B1403" t="s">
        <v>26</v>
      </c>
      <c r="C1403" t="s">
        <v>7104</v>
      </c>
      <c r="D1403" t="s">
        <v>7105</v>
      </c>
      <c r="E1403" t="s">
        <v>29</v>
      </c>
      <c r="F1403" t="s">
        <v>30</v>
      </c>
      <c r="G1403" t="s">
        <v>31</v>
      </c>
      <c r="J1403" t="s">
        <v>7104</v>
      </c>
      <c r="K1403" t="s">
        <v>1967</v>
      </c>
      <c r="L1403" t="s">
        <v>4392</v>
      </c>
      <c r="M1403" s="8">
        <v>1.75575</v>
      </c>
      <c r="N1403">
        <v>0</v>
      </c>
      <c r="O1403">
        <v>2081</v>
      </c>
      <c r="P1403" s="9">
        <v>0.377</v>
      </c>
      <c r="Q1403" t="s">
        <v>1155</v>
      </c>
      <c r="T1403" s="15" t="s">
        <v>35</v>
      </c>
      <c r="W1403" s="16" t="str">
        <f t="shared" si="134"/>
        <v>EN_WON_38_c01_LKA</v>
      </c>
      <c r="X1403" s="12">
        <f t="shared" si="135"/>
        <v>2081</v>
      </c>
      <c r="Y1403" s="11">
        <f t="shared" si="136"/>
        <v>2081</v>
      </c>
    </row>
    <row r="1404" spans="2:25">
      <c r="B1404" t="s">
        <v>26</v>
      </c>
      <c r="C1404" t="s">
        <v>7106</v>
      </c>
      <c r="D1404" t="s">
        <v>7107</v>
      </c>
      <c r="E1404" t="s">
        <v>29</v>
      </c>
      <c r="F1404" t="s">
        <v>30</v>
      </c>
      <c r="G1404" t="s">
        <v>31</v>
      </c>
      <c r="J1404" t="s">
        <v>7106</v>
      </c>
      <c r="K1404" t="s">
        <v>1967</v>
      </c>
      <c r="L1404" t="s">
        <v>7108</v>
      </c>
      <c r="M1404" s="8">
        <v>0.642</v>
      </c>
      <c r="N1404">
        <v>105.747516212372</v>
      </c>
      <c r="O1404">
        <v>1952</v>
      </c>
      <c r="P1404" s="9">
        <v>0.292</v>
      </c>
      <c r="Q1404" t="s">
        <v>1167</v>
      </c>
      <c r="T1404" s="15" t="s">
        <v>54</v>
      </c>
      <c r="W1404" s="16" t="str">
        <f t="shared" si="134"/>
        <v>EN_WON_29_c03_LSO</v>
      </c>
      <c r="X1404" s="12">
        <f t="shared" si="135"/>
        <v>1952</v>
      </c>
      <c r="Y1404" s="11">
        <f t="shared" si="136"/>
        <v>1952</v>
      </c>
    </row>
    <row r="1405" spans="2:25">
      <c r="B1405" t="s">
        <v>26</v>
      </c>
      <c r="C1405" t="s">
        <v>7109</v>
      </c>
      <c r="D1405" t="s">
        <v>7110</v>
      </c>
      <c r="E1405" t="s">
        <v>29</v>
      </c>
      <c r="F1405" t="s">
        <v>30</v>
      </c>
      <c r="G1405" t="s">
        <v>31</v>
      </c>
      <c r="J1405" t="s">
        <v>7109</v>
      </c>
      <c r="K1405" t="s">
        <v>1967</v>
      </c>
      <c r="L1405" t="s">
        <v>7108</v>
      </c>
      <c r="M1405" s="8">
        <v>0.9885</v>
      </c>
      <c r="N1405">
        <v>145.23264029167</v>
      </c>
      <c r="O1405">
        <v>1952</v>
      </c>
      <c r="P1405" s="9">
        <v>0.293</v>
      </c>
      <c r="Q1405" t="s">
        <v>1167</v>
      </c>
      <c r="T1405" s="15" t="s">
        <v>54</v>
      </c>
      <c r="W1405" s="16" t="str">
        <f t="shared" si="134"/>
        <v>EN_WON_29_c04_LSO</v>
      </c>
      <c r="X1405" s="12">
        <f t="shared" si="135"/>
        <v>1952</v>
      </c>
      <c r="Y1405" s="11">
        <f t="shared" si="136"/>
        <v>1952</v>
      </c>
    </row>
    <row r="1406" spans="2:25">
      <c r="B1406" t="s">
        <v>26</v>
      </c>
      <c r="C1406" t="s">
        <v>7111</v>
      </c>
      <c r="D1406" t="s">
        <v>7112</v>
      </c>
      <c r="E1406" t="s">
        <v>29</v>
      </c>
      <c r="F1406" t="s">
        <v>30</v>
      </c>
      <c r="G1406" t="s">
        <v>31</v>
      </c>
      <c r="J1406" t="s">
        <v>7111</v>
      </c>
      <c r="K1406" t="s">
        <v>1967</v>
      </c>
      <c r="L1406" t="s">
        <v>4439</v>
      </c>
      <c r="M1406" s="8">
        <v>4.77975</v>
      </c>
      <c r="N1406">
        <v>0</v>
      </c>
      <c r="O1406">
        <v>1637</v>
      </c>
      <c r="P1406" s="9">
        <v>0.355474972540405</v>
      </c>
      <c r="Q1406" t="s">
        <v>1171</v>
      </c>
      <c r="T1406" s="15" t="s">
        <v>69</v>
      </c>
      <c r="W1406" s="16" t="str">
        <f t="shared" si="134"/>
        <v>EN_WON_36_c01_LTU</v>
      </c>
      <c r="X1406" s="12">
        <f t="shared" si="135"/>
        <v>1637</v>
      </c>
      <c r="Y1406" s="11">
        <f t="shared" si="136"/>
        <v>1637</v>
      </c>
    </row>
    <row r="1407" spans="2:25">
      <c r="B1407" t="s">
        <v>26</v>
      </c>
      <c r="C1407" t="s">
        <v>7113</v>
      </c>
      <c r="D1407" t="s">
        <v>7114</v>
      </c>
      <c r="E1407" t="s">
        <v>29</v>
      </c>
      <c r="F1407" t="s">
        <v>30</v>
      </c>
      <c r="G1407" t="s">
        <v>31</v>
      </c>
      <c r="J1407" t="s">
        <v>7113</v>
      </c>
      <c r="K1407" t="s">
        <v>1967</v>
      </c>
      <c r="L1407" t="s">
        <v>4439</v>
      </c>
      <c r="M1407" s="8">
        <v>0.957</v>
      </c>
      <c r="N1407">
        <v>0</v>
      </c>
      <c r="O1407">
        <v>1637</v>
      </c>
      <c r="P1407" s="9">
        <v>0.379</v>
      </c>
      <c r="Q1407" t="s">
        <v>1171</v>
      </c>
      <c r="T1407" s="15" t="s">
        <v>69</v>
      </c>
      <c r="W1407" s="16" t="str">
        <f t="shared" si="134"/>
        <v>EN_WON_38_c01_LTU</v>
      </c>
      <c r="X1407" s="12">
        <f t="shared" si="135"/>
        <v>1637</v>
      </c>
      <c r="Y1407" s="11">
        <f t="shared" si="136"/>
        <v>1637</v>
      </c>
    </row>
    <row r="1408" spans="2:25">
      <c r="B1408" t="s">
        <v>26</v>
      </c>
      <c r="C1408" t="s">
        <v>7115</v>
      </c>
      <c r="D1408" t="s">
        <v>7116</v>
      </c>
      <c r="E1408" t="s">
        <v>29</v>
      </c>
      <c r="F1408" t="s">
        <v>30</v>
      </c>
      <c r="G1408" t="s">
        <v>31</v>
      </c>
      <c r="J1408" t="s">
        <v>7115</v>
      </c>
      <c r="K1408" t="s">
        <v>1967</v>
      </c>
      <c r="L1408" t="s">
        <v>7117</v>
      </c>
      <c r="M1408" s="8">
        <v>8.19825</v>
      </c>
      <c r="N1408">
        <v>80.7856561622413</v>
      </c>
      <c r="O1408">
        <v>1779</v>
      </c>
      <c r="P1408" s="9">
        <v>0.262</v>
      </c>
      <c r="Q1408" t="s">
        <v>1177</v>
      </c>
      <c r="T1408" s="15" t="s">
        <v>69</v>
      </c>
      <c r="W1408" s="16" t="str">
        <f t="shared" si="134"/>
        <v>EN_WON_26_c02_LUX</v>
      </c>
      <c r="X1408" s="12">
        <f t="shared" si="135"/>
        <v>1779</v>
      </c>
      <c r="Y1408" s="11">
        <f t="shared" si="136"/>
        <v>1779</v>
      </c>
    </row>
    <row r="1409" spans="2:25">
      <c r="B1409" t="s">
        <v>26</v>
      </c>
      <c r="C1409" t="s">
        <v>7118</v>
      </c>
      <c r="D1409" t="s">
        <v>7119</v>
      </c>
      <c r="E1409" t="s">
        <v>29</v>
      </c>
      <c r="F1409" t="s">
        <v>30</v>
      </c>
      <c r="G1409" t="s">
        <v>31</v>
      </c>
      <c r="J1409" t="s">
        <v>7118</v>
      </c>
      <c r="K1409" t="s">
        <v>1967</v>
      </c>
      <c r="L1409" t="s">
        <v>4448</v>
      </c>
      <c r="M1409" s="8">
        <v>4.39425</v>
      </c>
      <c r="N1409">
        <v>0</v>
      </c>
      <c r="O1409">
        <v>1637</v>
      </c>
      <c r="P1409" s="9">
        <v>0.319162826420891</v>
      </c>
      <c r="Q1409" t="s">
        <v>1181</v>
      </c>
      <c r="T1409" s="15" t="s">
        <v>69</v>
      </c>
      <c r="W1409" s="16" t="str">
        <f t="shared" si="134"/>
        <v>EN_WON_32_c01_LVA</v>
      </c>
      <c r="X1409" s="12">
        <f t="shared" si="135"/>
        <v>1637</v>
      </c>
      <c r="Y1409" s="11">
        <f t="shared" si="136"/>
        <v>1637</v>
      </c>
    </row>
    <row r="1410" spans="2:25">
      <c r="B1410" t="s">
        <v>26</v>
      </c>
      <c r="C1410" t="s">
        <v>7120</v>
      </c>
      <c r="D1410" t="s">
        <v>7121</v>
      </c>
      <c r="E1410" t="s">
        <v>29</v>
      </c>
      <c r="F1410" t="s">
        <v>30</v>
      </c>
      <c r="G1410" t="s">
        <v>31</v>
      </c>
      <c r="J1410" t="s">
        <v>7120</v>
      </c>
      <c r="K1410" t="s">
        <v>1967</v>
      </c>
      <c r="L1410" t="s">
        <v>4448</v>
      </c>
      <c r="M1410" s="8">
        <v>2.0865</v>
      </c>
      <c r="N1410">
        <v>0</v>
      </c>
      <c r="O1410">
        <v>1637</v>
      </c>
      <c r="P1410" s="9">
        <v>0.329396836808052</v>
      </c>
      <c r="Q1410" t="s">
        <v>1181</v>
      </c>
      <c r="T1410" s="15" t="s">
        <v>69</v>
      </c>
      <c r="W1410" s="16" t="str">
        <f t="shared" si="134"/>
        <v>EN_WON_33_c01_LVA</v>
      </c>
      <c r="X1410" s="12">
        <f t="shared" si="135"/>
        <v>1637</v>
      </c>
      <c r="Y1410" s="11">
        <f t="shared" si="136"/>
        <v>1637</v>
      </c>
    </row>
    <row r="1411" spans="2:25">
      <c r="B1411" t="s">
        <v>26</v>
      </c>
      <c r="C1411" t="s">
        <v>7122</v>
      </c>
      <c r="D1411" t="s">
        <v>7123</v>
      </c>
      <c r="E1411" t="s">
        <v>29</v>
      </c>
      <c r="F1411" t="s">
        <v>30</v>
      </c>
      <c r="G1411" t="s">
        <v>31</v>
      </c>
      <c r="J1411" t="s">
        <v>7122</v>
      </c>
      <c r="K1411" t="s">
        <v>1967</v>
      </c>
      <c r="L1411" t="s">
        <v>4448</v>
      </c>
      <c r="M1411" s="8">
        <v>2.283</v>
      </c>
      <c r="N1411">
        <v>0</v>
      </c>
      <c r="O1411">
        <v>1637</v>
      </c>
      <c r="P1411" s="9">
        <v>0.340007555847569</v>
      </c>
      <c r="Q1411" t="s">
        <v>1181</v>
      </c>
      <c r="T1411" s="15" t="s">
        <v>69</v>
      </c>
      <c r="W1411" s="16" t="str">
        <f t="shared" si="134"/>
        <v>EN_WON_34_c01_LVA</v>
      </c>
      <c r="X1411" s="12">
        <f t="shared" si="135"/>
        <v>1637</v>
      </c>
      <c r="Y1411" s="11">
        <f t="shared" si="136"/>
        <v>1637</v>
      </c>
    </row>
    <row r="1412" spans="2:25">
      <c r="B1412" t="s">
        <v>26</v>
      </c>
      <c r="C1412" t="s">
        <v>7124</v>
      </c>
      <c r="D1412" t="s">
        <v>7125</v>
      </c>
      <c r="E1412" t="s">
        <v>29</v>
      </c>
      <c r="F1412" t="s">
        <v>30</v>
      </c>
      <c r="G1412" t="s">
        <v>31</v>
      </c>
      <c r="J1412" t="s">
        <v>7124</v>
      </c>
      <c r="K1412" t="s">
        <v>1967</v>
      </c>
      <c r="L1412" t="s">
        <v>4448</v>
      </c>
      <c r="M1412" s="8">
        <v>0.3105</v>
      </c>
      <c r="N1412">
        <v>0</v>
      </c>
      <c r="O1412">
        <v>1637</v>
      </c>
      <c r="P1412" s="9">
        <v>0.347934782608696</v>
      </c>
      <c r="Q1412" t="s">
        <v>1181</v>
      </c>
      <c r="T1412" s="15" t="s">
        <v>69</v>
      </c>
      <c r="W1412" s="16" t="str">
        <f t="shared" si="134"/>
        <v>EN_WON_35_c01_LVA</v>
      </c>
      <c r="X1412" s="12">
        <f t="shared" si="135"/>
        <v>1637</v>
      </c>
      <c r="Y1412" s="11">
        <f t="shared" si="136"/>
        <v>1637</v>
      </c>
    </row>
    <row r="1413" spans="2:25">
      <c r="B1413" t="s">
        <v>26</v>
      </c>
      <c r="C1413" t="s">
        <v>7126</v>
      </c>
      <c r="D1413" t="s">
        <v>7127</v>
      </c>
      <c r="E1413" t="s">
        <v>29</v>
      </c>
      <c r="F1413" t="s">
        <v>30</v>
      </c>
      <c r="G1413" t="s">
        <v>31</v>
      </c>
      <c r="J1413" t="s">
        <v>7126</v>
      </c>
      <c r="K1413" t="s">
        <v>1967</v>
      </c>
      <c r="L1413" t="s">
        <v>4448</v>
      </c>
      <c r="M1413" s="8">
        <v>0.32925</v>
      </c>
      <c r="N1413">
        <v>0</v>
      </c>
      <c r="O1413">
        <v>1637</v>
      </c>
      <c r="P1413" s="9">
        <v>0.36</v>
      </c>
      <c r="Q1413" t="s">
        <v>1181</v>
      </c>
      <c r="T1413" s="15" t="s">
        <v>69</v>
      </c>
      <c r="W1413" s="16" t="str">
        <f t="shared" si="134"/>
        <v>EN_WON_36_c01_LVA</v>
      </c>
      <c r="X1413" s="12">
        <f t="shared" si="135"/>
        <v>1637</v>
      </c>
      <c r="Y1413" s="11">
        <f t="shared" si="136"/>
        <v>1637</v>
      </c>
    </row>
    <row r="1414" spans="2:25">
      <c r="B1414" t="s">
        <v>26</v>
      </c>
      <c r="C1414" t="s">
        <v>7128</v>
      </c>
      <c r="D1414" t="s">
        <v>7129</v>
      </c>
      <c r="E1414" t="s">
        <v>29</v>
      </c>
      <c r="F1414" t="s">
        <v>30</v>
      </c>
      <c r="G1414" t="s">
        <v>31</v>
      </c>
      <c r="J1414" t="s">
        <v>7128</v>
      </c>
      <c r="K1414" t="s">
        <v>1967</v>
      </c>
      <c r="L1414" t="s">
        <v>4461</v>
      </c>
      <c r="M1414" s="8">
        <v>15.957</v>
      </c>
      <c r="N1414">
        <v>80.7856561622413</v>
      </c>
      <c r="O1414">
        <v>1514</v>
      </c>
      <c r="P1414" s="9">
        <v>0.307572570031961</v>
      </c>
      <c r="Q1414" t="s">
        <v>1187</v>
      </c>
      <c r="T1414" s="15" t="s">
        <v>80</v>
      </c>
      <c r="W1414" s="16" t="str">
        <f t="shared" ref="W1414:W1477" si="137">J1414</f>
        <v>EN_WON_31_c02_MAR</v>
      </c>
      <c r="X1414" s="12">
        <f t="shared" ref="X1414:X1477" si="138">O1414</f>
        <v>1514</v>
      </c>
      <c r="Y1414" s="11">
        <f t="shared" ref="Y1414:Y1477" si="139">X1414</f>
        <v>1514</v>
      </c>
    </row>
    <row r="1415" spans="2:25">
      <c r="B1415" t="s">
        <v>26</v>
      </c>
      <c r="C1415" t="s">
        <v>7130</v>
      </c>
      <c r="D1415" t="s">
        <v>7131</v>
      </c>
      <c r="E1415" t="s">
        <v>29</v>
      </c>
      <c r="F1415" t="s">
        <v>30</v>
      </c>
      <c r="G1415" t="s">
        <v>31</v>
      </c>
      <c r="J1415" t="s">
        <v>7130</v>
      </c>
      <c r="K1415" t="s">
        <v>1967</v>
      </c>
      <c r="L1415" t="s">
        <v>4461</v>
      </c>
      <c r="M1415" s="8">
        <v>9.92775</v>
      </c>
      <c r="N1415">
        <v>0</v>
      </c>
      <c r="O1415">
        <v>1514</v>
      </c>
      <c r="P1415" s="9">
        <v>0.321829039812646</v>
      </c>
      <c r="Q1415" t="s">
        <v>1187</v>
      </c>
      <c r="T1415" s="15" t="s">
        <v>80</v>
      </c>
      <c r="W1415" s="16" t="str">
        <f t="shared" si="137"/>
        <v>EN_WON_32_c01_MAR</v>
      </c>
      <c r="X1415" s="12">
        <f t="shared" si="138"/>
        <v>1514</v>
      </c>
      <c r="Y1415" s="11">
        <f t="shared" si="139"/>
        <v>1514</v>
      </c>
    </row>
    <row r="1416" spans="2:25">
      <c r="B1416" t="s">
        <v>26</v>
      </c>
      <c r="C1416" t="s">
        <v>7132</v>
      </c>
      <c r="D1416" t="s">
        <v>7133</v>
      </c>
      <c r="E1416" t="s">
        <v>29</v>
      </c>
      <c r="F1416" t="s">
        <v>30</v>
      </c>
      <c r="G1416" t="s">
        <v>31</v>
      </c>
      <c r="J1416" t="s">
        <v>7132</v>
      </c>
      <c r="K1416" t="s">
        <v>1967</v>
      </c>
      <c r="L1416" t="s">
        <v>4461</v>
      </c>
      <c r="M1416" s="8">
        <v>6.69075</v>
      </c>
      <c r="N1416">
        <v>0</v>
      </c>
      <c r="O1416">
        <v>1514</v>
      </c>
      <c r="P1416" s="9">
        <v>0.331435937675149</v>
      </c>
      <c r="Q1416" t="s">
        <v>1187</v>
      </c>
      <c r="T1416" s="15" t="s">
        <v>80</v>
      </c>
      <c r="W1416" s="16" t="str">
        <f t="shared" si="137"/>
        <v>EN_WON_33_c01_MAR</v>
      </c>
      <c r="X1416" s="12">
        <f t="shared" si="138"/>
        <v>1514</v>
      </c>
      <c r="Y1416" s="11">
        <f t="shared" si="139"/>
        <v>1514</v>
      </c>
    </row>
    <row r="1417" spans="2:25">
      <c r="B1417" t="s">
        <v>26</v>
      </c>
      <c r="C1417" t="s">
        <v>7134</v>
      </c>
      <c r="D1417" t="s">
        <v>7135</v>
      </c>
      <c r="E1417" t="s">
        <v>29</v>
      </c>
      <c r="F1417" t="s">
        <v>30</v>
      </c>
      <c r="G1417" t="s">
        <v>31</v>
      </c>
      <c r="J1417" t="s">
        <v>7134</v>
      </c>
      <c r="K1417" t="s">
        <v>1967</v>
      </c>
      <c r="L1417" t="s">
        <v>4461</v>
      </c>
      <c r="M1417" s="8">
        <v>5.8635</v>
      </c>
      <c r="N1417">
        <v>80.7856561622413</v>
      </c>
      <c r="O1417">
        <v>1514</v>
      </c>
      <c r="P1417" s="9">
        <v>0.328277820414428</v>
      </c>
      <c r="Q1417" t="s">
        <v>1187</v>
      </c>
      <c r="T1417" s="15" t="s">
        <v>80</v>
      </c>
      <c r="W1417" s="16" t="str">
        <f t="shared" si="137"/>
        <v>EN_WON_33_c02_MAR</v>
      </c>
      <c r="X1417" s="12">
        <f t="shared" si="138"/>
        <v>1514</v>
      </c>
      <c r="Y1417" s="11">
        <f t="shared" si="139"/>
        <v>1514</v>
      </c>
    </row>
    <row r="1418" spans="2:25">
      <c r="B1418" t="s">
        <v>26</v>
      </c>
      <c r="C1418" t="s">
        <v>7136</v>
      </c>
      <c r="D1418" t="s">
        <v>7137</v>
      </c>
      <c r="E1418" t="s">
        <v>29</v>
      </c>
      <c r="F1418" t="s">
        <v>30</v>
      </c>
      <c r="G1418" t="s">
        <v>31</v>
      </c>
      <c r="J1418" t="s">
        <v>7136</v>
      </c>
      <c r="K1418" t="s">
        <v>1967</v>
      </c>
      <c r="L1418" t="s">
        <v>4461</v>
      </c>
      <c r="M1418" s="8">
        <v>6.3945</v>
      </c>
      <c r="N1418">
        <v>0</v>
      </c>
      <c r="O1418">
        <v>1514</v>
      </c>
      <c r="P1418" s="9">
        <v>0.335</v>
      </c>
      <c r="Q1418" t="s">
        <v>1187</v>
      </c>
      <c r="T1418" s="15" t="s">
        <v>80</v>
      </c>
      <c r="W1418" s="16" t="str">
        <f t="shared" si="137"/>
        <v>EN_WON_34_c01_MAR</v>
      </c>
      <c r="X1418" s="12">
        <f t="shared" si="138"/>
        <v>1514</v>
      </c>
      <c r="Y1418" s="11">
        <f t="shared" si="139"/>
        <v>1514</v>
      </c>
    </row>
    <row r="1419" spans="2:25">
      <c r="B1419" t="s">
        <v>26</v>
      </c>
      <c r="C1419" t="s">
        <v>7138</v>
      </c>
      <c r="D1419" t="s">
        <v>7139</v>
      </c>
      <c r="E1419" t="s">
        <v>29</v>
      </c>
      <c r="F1419" t="s">
        <v>30</v>
      </c>
      <c r="G1419" t="s">
        <v>31</v>
      </c>
      <c r="J1419" t="s">
        <v>7138</v>
      </c>
      <c r="K1419" t="s">
        <v>1967</v>
      </c>
      <c r="L1419" t="s">
        <v>4461</v>
      </c>
      <c r="M1419" s="8">
        <v>1.419</v>
      </c>
      <c r="N1419">
        <v>80.7856561622413</v>
      </c>
      <c r="O1419">
        <v>1514</v>
      </c>
      <c r="P1419" s="9">
        <v>0.337</v>
      </c>
      <c r="Q1419" t="s">
        <v>1187</v>
      </c>
      <c r="T1419" s="15" t="s">
        <v>80</v>
      </c>
      <c r="W1419" s="16" t="str">
        <f t="shared" si="137"/>
        <v>EN_WON_34_c02_MAR</v>
      </c>
      <c r="X1419" s="12">
        <f t="shared" si="138"/>
        <v>1514</v>
      </c>
      <c r="Y1419" s="11">
        <f t="shared" si="139"/>
        <v>1514</v>
      </c>
    </row>
    <row r="1420" spans="2:25">
      <c r="B1420" t="s">
        <v>26</v>
      </c>
      <c r="C1420" t="s">
        <v>7140</v>
      </c>
      <c r="D1420" t="s">
        <v>7141</v>
      </c>
      <c r="E1420" t="s">
        <v>29</v>
      </c>
      <c r="F1420" t="s">
        <v>30</v>
      </c>
      <c r="G1420" t="s">
        <v>31</v>
      </c>
      <c r="J1420" t="s">
        <v>7140</v>
      </c>
      <c r="K1420" t="s">
        <v>1967</v>
      </c>
      <c r="L1420" t="s">
        <v>4461</v>
      </c>
      <c r="M1420" s="8">
        <v>6.282</v>
      </c>
      <c r="N1420">
        <v>105.747516212372</v>
      </c>
      <c r="O1420">
        <v>1514</v>
      </c>
      <c r="P1420" s="9">
        <v>0.336</v>
      </c>
      <c r="Q1420" t="s">
        <v>1187</v>
      </c>
      <c r="T1420" s="15" t="s">
        <v>80</v>
      </c>
      <c r="W1420" s="16" t="str">
        <f t="shared" si="137"/>
        <v>EN_WON_34_c03_MAR</v>
      </c>
      <c r="X1420" s="12">
        <f t="shared" si="138"/>
        <v>1514</v>
      </c>
      <c r="Y1420" s="11">
        <f t="shared" si="139"/>
        <v>1514</v>
      </c>
    </row>
    <row r="1421" spans="2:25">
      <c r="B1421" t="s">
        <v>26</v>
      </c>
      <c r="C1421" t="s">
        <v>7142</v>
      </c>
      <c r="D1421" t="s">
        <v>7143</v>
      </c>
      <c r="E1421" t="s">
        <v>29</v>
      </c>
      <c r="F1421" t="s">
        <v>30</v>
      </c>
      <c r="G1421" t="s">
        <v>31</v>
      </c>
      <c r="J1421" t="s">
        <v>7142</v>
      </c>
      <c r="K1421" t="s">
        <v>1967</v>
      </c>
      <c r="L1421" t="s">
        <v>4461</v>
      </c>
      <c r="M1421" s="8">
        <v>0.80325</v>
      </c>
      <c r="N1421">
        <v>0</v>
      </c>
      <c r="O1421">
        <v>1514</v>
      </c>
      <c r="P1421" s="9">
        <v>0.35</v>
      </c>
      <c r="Q1421" t="s">
        <v>1187</v>
      </c>
      <c r="T1421" s="15" t="s">
        <v>80</v>
      </c>
      <c r="W1421" s="16" t="str">
        <f t="shared" si="137"/>
        <v>EN_WON_35_c01_MAR</v>
      </c>
      <c r="X1421" s="12">
        <f t="shared" si="138"/>
        <v>1514</v>
      </c>
      <c r="Y1421" s="11">
        <f t="shared" si="139"/>
        <v>1514</v>
      </c>
    </row>
    <row r="1422" spans="2:25">
      <c r="B1422" t="s">
        <v>26</v>
      </c>
      <c r="C1422" t="s">
        <v>7144</v>
      </c>
      <c r="D1422" t="s">
        <v>7145</v>
      </c>
      <c r="E1422" t="s">
        <v>29</v>
      </c>
      <c r="F1422" t="s">
        <v>30</v>
      </c>
      <c r="G1422" t="s">
        <v>31</v>
      </c>
      <c r="J1422" t="s">
        <v>7144</v>
      </c>
      <c r="K1422" t="s">
        <v>1967</v>
      </c>
      <c r="L1422" t="s">
        <v>4461</v>
      </c>
      <c r="M1422" s="8">
        <v>5.8785</v>
      </c>
      <c r="N1422">
        <v>80.7856561622413</v>
      </c>
      <c r="O1422">
        <v>1514</v>
      </c>
      <c r="P1422" s="9">
        <v>0.353</v>
      </c>
      <c r="Q1422" t="s">
        <v>1187</v>
      </c>
      <c r="T1422" s="15" t="s">
        <v>80</v>
      </c>
      <c r="W1422" s="16" t="str">
        <f t="shared" si="137"/>
        <v>EN_WON_35_c02_MAR</v>
      </c>
      <c r="X1422" s="12">
        <f t="shared" si="138"/>
        <v>1514</v>
      </c>
      <c r="Y1422" s="11">
        <f t="shared" si="139"/>
        <v>1514</v>
      </c>
    </row>
    <row r="1423" spans="2:25">
      <c r="B1423" t="s">
        <v>26</v>
      </c>
      <c r="C1423" t="s">
        <v>7146</v>
      </c>
      <c r="D1423" t="s">
        <v>7147</v>
      </c>
      <c r="E1423" t="s">
        <v>29</v>
      </c>
      <c r="F1423" t="s">
        <v>30</v>
      </c>
      <c r="G1423" t="s">
        <v>31</v>
      </c>
      <c r="J1423" t="s">
        <v>7146</v>
      </c>
      <c r="K1423" t="s">
        <v>1967</v>
      </c>
      <c r="L1423" t="s">
        <v>4461</v>
      </c>
      <c r="M1423" s="8">
        <v>10.8375</v>
      </c>
      <c r="N1423">
        <v>0</v>
      </c>
      <c r="O1423">
        <v>1514</v>
      </c>
      <c r="P1423" s="9">
        <v>0.376936955017301</v>
      </c>
      <c r="Q1423" t="s">
        <v>1187</v>
      </c>
      <c r="T1423" s="15" t="s">
        <v>80</v>
      </c>
      <c r="W1423" s="16" t="str">
        <f t="shared" si="137"/>
        <v>EN_WON_38_c01_MAR</v>
      </c>
      <c r="X1423" s="12">
        <f t="shared" si="138"/>
        <v>1514</v>
      </c>
      <c r="Y1423" s="11">
        <f t="shared" si="139"/>
        <v>1514</v>
      </c>
    </row>
    <row r="1424" spans="2:25">
      <c r="B1424" t="s">
        <v>26</v>
      </c>
      <c r="C1424" t="s">
        <v>7148</v>
      </c>
      <c r="D1424" t="s">
        <v>7149</v>
      </c>
      <c r="E1424" t="s">
        <v>29</v>
      </c>
      <c r="F1424" t="s">
        <v>30</v>
      </c>
      <c r="G1424" t="s">
        <v>31</v>
      </c>
      <c r="J1424" t="s">
        <v>7148</v>
      </c>
      <c r="K1424" t="s">
        <v>1967</v>
      </c>
      <c r="L1424" t="s">
        <v>4461</v>
      </c>
      <c r="M1424" s="8">
        <v>12.513</v>
      </c>
      <c r="N1424">
        <v>80.7856561622413</v>
      </c>
      <c r="O1424">
        <v>1514</v>
      </c>
      <c r="P1424" s="9">
        <v>0.392</v>
      </c>
      <c r="Q1424" t="s">
        <v>1187</v>
      </c>
      <c r="T1424" s="15" t="s">
        <v>80</v>
      </c>
      <c r="W1424" s="16" t="str">
        <f t="shared" si="137"/>
        <v>EN_WON_39_c02_MAR</v>
      </c>
      <c r="X1424" s="12">
        <f t="shared" si="138"/>
        <v>1514</v>
      </c>
      <c r="Y1424" s="11">
        <f t="shared" si="139"/>
        <v>1514</v>
      </c>
    </row>
    <row r="1425" spans="2:25">
      <c r="B1425" t="s">
        <v>26</v>
      </c>
      <c r="C1425" t="s">
        <v>7150</v>
      </c>
      <c r="D1425" t="s">
        <v>7151</v>
      </c>
      <c r="E1425" t="s">
        <v>29</v>
      </c>
      <c r="F1425" t="s">
        <v>30</v>
      </c>
      <c r="G1425" t="s">
        <v>31</v>
      </c>
      <c r="J1425" t="s">
        <v>7150</v>
      </c>
      <c r="K1425" t="s">
        <v>1967</v>
      </c>
      <c r="L1425" t="s">
        <v>4461</v>
      </c>
      <c r="M1425" s="8">
        <v>6.0975</v>
      </c>
      <c r="N1425">
        <v>0</v>
      </c>
      <c r="O1425">
        <v>1514</v>
      </c>
      <c r="P1425" s="9">
        <v>0.397</v>
      </c>
      <c r="Q1425" t="s">
        <v>1187</v>
      </c>
      <c r="T1425" s="15" t="s">
        <v>80</v>
      </c>
      <c r="W1425" s="16" t="str">
        <f t="shared" si="137"/>
        <v>EN_WON_40_c01_MAR</v>
      </c>
      <c r="X1425" s="12">
        <f t="shared" si="138"/>
        <v>1514</v>
      </c>
      <c r="Y1425" s="11">
        <f t="shared" si="139"/>
        <v>1514</v>
      </c>
    </row>
    <row r="1426" spans="2:25">
      <c r="B1426" t="s">
        <v>26</v>
      </c>
      <c r="C1426" t="s">
        <v>7152</v>
      </c>
      <c r="D1426" t="s">
        <v>7153</v>
      </c>
      <c r="E1426" t="s">
        <v>29</v>
      </c>
      <c r="F1426" t="s">
        <v>30</v>
      </c>
      <c r="G1426" t="s">
        <v>31</v>
      </c>
      <c r="J1426" t="s">
        <v>7152</v>
      </c>
      <c r="K1426" t="s">
        <v>1967</v>
      </c>
      <c r="L1426" t="s">
        <v>4461</v>
      </c>
      <c r="M1426" s="8">
        <v>4.93725</v>
      </c>
      <c r="N1426">
        <v>80.7856561622413</v>
      </c>
      <c r="O1426">
        <v>1514</v>
      </c>
      <c r="P1426" s="9">
        <v>0.396</v>
      </c>
      <c r="Q1426" t="s">
        <v>1187</v>
      </c>
      <c r="T1426" s="15" t="s">
        <v>80</v>
      </c>
      <c r="W1426" s="16" t="str">
        <f t="shared" si="137"/>
        <v>EN_WON_40_c02_MAR</v>
      </c>
      <c r="X1426" s="12">
        <f t="shared" si="138"/>
        <v>1514</v>
      </c>
      <c r="Y1426" s="11">
        <f t="shared" si="139"/>
        <v>1514</v>
      </c>
    </row>
    <row r="1427" spans="2:25">
      <c r="B1427" t="s">
        <v>26</v>
      </c>
      <c r="C1427" t="s">
        <v>7154</v>
      </c>
      <c r="D1427" t="s">
        <v>7155</v>
      </c>
      <c r="E1427" t="s">
        <v>29</v>
      </c>
      <c r="F1427" t="s">
        <v>30</v>
      </c>
      <c r="G1427" t="s">
        <v>31</v>
      </c>
      <c r="J1427" t="s">
        <v>7154</v>
      </c>
      <c r="K1427" t="s">
        <v>1967</v>
      </c>
      <c r="L1427" t="s">
        <v>4461</v>
      </c>
      <c r="M1427" s="8">
        <v>6.2565</v>
      </c>
      <c r="N1427">
        <v>0</v>
      </c>
      <c r="O1427">
        <v>1514</v>
      </c>
      <c r="P1427" s="9">
        <v>0.411</v>
      </c>
      <c r="Q1427" t="s">
        <v>1187</v>
      </c>
      <c r="T1427" s="15" t="s">
        <v>80</v>
      </c>
      <c r="W1427" s="16" t="str">
        <f t="shared" si="137"/>
        <v>EN_WON_41_c01_MAR</v>
      </c>
      <c r="X1427" s="12">
        <f t="shared" si="138"/>
        <v>1514</v>
      </c>
      <c r="Y1427" s="11">
        <f t="shared" si="139"/>
        <v>1514</v>
      </c>
    </row>
    <row r="1428" spans="2:25">
      <c r="B1428" t="s">
        <v>26</v>
      </c>
      <c r="C1428" t="s">
        <v>7156</v>
      </c>
      <c r="D1428" t="s">
        <v>7157</v>
      </c>
      <c r="E1428" t="s">
        <v>29</v>
      </c>
      <c r="F1428" t="s">
        <v>30</v>
      </c>
      <c r="G1428" t="s">
        <v>31</v>
      </c>
      <c r="J1428" t="s">
        <v>7156</v>
      </c>
      <c r="K1428" t="s">
        <v>1967</v>
      </c>
      <c r="L1428" t="s">
        <v>4461</v>
      </c>
      <c r="M1428" s="8">
        <v>10.43925</v>
      </c>
      <c r="N1428">
        <v>0</v>
      </c>
      <c r="O1428">
        <v>1514</v>
      </c>
      <c r="P1428" s="9">
        <v>0.420408793735182</v>
      </c>
      <c r="Q1428" t="s">
        <v>1187</v>
      </c>
      <c r="T1428" s="15" t="s">
        <v>80</v>
      </c>
      <c r="W1428" s="16" t="str">
        <f t="shared" si="137"/>
        <v>EN_WON_42_c01_MAR</v>
      </c>
      <c r="X1428" s="12">
        <f t="shared" si="138"/>
        <v>1514</v>
      </c>
      <c r="Y1428" s="11">
        <f t="shared" si="139"/>
        <v>1514</v>
      </c>
    </row>
    <row r="1429" spans="2:25">
      <c r="B1429" t="s">
        <v>26</v>
      </c>
      <c r="C1429" t="s">
        <v>7158</v>
      </c>
      <c r="D1429" t="s">
        <v>7159</v>
      </c>
      <c r="E1429" t="s">
        <v>29</v>
      </c>
      <c r="F1429" t="s">
        <v>30</v>
      </c>
      <c r="G1429" t="s">
        <v>31</v>
      </c>
      <c r="J1429" t="s">
        <v>7158</v>
      </c>
      <c r="K1429" t="s">
        <v>1967</v>
      </c>
      <c r="L1429" t="s">
        <v>4461</v>
      </c>
      <c r="M1429" s="8">
        <v>11.67975</v>
      </c>
      <c r="N1429">
        <v>0</v>
      </c>
      <c r="O1429">
        <v>1514</v>
      </c>
      <c r="P1429" s="9">
        <v>0.439300905413215</v>
      </c>
      <c r="Q1429" t="s">
        <v>1187</v>
      </c>
      <c r="T1429" s="15" t="s">
        <v>80</v>
      </c>
      <c r="W1429" s="16" t="str">
        <f t="shared" si="137"/>
        <v>EN_WON_44_c01_MAR</v>
      </c>
      <c r="X1429" s="12">
        <f t="shared" si="138"/>
        <v>1514</v>
      </c>
      <c r="Y1429" s="11">
        <f t="shared" si="139"/>
        <v>1514</v>
      </c>
    </row>
    <row r="1430" spans="2:25">
      <c r="B1430" t="s">
        <v>26</v>
      </c>
      <c r="C1430" t="s">
        <v>7160</v>
      </c>
      <c r="D1430" t="s">
        <v>7161</v>
      </c>
      <c r="E1430" t="s">
        <v>29</v>
      </c>
      <c r="F1430" t="s">
        <v>30</v>
      </c>
      <c r="G1430" t="s">
        <v>31</v>
      </c>
      <c r="J1430" t="s">
        <v>7160</v>
      </c>
      <c r="K1430" t="s">
        <v>1967</v>
      </c>
      <c r="L1430" t="s">
        <v>4461</v>
      </c>
      <c r="M1430" s="8">
        <v>6.1905</v>
      </c>
      <c r="N1430">
        <v>80.7856561622413</v>
      </c>
      <c r="O1430">
        <v>1514</v>
      </c>
      <c r="P1430" s="9">
        <v>0.44</v>
      </c>
      <c r="Q1430" t="s">
        <v>1187</v>
      </c>
      <c r="T1430" s="15" t="s">
        <v>80</v>
      </c>
      <c r="W1430" s="16" t="str">
        <f t="shared" si="137"/>
        <v>EN_WON_44_c02_MAR</v>
      </c>
      <c r="X1430" s="12">
        <f t="shared" si="138"/>
        <v>1514</v>
      </c>
      <c r="Y1430" s="11">
        <f t="shared" si="139"/>
        <v>1514</v>
      </c>
    </row>
    <row r="1431" spans="2:25">
      <c r="B1431" t="s">
        <v>26</v>
      </c>
      <c r="C1431" t="s">
        <v>7162</v>
      </c>
      <c r="D1431" t="s">
        <v>7163</v>
      </c>
      <c r="E1431" t="s">
        <v>29</v>
      </c>
      <c r="F1431" t="s">
        <v>30</v>
      </c>
      <c r="G1431" t="s">
        <v>31</v>
      </c>
      <c r="J1431" t="s">
        <v>7162</v>
      </c>
      <c r="K1431" t="s">
        <v>1967</v>
      </c>
      <c r="L1431" t="s">
        <v>4461</v>
      </c>
      <c r="M1431" s="8">
        <v>6.19575</v>
      </c>
      <c r="N1431">
        <v>0</v>
      </c>
      <c r="O1431">
        <v>1514</v>
      </c>
      <c r="P1431" s="9">
        <v>0.447</v>
      </c>
      <c r="Q1431" t="s">
        <v>1187</v>
      </c>
      <c r="T1431" s="15" t="s">
        <v>80</v>
      </c>
      <c r="W1431" s="16" t="str">
        <f t="shared" si="137"/>
        <v>EN_WON_45_c01_MAR</v>
      </c>
      <c r="X1431" s="12">
        <f t="shared" si="138"/>
        <v>1514</v>
      </c>
      <c r="Y1431" s="11">
        <f t="shared" si="139"/>
        <v>1514</v>
      </c>
    </row>
    <row r="1432" spans="2:25">
      <c r="B1432" t="s">
        <v>26</v>
      </c>
      <c r="C1432" t="s">
        <v>7164</v>
      </c>
      <c r="D1432" t="s">
        <v>7165</v>
      </c>
      <c r="E1432" t="s">
        <v>29</v>
      </c>
      <c r="F1432" t="s">
        <v>30</v>
      </c>
      <c r="G1432" t="s">
        <v>31</v>
      </c>
      <c r="J1432" t="s">
        <v>7164</v>
      </c>
      <c r="K1432" t="s">
        <v>1967</v>
      </c>
      <c r="L1432" t="s">
        <v>4461</v>
      </c>
      <c r="M1432" s="8">
        <v>2.72025</v>
      </c>
      <c r="N1432">
        <v>0</v>
      </c>
      <c r="O1432">
        <v>1514</v>
      </c>
      <c r="P1432" s="9">
        <v>0.458</v>
      </c>
      <c r="Q1432" t="s">
        <v>1187</v>
      </c>
      <c r="T1432" s="15" t="s">
        <v>80</v>
      </c>
      <c r="W1432" s="16" t="str">
        <f t="shared" si="137"/>
        <v>EN_WON_46_c01_MAR</v>
      </c>
      <c r="X1432" s="12">
        <f t="shared" si="138"/>
        <v>1514</v>
      </c>
      <c r="Y1432" s="11">
        <f t="shared" si="139"/>
        <v>1514</v>
      </c>
    </row>
    <row r="1433" spans="2:25">
      <c r="B1433" t="s">
        <v>26</v>
      </c>
      <c r="C1433" t="s">
        <v>7166</v>
      </c>
      <c r="D1433" t="s">
        <v>7167</v>
      </c>
      <c r="E1433" t="s">
        <v>29</v>
      </c>
      <c r="F1433" t="s">
        <v>30</v>
      </c>
      <c r="G1433" t="s">
        <v>31</v>
      </c>
      <c r="J1433" t="s">
        <v>7166</v>
      </c>
      <c r="K1433" t="s">
        <v>1967</v>
      </c>
      <c r="L1433" t="s">
        <v>7168</v>
      </c>
      <c r="M1433" s="8">
        <v>5.964</v>
      </c>
      <c r="N1433">
        <v>0</v>
      </c>
      <c r="O1433">
        <v>1827</v>
      </c>
      <c r="P1433" s="9">
        <v>0.295</v>
      </c>
      <c r="Q1433" t="s">
        <v>1199</v>
      </c>
      <c r="T1433" s="15" t="s">
        <v>112</v>
      </c>
      <c r="W1433" s="16" t="str">
        <f t="shared" si="137"/>
        <v>EN_WON_30_c01_MDA</v>
      </c>
      <c r="X1433" s="12">
        <f t="shared" si="138"/>
        <v>1827</v>
      </c>
      <c r="Y1433" s="11">
        <f t="shared" si="139"/>
        <v>1827</v>
      </c>
    </row>
    <row r="1434" spans="2:25">
      <c r="B1434" t="s">
        <v>26</v>
      </c>
      <c r="C1434" t="s">
        <v>7169</v>
      </c>
      <c r="D1434" t="s">
        <v>7170</v>
      </c>
      <c r="E1434" t="s">
        <v>29</v>
      </c>
      <c r="F1434" t="s">
        <v>30</v>
      </c>
      <c r="G1434" t="s">
        <v>31</v>
      </c>
      <c r="J1434" t="s">
        <v>7169</v>
      </c>
      <c r="K1434" t="s">
        <v>1967</v>
      </c>
      <c r="L1434" t="s">
        <v>4528</v>
      </c>
      <c r="M1434" s="8">
        <v>10.3275</v>
      </c>
      <c r="N1434">
        <v>145.23264029167</v>
      </c>
      <c r="O1434">
        <v>1952</v>
      </c>
      <c r="P1434" s="9">
        <v>0.328887654320988</v>
      </c>
      <c r="Q1434" t="s">
        <v>1203</v>
      </c>
      <c r="T1434" s="15" t="s">
        <v>54</v>
      </c>
      <c r="W1434" s="16" t="str">
        <f t="shared" si="137"/>
        <v>EN_WON_33_c04_MDG</v>
      </c>
      <c r="X1434" s="12">
        <f t="shared" si="138"/>
        <v>1952</v>
      </c>
      <c r="Y1434" s="11">
        <f t="shared" si="139"/>
        <v>1952</v>
      </c>
    </row>
    <row r="1435" spans="2:25">
      <c r="B1435" t="s">
        <v>26</v>
      </c>
      <c r="C1435" t="s">
        <v>7171</v>
      </c>
      <c r="D1435" t="s">
        <v>7172</v>
      </c>
      <c r="E1435" t="s">
        <v>29</v>
      </c>
      <c r="F1435" t="s">
        <v>30</v>
      </c>
      <c r="G1435" t="s">
        <v>31</v>
      </c>
      <c r="J1435" t="s">
        <v>7171</v>
      </c>
      <c r="K1435" t="s">
        <v>1967</v>
      </c>
      <c r="L1435" t="s">
        <v>4528</v>
      </c>
      <c r="M1435" s="8">
        <v>2.3985</v>
      </c>
      <c r="N1435">
        <v>145.23264029167</v>
      </c>
      <c r="O1435">
        <v>1952</v>
      </c>
      <c r="P1435" s="9">
        <v>0.341878674171357</v>
      </c>
      <c r="Q1435" t="s">
        <v>1203</v>
      </c>
      <c r="T1435" s="15" t="s">
        <v>54</v>
      </c>
      <c r="W1435" s="16" t="str">
        <f t="shared" si="137"/>
        <v>EN_WON_34_c04_MDG</v>
      </c>
      <c r="X1435" s="12">
        <f t="shared" si="138"/>
        <v>1952</v>
      </c>
      <c r="Y1435" s="11">
        <f t="shared" si="139"/>
        <v>1952</v>
      </c>
    </row>
    <row r="1436" spans="2:25">
      <c r="B1436" t="s">
        <v>26</v>
      </c>
      <c r="C1436" t="s">
        <v>7173</v>
      </c>
      <c r="D1436" t="s">
        <v>7174</v>
      </c>
      <c r="E1436" t="s">
        <v>29</v>
      </c>
      <c r="F1436" t="s">
        <v>30</v>
      </c>
      <c r="G1436" t="s">
        <v>31</v>
      </c>
      <c r="J1436" t="s">
        <v>7173</v>
      </c>
      <c r="K1436" t="s">
        <v>1967</v>
      </c>
      <c r="L1436" t="s">
        <v>4528</v>
      </c>
      <c r="M1436" s="8">
        <v>1.81125</v>
      </c>
      <c r="N1436">
        <v>80.7856561622413</v>
      </c>
      <c r="O1436">
        <v>1952</v>
      </c>
      <c r="P1436" s="9">
        <v>0.345</v>
      </c>
      <c r="Q1436" t="s">
        <v>1203</v>
      </c>
      <c r="T1436" s="15" t="s">
        <v>54</v>
      </c>
      <c r="W1436" s="16" t="str">
        <f t="shared" si="137"/>
        <v>EN_WON_35_c02_MDG</v>
      </c>
      <c r="X1436" s="12">
        <f t="shared" si="138"/>
        <v>1952</v>
      </c>
      <c r="Y1436" s="11">
        <f t="shared" si="139"/>
        <v>1952</v>
      </c>
    </row>
    <row r="1437" spans="2:25">
      <c r="B1437" t="s">
        <v>26</v>
      </c>
      <c r="C1437" t="s">
        <v>7175</v>
      </c>
      <c r="D1437" t="s">
        <v>7176</v>
      </c>
      <c r="E1437" t="s">
        <v>29</v>
      </c>
      <c r="F1437" t="s">
        <v>30</v>
      </c>
      <c r="G1437" t="s">
        <v>31</v>
      </c>
      <c r="J1437" t="s">
        <v>7175</v>
      </c>
      <c r="K1437" t="s">
        <v>1967</v>
      </c>
      <c r="L1437" t="s">
        <v>4528</v>
      </c>
      <c r="M1437" s="8">
        <v>2.103</v>
      </c>
      <c r="N1437">
        <v>105.747516212372</v>
      </c>
      <c r="O1437">
        <v>1952</v>
      </c>
      <c r="P1437" s="9">
        <v>0.347</v>
      </c>
      <c r="Q1437" t="s">
        <v>1203</v>
      </c>
      <c r="T1437" s="15" t="s">
        <v>54</v>
      </c>
      <c r="W1437" s="16" t="str">
        <f t="shared" si="137"/>
        <v>EN_WON_35_c03_MDG</v>
      </c>
      <c r="X1437" s="12">
        <f t="shared" si="138"/>
        <v>1952</v>
      </c>
      <c r="Y1437" s="11">
        <f t="shared" si="139"/>
        <v>1952</v>
      </c>
    </row>
    <row r="1438" spans="2:25">
      <c r="B1438" t="s">
        <v>26</v>
      </c>
      <c r="C1438" t="s">
        <v>7177</v>
      </c>
      <c r="D1438" t="s">
        <v>7178</v>
      </c>
      <c r="E1438" t="s">
        <v>29</v>
      </c>
      <c r="F1438" t="s">
        <v>30</v>
      </c>
      <c r="G1438" t="s">
        <v>31</v>
      </c>
      <c r="J1438" t="s">
        <v>7177</v>
      </c>
      <c r="K1438" t="s">
        <v>1967</v>
      </c>
      <c r="L1438" t="s">
        <v>4528</v>
      </c>
      <c r="M1438" s="8">
        <v>4.077</v>
      </c>
      <c r="N1438">
        <v>145.23264029167</v>
      </c>
      <c r="O1438">
        <v>1952</v>
      </c>
      <c r="P1438" s="9">
        <v>0.35158940397351</v>
      </c>
      <c r="Q1438" t="s">
        <v>1203</v>
      </c>
      <c r="T1438" s="15" t="s">
        <v>54</v>
      </c>
      <c r="W1438" s="16" t="str">
        <f t="shared" si="137"/>
        <v>EN_WON_35_c04_MDG</v>
      </c>
      <c r="X1438" s="12">
        <f t="shared" si="138"/>
        <v>1952</v>
      </c>
      <c r="Y1438" s="11">
        <f t="shared" si="139"/>
        <v>1952</v>
      </c>
    </row>
    <row r="1439" spans="2:25">
      <c r="B1439" t="s">
        <v>26</v>
      </c>
      <c r="C1439" t="s">
        <v>7179</v>
      </c>
      <c r="D1439" t="s">
        <v>7180</v>
      </c>
      <c r="E1439" t="s">
        <v>29</v>
      </c>
      <c r="F1439" t="s">
        <v>30</v>
      </c>
      <c r="G1439" t="s">
        <v>31</v>
      </c>
      <c r="J1439" t="s">
        <v>7179</v>
      </c>
      <c r="K1439" t="s">
        <v>1967</v>
      </c>
      <c r="L1439" t="s">
        <v>4528</v>
      </c>
      <c r="M1439" s="8">
        <v>4.18425</v>
      </c>
      <c r="N1439">
        <v>105.747516212372</v>
      </c>
      <c r="O1439">
        <v>1952</v>
      </c>
      <c r="P1439" s="9">
        <v>0.363</v>
      </c>
      <c r="Q1439" t="s">
        <v>1203</v>
      </c>
      <c r="T1439" s="15" t="s">
        <v>54</v>
      </c>
      <c r="W1439" s="16" t="str">
        <f t="shared" si="137"/>
        <v>EN_WON_36_c03_MDG</v>
      </c>
      <c r="X1439" s="12">
        <f t="shared" si="138"/>
        <v>1952</v>
      </c>
      <c r="Y1439" s="11">
        <f t="shared" si="139"/>
        <v>1952</v>
      </c>
    </row>
    <row r="1440" spans="2:25">
      <c r="B1440" t="s">
        <v>26</v>
      </c>
      <c r="C1440" t="s">
        <v>7181</v>
      </c>
      <c r="D1440" t="s">
        <v>7182</v>
      </c>
      <c r="E1440" t="s">
        <v>29</v>
      </c>
      <c r="F1440" t="s">
        <v>30</v>
      </c>
      <c r="G1440" t="s">
        <v>31</v>
      </c>
      <c r="J1440" t="s">
        <v>7181</v>
      </c>
      <c r="K1440" t="s">
        <v>1967</v>
      </c>
      <c r="L1440" t="s">
        <v>4528</v>
      </c>
      <c r="M1440" s="8">
        <v>2.6925</v>
      </c>
      <c r="N1440">
        <v>145.23264029167</v>
      </c>
      <c r="O1440">
        <v>1952</v>
      </c>
      <c r="P1440" s="9">
        <v>0.386172423398329</v>
      </c>
      <c r="Q1440" t="s">
        <v>1203</v>
      </c>
      <c r="T1440" s="15" t="s">
        <v>54</v>
      </c>
      <c r="W1440" s="16" t="str">
        <f t="shared" si="137"/>
        <v>EN_WON_39_c04_MDG</v>
      </c>
      <c r="X1440" s="12">
        <f t="shared" si="138"/>
        <v>1952</v>
      </c>
      <c r="Y1440" s="11">
        <f t="shared" si="139"/>
        <v>1952</v>
      </c>
    </row>
    <row r="1441" spans="2:25">
      <c r="B1441" t="s">
        <v>26</v>
      </c>
      <c r="C1441" t="s">
        <v>7183</v>
      </c>
      <c r="D1441" t="s">
        <v>7184</v>
      </c>
      <c r="E1441" t="s">
        <v>29</v>
      </c>
      <c r="F1441" t="s">
        <v>30</v>
      </c>
      <c r="G1441" t="s">
        <v>31</v>
      </c>
      <c r="J1441" t="s">
        <v>7183</v>
      </c>
      <c r="K1441" t="s">
        <v>1967</v>
      </c>
      <c r="L1441" t="s">
        <v>4528</v>
      </c>
      <c r="M1441" s="8">
        <v>0.05925</v>
      </c>
      <c r="N1441">
        <v>80.7856561622413</v>
      </c>
      <c r="O1441">
        <v>1952</v>
      </c>
      <c r="P1441" s="9">
        <v>0.422</v>
      </c>
      <c r="Q1441" t="s">
        <v>1203</v>
      </c>
      <c r="T1441" s="15" t="s">
        <v>54</v>
      </c>
      <c r="W1441" s="16" t="str">
        <f t="shared" si="137"/>
        <v>EN_WON_42_c02_MDG</v>
      </c>
      <c r="X1441" s="12">
        <f t="shared" si="138"/>
        <v>1952</v>
      </c>
      <c r="Y1441" s="11">
        <f t="shared" si="139"/>
        <v>1952</v>
      </c>
    </row>
    <row r="1442" spans="2:25">
      <c r="B1442" t="s">
        <v>26</v>
      </c>
      <c r="C1442" t="s">
        <v>7185</v>
      </c>
      <c r="D1442" t="s">
        <v>7186</v>
      </c>
      <c r="E1442" t="s">
        <v>29</v>
      </c>
      <c r="F1442" t="s">
        <v>30</v>
      </c>
      <c r="G1442" t="s">
        <v>31</v>
      </c>
      <c r="J1442" t="s">
        <v>7185</v>
      </c>
      <c r="K1442" t="s">
        <v>1967</v>
      </c>
      <c r="L1442" t="s">
        <v>4528</v>
      </c>
      <c r="M1442" s="8">
        <v>0.2565</v>
      </c>
      <c r="N1442">
        <v>145.23264029167</v>
      </c>
      <c r="O1442">
        <v>1952</v>
      </c>
      <c r="P1442" s="9">
        <v>0.437</v>
      </c>
      <c r="Q1442" t="s">
        <v>1203</v>
      </c>
      <c r="T1442" s="15" t="s">
        <v>54</v>
      </c>
      <c r="W1442" s="16" t="str">
        <f t="shared" si="137"/>
        <v>EN_WON_44_c04_MDG</v>
      </c>
      <c r="X1442" s="12">
        <f t="shared" si="138"/>
        <v>1952</v>
      </c>
      <c r="Y1442" s="11">
        <f t="shared" si="139"/>
        <v>1952</v>
      </c>
    </row>
    <row r="1443" spans="2:25">
      <c r="B1443" t="s">
        <v>26</v>
      </c>
      <c r="C1443" t="s">
        <v>7187</v>
      </c>
      <c r="D1443" t="s">
        <v>7188</v>
      </c>
      <c r="E1443" t="s">
        <v>29</v>
      </c>
      <c r="F1443" t="s">
        <v>30</v>
      </c>
      <c r="G1443" t="s">
        <v>31</v>
      </c>
      <c r="J1443" t="s">
        <v>7187</v>
      </c>
      <c r="K1443" t="s">
        <v>1967</v>
      </c>
      <c r="L1443" t="s">
        <v>4528</v>
      </c>
      <c r="M1443" s="8">
        <v>0.77025</v>
      </c>
      <c r="N1443">
        <v>145.23264029167</v>
      </c>
      <c r="O1443">
        <v>1952</v>
      </c>
      <c r="P1443" s="9">
        <v>0.465</v>
      </c>
      <c r="Q1443" t="s">
        <v>1203</v>
      </c>
      <c r="T1443" s="15" t="s">
        <v>54</v>
      </c>
      <c r="W1443" s="16" t="str">
        <f t="shared" si="137"/>
        <v>EN_WON_47_c04_MDG</v>
      </c>
      <c r="X1443" s="12">
        <f t="shared" si="138"/>
        <v>1952</v>
      </c>
      <c r="Y1443" s="11">
        <f t="shared" si="139"/>
        <v>1952</v>
      </c>
    </row>
    <row r="1444" spans="2:25">
      <c r="B1444" t="s">
        <v>26</v>
      </c>
      <c r="C1444" t="s">
        <v>7189</v>
      </c>
      <c r="D1444" t="s">
        <v>7190</v>
      </c>
      <c r="E1444" t="s">
        <v>29</v>
      </c>
      <c r="F1444" t="s">
        <v>30</v>
      </c>
      <c r="G1444" t="s">
        <v>31</v>
      </c>
      <c r="J1444" t="s">
        <v>7189</v>
      </c>
      <c r="K1444" t="s">
        <v>1967</v>
      </c>
      <c r="L1444" t="s">
        <v>4609</v>
      </c>
      <c r="M1444" s="8">
        <v>9.96375</v>
      </c>
      <c r="N1444">
        <v>80.7856561622413</v>
      </c>
      <c r="O1444">
        <v>1769</v>
      </c>
      <c r="P1444" s="9">
        <v>0.191350696273993</v>
      </c>
      <c r="Q1444" t="s">
        <v>1211</v>
      </c>
      <c r="T1444" s="15" t="s">
        <v>89</v>
      </c>
      <c r="W1444" s="16" t="str">
        <f t="shared" si="137"/>
        <v>EN_WON_19_c02_MEX</v>
      </c>
      <c r="X1444" s="12">
        <f t="shared" si="138"/>
        <v>1769</v>
      </c>
      <c r="Y1444" s="11">
        <f t="shared" si="139"/>
        <v>1769</v>
      </c>
    </row>
    <row r="1445" spans="2:25">
      <c r="B1445" t="s">
        <v>26</v>
      </c>
      <c r="C1445" t="s">
        <v>7191</v>
      </c>
      <c r="D1445" t="s">
        <v>7192</v>
      </c>
      <c r="E1445" t="s">
        <v>29</v>
      </c>
      <c r="F1445" t="s">
        <v>30</v>
      </c>
      <c r="G1445" t="s">
        <v>31</v>
      </c>
      <c r="J1445" t="s">
        <v>7191</v>
      </c>
      <c r="K1445" t="s">
        <v>1967</v>
      </c>
      <c r="L1445" t="s">
        <v>4609</v>
      </c>
      <c r="M1445" s="8">
        <v>93.7185</v>
      </c>
      <c r="N1445">
        <v>105.747516212372</v>
      </c>
      <c r="O1445">
        <v>1769</v>
      </c>
      <c r="P1445" s="9">
        <v>0.191038116807247</v>
      </c>
      <c r="Q1445" t="s">
        <v>1211</v>
      </c>
      <c r="T1445" s="15" t="s">
        <v>89</v>
      </c>
      <c r="W1445" s="16" t="str">
        <f t="shared" si="137"/>
        <v>EN_WON_19_c03_MEX</v>
      </c>
      <c r="X1445" s="12">
        <f t="shared" si="138"/>
        <v>1769</v>
      </c>
      <c r="Y1445" s="11">
        <f t="shared" si="139"/>
        <v>1769</v>
      </c>
    </row>
    <row r="1446" spans="2:25">
      <c r="B1446" t="s">
        <v>26</v>
      </c>
      <c r="C1446" t="s">
        <v>7193</v>
      </c>
      <c r="D1446" t="s">
        <v>7194</v>
      </c>
      <c r="E1446" t="s">
        <v>29</v>
      </c>
      <c r="F1446" t="s">
        <v>30</v>
      </c>
      <c r="G1446" t="s">
        <v>31</v>
      </c>
      <c r="J1446" t="s">
        <v>7193</v>
      </c>
      <c r="K1446" t="s">
        <v>1967</v>
      </c>
      <c r="L1446" t="s">
        <v>4609</v>
      </c>
      <c r="M1446" s="8">
        <v>16.887</v>
      </c>
      <c r="N1446">
        <v>80.7856561622413</v>
      </c>
      <c r="O1446">
        <v>1769</v>
      </c>
      <c r="P1446" s="9">
        <v>0.198781755196305</v>
      </c>
      <c r="Q1446" t="s">
        <v>1211</v>
      </c>
      <c r="T1446" s="15" t="s">
        <v>89</v>
      </c>
      <c r="W1446" s="16" t="str">
        <f t="shared" si="137"/>
        <v>EN_WON_20_c02_MEX</v>
      </c>
      <c r="X1446" s="12">
        <f t="shared" si="138"/>
        <v>1769</v>
      </c>
      <c r="Y1446" s="11">
        <f t="shared" si="139"/>
        <v>1769</v>
      </c>
    </row>
    <row r="1447" spans="2:25">
      <c r="B1447" t="s">
        <v>26</v>
      </c>
      <c r="C1447" t="s">
        <v>7195</v>
      </c>
      <c r="D1447" t="s">
        <v>7196</v>
      </c>
      <c r="E1447" t="s">
        <v>29</v>
      </c>
      <c r="F1447" t="s">
        <v>30</v>
      </c>
      <c r="G1447" t="s">
        <v>31</v>
      </c>
      <c r="J1447" t="s">
        <v>7195</v>
      </c>
      <c r="K1447" t="s">
        <v>1967</v>
      </c>
      <c r="L1447" t="s">
        <v>4609</v>
      </c>
      <c r="M1447" s="8">
        <v>63.852</v>
      </c>
      <c r="N1447">
        <v>105.747516212372</v>
      </c>
      <c r="O1447">
        <v>1769</v>
      </c>
      <c r="P1447" s="9">
        <v>0.198723806615298</v>
      </c>
      <c r="Q1447" t="s">
        <v>1211</v>
      </c>
      <c r="T1447" s="15" t="s">
        <v>89</v>
      </c>
      <c r="W1447" s="16" t="str">
        <f t="shared" si="137"/>
        <v>EN_WON_20_c03_MEX</v>
      </c>
      <c r="X1447" s="12">
        <f t="shared" si="138"/>
        <v>1769</v>
      </c>
      <c r="Y1447" s="11">
        <f t="shared" si="139"/>
        <v>1769</v>
      </c>
    </row>
    <row r="1448" spans="2:25">
      <c r="B1448" t="s">
        <v>26</v>
      </c>
      <c r="C1448" t="s">
        <v>7197</v>
      </c>
      <c r="D1448" t="s">
        <v>7198</v>
      </c>
      <c r="E1448" t="s">
        <v>29</v>
      </c>
      <c r="F1448" t="s">
        <v>30</v>
      </c>
      <c r="G1448" t="s">
        <v>31</v>
      </c>
      <c r="J1448" t="s">
        <v>7197</v>
      </c>
      <c r="K1448" t="s">
        <v>1967</v>
      </c>
      <c r="L1448" t="s">
        <v>4609</v>
      </c>
      <c r="M1448" s="8">
        <v>39.46575</v>
      </c>
      <c r="N1448">
        <v>145.23264029167</v>
      </c>
      <c r="O1448">
        <v>1769</v>
      </c>
      <c r="P1448" s="9">
        <v>0.199742726287984</v>
      </c>
      <c r="Q1448" t="s">
        <v>1211</v>
      </c>
      <c r="T1448" s="15" t="s">
        <v>89</v>
      </c>
      <c r="W1448" s="16" t="str">
        <f t="shared" si="137"/>
        <v>EN_WON_20_c04_MEX</v>
      </c>
      <c r="X1448" s="12">
        <f t="shared" si="138"/>
        <v>1769</v>
      </c>
      <c r="Y1448" s="11">
        <f t="shared" si="139"/>
        <v>1769</v>
      </c>
    </row>
    <row r="1449" spans="2:25">
      <c r="B1449" t="s">
        <v>26</v>
      </c>
      <c r="C1449" t="s">
        <v>7199</v>
      </c>
      <c r="D1449" t="s">
        <v>7200</v>
      </c>
      <c r="E1449" t="s">
        <v>29</v>
      </c>
      <c r="F1449" t="s">
        <v>30</v>
      </c>
      <c r="G1449" t="s">
        <v>31</v>
      </c>
      <c r="J1449" t="s">
        <v>7199</v>
      </c>
      <c r="K1449" t="s">
        <v>1967</v>
      </c>
      <c r="L1449" t="s">
        <v>4609</v>
      </c>
      <c r="M1449" s="8">
        <v>0.1755</v>
      </c>
      <c r="N1449">
        <v>0</v>
      </c>
      <c r="O1449">
        <v>1769</v>
      </c>
      <c r="P1449" s="9">
        <v>0.212790598290598</v>
      </c>
      <c r="Q1449" t="s">
        <v>1211</v>
      </c>
      <c r="T1449" s="15" t="s">
        <v>89</v>
      </c>
      <c r="W1449" s="16" t="str">
        <f t="shared" si="137"/>
        <v>EN_WON_21_c01_MEX</v>
      </c>
      <c r="X1449" s="12">
        <f t="shared" si="138"/>
        <v>1769</v>
      </c>
      <c r="Y1449" s="11">
        <f t="shared" si="139"/>
        <v>1769</v>
      </c>
    </row>
    <row r="1450" spans="2:25">
      <c r="B1450" t="s">
        <v>26</v>
      </c>
      <c r="C1450" t="s">
        <v>7201</v>
      </c>
      <c r="D1450" t="s">
        <v>7202</v>
      </c>
      <c r="E1450" t="s">
        <v>29</v>
      </c>
      <c r="F1450" t="s">
        <v>30</v>
      </c>
      <c r="G1450" t="s">
        <v>31</v>
      </c>
      <c r="J1450" t="s">
        <v>7201</v>
      </c>
      <c r="K1450" t="s">
        <v>1967</v>
      </c>
      <c r="L1450" t="s">
        <v>4609</v>
      </c>
      <c r="M1450" s="8">
        <v>25.4415</v>
      </c>
      <c r="N1450">
        <v>80.7856561622413</v>
      </c>
      <c r="O1450">
        <v>1769</v>
      </c>
      <c r="P1450" s="9">
        <v>0.208663905430104</v>
      </c>
      <c r="Q1450" t="s">
        <v>1211</v>
      </c>
      <c r="T1450" s="15" t="s">
        <v>89</v>
      </c>
      <c r="W1450" s="16" t="str">
        <f t="shared" si="137"/>
        <v>EN_WON_21_c02_MEX</v>
      </c>
      <c r="X1450" s="12">
        <f t="shared" si="138"/>
        <v>1769</v>
      </c>
      <c r="Y1450" s="11">
        <f t="shared" si="139"/>
        <v>1769</v>
      </c>
    </row>
    <row r="1451" spans="2:25">
      <c r="B1451" t="s">
        <v>26</v>
      </c>
      <c r="C1451" t="s">
        <v>7203</v>
      </c>
      <c r="D1451" t="s">
        <v>7204</v>
      </c>
      <c r="E1451" t="s">
        <v>29</v>
      </c>
      <c r="F1451" t="s">
        <v>30</v>
      </c>
      <c r="G1451" t="s">
        <v>31</v>
      </c>
      <c r="J1451" t="s">
        <v>7203</v>
      </c>
      <c r="K1451" t="s">
        <v>1967</v>
      </c>
      <c r="L1451" t="s">
        <v>4609</v>
      </c>
      <c r="M1451" s="8">
        <v>67.51725</v>
      </c>
      <c r="N1451">
        <v>105.747516212372</v>
      </c>
      <c r="O1451">
        <v>1769</v>
      </c>
      <c r="P1451" s="9">
        <v>0.208521500061096</v>
      </c>
      <c r="Q1451" t="s">
        <v>1211</v>
      </c>
      <c r="T1451" s="15" t="s">
        <v>89</v>
      </c>
      <c r="W1451" s="16" t="str">
        <f t="shared" si="137"/>
        <v>EN_WON_21_c03_MEX</v>
      </c>
      <c r="X1451" s="12">
        <f t="shared" si="138"/>
        <v>1769</v>
      </c>
      <c r="Y1451" s="11">
        <f t="shared" si="139"/>
        <v>1769</v>
      </c>
    </row>
    <row r="1452" spans="2:25">
      <c r="B1452" t="s">
        <v>26</v>
      </c>
      <c r="C1452" t="s">
        <v>7205</v>
      </c>
      <c r="D1452" t="s">
        <v>7206</v>
      </c>
      <c r="E1452" t="s">
        <v>29</v>
      </c>
      <c r="F1452" t="s">
        <v>30</v>
      </c>
      <c r="G1452" t="s">
        <v>31</v>
      </c>
      <c r="J1452" t="s">
        <v>7205</v>
      </c>
      <c r="K1452" t="s">
        <v>1967</v>
      </c>
      <c r="L1452" t="s">
        <v>4609</v>
      </c>
      <c r="M1452" s="8">
        <v>18.5625</v>
      </c>
      <c r="N1452">
        <v>145.23264029167</v>
      </c>
      <c r="O1452">
        <v>1769</v>
      </c>
      <c r="P1452" s="9">
        <v>0.208740363636364</v>
      </c>
      <c r="Q1452" t="s">
        <v>1211</v>
      </c>
      <c r="T1452" s="15" t="s">
        <v>89</v>
      </c>
      <c r="W1452" s="16" t="str">
        <f t="shared" si="137"/>
        <v>EN_WON_21_c04_MEX</v>
      </c>
      <c r="X1452" s="12">
        <f t="shared" si="138"/>
        <v>1769</v>
      </c>
      <c r="Y1452" s="11">
        <f t="shared" si="139"/>
        <v>1769</v>
      </c>
    </row>
    <row r="1453" spans="2:25">
      <c r="B1453" t="s">
        <v>26</v>
      </c>
      <c r="C1453" t="s">
        <v>7207</v>
      </c>
      <c r="D1453" t="s">
        <v>7208</v>
      </c>
      <c r="E1453" t="s">
        <v>29</v>
      </c>
      <c r="F1453" t="s">
        <v>30</v>
      </c>
      <c r="G1453" t="s">
        <v>31</v>
      </c>
      <c r="J1453" t="s">
        <v>7207</v>
      </c>
      <c r="K1453" t="s">
        <v>1967</v>
      </c>
      <c r="L1453" t="s">
        <v>4609</v>
      </c>
      <c r="M1453" s="8">
        <v>8.811</v>
      </c>
      <c r="N1453">
        <v>80.7856561622413</v>
      </c>
      <c r="O1453">
        <v>1769</v>
      </c>
      <c r="P1453" s="9">
        <v>0.21837163772557</v>
      </c>
      <c r="Q1453" t="s">
        <v>1211</v>
      </c>
      <c r="T1453" s="15" t="s">
        <v>89</v>
      </c>
      <c r="W1453" s="16" t="str">
        <f t="shared" si="137"/>
        <v>EN_WON_22_c02_MEX</v>
      </c>
      <c r="X1453" s="12">
        <f t="shared" si="138"/>
        <v>1769</v>
      </c>
      <c r="Y1453" s="11">
        <f t="shared" si="139"/>
        <v>1769</v>
      </c>
    </row>
    <row r="1454" spans="2:25">
      <c r="B1454" t="s">
        <v>26</v>
      </c>
      <c r="C1454" t="s">
        <v>7209</v>
      </c>
      <c r="D1454" t="s">
        <v>7210</v>
      </c>
      <c r="E1454" t="s">
        <v>29</v>
      </c>
      <c r="F1454" t="s">
        <v>30</v>
      </c>
      <c r="G1454" t="s">
        <v>31</v>
      </c>
      <c r="J1454" t="s">
        <v>7209</v>
      </c>
      <c r="K1454" t="s">
        <v>1967</v>
      </c>
      <c r="L1454" t="s">
        <v>4609</v>
      </c>
      <c r="M1454" s="8">
        <v>34.176</v>
      </c>
      <c r="N1454">
        <v>105.747516212372</v>
      </c>
      <c r="O1454">
        <v>1769</v>
      </c>
      <c r="P1454" s="9">
        <v>0.220028704353933</v>
      </c>
      <c r="Q1454" t="s">
        <v>1211</v>
      </c>
      <c r="T1454" s="15" t="s">
        <v>89</v>
      </c>
      <c r="W1454" s="16" t="str">
        <f t="shared" si="137"/>
        <v>EN_WON_22_c03_MEX</v>
      </c>
      <c r="X1454" s="12">
        <f t="shared" si="138"/>
        <v>1769</v>
      </c>
      <c r="Y1454" s="11">
        <f t="shared" si="139"/>
        <v>1769</v>
      </c>
    </row>
    <row r="1455" spans="2:25">
      <c r="B1455" t="s">
        <v>26</v>
      </c>
      <c r="C1455" t="s">
        <v>7211</v>
      </c>
      <c r="D1455" t="s">
        <v>7212</v>
      </c>
      <c r="E1455" t="s">
        <v>29</v>
      </c>
      <c r="F1455" t="s">
        <v>30</v>
      </c>
      <c r="G1455" t="s">
        <v>31</v>
      </c>
      <c r="J1455" t="s">
        <v>7211</v>
      </c>
      <c r="K1455" t="s">
        <v>1967</v>
      </c>
      <c r="L1455" t="s">
        <v>4609</v>
      </c>
      <c r="M1455" s="8">
        <v>29.13675</v>
      </c>
      <c r="N1455">
        <v>145.23264029167</v>
      </c>
      <c r="O1455">
        <v>1769</v>
      </c>
      <c r="P1455" s="9">
        <v>0.217796854487889</v>
      </c>
      <c r="Q1455" t="s">
        <v>1211</v>
      </c>
      <c r="T1455" s="15" t="s">
        <v>89</v>
      </c>
      <c r="W1455" s="16" t="str">
        <f t="shared" si="137"/>
        <v>EN_WON_22_c04_MEX</v>
      </c>
      <c r="X1455" s="12">
        <f t="shared" si="138"/>
        <v>1769</v>
      </c>
      <c r="Y1455" s="11">
        <f t="shared" si="139"/>
        <v>1769</v>
      </c>
    </row>
    <row r="1456" spans="2:25">
      <c r="B1456" t="s">
        <v>26</v>
      </c>
      <c r="C1456" t="s">
        <v>7213</v>
      </c>
      <c r="D1456" t="s">
        <v>7214</v>
      </c>
      <c r="E1456" t="s">
        <v>29</v>
      </c>
      <c r="F1456" t="s">
        <v>30</v>
      </c>
      <c r="G1456" t="s">
        <v>31</v>
      </c>
      <c r="J1456" t="s">
        <v>7213</v>
      </c>
      <c r="K1456" t="s">
        <v>1967</v>
      </c>
      <c r="L1456" t="s">
        <v>4609</v>
      </c>
      <c r="M1456" s="8">
        <v>8.1435</v>
      </c>
      <c r="N1456">
        <v>80.7856561622413</v>
      </c>
      <c r="O1456">
        <v>1769</v>
      </c>
      <c r="P1456" s="9">
        <v>0.230981027813594</v>
      </c>
      <c r="Q1456" t="s">
        <v>1211</v>
      </c>
      <c r="T1456" s="15" t="s">
        <v>89</v>
      </c>
      <c r="W1456" s="16" t="str">
        <f t="shared" si="137"/>
        <v>EN_WON_23_c02_MEX</v>
      </c>
      <c r="X1456" s="12">
        <f t="shared" si="138"/>
        <v>1769</v>
      </c>
      <c r="Y1456" s="11">
        <f t="shared" si="139"/>
        <v>1769</v>
      </c>
    </row>
    <row r="1457" spans="2:25">
      <c r="B1457" t="s">
        <v>26</v>
      </c>
      <c r="C1457" t="s">
        <v>7215</v>
      </c>
      <c r="D1457" t="s">
        <v>7216</v>
      </c>
      <c r="E1457" t="s">
        <v>29</v>
      </c>
      <c r="F1457" t="s">
        <v>30</v>
      </c>
      <c r="G1457" t="s">
        <v>31</v>
      </c>
      <c r="J1457" t="s">
        <v>7215</v>
      </c>
      <c r="K1457" t="s">
        <v>1967</v>
      </c>
      <c r="L1457" t="s">
        <v>4609</v>
      </c>
      <c r="M1457" s="8">
        <v>26.4105</v>
      </c>
      <c r="N1457">
        <v>105.747516212372</v>
      </c>
      <c r="O1457">
        <v>1769</v>
      </c>
      <c r="P1457" s="9">
        <v>0.23000843414551</v>
      </c>
      <c r="Q1457" t="s">
        <v>1211</v>
      </c>
      <c r="T1457" s="15" t="s">
        <v>89</v>
      </c>
      <c r="W1457" s="16" t="str">
        <f t="shared" si="137"/>
        <v>EN_WON_23_c03_MEX</v>
      </c>
      <c r="X1457" s="12">
        <f t="shared" si="138"/>
        <v>1769</v>
      </c>
      <c r="Y1457" s="11">
        <f t="shared" si="139"/>
        <v>1769</v>
      </c>
    </row>
    <row r="1458" spans="2:25">
      <c r="B1458" t="s">
        <v>26</v>
      </c>
      <c r="C1458" t="s">
        <v>7217</v>
      </c>
      <c r="D1458" t="s">
        <v>7218</v>
      </c>
      <c r="E1458" t="s">
        <v>29</v>
      </c>
      <c r="F1458" t="s">
        <v>30</v>
      </c>
      <c r="G1458" t="s">
        <v>31</v>
      </c>
      <c r="J1458" t="s">
        <v>7217</v>
      </c>
      <c r="K1458" t="s">
        <v>1967</v>
      </c>
      <c r="L1458" t="s">
        <v>4609</v>
      </c>
      <c r="M1458" s="8">
        <v>20.89125</v>
      </c>
      <c r="N1458">
        <v>145.23264029167</v>
      </c>
      <c r="O1458">
        <v>1769</v>
      </c>
      <c r="P1458" s="9">
        <v>0.229489140190271</v>
      </c>
      <c r="Q1458" t="s">
        <v>1211</v>
      </c>
      <c r="T1458" s="15" t="s">
        <v>89</v>
      </c>
      <c r="W1458" s="16" t="str">
        <f t="shared" si="137"/>
        <v>EN_WON_23_c04_MEX</v>
      </c>
      <c r="X1458" s="12">
        <f t="shared" si="138"/>
        <v>1769</v>
      </c>
      <c r="Y1458" s="11">
        <f t="shared" si="139"/>
        <v>1769</v>
      </c>
    </row>
    <row r="1459" spans="2:25">
      <c r="B1459" t="s">
        <v>26</v>
      </c>
      <c r="C1459" t="s">
        <v>7219</v>
      </c>
      <c r="D1459" t="s">
        <v>7220</v>
      </c>
      <c r="E1459" t="s">
        <v>29</v>
      </c>
      <c r="F1459" t="s">
        <v>30</v>
      </c>
      <c r="G1459" t="s">
        <v>31</v>
      </c>
      <c r="J1459" t="s">
        <v>7219</v>
      </c>
      <c r="K1459" t="s">
        <v>1967</v>
      </c>
      <c r="L1459" t="s">
        <v>4609</v>
      </c>
      <c r="M1459" s="8">
        <v>4.5015</v>
      </c>
      <c r="N1459">
        <v>0</v>
      </c>
      <c r="O1459">
        <v>1769</v>
      </c>
      <c r="P1459" s="9">
        <v>0.237</v>
      </c>
      <c r="Q1459" t="s">
        <v>1211</v>
      </c>
      <c r="T1459" s="15" t="s">
        <v>89</v>
      </c>
      <c r="W1459" s="16" t="str">
        <f t="shared" si="137"/>
        <v>EN_WON_24_c01_MEX</v>
      </c>
      <c r="X1459" s="12">
        <f t="shared" si="138"/>
        <v>1769</v>
      </c>
      <c r="Y1459" s="11">
        <f t="shared" si="139"/>
        <v>1769</v>
      </c>
    </row>
    <row r="1460" spans="2:25">
      <c r="B1460" t="s">
        <v>26</v>
      </c>
      <c r="C1460" t="s">
        <v>7221</v>
      </c>
      <c r="D1460" t="s">
        <v>7222</v>
      </c>
      <c r="E1460" t="s">
        <v>29</v>
      </c>
      <c r="F1460" t="s">
        <v>30</v>
      </c>
      <c r="G1460" t="s">
        <v>31</v>
      </c>
      <c r="J1460" t="s">
        <v>7221</v>
      </c>
      <c r="K1460" t="s">
        <v>1967</v>
      </c>
      <c r="L1460" t="s">
        <v>4609</v>
      </c>
      <c r="M1460" s="8">
        <v>11.775</v>
      </c>
      <c r="N1460">
        <v>80.7856561622413</v>
      </c>
      <c r="O1460">
        <v>1769</v>
      </c>
      <c r="P1460" s="9">
        <v>0.241802356687898</v>
      </c>
      <c r="Q1460" t="s">
        <v>1211</v>
      </c>
      <c r="T1460" s="15" t="s">
        <v>89</v>
      </c>
      <c r="W1460" s="16" t="str">
        <f t="shared" si="137"/>
        <v>EN_WON_24_c02_MEX</v>
      </c>
      <c r="X1460" s="12">
        <f t="shared" si="138"/>
        <v>1769</v>
      </c>
      <c r="Y1460" s="11">
        <f t="shared" si="139"/>
        <v>1769</v>
      </c>
    </row>
    <row r="1461" spans="2:25">
      <c r="B1461" t="s">
        <v>26</v>
      </c>
      <c r="C1461" t="s">
        <v>7223</v>
      </c>
      <c r="D1461" t="s">
        <v>7224</v>
      </c>
      <c r="E1461" t="s">
        <v>29</v>
      </c>
      <c r="F1461" t="s">
        <v>30</v>
      </c>
      <c r="G1461" t="s">
        <v>31</v>
      </c>
      <c r="J1461" t="s">
        <v>7223</v>
      </c>
      <c r="K1461" t="s">
        <v>1967</v>
      </c>
      <c r="L1461" t="s">
        <v>4609</v>
      </c>
      <c r="M1461" s="8">
        <v>2.45925</v>
      </c>
      <c r="N1461">
        <v>105.747516212372</v>
      </c>
      <c r="O1461">
        <v>1769</v>
      </c>
      <c r="P1461" s="9">
        <v>0.238784995425435</v>
      </c>
      <c r="Q1461" t="s">
        <v>1211</v>
      </c>
      <c r="T1461" s="15" t="s">
        <v>89</v>
      </c>
      <c r="W1461" s="16" t="str">
        <f t="shared" si="137"/>
        <v>EN_WON_24_c03_MEX</v>
      </c>
      <c r="X1461" s="12">
        <f t="shared" si="138"/>
        <v>1769</v>
      </c>
      <c r="Y1461" s="11">
        <f t="shared" si="139"/>
        <v>1769</v>
      </c>
    </row>
    <row r="1462" spans="2:25">
      <c r="B1462" t="s">
        <v>26</v>
      </c>
      <c r="C1462" t="s">
        <v>7225</v>
      </c>
      <c r="D1462" t="s">
        <v>7226</v>
      </c>
      <c r="E1462" t="s">
        <v>29</v>
      </c>
      <c r="F1462" t="s">
        <v>30</v>
      </c>
      <c r="G1462" t="s">
        <v>31</v>
      </c>
      <c r="J1462" t="s">
        <v>7225</v>
      </c>
      <c r="K1462" t="s">
        <v>1967</v>
      </c>
      <c r="L1462" t="s">
        <v>4609</v>
      </c>
      <c r="M1462" s="8">
        <v>15.08025</v>
      </c>
      <c r="N1462">
        <v>145.23264029167</v>
      </c>
      <c r="O1462">
        <v>1769</v>
      </c>
      <c r="P1462" s="9">
        <v>0.239698214552146</v>
      </c>
      <c r="Q1462" t="s">
        <v>1211</v>
      </c>
      <c r="T1462" s="15" t="s">
        <v>89</v>
      </c>
      <c r="W1462" s="16" t="str">
        <f t="shared" si="137"/>
        <v>EN_WON_24_c04_MEX</v>
      </c>
      <c r="X1462" s="12">
        <f t="shared" si="138"/>
        <v>1769</v>
      </c>
      <c r="Y1462" s="11">
        <f t="shared" si="139"/>
        <v>1769</v>
      </c>
    </row>
    <row r="1463" spans="2:25">
      <c r="B1463" t="s">
        <v>26</v>
      </c>
      <c r="C1463" t="s">
        <v>7227</v>
      </c>
      <c r="D1463" t="s">
        <v>7228</v>
      </c>
      <c r="E1463" t="s">
        <v>29</v>
      </c>
      <c r="F1463" t="s">
        <v>30</v>
      </c>
      <c r="G1463" t="s">
        <v>31</v>
      </c>
      <c r="J1463" t="s">
        <v>7227</v>
      </c>
      <c r="K1463" t="s">
        <v>1967</v>
      </c>
      <c r="L1463" t="s">
        <v>4609</v>
      </c>
      <c r="M1463" s="8">
        <v>9.84075</v>
      </c>
      <c r="N1463">
        <v>80.7856561622413</v>
      </c>
      <c r="O1463">
        <v>1769</v>
      </c>
      <c r="P1463" s="9">
        <v>0.248714274826614</v>
      </c>
      <c r="Q1463" t="s">
        <v>1211</v>
      </c>
      <c r="T1463" s="15" t="s">
        <v>89</v>
      </c>
      <c r="W1463" s="16" t="str">
        <f t="shared" si="137"/>
        <v>EN_WON_25_c02_MEX</v>
      </c>
      <c r="X1463" s="12">
        <f t="shared" si="138"/>
        <v>1769</v>
      </c>
      <c r="Y1463" s="11">
        <f t="shared" si="139"/>
        <v>1769</v>
      </c>
    </row>
    <row r="1464" spans="2:25">
      <c r="B1464" t="s">
        <v>26</v>
      </c>
      <c r="C1464" t="s">
        <v>7229</v>
      </c>
      <c r="D1464" t="s">
        <v>7230</v>
      </c>
      <c r="E1464" t="s">
        <v>29</v>
      </c>
      <c r="F1464" t="s">
        <v>30</v>
      </c>
      <c r="G1464" t="s">
        <v>31</v>
      </c>
      <c r="J1464" t="s">
        <v>7229</v>
      </c>
      <c r="K1464" t="s">
        <v>1967</v>
      </c>
      <c r="L1464" t="s">
        <v>4609</v>
      </c>
      <c r="M1464" s="8">
        <v>13.70775</v>
      </c>
      <c r="N1464">
        <v>105.747516212372</v>
      </c>
      <c r="O1464">
        <v>1769</v>
      </c>
      <c r="P1464" s="9">
        <v>0.250120041582317</v>
      </c>
      <c r="Q1464" t="s">
        <v>1211</v>
      </c>
      <c r="T1464" s="15" t="s">
        <v>89</v>
      </c>
      <c r="W1464" s="16" t="str">
        <f t="shared" si="137"/>
        <v>EN_WON_25_c03_MEX</v>
      </c>
      <c r="X1464" s="12">
        <f t="shared" si="138"/>
        <v>1769</v>
      </c>
      <c r="Y1464" s="11">
        <f t="shared" si="139"/>
        <v>1769</v>
      </c>
    </row>
    <row r="1465" spans="2:25">
      <c r="B1465" t="s">
        <v>26</v>
      </c>
      <c r="C1465" t="s">
        <v>7231</v>
      </c>
      <c r="D1465" t="s">
        <v>7232</v>
      </c>
      <c r="E1465" t="s">
        <v>29</v>
      </c>
      <c r="F1465" t="s">
        <v>30</v>
      </c>
      <c r="G1465" t="s">
        <v>31</v>
      </c>
      <c r="J1465" t="s">
        <v>7231</v>
      </c>
      <c r="K1465" t="s">
        <v>1967</v>
      </c>
      <c r="L1465" t="s">
        <v>4609</v>
      </c>
      <c r="M1465" s="8">
        <v>4.16175</v>
      </c>
      <c r="N1465">
        <v>145.23264029167</v>
      </c>
      <c r="O1465">
        <v>1769</v>
      </c>
      <c r="P1465" s="9">
        <v>0.248988646602992</v>
      </c>
      <c r="Q1465" t="s">
        <v>1211</v>
      </c>
      <c r="T1465" s="15" t="s">
        <v>89</v>
      </c>
      <c r="W1465" s="16" t="str">
        <f t="shared" si="137"/>
        <v>EN_WON_25_c04_MEX</v>
      </c>
      <c r="X1465" s="12">
        <f t="shared" si="138"/>
        <v>1769</v>
      </c>
      <c r="Y1465" s="11">
        <f t="shared" si="139"/>
        <v>1769</v>
      </c>
    </row>
    <row r="1466" spans="2:25">
      <c r="B1466" t="s">
        <v>26</v>
      </c>
      <c r="C1466" t="s">
        <v>7233</v>
      </c>
      <c r="D1466" t="s">
        <v>7234</v>
      </c>
      <c r="E1466" t="s">
        <v>29</v>
      </c>
      <c r="F1466" t="s">
        <v>30</v>
      </c>
      <c r="G1466" t="s">
        <v>31</v>
      </c>
      <c r="J1466" t="s">
        <v>7233</v>
      </c>
      <c r="K1466" t="s">
        <v>1967</v>
      </c>
      <c r="L1466" t="s">
        <v>4609</v>
      </c>
      <c r="M1466" s="8">
        <v>3.56625</v>
      </c>
      <c r="N1466">
        <v>0</v>
      </c>
      <c r="O1466">
        <v>1769</v>
      </c>
      <c r="P1466" s="9">
        <v>0.255080126182965</v>
      </c>
      <c r="Q1466" t="s">
        <v>1211</v>
      </c>
      <c r="T1466" s="15" t="s">
        <v>89</v>
      </c>
      <c r="W1466" s="16" t="str">
        <f t="shared" si="137"/>
        <v>EN_WON_26_c01_MEX</v>
      </c>
      <c r="X1466" s="12">
        <f t="shared" si="138"/>
        <v>1769</v>
      </c>
      <c r="Y1466" s="11">
        <f t="shared" si="139"/>
        <v>1769</v>
      </c>
    </row>
    <row r="1467" spans="2:25">
      <c r="B1467" t="s">
        <v>26</v>
      </c>
      <c r="C1467" t="s">
        <v>7235</v>
      </c>
      <c r="D1467" t="s">
        <v>7236</v>
      </c>
      <c r="E1467" t="s">
        <v>29</v>
      </c>
      <c r="F1467" t="s">
        <v>30</v>
      </c>
      <c r="G1467" t="s">
        <v>31</v>
      </c>
      <c r="J1467" t="s">
        <v>7235</v>
      </c>
      <c r="K1467" t="s">
        <v>1967</v>
      </c>
      <c r="L1467" t="s">
        <v>4609</v>
      </c>
      <c r="M1467" s="8">
        <v>5.01675</v>
      </c>
      <c r="N1467">
        <v>105.747516212372</v>
      </c>
      <c r="O1467">
        <v>1769</v>
      </c>
      <c r="P1467" s="9">
        <v>0.255</v>
      </c>
      <c r="Q1467" t="s">
        <v>1211</v>
      </c>
      <c r="T1467" s="15" t="s">
        <v>89</v>
      </c>
      <c r="W1467" s="16" t="str">
        <f t="shared" si="137"/>
        <v>EN_WON_26_c03_MEX</v>
      </c>
      <c r="X1467" s="12">
        <f t="shared" si="138"/>
        <v>1769</v>
      </c>
      <c r="Y1467" s="11">
        <f t="shared" si="139"/>
        <v>1769</v>
      </c>
    </row>
    <row r="1468" spans="2:25">
      <c r="B1468" t="s">
        <v>26</v>
      </c>
      <c r="C1468" t="s">
        <v>7237</v>
      </c>
      <c r="D1468" t="s">
        <v>7238</v>
      </c>
      <c r="E1468" t="s">
        <v>29</v>
      </c>
      <c r="F1468" t="s">
        <v>30</v>
      </c>
      <c r="G1468" t="s">
        <v>31</v>
      </c>
      <c r="J1468" t="s">
        <v>7237</v>
      </c>
      <c r="K1468" t="s">
        <v>1967</v>
      </c>
      <c r="L1468" t="s">
        <v>4609</v>
      </c>
      <c r="M1468" s="8">
        <v>7.65525</v>
      </c>
      <c r="N1468">
        <v>145.23264029167</v>
      </c>
      <c r="O1468">
        <v>1769</v>
      </c>
      <c r="P1468" s="9">
        <v>0.26307396884491</v>
      </c>
      <c r="Q1468" t="s">
        <v>1211</v>
      </c>
      <c r="T1468" s="15" t="s">
        <v>89</v>
      </c>
      <c r="W1468" s="16" t="str">
        <f t="shared" si="137"/>
        <v>EN_WON_26_c04_MEX</v>
      </c>
      <c r="X1468" s="12">
        <f t="shared" si="138"/>
        <v>1769</v>
      </c>
      <c r="Y1468" s="11">
        <f t="shared" si="139"/>
        <v>1769</v>
      </c>
    </row>
    <row r="1469" spans="2:25">
      <c r="B1469" t="s">
        <v>26</v>
      </c>
      <c r="C1469" t="s">
        <v>7239</v>
      </c>
      <c r="D1469" t="s">
        <v>7240</v>
      </c>
      <c r="E1469" t="s">
        <v>29</v>
      </c>
      <c r="F1469" t="s">
        <v>30</v>
      </c>
      <c r="G1469" t="s">
        <v>31</v>
      </c>
      <c r="J1469" t="s">
        <v>7239</v>
      </c>
      <c r="K1469" t="s">
        <v>1967</v>
      </c>
      <c r="L1469" t="s">
        <v>4609</v>
      </c>
      <c r="M1469" s="8">
        <v>3.486</v>
      </c>
      <c r="N1469">
        <v>0</v>
      </c>
      <c r="O1469">
        <v>1769</v>
      </c>
      <c r="P1469" s="9">
        <v>0.272</v>
      </c>
      <c r="Q1469" t="s">
        <v>1211</v>
      </c>
      <c r="T1469" s="15" t="s">
        <v>89</v>
      </c>
      <c r="W1469" s="16" t="str">
        <f t="shared" si="137"/>
        <v>EN_WON_27_c01_MEX</v>
      </c>
      <c r="X1469" s="12">
        <f t="shared" si="138"/>
        <v>1769</v>
      </c>
      <c r="Y1469" s="11">
        <f t="shared" si="139"/>
        <v>1769</v>
      </c>
    </row>
    <row r="1470" spans="2:25">
      <c r="B1470" t="s">
        <v>26</v>
      </c>
      <c r="C1470" t="s">
        <v>7241</v>
      </c>
      <c r="D1470" t="s">
        <v>7242</v>
      </c>
      <c r="E1470" t="s">
        <v>29</v>
      </c>
      <c r="F1470" t="s">
        <v>30</v>
      </c>
      <c r="G1470" t="s">
        <v>31</v>
      </c>
      <c r="J1470" t="s">
        <v>7241</v>
      </c>
      <c r="K1470" t="s">
        <v>1967</v>
      </c>
      <c r="L1470" t="s">
        <v>4609</v>
      </c>
      <c r="M1470" s="8">
        <v>13.18425</v>
      </c>
      <c r="N1470">
        <v>80.7856561622413</v>
      </c>
      <c r="O1470">
        <v>1769</v>
      </c>
      <c r="P1470" s="9">
        <v>0.267226349621708</v>
      </c>
      <c r="Q1470" t="s">
        <v>1211</v>
      </c>
      <c r="T1470" s="15" t="s">
        <v>89</v>
      </c>
      <c r="W1470" s="16" t="str">
        <f t="shared" si="137"/>
        <v>EN_WON_27_c02_MEX</v>
      </c>
      <c r="X1470" s="12">
        <f t="shared" si="138"/>
        <v>1769</v>
      </c>
      <c r="Y1470" s="11">
        <f t="shared" si="139"/>
        <v>1769</v>
      </c>
    </row>
    <row r="1471" spans="2:25">
      <c r="B1471" t="s">
        <v>26</v>
      </c>
      <c r="C1471" t="s">
        <v>7243</v>
      </c>
      <c r="D1471" t="s">
        <v>7244</v>
      </c>
      <c r="E1471" t="s">
        <v>29</v>
      </c>
      <c r="F1471" t="s">
        <v>30</v>
      </c>
      <c r="G1471" t="s">
        <v>31</v>
      </c>
      <c r="J1471" t="s">
        <v>7243</v>
      </c>
      <c r="K1471" t="s">
        <v>1967</v>
      </c>
      <c r="L1471" t="s">
        <v>4609</v>
      </c>
      <c r="M1471" s="8">
        <v>0.7605</v>
      </c>
      <c r="N1471">
        <v>105.747516212372</v>
      </c>
      <c r="O1471">
        <v>1769</v>
      </c>
      <c r="P1471" s="9">
        <v>0.271</v>
      </c>
      <c r="Q1471" t="s">
        <v>1211</v>
      </c>
      <c r="T1471" s="15" t="s">
        <v>89</v>
      </c>
      <c r="W1471" s="16" t="str">
        <f t="shared" si="137"/>
        <v>EN_WON_27_c03_MEX</v>
      </c>
      <c r="X1471" s="12">
        <f t="shared" si="138"/>
        <v>1769</v>
      </c>
      <c r="Y1471" s="11">
        <f t="shared" si="139"/>
        <v>1769</v>
      </c>
    </row>
    <row r="1472" spans="2:25">
      <c r="B1472" t="s">
        <v>26</v>
      </c>
      <c r="C1472" t="s">
        <v>7245</v>
      </c>
      <c r="D1472" t="s">
        <v>7246</v>
      </c>
      <c r="E1472" t="s">
        <v>29</v>
      </c>
      <c r="F1472" t="s">
        <v>30</v>
      </c>
      <c r="G1472" t="s">
        <v>31</v>
      </c>
      <c r="J1472" t="s">
        <v>7245</v>
      </c>
      <c r="K1472" t="s">
        <v>1967</v>
      </c>
      <c r="L1472" t="s">
        <v>4609</v>
      </c>
      <c r="M1472" s="8">
        <v>6.3945</v>
      </c>
      <c r="N1472">
        <v>145.23264029167</v>
      </c>
      <c r="O1472">
        <v>1769</v>
      </c>
      <c r="P1472" s="9">
        <v>0.272737508796622</v>
      </c>
      <c r="Q1472" t="s">
        <v>1211</v>
      </c>
      <c r="T1472" s="15" t="s">
        <v>89</v>
      </c>
      <c r="W1472" s="16" t="str">
        <f t="shared" si="137"/>
        <v>EN_WON_27_c04_MEX</v>
      </c>
      <c r="X1472" s="12">
        <f t="shared" si="138"/>
        <v>1769</v>
      </c>
      <c r="Y1472" s="11">
        <f t="shared" si="139"/>
        <v>1769</v>
      </c>
    </row>
    <row r="1473" spans="2:25">
      <c r="B1473" t="s">
        <v>26</v>
      </c>
      <c r="C1473" t="s">
        <v>7247</v>
      </c>
      <c r="D1473" t="s">
        <v>7248</v>
      </c>
      <c r="E1473" t="s">
        <v>29</v>
      </c>
      <c r="F1473" t="s">
        <v>30</v>
      </c>
      <c r="G1473" t="s">
        <v>31</v>
      </c>
      <c r="J1473" t="s">
        <v>7247</v>
      </c>
      <c r="K1473" t="s">
        <v>1967</v>
      </c>
      <c r="L1473" t="s">
        <v>4609</v>
      </c>
      <c r="M1473" s="8">
        <v>12.53175</v>
      </c>
      <c r="N1473">
        <v>0</v>
      </c>
      <c r="O1473">
        <v>1769</v>
      </c>
      <c r="P1473" s="9">
        <v>0.279408761745167</v>
      </c>
      <c r="Q1473" t="s">
        <v>1211</v>
      </c>
      <c r="T1473" s="15" t="s">
        <v>89</v>
      </c>
      <c r="W1473" s="16" t="str">
        <f t="shared" si="137"/>
        <v>EN_WON_28_c01_MEX</v>
      </c>
      <c r="X1473" s="12">
        <f t="shared" si="138"/>
        <v>1769</v>
      </c>
      <c r="Y1473" s="11">
        <f t="shared" si="139"/>
        <v>1769</v>
      </c>
    </row>
    <row r="1474" spans="2:25">
      <c r="B1474" t="s">
        <v>26</v>
      </c>
      <c r="C1474" t="s">
        <v>7249</v>
      </c>
      <c r="D1474" t="s">
        <v>7250</v>
      </c>
      <c r="E1474" t="s">
        <v>29</v>
      </c>
      <c r="F1474" t="s">
        <v>30</v>
      </c>
      <c r="G1474" t="s">
        <v>31</v>
      </c>
      <c r="J1474" t="s">
        <v>7249</v>
      </c>
      <c r="K1474" t="s">
        <v>1967</v>
      </c>
      <c r="L1474" t="s">
        <v>4609</v>
      </c>
      <c r="M1474" s="8">
        <v>2.931</v>
      </c>
      <c r="N1474">
        <v>80.7856561622413</v>
      </c>
      <c r="O1474">
        <v>1769</v>
      </c>
      <c r="P1474" s="9">
        <v>0.28435900716479</v>
      </c>
      <c r="Q1474" t="s">
        <v>1211</v>
      </c>
      <c r="T1474" s="15" t="s">
        <v>89</v>
      </c>
      <c r="W1474" s="16" t="str">
        <f t="shared" si="137"/>
        <v>EN_WON_28_c02_MEX</v>
      </c>
      <c r="X1474" s="12">
        <f t="shared" si="138"/>
        <v>1769</v>
      </c>
      <c r="Y1474" s="11">
        <f t="shared" si="139"/>
        <v>1769</v>
      </c>
    </row>
    <row r="1475" spans="2:25">
      <c r="B1475" t="s">
        <v>26</v>
      </c>
      <c r="C1475" t="s">
        <v>7251</v>
      </c>
      <c r="D1475" t="s">
        <v>7252</v>
      </c>
      <c r="E1475" t="s">
        <v>29</v>
      </c>
      <c r="F1475" t="s">
        <v>30</v>
      </c>
      <c r="G1475" t="s">
        <v>31</v>
      </c>
      <c r="J1475" t="s">
        <v>7251</v>
      </c>
      <c r="K1475" t="s">
        <v>1967</v>
      </c>
      <c r="L1475" t="s">
        <v>4609</v>
      </c>
      <c r="M1475" s="8">
        <v>0.29025</v>
      </c>
      <c r="N1475">
        <v>105.747516212372</v>
      </c>
      <c r="O1475">
        <v>1769</v>
      </c>
      <c r="P1475" s="9">
        <v>0.281</v>
      </c>
      <c r="Q1475" t="s">
        <v>1211</v>
      </c>
      <c r="T1475" s="15" t="s">
        <v>89</v>
      </c>
      <c r="W1475" s="16" t="str">
        <f t="shared" si="137"/>
        <v>EN_WON_28_c03_MEX</v>
      </c>
      <c r="X1475" s="12">
        <f t="shared" si="138"/>
        <v>1769</v>
      </c>
      <c r="Y1475" s="11">
        <f t="shared" si="139"/>
        <v>1769</v>
      </c>
    </row>
    <row r="1476" spans="2:25">
      <c r="B1476" t="s">
        <v>26</v>
      </c>
      <c r="C1476" t="s">
        <v>7253</v>
      </c>
      <c r="D1476" t="s">
        <v>7254</v>
      </c>
      <c r="E1476" t="s">
        <v>29</v>
      </c>
      <c r="F1476" t="s">
        <v>30</v>
      </c>
      <c r="G1476" t="s">
        <v>31</v>
      </c>
      <c r="J1476" t="s">
        <v>7253</v>
      </c>
      <c r="K1476" t="s">
        <v>1967</v>
      </c>
      <c r="L1476" t="s">
        <v>4609</v>
      </c>
      <c r="M1476" s="8">
        <v>7.2765</v>
      </c>
      <c r="N1476">
        <v>145.23264029167</v>
      </c>
      <c r="O1476">
        <v>1769</v>
      </c>
      <c r="P1476" s="9">
        <v>0.278946815089672</v>
      </c>
      <c r="Q1476" t="s">
        <v>1211</v>
      </c>
      <c r="T1476" s="15" t="s">
        <v>89</v>
      </c>
      <c r="W1476" s="16" t="str">
        <f t="shared" si="137"/>
        <v>EN_WON_28_c04_MEX</v>
      </c>
      <c r="X1476" s="12">
        <f t="shared" si="138"/>
        <v>1769</v>
      </c>
      <c r="Y1476" s="11">
        <f t="shared" si="139"/>
        <v>1769</v>
      </c>
    </row>
    <row r="1477" spans="2:25">
      <c r="B1477" t="s">
        <v>26</v>
      </c>
      <c r="C1477" t="s">
        <v>7255</v>
      </c>
      <c r="D1477" t="s">
        <v>7256</v>
      </c>
      <c r="E1477" t="s">
        <v>29</v>
      </c>
      <c r="F1477" t="s">
        <v>30</v>
      </c>
      <c r="G1477" t="s">
        <v>31</v>
      </c>
      <c r="J1477" t="s">
        <v>7255</v>
      </c>
      <c r="K1477" t="s">
        <v>1967</v>
      </c>
      <c r="L1477" t="s">
        <v>4609</v>
      </c>
      <c r="M1477" s="8">
        <v>4.9665</v>
      </c>
      <c r="N1477">
        <v>0</v>
      </c>
      <c r="O1477">
        <v>1769</v>
      </c>
      <c r="P1477" s="9">
        <v>0.289563424947146</v>
      </c>
      <c r="Q1477" t="s">
        <v>1211</v>
      </c>
      <c r="T1477" s="15" t="s">
        <v>89</v>
      </c>
      <c r="W1477" s="16" t="str">
        <f t="shared" si="137"/>
        <v>EN_WON_29_c01_MEX</v>
      </c>
      <c r="X1477" s="12">
        <f t="shared" si="138"/>
        <v>1769</v>
      </c>
      <c r="Y1477" s="11">
        <f t="shared" si="139"/>
        <v>1769</v>
      </c>
    </row>
    <row r="1478" spans="2:25">
      <c r="B1478" t="s">
        <v>26</v>
      </c>
      <c r="C1478" t="s">
        <v>7257</v>
      </c>
      <c r="D1478" t="s">
        <v>7258</v>
      </c>
      <c r="E1478" t="s">
        <v>29</v>
      </c>
      <c r="F1478" t="s">
        <v>30</v>
      </c>
      <c r="G1478" t="s">
        <v>31</v>
      </c>
      <c r="J1478" t="s">
        <v>7257</v>
      </c>
      <c r="K1478" t="s">
        <v>1967</v>
      </c>
      <c r="L1478" t="s">
        <v>4609</v>
      </c>
      <c r="M1478" s="8">
        <v>4.59525</v>
      </c>
      <c r="N1478">
        <v>80.7856561622413</v>
      </c>
      <c r="O1478">
        <v>1769</v>
      </c>
      <c r="P1478" s="9">
        <v>0.287</v>
      </c>
      <c r="Q1478" t="s">
        <v>1211</v>
      </c>
      <c r="T1478" s="15" t="s">
        <v>89</v>
      </c>
      <c r="W1478" s="16" t="str">
        <f t="shared" ref="W1478:W1541" si="140">J1478</f>
        <v>EN_WON_29_c02_MEX</v>
      </c>
      <c r="X1478" s="12">
        <f t="shared" ref="X1478:X1541" si="141">O1478</f>
        <v>1769</v>
      </c>
      <c r="Y1478" s="11">
        <f t="shared" ref="Y1478:Y1541" si="142">X1478</f>
        <v>1769</v>
      </c>
    </row>
    <row r="1479" spans="2:25">
      <c r="B1479" t="s">
        <v>26</v>
      </c>
      <c r="C1479" t="s">
        <v>7259</v>
      </c>
      <c r="D1479" t="s">
        <v>7260</v>
      </c>
      <c r="E1479" t="s">
        <v>29</v>
      </c>
      <c r="F1479" t="s">
        <v>30</v>
      </c>
      <c r="G1479" t="s">
        <v>31</v>
      </c>
      <c r="J1479" t="s">
        <v>7259</v>
      </c>
      <c r="K1479" t="s">
        <v>1967</v>
      </c>
      <c r="L1479" t="s">
        <v>4609</v>
      </c>
      <c r="M1479" s="8">
        <v>6.201</v>
      </c>
      <c r="N1479">
        <v>105.747516212372</v>
      </c>
      <c r="O1479">
        <v>1769</v>
      </c>
      <c r="P1479" s="9">
        <v>0.291204402515723</v>
      </c>
      <c r="Q1479" t="s">
        <v>1211</v>
      </c>
      <c r="T1479" s="15" t="s">
        <v>89</v>
      </c>
      <c r="W1479" s="16" t="str">
        <f t="shared" si="140"/>
        <v>EN_WON_29_c03_MEX</v>
      </c>
      <c r="X1479" s="12">
        <f t="shared" si="141"/>
        <v>1769</v>
      </c>
      <c r="Y1479" s="11">
        <f t="shared" si="142"/>
        <v>1769</v>
      </c>
    </row>
    <row r="1480" spans="2:25">
      <c r="B1480" t="s">
        <v>26</v>
      </c>
      <c r="C1480" t="s">
        <v>7261</v>
      </c>
      <c r="D1480" t="s">
        <v>7262</v>
      </c>
      <c r="E1480" t="s">
        <v>29</v>
      </c>
      <c r="F1480" t="s">
        <v>30</v>
      </c>
      <c r="G1480" t="s">
        <v>31</v>
      </c>
      <c r="J1480" t="s">
        <v>7261</v>
      </c>
      <c r="K1480" t="s">
        <v>1967</v>
      </c>
      <c r="L1480" t="s">
        <v>4609</v>
      </c>
      <c r="M1480" s="8">
        <v>6.0435</v>
      </c>
      <c r="N1480">
        <v>0</v>
      </c>
      <c r="O1480">
        <v>1769</v>
      </c>
      <c r="P1480" s="9">
        <v>0.297277612310747</v>
      </c>
      <c r="Q1480" t="s">
        <v>1211</v>
      </c>
      <c r="T1480" s="15" t="s">
        <v>89</v>
      </c>
      <c r="W1480" s="16" t="str">
        <f t="shared" si="140"/>
        <v>EN_WON_30_c01_MEX</v>
      </c>
      <c r="X1480" s="12">
        <f t="shared" si="141"/>
        <v>1769</v>
      </c>
      <c r="Y1480" s="11">
        <f t="shared" si="142"/>
        <v>1769</v>
      </c>
    </row>
    <row r="1481" spans="2:25">
      <c r="B1481" t="s">
        <v>26</v>
      </c>
      <c r="C1481" t="s">
        <v>7263</v>
      </c>
      <c r="D1481" t="s">
        <v>7264</v>
      </c>
      <c r="E1481" t="s">
        <v>29</v>
      </c>
      <c r="F1481" t="s">
        <v>30</v>
      </c>
      <c r="G1481" t="s">
        <v>31</v>
      </c>
      <c r="J1481" t="s">
        <v>7263</v>
      </c>
      <c r="K1481" t="s">
        <v>1967</v>
      </c>
      <c r="L1481" t="s">
        <v>4609</v>
      </c>
      <c r="M1481" s="8">
        <v>6.789</v>
      </c>
      <c r="N1481">
        <v>80.7856561622413</v>
      </c>
      <c r="O1481">
        <v>1769</v>
      </c>
      <c r="P1481" s="9">
        <v>0.300436809544852</v>
      </c>
      <c r="Q1481" t="s">
        <v>1211</v>
      </c>
      <c r="T1481" s="15" t="s">
        <v>89</v>
      </c>
      <c r="W1481" s="16" t="str">
        <f t="shared" si="140"/>
        <v>EN_WON_30_c02_MEX</v>
      </c>
      <c r="X1481" s="12">
        <f t="shared" si="141"/>
        <v>1769</v>
      </c>
      <c r="Y1481" s="11">
        <f t="shared" si="142"/>
        <v>1769</v>
      </c>
    </row>
    <row r="1482" spans="2:25">
      <c r="B1482" t="s">
        <v>26</v>
      </c>
      <c r="C1482" t="s">
        <v>7265</v>
      </c>
      <c r="D1482" t="s">
        <v>7266</v>
      </c>
      <c r="E1482" t="s">
        <v>29</v>
      </c>
      <c r="F1482" t="s">
        <v>30</v>
      </c>
      <c r="G1482" t="s">
        <v>31</v>
      </c>
      <c r="J1482" t="s">
        <v>7265</v>
      </c>
      <c r="K1482" t="s">
        <v>1967</v>
      </c>
      <c r="L1482" t="s">
        <v>4609</v>
      </c>
      <c r="M1482" s="8">
        <v>0.39075</v>
      </c>
      <c r="N1482">
        <v>105.747516212372</v>
      </c>
      <c r="O1482">
        <v>1769</v>
      </c>
      <c r="P1482" s="9">
        <v>0.299153550863724</v>
      </c>
      <c r="Q1482" t="s">
        <v>1211</v>
      </c>
      <c r="T1482" s="15" t="s">
        <v>89</v>
      </c>
      <c r="W1482" s="16" t="str">
        <f t="shared" si="140"/>
        <v>EN_WON_30_c03_MEX</v>
      </c>
      <c r="X1482" s="12">
        <f t="shared" si="141"/>
        <v>1769</v>
      </c>
      <c r="Y1482" s="11">
        <f t="shared" si="142"/>
        <v>1769</v>
      </c>
    </row>
    <row r="1483" spans="2:25">
      <c r="B1483" t="s">
        <v>26</v>
      </c>
      <c r="C1483" t="s">
        <v>7267</v>
      </c>
      <c r="D1483" t="s">
        <v>7268</v>
      </c>
      <c r="E1483" t="s">
        <v>29</v>
      </c>
      <c r="F1483" t="s">
        <v>30</v>
      </c>
      <c r="G1483" t="s">
        <v>31</v>
      </c>
      <c r="J1483" t="s">
        <v>7267</v>
      </c>
      <c r="K1483" t="s">
        <v>1967</v>
      </c>
      <c r="L1483" t="s">
        <v>4609</v>
      </c>
      <c r="M1483" s="8">
        <v>6.43575</v>
      </c>
      <c r="N1483">
        <v>0</v>
      </c>
      <c r="O1483">
        <v>1769</v>
      </c>
      <c r="P1483" s="9">
        <v>0.306269782076681</v>
      </c>
      <c r="Q1483" t="s">
        <v>1211</v>
      </c>
      <c r="T1483" s="15" t="s">
        <v>89</v>
      </c>
      <c r="W1483" s="16" t="str">
        <f t="shared" si="140"/>
        <v>EN_WON_31_c01_MEX</v>
      </c>
      <c r="X1483" s="12">
        <f t="shared" si="141"/>
        <v>1769</v>
      </c>
      <c r="Y1483" s="11">
        <f t="shared" si="142"/>
        <v>1769</v>
      </c>
    </row>
    <row r="1484" spans="2:25">
      <c r="B1484" t="s">
        <v>26</v>
      </c>
      <c r="C1484" t="s">
        <v>7269</v>
      </c>
      <c r="D1484" t="s">
        <v>7270</v>
      </c>
      <c r="E1484" t="s">
        <v>29</v>
      </c>
      <c r="F1484" t="s">
        <v>30</v>
      </c>
      <c r="G1484" t="s">
        <v>31</v>
      </c>
      <c r="J1484" t="s">
        <v>7269</v>
      </c>
      <c r="K1484" t="s">
        <v>1967</v>
      </c>
      <c r="L1484" t="s">
        <v>4609</v>
      </c>
      <c r="M1484" s="8">
        <v>5.40975</v>
      </c>
      <c r="N1484">
        <v>105.747516212372</v>
      </c>
      <c r="O1484">
        <v>1769</v>
      </c>
      <c r="P1484" s="9">
        <v>0.306000415915708</v>
      </c>
      <c r="Q1484" t="s">
        <v>1211</v>
      </c>
      <c r="T1484" s="15" t="s">
        <v>89</v>
      </c>
      <c r="W1484" s="16" t="str">
        <f t="shared" si="140"/>
        <v>EN_WON_31_c03_MEX</v>
      </c>
      <c r="X1484" s="12">
        <f t="shared" si="141"/>
        <v>1769</v>
      </c>
      <c r="Y1484" s="11">
        <f t="shared" si="142"/>
        <v>1769</v>
      </c>
    </row>
    <row r="1485" spans="2:25">
      <c r="B1485" t="s">
        <v>26</v>
      </c>
      <c r="C1485" t="s">
        <v>7271</v>
      </c>
      <c r="D1485" t="s">
        <v>7272</v>
      </c>
      <c r="E1485" t="s">
        <v>29</v>
      </c>
      <c r="F1485" t="s">
        <v>30</v>
      </c>
      <c r="G1485" t="s">
        <v>31</v>
      </c>
      <c r="J1485" t="s">
        <v>7271</v>
      </c>
      <c r="K1485" t="s">
        <v>1967</v>
      </c>
      <c r="L1485" t="s">
        <v>4609</v>
      </c>
      <c r="M1485" s="8">
        <v>3.91425</v>
      </c>
      <c r="N1485">
        <v>0</v>
      </c>
      <c r="O1485">
        <v>1769</v>
      </c>
      <c r="P1485" s="9">
        <v>0.319079900364054</v>
      </c>
      <c r="Q1485" t="s">
        <v>1211</v>
      </c>
      <c r="T1485" s="15" t="s">
        <v>89</v>
      </c>
      <c r="W1485" s="16" t="str">
        <f t="shared" si="140"/>
        <v>EN_WON_32_c01_MEX</v>
      </c>
      <c r="X1485" s="12">
        <f t="shared" si="141"/>
        <v>1769</v>
      </c>
      <c r="Y1485" s="11">
        <f t="shared" si="142"/>
        <v>1769</v>
      </c>
    </row>
    <row r="1486" spans="2:25">
      <c r="B1486" t="s">
        <v>26</v>
      </c>
      <c r="C1486" t="s">
        <v>7273</v>
      </c>
      <c r="D1486" t="s">
        <v>7274</v>
      </c>
      <c r="E1486" t="s">
        <v>29</v>
      </c>
      <c r="F1486" t="s">
        <v>30</v>
      </c>
      <c r="G1486" t="s">
        <v>31</v>
      </c>
      <c r="J1486" t="s">
        <v>7273</v>
      </c>
      <c r="K1486" t="s">
        <v>1967</v>
      </c>
      <c r="L1486" t="s">
        <v>4609</v>
      </c>
      <c r="M1486" s="8">
        <v>5.06175</v>
      </c>
      <c r="N1486">
        <v>80.7856561622413</v>
      </c>
      <c r="O1486">
        <v>1769</v>
      </c>
      <c r="P1486" s="9">
        <v>0.320164913320492</v>
      </c>
      <c r="Q1486" t="s">
        <v>1211</v>
      </c>
      <c r="T1486" s="15" t="s">
        <v>89</v>
      </c>
      <c r="W1486" s="16" t="str">
        <f t="shared" si="140"/>
        <v>EN_WON_32_c02_MEX</v>
      </c>
      <c r="X1486" s="12">
        <f t="shared" si="141"/>
        <v>1769</v>
      </c>
      <c r="Y1486" s="11">
        <f t="shared" si="142"/>
        <v>1769</v>
      </c>
    </row>
    <row r="1487" spans="2:25">
      <c r="B1487" t="s">
        <v>26</v>
      </c>
      <c r="C1487" t="s">
        <v>7275</v>
      </c>
      <c r="D1487" t="s">
        <v>7276</v>
      </c>
      <c r="E1487" t="s">
        <v>29</v>
      </c>
      <c r="F1487" t="s">
        <v>30</v>
      </c>
      <c r="G1487" t="s">
        <v>31</v>
      </c>
      <c r="J1487" t="s">
        <v>7275</v>
      </c>
      <c r="K1487" t="s">
        <v>1967</v>
      </c>
      <c r="L1487" t="s">
        <v>4609</v>
      </c>
      <c r="M1487" s="8">
        <v>2.6805</v>
      </c>
      <c r="N1487">
        <v>145.23264029167</v>
      </c>
      <c r="O1487">
        <v>1769</v>
      </c>
      <c r="P1487" s="9">
        <v>0.319</v>
      </c>
      <c r="Q1487" t="s">
        <v>1211</v>
      </c>
      <c r="T1487" s="15" t="s">
        <v>89</v>
      </c>
      <c r="W1487" s="16" t="str">
        <f t="shared" si="140"/>
        <v>EN_WON_32_c04_MEX</v>
      </c>
      <c r="X1487" s="12">
        <f t="shared" si="141"/>
        <v>1769</v>
      </c>
      <c r="Y1487" s="11">
        <f t="shared" si="142"/>
        <v>1769</v>
      </c>
    </row>
    <row r="1488" spans="2:25">
      <c r="B1488" t="s">
        <v>26</v>
      </c>
      <c r="C1488" t="s">
        <v>7277</v>
      </c>
      <c r="D1488" t="s">
        <v>7278</v>
      </c>
      <c r="E1488" t="s">
        <v>29</v>
      </c>
      <c r="F1488" t="s">
        <v>30</v>
      </c>
      <c r="G1488" t="s">
        <v>31</v>
      </c>
      <c r="J1488" t="s">
        <v>7277</v>
      </c>
      <c r="K1488" t="s">
        <v>1967</v>
      </c>
      <c r="L1488" t="s">
        <v>4609</v>
      </c>
      <c r="M1488" s="8">
        <v>6.126</v>
      </c>
      <c r="N1488">
        <v>0</v>
      </c>
      <c r="O1488">
        <v>1769</v>
      </c>
      <c r="P1488" s="9">
        <v>0.33250930460333</v>
      </c>
      <c r="Q1488" t="s">
        <v>1211</v>
      </c>
      <c r="T1488" s="15" t="s">
        <v>89</v>
      </c>
      <c r="W1488" s="16" t="str">
        <f t="shared" si="140"/>
        <v>EN_WON_33_c01_MEX</v>
      </c>
      <c r="X1488" s="12">
        <f t="shared" si="141"/>
        <v>1769</v>
      </c>
      <c r="Y1488" s="11">
        <f t="shared" si="142"/>
        <v>1769</v>
      </c>
    </row>
    <row r="1489" spans="2:25">
      <c r="B1489" t="s">
        <v>26</v>
      </c>
      <c r="C1489" t="s">
        <v>7279</v>
      </c>
      <c r="D1489" t="s">
        <v>7280</v>
      </c>
      <c r="E1489" t="s">
        <v>29</v>
      </c>
      <c r="F1489" t="s">
        <v>30</v>
      </c>
      <c r="G1489" t="s">
        <v>31</v>
      </c>
      <c r="J1489" t="s">
        <v>7279</v>
      </c>
      <c r="K1489" t="s">
        <v>1967</v>
      </c>
      <c r="L1489" t="s">
        <v>4609</v>
      </c>
      <c r="M1489" s="8">
        <v>0.2655</v>
      </c>
      <c r="N1489">
        <v>80.7856561622413</v>
      </c>
      <c r="O1489">
        <v>1769</v>
      </c>
      <c r="P1489" s="9">
        <v>0.331</v>
      </c>
      <c r="Q1489" t="s">
        <v>1211</v>
      </c>
      <c r="T1489" s="15" t="s">
        <v>89</v>
      </c>
      <c r="W1489" s="16" t="str">
        <f t="shared" si="140"/>
        <v>EN_WON_33_c02_MEX</v>
      </c>
      <c r="X1489" s="12">
        <f t="shared" si="141"/>
        <v>1769</v>
      </c>
      <c r="Y1489" s="11">
        <f t="shared" si="142"/>
        <v>1769</v>
      </c>
    </row>
    <row r="1490" spans="2:25">
      <c r="B1490" t="s">
        <v>26</v>
      </c>
      <c r="C1490" t="s">
        <v>7281</v>
      </c>
      <c r="D1490" t="s">
        <v>7282</v>
      </c>
      <c r="E1490" t="s">
        <v>29</v>
      </c>
      <c r="F1490" t="s">
        <v>30</v>
      </c>
      <c r="G1490" t="s">
        <v>31</v>
      </c>
      <c r="J1490" t="s">
        <v>7281</v>
      </c>
      <c r="K1490" t="s">
        <v>1967</v>
      </c>
      <c r="L1490" t="s">
        <v>4609</v>
      </c>
      <c r="M1490" s="8">
        <v>2.289</v>
      </c>
      <c r="N1490">
        <v>0</v>
      </c>
      <c r="O1490">
        <v>1769</v>
      </c>
      <c r="P1490" s="9">
        <v>0.338401376146789</v>
      </c>
      <c r="Q1490" t="s">
        <v>1211</v>
      </c>
      <c r="T1490" s="15" t="s">
        <v>89</v>
      </c>
      <c r="W1490" s="16" t="str">
        <f t="shared" si="140"/>
        <v>EN_WON_34_c01_MEX</v>
      </c>
      <c r="X1490" s="12">
        <f t="shared" si="141"/>
        <v>1769</v>
      </c>
      <c r="Y1490" s="11">
        <f t="shared" si="142"/>
        <v>1769</v>
      </c>
    </row>
    <row r="1491" spans="2:25">
      <c r="B1491" t="s">
        <v>26</v>
      </c>
      <c r="C1491" t="s">
        <v>7283</v>
      </c>
      <c r="D1491" t="s">
        <v>7284</v>
      </c>
      <c r="E1491" t="s">
        <v>29</v>
      </c>
      <c r="F1491" t="s">
        <v>30</v>
      </c>
      <c r="G1491" t="s">
        <v>31</v>
      </c>
      <c r="J1491" t="s">
        <v>7283</v>
      </c>
      <c r="K1491" t="s">
        <v>1967</v>
      </c>
      <c r="L1491" t="s">
        <v>4609</v>
      </c>
      <c r="M1491" s="8">
        <v>8.892</v>
      </c>
      <c r="N1491">
        <v>0</v>
      </c>
      <c r="O1491">
        <v>1769</v>
      </c>
      <c r="P1491" s="9">
        <v>0.349028087044534</v>
      </c>
      <c r="Q1491" t="s">
        <v>1211</v>
      </c>
      <c r="T1491" s="15" t="s">
        <v>89</v>
      </c>
      <c r="W1491" s="16" t="str">
        <f t="shared" si="140"/>
        <v>EN_WON_35_c01_MEX</v>
      </c>
      <c r="X1491" s="12">
        <f t="shared" si="141"/>
        <v>1769</v>
      </c>
      <c r="Y1491" s="11">
        <f t="shared" si="142"/>
        <v>1769</v>
      </c>
    </row>
    <row r="1492" spans="2:25">
      <c r="B1492" t="s">
        <v>26</v>
      </c>
      <c r="C1492" t="s">
        <v>7285</v>
      </c>
      <c r="D1492" t="s">
        <v>7286</v>
      </c>
      <c r="E1492" t="s">
        <v>29</v>
      </c>
      <c r="F1492" t="s">
        <v>30</v>
      </c>
      <c r="G1492" t="s">
        <v>31</v>
      </c>
      <c r="J1492" t="s">
        <v>7285</v>
      </c>
      <c r="K1492" t="s">
        <v>1967</v>
      </c>
      <c r="L1492" t="s">
        <v>4609</v>
      </c>
      <c r="M1492" s="8">
        <v>5.88375</v>
      </c>
      <c r="N1492">
        <v>0</v>
      </c>
      <c r="O1492">
        <v>1769</v>
      </c>
      <c r="P1492" s="9">
        <v>0.358061440407903</v>
      </c>
      <c r="Q1492" t="s">
        <v>1211</v>
      </c>
      <c r="T1492" s="15" t="s">
        <v>89</v>
      </c>
      <c r="W1492" s="16" t="str">
        <f t="shared" si="140"/>
        <v>EN_WON_36_c01_MEX</v>
      </c>
      <c r="X1492" s="12">
        <f t="shared" si="141"/>
        <v>1769</v>
      </c>
      <c r="Y1492" s="11">
        <f t="shared" si="142"/>
        <v>1769</v>
      </c>
    </row>
    <row r="1493" spans="2:25">
      <c r="B1493" t="s">
        <v>26</v>
      </c>
      <c r="C1493" t="s">
        <v>7287</v>
      </c>
      <c r="D1493" t="s">
        <v>7288</v>
      </c>
      <c r="E1493" t="s">
        <v>29</v>
      </c>
      <c r="F1493" t="s">
        <v>30</v>
      </c>
      <c r="G1493" t="s">
        <v>31</v>
      </c>
      <c r="J1493" t="s">
        <v>7287</v>
      </c>
      <c r="K1493" t="s">
        <v>1967</v>
      </c>
      <c r="L1493" t="s">
        <v>4609</v>
      </c>
      <c r="M1493" s="8">
        <v>0.82875</v>
      </c>
      <c r="N1493">
        <v>80.7856561622413</v>
      </c>
      <c r="O1493">
        <v>1769</v>
      </c>
      <c r="P1493" s="9">
        <v>0.359</v>
      </c>
      <c r="Q1493" t="s">
        <v>1211</v>
      </c>
      <c r="T1493" s="15" t="s">
        <v>89</v>
      </c>
      <c r="W1493" s="16" t="str">
        <f t="shared" si="140"/>
        <v>EN_WON_36_c02_MEX</v>
      </c>
      <c r="X1493" s="12">
        <f t="shared" si="141"/>
        <v>1769</v>
      </c>
      <c r="Y1493" s="11">
        <f t="shared" si="142"/>
        <v>1769</v>
      </c>
    </row>
    <row r="1494" spans="2:25">
      <c r="B1494" t="s">
        <v>26</v>
      </c>
      <c r="C1494" t="s">
        <v>7289</v>
      </c>
      <c r="D1494" t="s">
        <v>7290</v>
      </c>
      <c r="E1494" t="s">
        <v>29</v>
      </c>
      <c r="F1494" t="s">
        <v>30</v>
      </c>
      <c r="G1494" t="s">
        <v>31</v>
      </c>
      <c r="J1494" t="s">
        <v>7289</v>
      </c>
      <c r="K1494" t="s">
        <v>1967</v>
      </c>
      <c r="L1494" t="s">
        <v>4609</v>
      </c>
      <c r="M1494" s="8">
        <v>0.02475</v>
      </c>
      <c r="N1494">
        <v>0</v>
      </c>
      <c r="O1494">
        <v>1769</v>
      </c>
      <c r="P1494" s="9">
        <v>0.369</v>
      </c>
      <c r="Q1494" t="s">
        <v>1211</v>
      </c>
      <c r="T1494" s="15" t="s">
        <v>89</v>
      </c>
      <c r="W1494" s="16" t="str">
        <f t="shared" si="140"/>
        <v>EN_WON_37_c01_MEX</v>
      </c>
      <c r="X1494" s="12">
        <f t="shared" si="141"/>
        <v>1769</v>
      </c>
      <c r="Y1494" s="11">
        <f t="shared" si="142"/>
        <v>1769</v>
      </c>
    </row>
    <row r="1495" spans="2:25">
      <c r="B1495" t="s">
        <v>26</v>
      </c>
      <c r="C1495" t="s">
        <v>7291</v>
      </c>
      <c r="D1495" t="s">
        <v>7292</v>
      </c>
      <c r="E1495" t="s">
        <v>29</v>
      </c>
      <c r="F1495" t="s">
        <v>30</v>
      </c>
      <c r="G1495" t="s">
        <v>31</v>
      </c>
      <c r="J1495" t="s">
        <v>7291</v>
      </c>
      <c r="K1495" t="s">
        <v>1967</v>
      </c>
      <c r="L1495" t="s">
        <v>4609</v>
      </c>
      <c r="M1495" s="8">
        <v>1.73025</v>
      </c>
      <c r="N1495">
        <v>105.747516212372</v>
      </c>
      <c r="O1495">
        <v>1769</v>
      </c>
      <c r="P1495" s="9">
        <v>0.369</v>
      </c>
      <c r="Q1495" t="s">
        <v>1211</v>
      </c>
      <c r="T1495" s="15" t="s">
        <v>89</v>
      </c>
      <c r="W1495" s="16" t="str">
        <f t="shared" si="140"/>
        <v>EN_WON_37_c03_MEX</v>
      </c>
      <c r="X1495" s="12">
        <f t="shared" si="141"/>
        <v>1769</v>
      </c>
      <c r="Y1495" s="11">
        <f t="shared" si="142"/>
        <v>1769</v>
      </c>
    </row>
    <row r="1496" spans="2:25">
      <c r="B1496" t="s">
        <v>26</v>
      </c>
      <c r="C1496" t="s">
        <v>7293</v>
      </c>
      <c r="D1496" t="s">
        <v>7294</v>
      </c>
      <c r="E1496" t="s">
        <v>29</v>
      </c>
      <c r="F1496" t="s">
        <v>30</v>
      </c>
      <c r="G1496" t="s">
        <v>31</v>
      </c>
      <c r="J1496" t="s">
        <v>7293</v>
      </c>
      <c r="K1496" t="s">
        <v>1967</v>
      </c>
      <c r="L1496" t="s">
        <v>4609</v>
      </c>
      <c r="M1496" s="8">
        <v>0.08325</v>
      </c>
      <c r="N1496">
        <v>0</v>
      </c>
      <c r="O1496">
        <v>1769</v>
      </c>
      <c r="P1496" s="9">
        <v>0.383</v>
      </c>
      <c r="Q1496" t="s">
        <v>1211</v>
      </c>
      <c r="T1496" s="15" t="s">
        <v>89</v>
      </c>
      <c r="W1496" s="16" t="str">
        <f t="shared" si="140"/>
        <v>EN_WON_38_c01_MEX</v>
      </c>
      <c r="X1496" s="12">
        <f t="shared" si="141"/>
        <v>1769</v>
      </c>
      <c r="Y1496" s="11">
        <f t="shared" si="142"/>
        <v>1769</v>
      </c>
    </row>
    <row r="1497" spans="2:25">
      <c r="B1497" t="s">
        <v>26</v>
      </c>
      <c r="C1497" t="s">
        <v>7295</v>
      </c>
      <c r="D1497" t="s">
        <v>7296</v>
      </c>
      <c r="E1497" t="s">
        <v>29</v>
      </c>
      <c r="F1497" t="s">
        <v>30</v>
      </c>
      <c r="G1497" t="s">
        <v>31</v>
      </c>
      <c r="J1497" t="s">
        <v>7295</v>
      </c>
      <c r="K1497" t="s">
        <v>1967</v>
      </c>
      <c r="L1497" t="s">
        <v>4609</v>
      </c>
      <c r="M1497" s="8">
        <v>0.054</v>
      </c>
      <c r="N1497">
        <v>80.7856561622413</v>
      </c>
      <c r="O1497">
        <v>1769</v>
      </c>
      <c r="P1497" s="9">
        <v>0.38</v>
      </c>
      <c r="Q1497" t="s">
        <v>1211</v>
      </c>
      <c r="T1497" s="15" t="s">
        <v>89</v>
      </c>
      <c r="W1497" s="16" t="str">
        <f t="shared" si="140"/>
        <v>EN_WON_38_c02_MEX</v>
      </c>
      <c r="X1497" s="12">
        <f t="shared" si="141"/>
        <v>1769</v>
      </c>
      <c r="Y1497" s="11">
        <f t="shared" si="142"/>
        <v>1769</v>
      </c>
    </row>
    <row r="1498" spans="2:25">
      <c r="B1498" t="s">
        <v>26</v>
      </c>
      <c r="C1498" t="s">
        <v>7297</v>
      </c>
      <c r="D1498" t="s">
        <v>7298</v>
      </c>
      <c r="E1498" t="s">
        <v>29</v>
      </c>
      <c r="F1498" t="s">
        <v>30</v>
      </c>
      <c r="G1498" t="s">
        <v>31</v>
      </c>
      <c r="J1498" t="s">
        <v>7297</v>
      </c>
      <c r="K1498" t="s">
        <v>1967</v>
      </c>
      <c r="L1498" t="s">
        <v>4609</v>
      </c>
      <c r="M1498" s="8">
        <v>0.42075</v>
      </c>
      <c r="N1498">
        <v>0</v>
      </c>
      <c r="O1498">
        <v>1769</v>
      </c>
      <c r="P1498" s="9">
        <v>0.477114081996435</v>
      </c>
      <c r="Q1498" t="s">
        <v>1211</v>
      </c>
      <c r="T1498" s="15" t="s">
        <v>89</v>
      </c>
      <c r="W1498" s="16" t="str">
        <f t="shared" si="140"/>
        <v>EN_WON_48_c01_MEX</v>
      </c>
      <c r="X1498" s="12">
        <f t="shared" si="141"/>
        <v>1769</v>
      </c>
      <c r="Y1498" s="11">
        <f t="shared" si="142"/>
        <v>1769</v>
      </c>
    </row>
    <row r="1499" spans="2:25">
      <c r="B1499" t="s">
        <v>26</v>
      </c>
      <c r="C1499" t="s">
        <v>7299</v>
      </c>
      <c r="D1499" t="s">
        <v>7300</v>
      </c>
      <c r="E1499" t="s">
        <v>29</v>
      </c>
      <c r="F1499" t="s">
        <v>30</v>
      </c>
      <c r="G1499" t="s">
        <v>31</v>
      </c>
      <c r="J1499" t="s">
        <v>7299</v>
      </c>
      <c r="K1499" t="s">
        <v>1967</v>
      </c>
      <c r="L1499" t="s">
        <v>7301</v>
      </c>
      <c r="M1499" s="8">
        <v>0.61125</v>
      </c>
      <c r="N1499">
        <v>0</v>
      </c>
      <c r="O1499">
        <v>1909</v>
      </c>
      <c r="P1499" s="9">
        <v>0.208911656441718</v>
      </c>
      <c r="Q1499" t="s">
        <v>1225</v>
      </c>
      <c r="T1499" s="15" t="s">
        <v>69</v>
      </c>
      <c r="W1499" s="16" t="str">
        <f t="shared" si="140"/>
        <v>EN_WON_21_c01_MKD</v>
      </c>
      <c r="X1499" s="12">
        <f t="shared" si="141"/>
        <v>1909</v>
      </c>
      <c r="Y1499" s="11">
        <f t="shared" si="142"/>
        <v>1909</v>
      </c>
    </row>
    <row r="1500" spans="2:25">
      <c r="B1500" t="s">
        <v>26</v>
      </c>
      <c r="C1500" t="s">
        <v>7302</v>
      </c>
      <c r="D1500" t="s">
        <v>7303</v>
      </c>
      <c r="E1500" t="s">
        <v>29</v>
      </c>
      <c r="F1500" t="s">
        <v>30</v>
      </c>
      <c r="G1500" t="s">
        <v>31</v>
      </c>
      <c r="J1500" t="s">
        <v>7302</v>
      </c>
      <c r="K1500" t="s">
        <v>1967</v>
      </c>
      <c r="L1500" t="s">
        <v>7301</v>
      </c>
      <c r="M1500" s="8">
        <v>0.95775</v>
      </c>
      <c r="N1500">
        <v>0</v>
      </c>
      <c r="O1500">
        <v>1909</v>
      </c>
      <c r="P1500" s="9">
        <v>0.217067345340642</v>
      </c>
      <c r="Q1500" t="s">
        <v>1225</v>
      </c>
      <c r="T1500" s="15" t="s">
        <v>69</v>
      </c>
      <c r="W1500" s="16" t="str">
        <f t="shared" si="140"/>
        <v>EN_WON_22_c01_MKD</v>
      </c>
      <c r="X1500" s="12">
        <f t="shared" si="141"/>
        <v>1909</v>
      </c>
      <c r="Y1500" s="11">
        <f t="shared" si="142"/>
        <v>1909</v>
      </c>
    </row>
    <row r="1501" spans="2:25">
      <c r="B1501" t="s">
        <v>26</v>
      </c>
      <c r="C1501" t="s">
        <v>7304</v>
      </c>
      <c r="D1501" t="s">
        <v>7305</v>
      </c>
      <c r="E1501" t="s">
        <v>29</v>
      </c>
      <c r="F1501" t="s">
        <v>30</v>
      </c>
      <c r="G1501" t="s">
        <v>31</v>
      </c>
      <c r="J1501" t="s">
        <v>7304</v>
      </c>
      <c r="K1501" t="s">
        <v>1967</v>
      </c>
      <c r="L1501" t="s">
        <v>7301</v>
      </c>
      <c r="M1501" s="8">
        <v>0.41325</v>
      </c>
      <c r="N1501">
        <v>0</v>
      </c>
      <c r="O1501">
        <v>1909</v>
      </c>
      <c r="P1501" s="9">
        <v>0.228854809437387</v>
      </c>
      <c r="Q1501" t="s">
        <v>1225</v>
      </c>
      <c r="T1501" s="15" t="s">
        <v>69</v>
      </c>
      <c r="W1501" s="16" t="str">
        <f t="shared" si="140"/>
        <v>EN_WON_23_c01_MKD</v>
      </c>
      <c r="X1501" s="12">
        <f t="shared" si="141"/>
        <v>1909</v>
      </c>
      <c r="Y1501" s="11">
        <f t="shared" si="142"/>
        <v>1909</v>
      </c>
    </row>
    <row r="1502" spans="2:25">
      <c r="B1502" t="s">
        <v>26</v>
      </c>
      <c r="C1502" t="s">
        <v>7306</v>
      </c>
      <c r="D1502" t="s">
        <v>7307</v>
      </c>
      <c r="E1502" t="s">
        <v>29</v>
      </c>
      <c r="F1502" t="s">
        <v>30</v>
      </c>
      <c r="G1502" t="s">
        <v>31</v>
      </c>
      <c r="J1502" t="s">
        <v>7306</v>
      </c>
      <c r="K1502" t="s">
        <v>1967</v>
      </c>
      <c r="L1502" t="s">
        <v>7301</v>
      </c>
      <c r="M1502" s="8">
        <v>0.138</v>
      </c>
      <c r="N1502">
        <v>0</v>
      </c>
      <c r="O1502">
        <v>1909</v>
      </c>
      <c r="P1502" s="9">
        <v>0.245239130434783</v>
      </c>
      <c r="Q1502" t="s">
        <v>1225</v>
      </c>
      <c r="T1502" s="15" t="s">
        <v>69</v>
      </c>
      <c r="W1502" s="16" t="str">
        <f t="shared" si="140"/>
        <v>EN_WON_25_c01_MKD</v>
      </c>
      <c r="X1502" s="12">
        <f t="shared" si="141"/>
        <v>1909</v>
      </c>
      <c r="Y1502" s="11">
        <f t="shared" si="142"/>
        <v>1909</v>
      </c>
    </row>
    <row r="1503" spans="2:25">
      <c r="B1503" t="s">
        <v>26</v>
      </c>
      <c r="C1503" t="s">
        <v>7308</v>
      </c>
      <c r="D1503" t="s">
        <v>7309</v>
      </c>
      <c r="E1503" t="s">
        <v>29</v>
      </c>
      <c r="F1503" t="s">
        <v>30</v>
      </c>
      <c r="G1503" t="s">
        <v>31</v>
      </c>
      <c r="J1503" t="s">
        <v>7308</v>
      </c>
      <c r="K1503" t="s">
        <v>1967</v>
      </c>
      <c r="L1503" t="s">
        <v>7301</v>
      </c>
      <c r="M1503" s="8">
        <v>0.324</v>
      </c>
      <c r="N1503">
        <v>0</v>
      </c>
      <c r="O1503">
        <v>1909</v>
      </c>
      <c r="P1503" s="9">
        <v>0.261657407407407</v>
      </c>
      <c r="Q1503" t="s">
        <v>1225</v>
      </c>
      <c r="T1503" s="15" t="s">
        <v>69</v>
      </c>
      <c r="W1503" s="16" t="str">
        <f t="shared" si="140"/>
        <v>EN_WON_26_c01_MKD</v>
      </c>
      <c r="X1503" s="12">
        <f t="shared" si="141"/>
        <v>1909</v>
      </c>
      <c r="Y1503" s="11">
        <f t="shared" si="142"/>
        <v>1909</v>
      </c>
    </row>
    <row r="1504" spans="2:25">
      <c r="B1504" t="s">
        <v>26</v>
      </c>
      <c r="C1504" t="s">
        <v>7310</v>
      </c>
      <c r="D1504" t="s">
        <v>7311</v>
      </c>
      <c r="E1504" t="s">
        <v>29</v>
      </c>
      <c r="F1504" t="s">
        <v>30</v>
      </c>
      <c r="G1504" t="s">
        <v>31</v>
      </c>
      <c r="J1504" t="s">
        <v>7310</v>
      </c>
      <c r="K1504" t="s">
        <v>1967</v>
      </c>
      <c r="L1504" t="s">
        <v>7301</v>
      </c>
      <c r="M1504" s="8">
        <v>0.20625</v>
      </c>
      <c r="N1504">
        <v>0</v>
      </c>
      <c r="O1504">
        <v>1909</v>
      </c>
      <c r="P1504" s="9">
        <v>0.273898181818182</v>
      </c>
      <c r="Q1504" t="s">
        <v>1225</v>
      </c>
      <c r="T1504" s="15" t="s">
        <v>69</v>
      </c>
      <c r="W1504" s="16" t="str">
        <f t="shared" si="140"/>
        <v>EN_WON_27_c01_MKD</v>
      </c>
      <c r="X1504" s="12">
        <f t="shared" si="141"/>
        <v>1909</v>
      </c>
      <c r="Y1504" s="11">
        <f t="shared" si="142"/>
        <v>1909</v>
      </c>
    </row>
    <row r="1505" spans="2:25">
      <c r="B1505" t="s">
        <v>26</v>
      </c>
      <c r="C1505" t="s">
        <v>7312</v>
      </c>
      <c r="D1505" t="s">
        <v>7313</v>
      </c>
      <c r="E1505" t="s">
        <v>29</v>
      </c>
      <c r="F1505" t="s">
        <v>30</v>
      </c>
      <c r="G1505" t="s">
        <v>31</v>
      </c>
      <c r="J1505" t="s">
        <v>7312</v>
      </c>
      <c r="K1505" t="s">
        <v>1967</v>
      </c>
      <c r="L1505" t="s">
        <v>7301</v>
      </c>
      <c r="M1505" s="8">
        <v>0.1995</v>
      </c>
      <c r="N1505">
        <v>0</v>
      </c>
      <c r="O1505">
        <v>1909</v>
      </c>
      <c r="P1505" s="9">
        <v>0.278684210526316</v>
      </c>
      <c r="Q1505" t="s">
        <v>1225</v>
      </c>
      <c r="T1505" s="15" t="s">
        <v>69</v>
      </c>
      <c r="W1505" s="16" t="str">
        <f t="shared" si="140"/>
        <v>EN_WON_28_c01_MKD</v>
      </c>
      <c r="X1505" s="12">
        <f t="shared" si="141"/>
        <v>1909</v>
      </c>
      <c r="Y1505" s="11">
        <f t="shared" si="142"/>
        <v>1909</v>
      </c>
    </row>
    <row r="1506" spans="2:25">
      <c r="B1506" t="s">
        <v>26</v>
      </c>
      <c r="C1506" t="s">
        <v>7314</v>
      </c>
      <c r="D1506" t="s">
        <v>7315</v>
      </c>
      <c r="E1506" t="s">
        <v>29</v>
      </c>
      <c r="F1506" t="s">
        <v>30</v>
      </c>
      <c r="G1506" t="s">
        <v>31</v>
      </c>
      <c r="J1506" t="s">
        <v>7314</v>
      </c>
      <c r="K1506" t="s">
        <v>1967</v>
      </c>
      <c r="L1506" t="s">
        <v>7301</v>
      </c>
      <c r="M1506" s="8">
        <v>0.0075</v>
      </c>
      <c r="N1506">
        <v>0</v>
      </c>
      <c r="O1506">
        <v>1909</v>
      </c>
      <c r="P1506" s="9">
        <v>0.291</v>
      </c>
      <c r="Q1506" t="s">
        <v>1225</v>
      </c>
      <c r="T1506" s="15" t="s">
        <v>69</v>
      </c>
      <c r="W1506" s="16" t="str">
        <f t="shared" si="140"/>
        <v>EN_WON_29_c01_MKD</v>
      </c>
      <c r="X1506" s="12">
        <f t="shared" si="141"/>
        <v>1909</v>
      </c>
      <c r="Y1506" s="11">
        <f t="shared" si="142"/>
        <v>1909</v>
      </c>
    </row>
    <row r="1507" spans="2:25">
      <c r="B1507" t="s">
        <v>26</v>
      </c>
      <c r="C1507" t="s">
        <v>7316</v>
      </c>
      <c r="D1507" t="s">
        <v>7317</v>
      </c>
      <c r="E1507" t="s">
        <v>29</v>
      </c>
      <c r="F1507" t="s">
        <v>30</v>
      </c>
      <c r="G1507" t="s">
        <v>31</v>
      </c>
      <c r="J1507" t="s">
        <v>7316</v>
      </c>
      <c r="K1507" t="s">
        <v>1967</v>
      </c>
      <c r="L1507" t="s">
        <v>7318</v>
      </c>
      <c r="M1507" s="8">
        <v>40.389</v>
      </c>
      <c r="N1507">
        <v>145.23264029167</v>
      </c>
      <c r="O1507">
        <v>1952</v>
      </c>
      <c r="P1507" s="9">
        <v>0.40014870385501</v>
      </c>
      <c r="Q1507" t="s">
        <v>1229</v>
      </c>
      <c r="T1507" s="15" t="s">
        <v>54</v>
      </c>
      <c r="W1507" s="16" t="str">
        <f t="shared" si="140"/>
        <v>EN_WON_40_c04_MLI</v>
      </c>
      <c r="X1507" s="12">
        <f t="shared" si="141"/>
        <v>1952</v>
      </c>
      <c r="Y1507" s="11">
        <f t="shared" si="142"/>
        <v>1952</v>
      </c>
    </row>
    <row r="1508" spans="2:25">
      <c r="B1508" t="s">
        <v>26</v>
      </c>
      <c r="C1508" t="s">
        <v>7319</v>
      </c>
      <c r="D1508" t="s">
        <v>7320</v>
      </c>
      <c r="E1508" t="s">
        <v>29</v>
      </c>
      <c r="F1508" t="s">
        <v>30</v>
      </c>
      <c r="G1508" t="s">
        <v>31</v>
      </c>
      <c r="J1508" t="s">
        <v>7319</v>
      </c>
      <c r="K1508" t="s">
        <v>1967</v>
      </c>
      <c r="L1508" t="s">
        <v>7321</v>
      </c>
      <c r="M1508" s="8">
        <v>16.88925</v>
      </c>
      <c r="N1508">
        <v>145.23264029167</v>
      </c>
      <c r="O1508">
        <v>2213</v>
      </c>
      <c r="P1508" s="9">
        <v>0.153059016830232</v>
      </c>
      <c r="Q1508" t="s">
        <v>1235</v>
      </c>
      <c r="T1508" s="15" t="s">
        <v>35</v>
      </c>
      <c r="W1508" s="16" t="str">
        <f t="shared" si="140"/>
        <v>EN_WON_15_c04_MMR</v>
      </c>
      <c r="X1508" s="12">
        <f t="shared" si="141"/>
        <v>2213</v>
      </c>
      <c r="Y1508" s="11">
        <f t="shared" si="142"/>
        <v>2213</v>
      </c>
    </row>
    <row r="1509" spans="2:25">
      <c r="B1509" t="s">
        <v>26</v>
      </c>
      <c r="C1509" t="s">
        <v>7322</v>
      </c>
      <c r="D1509" t="s">
        <v>7323</v>
      </c>
      <c r="E1509" t="s">
        <v>29</v>
      </c>
      <c r="F1509" t="s">
        <v>30</v>
      </c>
      <c r="G1509" t="s">
        <v>31</v>
      </c>
      <c r="J1509" t="s">
        <v>7322</v>
      </c>
      <c r="K1509" t="s">
        <v>1967</v>
      </c>
      <c r="L1509" t="s">
        <v>7321</v>
      </c>
      <c r="M1509" s="8">
        <v>35.2545</v>
      </c>
      <c r="N1509">
        <v>145.23264029167</v>
      </c>
      <c r="O1509">
        <v>2213</v>
      </c>
      <c r="P1509" s="9">
        <v>0.160061183678679</v>
      </c>
      <c r="Q1509" t="s">
        <v>1235</v>
      </c>
      <c r="T1509" s="15" t="s">
        <v>35</v>
      </c>
      <c r="W1509" s="16" t="str">
        <f t="shared" si="140"/>
        <v>EN_WON_16_c04_MMR</v>
      </c>
      <c r="X1509" s="12">
        <f t="shared" si="141"/>
        <v>2213</v>
      </c>
      <c r="Y1509" s="11">
        <f t="shared" si="142"/>
        <v>2213</v>
      </c>
    </row>
    <row r="1510" spans="2:25">
      <c r="B1510" t="s">
        <v>26</v>
      </c>
      <c r="C1510" t="s">
        <v>7324</v>
      </c>
      <c r="D1510" t="s">
        <v>7325</v>
      </c>
      <c r="E1510" t="s">
        <v>29</v>
      </c>
      <c r="F1510" t="s">
        <v>30</v>
      </c>
      <c r="G1510" t="s">
        <v>31</v>
      </c>
      <c r="J1510" t="s">
        <v>7324</v>
      </c>
      <c r="K1510" t="s">
        <v>1967</v>
      </c>
      <c r="L1510" t="s">
        <v>7321</v>
      </c>
      <c r="M1510" s="8">
        <v>15.40725</v>
      </c>
      <c r="N1510">
        <v>145.23264029167</v>
      </c>
      <c r="O1510">
        <v>2213</v>
      </c>
      <c r="P1510" s="9">
        <v>0.169771747067127</v>
      </c>
      <c r="Q1510" t="s">
        <v>1235</v>
      </c>
      <c r="T1510" s="15" t="s">
        <v>35</v>
      </c>
      <c r="W1510" s="16" t="str">
        <f t="shared" si="140"/>
        <v>EN_WON_17_c04_MMR</v>
      </c>
      <c r="X1510" s="12">
        <f t="shared" si="141"/>
        <v>2213</v>
      </c>
      <c r="Y1510" s="11">
        <f t="shared" si="142"/>
        <v>2213</v>
      </c>
    </row>
    <row r="1511" spans="2:25">
      <c r="B1511" t="s">
        <v>26</v>
      </c>
      <c r="C1511" t="s">
        <v>7326</v>
      </c>
      <c r="D1511" t="s">
        <v>7327</v>
      </c>
      <c r="E1511" t="s">
        <v>29</v>
      </c>
      <c r="F1511" t="s">
        <v>30</v>
      </c>
      <c r="G1511" t="s">
        <v>31</v>
      </c>
      <c r="J1511" t="s">
        <v>7326</v>
      </c>
      <c r="K1511" t="s">
        <v>1967</v>
      </c>
      <c r="L1511" t="s">
        <v>7321</v>
      </c>
      <c r="M1511" s="8">
        <v>5.67675</v>
      </c>
      <c r="N1511">
        <v>80.7856561622413</v>
      </c>
      <c r="O1511">
        <v>2213</v>
      </c>
      <c r="P1511" s="9">
        <v>0.184</v>
      </c>
      <c r="Q1511" t="s">
        <v>1235</v>
      </c>
      <c r="T1511" s="15" t="s">
        <v>35</v>
      </c>
      <c r="W1511" s="16" t="str">
        <f t="shared" si="140"/>
        <v>EN_WON_18_c02_MMR</v>
      </c>
      <c r="X1511" s="12">
        <f t="shared" si="141"/>
        <v>2213</v>
      </c>
      <c r="Y1511" s="11">
        <f t="shared" si="142"/>
        <v>2213</v>
      </c>
    </row>
    <row r="1512" spans="2:25">
      <c r="B1512" t="s">
        <v>26</v>
      </c>
      <c r="C1512" t="s">
        <v>7328</v>
      </c>
      <c r="D1512" t="s">
        <v>7329</v>
      </c>
      <c r="E1512" t="s">
        <v>29</v>
      </c>
      <c r="F1512" t="s">
        <v>30</v>
      </c>
      <c r="G1512" t="s">
        <v>31</v>
      </c>
      <c r="J1512" t="s">
        <v>7328</v>
      </c>
      <c r="K1512" t="s">
        <v>1967</v>
      </c>
      <c r="L1512" t="s">
        <v>7321</v>
      </c>
      <c r="M1512" s="8">
        <v>5.6115</v>
      </c>
      <c r="N1512">
        <v>105.747516212372</v>
      </c>
      <c r="O1512">
        <v>2213</v>
      </c>
      <c r="P1512" s="9">
        <v>0.181</v>
      </c>
      <c r="Q1512" t="s">
        <v>1235</v>
      </c>
      <c r="T1512" s="15" t="s">
        <v>35</v>
      </c>
      <c r="W1512" s="16" t="str">
        <f t="shared" si="140"/>
        <v>EN_WON_18_c03_MMR</v>
      </c>
      <c r="X1512" s="12">
        <f t="shared" si="141"/>
        <v>2213</v>
      </c>
      <c r="Y1512" s="11">
        <f t="shared" si="142"/>
        <v>2213</v>
      </c>
    </row>
    <row r="1513" spans="2:25">
      <c r="B1513" t="s">
        <v>26</v>
      </c>
      <c r="C1513" t="s">
        <v>7330</v>
      </c>
      <c r="D1513" t="s">
        <v>7331</v>
      </c>
      <c r="E1513" t="s">
        <v>29</v>
      </c>
      <c r="F1513" t="s">
        <v>30</v>
      </c>
      <c r="G1513" t="s">
        <v>31</v>
      </c>
      <c r="J1513" t="s">
        <v>7330</v>
      </c>
      <c r="K1513" t="s">
        <v>1967</v>
      </c>
      <c r="L1513" t="s">
        <v>7321</v>
      </c>
      <c r="M1513" s="8">
        <v>10.49475</v>
      </c>
      <c r="N1513">
        <v>145.23264029167</v>
      </c>
      <c r="O1513">
        <v>2213</v>
      </c>
      <c r="P1513" s="9">
        <v>0.177689844922461</v>
      </c>
      <c r="Q1513" t="s">
        <v>1235</v>
      </c>
      <c r="T1513" s="15" t="s">
        <v>35</v>
      </c>
      <c r="W1513" s="16" t="str">
        <f t="shared" si="140"/>
        <v>EN_WON_18_c04_MMR</v>
      </c>
      <c r="X1513" s="12">
        <f t="shared" si="141"/>
        <v>2213</v>
      </c>
      <c r="Y1513" s="11">
        <f t="shared" si="142"/>
        <v>2213</v>
      </c>
    </row>
    <row r="1514" spans="2:25">
      <c r="B1514" t="s">
        <v>26</v>
      </c>
      <c r="C1514" t="s">
        <v>7332</v>
      </c>
      <c r="D1514" t="s">
        <v>7333</v>
      </c>
      <c r="E1514" t="s">
        <v>29</v>
      </c>
      <c r="F1514" t="s">
        <v>30</v>
      </c>
      <c r="G1514" t="s">
        <v>31</v>
      </c>
      <c r="J1514" t="s">
        <v>7332</v>
      </c>
      <c r="K1514" t="s">
        <v>1967</v>
      </c>
      <c r="L1514" t="s">
        <v>7321</v>
      </c>
      <c r="M1514" s="8">
        <v>5.6145</v>
      </c>
      <c r="N1514">
        <v>105.747516212372</v>
      </c>
      <c r="O1514">
        <v>2213</v>
      </c>
      <c r="P1514" s="9">
        <v>0.187</v>
      </c>
      <c r="Q1514" t="s">
        <v>1235</v>
      </c>
      <c r="T1514" s="15" t="s">
        <v>35</v>
      </c>
      <c r="W1514" s="16" t="str">
        <f t="shared" si="140"/>
        <v>EN_WON_19_c03_MMR</v>
      </c>
      <c r="X1514" s="12">
        <f t="shared" si="141"/>
        <v>2213</v>
      </c>
      <c r="Y1514" s="11">
        <f t="shared" si="142"/>
        <v>2213</v>
      </c>
    </row>
    <row r="1515" spans="2:25">
      <c r="B1515" t="s">
        <v>26</v>
      </c>
      <c r="C1515" t="s">
        <v>7334</v>
      </c>
      <c r="D1515" t="s">
        <v>7335</v>
      </c>
      <c r="E1515" t="s">
        <v>29</v>
      </c>
      <c r="F1515" t="s">
        <v>30</v>
      </c>
      <c r="G1515" t="s">
        <v>31</v>
      </c>
      <c r="J1515" t="s">
        <v>7334</v>
      </c>
      <c r="K1515" t="s">
        <v>1967</v>
      </c>
      <c r="L1515" t="s">
        <v>7321</v>
      </c>
      <c r="M1515" s="8">
        <v>4.1505</v>
      </c>
      <c r="N1515">
        <v>145.23264029167</v>
      </c>
      <c r="O1515">
        <v>2213</v>
      </c>
      <c r="P1515" s="9">
        <v>0.18891145645103</v>
      </c>
      <c r="Q1515" t="s">
        <v>1235</v>
      </c>
      <c r="T1515" s="15" t="s">
        <v>35</v>
      </c>
      <c r="W1515" s="16" t="str">
        <f t="shared" si="140"/>
        <v>EN_WON_19_c04_MMR</v>
      </c>
      <c r="X1515" s="12">
        <f t="shared" si="141"/>
        <v>2213</v>
      </c>
      <c r="Y1515" s="11">
        <f t="shared" si="142"/>
        <v>2213</v>
      </c>
    </row>
    <row r="1516" spans="2:25">
      <c r="B1516" t="s">
        <v>26</v>
      </c>
      <c r="C1516" t="s">
        <v>7336</v>
      </c>
      <c r="D1516" t="s">
        <v>7337</v>
      </c>
      <c r="E1516" t="s">
        <v>29</v>
      </c>
      <c r="F1516" t="s">
        <v>30</v>
      </c>
      <c r="G1516" t="s">
        <v>31</v>
      </c>
      <c r="J1516" t="s">
        <v>7336</v>
      </c>
      <c r="K1516" t="s">
        <v>1967</v>
      </c>
      <c r="L1516" t="s">
        <v>7321</v>
      </c>
      <c r="M1516" s="8">
        <v>5.2215</v>
      </c>
      <c r="N1516">
        <v>145.23264029167</v>
      </c>
      <c r="O1516">
        <v>2213</v>
      </c>
      <c r="P1516" s="9">
        <v>0.197</v>
      </c>
      <c r="Q1516" t="s">
        <v>1235</v>
      </c>
      <c r="T1516" s="15" t="s">
        <v>35</v>
      </c>
      <c r="W1516" s="16" t="str">
        <f t="shared" si="140"/>
        <v>EN_WON_20_c04_MMR</v>
      </c>
      <c r="X1516" s="12">
        <f t="shared" si="141"/>
        <v>2213</v>
      </c>
      <c r="Y1516" s="11">
        <f t="shared" si="142"/>
        <v>2213</v>
      </c>
    </row>
    <row r="1517" spans="2:25">
      <c r="B1517" t="s">
        <v>26</v>
      </c>
      <c r="C1517" t="s">
        <v>7338</v>
      </c>
      <c r="D1517" t="s">
        <v>7339</v>
      </c>
      <c r="E1517" t="s">
        <v>29</v>
      </c>
      <c r="F1517" t="s">
        <v>30</v>
      </c>
      <c r="G1517" t="s">
        <v>31</v>
      </c>
      <c r="J1517" t="s">
        <v>7338</v>
      </c>
      <c r="K1517" t="s">
        <v>1967</v>
      </c>
      <c r="L1517" t="s">
        <v>7340</v>
      </c>
      <c r="M1517" s="8">
        <v>0.966</v>
      </c>
      <c r="N1517">
        <v>80.7856561622413</v>
      </c>
      <c r="O1517">
        <v>1909</v>
      </c>
      <c r="P1517" s="9">
        <v>0.282579968944099</v>
      </c>
      <c r="Q1517" t="s">
        <v>1239</v>
      </c>
      <c r="T1517" s="15" t="s">
        <v>69</v>
      </c>
      <c r="W1517" s="16" t="str">
        <f t="shared" si="140"/>
        <v>EN_WON_28_c02_MNE</v>
      </c>
      <c r="X1517" s="12">
        <f t="shared" si="141"/>
        <v>1909</v>
      </c>
      <c r="Y1517" s="11">
        <f t="shared" si="142"/>
        <v>1909</v>
      </c>
    </row>
    <row r="1518" spans="2:25">
      <c r="B1518" t="s">
        <v>26</v>
      </c>
      <c r="C1518" t="s">
        <v>7341</v>
      </c>
      <c r="D1518" t="s">
        <v>7342</v>
      </c>
      <c r="E1518" t="s">
        <v>29</v>
      </c>
      <c r="F1518" t="s">
        <v>30</v>
      </c>
      <c r="G1518" t="s">
        <v>31</v>
      </c>
      <c r="J1518" t="s">
        <v>7341</v>
      </c>
      <c r="K1518" t="s">
        <v>1967</v>
      </c>
      <c r="L1518" t="s">
        <v>7340</v>
      </c>
      <c r="M1518" s="8">
        <v>0.45525</v>
      </c>
      <c r="N1518">
        <v>80.7856561622413</v>
      </c>
      <c r="O1518">
        <v>1909</v>
      </c>
      <c r="P1518" s="9">
        <v>0.292</v>
      </c>
      <c r="Q1518" t="s">
        <v>1239</v>
      </c>
      <c r="T1518" s="15" t="s">
        <v>69</v>
      </c>
      <c r="W1518" s="16" t="str">
        <f t="shared" si="140"/>
        <v>EN_WON_29_c02_MNE</v>
      </c>
      <c r="X1518" s="12">
        <f t="shared" si="141"/>
        <v>1909</v>
      </c>
      <c r="Y1518" s="11">
        <f t="shared" si="142"/>
        <v>1909</v>
      </c>
    </row>
    <row r="1519" spans="2:25">
      <c r="B1519" t="s">
        <v>26</v>
      </c>
      <c r="C1519" t="s">
        <v>7343</v>
      </c>
      <c r="D1519" t="s">
        <v>7344</v>
      </c>
      <c r="E1519" t="s">
        <v>29</v>
      </c>
      <c r="F1519" t="s">
        <v>30</v>
      </c>
      <c r="G1519" t="s">
        <v>31</v>
      </c>
      <c r="J1519" t="s">
        <v>7343</v>
      </c>
      <c r="K1519" t="s">
        <v>1967</v>
      </c>
      <c r="L1519" t="s">
        <v>7340</v>
      </c>
      <c r="M1519" s="8">
        <v>0.18</v>
      </c>
      <c r="N1519">
        <v>80.7856561622413</v>
      </c>
      <c r="O1519">
        <v>1909</v>
      </c>
      <c r="P1519" s="9">
        <v>0.317</v>
      </c>
      <c r="Q1519" t="s">
        <v>1239</v>
      </c>
      <c r="T1519" s="15" t="s">
        <v>69</v>
      </c>
      <c r="W1519" s="16" t="str">
        <f t="shared" si="140"/>
        <v>EN_WON_32_c02_MNE</v>
      </c>
      <c r="X1519" s="12">
        <f t="shared" si="141"/>
        <v>1909</v>
      </c>
      <c r="Y1519" s="11">
        <f t="shared" si="142"/>
        <v>1909</v>
      </c>
    </row>
    <row r="1520" spans="2:25">
      <c r="B1520" t="s">
        <v>26</v>
      </c>
      <c r="C1520" t="s">
        <v>7345</v>
      </c>
      <c r="D1520" t="s">
        <v>7346</v>
      </c>
      <c r="E1520" t="s">
        <v>29</v>
      </c>
      <c r="F1520" t="s">
        <v>30</v>
      </c>
      <c r="G1520" t="s">
        <v>31</v>
      </c>
      <c r="J1520" t="s">
        <v>7345</v>
      </c>
      <c r="K1520" t="s">
        <v>1967</v>
      </c>
      <c r="L1520" t="s">
        <v>7347</v>
      </c>
      <c r="M1520" s="8">
        <v>14.1105</v>
      </c>
      <c r="N1520">
        <v>0</v>
      </c>
      <c r="O1520">
        <v>2239</v>
      </c>
      <c r="P1520" s="9">
        <v>0.431</v>
      </c>
      <c r="Q1520" t="s">
        <v>1247</v>
      </c>
      <c r="T1520" s="15" t="s">
        <v>290</v>
      </c>
      <c r="W1520" s="16" t="str">
        <f t="shared" si="140"/>
        <v>EN_WON_43_c01_MNG</v>
      </c>
      <c r="X1520" s="12">
        <f t="shared" si="141"/>
        <v>2239</v>
      </c>
      <c r="Y1520" s="11">
        <f t="shared" si="142"/>
        <v>2239</v>
      </c>
    </row>
    <row r="1521" spans="2:25">
      <c r="B1521" t="s">
        <v>26</v>
      </c>
      <c r="C1521" t="s">
        <v>7348</v>
      </c>
      <c r="D1521" t="s">
        <v>7349</v>
      </c>
      <c r="E1521" t="s">
        <v>29</v>
      </c>
      <c r="F1521" t="s">
        <v>30</v>
      </c>
      <c r="G1521" t="s">
        <v>31</v>
      </c>
      <c r="J1521" t="s">
        <v>7348</v>
      </c>
      <c r="K1521" t="s">
        <v>1967</v>
      </c>
      <c r="L1521" t="s">
        <v>7347</v>
      </c>
      <c r="M1521" s="8">
        <v>7.18575</v>
      </c>
      <c r="N1521">
        <v>0</v>
      </c>
      <c r="O1521">
        <v>2239</v>
      </c>
      <c r="P1521" s="9">
        <v>0.438</v>
      </c>
      <c r="Q1521" t="s">
        <v>1247</v>
      </c>
      <c r="T1521" s="15" t="s">
        <v>290</v>
      </c>
      <c r="W1521" s="16" t="str">
        <f t="shared" si="140"/>
        <v>EN_WON_44_c01_MNG</v>
      </c>
      <c r="X1521" s="12">
        <f t="shared" si="141"/>
        <v>2239</v>
      </c>
      <c r="Y1521" s="11">
        <f t="shared" si="142"/>
        <v>2239</v>
      </c>
    </row>
    <row r="1522" spans="2:25">
      <c r="B1522" t="s">
        <v>26</v>
      </c>
      <c r="C1522" t="s">
        <v>7350</v>
      </c>
      <c r="D1522" t="s">
        <v>7351</v>
      </c>
      <c r="E1522" t="s">
        <v>29</v>
      </c>
      <c r="F1522" t="s">
        <v>30</v>
      </c>
      <c r="G1522" t="s">
        <v>31</v>
      </c>
      <c r="J1522" t="s">
        <v>7350</v>
      </c>
      <c r="K1522" t="s">
        <v>1967</v>
      </c>
      <c r="L1522" t="s">
        <v>4676</v>
      </c>
      <c r="M1522" s="8">
        <v>1.0095</v>
      </c>
      <c r="N1522">
        <v>80.7856561622413</v>
      </c>
      <c r="O1522">
        <v>1952</v>
      </c>
      <c r="P1522" s="9">
        <v>0.153962109955423</v>
      </c>
      <c r="Q1522" t="s">
        <v>1253</v>
      </c>
      <c r="T1522" s="15" t="s">
        <v>54</v>
      </c>
      <c r="W1522" s="16" t="str">
        <f t="shared" si="140"/>
        <v>EN_WON_15_c02_MOZ</v>
      </c>
      <c r="X1522" s="12">
        <f t="shared" si="141"/>
        <v>1952</v>
      </c>
      <c r="Y1522" s="11">
        <f t="shared" si="142"/>
        <v>1952</v>
      </c>
    </row>
    <row r="1523" spans="2:25">
      <c r="B1523" t="s">
        <v>26</v>
      </c>
      <c r="C1523" t="s">
        <v>7352</v>
      </c>
      <c r="D1523" t="s">
        <v>7353</v>
      </c>
      <c r="E1523" t="s">
        <v>29</v>
      </c>
      <c r="F1523" t="s">
        <v>30</v>
      </c>
      <c r="G1523" t="s">
        <v>31</v>
      </c>
      <c r="J1523" t="s">
        <v>7352</v>
      </c>
      <c r="K1523" t="s">
        <v>1967</v>
      </c>
      <c r="L1523" t="s">
        <v>4676</v>
      </c>
      <c r="M1523" s="8">
        <v>2.44275</v>
      </c>
      <c r="N1523">
        <v>105.747516212372</v>
      </c>
      <c r="O1523">
        <v>1952</v>
      </c>
      <c r="P1523" s="9">
        <v>0.151480503530857</v>
      </c>
      <c r="Q1523" t="s">
        <v>1253</v>
      </c>
      <c r="T1523" s="15" t="s">
        <v>54</v>
      </c>
      <c r="W1523" s="16" t="str">
        <f t="shared" si="140"/>
        <v>EN_WON_15_c03_MOZ</v>
      </c>
      <c r="X1523" s="12">
        <f t="shared" si="141"/>
        <v>1952</v>
      </c>
      <c r="Y1523" s="11">
        <f t="shared" si="142"/>
        <v>1952</v>
      </c>
    </row>
    <row r="1524" spans="2:25">
      <c r="B1524" t="s">
        <v>26</v>
      </c>
      <c r="C1524" t="s">
        <v>7354</v>
      </c>
      <c r="D1524" t="s">
        <v>7355</v>
      </c>
      <c r="E1524" t="s">
        <v>29</v>
      </c>
      <c r="F1524" t="s">
        <v>30</v>
      </c>
      <c r="G1524" t="s">
        <v>31</v>
      </c>
      <c r="J1524" t="s">
        <v>7354</v>
      </c>
      <c r="K1524" t="s">
        <v>1967</v>
      </c>
      <c r="L1524" t="s">
        <v>4676</v>
      </c>
      <c r="M1524" s="8">
        <v>3.52575</v>
      </c>
      <c r="N1524">
        <v>145.23264029167</v>
      </c>
      <c r="O1524">
        <v>1952</v>
      </c>
      <c r="P1524" s="9">
        <v>0.152951074239524</v>
      </c>
      <c r="Q1524" t="s">
        <v>1253</v>
      </c>
      <c r="T1524" s="15" t="s">
        <v>54</v>
      </c>
      <c r="W1524" s="16" t="str">
        <f t="shared" si="140"/>
        <v>EN_WON_15_c04_MOZ</v>
      </c>
      <c r="X1524" s="12">
        <f t="shared" si="141"/>
        <v>1952</v>
      </c>
      <c r="Y1524" s="11">
        <f t="shared" si="142"/>
        <v>1952</v>
      </c>
    </row>
    <row r="1525" spans="2:25">
      <c r="B1525" t="s">
        <v>26</v>
      </c>
      <c r="C1525" t="s">
        <v>7356</v>
      </c>
      <c r="D1525" t="s">
        <v>7357</v>
      </c>
      <c r="E1525" t="s">
        <v>29</v>
      </c>
      <c r="F1525" t="s">
        <v>30</v>
      </c>
      <c r="G1525" t="s">
        <v>31</v>
      </c>
      <c r="J1525" t="s">
        <v>7356</v>
      </c>
      <c r="K1525" t="s">
        <v>1967</v>
      </c>
      <c r="L1525" t="s">
        <v>4676</v>
      </c>
      <c r="M1525" s="8">
        <v>1.07475</v>
      </c>
      <c r="N1525">
        <v>80.7856561622413</v>
      </c>
      <c r="O1525">
        <v>1952</v>
      </c>
      <c r="P1525" s="9">
        <v>0.160747383112352</v>
      </c>
      <c r="Q1525" t="s">
        <v>1253</v>
      </c>
      <c r="T1525" s="15" t="s">
        <v>54</v>
      </c>
      <c r="W1525" s="16" t="str">
        <f t="shared" si="140"/>
        <v>EN_WON_16_c02_MOZ</v>
      </c>
      <c r="X1525" s="12">
        <f t="shared" si="141"/>
        <v>1952</v>
      </c>
      <c r="Y1525" s="11">
        <f t="shared" si="142"/>
        <v>1952</v>
      </c>
    </row>
    <row r="1526" spans="2:25">
      <c r="B1526" t="s">
        <v>26</v>
      </c>
      <c r="C1526" t="s">
        <v>7358</v>
      </c>
      <c r="D1526" t="s">
        <v>7359</v>
      </c>
      <c r="E1526" t="s">
        <v>29</v>
      </c>
      <c r="F1526" t="s">
        <v>30</v>
      </c>
      <c r="G1526" t="s">
        <v>31</v>
      </c>
      <c r="J1526" t="s">
        <v>7358</v>
      </c>
      <c r="K1526" t="s">
        <v>1967</v>
      </c>
      <c r="L1526" t="s">
        <v>4676</v>
      </c>
      <c r="M1526" s="8">
        <v>18.012</v>
      </c>
      <c r="N1526">
        <v>105.747516212372</v>
      </c>
      <c r="O1526">
        <v>1952</v>
      </c>
      <c r="P1526" s="9">
        <v>0.159633369420386</v>
      </c>
      <c r="Q1526" t="s">
        <v>1253</v>
      </c>
      <c r="T1526" s="15" t="s">
        <v>54</v>
      </c>
      <c r="W1526" s="16" t="str">
        <f t="shared" si="140"/>
        <v>EN_WON_16_c03_MOZ</v>
      </c>
      <c r="X1526" s="12">
        <f t="shared" si="141"/>
        <v>1952</v>
      </c>
      <c r="Y1526" s="11">
        <f t="shared" si="142"/>
        <v>1952</v>
      </c>
    </row>
    <row r="1527" spans="2:25">
      <c r="B1527" t="s">
        <v>26</v>
      </c>
      <c r="C1527" t="s">
        <v>7360</v>
      </c>
      <c r="D1527" t="s">
        <v>7361</v>
      </c>
      <c r="E1527" t="s">
        <v>29</v>
      </c>
      <c r="F1527" t="s">
        <v>30</v>
      </c>
      <c r="G1527" t="s">
        <v>31</v>
      </c>
      <c r="J1527" t="s">
        <v>7360</v>
      </c>
      <c r="K1527" t="s">
        <v>1967</v>
      </c>
      <c r="L1527" t="s">
        <v>4676</v>
      </c>
      <c r="M1527" s="8">
        <v>4.2705</v>
      </c>
      <c r="N1527">
        <v>145.23264029167</v>
      </c>
      <c r="O1527">
        <v>1952</v>
      </c>
      <c r="P1527" s="9">
        <v>0.156433789954338</v>
      </c>
      <c r="Q1527" t="s">
        <v>1253</v>
      </c>
      <c r="T1527" s="15" t="s">
        <v>54</v>
      </c>
      <c r="W1527" s="16" t="str">
        <f t="shared" si="140"/>
        <v>EN_WON_16_c04_MOZ</v>
      </c>
      <c r="X1527" s="12">
        <f t="shared" si="141"/>
        <v>1952</v>
      </c>
      <c r="Y1527" s="11">
        <f t="shared" si="142"/>
        <v>1952</v>
      </c>
    </row>
    <row r="1528" spans="2:25">
      <c r="B1528" t="s">
        <v>26</v>
      </c>
      <c r="C1528" t="s">
        <v>7362</v>
      </c>
      <c r="D1528" t="s">
        <v>7363</v>
      </c>
      <c r="E1528" t="s">
        <v>29</v>
      </c>
      <c r="F1528" t="s">
        <v>30</v>
      </c>
      <c r="G1528" t="s">
        <v>31</v>
      </c>
      <c r="J1528" t="s">
        <v>7362</v>
      </c>
      <c r="K1528" t="s">
        <v>1967</v>
      </c>
      <c r="L1528" t="s">
        <v>4676</v>
      </c>
      <c r="M1528" s="8">
        <v>2.544</v>
      </c>
      <c r="N1528">
        <v>80.7856561622413</v>
      </c>
      <c r="O1528">
        <v>1952</v>
      </c>
      <c r="P1528" s="9">
        <v>0.171712558962264</v>
      </c>
      <c r="Q1528" t="s">
        <v>1253</v>
      </c>
      <c r="T1528" s="15" t="s">
        <v>54</v>
      </c>
      <c r="W1528" s="16" t="str">
        <f t="shared" si="140"/>
        <v>EN_WON_17_c02_MOZ</v>
      </c>
      <c r="X1528" s="12">
        <f t="shared" si="141"/>
        <v>1952</v>
      </c>
      <c r="Y1528" s="11">
        <f t="shared" si="142"/>
        <v>1952</v>
      </c>
    </row>
    <row r="1529" spans="2:25">
      <c r="B1529" t="s">
        <v>26</v>
      </c>
      <c r="C1529" t="s">
        <v>7364</v>
      </c>
      <c r="D1529" t="s">
        <v>7365</v>
      </c>
      <c r="E1529" t="s">
        <v>29</v>
      </c>
      <c r="F1529" t="s">
        <v>30</v>
      </c>
      <c r="G1529" t="s">
        <v>31</v>
      </c>
      <c r="J1529" t="s">
        <v>7364</v>
      </c>
      <c r="K1529" t="s">
        <v>1967</v>
      </c>
      <c r="L1529" t="s">
        <v>4676</v>
      </c>
      <c r="M1529" s="8">
        <v>11.916</v>
      </c>
      <c r="N1529">
        <v>105.747516212372</v>
      </c>
      <c r="O1529">
        <v>1952</v>
      </c>
      <c r="P1529" s="9">
        <v>0.170125692346425</v>
      </c>
      <c r="Q1529" t="s">
        <v>1253</v>
      </c>
      <c r="T1529" s="15" t="s">
        <v>54</v>
      </c>
      <c r="W1529" s="16" t="str">
        <f t="shared" si="140"/>
        <v>EN_WON_17_c03_MOZ</v>
      </c>
      <c r="X1529" s="12">
        <f t="shared" si="141"/>
        <v>1952</v>
      </c>
      <c r="Y1529" s="11">
        <f t="shared" si="142"/>
        <v>1952</v>
      </c>
    </row>
    <row r="1530" spans="2:25">
      <c r="B1530" t="s">
        <v>26</v>
      </c>
      <c r="C1530" t="s">
        <v>7366</v>
      </c>
      <c r="D1530" t="s">
        <v>7367</v>
      </c>
      <c r="E1530" t="s">
        <v>29</v>
      </c>
      <c r="F1530" t="s">
        <v>30</v>
      </c>
      <c r="G1530" t="s">
        <v>31</v>
      </c>
      <c r="J1530" t="s">
        <v>7366</v>
      </c>
      <c r="K1530" t="s">
        <v>1967</v>
      </c>
      <c r="L1530" t="s">
        <v>4676</v>
      </c>
      <c r="M1530" s="8">
        <v>0.8565</v>
      </c>
      <c r="N1530">
        <v>145.23264029167</v>
      </c>
      <c r="O1530">
        <v>1952</v>
      </c>
      <c r="P1530" s="9">
        <v>0.170161996497373</v>
      </c>
      <c r="Q1530" t="s">
        <v>1253</v>
      </c>
      <c r="T1530" s="15" t="s">
        <v>54</v>
      </c>
      <c r="W1530" s="16" t="str">
        <f t="shared" si="140"/>
        <v>EN_WON_17_c04_MOZ</v>
      </c>
      <c r="X1530" s="12">
        <f t="shared" si="141"/>
        <v>1952</v>
      </c>
      <c r="Y1530" s="11">
        <f t="shared" si="142"/>
        <v>1952</v>
      </c>
    </row>
    <row r="1531" spans="2:25">
      <c r="B1531" t="s">
        <v>26</v>
      </c>
      <c r="C1531" t="s">
        <v>7368</v>
      </c>
      <c r="D1531" t="s">
        <v>7369</v>
      </c>
      <c r="E1531" t="s">
        <v>29</v>
      </c>
      <c r="F1531" t="s">
        <v>30</v>
      </c>
      <c r="G1531" t="s">
        <v>31</v>
      </c>
      <c r="J1531" t="s">
        <v>7368</v>
      </c>
      <c r="K1531" t="s">
        <v>1967</v>
      </c>
      <c r="L1531" t="s">
        <v>4676</v>
      </c>
      <c r="M1531" s="8">
        <v>3.972</v>
      </c>
      <c r="N1531">
        <v>80.7856561622413</v>
      </c>
      <c r="O1531">
        <v>1952</v>
      </c>
      <c r="P1531" s="9">
        <v>0.180725453172205</v>
      </c>
      <c r="Q1531" t="s">
        <v>1253</v>
      </c>
      <c r="T1531" s="15" t="s">
        <v>54</v>
      </c>
      <c r="W1531" s="16" t="str">
        <f t="shared" si="140"/>
        <v>EN_WON_18_c02_MOZ</v>
      </c>
      <c r="X1531" s="12">
        <f t="shared" si="141"/>
        <v>1952</v>
      </c>
      <c r="Y1531" s="11">
        <f t="shared" si="142"/>
        <v>1952</v>
      </c>
    </row>
    <row r="1532" spans="2:25">
      <c r="B1532" t="s">
        <v>26</v>
      </c>
      <c r="C1532" t="s">
        <v>7370</v>
      </c>
      <c r="D1532" t="s">
        <v>7371</v>
      </c>
      <c r="E1532" t="s">
        <v>29</v>
      </c>
      <c r="F1532" t="s">
        <v>30</v>
      </c>
      <c r="G1532" t="s">
        <v>31</v>
      </c>
      <c r="J1532" t="s">
        <v>7370</v>
      </c>
      <c r="K1532" t="s">
        <v>1967</v>
      </c>
      <c r="L1532" t="s">
        <v>4676</v>
      </c>
      <c r="M1532" s="8">
        <v>11.98575</v>
      </c>
      <c r="N1532">
        <v>105.747516212372</v>
      </c>
      <c r="O1532">
        <v>1952</v>
      </c>
      <c r="P1532" s="9">
        <v>0.177689506288718</v>
      </c>
      <c r="Q1532" t="s">
        <v>1253</v>
      </c>
      <c r="T1532" s="15" t="s">
        <v>54</v>
      </c>
      <c r="W1532" s="16" t="str">
        <f t="shared" si="140"/>
        <v>EN_WON_18_c03_MOZ</v>
      </c>
      <c r="X1532" s="12">
        <f t="shared" si="141"/>
        <v>1952</v>
      </c>
      <c r="Y1532" s="11">
        <f t="shared" si="142"/>
        <v>1952</v>
      </c>
    </row>
    <row r="1533" spans="2:25">
      <c r="B1533" t="s">
        <v>26</v>
      </c>
      <c r="C1533" t="s">
        <v>7372</v>
      </c>
      <c r="D1533" t="s">
        <v>7373</v>
      </c>
      <c r="E1533" t="s">
        <v>29</v>
      </c>
      <c r="F1533" t="s">
        <v>30</v>
      </c>
      <c r="G1533" t="s">
        <v>31</v>
      </c>
      <c r="J1533" t="s">
        <v>7372</v>
      </c>
      <c r="K1533" t="s">
        <v>1967</v>
      </c>
      <c r="L1533" t="s">
        <v>4676</v>
      </c>
      <c r="M1533" s="8">
        <v>5.45025</v>
      </c>
      <c r="N1533">
        <v>145.23264029167</v>
      </c>
      <c r="O1533">
        <v>1952</v>
      </c>
      <c r="P1533" s="9">
        <v>0.181298885372231</v>
      </c>
      <c r="Q1533" t="s">
        <v>1253</v>
      </c>
      <c r="T1533" s="15" t="s">
        <v>54</v>
      </c>
      <c r="W1533" s="16" t="str">
        <f t="shared" si="140"/>
        <v>EN_WON_18_c04_MOZ</v>
      </c>
      <c r="X1533" s="12">
        <f t="shared" si="141"/>
        <v>1952</v>
      </c>
      <c r="Y1533" s="11">
        <f t="shared" si="142"/>
        <v>1952</v>
      </c>
    </row>
    <row r="1534" spans="2:25">
      <c r="B1534" t="s">
        <v>26</v>
      </c>
      <c r="C1534" t="s">
        <v>7374</v>
      </c>
      <c r="D1534" t="s">
        <v>7375</v>
      </c>
      <c r="E1534" t="s">
        <v>29</v>
      </c>
      <c r="F1534" t="s">
        <v>30</v>
      </c>
      <c r="G1534" t="s">
        <v>31</v>
      </c>
      <c r="J1534" t="s">
        <v>7374</v>
      </c>
      <c r="K1534" t="s">
        <v>1967</v>
      </c>
      <c r="L1534" t="s">
        <v>4676</v>
      </c>
      <c r="M1534" s="8">
        <v>4.266</v>
      </c>
      <c r="N1534">
        <v>80.7856561622413</v>
      </c>
      <c r="O1534">
        <v>1952</v>
      </c>
      <c r="P1534" s="9">
        <v>0.187322081575246</v>
      </c>
      <c r="Q1534" t="s">
        <v>1253</v>
      </c>
      <c r="T1534" s="15" t="s">
        <v>54</v>
      </c>
      <c r="W1534" s="16" t="str">
        <f t="shared" si="140"/>
        <v>EN_WON_19_c02_MOZ</v>
      </c>
      <c r="X1534" s="12">
        <f t="shared" si="141"/>
        <v>1952</v>
      </c>
      <c r="Y1534" s="11">
        <f t="shared" si="142"/>
        <v>1952</v>
      </c>
    </row>
    <row r="1535" spans="2:25">
      <c r="B1535" t="s">
        <v>26</v>
      </c>
      <c r="C1535" t="s">
        <v>7376</v>
      </c>
      <c r="D1535" t="s">
        <v>7377</v>
      </c>
      <c r="E1535" t="s">
        <v>29</v>
      </c>
      <c r="F1535" t="s">
        <v>30</v>
      </c>
      <c r="G1535" t="s">
        <v>31</v>
      </c>
      <c r="J1535" t="s">
        <v>7376</v>
      </c>
      <c r="K1535" t="s">
        <v>1967</v>
      </c>
      <c r="L1535" t="s">
        <v>4676</v>
      </c>
      <c r="M1535" s="8">
        <v>14.2395</v>
      </c>
      <c r="N1535">
        <v>105.747516212372</v>
      </c>
      <c r="O1535">
        <v>1952</v>
      </c>
      <c r="P1535" s="9">
        <v>0.188646634362162</v>
      </c>
      <c r="Q1535" t="s">
        <v>1253</v>
      </c>
      <c r="T1535" s="15" t="s">
        <v>54</v>
      </c>
      <c r="W1535" s="16" t="str">
        <f t="shared" si="140"/>
        <v>EN_WON_19_c03_MOZ</v>
      </c>
      <c r="X1535" s="12">
        <f t="shared" si="141"/>
        <v>1952</v>
      </c>
      <c r="Y1535" s="11">
        <f t="shared" si="142"/>
        <v>1952</v>
      </c>
    </row>
    <row r="1536" spans="2:25">
      <c r="B1536" t="s">
        <v>26</v>
      </c>
      <c r="C1536" t="s">
        <v>7378</v>
      </c>
      <c r="D1536" t="s">
        <v>7379</v>
      </c>
      <c r="E1536" t="s">
        <v>29</v>
      </c>
      <c r="F1536" t="s">
        <v>30</v>
      </c>
      <c r="G1536" t="s">
        <v>31</v>
      </c>
      <c r="J1536" t="s">
        <v>7378</v>
      </c>
      <c r="K1536" t="s">
        <v>1967</v>
      </c>
      <c r="L1536" t="s">
        <v>4676</v>
      </c>
      <c r="M1536" s="8">
        <v>3.50025</v>
      </c>
      <c r="N1536">
        <v>145.23264029167</v>
      </c>
      <c r="O1536">
        <v>1952</v>
      </c>
      <c r="P1536" s="9">
        <v>0.189696378830084</v>
      </c>
      <c r="Q1536" t="s">
        <v>1253</v>
      </c>
      <c r="T1536" s="15" t="s">
        <v>54</v>
      </c>
      <c r="W1536" s="16" t="str">
        <f t="shared" si="140"/>
        <v>EN_WON_19_c04_MOZ</v>
      </c>
      <c r="X1536" s="12">
        <f t="shared" si="141"/>
        <v>1952</v>
      </c>
      <c r="Y1536" s="11">
        <f t="shared" si="142"/>
        <v>1952</v>
      </c>
    </row>
    <row r="1537" spans="2:25">
      <c r="B1537" t="s">
        <v>26</v>
      </c>
      <c r="C1537" t="s">
        <v>7380</v>
      </c>
      <c r="D1537" t="s">
        <v>7381</v>
      </c>
      <c r="E1537" t="s">
        <v>29</v>
      </c>
      <c r="F1537" t="s">
        <v>30</v>
      </c>
      <c r="G1537" t="s">
        <v>31</v>
      </c>
      <c r="J1537" t="s">
        <v>7380</v>
      </c>
      <c r="K1537" t="s">
        <v>1967</v>
      </c>
      <c r="L1537" t="s">
        <v>4676</v>
      </c>
      <c r="M1537" s="8">
        <v>5.91975</v>
      </c>
      <c r="N1537">
        <v>80.7856561622413</v>
      </c>
      <c r="O1537">
        <v>1952</v>
      </c>
      <c r="P1537" s="9">
        <v>0.19777486380337</v>
      </c>
      <c r="Q1537" t="s">
        <v>1253</v>
      </c>
      <c r="T1537" s="15" t="s">
        <v>54</v>
      </c>
      <c r="W1537" s="16" t="str">
        <f t="shared" si="140"/>
        <v>EN_WON_20_c02_MOZ</v>
      </c>
      <c r="X1537" s="12">
        <f t="shared" si="141"/>
        <v>1952</v>
      </c>
      <c r="Y1537" s="11">
        <f t="shared" si="142"/>
        <v>1952</v>
      </c>
    </row>
    <row r="1538" spans="2:25">
      <c r="B1538" t="s">
        <v>26</v>
      </c>
      <c r="C1538" t="s">
        <v>7382</v>
      </c>
      <c r="D1538" t="s">
        <v>7383</v>
      </c>
      <c r="E1538" t="s">
        <v>29</v>
      </c>
      <c r="F1538" t="s">
        <v>30</v>
      </c>
      <c r="G1538" t="s">
        <v>31</v>
      </c>
      <c r="J1538" t="s">
        <v>7382</v>
      </c>
      <c r="K1538" t="s">
        <v>1967</v>
      </c>
      <c r="L1538" t="s">
        <v>4676</v>
      </c>
      <c r="M1538" s="8">
        <v>10.8075</v>
      </c>
      <c r="N1538">
        <v>105.747516212372</v>
      </c>
      <c r="O1538">
        <v>1952</v>
      </c>
      <c r="P1538" s="9">
        <v>0.201371269951423</v>
      </c>
      <c r="Q1538" t="s">
        <v>1253</v>
      </c>
      <c r="T1538" s="15" t="s">
        <v>54</v>
      </c>
      <c r="W1538" s="16" t="str">
        <f t="shared" si="140"/>
        <v>EN_WON_20_c03_MOZ</v>
      </c>
      <c r="X1538" s="12">
        <f t="shared" si="141"/>
        <v>1952</v>
      </c>
      <c r="Y1538" s="11">
        <f t="shared" si="142"/>
        <v>1952</v>
      </c>
    </row>
    <row r="1539" spans="2:25">
      <c r="B1539" t="s">
        <v>26</v>
      </c>
      <c r="C1539" t="s">
        <v>7384</v>
      </c>
      <c r="D1539" t="s">
        <v>7385</v>
      </c>
      <c r="E1539" t="s">
        <v>29</v>
      </c>
      <c r="F1539" t="s">
        <v>30</v>
      </c>
      <c r="G1539" t="s">
        <v>31</v>
      </c>
      <c r="J1539" t="s">
        <v>7384</v>
      </c>
      <c r="K1539" t="s">
        <v>1967</v>
      </c>
      <c r="L1539" t="s">
        <v>4676</v>
      </c>
      <c r="M1539" s="8">
        <v>3.129</v>
      </c>
      <c r="N1539">
        <v>145.23264029167</v>
      </c>
      <c r="O1539">
        <v>1952</v>
      </c>
      <c r="P1539" s="9">
        <v>0.201301534036433</v>
      </c>
      <c r="Q1539" t="s">
        <v>1253</v>
      </c>
      <c r="T1539" s="15" t="s">
        <v>54</v>
      </c>
      <c r="W1539" s="16" t="str">
        <f t="shared" si="140"/>
        <v>EN_WON_20_c04_MOZ</v>
      </c>
      <c r="X1539" s="12">
        <f t="shared" si="141"/>
        <v>1952</v>
      </c>
      <c r="Y1539" s="11">
        <f t="shared" si="142"/>
        <v>1952</v>
      </c>
    </row>
    <row r="1540" spans="2:25">
      <c r="B1540" t="s">
        <v>26</v>
      </c>
      <c r="C1540" t="s">
        <v>7386</v>
      </c>
      <c r="D1540" t="s">
        <v>7387</v>
      </c>
      <c r="E1540" t="s">
        <v>29</v>
      </c>
      <c r="F1540" t="s">
        <v>30</v>
      </c>
      <c r="G1540" t="s">
        <v>31</v>
      </c>
      <c r="J1540" t="s">
        <v>7386</v>
      </c>
      <c r="K1540" t="s">
        <v>1967</v>
      </c>
      <c r="L1540" t="s">
        <v>4676</v>
      </c>
      <c r="M1540" s="8">
        <v>5.15775</v>
      </c>
      <c r="N1540">
        <v>80.7856561622413</v>
      </c>
      <c r="O1540">
        <v>1952</v>
      </c>
      <c r="P1540" s="9">
        <v>0.20741224371092</v>
      </c>
      <c r="Q1540" t="s">
        <v>1253</v>
      </c>
      <c r="T1540" s="15" t="s">
        <v>54</v>
      </c>
      <c r="W1540" s="16" t="str">
        <f t="shared" si="140"/>
        <v>EN_WON_21_c02_MOZ</v>
      </c>
      <c r="X1540" s="12">
        <f t="shared" si="141"/>
        <v>1952</v>
      </c>
      <c r="Y1540" s="11">
        <f t="shared" si="142"/>
        <v>1952</v>
      </c>
    </row>
    <row r="1541" spans="2:25">
      <c r="B1541" t="s">
        <v>26</v>
      </c>
      <c r="C1541" t="s">
        <v>7388</v>
      </c>
      <c r="D1541" t="s">
        <v>7389</v>
      </c>
      <c r="E1541" t="s">
        <v>29</v>
      </c>
      <c r="F1541" t="s">
        <v>30</v>
      </c>
      <c r="G1541" t="s">
        <v>31</v>
      </c>
      <c r="J1541" t="s">
        <v>7388</v>
      </c>
      <c r="K1541" t="s">
        <v>1967</v>
      </c>
      <c r="L1541" t="s">
        <v>4676</v>
      </c>
      <c r="M1541" s="8">
        <v>9.13125</v>
      </c>
      <c r="N1541">
        <v>105.747516212372</v>
      </c>
      <c r="O1541">
        <v>1952</v>
      </c>
      <c r="P1541" s="9">
        <v>0.208325503080082</v>
      </c>
      <c r="Q1541" t="s">
        <v>1253</v>
      </c>
      <c r="T1541" s="15" t="s">
        <v>54</v>
      </c>
      <c r="W1541" s="16" t="str">
        <f t="shared" si="140"/>
        <v>EN_WON_21_c03_MOZ</v>
      </c>
      <c r="X1541" s="12">
        <f t="shared" si="141"/>
        <v>1952</v>
      </c>
      <c r="Y1541" s="11">
        <f t="shared" si="142"/>
        <v>1952</v>
      </c>
    </row>
    <row r="1542" spans="2:25">
      <c r="B1542" t="s">
        <v>26</v>
      </c>
      <c r="C1542" t="s">
        <v>7390</v>
      </c>
      <c r="D1542" t="s">
        <v>7391</v>
      </c>
      <c r="E1542" t="s">
        <v>29</v>
      </c>
      <c r="F1542" t="s">
        <v>30</v>
      </c>
      <c r="G1542" t="s">
        <v>31</v>
      </c>
      <c r="J1542" t="s">
        <v>7390</v>
      </c>
      <c r="K1542" t="s">
        <v>1967</v>
      </c>
      <c r="L1542" t="s">
        <v>4676</v>
      </c>
      <c r="M1542" s="8">
        <v>9.34125</v>
      </c>
      <c r="N1542">
        <v>145.23264029167</v>
      </c>
      <c r="O1542">
        <v>1952</v>
      </c>
      <c r="P1542" s="9">
        <v>0.210427619429948</v>
      </c>
      <c r="Q1542" t="s">
        <v>1253</v>
      </c>
      <c r="T1542" s="15" t="s">
        <v>54</v>
      </c>
      <c r="W1542" s="16" t="str">
        <f t="shared" ref="W1542:W1605" si="143">J1542</f>
        <v>EN_WON_21_c04_MOZ</v>
      </c>
      <c r="X1542" s="12">
        <f t="shared" ref="X1542:X1605" si="144">O1542</f>
        <v>1952</v>
      </c>
      <c r="Y1542" s="11">
        <f t="shared" ref="Y1542:Y1605" si="145">X1542</f>
        <v>1952</v>
      </c>
    </row>
    <row r="1543" spans="2:25">
      <c r="B1543" t="s">
        <v>26</v>
      </c>
      <c r="C1543" t="s">
        <v>7392</v>
      </c>
      <c r="D1543" t="s">
        <v>7393</v>
      </c>
      <c r="E1543" t="s">
        <v>29</v>
      </c>
      <c r="F1543" t="s">
        <v>30</v>
      </c>
      <c r="G1543" t="s">
        <v>31</v>
      </c>
      <c r="J1543" t="s">
        <v>7392</v>
      </c>
      <c r="K1543" t="s">
        <v>1967</v>
      </c>
      <c r="L1543" t="s">
        <v>4676</v>
      </c>
      <c r="M1543" s="8">
        <v>7.67325</v>
      </c>
      <c r="N1543">
        <v>80.7856561622413</v>
      </c>
      <c r="O1543">
        <v>1952</v>
      </c>
      <c r="P1543" s="9">
        <v>0.218003616459779</v>
      </c>
      <c r="Q1543" t="s">
        <v>1253</v>
      </c>
      <c r="T1543" s="15" t="s">
        <v>54</v>
      </c>
      <c r="W1543" s="16" t="str">
        <f t="shared" si="143"/>
        <v>EN_WON_22_c02_MOZ</v>
      </c>
      <c r="X1543" s="12">
        <f t="shared" si="144"/>
        <v>1952</v>
      </c>
      <c r="Y1543" s="11">
        <f t="shared" si="145"/>
        <v>1952</v>
      </c>
    </row>
    <row r="1544" spans="2:25">
      <c r="B1544" t="s">
        <v>26</v>
      </c>
      <c r="C1544" t="s">
        <v>7394</v>
      </c>
      <c r="D1544" t="s">
        <v>7395</v>
      </c>
      <c r="E1544" t="s">
        <v>29</v>
      </c>
      <c r="F1544" t="s">
        <v>30</v>
      </c>
      <c r="G1544" t="s">
        <v>31</v>
      </c>
      <c r="J1544" t="s">
        <v>7394</v>
      </c>
      <c r="K1544" t="s">
        <v>1967</v>
      </c>
      <c r="L1544" t="s">
        <v>4676</v>
      </c>
      <c r="M1544" s="8">
        <v>0.97425</v>
      </c>
      <c r="N1544">
        <v>105.747516212372</v>
      </c>
      <c r="O1544">
        <v>1952</v>
      </c>
      <c r="P1544" s="9">
        <v>0.220697459584296</v>
      </c>
      <c r="Q1544" t="s">
        <v>1253</v>
      </c>
      <c r="T1544" s="15" t="s">
        <v>54</v>
      </c>
      <c r="W1544" s="16" t="str">
        <f t="shared" si="143"/>
        <v>EN_WON_22_c03_MOZ</v>
      </c>
      <c r="X1544" s="12">
        <f t="shared" si="144"/>
        <v>1952</v>
      </c>
      <c r="Y1544" s="11">
        <f t="shared" si="145"/>
        <v>1952</v>
      </c>
    </row>
    <row r="1545" spans="2:25">
      <c r="B1545" t="s">
        <v>26</v>
      </c>
      <c r="C1545" t="s">
        <v>7396</v>
      </c>
      <c r="D1545" t="s">
        <v>7397</v>
      </c>
      <c r="E1545" t="s">
        <v>29</v>
      </c>
      <c r="F1545" t="s">
        <v>30</v>
      </c>
      <c r="G1545" t="s">
        <v>31</v>
      </c>
      <c r="J1545" t="s">
        <v>7396</v>
      </c>
      <c r="K1545" t="s">
        <v>1967</v>
      </c>
      <c r="L1545" t="s">
        <v>4676</v>
      </c>
      <c r="M1545" s="8">
        <v>4.251</v>
      </c>
      <c r="N1545">
        <v>145.23264029167</v>
      </c>
      <c r="O1545">
        <v>1952</v>
      </c>
      <c r="P1545" s="9">
        <v>0.220731827805222</v>
      </c>
      <c r="Q1545" t="s">
        <v>1253</v>
      </c>
      <c r="T1545" s="15" t="s">
        <v>54</v>
      </c>
      <c r="W1545" s="16" t="str">
        <f t="shared" si="143"/>
        <v>EN_WON_22_c04_MOZ</v>
      </c>
      <c r="X1545" s="12">
        <f t="shared" si="144"/>
        <v>1952</v>
      </c>
      <c r="Y1545" s="11">
        <f t="shared" si="145"/>
        <v>1952</v>
      </c>
    </row>
    <row r="1546" spans="2:25">
      <c r="B1546" t="s">
        <v>26</v>
      </c>
      <c r="C1546" t="s">
        <v>7398</v>
      </c>
      <c r="D1546" t="s">
        <v>7399</v>
      </c>
      <c r="E1546" t="s">
        <v>29</v>
      </c>
      <c r="F1546" t="s">
        <v>30</v>
      </c>
      <c r="G1546" t="s">
        <v>31</v>
      </c>
      <c r="J1546" t="s">
        <v>7398</v>
      </c>
      <c r="K1546" t="s">
        <v>1967</v>
      </c>
      <c r="L1546" t="s">
        <v>4676</v>
      </c>
      <c r="M1546" s="8">
        <v>5.868</v>
      </c>
      <c r="N1546">
        <v>80.7856561622413</v>
      </c>
      <c r="O1546">
        <v>1952</v>
      </c>
      <c r="P1546" s="9">
        <v>0.232104550102249</v>
      </c>
      <c r="Q1546" t="s">
        <v>1253</v>
      </c>
      <c r="T1546" s="15" t="s">
        <v>54</v>
      </c>
      <c r="W1546" s="16" t="str">
        <f t="shared" si="143"/>
        <v>EN_WON_23_c02_MOZ</v>
      </c>
      <c r="X1546" s="12">
        <f t="shared" si="144"/>
        <v>1952</v>
      </c>
      <c r="Y1546" s="11">
        <f t="shared" si="145"/>
        <v>1952</v>
      </c>
    </row>
    <row r="1547" spans="2:25">
      <c r="B1547" t="s">
        <v>26</v>
      </c>
      <c r="C1547" t="s">
        <v>7400</v>
      </c>
      <c r="D1547" t="s">
        <v>7401</v>
      </c>
      <c r="E1547" t="s">
        <v>29</v>
      </c>
      <c r="F1547" t="s">
        <v>30</v>
      </c>
      <c r="G1547" t="s">
        <v>31</v>
      </c>
      <c r="J1547" t="s">
        <v>7400</v>
      </c>
      <c r="K1547" t="s">
        <v>1967</v>
      </c>
      <c r="L1547" t="s">
        <v>4676</v>
      </c>
      <c r="M1547" s="8">
        <v>0.28425</v>
      </c>
      <c r="N1547">
        <v>105.747516212372</v>
      </c>
      <c r="O1547">
        <v>1952</v>
      </c>
      <c r="P1547" s="9">
        <v>0.227005277044855</v>
      </c>
      <c r="Q1547" t="s">
        <v>1253</v>
      </c>
      <c r="T1547" s="15" t="s">
        <v>54</v>
      </c>
      <c r="W1547" s="16" t="str">
        <f t="shared" si="143"/>
        <v>EN_WON_23_c03_MOZ</v>
      </c>
      <c r="X1547" s="12">
        <f t="shared" si="144"/>
        <v>1952</v>
      </c>
      <c r="Y1547" s="11">
        <f t="shared" si="145"/>
        <v>1952</v>
      </c>
    </row>
    <row r="1548" spans="2:25">
      <c r="B1548" t="s">
        <v>26</v>
      </c>
      <c r="C1548" t="s">
        <v>7402</v>
      </c>
      <c r="D1548" t="s">
        <v>7403</v>
      </c>
      <c r="E1548" t="s">
        <v>29</v>
      </c>
      <c r="F1548" t="s">
        <v>30</v>
      </c>
      <c r="G1548" t="s">
        <v>31</v>
      </c>
      <c r="J1548" t="s">
        <v>7402</v>
      </c>
      <c r="K1548" t="s">
        <v>1967</v>
      </c>
      <c r="L1548" t="s">
        <v>4676</v>
      </c>
      <c r="M1548" s="8">
        <v>0.4725</v>
      </c>
      <c r="N1548">
        <v>145.23264029167</v>
      </c>
      <c r="O1548">
        <v>1952</v>
      </c>
      <c r="P1548" s="9">
        <v>0.227498412698413</v>
      </c>
      <c r="Q1548" t="s">
        <v>1253</v>
      </c>
      <c r="T1548" s="15" t="s">
        <v>54</v>
      </c>
      <c r="W1548" s="16" t="str">
        <f t="shared" si="143"/>
        <v>EN_WON_23_c04_MOZ</v>
      </c>
      <c r="X1548" s="12">
        <f t="shared" si="144"/>
        <v>1952</v>
      </c>
      <c r="Y1548" s="11">
        <f t="shared" si="145"/>
        <v>1952</v>
      </c>
    </row>
    <row r="1549" spans="2:25">
      <c r="B1549" t="s">
        <v>26</v>
      </c>
      <c r="C1549" t="s">
        <v>7404</v>
      </c>
      <c r="D1549" t="s">
        <v>7405</v>
      </c>
      <c r="E1549" t="s">
        <v>29</v>
      </c>
      <c r="F1549" t="s">
        <v>30</v>
      </c>
      <c r="G1549" t="s">
        <v>31</v>
      </c>
      <c r="J1549" t="s">
        <v>7404</v>
      </c>
      <c r="K1549" t="s">
        <v>1967</v>
      </c>
      <c r="L1549" t="s">
        <v>4676</v>
      </c>
      <c r="M1549" s="8">
        <v>6.03825</v>
      </c>
      <c r="N1549">
        <v>80.7856561622413</v>
      </c>
      <c r="O1549">
        <v>1952</v>
      </c>
      <c r="P1549" s="9">
        <v>0.239846230281953</v>
      </c>
      <c r="Q1549" t="s">
        <v>1253</v>
      </c>
      <c r="T1549" s="15" t="s">
        <v>54</v>
      </c>
      <c r="W1549" s="16" t="str">
        <f t="shared" si="143"/>
        <v>EN_WON_24_c02_MOZ</v>
      </c>
      <c r="X1549" s="12">
        <f t="shared" si="144"/>
        <v>1952</v>
      </c>
      <c r="Y1549" s="11">
        <f t="shared" si="145"/>
        <v>1952</v>
      </c>
    </row>
    <row r="1550" spans="2:25">
      <c r="B1550" t="s">
        <v>26</v>
      </c>
      <c r="C1550" t="s">
        <v>7406</v>
      </c>
      <c r="D1550" t="s">
        <v>7407</v>
      </c>
      <c r="E1550" t="s">
        <v>29</v>
      </c>
      <c r="F1550" t="s">
        <v>30</v>
      </c>
      <c r="G1550" t="s">
        <v>31</v>
      </c>
      <c r="J1550" t="s">
        <v>7406</v>
      </c>
      <c r="K1550" t="s">
        <v>1967</v>
      </c>
      <c r="L1550" t="s">
        <v>4676</v>
      </c>
      <c r="M1550" s="8">
        <v>4.1145</v>
      </c>
      <c r="N1550">
        <v>80.7856561622413</v>
      </c>
      <c r="O1550">
        <v>1952</v>
      </c>
      <c r="P1550" s="9">
        <v>0.247858549033904</v>
      </c>
      <c r="Q1550" t="s">
        <v>1253</v>
      </c>
      <c r="T1550" s="15" t="s">
        <v>54</v>
      </c>
      <c r="W1550" s="16" t="str">
        <f t="shared" si="143"/>
        <v>EN_WON_25_c02_MOZ</v>
      </c>
      <c r="X1550" s="12">
        <f t="shared" si="144"/>
        <v>1952</v>
      </c>
      <c r="Y1550" s="11">
        <f t="shared" si="145"/>
        <v>1952</v>
      </c>
    </row>
    <row r="1551" spans="2:25">
      <c r="B1551" t="s">
        <v>26</v>
      </c>
      <c r="C1551" t="s">
        <v>7408</v>
      </c>
      <c r="D1551" t="s">
        <v>7409</v>
      </c>
      <c r="E1551" t="s">
        <v>29</v>
      </c>
      <c r="F1551" t="s">
        <v>30</v>
      </c>
      <c r="G1551" t="s">
        <v>31</v>
      </c>
      <c r="J1551" t="s">
        <v>7408</v>
      </c>
      <c r="K1551" t="s">
        <v>1967</v>
      </c>
      <c r="L1551" t="s">
        <v>4676</v>
      </c>
      <c r="M1551" s="8">
        <v>3.48075</v>
      </c>
      <c r="N1551">
        <v>105.747516212372</v>
      </c>
      <c r="O1551">
        <v>1952</v>
      </c>
      <c r="P1551" s="9">
        <v>0.252</v>
      </c>
      <c r="Q1551" t="s">
        <v>1253</v>
      </c>
      <c r="T1551" s="15" t="s">
        <v>54</v>
      </c>
      <c r="W1551" s="16" t="str">
        <f t="shared" si="143"/>
        <v>EN_WON_25_c03_MOZ</v>
      </c>
      <c r="X1551" s="12">
        <f t="shared" si="144"/>
        <v>1952</v>
      </c>
      <c r="Y1551" s="11">
        <f t="shared" si="145"/>
        <v>1952</v>
      </c>
    </row>
    <row r="1552" spans="2:25">
      <c r="B1552" t="s">
        <v>26</v>
      </c>
      <c r="C1552" t="s">
        <v>7410</v>
      </c>
      <c r="D1552" t="s">
        <v>7411</v>
      </c>
      <c r="E1552" t="s">
        <v>29</v>
      </c>
      <c r="F1552" t="s">
        <v>30</v>
      </c>
      <c r="G1552" t="s">
        <v>31</v>
      </c>
      <c r="J1552" t="s">
        <v>7410</v>
      </c>
      <c r="K1552" t="s">
        <v>1967</v>
      </c>
      <c r="L1552" t="s">
        <v>4676</v>
      </c>
      <c r="M1552" s="8">
        <v>2.9325</v>
      </c>
      <c r="N1552">
        <v>145.23264029167</v>
      </c>
      <c r="O1552">
        <v>1952</v>
      </c>
      <c r="P1552" s="9">
        <v>0.251</v>
      </c>
      <c r="Q1552" t="s">
        <v>1253</v>
      </c>
      <c r="T1552" s="15" t="s">
        <v>54</v>
      </c>
      <c r="W1552" s="16" t="str">
        <f t="shared" si="143"/>
        <v>EN_WON_25_c04_MOZ</v>
      </c>
      <c r="X1552" s="12">
        <f t="shared" si="144"/>
        <v>1952</v>
      </c>
      <c r="Y1552" s="11">
        <f t="shared" si="145"/>
        <v>1952</v>
      </c>
    </row>
    <row r="1553" spans="2:25">
      <c r="B1553" t="s">
        <v>26</v>
      </c>
      <c r="C1553" t="s">
        <v>7412</v>
      </c>
      <c r="D1553" t="s">
        <v>7413</v>
      </c>
      <c r="E1553" t="s">
        <v>29</v>
      </c>
      <c r="F1553" t="s">
        <v>30</v>
      </c>
      <c r="G1553" t="s">
        <v>31</v>
      </c>
      <c r="J1553" t="s">
        <v>7412</v>
      </c>
      <c r="K1553" t="s">
        <v>1967</v>
      </c>
      <c r="L1553" t="s">
        <v>4676</v>
      </c>
      <c r="M1553" s="8">
        <v>0.03525</v>
      </c>
      <c r="N1553">
        <v>80.7856561622413</v>
      </c>
      <c r="O1553">
        <v>1952</v>
      </c>
      <c r="P1553" s="9">
        <v>0.257</v>
      </c>
      <c r="Q1553" t="s">
        <v>1253</v>
      </c>
      <c r="T1553" s="15" t="s">
        <v>54</v>
      </c>
      <c r="W1553" s="16" t="str">
        <f t="shared" si="143"/>
        <v>EN_WON_26_c02_MOZ</v>
      </c>
      <c r="X1553" s="12">
        <f t="shared" si="144"/>
        <v>1952</v>
      </c>
      <c r="Y1553" s="11">
        <f t="shared" si="145"/>
        <v>1952</v>
      </c>
    </row>
    <row r="1554" spans="2:25">
      <c r="B1554" t="s">
        <v>26</v>
      </c>
      <c r="C1554" t="s">
        <v>7414</v>
      </c>
      <c r="D1554" t="s">
        <v>7415</v>
      </c>
      <c r="E1554" t="s">
        <v>29</v>
      </c>
      <c r="F1554" t="s">
        <v>30</v>
      </c>
      <c r="G1554" t="s">
        <v>31</v>
      </c>
      <c r="J1554" t="s">
        <v>7414</v>
      </c>
      <c r="K1554" t="s">
        <v>1967</v>
      </c>
      <c r="L1554" t="s">
        <v>4676</v>
      </c>
      <c r="M1554" s="8">
        <v>2.1945</v>
      </c>
      <c r="N1554">
        <v>105.747516212372</v>
      </c>
      <c r="O1554">
        <v>1952</v>
      </c>
      <c r="P1554" s="9">
        <v>0.261</v>
      </c>
      <c r="Q1554" t="s">
        <v>1253</v>
      </c>
      <c r="T1554" s="15" t="s">
        <v>54</v>
      </c>
      <c r="W1554" s="16" t="str">
        <f t="shared" si="143"/>
        <v>EN_WON_26_c03_MOZ</v>
      </c>
      <c r="X1554" s="12">
        <f t="shared" si="144"/>
        <v>1952</v>
      </c>
      <c r="Y1554" s="11">
        <f t="shared" si="145"/>
        <v>1952</v>
      </c>
    </row>
    <row r="1555" spans="2:25">
      <c r="B1555" t="s">
        <v>26</v>
      </c>
      <c r="C1555" t="s">
        <v>7416</v>
      </c>
      <c r="D1555" t="s">
        <v>7417</v>
      </c>
      <c r="E1555" t="s">
        <v>29</v>
      </c>
      <c r="F1555" t="s">
        <v>30</v>
      </c>
      <c r="G1555" t="s">
        <v>31</v>
      </c>
      <c r="J1555" t="s">
        <v>7416</v>
      </c>
      <c r="K1555" t="s">
        <v>1967</v>
      </c>
      <c r="L1555" t="s">
        <v>4676</v>
      </c>
      <c r="M1555" s="8">
        <v>0.4695</v>
      </c>
      <c r="N1555">
        <v>80.7856561622413</v>
      </c>
      <c r="O1555">
        <v>1952</v>
      </c>
      <c r="P1555" s="9">
        <v>0.274</v>
      </c>
      <c r="Q1555" t="s">
        <v>1253</v>
      </c>
      <c r="T1555" s="15" t="s">
        <v>54</v>
      </c>
      <c r="W1555" s="16" t="str">
        <f t="shared" si="143"/>
        <v>EN_WON_27_c02_MOZ</v>
      </c>
      <c r="X1555" s="12">
        <f t="shared" si="144"/>
        <v>1952</v>
      </c>
      <c r="Y1555" s="11">
        <f t="shared" si="145"/>
        <v>1952</v>
      </c>
    </row>
    <row r="1556" spans="2:25">
      <c r="B1556" t="s">
        <v>26</v>
      </c>
      <c r="C1556" t="s">
        <v>7418</v>
      </c>
      <c r="D1556" t="s">
        <v>7419</v>
      </c>
      <c r="E1556" t="s">
        <v>29</v>
      </c>
      <c r="F1556" t="s">
        <v>30</v>
      </c>
      <c r="G1556" t="s">
        <v>31</v>
      </c>
      <c r="J1556" t="s">
        <v>7418</v>
      </c>
      <c r="K1556" t="s">
        <v>1967</v>
      </c>
      <c r="L1556" t="s">
        <v>4676</v>
      </c>
      <c r="M1556" s="8">
        <v>0.2355</v>
      </c>
      <c r="N1556">
        <v>0</v>
      </c>
      <c r="O1556">
        <v>1952</v>
      </c>
      <c r="P1556" s="9">
        <v>0.275</v>
      </c>
      <c r="Q1556" t="s">
        <v>1253</v>
      </c>
      <c r="T1556" s="15" t="s">
        <v>54</v>
      </c>
      <c r="W1556" s="16" t="str">
        <f t="shared" si="143"/>
        <v>EN_WON_28_c01_MOZ</v>
      </c>
      <c r="X1556" s="12">
        <f t="shared" si="144"/>
        <v>1952</v>
      </c>
      <c r="Y1556" s="11">
        <f t="shared" si="145"/>
        <v>1952</v>
      </c>
    </row>
    <row r="1557" spans="2:25">
      <c r="B1557" t="s">
        <v>26</v>
      </c>
      <c r="C1557" t="s">
        <v>7420</v>
      </c>
      <c r="D1557" t="s">
        <v>7421</v>
      </c>
      <c r="E1557" t="s">
        <v>29</v>
      </c>
      <c r="F1557" t="s">
        <v>30</v>
      </c>
      <c r="G1557" t="s">
        <v>31</v>
      </c>
      <c r="J1557" t="s">
        <v>7420</v>
      </c>
      <c r="K1557" t="s">
        <v>1967</v>
      </c>
      <c r="L1557" t="s">
        <v>4676</v>
      </c>
      <c r="M1557" s="8">
        <v>1.57575</v>
      </c>
      <c r="N1557">
        <v>105.747516212372</v>
      </c>
      <c r="O1557">
        <v>1952</v>
      </c>
      <c r="P1557" s="9">
        <v>0.278</v>
      </c>
      <c r="Q1557" t="s">
        <v>1253</v>
      </c>
      <c r="T1557" s="15" t="s">
        <v>54</v>
      </c>
      <c r="W1557" s="16" t="str">
        <f t="shared" si="143"/>
        <v>EN_WON_28_c03_MOZ</v>
      </c>
      <c r="X1557" s="12">
        <f t="shared" si="144"/>
        <v>1952</v>
      </c>
      <c r="Y1557" s="11">
        <f t="shared" si="145"/>
        <v>1952</v>
      </c>
    </row>
    <row r="1558" spans="2:25">
      <c r="B1558" t="s">
        <v>26</v>
      </c>
      <c r="C1558" t="s">
        <v>7422</v>
      </c>
      <c r="D1558" t="s">
        <v>7423</v>
      </c>
      <c r="E1558" t="s">
        <v>29</v>
      </c>
      <c r="F1558" t="s">
        <v>30</v>
      </c>
      <c r="G1558" t="s">
        <v>31</v>
      </c>
      <c r="J1558" t="s">
        <v>7422</v>
      </c>
      <c r="K1558" t="s">
        <v>1967</v>
      </c>
      <c r="L1558" t="s">
        <v>4709</v>
      </c>
      <c r="M1558" s="8">
        <v>5.67525</v>
      </c>
      <c r="N1558">
        <v>80.7856561622413</v>
      </c>
      <c r="O1558">
        <v>1952</v>
      </c>
      <c r="P1558" s="9">
        <v>0.621</v>
      </c>
      <c r="Q1558" t="s">
        <v>1273</v>
      </c>
      <c r="T1558" s="15" t="s">
        <v>54</v>
      </c>
      <c r="W1558" s="16" t="str">
        <f t="shared" si="143"/>
        <v>EN_WON_62_c02_MRT</v>
      </c>
      <c r="X1558" s="12">
        <f t="shared" si="144"/>
        <v>1952</v>
      </c>
      <c r="Y1558" s="11">
        <f t="shared" si="145"/>
        <v>1952</v>
      </c>
    </row>
    <row r="1559" spans="2:25">
      <c r="B1559" t="s">
        <v>26</v>
      </c>
      <c r="C1559" t="s">
        <v>7424</v>
      </c>
      <c r="D1559" t="s">
        <v>7425</v>
      </c>
      <c r="E1559" t="s">
        <v>29</v>
      </c>
      <c r="F1559" t="s">
        <v>30</v>
      </c>
      <c r="G1559" t="s">
        <v>31</v>
      </c>
      <c r="J1559" t="s">
        <v>7424</v>
      </c>
      <c r="K1559" t="s">
        <v>1967</v>
      </c>
      <c r="L1559" t="s">
        <v>7426</v>
      </c>
      <c r="M1559" s="8">
        <v>0.04725</v>
      </c>
      <c r="N1559">
        <v>105.747516212372</v>
      </c>
      <c r="O1559">
        <v>1952</v>
      </c>
      <c r="P1559" s="9">
        <v>0.153</v>
      </c>
      <c r="Q1559" t="s">
        <v>1277</v>
      </c>
      <c r="T1559" s="15" t="s">
        <v>54</v>
      </c>
      <c r="W1559" s="16" t="str">
        <f t="shared" si="143"/>
        <v>EN_WON_15_c03_MWI</v>
      </c>
      <c r="X1559" s="12">
        <f t="shared" si="144"/>
        <v>1952</v>
      </c>
      <c r="Y1559" s="11">
        <f t="shared" si="145"/>
        <v>1952</v>
      </c>
    </row>
    <row r="1560" spans="2:25">
      <c r="B1560" t="s">
        <v>26</v>
      </c>
      <c r="C1560" t="s">
        <v>7427</v>
      </c>
      <c r="D1560" t="s">
        <v>7428</v>
      </c>
      <c r="E1560" t="s">
        <v>29</v>
      </c>
      <c r="F1560" t="s">
        <v>30</v>
      </c>
      <c r="G1560" t="s">
        <v>31</v>
      </c>
      <c r="J1560" t="s">
        <v>7427</v>
      </c>
      <c r="K1560" t="s">
        <v>1967</v>
      </c>
      <c r="L1560" t="s">
        <v>7426</v>
      </c>
      <c r="M1560" s="8">
        <v>0.0555</v>
      </c>
      <c r="N1560">
        <v>145.23264029167</v>
      </c>
      <c r="O1560">
        <v>1952</v>
      </c>
      <c r="P1560" s="9">
        <v>0.152</v>
      </c>
      <c r="Q1560" t="s">
        <v>1277</v>
      </c>
      <c r="T1560" s="15" t="s">
        <v>54</v>
      </c>
      <c r="W1560" s="16" t="str">
        <f t="shared" si="143"/>
        <v>EN_WON_15_c04_MWI</v>
      </c>
      <c r="X1560" s="12">
        <f t="shared" si="144"/>
        <v>1952</v>
      </c>
      <c r="Y1560" s="11">
        <f t="shared" si="145"/>
        <v>1952</v>
      </c>
    </row>
    <row r="1561" spans="2:25">
      <c r="B1561" t="s">
        <v>26</v>
      </c>
      <c r="C1561" t="s">
        <v>7429</v>
      </c>
      <c r="D1561" t="s">
        <v>7430</v>
      </c>
      <c r="E1561" t="s">
        <v>29</v>
      </c>
      <c r="F1561" t="s">
        <v>30</v>
      </c>
      <c r="G1561" t="s">
        <v>31</v>
      </c>
      <c r="J1561" t="s">
        <v>7429</v>
      </c>
      <c r="K1561" t="s">
        <v>1967</v>
      </c>
      <c r="L1561" t="s">
        <v>7426</v>
      </c>
      <c r="M1561" s="8">
        <v>0.0165</v>
      </c>
      <c r="N1561">
        <v>80.7856561622413</v>
      </c>
      <c r="O1561">
        <v>1952</v>
      </c>
      <c r="P1561" s="9">
        <v>0.163</v>
      </c>
      <c r="Q1561" t="s">
        <v>1277</v>
      </c>
      <c r="T1561" s="15" t="s">
        <v>54</v>
      </c>
      <c r="W1561" s="16" t="str">
        <f t="shared" si="143"/>
        <v>EN_WON_16_c02_MWI</v>
      </c>
      <c r="X1561" s="12">
        <f t="shared" si="144"/>
        <v>1952</v>
      </c>
      <c r="Y1561" s="11">
        <f t="shared" si="145"/>
        <v>1952</v>
      </c>
    </row>
    <row r="1562" spans="2:25">
      <c r="B1562" t="s">
        <v>26</v>
      </c>
      <c r="C1562" t="s">
        <v>7431</v>
      </c>
      <c r="D1562" t="s">
        <v>7432</v>
      </c>
      <c r="E1562" t="s">
        <v>29</v>
      </c>
      <c r="F1562" t="s">
        <v>30</v>
      </c>
      <c r="G1562" t="s">
        <v>31</v>
      </c>
      <c r="J1562" t="s">
        <v>7431</v>
      </c>
      <c r="K1562" t="s">
        <v>1967</v>
      </c>
      <c r="L1562" t="s">
        <v>7426</v>
      </c>
      <c r="M1562" s="8">
        <v>0.1545</v>
      </c>
      <c r="N1562">
        <v>105.747516212372</v>
      </c>
      <c r="O1562">
        <v>1952</v>
      </c>
      <c r="P1562" s="9">
        <v>0.159116504854369</v>
      </c>
      <c r="Q1562" t="s">
        <v>1277</v>
      </c>
      <c r="T1562" s="15" t="s">
        <v>54</v>
      </c>
      <c r="W1562" s="16" t="str">
        <f t="shared" si="143"/>
        <v>EN_WON_16_c03_MWI</v>
      </c>
      <c r="X1562" s="12">
        <f t="shared" si="144"/>
        <v>1952</v>
      </c>
      <c r="Y1562" s="11">
        <f t="shared" si="145"/>
        <v>1952</v>
      </c>
    </row>
    <row r="1563" spans="2:25">
      <c r="B1563" t="s">
        <v>26</v>
      </c>
      <c r="C1563" t="s">
        <v>7433</v>
      </c>
      <c r="D1563" t="s">
        <v>7434</v>
      </c>
      <c r="E1563" t="s">
        <v>29</v>
      </c>
      <c r="F1563" t="s">
        <v>30</v>
      </c>
      <c r="G1563" t="s">
        <v>31</v>
      </c>
      <c r="J1563" t="s">
        <v>7433</v>
      </c>
      <c r="K1563" t="s">
        <v>1967</v>
      </c>
      <c r="L1563" t="s">
        <v>7426</v>
      </c>
      <c r="M1563" s="8">
        <v>0.14175</v>
      </c>
      <c r="N1563">
        <v>145.23264029167</v>
      </c>
      <c r="O1563">
        <v>1952</v>
      </c>
      <c r="P1563" s="9">
        <v>0.156544973544974</v>
      </c>
      <c r="Q1563" t="s">
        <v>1277</v>
      </c>
      <c r="T1563" s="15" t="s">
        <v>54</v>
      </c>
      <c r="W1563" s="16" t="str">
        <f t="shared" si="143"/>
        <v>EN_WON_16_c04_MWI</v>
      </c>
      <c r="X1563" s="12">
        <f t="shared" si="144"/>
        <v>1952</v>
      </c>
      <c r="Y1563" s="11">
        <f t="shared" si="145"/>
        <v>1952</v>
      </c>
    </row>
    <row r="1564" spans="2:25">
      <c r="B1564" t="s">
        <v>26</v>
      </c>
      <c r="C1564" t="s">
        <v>7435</v>
      </c>
      <c r="D1564" t="s">
        <v>7436</v>
      </c>
      <c r="E1564" t="s">
        <v>29</v>
      </c>
      <c r="F1564" t="s">
        <v>30</v>
      </c>
      <c r="G1564" t="s">
        <v>31</v>
      </c>
      <c r="J1564" t="s">
        <v>7435</v>
      </c>
      <c r="K1564" t="s">
        <v>1967</v>
      </c>
      <c r="L1564" t="s">
        <v>7426</v>
      </c>
      <c r="M1564" s="8">
        <v>0.08475</v>
      </c>
      <c r="N1564">
        <v>80.7856561622413</v>
      </c>
      <c r="O1564">
        <v>1952</v>
      </c>
      <c r="P1564" s="9">
        <v>0.167230088495575</v>
      </c>
      <c r="Q1564" t="s">
        <v>1277</v>
      </c>
      <c r="T1564" s="15" t="s">
        <v>54</v>
      </c>
      <c r="W1564" s="16" t="str">
        <f t="shared" si="143"/>
        <v>EN_WON_17_c02_MWI</v>
      </c>
      <c r="X1564" s="12">
        <f t="shared" si="144"/>
        <v>1952</v>
      </c>
      <c r="Y1564" s="11">
        <f t="shared" si="145"/>
        <v>1952</v>
      </c>
    </row>
    <row r="1565" spans="2:25">
      <c r="B1565" t="s">
        <v>26</v>
      </c>
      <c r="C1565" t="s">
        <v>7437</v>
      </c>
      <c r="D1565" t="s">
        <v>7438</v>
      </c>
      <c r="E1565" t="s">
        <v>29</v>
      </c>
      <c r="F1565" t="s">
        <v>30</v>
      </c>
      <c r="G1565" t="s">
        <v>31</v>
      </c>
      <c r="J1565" t="s">
        <v>7437</v>
      </c>
      <c r="K1565" t="s">
        <v>1967</v>
      </c>
      <c r="L1565" t="s">
        <v>7426</v>
      </c>
      <c r="M1565" s="8">
        <v>0.96825</v>
      </c>
      <c r="N1565">
        <v>105.747516212372</v>
      </c>
      <c r="O1565">
        <v>1952</v>
      </c>
      <c r="P1565" s="9">
        <v>0.170920216886135</v>
      </c>
      <c r="Q1565" t="s">
        <v>1277</v>
      </c>
      <c r="T1565" s="15" t="s">
        <v>54</v>
      </c>
      <c r="W1565" s="16" t="str">
        <f t="shared" si="143"/>
        <v>EN_WON_17_c03_MWI</v>
      </c>
      <c r="X1565" s="12">
        <f t="shared" si="144"/>
        <v>1952</v>
      </c>
      <c r="Y1565" s="11">
        <f t="shared" si="145"/>
        <v>1952</v>
      </c>
    </row>
    <row r="1566" spans="2:25">
      <c r="B1566" t="s">
        <v>26</v>
      </c>
      <c r="C1566" t="s">
        <v>7439</v>
      </c>
      <c r="D1566" t="s">
        <v>7440</v>
      </c>
      <c r="E1566" t="s">
        <v>29</v>
      </c>
      <c r="F1566" t="s">
        <v>30</v>
      </c>
      <c r="G1566" t="s">
        <v>31</v>
      </c>
      <c r="J1566" t="s">
        <v>7439</v>
      </c>
      <c r="K1566" t="s">
        <v>1967</v>
      </c>
      <c r="L1566" t="s">
        <v>7426</v>
      </c>
      <c r="M1566" s="8">
        <v>1.21575</v>
      </c>
      <c r="N1566">
        <v>145.23264029167</v>
      </c>
      <c r="O1566">
        <v>1952</v>
      </c>
      <c r="P1566" s="9">
        <v>0.171201110425663</v>
      </c>
      <c r="Q1566" t="s">
        <v>1277</v>
      </c>
      <c r="T1566" s="15" t="s">
        <v>54</v>
      </c>
      <c r="W1566" s="16" t="str">
        <f t="shared" si="143"/>
        <v>EN_WON_17_c04_MWI</v>
      </c>
      <c r="X1566" s="12">
        <f t="shared" si="144"/>
        <v>1952</v>
      </c>
      <c r="Y1566" s="11">
        <f t="shared" si="145"/>
        <v>1952</v>
      </c>
    </row>
    <row r="1567" spans="2:25">
      <c r="B1567" t="s">
        <v>26</v>
      </c>
      <c r="C1567" t="s">
        <v>7441</v>
      </c>
      <c r="D1567" t="s">
        <v>7442</v>
      </c>
      <c r="E1567" t="s">
        <v>29</v>
      </c>
      <c r="F1567" t="s">
        <v>30</v>
      </c>
      <c r="G1567" t="s">
        <v>31</v>
      </c>
      <c r="J1567" t="s">
        <v>7441</v>
      </c>
      <c r="K1567" t="s">
        <v>1967</v>
      </c>
      <c r="L1567" t="s">
        <v>7426</v>
      </c>
      <c r="M1567" s="8">
        <v>0.25125</v>
      </c>
      <c r="N1567">
        <v>105.747516212372</v>
      </c>
      <c r="O1567">
        <v>1952</v>
      </c>
      <c r="P1567" s="9">
        <v>0.176</v>
      </c>
      <c r="Q1567" t="s">
        <v>1277</v>
      </c>
      <c r="T1567" s="15" t="s">
        <v>54</v>
      </c>
      <c r="W1567" s="16" t="str">
        <f t="shared" si="143"/>
        <v>EN_WON_18_c03_MWI</v>
      </c>
      <c r="X1567" s="12">
        <f t="shared" si="144"/>
        <v>1952</v>
      </c>
      <c r="Y1567" s="11">
        <f t="shared" si="145"/>
        <v>1952</v>
      </c>
    </row>
    <row r="1568" spans="2:25">
      <c r="B1568" t="s">
        <v>26</v>
      </c>
      <c r="C1568" t="s">
        <v>7443</v>
      </c>
      <c r="D1568" t="s">
        <v>7444</v>
      </c>
      <c r="E1568" t="s">
        <v>29</v>
      </c>
      <c r="F1568" t="s">
        <v>30</v>
      </c>
      <c r="G1568" t="s">
        <v>31</v>
      </c>
      <c r="J1568" t="s">
        <v>7443</v>
      </c>
      <c r="K1568" t="s">
        <v>1967</v>
      </c>
      <c r="L1568" t="s">
        <v>7426</v>
      </c>
      <c r="M1568" s="8">
        <v>0.17325</v>
      </c>
      <c r="N1568">
        <v>145.23264029167</v>
      </c>
      <c r="O1568">
        <v>1952</v>
      </c>
      <c r="P1568" s="9">
        <v>0.181264069264069</v>
      </c>
      <c r="Q1568" t="s">
        <v>1277</v>
      </c>
      <c r="T1568" s="15" t="s">
        <v>54</v>
      </c>
      <c r="W1568" s="16" t="str">
        <f t="shared" si="143"/>
        <v>EN_WON_18_c04_MWI</v>
      </c>
      <c r="X1568" s="12">
        <f t="shared" si="144"/>
        <v>1952</v>
      </c>
      <c r="Y1568" s="11">
        <f t="shared" si="145"/>
        <v>1952</v>
      </c>
    </row>
    <row r="1569" spans="2:25">
      <c r="B1569" t="s">
        <v>26</v>
      </c>
      <c r="C1569" t="s">
        <v>7445</v>
      </c>
      <c r="D1569" t="s">
        <v>7446</v>
      </c>
      <c r="E1569" t="s">
        <v>29</v>
      </c>
      <c r="F1569" t="s">
        <v>30</v>
      </c>
      <c r="G1569" t="s">
        <v>31</v>
      </c>
      <c r="J1569" t="s">
        <v>7445</v>
      </c>
      <c r="K1569" t="s">
        <v>1967</v>
      </c>
      <c r="L1569" t="s">
        <v>7426</v>
      </c>
      <c r="M1569" s="8">
        <v>0.12</v>
      </c>
      <c r="N1569">
        <v>105.747516212372</v>
      </c>
      <c r="O1569">
        <v>1952</v>
      </c>
      <c r="P1569" s="9">
        <v>0.188075</v>
      </c>
      <c r="Q1569" t="s">
        <v>1277</v>
      </c>
      <c r="T1569" s="15" t="s">
        <v>54</v>
      </c>
      <c r="W1569" s="16" t="str">
        <f t="shared" si="143"/>
        <v>EN_WON_19_c03_MWI</v>
      </c>
      <c r="X1569" s="12">
        <f t="shared" si="144"/>
        <v>1952</v>
      </c>
      <c r="Y1569" s="11">
        <f t="shared" si="145"/>
        <v>1952</v>
      </c>
    </row>
    <row r="1570" spans="2:25">
      <c r="B1570" t="s">
        <v>26</v>
      </c>
      <c r="C1570" t="s">
        <v>7447</v>
      </c>
      <c r="D1570" t="s">
        <v>7448</v>
      </c>
      <c r="E1570" t="s">
        <v>29</v>
      </c>
      <c r="F1570" t="s">
        <v>30</v>
      </c>
      <c r="G1570" t="s">
        <v>31</v>
      </c>
      <c r="J1570" t="s">
        <v>7447</v>
      </c>
      <c r="K1570" t="s">
        <v>1967</v>
      </c>
      <c r="L1570" t="s">
        <v>7426</v>
      </c>
      <c r="M1570" s="8">
        <v>0.05475</v>
      </c>
      <c r="N1570">
        <v>145.23264029167</v>
      </c>
      <c r="O1570">
        <v>1952</v>
      </c>
      <c r="P1570" s="9">
        <v>0.190808219178082</v>
      </c>
      <c r="Q1570" t="s">
        <v>1277</v>
      </c>
      <c r="T1570" s="15" t="s">
        <v>54</v>
      </c>
      <c r="W1570" s="16" t="str">
        <f t="shared" si="143"/>
        <v>EN_WON_19_c04_MWI</v>
      </c>
      <c r="X1570" s="12">
        <f t="shared" si="144"/>
        <v>1952</v>
      </c>
      <c r="Y1570" s="11">
        <f t="shared" si="145"/>
        <v>1952</v>
      </c>
    </row>
    <row r="1571" spans="2:25">
      <c r="B1571" t="s">
        <v>26</v>
      </c>
      <c r="C1571" t="s">
        <v>7449</v>
      </c>
      <c r="D1571" t="s">
        <v>7450</v>
      </c>
      <c r="E1571" t="s">
        <v>29</v>
      </c>
      <c r="F1571" t="s">
        <v>30</v>
      </c>
      <c r="G1571" t="s">
        <v>31</v>
      </c>
      <c r="J1571" t="s">
        <v>7449</v>
      </c>
      <c r="K1571" t="s">
        <v>1967</v>
      </c>
      <c r="L1571" t="s">
        <v>7426</v>
      </c>
      <c r="M1571" s="8">
        <v>0.03525</v>
      </c>
      <c r="N1571">
        <v>80.7856561622413</v>
      </c>
      <c r="O1571">
        <v>1952</v>
      </c>
      <c r="P1571" s="9">
        <v>0.196</v>
      </c>
      <c r="Q1571" t="s">
        <v>1277</v>
      </c>
      <c r="T1571" s="15" t="s">
        <v>54</v>
      </c>
      <c r="W1571" s="16" t="str">
        <f t="shared" si="143"/>
        <v>EN_WON_20_c02_MWI</v>
      </c>
      <c r="X1571" s="12">
        <f t="shared" si="144"/>
        <v>1952</v>
      </c>
      <c r="Y1571" s="11">
        <f t="shared" si="145"/>
        <v>1952</v>
      </c>
    </row>
    <row r="1572" spans="2:25">
      <c r="B1572" t="s">
        <v>26</v>
      </c>
      <c r="C1572" t="s">
        <v>7451</v>
      </c>
      <c r="D1572" t="s">
        <v>7452</v>
      </c>
      <c r="E1572" t="s">
        <v>29</v>
      </c>
      <c r="F1572" t="s">
        <v>30</v>
      </c>
      <c r="G1572" t="s">
        <v>31</v>
      </c>
      <c r="J1572" t="s">
        <v>7451</v>
      </c>
      <c r="K1572" t="s">
        <v>1967</v>
      </c>
      <c r="L1572" t="s">
        <v>7426</v>
      </c>
      <c r="M1572" s="8">
        <v>3.3345</v>
      </c>
      <c r="N1572">
        <v>105.747516212372</v>
      </c>
      <c r="O1572">
        <v>1952</v>
      </c>
      <c r="P1572" s="9">
        <v>0.201998650472335</v>
      </c>
      <c r="Q1572" t="s">
        <v>1277</v>
      </c>
      <c r="T1572" s="15" t="s">
        <v>54</v>
      </c>
      <c r="W1572" s="16" t="str">
        <f t="shared" si="143"/>
        <v>EN_WON_20_c03_MWI</v>
      </c>
      <c r="X1572" s="12">
        <f t="shared" si="144"/>
        <v>1952</v>
      </c>
      <c r="Y1572" s="11">
        <f t="shared" si="145"/>
        <v>1952</v>
      </c>
    </row>
    <row r="1573" spans="2:25">
      <c r="B1573" t="s">
        <v>26</v>
      </c>
      <c r="C1573" t="s">
        <v>7453</v>
      </c>
      <c r="D1573" t="s">
        <v>7454</v>
      </c>
      <c r="E1573" t="s">
        <v>29</v>
      </c>
      <c r="F1573" t="s">
        <v>30</v>
      </c>
      <c r="G1573" t="s">
        <v>31</v>
      </c>
      <c r="J1573" t="s">
        <v>7453</v>
      </c>
      <c r="K1573" t="s">
        <v>1967</v>
      </c>
      <c r="L1573" t="s">
        <v>7426</v>
      </c>
      <c r="M1573" s="8">
        <v>0.504</v>
      </c>
      <c r="N1573">
        <v>145.23264029167</v>
      </c>
      <c r="O1573">
        <v>1952</v>
      </c>
      <c r="P1573" s="9">
        <v>0.20096130952381</v>
      </c>
      <c r="Q1573" t="s">
        <v>1277</v>
      </c>
      <c r="T1573" s="15" t="s">
        <v>54</v>
      </c>
      <c r="W1573" s="16" t="str">
        <f t="shared" si="143"/>
        <v>EN_WON_20_c04_MWI</v>
      </c>
      <c r="X1573" s="12">
        <f t="shared" si="144"/>
        <v>1952</v>
      </c>
      <c r="Y1573" s="11">
        <f t="shared" si="145"/>
        <v>1952</v>
      </c>
    </row>
    <row r="1574" spans="2:25">
      <c r="B1574" t="s">
        <v>26</v>
      </c>
      <c r="C1574" t="s">
        <v>7455</v>
      </c>
      <c r="D1574" t="s">
        <v>7456</v>
      </c>
      <c r="E1574" t="s">
        <v>29</v>
      </c>
      <c r="F1574" t="s">
        <v>30</v>
      </c>
      <c r="G1574" t="s">
        <v>31</v>
      </c>
      <c r="J1574" t="s">
        <v>7455</v>
      </c>
      <c r="K1574" t="s">
        <v>1967</v>
      </c>
      <c r="L1574" t="s">
        <v>7426</v>
      </c>
      <c r="M1574" s="8">
        <v>0.1455</v>
      </c>
      <c r="N1574">
        <v>105.747516212372</v>
      </c>
      <c r="O1574">
        <v>1952</v>
      </c>
      <c r="P1574" s="9">
        <v>0.208</v>
      </c>
      <c r="Q1574" t="s">
        <v>1277</v>
      </c>
      <c r="T1574" s="15" t="s">
        <v>54</v>
      </c>
      <c r="W1574" s="16" t="str">
        <f t="shared" si="143"/>
        <v>EN_WON_21_c03_MWI</v>
      </c>
      <c r="X1574" s="12">
        <f t="shared" si="144"/>
        <v>1952</v>
      </c>
      <c r="Y1574" s="11">
        <f t="shared" si="145"/>
        <v>1952</v>
      </c>
    </row>
    <row r="1575" spans="2:25">
      <c r="B1575" t="s">
        <v>26</v>
      </c>
      <c r="C1575" t="s">
        <v>7457</v>
      </c>
      <c r="D1575" t="s">
        <v>7458</v>
      </c>
      <c r="E1575" t="s">
        <v>29</v>
      </c>
      <c r="F1575" t="s">
        <v>30</v>
      </c>
      <c r="G1575" t="s">
        <v>31</v>
      </c>
      <c r="J1575" t="s">
        <v>7457</v>
      </c>
      <c r="K1575" t="s">
        <v>1967</v>
      </c>
      <c r="L1575" t="s">
        <v>7426</v>
      </c>
      <c r="M1575" s="8">
        <v>0.0285</v>
      </c>
      <c r="N1575">
        <v>145.23264029167</v>
      </c>
      <c r="O1575">
        <v>1952</v>
      </c>
      <c r="P1575" s="9">
        <v>0.21</v>
      </c>
      <c r="Q1575" t="s">
        <v>1277</v>
      </c>
      <c r="T1575" s="15" t="s">
        <v>54</v>
      </c>
      <c r="W1575" s="16" t="str">
        <f t="shared" si="143"/>
        <v>EN_WON_21_c04_MWI</v>
      </c>
      <c r="X1575" s="12">
        <f t="shared" si="144"/>
        <v>1952</v>
      </c>
      <c r="Y1575" s="11">
        <f t="shared" si="145"/>
        <v>1952</v>
      </c>
    </row>
    <row r="1576" spans="2:25">
      <c r="B1576" t="s">
        <v>26</v>
      </c>
      <c r="C1576" t="s">
        <v>7459</v>
      </c>
      <c r="D1576" t="s">
        <v>7460</v>
      </c>
      <c r="E1576" t="s">
        <v>29</v>
      </c>
      <c r="F1576" t="s">
        <v>30</v>
      </c>
      <c r="G1576" t="s">
        <v>31</v>
      </c>
      <c r="J1576" t="s">
        <v>7459</v>
      </c>
      <c r="K1576" t="s">
        <v>1967</v>
      </c>
      <c r="L1576" t="s">
        <v>7426</v>
      </c>
      <c r="M1576" s="8">
        <v>0.3375</v>
      </c>
      <c r="N1576">
        <v>105.747516212372</v>
      </c>
      <c r="O1576">
        <v>1952</v>
      </c>
      <c r="P1576" s="9">
        <v>0.215</v>
      </c>
      <c r="Q1576" t="s">
        <v>1277</v>
      </c>
      <c r="T1576" s="15" t="s">
        <v>54</v>
      </c>
      <c r="W1576" s="16" t="str">
        <f t="shared" si="143"/>
        <v>EN_WON_22_c03_MWI</v>
      </c>
      <c r="X1576" s="12">
        <f t="shared" si="144"/>
        <v>1952</v>
      </c>
      <c r="Y1576" s="11">
        <f t="shared" si="145"/>
        <v>1952</v>
      </c>
    </row>
    <row r="1577" spans="2:25">
      <c r="B1577" t="s">
        <v>26</v>
      </c>
      <c r="C1577" t="s">
        <v>7461</v>
      </c>
      <c r="D1577" t="s">
        <v>7462</v>
      </c>
      <c r="E1577" t="s">
        <v>29</v>
      </c>
      <c r="F1577" t="s">
        <v>30</v>
      </c>
      <c r="G1577" t="s">
        <v>31</v>
      </c>
      <c r="J1577" t="s">
        <v>7461</v>
      </c>
      <c r="K1577" t="s">
        <v>1967</v>
      </c>
      <c r="L1577" t="s">
        <v>7426</v>
      </c>
      <c r="M1577" s="8">
        <v>0.129</v>
      </c>
      <c r="N1577">
        <v>145.23264029167</v>
      </c>
      <c r="O1577">
        <v>1952</v>
      </c>
      <c r="P1577" s="9">
        <v>0.219</v>
      </c>
      <c r="Q1577" t="s">
        <v>1277</v>
      </c>
      <c r="T1577" s="15" t="s">
        <v>54</v>
      </c>
      <c r="W1577" s="16" t="str">
        <f t="shared" si="143"/>
        <v>EN_WON_22_c04_MWI</v>
      </c>
      <c r="X1577" s="12">
        <f t="shared" si="144"/>
        <v>1952</v>
      </c>
      <c r="Y1577" s="11">
        <f t="shared" si="145"/>
        <v>1952</v>
      </c>
    </row>
    <row r="1578" spans="2:25">
      <c r="B1578" t="s">
        <v>26</v>
      </c>
      <c r="C1578" t="s">
        <v>7463</v>
      </c>
      <c r="D1578" t="s">
        <v>7464</v>
      </c>
      <c r="E1578" t="s">
        <v>29</v>
      </c>
      <c r="F1578" t="s">
        <v>30</v>
      </c>
      <c r="G1578" t="s">
        <v>31</v>
      </c>
      <c r="J1578" t="s">
        <v>7463</v>
      </c>
      <c r="K1578" t="s">
        <v>1967</v>
      </c>
      <c r="L1578" t="s">
        <v>7426</v>
      </c>
      <c r="M1578" s="8">
        <v>0.17775</v>
      </c>
      <c r="N1578">
        <v>105.747516212372</v>
      </c>
      <c r="O1578">
        <v>1952</v>
      </c>
      <c r="P1578" s="9">
        <v>0.244</v>
      </c>
      <c r="Q1578" t="s">
        <v>1277</v>
      </c>
      <c r="T1578" s="15" t="s">
        <v>54</v>
      </c>
      <c r="W1578" s="16" t="str">
        <f t="shared" si="143"/>
        <v>EN_WON_24_c03_MWI</v>
      </c>
      <c r="X1578" s="12">
        <f t="shared" si="144"/>
        <v>1952</v>
      </c>
      <c r="Y1578" s="11">
        <f t="shared" si="145"/>
        <v>1952</v>
      </c>
    </row>
    <row r="1579" spans="2:25">
      <c r="B1579" t="s">
        <v>26</v>
      </c>
      <c r="C1579" t="s">
        <v>7465</v>
      </c>
      <c r="D1579" t="s">
        <v>7466</v>
      </c>
      <c r="E1579" t="s">
        <v>29</v>
      </c>
      <c r="F1579" t="s">
        <v>30</v>
      </c>
      <c r="G1579" t="s">
        <v>31</v>
      </c>
      <c r="J1579" t="s">
        <v>7465</v>
      </c>
      <c r="K1579" t="s">
        <v>1967</v>
      </c>
      <c r="L1579" t="s">
        <v>7426</v>
      </c>
      <c r="M1579" s="8">
        <v>0.09675</v>
      </c>
      <c r="N1579">
        <v>145.23264029167</v>
      </c>
      <c r="O1579">
        <v>1952</v>
      </c>
      <c r="P1579" s="9">
        <v>0.236</v>
      </c>
      <c r="Q1579" t="s">
        <v>1277</v>
      </c>
      <c r="T1579" s="15" t="s">
        <v>54</v>
      </c>
      <c r="W1579" s="16" t="str">
        <f t="shared" si="143"/>
        <v>EN_WON_24_c04_MWI</v>
      </c>
      <c r="X1579" s="12">
        <f t="shared" si="144"/>
        <v>1952</v>
      </c>
      <c r="Y1579" s="11">
        <f t="shared" si="145"/>
        <v>1952</v>
      </c>
    </row>
    <row r="1580" spans="2:25">
      <c r="B1580" t="s">
        <v>26</v>
      </c>
      <c r="C1580" t="s">
        <v>7467</v>
      </c>
      <c r="D1580" t="s">
        <v>7468</v>
      </c>
      <c r="E1580" t="s">
        <v>29</v>
      </c>
      <c r="F1580" t="s">
        <v>30</v>
      </c>
      <c r="G1580" t="s">
        <v>31</v>
      </c>
      <c r="J1580" t="s">
        <v>7467</v>
      </c>
      <c r="K1580" t="s">
        <v>1967</v>
      </c>
      <c r="L1580" t="s">
        <v>7426</v>
      </c>
      <c r="M1580" s="8">
        <v>0.09825</v>
      </c>
      <c r="N1580">
        <v>105.747516212372</v>
      </c>
      <c r="O1580">
        <v>1952</v>
      </c>
      <c r="P1580" s="9">
        <v>0.254</v>
      </c>
      <c r="Q1580" t="s">
        <v>1277</v>
      </c>
      <c r="T1580" s="15" t="s">
        <v>54</v>
      </c>
      <c r="W1580" s="16" t="str">
        <f t="shared" si="143"/>
        <v>EN_WON_25_c03_MWI</v>
      </c>
      <c r="X1580" s="12">
        <f t="shared" si="144"/>
        <v>1952</v>
      </c>
      <c r="Y1580" s="11">
        <f t="shared" si="145"/>
        <v>1952</v>
      </c>
    </row>
    <row r="1581" spans="2:25">
      <c r="B1581" t="s">
        <v>26</v>
      </c>
      <c r="C1581" t="s">
        <v>7469</v>
      </c>
      <c r="D1581" t="s">
        <v>7470</v>
      </c>
      <c r="E1581" t="s">
        <v>29</v>
      </c>
      <c r="F1581" t="s">
        <v>30</v>
      </c>
      <c r="G1581" t="s">
        <v>31</v>
      </c>
      <c r="J1581" t="s">
        <v>7469</v>
      </c>
      <c r="K1581" t="s">
        <v>1967</v>
      </c>
      <c r="L1581" t="s">
        <v>7426</v>
      </c>
      <c r="M1581" s="8">
        <v>0.18675</v>
      </c>
      <c r="N1581">
        <v>145.23264029167</v>
      </c>
      <c r="O1581">
        <v>1952</v>
      </c>
      <c r="P1581" s="9">
        <v>0.24625702811245</v>
      </c>
      <c r="Q1581" t="s">
        <v>1277</v>
      </c>
      <c r="T1581" s="15" t="s">
        <v>54</v>
      </c>
      <c r="W1581" s="16" t="str">
        <f t="shared" si="143"/>
        <v>EN_WON_25_c04_MWI</v>
      </c>
      <c r="X1581" s="12">
        <f t="shared" si="144"/>
        <v>1952</v>
      </c>
      <c r="Y1581" s="11">
        <f t="shared" si="145"/>
        <v>1952</v>
      </c>
    </row>
    <row r="1582" spans="2:25">
      <c r="B1582" t="s">
        <v>26</v>
      </c>
      <c r="C1582" t="s">
        <v>7471</v>
      </c>
      <c r="D1582" t="s">
        <v>7472</v>
      </c>
      <c r="E1582" t="s">
        <v>29</v>
      </c>
      <c r="F1582" t="s">
        <v>30</v>
      </c>
      <c r="G1582" t="s">
        <v>31</v>
      </c>
      <c r="J1582" t="s">
        <v>7471</v>
      </c>
      <c r="K1582" t="s">
        <v>1967</v>
      </c>
      <c r="L1582" t="s">
        <v>7426</v>
      </c>
      <c r="M1582" s="8">
        <v>0.03075</v>
      </c>
      <c r="N1582">
        <v>105.747516212372</v>
      </c>
      <c r="O1582">
        <v>1952</v>
      </c>
      <c r="P1582" s="9">
        <v>0.255</v>
      </c>
      <c r="Q1582" t="s">
        <v>1277</v>
      </c>
      <c r="T1582" s="15" t="s">
        <v>54</v>
      </c>
      <c r="W1582" s="16" t="str">
        <f t="shared" si="143"/>
        <v>EN_WON_26_c03_MWI</v>
      </c>
      <c r="X1582" s="12">
        <f t="shared" si="144"/>
        <v>1952</v>
      </c>
      <c r="Y1582" s="11">
        <f t="shared" si="145"/>
        <v>1952</v>
      </c>
    </row>
    <row r="1583" spans="2:25">
      <c r="B1583" t="s">
        <v>26</v>
      </c>
      <c r="C1583" t="s">
        <v>7473</v>
      </c>
      <c r="D1583" t="s">
        <v>7474</v>
      </c>
      <c r="E1583" t="s">
        <v>29</v>
      </c>
      <c r="F1583" t="s">
        <v>30</v>
      </c>
      <c r="G1583" t="s">
        <v>31</v>
      </c>
      <c r="J1583" t="s">
        <v>7473</v>
      </c>
      <c r="K1583" t="s">
        <v>1967</v>
      </c>
      <c r="L1583" t="s">
        <v>7426</v>
      </c>
      <c r="M1583" s="8">
        <v>0.20775</v>
      </c>
      <c r="N1583">
        <v>145.23264029167</v>
      </c>
      <c r="O1583">
        <v>1952</v>
      </c>
      <c r="P1583" s="9">
        <v>0.264</v>
      </c>
      <c r="Q1583" t="s">
        <v>1277</v>
      </c>
      <c r="T1583" s="15" t="s">
        <v>54</v>
      </c>
      <c r="W1583" s="16" t="str">
        <f t="shared" si="143"/>
        <v>EN_WON_26_c04_MWI</v>
      </c>
      <c r="X1583" s="12">
        <f t="shared" si="144"/>
        <v>1952</v>
      </c>
      <c r="Y1583" s="11">
        <f t="shared" si="145"/>
        <v>1952</v>
      </c>
    </row>
    <row r="1584" spans="2:25">
      <c r="B1584" t="s">
        <v>26</v>
      </c>
      <c r="C1584" t="s">
        <v>7475</v>
      </c>
      <c r="D1584" t="s">
        <v>7476</v>
      </c>
      <c r="E1584" t="s">
        <v>29</v>
      </c>
      <c r="F1584" t="s">
        <v>30</v>
      </c>
      <c r="G1584" t="s">
        <v>31</v>
      </c>
      <c r="J1584" t="s">
        <v>7475</v>
      </c>
      <c r="K1584" t="s">
        <v>1967</v>
      </c>
      <c r="L1584" t="s">
        <v>7426</v>
      </c>
      <c r="M1584" s="8">
        <v>0.7245</v>
      </c>
      <c r="N1584">
        <v>105.747516212372</v>
      </c>
      <c r="O1584">
        <v>1952</v>
      </c>
      <c r="P1584" s="9">
        <v>0.266</v>
      </c>
      <c r="Q1584" t="s">
        <v>1277</v>
      </c>
      <c r="T1584" s="15" t="s">
        <v>54</v>
      </c>
      <c r="W1584" s="16" t="str">
        <f t="shared" si="143"/>
        <v>EN_WON_27_c03_MWI</v>
      </c>
      <c r="X1584" s="12">
        <f t="shared" si="144"/>
        <v>1952</v>
      </c>
      <c r="Y1584" s="11">
        <f t="shared" si="145"/>
        <v>1952</v>
      </c>
    </row>
    <row r="1585" spans="2:25">
      <c r="B1585" t="s">
        <v>26</v>
      </c>
      <c r="C1585" t="s">
        <v>7477</v>
      </c>
      <c r="D1585" t="s">
        <v>7478</v>
      </c>
      <c r="E1585" t="s">
        <v>29</v>
      </c>
      <c r="F1585" t="s">
        <v>30</v>
      </c>
      <c r="G1585" t="s">
        <v>31</v>
      </c>
      <c r="J1585" t="s">
        <v>7477</v>
      </c>
      <c r="K1585" t="s">
        <v>1967</v>
      </c>
      <c r="L1585" t="s">
        <v>7426</v>
      </c>
      <c r="M1585" s="8">
        <v>0.04275</v>
      </c>
      <c r="N1585">
        <v>105.747516212372</v>
      </c>
      <c r="O1585">
        <v>1952</v>
      </c>
      <c r="P1585" s="9">
        <v>0.276</v>
      </c>
      <c r="Q1585" t="s">
        <v>1277</v>
      </c>
      <c r="T1585" s="15" t="s">
        <v>54</v>
      </c>
      <c r="W1585" s="16" t="str">
        <f t="shared" si="143"/>
        <v>EN_WON_28_c03_MWI</v>
      </c>
      <c r="X1585" s="12">
        <f t="shared" si="144"/>
        <v>1952</v>
      </c>
      <c r="Y1585" s="11">
        <f t="shared" si="145"/>
        <v>1952</v>
      </c>
    </row>
    <row r="1586" spans="2:25">
      <c r="B1586" t="s">
        <v>26</v>
      </c>
      <c r="C1586" t="s">
        <v>7479</v>
      </c>
      <c r="D1586" t="s">
        <v>7480</v>
      </c>
      <c r="E1586" t="s">
        <v>29</v>
      </c>
      <c r="F1586" t="s">
        <v>30</v>
      </c>
      <c r="G1586" t="s">
        <v>31</v>
      </c>
      <c r="J1586" t="s">
        <v>7479</v>
      </c>
      <c r="K1586" t="s">
        <v>1967</v>
      </c>
      <c r="L1586" t="s">
        <v>7426</v>
      </c>
      <c r="M1586" s="8">
        <v>0.26025</v>
      </c>
      <c r="N1586">
        <v>80.7856561622413</v>
      </c>
      <c r="O1586">
        <v>1952</v>
      </c>
      <c r="P1586" s="9">
        <v>0.288414985590778</v>
      </c>
      <c r="Q1586" t="s">
        <v>1277</v>
      </c>
      <c r="T1586" s="15" t="s">
        <v>54</v>
      </c>
      <c r="W1586" s="16" t="str">
        <f t="shared" si="143"/>
        <v>EN_WON_29_c02_MWI</v>
      </c>
      <c r="X1586" s="12">
        <f t="shared" si="144"/>
        <v>1952</v>
      </c>
      <c r="Y1586" s="11">
        <f t="shared" si="145"/>
        <v>1952</v>
      </c>
    </row>
    <row r="1587" spans="2:25">
      <c r="B1587" t="s">
        <v>26</v>
      </c>
      <c r="C1587" t="s">
        <v>7481</v>
      </c>
      <c r="D1587" t="s">
        <v>7482</v>
      </c>
      <c r="E1587" t="s">
        <v>29</v>
      </c>
      <c r="F1587" t="s">
        <v>30</v>
      </c>
      <c r="G1587" t="s">
        <v>31</v>
      </c>
      <c r="J1587" t="s">
        <v>7481</v>
      </c>
      <c r="K1587" t="s">
        <v>1967</v>
      </c>
      <c r="L1587" t="s">
        <v>7426</v>
      </c>
      <c r="M1587" s="8">
        <v>0.23475</v>
      </c>
      <c r="N1587">
        <v>80.7856561622413</v>
      </c>
      <c r="O1587">
        <v>1952</v>
      </c>
      <c r="P1587" s="9">
        <v>0.296</v>
      </c>
      <c r="Q1587" t="s">
        <v>1277</v>
      </c>
      <c r="T1587" s="15" t="s">
        <v>54</v>
      </c>
      <c r="W1587" s="16" t="str">
        <f t="shared" si="143"/>
        <v>EN_WON_30_c02_MWI</v>
      </c>
      <c r="X1587" s="12">
        <f t="shared" si="144"/>
        <v>1952</v>
      </c>
      <c r="Y1587" s="11">
        <f t="shared" si="145"/>
        <v>1952</v>
      </c>
    </row>
    <row r="1588" spans="2:25">
      <c r="B1588" t="s">
        <v>26</v>
      </c>
      <c r="C1588" t="s">
        <v>7483</v>
      </c>
      <c r="D1588" t="s">
        <v>7484</v>
      </c>
      <c r="E1588" t="s">
        <v>29</v>
      </c>
      <c r="F1588" t="s">
        <v>30</v>
      </c>
      <c r="G1588" t="s">
        <v>31</v>
      </c>
      <c r="J1588" t="s">
        <v>7483</v>
      </c>
      <c r="K1588" t="s">
        <v>1967</v>
      </c>
      <c r="L1588" t="s">
        <v>7426</v>
      </c>
      <c r="M1588" s="8">
        <v>0.012</v>
      </c>
      <c r="N1588">
        <v>80.7856561622413</v>
      </c>
      <c r="O1588">
        <v>1952</v>
      </c>
      <c r="P1588" s="9">
        <v>0.366</v>
      </c>
      <c r="Q1588" t="s">
        <v>1277</v>
      </c>
      <c r="T1588" s="15" t="s">
        <v>54</v>
      </c>
      <c r="W1588" s="16" t="str">
        <f t="shared" si="143"/>
        <v>EN_WON_37_c02_MWI</v>
      </c>
      <c r="X1588" s="12">
        <f t="shared" si="144"/>
        <v>1952</v>
      </c>
      <c r="Y1588" s="11">
        <f t="shared" si="145"/>
        <v>1952</v>
      </c>
    </row>
    <row r="1589" spans="2:25">
      <c r="B1589" t="s">
        <v>26</v>
      </c>
      <c r="C1589" t="s">
        <v>7485</v>
      </c>
      <c r="D1589" t="s">
        <v>7486</v>
      </c>
      <c r="E1589" t="s">
        <v>29</v>
      </c>
      <c r="F1589" t="s">
        <v>30</v>
      </c>
      <c r="G1589" t="s">
        <v>31</v>
      </c>
      <c r="J1589" t="s">
        <v>7485</v>
      </c>
      <c r="K1589" t="s">
        <v>1967</v>
      </c>
      <c r="L1589" t="s">
        <v>4779</v>
      </c>
      <c r="M1589" s="8">
        <v>4.6875</v>
      </c>
      <c r="N1589">
        <v>80.7856561622413</v>
      </c>
      <c r="O1589">
        <v>1952</v>
      </c>
      <c r="P1589" s="9">
        <v>0.44</v>
      </c>
      <c r="Q1589" t="s">
        <v>1313</v>
      </c>
      <c r="T1589" s="15" t="s">
        <v>54</v>
      </c>
      <c r="W1589" s="16" t="str">
        <f t="shared" si="143"/>
        <v>EN_WON_44_c02_NAM</v>
      </c>
      <c r="X1589" s="12">
        <f t="shared" si="144"/>
        <v>1952</v>
      </c>
      <c r="Y1589" s="11">
        <f t="shared" si="145"/>
        <v>1952</v>
      </c>
    </row>
    <row r="1590" spans="2:25">
      <c r="B1590" t="s">
        <v>26</v>
      </c>
      <c r="C1590" t="s">
        <v>7487</v>
      </c>
      <c r="D1590" t="s">
        <v>7488</v>
      </c>
      <c r="E1590" t="s">
        <v>29</v>
      </c>
      <c r="F1590" t="s">
        <v>30</v>
      </c>
      <c r="G1590" t="s">
        <v>31</v>
      </c>
      <c r="J1590" t="s">
        <v>7487</v>
      </c>
      <c r="K1590" t="s">
        <v>1967</v>
      </c>
      <c r="L1590" t="s">
        <v>4779</v>
      </c>
      <c r="M1590" s="8">
        <v>1.062</v>
      </c>
      <c r="N1590">
        <v>0</v>
      </c>
      <c r="O1590">
        <v>1952</v>
      </c>
      <c r="P1590" s="9">
        <v>0.482</v>
      </c>
      <c r="Q1590" t="s">
        <v>1313</v>
      </c>
      <c r="T1590" s="15" t="s">
        <v>54</v>
      </c>
      <c r="W1590" s="16" t="str">
        <f t="shared" si="143"/>
        <v>EN_WON_48_c01_NAM</v>
      </c>
      <c r="X1590" s="12">
        <f t="shared" si="144"/>
        <v>1952</v>
      </c>
      <c r="Y1590" s="11">
        <f t="shared" si="145"/>
        <v>1952</v>
      </c>
    </row>
    <row r="1591" spans="2:25">
      <c r="B1591" t="s">
        <v>26</v>
      </c>
      <c r="C1591" t="s">
        <v>7489</v>
      </c>
      <c r="D1591" t="s">
        <v>7490</v>
      </c>
      <c r="E1591" t="s">
        <v>29</v>
      </c>
      <c r="F1591" t="s">
        <v>30</v>
      </c>
      <c r="G1591" t="s">
        <v>31</v>
      </c>
      <c r="J1591" t="s">
        <v>7489</v>
      </c>
      <c r="K1591" t="s">
        <v>1967</v>
      </c>
      <c r="L1591" t="s">
        <v>4779</v>
      </c>
      <c r="M1591" s="8">
        <v>1.28475</v>
      </c>
      <c r="N1591">
        <v>0</v>
      </c>
      <c r="O1591">
        <v>1952</v>
      </c>
      <c r="P1591" s="9">
        <v>0.528</v>
      </c>
      <c r="Q1591" t="s">
        <v>1313</v>
      </c>
      <c r="T1591" s="15" t="s">
        <v>54</v>
      </c>
      <c r="W1591" s="16" t="str">
        <f t="shared" si="143"/>
        <v>EN_WON_53_c01_NAM</v>
      </c>
      <c r="X1591" s="12">
        <f t="shared" si="144"/>
        <v>1952</v>
      </c>
      <c r="Y1591" s="11">
        <f t="shared" si="145"/>
        <v>1952</v>
      </c>
    </row>
    <row r="1592" spans="2:25">
      <c r="B1592" t="s">
        <v>26</v>
      </c>
      <c r="C1592" t="s">
        <v>7491</v>
      </c>
      <c r="D1592" t="s">
        <v>7492</v>
      </c>
      <c r="E1592" t="s">
        <v>29</v>
      </c>
      <c r="F1592" t="s">
        <v>30</v>
      </c>
      <c r="G1592" t="s">
        <v>31</v>
      </c>
      <c r="J1592" t="s">
        <v>7491</v>
      </c>
      <c r="K1592" t="s">
        <v>1967</v>
      </c>
      <c r="L1592" t="s">
        <v>7493</v>
      </c>
      <c r="M1592" s="8">
        <v>5.80575</v>
      </c>
      <c r="N1592">
        <v>105.747516212372</v>
      </c>
      <c r="O1592">
        <v>1952</v>
      </c>
      <c r="P1592" s="9">
        <v>0.521</v>
      </c>
      <c r="Q1592" t="s">
        <v>1317</v>
      </c>
      <c r="T1592" s="15" t="s">
        <v>54</v>
      </c>
      <c r="W1592" s="16" t="str">
        <f t="shared" si="143"/>
        <v>EN_WON_52_c03_NER</v>
      </c>
      <c r="X1592" s="12">
        <f t="shared" si="144"/>
        <v>1952</v>
      </c>
      <c r="Y1592" s="11">
        <f t="shared" si="145"/>
        <v>1952</v>
      </c>
    </row>
    <row r="1593" spans="2:25">
      <c r="B1593" t="s">
        <v>26</v>
      </c>
      <c r="C1593" t="s">
        <v>7494</v>
      </c>
      <c r="D1593" t="s">
        <v>7495</v>
      </c>
      <c r="E1593" t="s">
        <v>29</v>
      </c>
      <c r="F1593" t="s">
        <v>30</v>
      </c>
      <c r="G1593" t="s">
        <v>31</v>
      </c>
      <c r="J1593" t="s">
        <v>7494</v>
      </c>
      <c r="K1593" t="s">
        <v>1967</v>
      </c>
      <c r="L1593" t="s">
        <v>7493</v>
      </c>
      <c r="M1593" s="8">
        <v>5.79375</v>
      </c>
      <c r="N1593">
        <v>80.7856561622413</v>
      </c>
      <c r="O1593">
        <v>1952</v>
      </c>
      <c r="P1593" s="9">
        <v>0.528</v>
      </c>
      <c r="Q1593" t="s">
        <v>1317</v>
      </c>
      <c r="T1593" s="15" t="s">
        <v>54</v>
      </c>
      <c r="W1593" s="16" t="str">
        <f t="shared" si="143"/>
        <v>EN_WON_53_c02_NER</v>
      </c>
      <c r="X1593" s="12">
        <f t="shared" si="144"/>
        <v>1952</v>
      </c>
      <c r="Y1593" s="11">
        <f t="shared" si="145"/>
        <v>1952</v>
      </c>
    </row>
    <row r="1594" spans="2:25">
      <c r="B1594" t="s">
        <v>26</v>
      </c>
      <c r="C1594" t="s">
        <v>7496</v>
      </c>
      <c r="D1594" t="s">
        <v>7497</v>
      </c>
      <c r="E1594" t="s">
        <v>29</v>
      </c>
      <c r="F1594" t="s">
        <v>30</v>
      </c>
      <c r="G1594" t="s">
        <v>31</v>
      </c>
      <c r="J1594" t="s">
        <v>7496</v>
      </c>
      <c r="K1594" t="s">
        <v>1967</v>
      </c>
      <c r="L1594" t="s">
        <v>7493</v>
      </c>
      <c r="M1594" s="8">
        <v>5.73825</v>
      </c>
      <c r="N1594">
        <v>80.7856561622413</v>
      </c>
      <c r="O1594">
        <v>1952</v>
      </c>
      <c r="P1594" s="9">
        <v>0.544</v>
      </c>
      <c r="Q1594" t="s">
        <v>1317</v>
      </c>
      <c r="T1594" s="15" t="s">
        <v>54</v>
      </c>
      <c r="W1594" s="16" t="str">
        <f t="shared" si="143"/>
        <v>EN_WON_54_c02_NER</v>
      </c>
      <c r="X1594" s="12">
        <f t="shared" si="144"/>
        <v>1952</v>
      </c>
      <c r="Y1594" s="11">
        <f t="shared" si="145"/>
        <v>1952</v>
      </c>
    </row>
    <row r="1595" spans="2:25">
      <c r="B1595" t="s">
        <v>26</v>
      </c>
      <c r="C1595" t="s">
        <v>7498</v>
      </c>
      <c r="D1595" t="s">
        <v>7499</v>
      </c>
      <c r="E1595" t="s">
        <v>29</v>
      </c>
      <c r="F1595" t="s">
        <v>30</v>
      </c>
      <c r="G1595" t="s">
        <v>31</v>
      </c>
      <c r="J1595" t="s">
        <v>7498</v>
      </c>
      <c r="K1595" t="s">
        <v>1967</v>
      </c>
      <c r="L1595" t="s">
        <v>7500</v>
      </c>
      <c r="M1595" s="8">
        <v>33.05475</v>
      </c>
      <c r="N1595">
        <v>80.7856561622413</v>
      </c>
      <c r="O1595">
        <v>1952</v>
      </c>
      <c r="P1595" s="9">
        <v>0.200030041068228</v>
      </c>
      <c r="Q1595" t="s">
        <v>1323</v>
      </c>
      <c r="T1595" s="15" t="s">
        <v>54</v>
      </c>
      <c r="W1595" s="16" t="str">
        <f t="shared" si="143"/>
        <v>EN_WON_20_c02_NGA</v>
      </c>
      <c r="X1595" s="12">
        <f t="shared" si="144"/>
        <v>1952</v>
      </c>
      <c r="Y1595" s="11">
        <f t="shared" si="145"/>
        <v>1952</v>
      </c>
    </row>
    <row r="1596" spans="2:25">
      <c r="B1596" t="s">
        <v>26</v>
      </c>
      <c r="C1596" t="s">
        <v>7501</v>
      </c>
      <c r="D1596" t="s">
        <v>7502</v>
      </c>
      <c r="E1596" t="s">
        <v>29</v>
      </c>
      <c r="F1596" t="s">
        <v>30</v>
      </c>
      <c r="G1596" t="s">
        <v>31</v>
      </c>
      <c r="J1596" t="s">
        <v>7501</v>
      </c>
      <c r="K1596" t="s">
        <v>1967</v>
      </c>
      <c r="L1596" t="s">
        <v>7500</v>
      </c>
      <c r="M1596" s="8">
        <v>2.60625</v>
      </c>
      <c r="N1596">
        <v>145.23264029167</v>
      </c>
      <c r="O1596">
        <v>1952</v>
      </c>
      <c r="P1596" s="9">
        <v>0.202</v>
      </c>
      <c r="Q1596" t="s">
        <v>1323</v>
      </c>
      <c r="T1596" s="15" t="s">
        <v>54</v>
      </c>
      <c r="W1596" s="16" t="str">
        <f t="shared" si="143"/>
        <v>EN_WON_20_c04_NGA</v>
      </c>
      <c r="X1596" s="12">
        <f t="shared" si="144"/>
        <v>1952</v>
      </c>
      <c r="Y1596" s="11">
        <f t="shared" si="145"/>
        <v>1952</v>
      </c>
    </row>
    <row r="1597" spans="2:25">
      <c r="B1597" t="s">
        <v>26</v>
      </c>
      <c r="C1597" t="s">
        <v>7503</v>
      </c>
      <c r="D1597" t="s">
        <v>7504</v>
      </c>
      <c r="E1597" t="s">
        <v>29</v>
      </c>
      <c r="F1597" t="s">
        <v>30</v>
      </c>
      <c r="G1597" t="s">
        <v>31</v>
      </c>
      <c r="J1597" t="s">
        <v>7503</v>
      </c>
      <c r="K1597" t="s">
        <v>1967</v>
      </c>
      <c r="L1597" t="s">
        <v>7500</v>
      </c>
      <c r="M1597" s="8">
        <v>32.679</v>
      </c>
      <c r="N1597">
        <v>80.7856561622413</v>
      </c>
      <c r="O1597">
        <v>1952</v>
      </c>
      <c r="P1597" s="9">
        <v>0.209681423850179</v>
      </c>
      <c r="Q1597" t="s">
        <v>1323</v>
      </c>
      <c r="T1597" s="15" t="s">
        <v>54</v>
      </c>
      <c r="W1597" s="16" t="str">
        <f t="shared" si="143"/>
        <v>EN_WON_21_c02_NGA</v>
      </c>
      <c r="X1597" s="12">
        <f t="shared" si="144"/>
        <v>1952</v>
      </c>
      <c r="Y1597" s="11">
        <f t="shared" si="145"/>
        <v>1952</v>
      </c>
    </row>
    <row r="1598" spans="2:25">
      <c r="B1598" t="s">
        <v>26</v>
      </c>
      <c r="C1598" t="s">
        <v>7505</v>
      </c>
      <c r="D1598" t="s">
        <v>7506</v>
      </c>
      <c r="E1598" t="s">
        <v>29</v>
      </c>
      <c r="F1598" t="s">
        <v>30</v>
      </c>
      <c r="G1598" t="s">
        <v>31</v>
      </c>
      <c r="J1598" t="s">
        <v>7505</v>
      </c>
      <c r="K1598" t="s">
        <v>1967</v>
      </c>
      <c r="L1598" t="s">
        <v>7500</v>
      </c>
      <c r="M1598" s="8">
        <v>8.697</v>
      </c>
      <c r="N1598">
        <v>105.747516212372</v>
      </c>
      <c r="O1598">
        <v>1952</v>
      </c>
      <c r="P1598" s="9">
        <v>0.208847533632287</v>
      </c>
      <c r="Q1598" t="s">
        <v>1323</v>
      </c>
      <c r="T1598" s="15" t="s">
        <v>54</v>
      </c>
      <c r="W1598" s="16" t="str">
        <f t="shared" si="143"/>
        <v>EN_WON_21_c03_NGA</v>
      </c>
      <c r="X1598" s="12">
        <f t="shared" si="144"/>
        <v>1952</v>
      </c>
      <c r="Y1598" s="11">
        <f t="shared" si="145"/>
        <v>1952</v>
      </c>
    </row>
    <row r="1599" spans="2:25">
      <c r="B1599" t="s">
        <v>26</v>
      </c>
      <c r="C1599" t="s">
        <v>7507</v>
      </c>
      <c r="D1599" t="s">
        <v>7508</v>
      </c>
      <c r="E1599" t="s">
        <v>29</v>
      </c>
      <c r="F1599" t="s">
        <v>30</v>
      </c>
      <c r="G1599" t="s">
        <v>31</v>
      </c>
      <c r="J1599" t="s">
        <v>7507</v>
      </c>
      <c r="K1599" t="s">
        <v>1967</v>
      </c>
      <c r="L1599" t="s">
        <v>7500</v>
      </c>
      <c r="M1599" s="8">
        <v>2.802</v>
      </c>
      <c r="N1599">
        <v>145.23264029167</v>
      </c>
      <c r="O1599">
        <v>1952</v>
      </c>
      <c r="P1599" s="9">
        <v>0.214</v>
      </c>
      <c r="Q1599" t="s">
        <v>1323</v>
      </c>
      <c r="T1599" s="15" t="s">
        <v>54</v>
      </c>
      <c r="W1599" s="16" t="str">
        <f t="shared" si="143"/>
        <v>EN_WON_21_c04_NGA</v>
      </c>
      <c r="X1599" s="12">
        <f t="shared" si="144"/>
        <v>1952</v>
      </c>
      <c r="Y1599" s="11">
        <f t="shared" si="145"/>
        <v>1952</v>
      </c>
    </row>
    <row r="1600" spans="2:25">
      <c r="B1600" t="s">
        <v>26</v>
      </c>
      <c r="C1600" t="s">
        <v>7509</v>
      </c>
      <c r="D1600" t="s">
        <v>7510</v>
      </c>
      <c r="E1600" t="s">
        <v>29</v>
      </c>
      <c r="F1600" t="s">
        <v>30</v>
      </c>
      <c r="G1600" t="s">
        <v>31</v>
      </c>
      <c r="J1600" t="s">
        <v>7509</v>
      </c>
      <c r="K1600" t="s">
        <v>1967</v>
      </c>
      <c r="L1600" t="s">
        <v>7500</v>
      </c>
      <c r="M1600" s="8">
        <v>21.9225</v>
      </c>
      <c r="N1600">
        <v>80.7856561622413</v>
      </c>
      <c r="O1600">
        <v>1952</v>
      </c>
      <c r="P1600" s="9">
        <v>0.218657509408142</v>
      </c>
      <c r="Q1600" t="s">
        <v>1323</v>
      </c>
      <c r="T1600" s="15" t="s">
        <v>54</v>
      </c>
      <c r="W1600" s="16" t="str">
        <f t="shared" si="143"/>
        <v>EN_WON_22_c02_NGA</v>
      </c>
      <c r="X1600" s="12">
        <f t="shared" si="144"/>
        <v>1952</v>
      </c>
      <c r="Y1600" s="11">
        <f t="shared" si="145"/>
        <v>1952</v>
      </c>
    </row>
    <row r="1601" spans="2:25">
      <c r="B1601" t="s">
        <v>26</v>
      </c>
      <c r="C1601" t="s">
        <v>7511</v>
      </c>
      <c r="D1601" t="s">
        <v>7512</v>
      </c>
      <c r="E1601" t="s">
        <v>29</v>
      </c>
      <c r="F1601" t="s">
        <v>30</v>
      </c>
      <c r="G1601" t="s">
        <v>31</v>
      </c>
      <c r="J1601" t="s">
        <v>7511</v>
      </c>
      <c r="K1601" t="s">
        <v>1967</v>
      </c>
      <c r="L1601" t="s">
        <v>7500</v>
      </c>
      <c r="M1601" s="8">
        <v>10.15725</v>
      </c>
      <c r="N1601">
        <v>105.747516212372</v>
      </c>
      <c r="O1601">
        <v>1952</v>
      </c>
      <c r="P1601" s="9">
        <v>0.219604371261907</v>
      </c>
      <c r="Q1601" t="s">
        <v>1323</v>
      </c>
      <c r="T1601" s="15" t="s">
        <v>54</v>
      </c>
      <c r="W1601" s="16" t="str">
        <f t="shared" si="143"/>
        <v>EN_WON_22_c03_NGA</v>
      </c>
      <c r="X1601" s="12">
        <f t="shared" si="144"/>
        <v>1952</v>
      </c>
      <c r="Y1601" s="11">
        <f t="shared" si="145"/>
        <v>1952</v>
      </c>
    </row>
    <row r="1602" spans="2:25">
      <c r="B1602" t="s">
        <v>26</v>
      </c>
      <c r="C1602" t="s">
        <v>7513</v>
      </c>
      <c r="D1602" t="s">
        <v>7514</v>
      </c>
      <c r="E1602" t="s">
        <v>29</v>
      </c>
      <c r="F1602" t="s">
        <v>30</v>
      </c>
      <c r="G1602" t="s">
        <v>31</v>
      </c>
      <c r="J1602" t="s">
        <v>7513</v>
      </c>
      <c r="K1602" t="s">
        <v>1967</v>
      </c>
      <c r="L1602" t="s">
        <v>7500</v>
      </c>
      <c r="M1602" s="8">
        <v>1.8495</v>
      </c>
      <c r="N1602">
        <v>0</v>
      </c>
      <c r="O1602">
        <v>1952</v>
      </c>
      <c r="P1602" s="9">
        <v>0.231</v>
      </c>
      <c r="Q1602" t="s">
        <v>1323</v>
      </c>
      <c r="T1602" s="15" t="s">
        <v>54</v>
      </c>
      <c r="W1602" s="16" t="str">
        <f t="shared" si="143"/>
        <v>EN_WON_23_c01_NGA</v>
      </c>
      <c r="X1602" s="12">
        <f t="shared" si="144"/>
        <v>1952</v>
      </c>
      <c r="Y1602" s="11">
        <f t="shared" si="145"/>
        <v>1952</v>
      </c>
    </row>
    <row r="1603" spans="2:25">
      <c r="B1603" t="s">
        <v>26</v>
      </c>
      <c r="C1603" t="s">
        <v>7515</v>
      </c>
      <c r="D1603" t="s">
        <v>7516</v>
      </c>
      <c r="E1603" t="s">
        <v>29</v>
      </c>
      <c r="F1603" t="s">
        <v>30</v>
      </c>
      <c r="G1603" t="s">
        <v>31</v>
      </c>
      <c r="J1603" t="s">
        <v>7515</v>
      </c>
      <c r="K1603" t="s">
        <v>1967</v>
      </c>
      <c r="L1603" t="s">
        <v>7500</v>
      </c>
      <c r="M1603" s="8">
        <v>14.48625</v>
      </c>
      <c r="N1603">
        <v>80.7856561622413</v>
      </c>
      <c r="O1603">
        <v>1952</v>
      </c>
      <c r="P1603" s="9">
        <v>0.22968009319182</v>
      </c>
      <c r="Q1603" t="s">
        <v>1323</v>
      </c>
      <c r="T1603" s="15" t="s">
        <v>54</v>
      </c>
      <c r="W1603" s="16" t="str">
        <f t="shared" si="143"/>
        <v>EN_WON_23_c02_NGA</v>
      </c>
      <c r="X1603" s="12">
        <f t="shared" si="144"/>
        <v>1952</v>
      </c>
      <c r="Y1603" s="11">
        <f t="shared" si="145"/>
        <v>1952</v>
      </c>
    </row>
    <row r="1604" spans="2:25">
      <c r="B1604" t="s">
        <v>26</v>
      </c>
      <c r="C1604" t="s">
        <v>7517</v>
      </c>
      <c r="D1604" t="s">
        <v>7518</v>
      </c>
      <c r="E1604" t="s">
        <v>29</v>
      </c>
      <c r="F1604" t="s">
        <v>30</v>
      </c>
      <c r="G1604" t="s">
        <v>31</v>
      </c>
      <c r="J1604" t="s">
        <v>7517</v>
      </c>
      <c r="K1604" t="s">
        <v>1967</v>
      </c>
      <c r="L1604" t="s">
        <v>7500</v>
      </c>
      <c r="M1604" s="8">
        <v>9.63675</v>
      </c>
      <c r="N1604">
        <v>105.747516212372</v>
      </c>
      <c r="O1604">
        <v>1952</v>
      </c>
      <c r="P1604" s="9">
        <v>0.231117518873064</v>
      </c>
      <c r="Q1604" t="s">
        <v>1323</v>
      </c>
      <c r="T1604" s="15" t="s">
        <v>54</v>
      </c>
      <c r="W1604" s="16" t="str">
        <f t="shared" si="143"/>
        <v>EN_WON_23_c03_NGA</v>
      </c>
      <c r="X1604" s="12">
        <f t="shared" si="144"/>
        <v>1952</v>
      </c>
      <c r="Y1604" s="11">
        <f t="shared" si="145"/>
        <v>1952</v>
      </c>
    </row>
    <row r="1605" spans="2:25">
      <c r="B1605" t="s">
        <v>26</v>
      </c>
      <c r="C1605" t="s">
        <v>7519</v>
      </c>
      <c r="D1605" t="s">
        <v>7520</v>
      </c>
      <c r="E1605" t="s">
        <v>29</v>
      </c>
      <c r="F1605" t="s">
        <v>30</v>
      </c>
      <c r="G1605" t="s">
        <v>31</v>
      </c>
      <c r="J1605" t="s">
        <v>7519</v>
      </c>
      <c r="K1605" t="s">
        <v>1967</v>
      </c>
      <c r="L1605" t="s">
        <v>7500</v>
      </c>
      <c r="M1605" s="8">
        <v>3.13575</v>
      </c>
      <c r="N1605">
        <v>145.23264029167</v>
      </c>
      <c r="O1605">
        <v>1952</v>
      </c>
      <c r="P1605" s="9">
        <v>0.231308777804353</v>
      </c>
      <c r="Q1605" t="s">
        <v>1323</v>
      </c>
      <c r="T1605" s="15" t="s">
        <v>54</v>
      </c>
      <c r="W1605" s="16" t="str">
        <f t="shared" si="143"/>
        <v>EN_WON_23_c04_NGA</v>
      </c>
      <c r="X1605" s="12">
        <f t="shared" si="144"/>
        <v>1952</v>
      </c>
      <c r="Y1605" s="11">
        <f t="shared" si="145"/>
        <v>1952</v>
      </c>
    </row>
    <row r="1606" spans="2:25">
      <c r="B1606" t="s">
        <v>26</v>
      </c>
      <c r="C1606" t="s">
        <v>7521</v>
      </c>
      <c r="D1606" t="s">
        <v>7522</v>
      </c>
      <c r="E1606" t="s">
        <v>29</v>
      </c>
      <c r="F1606" t="s">
        <v>30</v>
      </c>
      <c r="G1606" t="s">
        <v>31</v>
      </c>
      <c r="J1606" t="s">
        <v>7521</v>
      </c>
      <c r="K1606" t="s">
        <v>1967</v>
      </c>
      <c r="L1606" t="s">
        <v>7500</v>
      </c>
      <c r="M1606" s="8">
        <v>9.4605</v>
      </c>
      <c r="N1606">
        <v>80.7856561622413</v>
      </c>
      <c r="O1606">
        <v>1952</v>
      </c>
      <c r="P1606" s="9">
        <v>0.240310369430791</v>
      </c>
      <c r="Q1606" t="s">
        <v>1323</v>
      </c>
      <c r="T1606" s="15" t="s">
        <v>54</v>
      </c>
      <c r="W1606" s="16" t="str">
        <f t="shared" ref="W1606:W1669" si="146">J1606</f>
        <v>EN_WON_24_c02_NGA</v>
      </c>
      <c r="X1606" s="12">
        <f t="shared" ref="X1606:X1669" si="147">O1606</f>
        <v>1952</v>
      </c>
      <c r="Y1606" s="11">
        <f t="shared" ref="Y1606:Y1669" si="148">X1606</f>
        <v>1952</v>
      </c>
    </row>
    <row r="1607" spans="2:25">
      <c r="B1607" t="s">
        <v>26</v>
      </c>
      <c r="C1607" t="s">
        <v>7523</v>
      </c>
      <c r="D1607" t="s">
        <v>7524</v>
      </c>
      <c r="E1607" t="s">
        <v>29</v>
      </c>
      <c r="F1607" t="s">
        <v>30</v>
      </c>
      <c r="G1607" t="s">
        <v>31</v>
      </c>
      <c r="J1607" t="s">
        <v>7523</v>
      </c>
      <c r="K1607" t="s">
        <v>1967</v>
      </c>
      <c r="L1607" t="s">
        <v>7500</v>
      </c>
      <c r="M1607" s="8">
        <v>13.941</v>
      </c>
      <c r="N1607">
        <v>105.747516212372</v>
      </c>
      <c r="O1607">
        <v>1952</v>
      </c>
      <c r="P1607" s="9">
        <v>0.240017054013342</v>
      </c>
      <c r="Q1607" t="s">
        <v>1323</v>
      </c>
      <c r="T1607" s="15" t="s">
        <v>54</v>
      </c>
      <c r="W1607" s="16" t="str">
        <f t="shared" si="146"/>
        <v>EN_WON_24_c03_NGA</v>
      </c>
      <c r="X1607" s="12">
        <f t="shared" si="147"/>
        <v>1952</v>
      </c>
      <c r="Y1607" s="11">
        <f t="shared" si="148"/>
        <v>1952</v>
      </c>
    </row>
    <row r="1608" spans="2:25">
      <c r="B1608" t="s">
        <v>26</v>
      </c>
      <c r="C1608" t="s">
        <v>7525</v>
      </c>
      <c r="D1608" t="s">
        <v>7526</v>
      </c>
      <c r="E1608" t="s">
        <v>29</v>
      </c>
      <c r="F1608" t="s">
        <v>30</v>
      </c>
      <c r="G1608" t="s">
        <v>31</v>
      </c>
      <c r="J1608" t="s">
        <v>7525</v>
      </c>
      <c r="K1608" t="s">
        <v>1967</v>
      </c>
      <c r="L1608" t="s">
        <v>7500</v>
      </c>
      <c r="M1608" s="8">
        <v>2.04825</v>
      </c>
      <c r="N1608">
        <v>0</v>
      </c>
      <c r="O1608">
        <v>1952</v>
      </c>
      <c r="P1608" s="9">
        <v>0.251</v>
      </c>
      <c r="Q1608" t="s">
        <v>1323</v>
      </c>
      <c r="T1608" s="15" t="s">
        <v>54</v>
      </c>
      <c r="W1608" s="16" t="str">
        <f t="shared" si="146"/>
        <v>EN_WON_25_c01_NGA</v>
      </c>
      <c r="X1608" s="12">
        <f t="shared" si="147"/>
        <v>1952</v>
      </c>
      <c r="Y1608" s="11">
        <f t="shared" si="148"/>
        <v>1952</v>
      </c>
    </row>
    <row r="1609" spans="2:25">
      <c r="B1609" t="s">
        <v>26</v>
      </c>
      <c r="C1609" t="s">
        <v>7527</v>
      </c>
      <c r="D1609" t="s">
        <v>7528</v>
      </c>
      <c r="E1609" t="s">
        <v>29</v>
      </c>
      <c r="F1609" t="s">
        <v>30</v>
      </c>
      <c r="G1609" t="s">
        <v>31</v>
      </c>
      <c r="J1609" t="s">
        <v>7527</v>
      </c>
      <c r="K1609" t="s">
        <v>1967</v>
      </c>
      <c r="L1609" t="s">
        <v>7500</v>
      </c>
      <c r="M1609" s="8">
        <v>15.888</v>
      </c>
      <c r="N1609">
        <v>80.7856561622413</v>
      </c>
      <c r="O1609">
        <v>1952</v>
      </c>
      <c r="P1609" s="9">
        <v>0.249498961480363</v>
      </c>
      <c r="Q1609" t="s">
        <v>1323</v>
      </c>
      <c r="T1609" s="15" t="s">
        <v>54</v>
      </c>
      <c r="W1609" s="16" t="str">
        <f t="shared" si="146"/>
        <v>EN_WON_25_c02_NGA</v>
      </c>
      <c r="X1609" s="12">
        <f t="shared" si="147"/>
        <v>1952</v>
      </c>
      <c r="Y1609" s="11">
        <f t="shared" si="148"/>
        <v>1952</v>
      </c>
    </row>
    <row r="1610" spans="2:25">
      <c r="B1610" t="s">
        <v>26</v>
      </c>
      <c r="C1610" t="s">
        <v>7529</v>
      </c>
      <c r="D1610" t="s">
        <v>7530</v>
      </c>
      <c r="E1610" t="s">
        <v>29</v>
      </c>
      <c r="F1610" t="s">
        <v>30</v>
      </c>
      <c r="G1610" t="s">
        <v>31</v>
      </c>
      <c r="J1610" t="s">
        <v>7529</v>
      </c>
      <c r="K1610" t="s">
        <v>1967</v>
      </c>
      <c r="L1610" t="s">
        <v>7500</v>
      </c>
      <c r="M1610" s="8">
        <v>5.17575</v>
      </c>
      <c r="N1610">
        <v>105.747516212372</v>
      </c>
      <c r="O1610">
        <v>1952</v>
      </c>
      <c r="P1610" s="9">
        <v>0.251</v>
      </c>
      <c r="Q1610" t="s">
        <v>1323</v>
      </c>
      <c r="T1610" s="15" t="s">
        <v>54</v>
      </c>
      <c r="W1610" s="16" t="str">
        <f t="shared" si="146"/>
        <v>EN_WON_25_c03_NGA</v>
      </c>
      <c r="X1610" s="12">
        <f t="shared" si="147"/>
        <v>1952</v>
      </c>
      <c r="Y1610" s="11">
        <f t="shared" si="148"/>
        <v>1952</v>
      </c>
    </row>
    <row r="1611" spans="2:25">
      <c r="B1611" t="s">
        <v>26</v>
      </c>
      <c r="C1611" t="s">
        <v>7531</v>
      </c>
      <c r="D1611" t="s">
        <v>7532</v>
      </c>
      <c r="E1611" t="s">
        <v>29</v>
      </c>
      <c r="F1611" t="s">
        <v>30</v>
      </c>
      <c r="G1611" t="s">
        <v>31</v>
      </c>
      <c r="J1611" t="s">
        <v>7531</v>
      </c>
      <c r="K1611" t="s">
        <v>1967</v>
      </c>
      <c r="L1611" t="s">
        <v>7500</v>
      </c>
      <c r="M1611" s="8">
        <v>7.8195</v>
      </c>
      <c r="N1611">
        <v>80.7856561622413</v>
      </c>
      <c r="O1611">
        <v>1952</v>
      </c>
      <c r="P1611" s="9">
        <v>0.260850278150777</v>
      </c>
      <c r="Q1611" t="s">
        <v>1323</v>
      </c>
      <c r="T1611" s="15" t="s">
        <v>54</v>
      </c>
      <c r="W1611" s="16" t="str">
        <f t="shared" si="146"/>
        <v>EN_WON_26_c02_NGA</v>
      </c>
      <c r="X1611" s="12">
        <f t="shared" si="147"/>
        <v>1952</v>
      </c>
      <c r="Y1611" s="11">
        <f t="shared" si="148"/>
        <v>1952</v>
      </c>
    </row>
    <row r="1612" spans="2:25">
      <c r="B1612" t="s">
        <v>26</v>
      </c>
      <c r="C1612" t="s">
        <v>7533</v>
      </c>
      <c r="D1612" t="s">
        <v>7534</v>
      </c>
      <c r="E1612" t="s">
        <v>29</v>
      </c>
      <c r="F1612" t="s">
        <v>30</v>
      </c>
      <c r="G1612" t="s">
        <v>31</v>
      </c>
      <c r="J1612" t="s">
        <v>7533</v>
      </c>
      <c r="K1612" t="s">
        <v>1967</v>
      </c>
      <c r="L1612" t="s">
        <v>7500</v>
      </c>
      <c r="M1612" s="8">
        <v>4.3185</v>
      </c>
      <c r="N1612">
        <v>105.747516212372</v>
      </c>
      <c r="O1612">
        <v>1952</v>
      </c>
      <c r="P1612" s="9">
        <v>0.259323028829455</v>
      </c>
      <c r="Q1612" t="s">
        <v>1323</v>
      </c>
      <c r="T1612" s="15" t="s">
        <v>54</v>
      </c>
      <c r="W1612" s="16" t="str">
        <f t="shared" si="146"/>
        <v>EN_WON_26_c03_NGA</v>
      </c>
      <c r="X1612" s="12">
        <f t="shared" si="147"/>
        <v>1952</v>
      </c>
      <c r="Y1612" s="11">
        <f t="shared" si="148"/>
        <v>1952</v>
      </c>
    </row>
    <row r="1613" spans="2:25">
      <c r="B1613" t="s">
        <v>26</v>
      </c>
      <c r="C1613" t="s">
        <v>7535</v>
      </c>
      <c r="D1613" t="s">
        <v>7536</v>
      </c>
      <c r="E1613" t="s">
        <v>29</v>
      </c>
      <c r="F1613" t="s">
        <v>30</v>
      </c>
      <c r="G1613" t="s">
        <v>31</v>
      </c>
      <c r="J1613" t="s">
        <v>7535</v>
      </c>
      <c r="K1613" t="s">
        <v>1967</v>
      </c>
      <c r="L1613" t="s">
        <v>7500</v>
      </c>
      <c r="M1613" s="8">
        <v>5.93775</v>
      </c>
      <c r="N1613">
        <v>0</v>
      </c>
      <c r="O1613">
        <v>1952</v>
      </c>
      <c r="P1613" s="9">
        <v>0.269233674371605</v>
      </c>
      <c r="Q1613" t="s">
        <v>1323</v>
      </c>
      <c r="T1613" s="15" t="s">
        <v>54</v>
      </c>
      <c r="W1613" s="16" t="str">
        <f t="shared" si="146"/>
        <v>EN_WON_27_c01_NGA</v>
      </c>
      <c r="X1613" s="12">
        <f t="shared" si="147"/>
        <v>1952</v>
      </c>
      <c r="Y1613" s="11">
        <f t="shared" si="148"/>
        <v>1952</v>
      </c>
    </row>
    <row r="1614" spans="2:25">
      <c r="B1614" t="s">
        <v>26</v>
      </c>
      <c r="C1614" t="s">
        <v>7537</v>
      </c>
      <c r="D1614" t="s">
        <v>7538</v>
      </c>
      <c r="E1614" t="s">
        <v>29</v>
      </c>
      <c r="F1614" t="s">
        <v>30</v>
      </c>
      <c r="G1614" t="s">
        <v>31</v>
      </c>
      <c r="J1614" t="s">
        <v>7537</v>
      </c>
      <c r="K1614" t="s">
        <v>1967</v>
      </c>
      <c r="L1614" t="s">
        <v>7500</v>
      </c>
      <c r="M1614" s="8">
        <v>2.169</v>
      </c>
      <c r="N1614">
        <v>105.747516212372</v>
      </c>
      <c r="O1614">
        <v>1952</v>
      </c>
      <c r="P1614" s="9">
        <v>0.267</v>
      </c>
      <c r="Q1614" t="s">
        <v>1323</v>
      </c>
      <c r="T1614" s="15" t="s">
        <v>54</v>
      </c>
      <c r="W1614" s="16" t="str">
        <f t="shared" si="146"/>
        <v>EN_WON_27_c03_NGA</v>
      </c>
      <c r="X1614" s="12">
        <f t="shared" si="147"/>
        <v>1952</v>
      </c>
      <c r="Y1614" s="11">
        <f t="shared" si="148"/>
        <v>1952</v>
      </c>
    </row>
    <row r="1615" spans="2:25">
      <c r="B1615" t="s">
        <v>26</v>
      </c>
      <c r="C1615" t="s">
        <v>7539</v>
      </c>
      <c r="D1615" t="s">
        <v>7540</v>
      </c>
      <c r="E1615" t="s">
        <v>29</v>
      </c>
      <c r="F1615" t="s">
        <v>30</v>
      </c>
      <c r="G1615" t="s">
        <v>31</v>
      </c>
      <c r="J1615" t="s">
        <v>7539</v>
      </c>
      <c r="K1615" t="s">
        <v>1967</v>
      </c>
      <c r="L1615" t="s">
        <v>7500</v>
      </c>
      <c r="M1615" s="8">
        <v>0.94575</v>
      </c>
      <c r="N1615">
        <v>0</v>
      </c>
      <c r="O1615">
        <v>1952</v>
      </c>
      <c r="P1615" s="9">
        <v>0.279</v>
      </c>
      <c r="Q1615" t="s">
        <v>1323</v>
      </c>
      <c r="T1615" s="15" t="s">
        <v>54</v>
      </c>
      <c r="W1615" s="16" t="str">
        <f t="shared" si="146"/>
        <v>EN_WON_28_c01_NGA</v>
      </c>
      <c r="X1615" s="12">
        <f t="shared" si="147"/>
        <v>1952</v>
      </c>
      <c r="Y1615" s="11">
        <f t="shared" si="148"/>
        <v>1952</v>
      </c>
    </row>
    <row r="1616" spans="2:25">
      <c r="B1616" t="s">
        <v>26</v>
      </c>
      <c r="C1616" t="s">
        <v>7541</v>
      </c>
      <c r="D1616" t="s">
        <v>7542</v>
      </c>
      <c r="E1616" t="s">
        <v>29</v>
      </c>
      <c r="F1616" t="s">
        <v>30</v>
      </c>
      <c r="G1616" t="s">
        <v>31</v>
      </c>
      <c r="J1616" t="s">
        <v>7541</v>
      </c>
      <c r="K1616" t="s">
        <v>1967</v>
      </c>
      <c r="L1616" t="s">
        <v>7500</v>
      </c>
      <c r="M1616" s="8">
        <v>2.877</v>
      </c>
      <c r="N1616">
        <v>80.7856561622413</v>
      </c>
      <c r="O1616">
        <v>1952</v>
      </c>
      <c r="P1616" s="9">
        <v>0.275</v>
      </c>
      <c r="Q1616" t="s">
        <v>1323</v>
      </c>
      <c r="T1616" s="15" t="s">
        <v>54</v>
      </c>
      <c r="W1616" s="16" t="str">
        <f t="shared" si="146"/>
        <v>EN_WON_28_c02_NGA</v>
      </c>
      <c r="X1616" s="12">
        <f t="shared" si="147"/>
        <v>1952</v>
      </c>
      <c r="Y1616" s="11">
        <f t="shared" si="148"/>
        <v>1952</v>
      </c>
    </row>
    <row r="1617" spans="2:25">
      <c r="B1617" t="s">
        <v>26</v>
      </c>
      <c r="C1617" t="s">
        <v>7543</v>
      </c>
      <c r="D1617" t="s">
        <v>7544</v>
      </c>
      <c r="E1617" t="s">
        <v>29</v>
      </c>
      <c r="F1617" t="s">
        <v>30</v>
      </c>
      <c r="G1617" t="s">
        <v>31</v>
      </c>
      <c r="J1617" t="s">
        <v>7543</v>
      </c>
      <c r="K1617" t="s">
        <v>1967</v>
      </c>
      <c r="L1617" t="s">
        <v>7500</v>
      </c>
      <c r="M1617" s="8">
        <v>3.97725</v>
      </c>
      <c r="N1617">
        <v>0</v>
      </c>
      <c r="O1617">
        <v>1952</v>
      </c>
      <c r="P1617" s="9">
        <v>0.289</v>
      </c>
      <c r="Q1617" t="s">
        <v>1323</v>
      </c>
      <c r="T1617" s="15" t="s">
        <v>54</v>
      </c>
      <c r="W1617" s="16" t="str">
        <f t="shared" si="146"/>
        <v>EN_WON_29_c01_NGA</v>
      </c>
      <c r="X1617" s="12">
        <f t="shared" si="147"/>
        <v>1952</v>
      </c>
      <c r="Y1617" s="11">
        <f t="shared" si="148"/>
        <v>1952</v>
      </c>
    </row>
    <row r="1618" spans="2:25">
      <c r="B1618" t="s">
        <v>26</v>
      </c>
      <c r="C1618" t="s">
        <v>7545</v>
      </c>
      <c r="D1618" t="s">
        <v>7546</v>
      </c>
      <c r="E1618" t="s">
        <v>29</v>
      </c>
      <c r="F1618" t="s">
        <v>30</v>
      </c>
      <c r="G1618" t="s">
        <v>31</v>
      </c>
      <c r="J1618" t="s">
        <v>7545</v>
      </c>
      <c r="K1618" t="s">
        <v>1967</v>
      </c>
      <c r="L1618" t="s">
        <v>7500</v>
      </c>
      <c r="M1618" s="8">
        <v>3.83325</v>
      </c>
      <c r="N1618">
        <v>105.747516212372</v>
      </c>
      <c r="O1618">
        <v>1952</v>
      </c>
      <c r="P1618" s="9">
        <v>0.287</v>
      </c>
      <c r="Q1618" t="s">
        <v>1323</v>
      </c>
      <c r="T1618" s="15" t="s">
        <v>54</v>
      </c>
      <c r="W1618" s="16" t="str">
        <f t="shared" si="146"/>
        <v>EN_WON_29_c03_NGA</v>
      </c>
      <c r="X1618" s="12">
        <f t="shared" si="147"/>
        <v>1952</v>
      </c>
      <c r="Y1618" s="11">
        <f t="shared" si="148"/>
        <v>1952</v>
      </c>
    </row>
    <row r="1619" spans="2:25">
      <c r="B1619" t="s">
        <v>26</v>
      </c>
      <c r="C1619" t="s">
        <v>7547</v>
      </c>
      <c r="D1619" t="s">
        <v>7548</v>
      </c>
      <c r="E1619" t="s">
        <v>29</v>
      </c>
      <c r="F1619" t="s">
        <v>30</v>
      </c>
      <c r="G1619" t="s">
        <v>31</v>
      </c>
      <c r="J1619" t="s">
        <v>7547</v>
      </c>
      <c r="K1619" t="s">
        <v>1967</v>
      </c>
      <c r="L1619" t="s">
        <v>7500</v>
      </c>
      <c r="M1619" s="8">
        <v>1.4415</v>
      </c>
      <c r="N1619">
        <v>0</v>
      </c>
      <c r="O1619">
        <v>1952</v>
      </c>
      <c r="P1619" s="9">
        <v>0.296</v>
      </c>
      <c r="Q1619" t="s">
        <v>1323</v>
      </c>
      <c r="T1619" s="15" t="s">
        <v>54</v>
      </c>
      <c r="W1619" s="16" t="str">
        <f t="shared" si="146"/>
        <v>EN_WON_30_c01_NGA</v>
      </c>
      <c r="X1619" s="12">
        <f t="shared" si="147"/>
        <v>1952</v>
      </c>
      <c r="Y1619" s="11">
        <f t="shared" si="148"/>
        <v>1952</v>
      </c>
    </row>
    <row r="1620" spans="2:25">
      <c r="B1620" t="s">
        <v>26</v>
      </c>
      <c r="C1620" t="s">
        <v>7549</v>
      </c>
      <c r="D1620" t="s">
        <v>7550</v>
      </c>
      <c r="E1620" t="s">
        <v>29</v>
      </c>
      <c r="F1620" t="s">
        <v>30</v>
      </c>
      <c r="G1620" t="s">
        <v>31</v>
      </c>
      <c r="J1620" t="s">
        <v>7549</v>
      </c>
      <c r="K1620" t="s">
        <v>1967</v>
      </c>
      <c r="L1620" t="s">
        <v>4884</v>
      </c>
      <c r="M1620" s="8">
        <v>2.3115</v>
      </c>
      <c r="N1620">
        <v>105.747516212372</v>
      </c>
      <c r="O1620">
        <v>1769</v>
      </c>
      <c r="P1620" s="9">
        <v>0.320969824789098</v>
      </c>
      <c r="Q1620" t="s">
        <v>1337</v>
      </c>
      <c r="T1620" s="15" t="s">
        <v>89</v>
      </c>
      <c r="W1620" s="16" t="str">
        <f t="shared" si="146"/>
        <v>EN_WON_32_c03_NIC</v>
      </c>
      <c r="X1620" s="12">
        <f t="shared" si="147"/>
        <v>1769</v>
      </c>
      <c r="Y1620" s="11">
        <f t="shared" si="148"/>
        <v>1769</v>
      </c>
    </row>
    <row r="1621" spans="2:25">
      <c r="B1621" t="s">
        <v>26</v>
      </c>
      <c r="C1621" t="s">
        <v>7551</v>
      </c>
      <c r="D1621" t="s">
        <v>7552</v>
      </c>
      <c r="E1621" t="s">
        <v>29</v>
      </c>
      <c r="F1621" t="s">
        <v>30</v>
      </c>
      <c r="G1621" t="s">
        <v>31</v>
      </c>
      <c r="J1621" t="s">
        <v>7551</v>
      </c>
      <c r="K1621" t="s">
        <v>1967</v>
      </c>
      <c r="L1621" t="s">
        <v>4884</v>
      </c>
      <c r="M1621" s="8">
        <v>0.2265</v>
      </c>
      <c r="N1621">
        <v>105.747516212372</v>
      </c>
      <c r="O1621">
        <v>1769</v>
      </c>
      <c r="P1621" s="9">
        <v>0.326</v>
      </c>
      <c r="Q1621" t="s">
        <v>1337</v>
      </c>
      <c r="T1621" s="15" t="s">
        <v>89</v>
      </c>
      <c r="W1621" s="16" t="str">
        <f t="shared" si="146"/>
        <v>EN_WON_33_c03_NIC</v>
      </c>
      <c r="X1621" s="12">
        <f t="shared" si="147"/>
        <v>1769</v>
      </c>
      <c r="Y1621" s="11">
        <f t="shared" si="148"/>
        <v>1769</v>
      </c>
    </row>
    <row r="1622" spans="2:25">
      <c r="B1622" t="s">
        <v>26</v>
      </c>
      <c r="C1622" t="s">
        <v>7553</v>
      </c>
      <c r="D1622" t="s">
        <v>7554</v>
      </c>
      <c r="E1622" t="s">
        <v>29</v>
      </c>
      <c r="F1622" t="s">
        <v>30</v>
      </c>
      <c r="G1622" t="s">
        <v>31</v>
      </c>
      <c r="J1622" t="s">
        <v>7553</v>
      </c>
      <c r="K1622" t="s">
        <v>1967</v>
      </c>
      <c r="L1622" t="s">
        <v>4884</v>
      </c>
      <c r="M1622" s="8">
        <v>0.1695</v>
      </c>
      <c r="N1622">
        <v>0</v>
      </c>
      <c r="O1622">
        <v>1769</v>
      </c>
      <c r="P1622" s="9">
        <v>0.349</v>
      </c>
      <c r="Q1622" t="s">
        <v>1337</v>
      </c>
      <c r="T1622" s="15" t="s">
        <v>89</v>
      </c>
      <c r="W1622" s="16" t="str">
        <f t="shared" si="146"/>
        <v>EN_WON_35_c01_NIC</v>
      </c>
      <c r="X1622" s="12">
        <f t="shared" si="147"/>
        <v>1769</v>
      </c>
      <c r="Y1622" s="11">
        <f t="shared" si="148"/>
        <v>1769</v>
      </c>
    </row>
    <row r="1623" spans="2:25">
      <c r="B1623" t="s">
        <v>26</v>
      </c>
      <c r="C1623" t="s">
        <v>7555</v>
      </c>
      <c r="D1623" t="s">
        <v>7556</v>
      </c>
      <c r="E1623" t="s">
        <v>29</v>
      </c>
      <c r="F1623" t="s">
        <v>30</v>
      </c>
      <c r="G1623" t="s">
        <v>31</v>
      </c>
      <c r="J1623" t="s">
        <v>7555</v>
      </c>
      <c r="K1623" t="s">
        <v>1967</v>
      </c>
      <c r="L1623" t="s">
        <v>4884</v>
      </c>
      <c r="M1623" s="8">
        <v>0.14025</v>
      </c>
      <c r="N1623">
        <v>105.747516212372</v>
      </c>
      <c r="O1623">
        <v>1769</v>
      </c>
      <c r="P1623" s="9">
        <v>0.349</v>
      </c>
      <c r="Q1623" t="s">
        <v>1337</v>
      </c>
      <c r="T1623" s="15" t="s">
        <v>89</v>
      </c>
      <c r="W1623" s="16" t="str">
        <f t="shared" si="146"/>
        <v>EN_WON_35_c03_NIC</v>
      </c>
      <c r="X1623" s="12">
        <f t="shared" si="147"/>
        <v>1769</v>
      </c>
      <c r="Y1623" s="11">
        <f t="shared" si="148"/>
        <v>1769</v>
      </c>
    </row>
    <row r="1624" spans="2:25">
      <c r="B1624" t="s">
        <v>26</v>
      </c>
      <c r="C1624" t="s">
        <v>7557</v>
      </c>
      <c r="D1624" t="s">
        <v>7558</v>
      </c>
      <c r="E1624" t="s">
        <v>29</v>
      </c>
      <c r="F1624" t="s">
        <v>30</v>
      </c>
      <c r="G1624" t="s">
        <v>31</v>
      </c>
      <c r="J1624" t="s">
        <v>7557</v>
      </c>
      <c r="K1624" t="s">
        <v>1967</v>
      </c>
      <c r="L1624" t="s">
        <v>4884</v>
      </c>
      <c r="M1624" s="8">
        <v>0.02925</v>
      </c>
      <c r="N1624">
        <v>145.23264029167</v>
      </c>
      <c r="O1624">
        <v>1769</v>
      </c>
      <c r="P1624" s="9">
        <v>0.366</v>
      </c>
      <c r="Q1624" t="s">
        <v>1337</v>
      </c>
      <c r="T1624" s="15" t="s">
        <v>89</v>
      </c>
      <c r="W1624" s="16" t="str">
        <f t="shared" si="146"/>
        <v>EN_WON_37_c04_NIC</v>
      </c>
      <c r="X1624" s="12">
        <f t="shared" si="147"/>
        <v>1769</v>
      </c>
      <c r="Y1624" s="11">
        <f t="shared" si="148"/>
        <v>1769</v>
      </c>
    </row>
    <row r="1625" spans="2:25">
      <c r="B1625" t="s">
        <v>26</v>
      </c>
      <c r="C1625" t="s">
        <v>7559</v>
      </c>
      <c r="D1625" t="s">
        <v>7560</v>
      </c>
      <c r="E1625" t="s">
        <v>29</v>
      </c>
      <c r="F1625" t="s">
        <v>30</v>
      </c>
      <c r="G1625" t="s">
        <v>31</v>
      </c>
      <c r="J1625" t="s">
        <v>7559</v>
      </c>
      <c r="K1625" t="s">
        <v>1967</v>
      </c>
      <c r="L1625" t="s">
        <v>4884</v>
      </c>
      <c r="M1625" s="8">
        <v>1.18875</v>
      </c>
      <c r="N1625">
        <v>145.23264029167</v>
      </c>
      <c r="O1625">
        <v>1769</v>
      </c>
      <c r="P1625" s="9">
        <v>0.379</v>
      </c>
      <c r="Q1625" t="s">
        <v>1337</v>
      </c>
      <c r="T1625" s="15" t="s">
        <v>89</v>
      </c>
      <c r="W1625" s="16" t="str">
        <f t="shared" si="146"/>
        <v>EN_WON_38_c04_NIC</v>
      </c>
      <c r="X1625" s="12">
        <f t="shared" si="147"/>
        <v>1769</v>
      </c>
      <c r="Y1625" s="11">
        <f t="shared" si="148"/>
        <v>1769</v>
      </c>
    </row>
    <row r="1626" spans="2:25">
      <c r="B1626" t="s">
        <v>26</v>
      </c>
      <c r="C1626" t="s">
        <v>7561</v>
      </c>
      <c r="D1626" t="s">
        <v>7562</v>
      </c>
      <c r="E1626" t="s">
        <v>29</v>
      </c>
      <c r="F1626" t="s">
        <v>30</v>
      </c>
      <c r="G1626" t="s">
        <v>31</v>
      </c>
      <c r="J1626" t="s">
        <v>7561</v>
      </c>
      <c r="K1626" t="s">
        <v>1967</v>
      </c>
      <c r="L1626" t="s">
        <v>4884</v>
      </c>
      <c r="M1626" s="8">
        <v>0.024</v>
      </c>
      <c r="N1626">
        <v>105.747516212372</v>
      </c>
      <c r="O1626">
        <v>1769</v>
      </c>
      <c r="P1626" s="9">
        <v>0.402</v>
      </c>
      <c r="Q1626" t="s">
        <v>1337</v>
      </c>
      <c r="T1626" s="15" t="s">
        <v>89</v>
      </c>
      <c r="W1626" s="16" t="str">
        <f t="shared" si="146"/>
        <v>EN_WON_40_c03_NIC</v>
      </c>
      <c r="X1626" s="12">
        <f t="shared" si="147"/>
        <v>1769</v>
      </c>
      <c r="Y1626" s="11">
        <f t="shared" si="148"/>
        <v>1769</v>
      </c>
    </row>
    <row r="1627" spans="2:25">
      <c r="B1627" t="s">
        <v>26</v>
      </c>
      <c r="C1627" t="s">
        <v>7563</v>
      </c>
      <c r="D1627" t="s">
        <v>7564</v>
      </c>
      <c r="E1627" t="s">
        <v>29</v>
      </c>
      <c r="F1627" t="s">
        <v>30</v>
      </c>
      <c r="G1627" t="s">
        <v>31</v>
      </c>
      <c r="J1627" t="s">
        <v>7563</v>
      </c>
      <c r="K1627" t="s">
        <v>1967</v>
      </c>
      <c r="L1627" t="s">
        <v>4925</v>
      </c>
      <c r="M1627" s="8">
        <v>28.73025</v>
      </c>
      <c r="N1627">
        <v>0</v>
      </c>
      <c r="O1627">
        <v>1779</v>
      </c>
      <c r="P1627" s="9">
        <v>0.380297439110345</v>
      </c>
      <c r="Q1627" t="s">
        <v>1355</v>
      </c>
      <c r="T1627" s="15" t="s">
        <v>69</v>
      </c>
      <c r="W1627" s="16" t="str">
        <f t="shared" si="146"/>
        <v>EN_WON_38_c01_NLD</v>
      </c>
      <c r="X1627" s="12">
        <f t="shared" si="147"/>
        <v>1779</v>
      </c>
      <c r="Y1627" s="11">
        <f t="shared" si="148"/>
        <v>1779</v>
      </c>
    </row>
    <row r="1628" spans="2:25">
      <c r="B1628" t="s">
        <v>26</v>
      </c>
      <c r="C1628" t="s">
        <v>7565</v>
      </c>
      <c r="D1628" t="s">
        <v>7566</v>
      </c>
      <c r="E1628" t="s">
        <v>29</v>
      </c>
      <c r="F1628" t="s">
        <v>30</v>
      </c>
      <c r="G1628" t="s">
        <v>31</v>
      </c>
      <c r="J1628" t="s">
        <v>7565</v>
      </c>
      <c r="K1628" t="s">
        <v>1967</v>
      </c>
      <c r="L1628" t="s">
        <v>4925</v>
      </c>
      <c r="M1628" s="8">
        <v>8.901</v>
      </c>
      <c r="N1628">
        <v>0</v>
      </c>
      <c r="O1628">
        <v>1779</v>
      </c>
      <c r="P1628" s="9">
        <v>0.395</v>
      </c>
      <c r="Q1628" t="s">
        <v>1355</v>
      </c>
      <c r="T1628" s="15" t="s">
        <v>69</v>
      </c>
      <c r="W1628" s="16" t="str">
        <f t="shared" si="146"/>
        <v>EN_WON_40_c01_NLD</v>
      </c>
      <c r="X1628" s="12">
        <f t="shared" si="147"/>
        <v>1779</v>
      </c>
      <c r="Y1628" s="11">
        <f t="shared" si="148"/>
        <v>1779</v>
      </c>
    </row>
    <row r="1629" spans="2:25">
      <c r="B1629" t="s">
        <v>26</v>
      </c>
      <c r="C1629" t="s">
        <v>7567</v>
      </c>
      <c r="D1629" t="s">
        <v>7568</v>
      </c>
      <c r="E1629" t="s">
        <v>29</v>
      </c>
      <c r="F1629" t="s">
        <v>30</v>
      </c>
      <c r="G1629" t="s">
        <v>31</v>
      </c>
      <c r="J1629" t="s">
        <v>7567</v>
      </c>
      <c r="K1629" t="s">
        <v>1967</v>
      </c>
      <c r="L1629" t="s">
        <v>4925</v>
      </c>
      <c r="M1629" s="8">
        <v>0.81</v>
      </c>
      <c r="N1629">
        <v>0</v>
      </c>
      <c r="O1629">
        <v>1779</v>
      </c>
      <c r="P1629" s="9">
        <v>0.407</v>
      </c>
      <c r="Q1629" t="s">
        <v>1355</v>
      </c>
      <c r="T1629" s="15" t="s">
        <v>69</v>
      </c>
      <c r="W1629" s="16" t="str">
        <f t="shared" si="146"/>
        <v>EN_WON_41_c01_NLD</v>
      </c>
      <c r="X1629" s="12">
        <f t="shared" si="147"/>
        <v>1779</v>
      </c>
      <c r="Y1629" s="11">
        <f t="shared" si="148"/>
        <v>1779</v>
      </c>
    </row>
    <row r="1630" spans="2:25">
      <c r="B1630" t="s">
        <v>26</v>
      </c>
      <c r="C1630" t="s">
        <v>7569</v>
      </c>
      <c r="D1630" t="s">
        <v>7570</v>
      </c>
      <c r="E1630" t="s">
        <v>29</v>
      </c>
      <c r="F1630" t="s">
        <v>30</v>
      </c>
      <c r="G1630" t="s">
        <v>31</v>
      </c>
      <c r="J1630" t="s">
        <v>7569</v>
      </c>
      <c r="K1630" t="s">
        <v>1967</v>
      </c>
      <c r="L1630" t="s">
        <v>4925</v>
      </c>
      <c r="M1630" s="8">
        <v>7.23075</v>
      </c>
      <c r="N1630">
        <v>0</v>
      </c>
      <c r="O1630">
        <v>1779</v>
      </c>
      <c r="P1630" s="9">
        <v>0.417881651280988</v>
      </c>
      <c r="Q1630" t="s">
        <v>1355</v>
      </c>
      <c r="T1630" s="15" t="s">
        <v>69</v>
      </c>
      <c r="W1630" s="16" t="str">
        <f t="shared" si="146"/>
        <v>EN_WON_42_c01_NLD</v>
      </c>
      <c r="X1630" s="12">
        <f t="shared" si="147"/>
        <v>1779</v>
      </c>
      <c r="Y1630" s="11">
        <f t="shared" si="148"/>
        <v>1779</v>
      </c>
    </row>
    <row r="1631" spans="2:25">
      <c r="B1631" t="s">
        <v>26</v>
      </c>
      <c r="C1631" t="s">
        <v>7571</v>
      </c>
      <c r="D1631" t="s">
        <v>7572</v>
      </c>
      <c r="E1631" t="s">
        <v>29</v>
      </c>
      <c r="F1631" t="s">
        <v>30</v>
      </c>
      <c r="G1631" t="s">
        <v>31</v>
      </c>
      <c r="J1631" t="s">
        <v>7571</v>
      </c>
      <c r="K1631" t="s">
        <v>1967</v>
      </c>
      <c r="L1631" t="s">
        <v>4925</v>
      </c>
      <c r="M1631" s="8">
        <v>1.992</v>
      </c>
      <c r="N1631">
        <v>0</v>
      </c>
      <c r="O1631">
        <v>1779</v>
      </c>
      <c r="P1631" s="9">
        <v>0.44</v>
      </c>
      <c r="Q1631" t="s">
        <v>1355</v>
      </c>
      <c r="T1631" s="15" t="s">
        <v>69</v>
      </c>
      <c r="W1631" s="16" t="str">
        <f t="shared" si="146"/>
        <v>EN_WON_44_c01_NLD</v>
      </c>
      <c r="X1631" s="12">
        <f t="shared" si="147"/>
        <v>1779</v>
      </c>
      <c r="Y1631" s="11">
        <f t="shared" si="148"/>
        <v>1779</v>
      </c>
    </row>
    <row r="1632" spans="2:25">
      <c r="B1632" t="s">
        <v>26</v>
      </c>
      <c r="C1632" t="s">
        <v>7573</v>
      </c>
      <c r="D1632" t="s">
        <v>7574</v>
      </c>
      <c r="E1632" t="s">
        <v>29</v>
      </c>
      <c r="F1632" t="s">
        <v>30</v>
      </c>
      <c r="G1632" t="s">
        <v>31</v>
      </c>
      <c r="J1632" t="s">
        <v>7573</v>
      </c>
      <c r="K1632" t="s">
        <v>1967</v>
      </c>
      <c r="L1632" t="s">
        <v>4925</v>
      </c>
      <c r="M1632" s="8">
        <v>0.27525</v>
      </c>
      <c r="N1632">
        <v>0</v>
      </c>
      <c r="O1632">
        <v>1779</v>
      </c>
      <c r="P1632" s="9">
        <v>0.45</v>
      </c>
      <c r="Q1632" t="s">
        <v>1355</v>
      </c>
      <c r="T1632" s="15" t="s">
        <v>69</v>
      </c>
      <c r="W1632" s="16" t="str">
        <f t="shared" si="146"/>
        <v>EN_WON_45_c01_NLD</v>
      </c>
      <c r="X1632" s="12">
        <f t="shared" si="147"/>
        <v>1779</v>
      </c>
      <c r="Y1632" s="11">
        <f t="shared" si="148"/>
        <v>1779</v>
      </c>
    </row>
    <row r="1633" spans="2:25">
      <c r="B1633" t="s">
        <v>26</v>
      </c>
      <c r="C1633" t="s">
        <v>7575</v>
      </c>
      <c r="D1633" t="s">
        <v>7576</v>
      </c>
      <c r="E1633" t="s">
        <v>29</v>
      </c>
      <c r="F1633" t="s">
        <v>30</v>
      </c>
      <c r="G1633" t="s">
        <v>31</v>
      </c>
      <c r="J1633" t="s">
        <v>7575</v>
      </c>
      <c r="K1633" t="s">
        <v>1967</v>
      </c>
      <c r="L1633" t="s">
        <v>4925</v>
      </c>
      <c r="M1633" s="8">
        <v>0.67725</v>
      </c>
      <c r="N1633">
        <v>0</v>
      </c>
      <c r="O1633">
        <v>1779</v>
      </c>
      <c r="P1633" s="9">
        <v>0.471</v>
      </c>
      <c r="Q1633" t="s">
        <v>1355</v>
      </c>
      <c r="T1633" s="15" t="s">
        <v>69</v>
      </c>
      <c r="W1633" s="16" t="str">
        <f t="shared" si="146"/>
        <v>EN_WON_47_c01_NLD</v>
      </c>
      <c r="X1633" s="12">
        <f t="shared" si="147"/>
        <v>1779</v>
      </c>
      <c r="Y1633" s="11">
        <f t="shared" si="148"/>
        <v>1779</v>
      </c>
    </row>
    <row r="1634" spans="2:25">
      <c r="B1634" t="s">
        <v>26</v>
      </c>
      <c r="C1634" t="s">
        <v>7577</v>
      </c>
      <c r="D1634" t="s">
        <v>7578</v>
      </c>
      <c r="E1634" t="s">
        <v>29</v>
      </c>
      <c r="F1634" t="s">
        <v>30</v>
      </c>
      <c r="G1634" t="s">
        <v>31</v>
      </c>
      <c r="J1634" t="s">
        <v>7577</v>
      </c>
      <c r="K1634" t="s">
        <v>1967</v>
      </c>
      <c r="L1634" t="s">
        <v>4925</v>
      </c>
      <c r="M1634" s="8">
        <v>4.458</v>
      </c>
      <c r="N1634">
        <v>0</v>
      </c>
      <c r="O1634">
        <v>1779</v>
      </c>
      <c r="P1634" s="9">
        <v>0.476</v>
      </c>
      <c r="Q1634" t="s">
        <v>1355</v>
      </c>
      <c r="T1634" s="15" t="s">
        <v>69</v>
      </c>
      <c r="W1634" s="16" t="str">
        <f t="shared" si="146"/>
        <v>EN_WON_48_c01_NLD</v>
      </c>
      <c r="X1634" s="12">
        <f t="shared" si="147"/>
        <v>1779</v>
      </c>
      <c r="Y1634" s="11">
        <f t="shared" si="148"/>
        <v>1779</v>
      </c>
    </row>
    <row r="1635" spans="2:25">
      <c r="B1635" t="s">
        <v>26</v>
      </c>
      <c r="C1635" t="s">
        <v>7579</v>
      </c>
      <c r="D1635" t="s">
        <v>7580</v>
      </c>
      <c r="E1635" t="s">
        <v>29</v>
      </c>
      <c r="F1635" t="s">
        <v>30</v>
      </c>
      <c r="G1635" t="s">
        <v>31</v>
      </c>
      <c r="J1635" t="s">
        <v>7579</v>
      </c>
      <c r="K1635" t="s">
        <v>1967</v>
      </c>
      <c r="L1635" t="s">
        <v>4930</v>
      </c>
      <c r="M1635" s="8">
        <v>3.63675</v>
      </c>
      <c r="N1635">
        <v>0</v>
      </c>
      <c r="O1635">
        <v>1778</v>
      </c>
      <c r="P1635" s="9">
        <v>0.333</v>
      </c>
      <c r="Q1635" t="s">
        <v>1361</v>
      </c>
      <c r="T1635" s="15" t="s">
        <v>69</v>
      </c>
      <c r="W1635" s="16" t="str">
        <f t="shared" si="146"/>
        <v>EN_WON_33_c01_NOR</v>
      </c>
      <c r="X1635" s="12">
        <f t="shared" si="147"/>
        <v>1778</v>
      </c>
      <c r="Y1635" s="11">
        <f t="shared" si="148"/>
        <v>1778</v>
      </c>
    </row>
    <row r="1636" spans="2:25">
      <c r="B1636" t="s">
        <v>26</v>
      </c>
      <c r="C1636" t="s">
        <v>7581</v>
      </c>
      <c r="D1636" t="s">
        <v>7582</v>
      </c>
      <c r="E1636" t="s">
        <v>29</v>
      </c>
      <c r="F1636" t="s">
        <v>30</v>
      </c>
      <c r="G1636" t="s">
        <v>31</v>
      </c>
      <c r="J1636" t="s">
        <v>7581</v>
      </c>
      <c r="K1636" t="s">
        <v>1967</v>
      </c>
      <c r="L1636" t="s">
        <v>4930</v>
      </c>
      <c r="M1636" s="8">
        <v>8.5185</v>
      </c>
      <c r="N1636">
        <v>105.747516212372</v>
      </c>
      <c r="O1636">
        <v>1778</v>
      </c>
      <c r="P1636" s="9">
        <v>0.33</v>
      </c>
      <c r="Q1636" t="s">
        <v>1361</v>
      </c>
      <c r="T1636" s="15" t="s">
        <v>69</v>
      </c>
      <c r="W1636" s="16" t="str">
        <f t="shared" si="146"/>
        <v>EN_WON_33_c03_NOR</v>
      </c>
      <c r="X1636" s="12">
        <f t="shared" si="147"/>
        <v>1778</v>
      </c>
      <c r="Y1636" s="11">
        <f t="shared" si="148"/>
        <v>1778</v>
      </c>
    </row>
    <row r="1637" spans="2:25">
      <c r="B1637" t="s">
        <v>26</v>
      </c>
      <c r="C1637" t="s">
        <v>7583</v>
      </c>
      <c r="D1637" t="s">
        <v>7584</v>
      </c>
      <c r="E1637" t="s">
        <v>29</v>
      </c>
      <c r="F1637" t="s">
        <v>30</v>
      </c>
      <c r="G1637" t="s">
        <v>31</v>
      </c>
      <c r="J1637" t="s">
        <v>7583</v>
      </c>
      <c r="K1637" t="s">
        <v>1967</v>
      </c>
      <c r="L1637" t="s">
        <v>4930</v>
      </c>
      <c r="M1637" s="8">
        <v>16.0965</v>
      </c>
      <c r="N1637">
        <v>105.747516212372</v>
      </c>
      <c r="O1637">
        <v>1778</v>
      </c>
      <c r="P1637" s="9">
        <v>0.339455036809244</v>
      </c>
      <c r="Q1637" t="s">
        <v>1361</v>
      </c>
      <c r="T1637" s="15" t="s">
        <v>69</v>
      </c>
      <c r="W1637" s="16" t="str">
        <f t="shared" si="146"/>
        <v>EN_WON_34_c03_NOR</v>
      </c>
      <c r="X1637" s="12">
        <f t="shared" si="147"/>
        <v>1778</v>
      </c>
      <c r="Y1637" s="11">
        <f t="shared" si="148"/>
        <v>1778</v>
      </c>
    </row>
    <row r="1638" spans="2:25">
      <c r="B1638" t="s">
        <v>26</v>
      </c>
      <c r="C1638" t="s">
        <v>7585</v>
      </c>
      <c r="D1638" t="s">
        <v>7586</v>
      </c>
      <c r="E1638" t="s">
        <v>29</v>
      </c>
      <c r="F1638" t="s">
        <v>30</v>
      </c>
      <c r="G1638" t="s">
        <v>31</v>
      </c>
      <c r="J1638" t="s">
        <v>7585</v>
      </c>
      <c r="K1638" t="s">
        <v>1967</v>
      </c>
      <c r="L1638" t="s">
        <v>4930</v>
      </c>
      <c r="M1638" s="8">
        <v>2.95875</v>
      </c>
      <c r="N1638">
        <v>80.7856561622413</v>
      </c>
      <c r="O1638">
        <v>1778</v>
      </c>
      <c r="P1638" s="9">
        <v>0.353</v>
      </c>
      <c r="Q1638" t="s">
        <v>1361</v>
      </c>
      <c r="T1638" s="15" t="s">
        <v>69</v>
      </c>
      <c r="W1638" s="16" t="str">
        <f t="shared" si="146"/>
        <v>EN_WON_35_c02_NOR</v>
      </c>
      <c r="X1638" s="12">
        <f t="shared" si="147"/>
        <v>1778</v>
      </c>
      <c r="Y1638" s="11">
        <f t="shared" si="148"/>
        <v>1778</v>
      </c>
    </row>
    <row r="1639" spans="2:25">
      <c r="B1639" t="s">
        <v>26</v>
      </c>
      <c r="C1639" t="s">
        <v>7587</v>
      </c>
      <c r="D1639" t="s">
        <v>7588</v>
      </c>
      <c r="E1639" t="s">
        <v>29</v>
      </c>
      <c r="F1639" t="s">
        <v>30</v>
      </c>
      <c r="G1639" t="s">
        <v>31</v>
      </c>
      <c r="J1639" t="s">
        <v>7587</v>
      </c>
      <c r="K1639" t="s">
        <v>1967</v>
      </c>
      <c r="L1639" t="s">
        <v>4930</v>
      </c>
      <c r="M1639" s="8">
        <v>6.71925</v>
      </c>
      <c r="N1639">
        <v>105.747516212372</v>
      </c>
      <c r="O1639">
        <v>1778</v>
      </c>
      <c r="P1639" s="9">
        <v>0.347</v>
      </c>
      <c r="Q1639" t="s">
        <v>1361</v>
      </c>
      <c r="T1639" s="15" t="s">
        <v>69</v>
      </c>
      <c r="W1639" s="16" t="str">
        <f t="shared" si="146"/>
        <v>EN_WON_35_c03_NOR</v>
      </c>
      <c r="X1639" s="12">
        <f t="shared" si="147"/>
        <v>1778</v>
      </c>
      <c r="Y1639" s="11">
        <f t="shared" si="148"/>
        <v>1778</v>
      </c>
    </row>
    <row r="1640" spans="2:25">
      <c r="B1640" t="s">
        <v>26</v>
      </c>
      <c r="C1640" t="s">
        <v>7589</v>
      </c>
      <c r="D1640" t="s">
        <v>7590</v>
      </c>
      <c r="E1640" t="s">
        <v>29</v>
      </c>
      <c r="F1640" t="s">
        <v>30</v>
      </c>
      <c r="G1640" t="s">
        <v>31</v>
      </c>
      <c r="J1640" t="s">
        <v>7589</v>
      </c>
      <c r="K1640" t="s">
        <v>1967</v>
      </c>
      <c r="L1640" t="s">
        <v>4930</v>
      </c>
      <c r="M1640" s="8">
        <v>3.08625</v>
      </c>
      <c r="N1640">
        <v>80.7856561622413</v>
      </c>
      <c r="O1640">
        <v>1778</v>
      </c>
      <c r="P1640" s="9">
        <v>0.357</v>
      </c>
      <c r="Q1640" t="s">
        <v>1361</v>
      </c>
      <c r="T1640" s="15" t="s">
        <v>69</v>
      </c>
      <c r="W1640" s="16" t="str">
        <f t="shared" si="146"/>
        <v>EN_WON_36_c02_NOR</v>
      </c>
      <c r="X1640" s="12">
        <f t="shared" si="147"/>
        <v>1778</v>
      </c>
      <c r="Y1640" s="11">
        <f t="shared" si="148"/>
        <v>1778</v>
      </c>
    </row>
    <row r="1641" spans="2:25">
      <c r="B1641" t="s">
        <v>26</v>
      </c>
      <c r="C1641" t="s">
        <v>7591</v>
      </c>
      <c r="D1641" t="s">
        <v>7592</v>
      </c>
      <c r="E1641" t="s">
        <v>29</v>
      </c>
      <c r="F1641" t="s">
        <v>30</v>
      </c>
      <c r="G1641" t="s">
        <v>31</v>
      </c>
      <c r="J1641" t="s">
        <v>7591</v>
      </c>
      <c r="K1641" t="s">
        <v>1967</v>
      </c>
      <c r="L1641" t="s">
        <v>4930</v>
      </c>
      <c r="M1641" s="8">
        <v>16.24425</v>
      </c>
      <c r="N1641">
        <v>105.747516212372</v>
      </c>
      <c r="O1641">
        <v>1778</v>
      </c>
      <c r="P1641" s="9">
        <v>0.355945011311695</v>
      </c>
      <c r="Q1641" t="s">
        <v>1361</v>
      </c>
      <c r="T1641" s="15" t="s">
        <v>69</v>
      </c>
      <c r="W1641" s="16" t="str">
        <f t="shared" si="146"/>
        <v>EN_WON_36_c03_NOR</v>
      </c>
      <c r="X1641" s="12">
        <f t="shared" si="147"/>
        <v>1778</v>
      </c>
      <c r="Y1641" s="11">
        <f t="shared" si="148"/>
        <v>1778</v>
      </c>
    </row>
    <row r="1642" spans="2:25">
      <c r="B1642" t="s">
        <v>26</v>
      </c>
      <c r="C1642" t="s">
        <v>7593</v>
      </c>
      <c r="D1642" t="s">
        <v>7594</v>
      </c>
      <c r="E1642" t="s">
        <v>29</v>
      </c>
      <c r="F1642" t="s">
        <v>30</v>
      </c>
      <c r="G1642" t="s">
        <v>31</v>
      </c>
      <c r="J1642" t="s">
        <v>7593</v>
      </c>
      <c r="K1642" t="s">
        <v>1967</v>
      </c>
      <c r="L1642" t="s">
        <v>4930</v>
      </c>
      <c r="M1642" s="8">
        <v>4.78425</v>
      </c>
      <c r="N1642">
        <v>0</v>
      </c>
      <c r="O1642">
        <v>1778</v>
      </c>
      <c r="P1642" s="9">
        <v>0.365</v>
      </c>
      <c r="Q1642" t="s">
        <v>1361</v>
      </c>
      <c r="T1642" s="15" t="s">
        <v>69</v>
      </c>
      <c r="W1642" s="16" t="str">
        <f t="shared" si="146"/>
        <v>EN_WON_37_c01_NOR</v>
      </c>
      <c r="X1642" s="12">
        <f t="shared" si="147"/>
        <v>1778</v>
      </c>
      <c r="Y1642" s="11">
        <f t="shared" si="148"/>
        <v>1778</v>
      </c>
    </row>
    <row r="1643" spans="2:25">
      <c r="B1643" t="s">
        <v>26</v>
      </c>
      <c r="C1643" t="s">
        <v>7595</v>
      </c>
      <c r="D1643" t="s">
        <v>7596</v>
      </c>
      <c r="E1643" t="s">
        <v>29</v>
      </c>
      <c r="F1643" t="s">
        <v>30</v>
      </c>
      <c r="G1643" t="s">
        <v>31</v>
      </c>
      <c r="J1643" t="s">
        <v>7595</v>
      </c>
      <c r="K1643" t="s">
        <v>1967</v>
      </c>
      <c r="L1643" t="s">
        <v>4930</v>
      </c>
      <c r="M1643" s="8">
        <v>0.32025</v>
      </c>
      <c r="N1643">
        <v>0</v>
      </c>
      <c r="O1643">
        <v>1778</v>
      </c>
      <c r="P1643" s="9">
        <v>0.393</v>
      </c>
      <c r="Q1643" t="s">
        <v>1361</v>
      </c>
      <c r="T1643" s="15" t="s">
        <v>69</v>
      </c>
      <c r="W1643" s="16" t="str">
        <f t="shared" si="146"/>
        <v>EN_WON_39_c01_NOR</v>
      </c>
      <c r="X1643" s="12">
        <f t="shared" si="147"/>
        <v>1778</v>
      </c>
      <c r="Y1643" s="11">
        <f t="shared" si="148"/>
        <v>1778</v>
      </c>
    </row>
    <row r="1644" spans="2:25">
      <c r="B1644" t="s">
        <v>26</v>
      </c>
      <c r="C1644" t="s">
        <v>7597</v>
      </c>
      <c r="D1644" t="s">
        <v>7598</v>
      </c>
      <c r="E1644" t="s">
        <v>29</v>
      </c>
      <c r="F1644" t="s">
        <v>30</v>
      </c>
      <c r="G1644" t="s">
        <v>31</v>
      </c>
      <c r="J1644" t="s">
        <v>7597</v>
      </c>
      <c r="K1644" t="s">
        <v>1967</v>
      </c>
      <c r="L1644" t="s">
        <v>4930</v>
      </c>
      <c r="M1644" s="8">
        <v>0.38325</v>
      </c>
      <c r="N1644">
        <v>0</v>
      </c>
      <c r="O1644">
        <v>1778</v>
      </c>
      <c r="P1644" s="9">
        <v>0.41</v>
      </c>
      <c r="Q1644" t="s">
        <v>1361</v>
      </c>
      <c r="T1644" s="15" t="s">
        <v>69</v>
      </c>
      <c r="W1644" s="16" t="str">
        <f t="shared" si="146"/>
        <v>EN_WON_41_c01_NOR</v>
      </c>
      <c r="X1644" s="12">
        <f t="shared" si="147"/>
        <v>1778</v>
      </c>
      <c r="Y1644" s="11">
        <f t="shared" si="148"/>
        <v>1778</v>
      </c>
    </row>
    <row r="1645" spans="2:25">
      <c r="B1645" t="s">
        <v>26</v>
      </c>
      <c r="C1645" t="s">
        <v>7599</v>
      </c>
      <c r="D1645" t="s">
        <v>7600</v>
      </c>
      <c r="E1645" t="s">
        <v>29</v>
      </c>
      <c r="F1645" t="s">
        <v>30</v>
      </c>
      <c r="G1645" t="s">
        <v>31</v>
      </c>
      <c r="J1645" t="s">
        <v>7599</v>
      </c>
      <c r="K1645" t="s">
        <v>1967</v>
      </c>
      <c r="L1645" t="s">
        <v>4930</v>
      </c>
      <c r="M1645" s="8">
        <v>0.04425</v>
      </c>
      <c r="N1645">
        <v>0</v>
      </c>
      <c r="O1645">
        <v>1778</v>
      </c>
      <c r="P1645" s="9">
        <v>0.463</v>
      </c>
      <c r="Q1645" t="s">
        <v>1361</v>
      </c>
      <c r="T1645" s="15" t="s">
        <v>69</v>
      </c>
      <c r="W1645" s="16" t="str">
        <f t="shared" si="146"/>
        <v>EN_WON_46_c01_NOR</v>
      </c>
      <c r="X1645" s="12">
        <f t="shared" si="147"/>
        <v>1778</v>
      </c>
      <c r="Y1645" s="11">
        <f t="shared" si="148"/>
        <v>1778</v>
      </c>
    </row>
    <row r="1646" spans="2:25">
      <c r="B1646" t="s">
        <v>26</v>
      </c>
      <c r="C1646" t="s">
        <v>7601</v>
      </c>
      <c r="D1646" t="s">
        <v>7602</v>
      </c>
      <c r="E1646" t="s">
        <v>29</v>
      </c>
      <c r="F1646" t="s">
        <v>30</v>
      </c>
      <c r="G1646" t="s">
        <v>31</v>
      </c>
      <c r="J1646" t="s">
        <v>7601</v>
      </c>
      <c r="K1646" t="s">
        <v>1967</v>
      </c>
      <c r="L1646" t="s">
        <v>7603</v>
      </c>
      <c r="M1646" s="8">
        <v>0.057</v>
      </c>
      <c r="N1646">
        <v>145.23264029167</v>
      </c>
      <c r="O1646">
        <v>2081</v>
      </c>
      <c r="P1646" s="9">
        <v>0.221</v>
      </c>
      <c r="Q1646" t="s">
        <v>1369</v>
      </c>
      <c r="T1646" s="15" t="s">
        <v>35</v>
      </c>
      <c r="W1646" s="16" t="str">
        <f t="shared" si="146"/>
        <v>EN_WON_22_c04_NPL</v>
      </c>
      <c r="X1646" s="12">
        <f t="shared" si="147"/>
        <v>2081</v>
      </c>
      <c r="Y1646" s="11">
        <f t="shared" si="148"/>
        <v>2081</v>
      </c>
    </row>
    <row r="1647" spans="2:25">
      <c r="B1647" t="s">
        <v>26</v>
      </c>
      <c r="C1647" t="s">
        <v>7604</v>
      </c>
      <c r="D1647" t="s">
        <v>7605</v>
      </c>
      <c r="E1647" t="s">
        <v>29</v>
      </c>
      <c r="F1647" t="s">
        <v>30</v>
      </c>
      <c r="G1647" t="s">
        <v>31</v>
      </c>
      <c r="J1647" t="s">
        <v>7604</v>
      </c>
      <c r="K1647" t="s">
        <v>1967</v>
      </c>
      <c r="L1647" t="s">
        <v>5031</v>
      </c>
      <c r="M1647" s="8">
        <v>8.32875</v>
      </c>
      <c r="N1647">
        <v>0</v>
      </c>
      <c r="O1647">
        <v>1756</v>
      </c>
      <c r="P1647" s="9">
        <v>0.348079513732553</v>
      </c>
      <c r="Q1647" t="s">
        <v>1385</v>
      </c>
      <c r="T1647" s="15" t="s">
        <v>80</v>
      </c>
      <c r="W1647" s="16" t="str">
        <f t="shared" si="146"/>
        <v>EN_WON_35_c01_OMN</v>
      </c>
      <c r="X1647" s="12">
        <f t="shared" si="147"/>
        <v>1756</v>
      </c>
      <c r="Y1647" s="11">
        <f t="shared" si="148"/>
        <v>1756</v>
      </c>
    </row>
    <row r="1648" spans="2:25">
      <c r="B1648" t="s">
        <v>26</v>
      </c>
      <c r="C1648" t="s">
        <v>7606</v>
      </c>
      <c r="D1648" t="s">
        <v>7607</v>
      </c>
      <c r="E1648" t="s">
        <v>29</v>
      </c>
      <c r="F1648" t="s">
        <v>30</v>
      </c>
      <c r="G1648" t="s">
        <v>31</v>
      </c>
      <c r="J1648" t="s">
        <v>7606</v>
      </c>
      <c r="K1648" t="s">
        <v>1967</v>
      </c>
      <c r="L1648" t="s">
        <v>5031</v>
      </c>
      <c r="M1648" s="8">
        <v>11.6475</v>
      </c>
      <c r="N1648">
        <v>80.7856561622413</v>
      </c>
      <c r="O1648">
        <v>1756</v>
      </c>
      <c r="P1648" s="9">
        <v>0.349470701867353</v>
      </c>
      <c r="Q1648" t="s">
        <v>1385</v>
      </c>
      <c r="T1648" s="15" t="s">
        <v>80</v>
      </c>
      <c r="W1648" s="16" t="str">
        <f t="shared" si="146"/>
        <v>EN_WON_35_c02_OMN</v>
      </c>
      <c r="X1648" s="12">
        <f t="shared" si="147"/>
        <v>1756</v>
      </c>
      <c r="Y1648" s="11">
        <f t="shared" si="148"/>
        <v>1756</v>
      </c>
    </row>
    <row r="1649" spans="2:25">
      <c r="B1649" t="s">
        <v>26</v>
      </c>
      <c r="C1649" t="s">
        <v>7608</v>
      </c>
      <c r="D1649" t="s">
        <v>7609</v>
      </c>
      <c r="E1649" t="s">
        <v>29</v>
      </c>
      <c r="F1649" t="s">
        <v>30</v>
      </c>
      <c r="G1649" t="s">
        <v>31</v>
      </c>
      <c r="J1649" t="s">
        <v>7608</v>
      </c>
      <c r="K1649" t="s">
        <v>1967</v>
      </c>
      <c r="L1649" t="s">
        <v>5031</v>
      </c>
      <c r="M1649" s="8">
        <v>2.99475</v>
      </c>
      <c r="N1649">
        <v>105.747516212372</v>
      </c>
      <c r="O1649">
        <v>1756</v>
      </c>
      <c r="P1649" s="9">
        <v>0.351</v>
      </c>
      <c r="Q1649" t="s">
        <v>1385</v>
      </c>
      <c r="T1649" s="15" t="s">
        <v>80</v>
      </c>
      <c r="W1649" s="16" t="str">
        <f t="shared" si="146"/>
        <v>EN_WON_35_c03_OMN</v>
      </c>
      <c r="X1649" s="12">
        <f t="shared" si="147"/>
        <v>1756</v>
      </c>
      <c r="Y1649" s="11">
        <f t="shared" si="148"/>
        <v>1756</v>
      </c>
    </row>
    <row r="1650" spans="2:25">
      <c r="B1650" t="s">
        <v>26</v>
      </c>
      <c r="C1650" t="s">
        <v>7610</v>
      </c>
      <c r="D1650" t="s">
        <v>7611</v>
      </c>
      <c r="E1650" t="s">
        <v>29</v>
      </c>
      <c r="F1650" t="s">
        <v>30</v>
      </c>
      <c r="G1650" t="s">
        <v>31</v>
      </c>
      <c r="J1650" t="s">
        <v>7610</v>
      </c>
      <c r="K1650" t="s">
        <v>1967</v>
      </c>
      <c r="L1650" t="s">
        <v>5031</v>
      </c>
      <c r="M1650" s="8">
        <v>18.73275</v>
      </c>
      <c r="N1650">
        <v>0</v>
      </c>
      <c r="O1650">
        <v>1756</v>
      </c>
      <c r="P1650" s="9">
        <v>0.359433999279337</v>
      </c>
      <c r="Q1650" t="s">
        <v>1385</v>
      </c>
      <c r="T1650" s="15" t="s">
        <v>80</v>
      </c>
      <c r="W1650" s="16" t="str">
        <f t="shared" si="146"/>
        <v>EN_WON_36_c01_OMN</v>
      </c>
      <c r="X1650" s="12">
        <f t="shared" si="147"/>
        <v>1756</v>
      </c>
      <c r="Y1650" s="11">
        <f t="shared" si="148"/>
        <v>1756</v>
      </c>
    </row>
    <row r="1651" spans="2:25">
      <c r="B1651" t="s">
        <v>26</v>
      </c>
      <c r="C1651" t="s">
        <v>7612</v>
      </c>
      <c r="D1651" t="s">
        <v>7613</v>
      </c>
      <c r="E1651" t="s">
        <v>29</v>
      </c>
      <c r="F1651" t="s">
        <v>30</v>
      </c>
      <c r="G1651" t="s">
        <v>31</v>
      </c>
      <c r="J1651" t="s">
        <v>7612</v>
      </c>
      <c r="K1651" t="s">
        <v>1967</v>
      </c>
      <c r="L1651" t="s">
        <v>5031</v>
      </c>
      <c r="M1651" s="8">
        <v>4.302</v>
      </c>
      <c r="N1651">
        <v>0</v>
      </c>
      <c r="O1651">
        <v>1756</v>
      </c>
      <c r="P1651" s="9">
        <v>0.368042189679219</v>
      </c>
      <c r="Q1651" t="s">
        <v>1385</v>
      </c>
      <c r="T1651" s="15" t="s">
        <v>80</v>
      </c>
      <c r="W1651" s="16" t="str">
        <f t="shared" si="146"/>
        <v>EN_WON_37_c01_OMN</v>
      </c>
      <c r="X1651" s="12">
        <f t="shared" si="147"/>
        <v>1756</v>
      </c>
      <c r="Y1651" s="11">
        <f t="shared" si="148"/>
        <v>1756</v>
      </c>
    </row>
    <row r="1652" spans="2:25">
      <c r="B1652" t="s">
        <v>26</v>
      </c>
      <c r="C1652" t="s">
        <v>7614</v>
      </c>
      <c r="D1652" t="s">
        <v>7615</v>
      </c>
      <c r="E1652" t="s">
        <v>29</v>
      </c>
      <c r="F1652" t="s">
        <v>30</v>
      </c>
      <c r="G1652" t="s">
        <v>31</v>
      </c>
      <c r="J1652" t="s">
        <v>7614</v>
      </c>
      <c r="K1652" t="s">
        <v>1967</v>
      </c>
      <c r="L1652" t="s">
        <v>5031</v>
      </c>
      <c r="M1652" s="8">
        <v>16.839</v>
      </c>
      <c r="N1652">
        <v>0</v>
      </c>
      <c r="O1652">
        <v>1756</v>
      </c>
      <c r="P1652" s="9">
        <v>0.378355781222163</v>
      </c>
      <c r="Q1652" t="s">
        <v>1385</v>
      </c>
      <c r="T1652" s="15" t="s">
        <v>80</v>
      </c>
      <c r="W1652" s="16" t="str">
        <f t="shared" si="146"/>
        <v>EN_WON_38_c01_OMN</v>
      </c>
      <c r="X1652" s="12">
        <f t="shared" si="147"/>
        <v>1756</v>
      </c>
      <c r="Y1652" s="11">
        <f t="shared" si="148"/>
        <v>1756</v>
      </c>
    </row>
    <row r="1653" spans="2:25">
      <c r="B1653" t="s">
        <v>26</v>
      </c>
      <c r="C1653" t="s">
        <v>7616</v>
      </c>
      <c r="D1653" t="s">
        <v>7617</v>
      </c>
      <c r="E1653" t="s">
        <v>29</v>
      </c>
      <c r="F1653" t="s">
        <v>30</v>
      </c>
      <c r="G1653" t="s">
        <v>31</v>
      </c>
      <c r="J1653" t="s">
        <v>7616</v>
      </c>
      <c r="K1653" t="s">
        <v>1967</v>
      </c>
      <c r="L1653" t="s">
        <v>5031</v>
      </c>
      <c r="M1653" s="8">
        <v>0.89175</v>
      </c>
      <c r="N1653">
        <v>80.7856561622413</v>
      </c>
      <c r="O1653">
        <v>1756</v>
      </c>
      <c r="P1653" s="9">
        <v>0.379</v>
      </c>
      <c r="Q1653" t="s">
        <v>1385</v>
      </c>
      <c r="T1653" s="15" t="s">
        <v>80</v>
      </c>
      <c r="W1653" s="16" t="str">
        <f t="shared" si="146"/>
        <v>EN_WON_38_c02_OMN</v>
      </c>
      <c r="X1653" s="12">
        <f t="shared" si="147"/>
        <v>1756</v>
      </c>
      <c r="Y1653" s="11">
        <f t="shared" si="148"/>
        <v>1756</v>
      </c>
    </row>
    <row r="1654" spans="2:25">
      <c r="B1654" t="s">
        <v>26</v>
      </c>
      <c r="C1654" t="s">
        <v>7618</v>
      </c>
      <c r="D1654" t="s">
        <v>7619</v>
      </c>
      <c r="E1654" t="s">
        <v>29</v>
      </c>
      <c r="F1654" t="s">
        <v>30</v>
      </c>
      <c r="G1654" t="s">
        <v>31</v>
      </c>
      <c r="J1654" t="s">
        <v>7618</v>
      </c>
      <c r="K1654" t="s">
        <v>1967</v>
      </c>
      <c r="L1654" t="s">
        <v>5031</v>
      </c>
      <c r="M1654" s="8">
        <v>5.94675</v>
      </c>
      <c r="N1654">
        <v>0</v>
      </c>
      <c r="O1654">
        <v>1756</v>
      </c>
      <c r="P1654" s="9">
        <v>0.385998486568294</v>
      </c>
      <c r="Q1654" t="s">
        <v>1385</v>
      </c>
      <c r="T1654" s="15" t="s">
        <v>80</v>
      </c>
      <c r="W1654" s="16" t="str">
        <f t="shared" si="146"/>
        <v>EN_WON_39_c01_OMN</v>
      </c>
      <c r="X1654" s="12">
        <f t="shared" si="147"/>
        <v>1756</v>
      </c>
      <c r="Y1654" s="11">
        <f t="shared" si="148"/>
        <v>1756</v>
      </c>
    </row>
    <row r="1655" spans="2:25">
      <c r="B1655" t="s">
        <v>26</v>
      </c>
      <c r="C1655" t="s">
        <v>7620</v>
      </c>
      <c r="D1655" t="s">
        <v>7621</v>
      </c>
      <c r="E1655" t="s">
        <v>29</v>
      </c>
      <c r="F1655" t="s">
        <v>30</v>
      </c>
      <c r="G1655" t="s">
        <v>31</v>
      </c>
      <c r="J1655" t="s">
        <v>7620</v>
      </c>
      <c r="K1655" t="s">
        <v>1967</v>
      </c>
      <c r="L1655" t="s">
        <v>5031</v>
      </c>
      <c r="M1655" s="8">
        <v>14.11725</v>
      </c>
      <c r="N1655">
        <v>0</v>
      </c>
      <c r="O1655">
        <v>1756</v>
      </c>
      <c r="P1655" s="9">
        <v>0.422397386176486</v>
      </c>
      <c r="Q1655" t="s">
        <v>1385</v>
      </c>
      <c r="T1655" s="15" t="s">
        <v>80</v>
      </c>
      <c r="W1655" s="16" t="str">
        <f t="shared" si="146"/>
        <v>EN_WON_42_c01_OMN</v>
      </c>
      <c r="X1655" s="12">
        <f t="shared" si="147"/>
        <v>1756</v>
      </c>
      <c r="Y1655" s="11">
        <f t="shared" si="148"/>
        <v>1756</v>
      </c>
    </row>
    <row r="1656" spans="2:25">
      <c r="B1656" t="s">
        <v>26</v>
      </c>
      <c r="C1656" t="s">
        <v>7622</v>
      </c>
      <c r="D1656" t="s">
        <v>7623</v>
      </c>
      <c r="E1656" t="s">
        <v>29</v>
      </c>
      <c r="F1656" t="s">
        <v>30</v>
      </c>
      <c r="G1656" t="s">
        <v>31</v>
      </c>
      <c r="J1656" t="s">
        <v>7622</v>
      </c>
      <c r="K1656" t="s">
        <v>1967</v>
      </c>
      <c r="L1656" t="s">
        <v>5031</v>
      </c>
      <c r="M1656" s="8">
        <v>0.00825</v>
      </c>
      <c r="N1656">
        <v>0</v>
      </c>
      <c r="O1656">
        <v>1756</v>
      </c>
      <c r="P1656" s="9">
        <v>0.433</v>
      </c>
      <c r="Q1656" t="s">
        <v>1385</v>
      </c>
      <c r="T1656" s="15" t="s">
        <v>80</v>
      </c>
      <c r="W1656" s="16" t="str">
        <f t="shared" si="146"/>
        <v>EN_WON_43_c01_OMN</v>
      </c>
      <c r="X1656" s="12">
        <f t="shared" si="147"/>
        <v>1756</v>
      </c>
      <c r="Y1656" s="11">
        <f t="shared" si="148"/>
        <v>1756</v>
      </c>
    </row>
    <row r="1657" spans="2:25">
      <c r="B1657" t="s">
        <v>26</v>
      </c>
      <c r="C1657" t="s">
        <v>7624</v>
      </c>
      <c r="D1657" t="s">
        <v>7625</v>
      </c>
      <c r="E1657" t="s">
        <v>29</v>
      </c>
      <c r="F1657" t="s">
        <v>30</v>
      </c>
      <c r="G1657" t="s">
        <v>31</v>
      </c>
      <c r="J1657" t="s">
        <v>7624</v>
      </c>
      <c r="K1657" t="s">
        <v>1967</v>
      </c>
      <c r="L1657" t="s">
        <v>5031</v>
      </c>
      <c r="M1657" s="8">
        <v>5.8065</v>
      </c>
      <c r="N1657">
        <v>0</v>
      </c>
      <c r="O1657">
        <v>1756</v>
      </c>
      <c r="P1657" s="9">
        <v>0.442</v>
      </c>
      <c r="Q1657" t="s">
        <v>1385</v>
      </c>
      <c r="T1657" s="15" t="s">
        <v>80</v>
      </c>
      <c r="W1657" s="16" t="str">
        <f t="shared" si="146"/>
        <v>EN_WON_44_c01_OMN</v>
      </c>
      <c r="X1657" s="12">
        <f t="shared" si="147"/>
        <v>1756</v>
      </c>
      <c r="Y1657" s="11">
        <f t="shared" si="148"/>
        <v>1756</v>
      </c>
    </row>
    <row r="1658" spans="2:25">
      <c r="B1658" t="s">
        <v>26</v>
      </c>
      <c r="C1658" t="s">
        <v>7626</v>
      </c>
      <c r="D1658" t="s">
        <v>7627</v>
      </c>
      <c r="E1658" t="s">
        <v>29</v>
      </c>
      <c r="F1658" t="s">
        <v>30</v>
      </c>
      <c r="G1658" t="s">
        <v>31</v>
      </c>
      <c r="J1658" t="s">
        <v>7626</v>
      </c>
      <c r="K1658" t="s">
        <v>1967</v>
      </c>
      <c r="L1658" t="s">
        <v>5031</v>
      </c>
      <c r="M1658" s="8">
        <v>0.0885</v>
      </c>
      <c r="N1658">
        <v>80.7856561622413</v>
      </c>
      <c r="O1658">
        <v>1756</v>
      </c>
      <c r="P1658" s="9">
        <v>0.44</v>
      </c>
      <c r="Q1658" t="s">
        <v>1385</v>
      </c>
      <c r="T1658" s="15" t="s">
        <v>80</v>
      </c>
      <c r="W1658" s="16" t="str">
        <f t="shared" si="146"/>
        <v>EN_WON_44_c02_OMN</v>
      </c>
      <c r="X1658" s="12">
        <f t="shared" si="147"/>
        <v>1756</v>
      </c>
      <c r="Y1658" s="11">
        <f t="shared" si="148"/>
        <v>1756</v>
      </c>
    </row>
    <row r="1659" spans="2:25">
      <c r="B1659" t="s">
        <v>26</v>
      </c>
      <c r="C1659" t="s">
        <v>7628</v>
      </c>
      <c r="D1659" t="s">
        <v>7629</v>
      </c>
      <c r="E1659" t="s">
        <v>29</v>
      </c>
      <c r="F1659" t="s">
        <v>30</v>
      </c>
      <c r="G1659" t="s">
        <v>31</v>
      </c>
      <c r="J1659" t="s">
        <v>7628</v>
      </c>
      <c r="K1659" t="s">
        <v>1967</v>
      </c>
      <c r="L1659" t="s">
        <v>5031</v>
      </c>
      <c r="M1659" s="8">
        <v>0.33075</v>
      </c>
      <c r="N1659">
        <v>0</v>
      </c>
      <c r="O1659">
        <v>1756</v>
      </c>
      <c r="P1659" s="9">
        <v>0.446</v>
      </c>
      <c r="Q1659" t="s">
        <v>1385</v>
      </c>
      <c r="T1659" s="15" t="s">
        <v>80</v>
      </c>
      <c r="W1659" s="16" t="str">
        <f t="shared" si="146"/>
        <v>EN_WON_45_c01_OMN</v>
      </c>
      <c r="X1659" s="12">
        <f t="shared" si="147"/>
        <v>1756</v>
      </c>
      <c r="Y1659" s="11">
        <f t="shared" si="148"/>
        <v>1756</v>
      </c>
    </row>
    <row r="1660" spans="2:25">
      <c r="B1660" t="s">
        <v>26</v>
      </c>
      <c r="C1660" t="s">
        <v>7630</v>
      </c>
      <c r="D1660" t="s">
        <v>7631</v>
      </c>
      <c r="E1660" t="s">
        <v>29</v>
      </c>
      <c r="F1660" t="s">
        <v>30</v>
      </c>
      <c r="G1660" t="s">
        <v>31</v>
      </c>
      <c r="J1660" t="s">
        <v>7630</v>
      </c>
      <c r="K1660" t="s">
        <v>1967</v>
      </c>
      <c r="L1660" t="s">
        <v>5031</v>
      </c>
      <c r="M1660" s="8">
        <v>0.009</v>
      </c>
      <c r="N1660">
        <v>0</v>
      </c>
      <c r="O1660">
        <v>1756</v>
      </c>
      <c r="P1660" s="9">
        <v>0.455</v>
      </c>
      <c r="Q1660" t="s">
        <v>1385</v>
      </c>
      <c r="T1660" s="15" t="s">
        <v>80</v>
      </c>
      <c r="W1660" s="16" t="str">
        <f t="shared" si="146"/>
        <v>EN_WON_46_c01_OMN</v>
      </c>
      <c r="X1660" s="12">
        <f t="shared" si="147"/>
        <v>1756</v>
      </c>
      <c r="Y1660" s="11">
        <f t="shared" si="148"/>
        <v>1756</v>
      </c>
    </row>
    <row r="1661" spans="2:25">
      <c r="B1661" t="s">
        <v>26</v>
      </c>
      <c r="C1661" t="s">
        <v>7632</v>
      </c>
      <c r="D1661" t="s">
        <v>7633</v>
      </c>
      <c r="E1661" t="s">
        <v>29</v>
      </c>
      <c r="F1661" t="s">
        <v>30</v>
      </c>
      <c r="G1661" t="s">
        <v>31</v>
      </c>
      <c r="J1661" t="s">
        <v>7632</v>
      </c>
      <c r="K1661" t="s">
        <v>1967</v>
      </c>
      <c r="L1661" t="s">
        <v>7634</v>
      </c>
      <c r="M1661" s="8">
        <v>6.77175</v>
      </c>
      <c r="N1661">
        <v>145.23264029167</v>
      </c>
      <c r="O1661">
        <v>2081</v>
      </c>
      <c r="P1661" s="9">
        <v>0.170822682467604</v>
      </c>
      <c r="Q1661" t="s">
        <v>1393</v>
      </c>
      <c r="T1661" s="15" t="s">
        <v>35</v>
      </c>
      <c r="W1661" s="16" t="str">
        <f t="shared" si="146"/>
        <v>EN_WON_17_c04_PAK</v>
      </c>
      <c r="X1661" s="12">
        <f t="shared" si="147"/>
        <v>2081</v>
      </c>
      <c r="Y1661" s="11">
        <f t="shared" si="148"/>
        <v>2081</v>
      </c>
    </row>
    <row r="1662" spans="2:25">
      <c r="B1662" t="s">
        <v>26</v>
      </c>
      <c r="C1662" t="s">
        <v>7635</v>
      </c>
      <c r="D1662" t="s">
        <v>7636</v>
      </c>
      <c r="E1662" t="s">
        <v>29</v>
      </c>
      <c r="F1662" t="s">
        <v>30</v>
      </c>
      <c r="G1662" t="s">
        <v>31</v>
      </c>
      <c r="J1662" t="s">
        <v>7635</v>
      </c>
      <c r="K1662" t="s">
        <v>1967</v>
      </c>
      <c r="L1662" t="s">
        <v>7634</v>
      </c>
      <c r="M1662" s="8">
        <v>4.3575</v>
      </c>
      <c r="N1662">
        <v>80.7856561622413</v>
      </c>
      <c r="O1662">
        <v>2081</v>
      </c>
      <c r="P1662" s="9">
        <v>0.180035111876076</v>
      </c>
      <c r="Q1662" t="s">
        <v>1393</v>
      </c>
      <c r="T1662" s="15" t="s">
        <v>35</v>
      </c>
      <c r="W1662" s="16" t="str">
        <f t="shared" si="146"/>
        <v>EN_WON_18_c02_PAK</v>
      </c>
      <c r="X1662" s="12">
        <f t="shared" si="147"/>
        <v>2081</v>
      </c>
      <c r="Y1662" s="11">
        <f t="shared" si="148"/>
        <v>2081</v>
      </c>
    </row>
    <row r="1663" spans="2:25">
      <c r="B1663" t="s">
        <v>26</v>
      </c>
      <c r="C1663" t="s">
        <v>7637</v>
      </c>
      <c r="D1663" t="s">
        <v>7638</v>
      </c>
      <c r="E1663" t="s">
        <v>29</v>
      </c>
      <c r="F1663" t="s">
        <v>30</v>
      </c>
      <c r="G1663" t="s">
        <v>31</v>
      </c>
      <c r="J1663" t="s">
        <v>7637</v>
      </c>
      <c r="K1663" t="s">
        <v>1967</v>
      </c>
      <c r="L1663" t="s">
        <v>7634</v>
      </c>
      <c r="M1663" s="8">
        <v>16.095</v>
      </c>
      <c r="N1663">
        <v>105.747516212372</v>
      </c>
      <c r="O1663">
        <v>2081</v>
      </c>
      <c r="P1663" s="9">
        <v>0.17914981360671</v>
      </c>
      <c r="Q1663" t="s">
        <v>1393</v>
      </c>
      <c r="T1663" s="15" t="s">
        <v>35</v>
      </c>
      <c r="W1663" s="16" t="str">
        <f t="shared" si="146"/>
        <v>EN_WON_18_c03_PAK</v>
      </c>
      <c r="X1663" s="12">
        <f t="shared" si="147"/>
        <v>2081</v>
      </c>
      <c r="Y1663" s="11">
        <f t="shared" si="148"/>
        <v>2081</v>
      </c>
    </row>
    <row r="1664" spans="2:25">
      <c r="B1664" t="s">
        <v>26</v>
      </c>
      <c r="C1664" t="s">
        <v>7639</v>
      </c>
      <c r="D1664" t="s">
        <v>7640</v>
      </c>
      <c r="E1664" t="s">
        <v>29</v>
      </c>
      <c r="F1664" t="s">
        <v>30</v>
      </c>
      <c r="G1664" t="s">
        <v>31</v>
      </c>
      <c r="J1664" t="s">
        <v>7639</v>
      </c>
      <c r="K1664" t="s">
        <v>1967</v>
      </c>
      <c r="L1664" t="s">
        <v>7634</v>
      </c>
      <c r="M1664" s="8">
        <v>6.12825</v>
      </c>
      <c r="N1664">
        <v>145.23264029167</v>
      </c>
      <c r="O1664">
        <v>2081</v>
      </c>
      <c r="P1664" s="9">
        <v>0.177001468608493</v>
      </c>
      <c r="Q1664" t="s">
        <v>1393</v>
      </c>
      <c r="T1664" s="15" t="s">
        <v>35</v>
      </c>
      <c r="W1664" s="16" t="str">
        <f t="shared" si="146"/>
        <v>EN_WON_18_c04_PAK</v>
      </c>
      <c r="X1664" s="12">
        <f t="shared" si="147"/>
        <v>2081</v>
      </c>
      <c r="Y1664" s="11">
        <f t="shared" si="148"/>
        <v>2081</v>
      </c>
    </row>
    <row r="1665" spans="2:25">
      <c r="B1665" t="s">
        <v>26</v>
      </c>
      <c r="C1665" t="s">
        <v>7641</v>
      </c>
      <c r="D1665" t="s">
        <v>7642</v>
      </c>
      <c r="E1665" t="s">
        <v>29</v>
      </c>
      <c r="F1665" t="s">
        <v>30</v>
      </c>
      <c r="G1665" t="s">
        <v>31</v>
      </c>
      <c r="J1665" t="s">
        <v>7641</v>
      </c>
      <c r="K1665" t="s">
        <v>1967</v>
      </c>
      <c r="L1665" t="s">
        <v>7634</v>
      </c>
      <c r="M1665" s="8">
        <v>8.87025</v>
      </c>
      <c r="N1665">
        <v>80.7856561622413</v>
      </c>
      <c r="O1665">
        <v>2081</v>
      </c>
      <c r="P1665" s="9">
        <v>0.188418195654012</v>
      </c>
      <c r="Q1665" t="s">
        <v>1393</v>
      </c>
      <c r="T1665" s="15" t="s">
        <v>35</v>
      </c>
      <c r="W1665" s="16" t="str">
        <f t="shared" si="146"/>
        <v>EN_WON_19_c02_PAK</v>
      </c>
      <c r="X1665" s="12">
        <f t="shared" si="147"/>
        <v>2081</v>
      </c>
      <c r="Y1665" s="11">
        <f t="shared" si="148"/>
        <v>2081</v>
      </c>
    </row>
    <row r="1666" spans="2:25">
      <c r="B1666" t="s">
        <v>26</v>
      </c>
      <c r="C1666" t="s">
        <v>7643</v>
      </c>
      <c r="D1666" t="s">
        <v>7644</v>
      </c>
      <c r="E1666" t="s">
        <v>29</v>
      </c>
      <c r="F1666" t="s">
        <v>30</v>
      </c>
      <c r="G1666" t="s">
        <v>31</v>
      </c>
      <c r="J1666" t="s">
        <v>7643</v>
      </c>
      <c r="K1666" t="s">
        <v>1967</v>
      </c>
      <c r="L1666" t="s">
        <v>7634</v>
      </c>
      <c r="M1666" s="8">
        <v>26.691</v>
      </c>
      <c r="N1666">
        <v>105.747516212372</v>
      </c>
      <c r="O1666">
        <v>2081</v>
      </c>
      <c r="P1666" s="9">
        <v>0.189310638417444</v>
      </c>
      <c r="Q1666" t="s">
        <v>1393</v>
      </c>
      <c r="T1666" s="15" t="s">
        <v>35</v>
      </c>
      <c r="W1666" s="16" t="str">
        <f t="shared" si="146"/>
        <v>EN_WON_19_c03_PAK</v>
      </c>
      <c r="X1666" s="12">
        <f t="shared" si="147"/>
        <v>2081</v>
      </c>
      <c r="Y1666" s="11">
        <f t="shared" si="148"/>
        <v>2081</v>
      </c>
    </row>
    <row r="1667" spans="2:25">
      <c r="B1667" t="s">
        <v>26</v>
      </c>
      <c r="C1667" t="s">
        <v>7645</v>
      </c>
      <c r="D1667" t="s">
        <v>7646</v>
      </c>
      <c r="E1667" t="s">
        <v>29</v>
      </c>
      <c r="F1667" t="s">
        <v>30</v>
      </c>
      <c r="G1667" t="s">
        <v>31</v>
      </c>
      <c r="J1667" t="s">
        <v>7645</v>
      </c>
      <c r="K1667" t="s">
        <v>1967</v>
      </c>
      <c r="L1667" t="s">
        <v>7634</v>
      </c>
      <c r="M1667" s="8">
        <v>6.05175</v>
      </c>
      <c r="N1667">
        <v>145.23264029167</v>
      </c>
      <c r="O1667">
        <v>2081</v>
      </c>
      <c r="P1667" s="9">
        <v>0.189531292601314</v>
      </c>
      <c r="Q1667" t="s">
        <v>1393</v>
      </c>
      <c r="T1667" s="15" t="s">
        <v>35</v>
      </c>
      <c r="W1667" s="16" t="str">
        <f t="shared" si="146"/>
        <v>EN_WON_19_c04_PAK</v>
      </c>
      <c r="X1667" s="12">
        <f t="shared" si="147"/>
        <v>2081</v>
      </c>
      <c r="Y1667" s="11">
        <f t="shared" si="148"/>
        <v>2081</v>
      </c>
    </row>
    <row r="1668" spans="2:25">
      <c r="B1668" t="s">
        <v>26</v>
      </c>
      <c r="C1668" t="s">
        <v>7647</v>
      </c>
      <c r="D1668" t="s">
        <v>7648</v>
      </c>
      <c r="E1668" t="s">
        <v>29</v>
      </c>
      <c r="F1668" t="s">
        <v>30</v>
      </c>
      <c r="G1668" t="s">
        <v>31</v>
      </c>
      <c r="J1668" t="s">
        <v>7647</v>
      </c>
      <c r="K1668" t="s">
        <v>1967</v>
      </c>
      <c r="L1668" t="s">
        <v>7634</v>
      </c>
      <c r="M1668" s="8">
        <v>13.93125</v>
      </c>
      <c r="N1668">
        <v>80.7856561622413</v>
      </c>
      <c r="O1668">
        <v>2081</v>
      </c>
      <c r="P1668" s="9">
        <v>0.201519407806191</v>
      </c>
      <c r="Q1668" t="s">
        <v>1393</v>
      </c>
      <c r="T1668" s="15" t="s">
        <v>35</v>
      </c>
      <c r="W1668" s="16" t="str">
        <f t="shared" si="146"/>
        <v>EN_WON_20_c02_PAK</v>
      </c>
      <c r="X1668" s="12">
        <f t="shared" si="147"/>
        <v>2081</v>
      </c>
      <c r="Y1668" s="11">
        <f t="shared" si="148"/>
        <v>2081</v>
      </c>
    </row>
    <row r="1669" spans="2:25">
      <c r="B1669" t="s">
        <v>26</v>
      </c>
      <c r="C1669" t="s">
        <v>7649</v>
      </c>
      <c r="D1669" t="s">
        <v>7650</v>
      </c>
      <c r="E1669" t="s">
        <v>29</v>
      </c>
      <c r="F1669" t="s">
        <v>30</v>
      </c>
      <c r="G1669" t="s">
        <v>31</v>
      </c>
      <c r="J1669" t="s">
        <v>7649</v>
      </c>
      <c r="K1669" t="s">
        <v>1967</v>
      </c>
      <c r="L1669" t="s">
        <v>7634</v>
      </c>
      <c r="M1669" s="8">
        <v>19.71075</v>
      </c>
      <c r="N1669">
        <v>105.747516212372</v>
      </c>
      <c r="O1669">
        <v>2081</v>
      </c>
      <c r="P1669" s="9">
        <v>0.197607511129713</v>
      </c>
      <c r="Q1669" t="s">
        <v>1393</v>
      </c>
      <c r="T1669" s="15" t="s">
        <v>35</v>
      </c>
      <c r="W1669" s="16" t="str">
        <f t="shared" si="146"/>
        <v>EN_WON_20_c03_PAK</v>
      </c>
      <c r="X1669" s="12">
        <f t="shared" si="147"/>
        <v>2081</v>
      </c>
      <c r="Y1669" s="11">
        <f t="shared" si="148"/>
        <v>2081</v>
      </c>
    </row>
    <row r="1670" spans="2:25">
      <c r="B1670" t="s">
        <v>26</v>
      </c>
      <c r="C1670" t="s">
        <v>7651</v>
      </c>
      <c r="D1670" t="s">
        <v>7652</v>
      </c>
      <c r="E1670" t="s">
        <v>29</v>
      </c>
      <c r="F1670" t="s">
        <v>30</v>
      </c>
      <c r="G1670" t="s">
        <v>31</v>
      </c>
      <c r="J1670" t="s">
        <v>7651</v>
      </c>
      <c r="K1670" t="s">
        <v>1967</v>
      </c>
      <c r="L1670" t="s">
        <v>7634</v>
      </c>
      <c r="M1670" s="8">
        <v>1.2045</v>
      </c>
      <c r="N1670">
        <v>145.23264029167</v>
      </c>
      <c r="O1670">
        <v>2081</v>
      </c>
      <c r="P1670" s="9">
        <v>0.197018679950187</v>
      </c>
      <c r="Q1670" t="s">
        <v>1393</v>
      </c>
      <c r="T1670" s="15" t="s">
        <v>35</v>
      </c>
      <c r="W1670" s="16" t="str">
        <f t="shared" ref="W1670:W1733" si="149">J1670</f>
        <v>EN_WON_20_c04_PAK</v>
      </c>
      <c r="X1670" s="12">
        <f t="shared" ref="X1670:X1733" si="150">O1670</f>
        <v>2081</v>
      </c>
      <c r="Y1670" s="11">
        <f t="shared" ref="Y1670:Y1733" si="151">X1670</f>
        <v>2081</v>
      </c>
    </row>
    <row r="1671" spans="2:25">
      <c r="B1671" t="s">
        <v>26</v>
      </c>
      <c r="C1671" t="s">
        <v>7653</v>
      </c>
      <c r="D1671" t="s">
        <v>7654</v>
      </c>
      <c r="E1671" t="s">
        <v>29</v>
      </c>
      <c r="F1671" t="s">
        <v>30</v>
      </c>
      <c r="G1671" t="s">
        <v>31</v>
      </c>
      <c r="J1671" t="s">
        <v>7653</v>
      </c>
      <c r="K1671" t="s">
        <v>1967</v>
      </c>
      <c r="L1671" t="s">
        <v>7634</v>
      </c>
      <c r="M1671" s="8">
        <v>0.37725</v>
      </c>
      <c r="N1671">
        <v>0</v>
      </c>
      <c r="O1671">
        <v>2081</v>
      </c>
      <c r="P1671" s="9">
        <v>0.208</v>
      </c>
      <c r="Q1671" t="s">
        <v>1393</v>
      </c>
      <c r="T1671" s="15" t="s">
        <v>35</v>
      </c>
      <c r="W1671" s="16" t="str">
        <f t="shared" si="149"/>
        <v>EN_WON_21_c01_PAK</v>
      </c>
      <c r="X1671" s="12">
        <f t="shared" si="150"/>
        <v>2081</v>
      </c>
      <c r="Y1671" s="11">
        <f t="shared" si="151"/>
        <v>2081</v>
      </c>
    </row>
    <row r="1672" spans="2:25">
      <c r="B1672" t="s">
        <v>26</v>
      </c>
      <c r="C1672" t="s">
        <v>7655</v>
      </c>
      <c r="D1672" t="s">
        <v>7656</v>
      </c>
      <c r="E1672" t="s">
        <v>29</v>
      </c>
      <c r="F1672" t="s">
        <v>30</v>
      </c>
      <c r="G1672" t="s">
        <v>31</v>
      </c>
      <c r="J1672" t="s">
        <v>7655</v>
      </c>
      <c r="K1672" t="s">
        <v>1967</v>
      </c>
      <c r="L1672" t="s">
        <v>7634</v>
      </c>
      <c r="M1672" s="8">
        <v>12.1905</v>
      </c>
      <c r="N1672">
        <v>80.7856561622413</v>
      </c>
      <c r="O1672">
        <v>2081</v>
      </c>
      <c r="P1672" s="9">
        <v>0.209101267380337</v>
      </c>
      <c r="Q1672" t="s">
        <v>1393</v>
      </c>
      <c r="T1672" s="15" t="s">
        <v>35</v>
      </c>
      <c r="W1672" s="16" t="str">
        <f t="shared" si="149"/>
        <v>EN_WON_21_c02_PAK</v>
      </c>
      <c r="X1672" s="12">
        <f t="shared" si="150"/>
        <v>2081</v>
      </c>
      <c r="Y1672" s="11">
        <f t="shared" si="151"/>
        <v>2081</v>
      </c>
    </row>
    <row r="1673" spans="2:25">
      <c r="B1673" t="s">
        <v>26</v>
      </c>
      <c r="C1673" t="s">
        <v>7657</v>
      </c>
      <c r="D1673" t="s">
        <v>7658</v>
      </c>
      <c r="E1673" t="s">
        <v>29</v>
      </c>
      <c r="F1673" t="s">
        <v>30</v>
      </c>
      <c r="G1673" t="s">
        <v>31</v>
      </c>
      <c r="J1673" t="s">
        <v>7657</v>
      </c>
      <c r="K1673" t="s">
        <v>1967</v>
      </c>
      <c r="L1673" t="s">
        <v>7634</v>
      </c>
      <c r="M1673" s="8">
        <v>24.17925</v>
      </c>
      <c r="N1673">
        <v>105.747516212372</v>
      </c>
      <c r="O1673">
        <v>2081</v>
      </c>
      <c r="P1673" s="9">
        <v>0.211285771891188</v>
      </c>
      <c r="Q1673" t="s">
        <v>1393</v>
      </c>
      <c r="T1673" s="15" t="s">
        <v>35</v>
      </c>
      <c r="W1673" s="16" t="str">
        <f t="shared" si="149"/>
        <v>EN_WON_21_c03_PAK</v>
      </c>
      <c r="X1673" s="12">
        <f t="shared" si="150"/>
        <v>2081</v>
      </c>
      <c r="Y1673" s="11">
        <f t="shared" si="151"/>
        <v>2081</v>
      </c>
    </row>
    <row r="1674" spans="2:25">
      <c r="B1674" t="s">
        <v>26</v>
      </c>
      <c r="C1674" t="s">
        <v>7659</v>
      </c>
      <c r="D1674" t="s">
        <v>7660</v>
      </c>
      <c r="E1674" t="s">
        <v>29</v>
      </c>
      <c r="F1674" t="s">
        <v>30</v>
      </c>
      <c r="G1674" t="s">
        <v>31</v>
      </c>
      <c r="J1674" t="s">
        <v>7659</v>
      </c>
      <c r="K1674" t="s">
        <v>1967</v>
      </c>
      <c r="L1674" t="s">
        <v>7634</v>
      </c>
      <c r="M1674" s="8">
        <v>5.385</v>
      </c>
      <c r="N1674">
        <v>145.23264029167</v>
      </c>
      <c r="O1674">
        <v>2081</v>
      </c>
      <c r="P1674" s="9">
        <v>0.209628133704735</v>
      </c>
      <c r="Q1674" t="s">
        <v>1393</v>
      </c>
      <c r="T1674" s="15" t="s">
        <v>35</v>
      </c>
      <c r="W1674" s="16" t="str">
        <f t="shared" si="149"/>
        <v>EN_WON_21_c04_PAK</v>
      </c>
      <c r="X1674" s="12">
        <f t="shared" si="150"/>
        <v>2081</v>
      </c>
      <c r="Y1674" s="11">
        <f t="shared" si="151"/>
        <v>2081</v>
      </c>
    </row>
    <row r="1675" spans="2:25">
      <c r="B1675" t="s">
        <v>26</v>
      </c>
      <c r="C1675" t="s">
        <v>7661</v>
      </c>
      <c r="D1675" t="s">
        <v>7662</v>
      </c>
      <c r="E1675" t="s">
        <v>29</v>
      </c>
      <c r="F1675" t="s">
        <v>30</v>
      </c>
      <c r="G1675" t="s">
        <v>31</v>
      </c>
      <c r="J1675" t="s">
        <v>7661</v>
      </c>
      <c r="K1675" t="s">
        <v>1967</v>
      </c>
      <c r="L1675" t="s">
        <v>7634</v>
      </c>
      <c r="M1675" s="8">
        <v>11.09325</v>
      </c>
      <c r="N1675">
        <v>80.7856561622413</v>
      </c>
      <c r="O1675">
        <v>2081</v>
      </c>
      <c r="P1675" s="9">
        <v>0.217545466837942</v>
      </c>
      <c r="Q1675" t="s">
        <v>1393</v>
      </c>
      <c r="T1675" s="15" t="s">
        <v>35</v>
      </c>
      <c r="W1675" s="16" t="str">
        <f t="shared" si="149"/>
        <v>EN_WON_22_c02_PAK</v>
      </c>
      <c r="X1675" s="12">
        <f t="shared" si="150"/>
        <v>2081</v>
      </c>
      <c r="Y1675" s="11">
        <f t="shared" si="151"/>
        <v>2081</v>
      </c>
    </row>
    <row r="1676" spans="2:25">
      <c r="B1676" t="s">
        <v>26</v>
      </c>
      <c r="C1676" t="s">
        <v>7663</v>
      </c>
      <c r="D1676" t="s">
        <v>7664</v>
      </c>
      <c r="E1676" t="s">
        <v>29</v>
      </c>
      <c r="F1676" t="s">
        <v>30</v>
      </c>
      <c r="G1676" t="s">
        <v>31</v>
      </c>
      <c r="J1676" t="s">
        <v>7663</v>
      </c>
      <c r="K1676" t="s">
        <v>1967</v>
      </c>
      <c r="L1676" t="s">
        <v>7634</v>
      </c>
      <c r="M1676" s="8">
        <v>12.9255</v>
      </c>
      <c r="N1676">
        <v>105.747516212372</v>
      </c>
      <c r="O1676">
        <v>2081</v>
      </c>
      <c r="P1676" s="9">
        <v>0.220724730184519</v>
      </c>
      <c r="Q1676" t="s">
        <v>1393</v>
      </c>
      <c r="T1676" s="15" t="s">
        <v>35</v>
      </c>
      <c r="W1676" s="16" t="str">
        <f t="shared" si="149"/>
        <v>EN_WON_22_c03_PAK</v>
      </c>
      <c r="X1676" s="12">
        <f t="shared" si="150"/>
        <v>2081</v>
      </c>
      <c r="Y1676" s="11">
        <f t="shared" si="151"/>
        <v>2081</v>
      </c>
    </row>
    <row r="1677" spans="2:25">
      <c r="B1677" t="s">
        <v>26</v>
      </c>
      <c r="C1677" t="s">
        <v>7665</v>
      </c>
      <c r="D1677" t="s">
        <v>7666</v>
      </c>
      <c r="E1677" t="s">
        <v>29</v>
      </c>
      <c r="F1677" t="s">
        <v>30</v>
      </c>
      <c r="G1677" t="s">
        <v>31</v>
      </c>
      <c r="J1677" t="s">
        <v>7665</v>
      </c>
      <c r="K1677" t="s">
        <v>1967</v>
      </c>
      <c r="L1677" t="s">
        <v>7634</v>
      </c>
      <c r="M1677" s="8">
        <v>2.997</v>
      </c>
      <c r="N1677">
        <v>145.23264029167</v>
      </c>
      <c r="O1677">
        <v>2081</v>
      </c>
      <c r="P1677" s="9">
        <v>0.221192192192192</v>
      </c>
      <c r="Q1677" t="s">
        <v>1393</v>
      </c>
      <c r="T1677" s="15" t="s">
        <v>35</v>
      </c>
      <c r="W1677" s="16" t="str">
        <f t="shared" si="149"/>
        <v>EN_WON_22_c04_PAK</v>
      </c>
      <c r="X1677" s="12">
        <f t="shared" si="150"/>
        <v>2081</v>
      </c>
      <c r="Y1677" s="11">
        <f t="shared" si="151"/>
        <v>2081</v>
      </c>
    </row>
    <row r="1678" spans="2:25">
      <c r="B1678" t="s">
        <v>26</v>
      </c>
      <c r="C1678" t="s">
        <v>7667</v>
      </c>
      <c r="D1678" t="s">
        <v>7668</v>
      </c>
      <c r="E1678" t="s">
        <v>29</v>
      </c>
      <c r="F1678" t="s">
        <v>30</v>
      </c>
      <c r="G1678" t="s">
        <v>31</v>
      </c>
      <c r="J1678" t="s">
        <v>7667</v>
      </c>
      <c r="K1678" t="s">
        <v>1967</v>
      </c>
      <c r="L1678" t="s">
        <v>7634</v>
      </c>
      <c r="M1678" s="8">
        <v>26.25225</v>
      </c>
      <c r="N1678">
        <v>80.7856561622413</v>
      </c>
      <c r="O1678">
        <v>2081</v>
      </c>
      <c r="P1678" s="9">
        <v>0.22865848641545</v>
      </c>
      <c r="Q1678" t="s">
        <v>1393</v>
      </c>
      <c r="T1678" s="15" t="s">
        <v>35</v>
      </c>
      <c r="W1678" s="16" t="str">
        <f t="shared" si="149"/>
        <v>EN_WON_23_c02_PAK</v>
      </c>
      <c r="X1678" s="12">
        <f t="shared" si="150"/>
        <v>2081</v>
      </c>
      <c r="Y1678" s="11">
        <f t="shared" si="151"/>
        <v>2081</v>
      </c>
    </row>
    <row r="1679" spans="2:25">
      <c r="B1679" t="s">
        <v>26</v>
      </c>
      <c r="C1679" t="s">
        <v>7669</v>
      </c>
      <c r="D1679" t="s">
        <v>7670</v>
      </c>
      <c r="E1679" t="s">
        <v>29</v>
      </c>
      <c r="F1679" t="s">
        <v>30</v>
      </c>
      <c r="G1679" t="s">
        <v>31</v>
      </c>
      <c r="J1679" t="s">
        <v>7669</v>
      </c>
      <c r="K1679" t="s">
        <v>1967</v>
      </c>
      <c r="L1679" t="s">
        <v>7634</v>
      </c>
      <c r="M1679" s="8">
        <v>17.913</v>
      </c>
      <c r="N1679">
        <v>105.747516212372</v>
      </c>
      <c r="O1679">
        <v>2081</v>
      </c>
      <c r="P1679" s="9">
        <v>0.229444816613633</v>
      </c>
      <c r="Q1679" t="s">
        <v>1393</v>
      </c>
      <c r="T1679" s="15" t="s">
        <v>35</v>
      </c>
      <c r="W1679" s="16" t="str">
        <f t="shared" si="149"/>
        <v>EN_WON_23_c03_PAK</v>
      </c>
      <c r="X1679" s="12">
        <f t="shared" si="150"/>
        <v>2081</v>
      </c>
      <c r="Y1679" s="11">
        <f t="shared" si="151"/>
        <v>2081</v>
      </c>
    </row>
    <row r="1680" spans="2:25">
      <c r="B1680" t="s">
        <v>26</v>
      </c>
      <c r="C1680" t="s">
        <v>7671</v>
      </c>
      <c r="D1680" t="s">
        <v>7672</v>
      </c>
      <c r="E1680" t="s">
        <v>29</v>
      </c>
      <c r="F1680" t="s">
        <v>30</v>
      </c>
      <c r="G1680" t="s">
        <v>31</v>
      </c>
      <c r="J1680" t="s">
        <v>7671</v>
      </c>
      <c r="K1680" t="s">
        <v>1967</v>
      </c>
      <c r="L1680" t="s">
        <v>7634</v>
      </c>
      <c r="M1680" s="8">
        <v>1.548</v>
      </c>
      <c r="N1680">
        <v>145.23264029167</v>
      </c>
      <c r="O1680">
        <v>2081</v>
      </c>
      <c r="P1680" s="9">
        <v>0.231</v>
      </c>
      <c r="Q1680" t="s">
        <v>1393</v>
      </c>
      <c r="T1680" s="15" t="s">
        <v>35</v>
      </c>
      <c r="W1680" s="16" t="str">
        <f t="shared" si="149"/>
        <v>EN_WON_23_c04_PAK</v>
      </c>
      <c r="X1680" s="12">
        <f t="shared" si="150"/>
        <v>2081</v>
      </c>
      <c r="Y1680" s="11">
        <f t="shared" si="151"/>
        <v>2081</v>
      </c>
    </row>
    <row r="1681" spans="2:25">
      <c r="B1681" t="s">
        <v>26</v>
      </c>
      <c r="C1681" t="s">
        <v>7673</v>
      </c>
      <c r="D1681" t="s">
        <v>7674</v>
      </c>
      <c r="E1681" t="s">
        <v>29</v>
      </c>
      <c r="F1681" t="s">
        <v>30</v>
      </c>
      <c r="G1681" t="s">
        <v>31</v>
      </c>
      <c r="J1681" t="s">
        <v>7673</v>
      </c>
      <c r="K1681" t="s">
        <v>1967</v>
      </c>
      <c r="L1681" t="s">
        <v>7634</v>
      </c>
      <c r="M1681" s="8">
        <v>6.864</v>
      </c>
      <c r="N1681">
        <v>0</v>
      </c>
      <c r="O1681">
        <v>2081</v>
      </c>
      <c r="P1681" s="9">
        <v>0.241356097027972</v>
      </c>
      <c r="Q1681" t="s">
        <v>1393</v>
      </c>
      <c r="T1681" s="15" t="s">
        <v>35</v>
      </c>
      <c r="W1681" s="16" t="str">
        <f t="shared" si="149"/>
        <v>EN_WON_24_c01_PAK</v>
      </c>
      <c r="X1681" s="12">
        <f t="shared" si="150"/>
        <v>2081</v>
      </c>
      <c r="Y1681" s="11">
        <f t="shared" si="151"/>
        <v>2081</v>
      </c>
    </row>
    <row r="1682" spans="2:25">
      <c r="B1682" t="s">
        <v>26</v>
      </c>
      <c r="C1682" t="s">
        <v>7675</v>
      </c>
      <c r="D1682" t="s">
        <v>7676</v>
      </c>
      <c r="E1682" t="s">
        <v>29</v>
      </c>
      <c r="F1682" t="s">
        <v>30</v>
      </c>
      <c r="G1682" t="s">
        <v>31</v>
      </c>
      <c r="J1682" t="s">
        <v>7675</v>
      </c>
      <c r="K1682" t="s">
        <v>1967</v>
      </c>
      <c r="L1682" t="s">
        <v>7634</v>
      </c>
      <c r="M1682" s="8">
        <v>19.749</v>
      </c>
      <c r="N1682">
        <v>80.7856561622413</v>
      </c>
      <c r="O1682">
        <v>2081</v>
      </c>
      <c r="P1682" s="9">
        <v>0.239571016253987</v>
      </c>
      <c r="Q1682" t="s">
        <v>1393</v>
      </c>
      <c r="T1682" s="15" t="s">
        <v>35</v>
      </c>
      <c r="W1682" s="16" t="str">
        <f t="shared" si="149"/>
        <v>EN_WON_24_c02_PAK</v>
      </c>
      <c r="X1682" s="12">
        <f t="shared" si="150"/>
        <v>2081</v>
      </c>
      <c r="Y1682" s="11">
        <f t="shared" si="151"/>
        <v>2081</v>
      </c>
    </row>
    <row r="1683" spans="2:25">
      <c r="B1683" t="s">
        <v>26</v>
      </c>
      <c r="C1683" t="s">
        <v>7677</v>
      </c>
      <c r="D1683" t="s">
        <v>7678</v>
      </c>
      <c r="E1683" t="s">
        <v>29</v>
      </c>
      <c r="F1683" t="s">
        <v>30</v>
      </c>
      <c r="G1683" t="s">
        <v>31</v>
      </c>
      <c r="J1683" t="s">
        <v>7677</v>
      </c>
      <c r="K1683" t="s">
        <v>1967</v>
      </c>
      <c r="L1683" t="s">
        <v>7634</v>
      </c>
      <c r="M1683" s="8">
        <v>35.91375</v>
      </c>
      <c r="N1683">
        <v>105.747516212372</v>
      </c>
      <c r="O1683">
        <v>2081</v>
      </c>
      <c r="P1683" s="9">
        <v>0.240043312101911</v>
      </c>
      <c r="Q1683" t="s">
        <v>1393</v>
      </c>
      <c r="T1683" s="15" t="s">
        <v>35</v>
      </c>
      <c r="W1683" s="16" t="str">
        <f t="shared" si="149"/>
        <v>EN_WON_24_c03_PAK</v>
      </c>
      <c r="X1683" s="12">
        <f t="shared" si="150"/>
        <v>2081</v>
      </c>
      <c r="Y1683" s="11">
        <f t="shared" si="151"/>
        <v>2081</v>
      </c>
    </row>
    <row r="1684" spans="2:25">
      <c r="B1684" t="s">
        <v>26</v>
      </c>
      <c r="C1684" t="s">
        <v>7679</v>
      </c>
      <c r="D1684" t="s">
        <v>7680</v>
      </c>
      <c r="E1684" t="s">
        <v>29</v>
      </c>
      <c r="F1684" t="s">
        <v>30</v>
      </c>
      <c r="G1684" t="s">
        <v>31</v>
      </c>
      <c r="J1684" t="s">
        <v>7679</v>
      </c>
      <c r="K1684" t="s">
        <v>1967</v>
      </c>
      <c r="L1684" t="s">
        <v>7634</v>
      </c>
      <c r="M1684" s="8">
        <v>10.25025</v>
      </c>
      <c r="N1684">
        <v>145.23264029167</v>
      </c>
      <c r="O1684">
        <v>2081</v>
      </c>
      <c r="P1684" s="9">
        <v>0.240285944245262</v>
      </c>
      <c r="Q1684" t="s">
        <v>1393</v>
      </c>
      <c r="T1684" s="15" t="s">
        <v>35</v>
      </c>
      <c r="W1684" s="16" t="str">
        <f t="shared" si="149"/>
        <v>EN_WON_24_c04_PAK</v>
      </c>
      <c r="X1684" s="12">
        <f t="shared" si="150"/>
        <v>2081</v>
      </c>
      <c r="Y1684" s="11">
        <f t="shared" si="151"/>
        <v>2081</v>
      </c>
    </row>
    <row r="1685" spans="2:25">
      <c r="B1685" t="s">
        <v>26</v>
      </c>
      <c r="C1685" t="s">
        <v>7681</v>
      </c>
      <c r="D1685" t="s">
        <v>7682</v>
      </c>
      <c r="E1685" t="s">
        <v>29</v>
      </c>
      <c r="F1685" t="s">
        <v>30</v>
      </c>
      <c r="G1685" t="s">
        <v>31</v>
      </c>
      <c r="J1685" t="s">
        <v>7681</v>
      </c>
      <c r="K1685" t="s">
        <v>1967</v>
      </c>
      <c r="L1685" t="s">
        <v>7634</v>
      </c>
      <c r="M1685" s="8">
        <v>10.23375</v>
      </c>
      <c r="N1685">
        <v>0</v>
      </c>
      <c r="O1685">
        <v>2081</v>
      </c>
      <c r="P1685" s="9">
        <v>0.248578893367534</v>
      </c>
      <c r="Q1685" t="s">
        <v>1393</v>
      </c>
      <c r="T1685" s="15" t="s">
        <v>35</v>
      </c>
      <c r="W1685" s="16" t="str">
        <f t="shared" si="149"/>
        <v>EN_WON_25_c01_PAK</v>
      </c>
      <c r="X1685" s="12">
        <f t="shared" si="150"/>
        <v>2081</v>
      </c>
      <c r="Y1685" s="11">
        <f t="shared" si="151"/>
        <v>2081</v>
      </c>
    </row>
    <row r="1686" spans="2:25">
      <c r="B1686" t="s">
        <v>26</v>
      </c>
      <c r="C1686" t="s">
        <v>7683</v>
      </c>
      <c r="D1686" t="s">
        <v>7684</v>
      </c>
      <c r="E1686" t="s">
        <v>29</v>
      </c>
      <c r="F1686" t="s">
        <v>30</v>
      </c>
      <c r="G1686" t="s">
        <v>31</v>
      </c>
      <c r="J1686" t="s">
        <v>7683</v>
      </c>
      <c r="K1686" t="s">
        <v>1967</v>
      </c>
      <c r="L1686" t="s">
        <v>7634</v>
      </c>
      <c r="M1686" s="8">
        <v>6.55425</v>
      </c>
      <c r="N1686">
        <v>80.7856561622413</v>
      </c>
      <c r="O1686">
        <v>2081</v>
      </c>
      <c r="P1686" s="9">
        <v>0.248279780295228</v>
      </c>
      <c r="Q1686" t="s">
        <v>1393</v>
      </c>
      <c r="T1686" s="15" t="s">
        <v>35</v>
      </c>
      <c r="W1686" s="16" t="str">
        <f t="shared" si="149"/>
        <v>EN_WON_25_c02_PAK</v>
      </c>
      <c r="X1686" s="12">
        <f t="shared" si="150"/>
        <v>2081</v>
      </c>
      <c r="Y1686" s="11">
        <f t="shared" si="151"/>
        <v>2081</v>
      </c>
    </row>
    <row r="1687" spans="2:25">
      <c r="B1687" t="s">
        <v>26</v>
      </c>
      <c r="C1687" t="s">
        <v>7685</v>
      </c>
      <c r="D1687" t="s">
        <v>7686</v>
      </c>
      <c r="E1687" t="s">
        <v>29</v>
      </c>
      <c r="F1687" t="s">
        <v>30</v>
      </c>
      <c r="G1687" t="s">
        <v>31</v>
      </c>
      <c r="J1687" t="s">
        <v>7685</v>
      </c>
      <c r="K1687" t="s">
        <v>1967</v>
      </c>
      <c r="L1687" t="s">
        <v>7634</v>
      </c>
      <c r="M1687" s="8">
        <v>20.72475</v>
      </c>
      <c r="N1687">
        <v>105.747516212372</v>
      </c>
      <c r="O1687">
        <v>2081</v>
      </c>
      <c r="P1687" s="9">
        <v>0.249806825172801</v>
      </c>
      <c r="Q1687" t="s">
        <v>1393</v>
      </c>
      <c r="T1687" s="15" t="s">
        <v>35</v>
      </c>
      <c r="W1687" s="16" t="str">
        <f t="shared" si="149"/>
        <v>EN_WON_25_c03_PAK</v>
      </c>
      <c r="X1687" s="12">
        <f t="shared" si="150"/>
        <v>2081</v>
      </c>
      <c r="Y1687" s="11">
        <f t="shared" si="151"/>
        <v>2081</v>
      </c>
    </row>
    <row r="1688" spans="2:25">
      <c r="B1688" t="s">
        <v>26</v>
      </c>
      <c r="C1688" t="s">
        <v>7687</v>
      </c>
      <c r="D1688" t="s">
        <v>7688</v>
      </c>
      <c r="E1688" t="s">
        <v>29</v>
      </c>
      <c r="F1688" t="s">
        <v>30</v>
      </c>
      <c r="G1688" t="s">
        <v>31</v>
      </c>
      <c r="J1688" t="s">
        <v>7687</v>
      </c>
      <c r="K1688" t="s">
        <v>1967</v>
      </c>
      <c r="L1688" t="s">
        <v>7634</v>
      </c>
      <c r="M1688" s="8">
        <v>3.39825</v>
      </c>
      <c r="N1688">
        <v>145.23264029167</v>
      </c>
      <c r="O1688">
        <v>2081</v>
      </c>
      <c r="P1688" s="9">
        <v>0.247</v>
      </c>
      <c r="Q1688" t="s">
        <v>1393</v>
      </c>
      <c r="T1688" s="15" t="s">
        <v>35</v>
      </c>
      <c r="W1688" s="16" t="str">
        <f t="shared" si="149"/>
        <v>EN_WON_25_c04_PAK</v>
      </c>
      <c r="X1688" s="12">
        <f t="shared" si="150"/>
        <v>2081</v>
      </c>
      <c r="Y1688" s="11">
        <f t="shared" si="151"/>
        <v>2081</v>
      </c>
    </row>
    <row r="1689" spans="2:25">
      <c r="B1689" t="s">
        <v>26</v>
      </c>
      <c r="C1689" t="s">
        <v>7689</v>
      </c>
      <c r="D1689" t="s">
        <v>7690</v>
      </c>
      <c r="E1689" t="s">
        <v>29</v>
      </c>
      <c r="F1689" t="s">
        <v>30</v>
      </c>
      <c r="G1689" t="s">
        <v>31</v>
      </c>
      <c r="J1689" t="s">
        <v>7689</v>
      </c>
      <c r="K1689" t="s">
        <v>1967</v>
      </c>
      <c r="L1689" t="s">
        <v>7634</v>
      </c>
      <c r="M1689" s="8">
        <v>8.57475</v>
      </c>
      <c r="N1689">
        <v>0</v>
      </c>
      <c r="O1689">
        <v>2081</v>
      </c>
      <c r="P1689" s="9">
        <v>0.26257115367795</v>
      </c>
      <c r="Q1689" t="s">
        <v>1393</v>
      </c>
      <c r="T1689" s="15" t="s">
        <v>35</v>
      </c>
      <c r="W1689" s="16" t="str">
        <f t="shared" si="149"/>
        <v>EN_WON_26_c01_PAK</v>
      </c>
      <c r="X1689" s="12">
        <f t="shared" si="150"/>
        <v>2081</v>
      </c>
      <c r="Y1689" s="11">
        <f t="shared" si="151"/>
        <v>2081</v>
      </c>
    </row>
    <row r="1690" spans="2:25">
      <c r="B1690" t="s">
        <v>26</v>
      </c>
      <c r="C1690" t="s">
        <v>7691</v>
      </c>
      <c r="D1690" t="s">
        <v>7692</v>
      </c>
      <c r="E1690" t="s">
        <v>29</v>
      </c>
      <c r="F1690" t="s">
        <v>30</v>
      </c>
      <c r="G1690" t="s">
        <v>31</v>
      </c>
      <c r="J1690" t="s">
        <v>7691</v>
      </c>
      <c r="K1690" t="s">
        <v>1967</v>
      </c>
      <c r="L1690" t="s">
        <v>7634</v>
      </c>
      <c r="M1690" s="8">
        <v>8.34075</v>
      </c>
      <c r="N1690">
        <v>80.7856561622413</v>
      </c>
      <c r="O1690">
        <v>2081</v>
      </c>
      <c r="P1690" s="9">
        <v>0.25902131103318</v>
      </c>
      <c r="Q1690" t="s">
        <v>1393</v>
      </c>
      <c r="T1690" s="15" t="s">
        <v>35</v>
      </c>
      <c r="W1690" s="16" t="str">
        <f t="shared" si="149"/>
        <v>EN_WON_26_c02_PAK</v>
      </c>
      <c r="X1690" s="12">
        <f t="shared" si="150"/>
        <v>2081</v>
      </c>
      <c r="Y1690" s="11">
        <f t="shared" si="151"/>
        <v>2081</v>
      </c>
    </row>
    <row r="1691" spans="2:25">
      <c r="B1691" t="s">
        <v>26</v>
      </c>
      <c r="C1691" t="s">
        <v>7693</v>
      </c>
      <c r="D1691" t="s">
        <v>7694</v>
      </c>
      <c r="E1691" t="s">
        <v>29</v>
      </c>
      <c r="F1691" t="s">
        <v>30</v>
      </c>
      <c r="G1691" t="s">
        <v>31</v>
      </c>
      <c r="J1691" t="s">
        <v>7693</v>
      </c>
      <c r="K1691" t="s">
        <v>1967</v>
      </c>
      <c r="L1691" t="s">
        <v>7634</v>
      </c>
      <c r="M1691" s="8">
        <v>30.90225</v>
      </c>
      <c r="N1691">
        <v>105.747516212372</v>
      </c>
      <c r="O1691">
        <v>2081</v>
      </c>
      <c r="P1691" s="9">
        <v>0.261179234521758</v>
      </c>
      <c r="Q1691" t="s">
        <v>1393</v>
      </c>
      <c r="T1691" s="15" t="s">
        <v>35</v>
      </c>
      <c r="W1691" s="16" t="str">
        <f t="shared" si="149"/>
        <v>EN_WON_26_c03_PAK</v>
      </c>
      <c r="X1691" s="12">
        <f t="shared" si="150"/>
        <v>2081</v>
      </c>
      <c r="Y1691" s="11">
        <f t="shared" si="151"/>
        <v>2081</v>
      </c>
    </row>
    <row r="1692" spans="2:25">
      <c r="B1692" t="s">
        <v>26</v>
      </c>
      <c r="C1692" t="s">
        <v>7695</v>
      </c>
      <c r="D1692" t="s">
        <v>7696</v>
      </c>
      <c r="E1692" t="s">
        <v>29</v>
      </c>
      <c r="F1692" t="s">
        <v>30</v>
      </c>
      <c r="G1692" t="s">
        <v>31</v>
      </c>
      <c r="J1692" t="s">
        <v>7695</v>
      </c>
      <c r="K1692" t="s">
        <v>1967</v>
      </c>
      <c r="L1692" t="s">
        <v>7634</v>
      </c>
      <c r="M1692" s="8">
        <v>8.73075</v>
      </c>
      <c r="N1692">
        <v>0</v>
      </c>
      <c r="O1692">
        <v>2081</v>
      </c>
      <c r="P1692" s="9">
        <v>0.270002405291642</v>
      </c>
      <c r="Q1692" t="s">
        <v>1393</v>
      </c>
      <c r="T1692" s="15" t="s">
        <v>35</v>
      </c>
      <c r="W1692" s="16" t="str">
        <f t="shared" si="149"/>
        <v>EN_WON_27_c01_PAK</v>
      </c>
      <c r="X1692" s="12">
        <f t="shared" si="150"/>
        <v>2081</v>
      </c>
      <c r="Y1692" s="11">
        <f t="shared" si="151"/>
        <v>2081</v>
      </c>
    </row>
    <row r="1693" spans="2:25">
      <c r="B1693" t="s">
        <v>26</v>
      </c>
      <c r="C1693" t="s">
        <v>7697</v>
      </c>
      <c r="D1693" t="s">
        <v>7698</v>
      </c>
      <c r="E1693" t="s">
        <v>29</v>
      </c>
      <c r="F1693" t="s">
        <v>30</v>
      </c>
      <c r="G1693" t="s">
        <v>31</v>
      </c>
      <c r="J1693" t="s">
        <v>7697</v>
      </c>
      <c r="K1693" t="s">
        <v>1967</v>
      </c>
      <c r="L1693" t="s">
        <v>7634</v>
      </c>
      <c r="M1693" s="8">
        <v>13.48575</v>
      </c>
      <c r="N1693">
        <v>80.7856561622413</v>
      </c>
      <c r="O1693">
        <v>2081</v>
      </c>
      <c r="P1693" s="9">
        <v>0.268777598576275</v>
      </c>
      <c r="Q1693" t="s">
        <v>1393</v>
      </c>
      <c r="T1693" s="15" t="s">
        <v>35</v>
      </c>
      <c r="W1693" s="16" t="str">
        <f t="shared" si="149"/>
        <v>EN_WON_27_c02_PAK</v>
      </c>
      <c r="X1693" s="12">
        <f t="shared" si="150"/>
        <v>2081</v>
      </c>
      <c r="Y1693" s="11">
        <f t="shared" si="151"/>
        <v>2081</v>
      </c>
    </row>
    <row r="1694" spans="2:25">
      <c r="B1694" t="s">
        <v>26</v>
      </c>
      <c r="C1694" t="s">
        <v>7699</v>
      </c>
      <c r="D1694" t="s">
        <v>7700</v>
      </c>
      <c r="E1694" t="s">
        <v>29</v>
      </c>
      <c r="F1694" t="s">
        <v>30</v>
      </c>
      <c r="G1694" t="s">
        <v>31</v>
      </c>
      <c r="J1694" t="s">
        <v>7699</v>
      </c>
      <c r="K1694" t="s">
        <v>1967</v>
      </c>
      <c r="L1694" t="s">
        <v>7634</v>
      </c>
      <c r="M1694" s="8">
        <v>7.272</v>
      </c>
      <c r="N1694">
        <v>0</v>
      </c>
      <c r="O1694">
        <v>2081</v>
      </c>
      <c r="P1694" s="9">
        <v>0.278753300330033</v>
      </c>
      <c r="Q1694" t="s">
        <v>1393</v>
      </c>
      <c r="T1694" s="15" t="s">
        <v>35</v>
      </c>
      <c r="W1694" s="16" t="str">
        <f t="shared" si="149"/>
        <v>EN_WON_28_c01_PAK</v>
      </c>
      <c r="X1694" s="12">
        <f t="shared" si="150"/>
        <v>2081</v>
      </c>
      <c r="Y1694" s="11">
        <f t="shared" si="151"/>
        <v>2081</v>
      </c>
    </row>
    <row r="1695" spans="2:25">
      <c r="B1695" t="s">
        <v>26</v>
      </c>
      <c r="C1695" t="s">
        <v>7701</v>
      </c>
      <c r="D1695" t="s">
        <v>7702</v>
      </c>
      <c r="E1695" t="s">
        <v>29</v>
      </c>
      <c r="F1695" t="s">
        <v>30</v>
      </c>
      <c r="G1695" t="s">
        <v>31</v>
      </c>
      <c r="J1695" t="s">
        <v>7701</v>
      </c>
      <c r="K1695" t="s">
        <v>1967</v>
      </c>
      <c r="L1695" t="s">
        <v>7634</v>
      </c>
      <c r="M1695" s="8">
        <v>11.799</v>
      </c>
      <c r="N1695">
        <v>80.7856561622413</v>
      </c>
      <c r="O1695">
        <v>2081</v>
      </c>
      <c r="P1695" s="9">
        <v>0.277485507246377</v>
      </c>
      <c r="Q1695" t="s">
        <v>1393</v>
      </c>
      <c r="T1695" s="15" t="s">
        <v>35</v>
      </c>
      <c r="W1695" s="16" t="str">
        <f t="shared" si="149"/>
        <v>EN_WON_28_c02_PAK</v>
      </c>
      <c r="X1695" s="12">
        <f t="shared" si="150"/>
        <v>2081</v>
      </c>
      <c r="Y1695" s="11">
        <f t="shared" si="151"/>
        <v>2081</v>
      </c>
    </row>
    <row r="1696" spans="2:25">
      <c r="B1696" t="s">
        <v>26</v>
      </c>
      <c r="C1696" t="s">
        <v>7703</v>
      </c>
      <c r="D1696" t="s">
        <v>7704</v>
      </c>
      <c r="E1696" t="s">
        <v>29</v>
      </c>
      <c r="F1696" t="s">
        <v>30</v>
      </c>
      <c r="G1696" t="s">
        <v>31</v>
      </c>
      <c r="J1696" t="s">
        <v>7703</v>
      </c>
      <c r="K1696" t="s">
        <v>1967</v>
      </c>
      <c r="L1696" t="s">
        <v>7634</v>
      </c>
      <c r="M1696" s="8">
        <v>15.693</v>
      </c>
      <c r="N1696">
        <v>105.747516212372</v>
      </c>
      <c r="O1696">
        <v>2081</v>
      </c>
      <c r="P1696" s="9">
        <v>0.280957226151787</v>
      </c>
      <c r="Q1696" t="s">
        <v>1393</v>
      </c>
      <c r="T1696" s="15" t="s">
        <v>35</v>
      </c>
      <c r="W1696" s="16" t="str">
        <f t="shared" si="149"/>
        <v>EN_WON_28_c03_PAK</v>
      </c>
      <c r="X1696" s="12">
        <f t="shared" si="150"/>
        <v>2081</v>
      </c>
      <c r="Y1696" s="11">
        <f t="shared" si="151"/>
        <v>2081</v>
      </c>
    </row>
    <row r="1697" spans="2:25">
      <c r="B1697" t="s">
        <v>26</v>
      </c>
      <c r="C1697" t="s">
        <v>7705</v>
      </c>
      <c r="D1697" t="s">
        <v>7706</v>
      </c>
      <c r="E1697" t="s">
        <v>29</v>
      </c>
      <c r="F1697" t="s">
        <v>30</v>
      </c>
      <c r="G1697" t="s">
        <v>31</v>
      </c>
      <c r="J1697" t="s">
        <v>7705</v>
      </c>
      <c r="K1697" t="s">
        <v>1967</v>
      </c>
      <c r="L1697" t="s">
        <v>7634</v>
      </c>
      <c r="M1697" s="8">
        <v>4.8165</v>
      </c>
      <c r="N1697">
        <v>0</v>
      </c>
      <c r="O1697">
        <v>2081</v>
      </c>
      <c r="P1697" s="9">
        <v>0.289</v>
      </c>
      <c r="Q1697" t="s">
        <v>1393</v>
      </c>
      <c r="T1697" s="15" t="s">
        <v>35</v>
      </c>
      <c r="W1697" s="16" t="str">
        <f t="shared" si="149"/>
        <v>EN_WON_29_c01_PAK</v>
      </c>
      <c r="X1697" s="12">
        <f t="shared" si="150"/>
        <v>2081</v>
      </c>
      <c r="Y1697" s="11">
        <f t="shared" si="151"/>
        <v>2081</v>
      </c>
    </row>
    <row r="1698" spans="2:25">
      <c r="B1698" t="s">
        <v>26</v>
      </c>
      <c r="C1698" t="s">
        <v>7707</v>
      </c>
      <c r="D1698" t="s">
        <v>7708</v>
      </c>
      <c r="E1698" t="s">
        <v>29</v>
      </c>
      <c r="F1698" t="s">
        <v>30</v>
      </c>
      <c r="G1698" t="s">
        <v>31</v>
      </c>
      <c r="J1698" t="s">
        <v>7707</v>
      </c>
      <c r="K1698" t="s">
        <v>1967</v>
      </c>
      <c r="L1698" t="s">
        <v>7634</v>
      </c>
      <c r="M1698" s="8">
        <v>4.9695</v>
      </c>
      <c r="N1698">
        <v>80.7856561622413</v>
      </c>
      <c r="O1698">
        <v>2081</v>
      </c>
      <c r="P1698" s="9">
        <v>0.287</v>
      </c>
      <c r="Q1698" t="s">
        <v>1393</v>
      </c>
      <c r="T1698" s="15" t="s">
        <v>35</v>
      </c>
      <c r="W1698" s="16" t="str">
        <f t="shared" si="149"/>
        <v>EN_WON_29_c02_PAK</v>
      </c>
      <c r="X1698" s="12">
        <f t="shared" si="150"/>
        <v>2081</v>
      </c>
      <c r="Y1698" s="11">
        <f t="shared" si="151"/>
        <v>2081</v>
      </c>
    </row>
    <row r="1699" spans="2:25">
      <c r="B1699" t="s">
        <v>26</v>
      </c>
      <c r="C1699" t="s">
        <v>7709</v>
      </c>
      <c r="D1699" t="s">
        <v>7710</v>
      </c>
      <c r="E1699" t="s">
        <v>29</v>
      </c>
      <c r="F1699" t="s">
        <v>30</v>
      </c>
      <c r="G1699" t="s">
        <v>31</v>
      </c>
      <c r="J1699" t="s">
        <v>7709</v>
      </c>
      <c r="K1699" t="s">
        <v>1967</v>
      </c>
      <c r="L1699" t="s">
        <v>7634</v>
      </c>
      <c r="M1699" s="8">
        <v>5.1855</v>
      </c>
      <c r="N1699">
        <v>105.747516212372</v>
      </c>
      <c r="O1699">
        <v>2081</v>
      </c>
      <c r="P1699" s="9">
        <v>0.29</v>
      </c>
      <c r="Q1699" t="s">
        <v>1393</v>
      </c>
      <c r="T1699" s="15" t="s">
        <v>35</v>
      </c>
      <c r="W1699" s="16" t="str">
        <f t="shared" si="149"/>
        <v>EN_WON_29_c03_PAK</v>
      </c>
      <c r="X1699" s="12">
        <f t="shared" si="150"/>
        <v>2081</v>
      </c>
      <c r="Y1699" s="11">
        <f t="shared" si="151"/>
        <v>2081</v>
      </c>
    </row>
    <row r="1700" spans="2:25">
      <c r="B1700" t="s">
        <v>26</v>
      </c>
      <c r="C1700" t="s">
        <v>7711</v>
      </c>
      <c r="D1700" t="s">
        <v>7712</v>
      </c>
      <c r="E1700" t="s">
        <v>29</v>
      </c>
      <c r="F1700" t="s">
        <v>30</v>
      </c>
      <c r="G1700" t="s">
        <v>31</v>
      </c>
      <c r="J1700" t="s">
        <v>7711</v>
      </c>
      <c r="K1700" t="s">
        <v>1967</v>
      </c>
      <c r="L1700" t="s">
        <v>7634</v>
      </c>
      <c r="M1700" s="8">
        <v>2.33775</v>
      </c>
      <c r="N1700">
        <v>0</v>
      </c>
      <c r="O1700">
        <v>2081</v>
      </c>
      <c r="P1700" s="9">
        <v>0.304</v>
      </c>
      <c r="Q1700" t="s">
        <v>1393</v>
      </c>
      <c r="T1700" s="15" t="s">
        <v>35</v>
      </c>
      <c r="W1700" s="16" t="str">
        <f t="shared" si="149"/>
        <v>EN_WON_30_c01_PAK</v>
      </c>
      <c r="X1700" s="12">
        <f t="shared" si="150"/>
        <v>2081</v>
      </c>
      <c r="Y1700" s="11">
        <f t="shared" si="151"/>
        <v>2081</v>
      </c>
    </row>
    <row r="1701" spans="2:25">
      <c r="B1701" t="s">
        <v>26</v>
      </c>
      <c r="C1701" t="s">
        <v>7713</v>
      </c>
      <c r="D1701" t="s">
        <v>7714</v>
      </c>
      <c r="E1701" t="s">
        <v>29</v>
      </c>
      <c r="F1701" t="s">
        <v>30</v>
      </c>
      <c r="G1701" t="s">
        <v>31</v>
      </c>
      <c r="J1701" t="s">
        <v>7713</v>
      </c>
      <c r="K1701" t="s">
        <v>1967</v>
      </c>
      <c r="L1701" t="s">
        <v>7634</v>
      </c>
      <c r="M1701" s="8">
        <v>11.53725</v>
      </c>
      <c r="N1701">
        <v>80.7856561622413</v>
      </c>
      <c r="O1701">
        <v>2081</v>
      </c>
      <c r="P1701" s="9">
        <v>0.298588051745433</v>
      </c>
      <c r="Q1701" t="s">
        <v>1393</v>
      </c>
      <c r="T1701" s="15" t="s">
        <v>35</v>
      </c>
      <c r="W1701" s="16" t="str">
        <f t="shared" si="149"/>
        <v>EN_WON_30_c02_PAK</v>
      </c>
      <c r="X1701" s="12">
        <f t="shared" si="150"/>
        <v>2081</v>
      </c>
      <c r="Y1701" s="11">
        <f t="shared" si="151"/>
        <v>2081</v>
      </c>
    </row>
    <row r="1702" spans="2:25">
      <c r="B1702" t="s">
        <v>26</v>
      </c>
      <c r="C1702" t="s">
        <v>7715</v>
      </c>
      <c r="D1702" t="s">
        <v>7716</v>
      </c>
      <c r="E1702" t="s">
        <v>29</v>
      </c>
      <c r="F1702" t="s">
        <v>30</v>
      </c>
      <c r="G1702" t="s">
        <v>31</v>
      </c>
      <c r="J1702" t="s">
        <v>7715</v>
      </c>
      <c r="K1702" t="s">
        <v>1967</v>
      </c>
      <c r="L1702" t="s">
        <v>7634</v>
      </c>
      <c r="M1702" s="8">
        <v>11.65875</v>
      </c>
      <c r="N1702">
        <v>105.747516212372</v>
      </c>
      <c r="O1702">
        <v>2081</v>
      </c>
      <c r="P1702" s="9">
        <v>0.298961981344484</v>
      </c>
      <c r="Q1702" t="s">
        <v>1393</v>
      </c>
      <c r="T1702" s="15" t="s">
        <v>35</v>
      </c>
      <c r="W1702" s="16" t="str">
        <f t="shared" si="149"/>
        <v>EN_WON_30_c03_PAK</v>
      </c>
      <c r="X1702" s="12">
        <f t="shared" si="150"/>
        <v>2081</v>
      </c>
      <c r="Y1702" s="11">
        <f t="shared" si="151"/>
        <v>2081</v>
      </c>
    </row>
    <row r="1703" spans="2:25">
      <c r="B1703" t="s">
        <v>26</v>
      </c>
      <c r="C1703" t="s">
        <v>7717</v>
      </c>
      <c r="D1703" t="s">
        <v>7718</v>
      </c>
      <c r="E1703" t="s">
        <v>29</v>
      </c>
      <c r="F1703" t="s">
        <v>30</v>
      </c>
      <c r="G1703" t="s">
        <v>31</v>
      </c>
      <c r="J1703" t="s">
        <v>7717</v>
      </c>
      <c r="K1703" t="s">
        <v>1967</v>
      </c>
      <c r="L1703" t="s">
        <v>7634</v>
      </c>
      <c r="M1703" s="8">
        <v>1.69725</v>
      </c>
      <c r="N1703">
        <v>0</v>
      </c>
      <c r="O1703">
        <v>2081</v>
      </c>
      <c r="P1703" s="9">
        <v>0.312</v>
      </c>
      <c r="Q1703" t="s">
        <v>1393</v>
      </c>
      <c r="T1703" s="15" t="s">
        <v>35</v>
      </c>
      <c r="W1703" s="16" t="str">
        <f t="shared" si="149"/>
        <v>EN_WON_31_c01_PAK</v>
      </c>
      <c r="X1703" s="12">
        <f t="shared" si="150"/>
        <v>2081</v>
      </c>
      <c r="Y1703" s="11">
        <f t="shared" si="151"/>
        <v>2081</v>
      </c>
    </row>
    <row r="1704" spans="2:25">
      <c r="B1704" t="s">
        <v>26</v>
      </c>
      <c r="C1704" t="s">
        <v>7719</v>
      </c>
      <c r="D1704" t="s">
        <v>7720</v>
      </c>
      <c r="E1704" t="s">
        <v>29</v>
      </c>
      <c r="F1704" t="s">
        <v>30</v>
      </c>
      <c r="G1704" t="s">
        <v>31</v>
      </c>
      <c r="J1704" t="s">
        <v>7719</v>
      </c>
      <c r="K1704" t="s">
        <v>1967</v>
      </c>
      <c r="L1704" t="s">
        <v>7634</v>
      </c>
      <c r="M1704" s="8">
        <v>2.11725</v>
      </c>
      <c r="N1704">
        <v>80.7856561622413</v>
      </c>
      <c r="O1704">
        <v>2081</v>
      </c>
      <c r="P1704" s="9">
        <v>0.308003542330854</v>
      </c>
      <c r="Q1704" t="s">
        <v>1393</v>
      </c>
      <c r="T1704" s="15" t="s">
        <v>35</v>
      </c>
      <c r="W1704" s="16" t="str">
        <f t="shared" si="149"/>
        <v>EN_WON_31_c02_PAK</v>
      </c>
      <c r="X1704" s="12">
        <f t="shared" si="150"/>
        <v>2081</v>
      </c>
      <c r="Y1704" s="11">
        <f t="shared" si="151"/>
        <v>2081</v>
      </c>
    </row>
    <row r="1705" spans="2:25">
      <c r="B1705" t="s">
        <v>26</v>
      </c>
      <c r="C1705" t="s">
        <v>7721</v>
      </c>
      <c r="D1705" t="s">
        <v>7722</v>
      </c>
      <c r="E1705" t="s">
        <v>29</v>
      </c>
      <c r="F1705" t="s">
        <v>30</v>
      </c>
      <c r="G1705" t="s">
        <v>31</v>
      </c>
      <c r="J1705" t="s">
        <v>7721</v>
      </c>
      <c r="K1705" t="s">
        <v>1967</v>
      </c>
      <c r="L1705" t="s">
        <v>7634</v>
      </c>
      <c r="M1705" s="8">
        <v>4.5225</v>
      </c>
      <c r="N1705">
        <v>105.747516212372</v>
      </c>
      <c r="O1705">
        <v>2081</v>
      </c>
      <c r="P1705" s="9">
        <v>0.313</v>
      </c>
      <c r="Q1705" t="s">
        <v>1393</v>
      </c>
      <c r="T1705" s="15" t="s">
        <v>35</v>
      </c>
      <c r="W1705" s="16" t="str">
        <f t="shared" si="149"/>
        <v>EN_WON_31_c03_PAK</v>
      </c>
      <c r="X1705" s="12">
        <f t="shared" si="150"/>
        <v>2081</v>
      </c>
      <c r="Y1705" s="11">
        <f t="shared" si="151"/>
        <v>2081</v>
      </c>
    </row>
    <row r="1706" spans="2:25">
      <c r="B1706" t="s">
        <v>26</v>
      </c>
      <c r="C1706" t="s">
        <v>7723</v>
      </c>
      <c r="D1706" t="s">
        <v>7724</v>
      </c>
      <c r="E1706" t="s">
        <v>29</v>
      </c>
      <c r="F1706" t="s">
        <v>30</v>
      </c>
      <c r="G1706" t="s">
        <v>31</v>
      </c>
      <c r="J1706" t="s">
        <v>7723</v>
      </c>
      <c r="K1706" t="s">
        <v>1967</v>
      </c>
      <c r="L1706" t="s">
        <v>7634</v>
      </c>
      <c r="M1706" s="8">
        <v>9.52575</v>
      </c>
      <c r="N1706">
        <v>80.7856561622413</v>
      </c>
      <c r="O1706">
        <v>2081</v>
      </c>
      <c r="P1706" s="9">
        <v>0.319450673175341</v>
      </c>
      <c r="Q1706" t="s">
        <v>1393</v>
      </c>
      <c r="T1706" s="15" t="s">
        <v>35</v>
      </c>
      <c r="W1706" s="16" t="str">
        <f t="shared" si="149"/>
        <v>EN_WON_32_c02_PAK</v>
      </c>
      <c r="X1706" s="12">
        <f t="shared" si="150"/>
        <v>2081</v>
      </c>
      <c r="Y1706" s="11">
        <f t="shared" si="151"/>
        <v>2081</v>
      </c>
    </row>
    <row r="1707" spans="2:25">
      <c r="B1707" t="s">
        <v>26</v>
      </c>
      <c r="C1707" t="s">
        <v>7725</v>
      </c>
      <c r="D1707" t="s">
        <v>7726</v>
      </c>
      <c r="E1707" t="s">
        <v>29</v>
      </c>
      <c r="F1707" t="s">
        <v>30</v>
      </c>
      <c r="G1707" t="s">
        <v>31</v>
      </c>
      <c r="J1707" t="s">
        <v>7725</v>
      </c>
      <c r="K1707" t="s">
        <v>1967</v>
      </c>
      <c r="L1707" t="s">
        <v>7634</v>
      </c>
      <c r="M1707" s="8">
        <v>5.74725</v>
      </c>
      <c r="N1707">
        <v>80.7856561622413</v>
      </c>
      <c r="O1707">
        <v>2081</v>
      </c>
      <c r="P1707" s="9">
        <v>0.326</v>
      </c>
      <c r="Q1707" t="s">
        <v>1393</v>
      </c>
      <c r="T1707" s="15" t="s">
        <v>35</v>
      </c>
      <c r="W1707" s="16" t="str">
        <f t="shared" si="149"/>
        <v>EN_WON_33_c02_PAK</v>
      </c>
      <c r="X1707" s="12">
        <f t="shared" si="150"/>
        <v>2081</v>
      </c>
      <c r="Y1707" s="11">
        <f t="shared" si="151"/>
        <v>2081</v>
      </c>
    </row>
    <row r="1708" spans="2:25">
      <c r="B1708" t="s">
        <v>26</v>
      </c>
      <c r="C1708" t="s">
        <v>7727</v>
      </c>
      <c r="D1708" t="s">
        <v>7728</v>
      </c>
      <c r="E1708" t="s">
        <v>29</v>
      </c>
      <c r="F1708" t="s">
        <v>30</v>
      </c>
      <c r="G1708" t="s">
        <v>31</v>
      </c>
      <c r="J1708" t="s">
        <v>7727</v>
      </c>
      <c r="K1708" t="s">
        <v>1967</v>
      </c>
      <c r="L1708" t="s">
        <v>7634</v>
      </c>
      <c r="M1708" s="8">
        <v>10.7595</v>
      </c>
      <c r="N1708">
        <v>0</v>
      </c>
      <c r="O1708">
        <v>2081</v>
      </c>
      <c r="P1708" s="9">
        <v>0.34</v>
      </c>
      <c r="Q1708" t="s">
        <v>1393</v>
      </c>
      <c r="T1708" s="15" t="s">
        <v>35</v>
      </c>
      <c r="W1708" s="16" t="str">
        <f t="shared" si="149"/>
        <v>EN_WON_34_c01_PAK</v>
      </c>
      <c r="X1708" s="12">
        <f t="shared" si="150"/>
        <v>2081</v>
      </c>
      <c r="Y1708" s="11">
        <f t="shared" si="151"/>
        <v>2081</v>
      </c>
    </row>
    <row r="1709" spans="2:25">
      <c r="B1709" t="s">
        <v>26</v>
      </c>
      <c r="C1709" t="s">
        <v>7729</v>
      </c>
      <c r="D1709" t="s">
        <v>7730</v>
      </c>
      <c r="E1709" t="s">
        <v>29</v>
      </c>
      <c r="F1709" t="s">
        <v>30</v>
      </c>
      <c r="G1709" t="s">
        <v>31</v>
      </c>
      <c r="J1709" t="s">
        <v>7729</v>
      </c>
      <c r="K1709" t="s">
        <v>1967</v>
      </c>
      <c r="L1709" t="s">
        <v>7634</v>
      </c>
      <c r="M1709" s="8">
        <v>5.14425</v>
      </c>
      <c r="N1709">
        <v>80.7856561622413</v>
      </c>
      <c r="O1709">
        <v>2081</v>
      </c>
      <c r="P1709" s="9">
        <v>0.337</v>
      </c>
      <c r="Q1709" t="s">
        <v>1393</v>
      </c>
      <c r="T1709" s="15" t="s">
        <v>35</v>
      </c>
      <c r="W1709" s="16" t="str">
        <f t="shared" si="149"/>
        <v>EN_WON_34_c02_PAK</v>
      </c>
      <c r="X1709" s="12">
        <f t="shared" si="150"/>
        <v>2081</v>
      </c>
      <c r="Y1709" s="11">
        <f t="shared" si="151"/>
        <v>2081</v>
      </c>
    </row>
    <row r="1710" spans="2:25">
      <c r="B1710" t="s">
        <v>26</v>
      </c>
      <c r="C1710" t="s">
        <v>7731</v>
      </c>
      <c r="D1710" t="s">
        <v>7732</v>
      </c>
      <c r="E1710" t="s">
        <v>29</v>
      </c>
      <c r="F1710" t="s">
        <v>30</v>
      </c>
      <c r="G1710" t="s">
        <v>31</v>
      </c>
      <c r="J1710" t="s">
        <v>7731</v>
      </c>
      <c r="K1710" t="s">
        <v>1967</v>
      </c>
      <c r="L1710" t="s">
        <v>7634</v>
      </c>
      <c r="M1710" s="8">
        <v>24.309</v>
      </c>
      <c r="N1710">
        <v>0</v>
      </c>
      <c r="O1710">
        <v>2081</v>
      </c>
      <c r="P1710" s="9">
        <v>0.348671695668271</v>
      </c>
      <c r="Q1710" t="s">
        <v>1393</v>
      </c>
      <c r="T1710" s="15" t="s">
        <v>35</v>
      </c>
      <c r="W1710" s="16" t="str">
        <f t="shared" si="149"/>
        <v>EN_WON_35_c01_PAK</v>
      </c>
      <c r="X1710" s="12">
        <f t="shared" si="150"/>
        <v>2081</v>
      </c>
      <c r="Y1710" s="11">
        <f t="shared" si="151"/>
        <v>2081</v>
      </c>
    </row>
    <row r="1711" spans="2:25">
      <c r="B1711" t="s">
        <v>26</v>
      </c>
      <c r="C1711" t="s">
        <v>7733</v>
      </c>
      <c r="D1711" t="s">
        <v>7734</v>
      </c>
      <c r="E1711" t="s">
        <v>29</v>
      </c>
      <c r="F1711" t="s">
        <v>30</v>
      </c>
      <c r="G1711" t="s">
        <v>31</v>
      </c>
      <c r="J1711" t="s">
        <v>7733</v>
      </c>
      <c r="K1711" t="s">
        <v>1967</v>
      </c>
      <c r="L1711" t="s">
        <v>7634</v>
      </c>
      <c r="M1711" s="8">
        <v>5.784</v>
      </c>
      <c r="N1711">
        <v>0</v>
      </c>
      <c r="O1711">
        <v>2081</v>
      </c>
      <c r="P1711" s="9">
        <v>0.355</v>
      </c>
      <c r="Q1711" t="s">
        <v>1393</v>
      </c>
      <c r="T1711" s="15" t="s">
        <v>35</v>
      </c>
      <c r="W1711" s="16" t="str">
        <f t="shared" si="149"/>
        <v>EN_WON_36_c01_PAK</v>
      </c>
      <c r="X1711" s="12">
        <f t="shared" si="150"/>
        <v>2081</v>
      </c>
      <c r="Y1711" s="11">
        <f t="shared" si="151"/>
        <v>2081</v>
      </c>
    </row>
    <row r="1712" spans="2:25">
      <c r="B1712" t="s">
        <v>26</v>
      </c>
      <c r="C1712" t="s">
        <v>7735</v>
      </c>
      <c r="D1712" t="s">
        <v>7736</v>
      </c>
      <c r="E1712" t="s">
        <v>29</v>
      </c>
      <c r="F1712" t="s">
        <v>30</v>
      </c>
      <c r="G1712" t="s">
        <v>31</v>
      </c>
      <c r="J1712" t="s">
        <v>7735</v>
      </c>
      <c r="K1712" t="s">
        <v>1967</v>
      </c>
      <c r="L1712" t="s">
        <v>7634</v>
      </c>
      <c r="M1712" s="8">
        <v>4.56225</v>
      </c>
      <c r="N1712">
        <v>80.7856561622413</v>
      </c>
      <c r="O1712">
        <v>2081</v>
      </c>
      <c r="P1712" s="9">
        <v>0.358</v>
      </c>
      <c r="Q1712" t="s">
        <v>1393</v>
      </c>
      <c r="T1712" s="15" t="s">
        <v>35</v>
      </c>
      <c r="W1712" s="16" t="str">
        <f t="shared" si="149"/>
        <v>EN_WON_36_c02_PAK</v>
      </c>
      <c r="X1712" s="12">
        <f t="shared" si="150"/>
        <v>2081</v>
      </c>
      <c r="Y1712" s="11">
        <f t="shared" si="151"/>
        <v>2081</v>
      </c>
    </row>
    <row r="1713" spans="2:25">
      <c r="B1713" t="s">
        <v>26</v>
      </c>
      <c r="C1713" t="s">
        <v>7737</v>
      </c>
      <c r="D1713" t="s">
        <v>7738</v>
      </c>
      <c r="E1713" t="s">
        <v>29</v>
      </c>
      <c r="F1713" t="s">
        <v>30</v>
      </c>
      <c r="G1713" t="s">
        <v>31</v>
      </c>
      <c r="J1713" t="s">
        <v>7737</v>
      </c>
      <c r="K1713" t="s">
        <v>1967</v>
      </c>
      <c r="L1713" t="s">
        <v>7634</v>
      </c>
      <c r="M1713" s="8">
        <v>6.015</v>
      </c>
      <c r="N1713">
        <v>0</v>
      </c>
      <c r="O1713">
        <v>2081</v>
      </c>
      <c r="P1713" s="9">
        <v>0.386</v>
      </c>
      <c r="Q1713" t="s">
        <v>1393</v>
      </c>
      <c r="T1713" s="15" t="s">
        <v>35</v>
      </c>
      <c r="W1713" s="16" t="str">
        <f t="shared" si="149"/>
        <v>EN_WON_39_c01_PAK</v>
      </c>
      <c r="X1713" s="12">
        <f t="shared" si="150"/>
        <v>2081</v>
      </c>
      <c r="Y1713" s="11">
        <f t="shared" si="151"/>
        <v>2081</v>
      </c>
    </row>
    <row r="1714" spans="2:25">
      <c r="B1714" t="s">
        <v>26</v>
      </c>
      <c r="C1714" t="s">
        <v>7739</v>
      </c>
      <c r="D1714" t="s">
        <v>7740</v>
      </c>
      <c r="E1714" t="s">
        <v>29</v>
      </c>
      <c r="F1714" t="s">
        <v>30</v>
      </c>
      <c r="G1714" t="s">
        <v>31</v>
      </c>
      <c r="J1714" t="s">
        <v>7739</v>
      </c>
      <c r="K1714" t="s">
        <v>1967</v>
      </c>
      <c r="L1714" t="s">
        <v>7634</v>
      </c>
      <c r="M1714" s="8">
        <v>5.094</v>
      </c>
      <c r="N1714">
        <v>0</v>
      </c>
      <c r="O1714">
        <v>2081</v>
      </c>
      <c r="P1714" s="9">
        <v>0.403</v>
      </c>
      <c r="Q1714" t="s">
        <v>1393</v>
      </c>
      <c r="T1714" s="15" t="s">
        <v>35</v>
      </c>
      <c r="W1714" s="16" t="str">
        <f t="shared" si="149"/>
        <v>EN_WON_40_c01_PAK</v>
      </c>
      <c r="X1714" s="12">
        <f t="shared" si="150"/>
        <v>2081</v>
      </c>
      <c r="Y1714" s="11">
        <f t="shared" si="151"/>
        <v>2081</v>
      </c>
    </row>
    <row r="1715" spans="2:25">
      <c r="B1715" t="s">
        <v>26</v>
      </c>
      <c r="C1715" t="s">
        <v>7741</v>
      </c>
      <c r="D1715" t="s">
        <v>7742</v>
      </c>
      <c r="E1715" t="s">
        <v>29</v>
      </c>
      <c r="F1715" t="s">
        <v>30</v>
      </c>
      <c r="G1715" t="s">
        <v>31</v>
      </c>
      <c r="J1715" t="s">
        <v>7741</v>
      </c>
      <c r="K1715" t="s">
        <v>1967</v>
      </c>
      <c r="L1715" t="s">
        <v>5088</v>
      </c>
      <c r="M1715" s="8">
        <v>2.4975</v>
      </c>
      <c r="N1715">
        <v>145.23264029167</v>
      </c>
      <c r="O1715">
        <v>1769</v>
      </c>
      <c r="P1715" s="9">
        <v>0.189</v>
      </c>
      <c r="Q1715" t="s">
        <v>1423</v>
      </c>
      <c r="T1715" s="15" t="s">
        <v>89</v>
      </c>
      <c r="W1715" s="16" t="str">
        <f t="shared" si="149"/>
        <v>EN_WON_19_c04_PAN</v>
      </c>
      <c r="X1715" s="12">
        <f t="shared" si="150"/>
        <v>1769</v>
      </c>
      <c r="Y1715" s="11">
        <f t="shared" si="151"/>
        <v>1769</v>
      </c>
    </row>
    <row r="1716" spans="2:25">
      <c r="B1716" t="s">
        <v>26</v>
      </c>
      <c r="C1716" t="s">
        <v>7743</v>
      </c>
      <c r="D1716" t="s">
        <v>7744</v>
      </c>
      <c r="E1716" t="s">
        <v>29</v>
      </c>
      <c r="F1716" t="s">
        <v>30</v>
      </c>
      <c r="G1716" t="s">
        <v>31</v>
      </c>
      <c r="J1716" t="s">
        <v>7743</v>
      </c>
      <c r="K1716" t="s">
        <v>1967</v>
      </c>
      <c r="L1716" t="s">
        <v>5088</v>
      </c>
      <c r="M1716" s="8">
        <v>4.27425</v>
      </c>
      <c r="N1716">
        <v>145.23264029167</v>
      </c>
      <c r="O1716">
        <v>1769</v>
      </c>
      <c r="P1716" s="9">
        <v>0.199</v>
      </c>
      <c r="Q1716" t="s">
        <v>1423</v>
      </c>
      <c r="T1716" s="15" t="s">
        <v>89</v>
      </c>
      <c r="W1716" s="16" t="str">
        <f t="shared" si="149"/>
        <v>EN_WON_20_c04_PAN</v>
      </c>
      <c r="X1716" s="12">
        <f t="shared" si="150"/>
        <v>1769</v>
      </c>
      <c r="Y1716" s="11">
        <f t="shared" si="151"/>
        <v>1769</v>
      </c>
    </row>
    <row r="1717" spans="2:25">
      <c r="B1717" t="s">
        <v>26</v>
      </c>
      <c r="C1717" t="s">
        <v>7745</v>
      </c>
      <c r="D1717" t="s">
        <v>7746</v>
      </c>
      <c r="E1717" t="s">
        <v>29</v>
      </c>
      <c r="F1717" t="s">
        <v>30</v>
      </c>
      <c r="G1717" t="s">
        <v>31</v>
      </c>
      <c r="J1717" t="s">
        <v>7745</v>
      </c>
      <c r="K1717" t="s">
        <v>1967</v>
      </c>
      <c r="L1717" t="s">
        <v>5088</v>
      </c>
      <c r="M1717" s="8">
        <v>4.43475</v>
      </c>
      <c r="N1717">
        <v>145.23264029167</v>
      </c>
      <c r="O1717">
        <v>1769</v>
      </c>
      <c r="P1717" s="9">
        <v>0.211751564349738</v>
      </c>
      <c r="Q1717" t="s">
        <v>1423</v>
      </c>
      <c r="T1717" s="15" t="s">
        <v>89</v>
      </c>
      <c r="W1717" s="16" t="str">
        <f t="shared" si="149"/>
        <v>EN_WON_21_c04_PAN</v>
      </c>
      <c r="X1717" s="12">
        <f t="shared" si="150"/>
        <v>1769</v>
      </c>
      <c r="Y1717" s="11">
        <f t="shared" si="151"/>
        <v>1769</v>
      </c>
    </row>
    <row r="1718" spans="2:25">
      <c r="B1718" t="s">
        <v>26</v>
      </c>
      <c r="C1718" t="s">
        <v>7747</v>
      </c>
      <c r="D1718" t="s">
        <v>7748</v>
      </c>
      <c r="E1718" t="s">
        <v>29</v>
      </c>
      <c r="F1718" t="s">
        <v>30</v>
      </c>
      <c r="G1718" t="s">
        <v>31</v>
      </c>
      <c r="J1718" t="s">
        <v>7747</v>
      </c>
      <c r="K1718" t="s">
        <v>1967</v>
      </c>
      <c r="L1718" t="s">
        <v>5088</v>
      </c>
      <c r="M1718" s="8">
        <v>3.9735</v>
      </c>
      <c r="N1718">
        <v>145.23264029167</v>
      </c>
      <c r="O1718">
        <v>1769</v>
      </c>
      <c r="P1718" s="9">
        <v>0.216251793129483</v>
      </c>
      <c r="Q1718" t="s">
        <v>1423</v>
      </c>
      <c r="T1718" s="15" t="s">
        <v>89</v>
      </c>
      <c r="W1718" s="16" t="str">
        <f t="shared" si="149"/>
        <v>EN_WON_22_c04_PAN</v>
      </c>
      <c r="X1718" s="12">
        <f t="shared" si="150"/>
        <v>1769</v>
      </c>
      <c r="Y1718" s="11">
        <f t="shared" si="151"/>
        <v>1769</v>
      </c>
    </row>
    <row r="1719" spans="2:25">
      <c r="B1719" t="s">
        <v>26</v>
      </c>
      <c r="C1719" t="s">
        <v>7749</v>
      </c>
      <c r="D1719" t="s">
        <v>7750</v>
      </c>
      <c r="E1719" t="s">
        <v>29</v>
      </c>
      <c r="F1719" t="s">
        <v>30</v>
      </c>
      <c r="G1719" t="s">
        <v>31</v>
      </c>
      <c r="J1719" t="s">
        <v>7749</v>
      </c>
      <c r="K1719" t="s">
        <v>1967</v>
      </c>
      <c r="L1719" t="s">
        <v>5088</v>
      </c>
      <c r="M1719" s="8">
        <v>0.609</v>
      </c>
      <c r="N1719">
        <v>0</v>
      </c>
      <c r="O1719">
        <v>1769</v>
      </c>
      <c r="P1719" s="9">
        <v>0.253</v>
      </c>
      <c r="Q1719" t="s">
        <v>1423</v>
      </c>
      <c r="T1719" s="15" t="s">
        <v>89</v>
      </c>
      <c r="W1719" s="16" t="str">
        <f t="shared" si="149"/>
        <v>EN_WON_25_c01_PAN</v>
      </c>
      <c r="X1719" s="12">
        <f t="shared" si="150"/>
        <v>1769</v>
      </c>
      <c r="Y1719" s="11">
        <f t="shared" si="151"/>
        <v>1769</v>
      </c>
    </row>
    <row r="1720" spans="2:25">
      <c r="B1720" t="s">
        <v>26</v>
      </c>
      <c r="C1720" t="s">
        <v>7751</v>
      </c>
      <c r="D1720" t="s">
        <v>7752</v>
      </c>
      <c r="E1720" t="s">
        <v>29</v>
      </c>
      <c r="F1720" t="s">
        <v>30</v>
      </c>
      <c r="G1720" t="s">
        <v>31</v>
      </c>
      <c r="J1720" t="s">
        <v>7751</v>
      </c>
      <c r="K1720" t="s">
        <v>1967</v>
      </c>
      <c r="L1720" t="s">
        <v>5088</v>
      </c>
      <c r="M1720" s="8">
        <v>4.50525</v>
      </c>
      <c r="N1720">
        <v>105.747516212372</v>
      </c>
      <c r="O1720">
        <v>1769</v>
      </c>
      <c r="P1720" s="9">
        <v>0.282</v>
      </c>
      <c r="Q1720" t="s">
        <v>1423</v>
      </c>
      <c r="T1720" s="15" t="s">
        <v>89</v>
      </c>
      <c r="W1720" s="16" t="str">
        <f t="shared" si="149"/>
        <v>EN_WON_28_c03_PAN</v>
      </c>
      <c r="X1720" s="12">
        <f t="shared" si="150"/>
        <v>1769</v>
      </c>
      <c r="Y1720" s="11">
        <f t="shared" si="151"/>
        <v>1769</v>
      </c>
    </row>
    <row r="1721" spans="2:25">
      <c r="B1721" t="s">
        <v>26</v>
      </c>
      <c r="C1721" t="s">
        <v>7753</v>
      </c>
      <c r="D1721" t="s">
        <v>7754</v>
      </c>
      <c r="E1721" t="s">
        <v>29</v>
      </c>
      <c r="F1721" t="s">
        <v>30</v>
      </c>
      <c r="G1721" t="s">
        <v>31</v>
      </c>
      <c r="J1721" t="s">
        <v>7753</v>
      </c>
      <c r="K1721" t="s">
        <v>1967</v>
      </c>
      <c r="L1721" t="s">
        <v>5088</v>
      </c>
      <c r="M1721" s="8">
        <v>1.536</v>
      </c>
      <c r="N1721">
        <v>145.23264029167</v>
      </c>
      <c r="O1721">
        <v>1769</v>
      </c>
      <c r="P1721" s="9">
        <v>0.275</v>
      </c>
      <c r="Q1721" t="s">
        <v>1423</v>
      </c>
      <c r="T1721" s="15" t="s">
        <v>89</v>
      </c>
      <c r="W1721" s="16" t="str">
        <f t="shared" si="149"/>
        <v>EN_WON_28_c04_PAN</v>
      </c>
      <c r="X1721" s="12">
        <f t="shared" si="150"/>
        <v>1769</v>
      </c>
      <c r="Y1721" s="11">
        <f t="shared" si="151"/>
        <v>1769</v>
      </c>
    </row>
    <row r="1722" spans="2:25">
      <c r="B1722" t="s">
        <v>26</v>
      </c>
      <c r="C1722" t="s">
        <v>7755</v>
      </c>
      <c r="D1722" t="s">
        <v>7756</v>
      </c>
      <c r="E1722" t="s">
        <v>29</v>
      </c>
      <c r="F1722" t="s">
        <v>30</v>
      </c>
      <c r="G1722" t="s">
        <v>31</v>
      </c>
      <c r="J1722" t="s">
        <v>7755</v>
      </c>
      <c r="K1722" t="s">
        <v>1967</v>
      </c>
      <c r="L1722" t="s">
        <v>5088</v>
      </c>
      <c r="M1722" s="8">
        <v>0.00525</v>
      </c>
      <c r="N1722">
        <v>0</v>
      </c>
      <c r="O1722">
        <v>1769</v>
      </c>
      <c r="P1722" s="9">
        <v>0.393</v>
      </c>
      <c r="Q1722" t="s">
        <v>1423</v>
      </c>
      <c r="T1722" s="15" t="s">
        <v>89</v>
      </c>
      <c r="W1722" s="16" t="str">
        <f t="shared" si="149"/>
        <v>EN_WON_39_c01_PAN</v>
      </c>
      <c r="X1722" s="12">
        <f t="shared" si="150"/>
        <v>1769</v>
      </c>
      <c r="Y1722" s="11">
        <f t="shared" si="151"/>
        <v>1769</v>
      </c>
    </row>
    <row r="1723" spans="2:25">
      <c r="B1723" t="s">
        <v>26</v>
      </c>
      <c r="C1723" t="s">
        <v>7757</v>
      </c>
      <c r="D1723" t="s">
        <v>7758</v>
      </c>
      <c r="E1723" t="s">
        <v>29</v>
      </c>
      <c r="F1723" t="s">
        <v>30</v>
      </c>
      <c r="G1723" t="s">
        <v>31</v>
      </c>
      <c r="J1723" t="s">
        <v>7757</v>
      </c>
      <c r="K1723" t="s">
        <v>1967</v>
      </c>
      <c r="L1723" t="s">
        <v>5093</v>
      </c>
      <c r="M1723" s="8">
        <v>1.97775</v>
      </c>
      <c r="N1723">
        <v>145.23264029167</v>
      </c>
      <c r="O1723">
        <v>1575</v>
      </c>
      <c r="P1723" s="9">
        <v>0.152707622298066</v>
      </c>
      <c r="Q1723" t="s">
        <v>1433</v>
      </c>
      <c r="T1723" s="15" t="s">
        <v>89</v>
      </c>
      <c r="W1723" s="16" t="str">
        <f t="shared" si="149"/>
        <v>EN_WON_15_c04_PER</v>
      </c>
      <c r="X1723" s="12">
        <f t="shared" si="150"/>
        <v>1575</v>
      </c>
      <c r="Y1723" s="11">
        <f t="shared" si="151"/>
        <v>1575</v>
      </c>
    </row>
    <row r="1724" spans="2:25">
      <c r="B1724" t="s">
        <v>26</v>
      </c>
      <c r="C1724" t="s">
        <v>7759</v>
      </c>
      <c r="D1724" t="s">
        <v>7760</v>
      </c>
      <c r="E1724" t="s">
        <v>29</v>
      </c>
      <c r="F1724" t="s">
        <v>30</v>
      </c>
      <c r="G1724" t="s">
        <v>31</v>
      </c>
      <c r="J1724" t="s">
        <v>7759</v>
      </c>
      <c r="K1724" t="s">
        <v>1967</v>
      </c>
      <c r="L1724" t="s">
        <v>5093</v>
      </c>
      <c r="M1724" s="8">
        <v>9.36</v>
      </c>
      <c r="N1724">
        <v>145.23264029167</v>
      </c>
      <c r="O1724">
        <v>1575</v>
      </c>
      <c r="P1724" s="9">
        <v>0.162303365384615</v>
      </c>
      <c r="Q1724" t="s">
        <v>1433</v>
      </c>
      <c r="T1724" s="15" t="s">
        <v>89</v>
      </c>
      <c r="W1724" s="16" t="str">
        <f t="shared" si="149"/>
        <v>EN_WON_16_c04_PER</v>
      </c>
      <c r="X1724" s="12">
        <f t="shared" si="150"/>
        <v>1575</v>
      </c>
      <c r="Y1724" s="11">
        <f t="shared" si="151"/>
        <v>1575</v>
      </c>
    </row>
    <row r="1725" spans="2:25">
      <c r="B1725" t="s">
        <v>26</v>
      </c>
      <c r="C1725" t="s">
        <v>7761</v>
      </c>
      <c r="D1725" t="s">
        <v>7762</v>
      </c>
      <c r="E1725" t="s">
        <v>29</v>
      </c>
      <c r="F1725" t="s">
        <v>30</v>
      </c>
      <c r="G1725" t="s">
        <v>31</v>
      </c>
      <c r="J1725" t="s">
        <v>7761</v>
      </c>
      <c r="K1725" t="s">
        <v>1967</v>
      </c>
      <c r="L1725" t="s">
        <v>5093</v>
      </c>
      <c r="M1725" s="8">
        <v>7.1415</v>
      </c>
      <c r="N1725">
        <v>145.23264029167</v>
      </c>
      <c r="O1725">
        <v>1575</v>
      </c>
      <c r="P1725" s="9">
        <v>0.17181190926276</v>
      </c>
      <c r="Q1725" t="s">
        <v>1433</v>
      </c>
      <c r="T1725" s="15" t="s">
        <v>89</v>
      </c>
      <c r="W1725" s="16" t="str">
        <f t="shared" si="149"/>
        <v>EN_WON_17_c04_PER</v>
      </c>
      <c r="X1725" s="12">
        <f t="shared" si="150"/>
        <v>1575</v>
      </c>
      <c r="Y1725" s="11">
        <f t="shared" si="151"/>
        <v>1575</v>
      </c>
    </row>
    <row r="1726" spans="2:25">
      <c r="B1726" t="s">
        <v>26</v>
      </c>
      <c r="C1726" t="s">
        <v>7763</v>
      </c>
      <c r="D1726" t="s">
        <v>7764</v>
      </c>
      <c r="E1726" t="s">
        <v>29</v>
      </c>
      <c r="F1726" t="s">
        <v>30</v>
      </c>
      <c r="G1726" t="s">
        <v>31</v>
      </c>
      <c r="J1726" t="s">
        <v>7763</v>
      </c>
      <c r="K1726" t="s">
        <v>1967</v>
      </c>
      <c r="L1726" t="s">
        <v>5093</v>
      </c>
      <c r="M1726" s="8">
        <v>8.13</v>
      </c>
      <c r="N1726">
        <v>145.23264029167</v>
      </c>
      <c r="O1726">
        <v>1575</v>
      </c>
      <c r="P1726" s="9">
        <v>0.178896494464945</v>
      </c>
      <c r="Q1726" t="s">
        <v>1433</v>
      </c>
      <c r="T1726" s="15" t="s">
        <v>89</v>
      </c>
      <c r="W1726" s="16" t="str">
        <f t="shared" si="149"/>
        <v>EN_WON_18_c04_PER</v>
      </c>
      <c r="X1726" s="12">
        <f t="shared" si="150"/>
        <v>1575</v>
      </c>
      <c r="Y1726" s="11">
        <f t="shared" si="151"/>
        <v>1575</v>
      </c>
    </row>
    <row r="1727" spans="2:25">
      <c r="B1727" t="s">
        <v>26</v>
      </c>
      <c r="C1727" t="s">
        <v>7765</v>
      </c>
      <c r="D1727" t="s">
        <v>7766</v>
      </c>
      <c r="E1727" t="s">
        <v>29</v>
      </c>
      <c r="F1727" t="s">
        <v>30</v>
      </c>
      <c r="G1727" t="s">
        <v>31</v>
      </c>
      <c r="J1727" t="s">
        <v>7765</v>
      </c>
      <c r="K1727" t="s">
        <v>1967</v>
      </c>
      <c r="L1727" t="s">
        <v>5093</v>
      </c>
      <c r="M1727" s="8">
        <v>0.1515</v>
      </c>
      <c r="N1727">
        <v>105.747516212372</v>
      </c>
      <c r="O1727">
        <v>1575</v>
      </c>
      <c r="P1727" s="9">
        <v>0.185</v>
      </c>
      <c r="Q1727" t="s">
        <v>1433</v>
      </c>
      <c r="T1727" s="15" t="s">
        <v>89</v>
      </c>
      <c r="W1727" s="16" t="str">
        <f t="shared" si="149"/>
        <v>EN_WON_19_c03_PER</v>
      </c>
      <c r="X1727" s="12">
        <f t="shared" si="150"/>
        <v>1575</v>
      </c>
      <c r="Y1727" s="11">
        <f t="shared" si="151"/>
        <v>1575</v>
      </c>
    </row>
    <row r="1728" spans="2:25">
      <c r="B1728" t="s">
        <v>26</v>
      </c>
      <c r="C1728" t="s">
        <v>7767</v>
      </c>
      <c r="D1728" t="s">
        <v>7768</v>
      </c>
      <c r="E1728" t="s">
        <v>29</v>
      </c>
      <c r="F1728" t="s">
        <v>30</v>
      </c>
      <c r="G1728" t="s">
        <v>31</v>
      </c>
      <c r="J1728" t="s">
        <v>7767</v>
      </c>
      <c r="K1728" t="s">
        <v>1967</v>
      </c>
      <c r="L1728" t="s">
        <v>5093</v>
      </c>
      <c r="M1728" s="8">
        <v>9.399</v>
      </c>
      <c r="N1728">
        <v>145.23264029167</v>
      </c>
      <c r="O1728">
        <v>1575</v>
      </c>
      <c r="P1728" s="9">
        <v>0.191343759974465</v>
      </c>
      <c r="Q1728" t="s">
        <v>1433</v>
      </c>
      <c r="T1728" s="15" t="s">
        <v>89</v>
      </c>
      <c r="W1728" s="16" t="str">
        <f t="shared" si="149"/>
        <v>EN_WON_19_c04_PER</v>
      </c>
      <c r="X1728" s="12">
        <f t="shared" si="150"/>
        <v>1575</v>
      </c>
      <c r="Y1728" s="11">
        <f t="shared" si="151"/>
        <v>1575</v>
      </c>
    </row>
    <row r="1729" spans="2:25">
      <c r="B1729" t="s">
        <v>26</v>
      </c>
      <c r="C1729" t="s">
        <v>7769</v>
      </c>
      <c r="D1729" t="s">
        <v>7770</v>
      </c>
      <c r="E1729" t="s">
        <v>29</v>
      </c>
      <c r="F1729" t="s">
        <v>30</v>
      </c>
      <c r="G1729" t="s">
        <v>31</v>
      </c>
      <c r="J1729" t="s">
        <v>7769</v>
      </c>
      <c r="K1729" t="s">
        <v>1967</v>
      </c>
      <c r="L1729" t="s">
        <v>5093</v>
      </c>
      <c r="M1729" s="8">
        <v>0.0105</v>
      </c>
      <c r="N1729">
        <v>80.7856561622413</v>
      </c>
      <c r="O1729">
        <v>1575</v>
      </c>
      <c r="P1729" s="9">
        <v>0.195</v>
      </c>
      <c r="Q1729" t="s">
        <v>1433</v>
      </c>
      <c r="T1729" s="15" t="s">
        <v>89</v>
      </c>
      <c r="W1729" s="16" t="str">
        <f t="shared" si="149"/>
        <v>EN_WON_20_c02_PER</v>
      </c>
      <c r="X1729" s="12">
        <f t="shared" si="150"/>
        <v>1575</v>
      </c>
      <c r="Y1729" s="11">
        <f t="shared" si="151"/>
        <v>1575</v>
      </c>
    </row>
    <row r="1730" spans="2:25">
      <c r="B1730" t="s">
        <v>26</v>
      </c>
      <c r="C1730" t="s">
        <v>7771</v>
      </c>
      <c r="D1730" t="s">
        <v>7772</v>
      </c>
      <c r="E1730" t="s">
        <v>29</v>
      </c>
      <c r="F1730" t="s">
        <v>30</v>
      </c>
      <c r="G1730" t="s">
        <v>31</v>
      </c>
      <c r="J1730" t="s">
        <v>7771</v>
      </c>
      <c r="K1730" t="s">
        <v>1967</v>
      </c>
      <c r="L1730" t="s">
        <v>5093</v>
      </c>
      <c r="M1730" s="8">
        <v>2.361</v>
      </c>
      <c r="N1730">
        <v>145.23264029167</v>
      </c>
      <c r="O1730">
        <v>1575</v>
      </c>
      <c r="P1730" s="9">
        <v>0.202728081321474</v>
      </c>
      <c r="Q1730" t="s">
        <v>1433</v>
      </c>
      <c r="T1730" s="15" t="s">
        <v>89</v>
      </c>
      <c r="W1730" s="16" t="str">
        <f t="shared" si="149"/>
        <v>EN_WON_20_c04_PER</v>
      </c>
      <c r="X1730" s="12">
        <f t="shared" si="150"/>
        <v>1575</v>
      </c>
      <c r="Y1730" s="11">
        <f t="shared" si="151"/>
        <v>1575</v>
      </c>
    </row>
    <row r="1731" spans="2:25">
      <c r="B1731" t="s">
        <v>26</v>
      </c>
      <c r="C1731" t="s">
        <v>7773</v>
      </c>
      <c r="D1731" t="s">
        <v>7774</v>
      </c>
      <c r="E1731" t="s">
        <v>29</v>
      </c>
      <c r="F1731" t="s">
        <v>30</v>
      </c>
      <c r="G1731" t="s">
        <v>31</v>
      </c>
      <c r="J1731" t="s">
        <v>7773</v>
      </c>
      <c r="K1731" t="s">
        <v>1967</v>
      </c>
      <c r="L1731" t="s">
        <v>5093</v>
      </c>
      <c r="M1731" s="8">
        <v>5.02275</v>
      </c>
      <c r="N1731">
        <v>145.23264029167</v>
      </c>
      <c r="O1731">
        <v>1575</v>
      </c>
      <c r="P1731" s="9">
        <v>0.208389428102135</v>
      </c>
      <c r="Q1731" t="s">
        <v>1433</v>
      </c>
      <c r="T1731" s="15" t="s">
        <v>89</v>
      </c>
      <c r="W1731" s="16" t="str">
        <f t="shared" si="149"/>
        <v>EN_WON_21_c04_PER</v>
      </c>
      <c r="X1731" s="12">
        <f t="shared" si="150"/>
        <v>1575</v>
      </c>
      <c r="Y1731" s="11">
        <f t="shared" si="151"/>
        <v>1575</v>
      </c>
    </row>
    <row r="1732" spans="2:25">
      <c r="B1732" t="s">
        <v>26</v>
      </c>
      <c r="C1732" t="s">
        <v>7775</v>
      </c>
      <c r="D1732" t="s">
        <v>7776</v>
      </c>
      <c r="E1732" t="s">
        <v>29</v>
      </c>
      <c r="F1732" t="s">
        <v>30</v>
      </c>
      <c r="G1732" t="s">
        <v>31</v>
      </c>
      <c r="J1732" t="s">
        <v>7775</v>
      </c>
      <c r="K1732" t="s">
        <v>1967</v>
      </c>
      <c r="L1732" t="s">
        <v>5093</v>
      </c>
      <c r="M1732" s="8">
        <v>5.97075</v>
      </c>
      <c r="N1732">
        <v>145.23264029167</v>
      </c>
      <c r="O1732">
        <v>1575</v>
      </c>
      <c r="P1732" s="9">
        <v>0.219388267805552</v>
      </c>
      <c r="Q1732" t="s">
        <v>1433</v>
      </c>
      <c r="T1732" s="15" t="s">
        <v>89</v>
      </c>
      <c r="W1732" s="16" t="str">
        <f t="shared" si="149"/>
        <v>EN_WON_22_c04_PER</v>
      </c>
      <c r="X1732" s="12">
        <f t="shared" si="150"/>
        <v>1575</v>
      </c>
      <c r="Y1732" s="11">
        <f t="shared" si="151"/>
        <v>1575</v>
      </c>
    </row>
    <row r="1733" spans="2:25">
      <c r="B1733" t="s">
        <v>26</v>
      </c>
      <c r="C1733" t="s">
        <v>7777</v>
      </c>
      <c r="D1733" t="s">
        <v>7778</v>
      </c>
      <c r="E1733" t="s">
        <v>29</v>
      </c>
      <c r="F1733" t="s">
        <v>30</v>
      </c>
      <c r="G1733" t="s">
        <v>31</v>
      </c>
      <c r="J1733" t="s">
        <v>7777</v>
      </c>
      <c r="K1733" t="s">
        <v>1967</v>
      </c>
      <c r="L1733" t="s">
        <v>5093</v>
      </c>
      <c r="M1733" s="8">
        <v>11.21475</v>
      </c>
      <c r="N1733">
        <v>145.23264029167</v>
      </c>
      <c r="O1733">
        <v>1575</v>
      </c>
      <c r="P1733" s="9">
        <v>0.228783588577543</v>
      </c>
      <c r="Q1733" t="s">
        <v>1433</v>
      </c>
      <c r="T1733" s="15" t="s">
        <v>89</v>
      </c>
      <c r="W1733" s="16" t="str">
        <f t="shared" si="149"/>
        <v>EN_WON_23_c04_PER</v>
      </c>
      <c r="X1733" s="12">
        <f t="shared" si="150"/>
        <v>1575</v>
      </c>
      <c r="Y1733" s="11">
        <f t="shared" si="151"/>
        <v>1575</v>
      </c>
    </row>
    <row r="1734" spans="2:25">
      <c r="B1734" t="s">
        <v>26</v>
      </c>
      <c r="C1734" t="s">
        <v>7779</v>
      </c>
      <c r="D1734" t="s">
        <v>7780</v>
      </c>
      <c r="E1734" t="s">
        <v>29</v>
      </c>
      <c r="F1734" t="s">
        <v>30</v>
      </c>
      <c r="G1734" t="s">
        <v>31</v>
      </c>
      <c r="J1734" t="s">
        <v>7779</v>
      </c>
      <c r="K1734" t="s">
        <v>1967</v>
      </c>
      <c r="L1734" t="s">
        <v>5093</v>
      </c>
      <c r="M1734" s="8">
        <v>0.0075</v>
      </c>
      <c r="N1734">
        <v>0</v>
      </c>
      <c r="O1734">
        <v>1575</v>
      </c>
      <c r="P1734" s="9">
        <v>0.253</v>
      </c>
      <c r="Q1734" t="s">
        <v>1433</v>
      </c>
      <c r="T1734" s="15" t="s">
        <v>89</v>
      </c>
      <c r="W1734" s="16" t="str">
        <f t="shared" ref="W1734:W1797" si="152">J1734</f>
        <v>EN_WON_25_c01_PER</v>
      </c>
      <c r="X1734" s="12">
        <f t="shared" ref="X1734:X1797" si="153">O1734</f>
        <v>1575</v>
      </c>
      <c r="Y1734" s="11">
        <f t="shared" ref="Y1734:Y1797" si="154">X1734</f>
        <v>1575</v>
      </c>
    </row>
    <row r="1735" spans="2:25">
      <c r="B1735" t="s">
        <v>26</v>
      </c>
      <c r="C1735" t="s">
        <v>7781</v>
      </c>
      <c r="D1735" t="s">
        <v>7782</v>
      </c>
      <c r="E1735" t="s">
        <v>29</v>
      </c>
      <c r="F1735" t="s">
        <v>30</v>
      </c>
      <c r="G1735" t="s">
        <v>31</v>
      </c>
      <c r="J1735" t="s">
        <v>7781</v>
      </c>
      <c r="K1735" t="s">
        <v>1967</v>
      </c>
      <c r="L1735" t="s">
        <v>5093</v>
      </c>
      <c r="M1735" s="8">
        <v>4.2645</v>
      </c>
      <c r="N1735">
        <v>145.23264029167</v>
      </c>
      <c r="O1735">
        <v>1575</v>
      </c>
      <c r="P1735" s="9">
        <v>0.249600597959902</v>
      </c>
      <c r="Q1735" t="s">
        <v>1433</v>
      </c>
      <c r="T1735" s="15" t="s">
        <v>89</v>
      </c>
      <c r="W1735" s="16" t="str">
        <f t="shared" si="152"/>
        <v>EN_WON_25_c04_PER</v>
      </c>
      <c r="X1735" s="12">
        <f t="shared" si="153"/>
        <v>1575</v>
      </c>
      <c r="Y1735" s="11">
        <f t="shared" si="154"/>
        <v>1575</v>
      </c>
    </row>
    <row r="1736" spans="2:25">
      <c r="B1736" t="s">
        <v>26</v>
      </c>
      <c r="C1736" t="s">
        <v>7783</v>
      </c>
      <c r="D1736" t="s">
        <v>7784</v>
      </c>
      <c r="E1736" t="s">
        <v>29</v>
      </c>
      <c r="F1736" t="s">
        <v>30</v>
      </c>
      <c r="G1736" t="s">
        <v>31</v>
      </c>
      <c r="J1736" t="s">
        <v>7783</v>
      </c>
      <c r="K1736" t="s">
        <v>1967</v>
      </c>
      <c r="L1736" t="s">
        <v>5093</v>
      </c>
      <c r="M1736" s="8">
        <v>1.55925</v>
      </c>
      <c r="N1736">
        <v>105.747516212372</v>
      </c>
      <c r="O1736">
        <v>1575</v>
      </c>
      <c r="P1736" s="9">
        <v>0.257</v>
      </c>
      <c r="Q1736" t="s">
        <v>1433</v>
      </c>
      <c r="T1736" s="15" t="s">
        <v>89</v>
      </c>
      <c r="W1736" s="16" t="str">
        <f t="shared" si="152"/>
        <v>EN_WON_26_c03_PER</v>
      </c>
      <c r="X1736" s="12">
        <f t="shared" si="153"/>
        <v>1575</v>
      </c>
      <c r="Y1736" s="11">
        <f t="shared" si="154"/>
        <v>1575</v>
      </c>
    </row>
    <row r="1737" spans="2:25">
      <c r="B1737" t="s">
        <v>26</v>
      </c>
      <c r="C1737" t="s">
        <v>7785</v>
      </c>
      <c r="D1737" t="s">
        <v>7786</v>
      </c>
      <c r="E1737" t="s">
        <v>29</v>
      </c>
      <c r="F1737" t="s">
        <v>30</v>
      </c>
      <c r="G1737" t="s">
        <v>31</v>
      </c>
      <c r="J1737" t="s">
        <v>7785</v>
      </c>
      <c r="K1737" t="s">
        <v>1967</v>
      </c>
      <c r="L1737" t="s">
        <v>5093</v>
      </c>
      <c r="M1737" s="8">
        <v>2.667</v>
      </c>
      <c r="N1737">
        <v>145.23264029167</v>
      </c>
      <c r="O1737">
        <v>1575</v>
      </c>
      <c r="P1737" s="9">
        <v>0.259</v>
      </c>
      <c r="Q1737" t="s">
        <v>1433</v>
      </c>
      <c r="T1737" s="15" t="s">
        <v>89</v>
      </c>
      <c r="W1737" s="16" t="str">
        <f t="shared" si="152"/>
        <v>EN_WON_26_c04_PER</v>
      </c>
      <c r="X1737" s="12">
        <f t="shared" si="153"/>
        <v>1575</v>
      </c>
      <c r="Y1737" s="11">
        <f t="shared" si="154"/>
        <v>1575</v>
      </c>
    </row>
    <row r="1738" spans="2:25">
      <c r="B1738" t="s">
        <v>26</v>
      </c>
      <c r="C1738" t="s">
        <v>7787</v>
      </c>
      <c r="D1738" t="s">
        <v>7788</v>
      </c>
      <c r="E1738" t="s">
        <v>29</v>
      </c>
      <c r="F1738" t="s">
        <v>30</v>
      </c>
      <c r="G1738" t="s">
        <v>31</v>
      </c>
      <c r="J1738" t="s">
        <v>7787</v>
      </c>
      <c r="K1738" t="s">
        <v>1967</v>
      </c>
      <c r="L1738" t="s">
        <v>5093</v>
      </c>
      <c r="M1738" s="8">
        <v>0.21375</v>
      </c>
      <c r="N1738">
        <v>80.7856561622413</v>
      </c>
      <c r="O1738">
        <v>1575</v>
      </c>
      <c r="P1738" s="9">
        <v>0.266</v>
      </c>
      <c r="Q1738" t="s">
        <v>1433</v>
      </c>
      <c r="T1738" s="15" t="s">
        <v>89</v>
      </c>
      <c r="W1738" s="16" t="str">
        <f t="shared" si="152"/>
        <v>EN_WON_27_c02_PER</v>
      </c>
      <c r="X1738" s="12">
        <f t="shared" si="153"/>
        <v>1575</v>
      </c>
      <c r="Y1738" s="11">
        <f t="shared" si="154"/>
        <v>1575</v>
      </c>
    </row>
    <row r="1739" spans="2:25">
      <c r="B1739" t="s">
        <v>26</v>
      </c>
      <c r="C1739" t="s">
        <v>7789</v>
      </c>
      <c r="D1739" t="s">
        <v>7790</v>
      </c>
      <c r="E1739" t="s">
        <v>29</v>
      </c>
      <c r="F1739" t="s">
        <v>30</v>
      </c>
      <c r="G1739" t="s">
        <v>31</v>
      </c>
      <c r="J1739" t="s">
        <v>7789</v>
      </c>
      <c r="K1739" t="s">
        <v>1967</v>
      </c>
      <c r="L1739" t="s">
        <v>5093</v>
      </c>
      <c r="M1739" s="8">
        <v>0.00825</v>
      </c>
      <c r="N1739">
        <v>105.747516212372</v>
      </c>
      <c r="O1739">
        <v>1575</v>
      </c>
      <c r="P1739" s="9">
        <v>0.270727272727273</v>
      </c>
      <c r="Q1739" t="s">
        <v>1433</v>
      </c>
      <c r="T1739" s="15" t="s">
        <v>89</v>
      </c>
      <c r="W1739" s="16" t="str">
        <f t="shared" si="152"/>
        <v>EN_WON_27_c03_PER</v>
      </c>
      <c r="X1739" s="12">
        <f t="shared" si="153"/>
        <v>1575</v>
      </c>
      <c r="Y1739" s="11">
        <f t="shared" si="154"/>
        <v>1575</v>
      </c>
    </row>
    <row r="1740" spans="2:25">
      <c r="B1740" t="s">
        <v>26</v>
      </c>
      <c r="C1740" t="s">
        <v>7791</v>
      </c>
      <c r="D1740" t="s">
        <v>7792</v>
      </c>
      <c r="E1740" t="s">
        <v>29</v>
      </c>
      <c r="F1740" t="s">
        <v>30</v>
      </c>
      <c r="G1740" t="s">
        <v>31</v>
      </c>
      <c r="J1740" t="s">
        <v>7791</v>
      </c>
      <c r="K1740" t="s">
        <v>1967</v>
      </c>
      <c r="L1740" t="s">
        <v>5093</v>
      </c>
      <c r="M1740" s="8">
        <v>3.13725</v>
      </c>
      <c r="N1740">
        <v>145.23264029167</v>
      </c>
      <c r="O1740">
        <v>1575</v>
      </c>
      <c r="P1740" s="9">
        <v>0.273494860148219</v>
      </c>
      <c r="Q1740" t="s">
        <v>1433</v>
      </c>
      <c r="T1740" s="15" t="s">
        <v>89</v>
      </c>
      <c r="W1740" s="16" t="str">
        <f t="shared" si="152"/>
        <v>EN_WON_27_c04_PER</v>
      </c>
      <c r="X1740" s="12">
        <f t="shared" si="153"/>
        <v>1575</v>
      </c>
      <c r="Y1740" s="11">
        <f t="shared" si="154"/>
        <v>1575</v>
      </c>
    </row>
    <row r="1741" spans="2:25">
      <c r="B1741" t="s">
        <v>26</v>
      </c>
      <c r="C1741" t="s">
        <v>7793</v>
      </c>
      <c r="D1741" t="s">
        <v>7794</v>
      </c>
      <c r="E1741" t="s">
        <v>29</v>
      </c>
      <c r="F1741" t="s">
        <v>30</v>
      </c>
      <c r="G1741" t="s">
        <v>31</v>
      </c>
      <c r="J1741" t="s">
        <v>7793</v>
      </c>
      <c r="K1741" t="s">
        <v>1967</v>
      </c>
      <c r="L1741" t="s">
        <v>5093</v>
      </c>
      <c r="M1741" s="8">
        <v>1.1925</v>
      </c>
      <c r="N1741">
        <v>145.23264029167</v>
      </c>
      <c r="O1741">
        <v>1575</v>
      </c>
      <c r="P1741" s="9">
        <v>0.283</v>
      </c>
      <c r="Q1741" t="s">
        <v>1433</v>
      </c>
      <c r="T1741" s="15" t="s">
        <v>89</v>
      </c>
      <c r="W1741" s="16" t="str">
        <f t="shared" si="152"/>
        <v>EN_WON_28_c04_PER</v>
      </c>
      <c r="X1741" s="12">
        <f t="shared" si="153"/>
        <v>1575</v>
      </c>
      <c r="Y1741" s="11">
        <f t="shared" si="154"/>
        <v>1575</v>
      </c>
    </row>
    <row r="1742" spans="2:25">
      <c r="B1742" t="s">
        <v>26</v>
      </c>
      <c r="C1742" t="s">
        <v>7795</v>
      </c>
      <c r="D1742" t="s">
        <v>7796</v>
      </c>
      <c r="E1742" t="s">
        <v>29</v>
      </c>
      <c r="F1742" t="s">
        <v>30</v>
      </c>
      <c r="G1742" t="s">
        <v>31</v>
      </c>
      <c r="J1742" t="s">
        <v>7795</v>
      </c>
      <c r="K1742" t="s">
        <v>1967</v>
      </c>
      <c r="L1742" t="s">
        <v>5093</v>
      </c>
      <c r="M1742" s="8">
        <v>4.305</v>
      </c>
      <c r="N1742">
        <v>80.7856561622413</v>
      </c>
      <c r="O1742">
        <v>1575</v>
      </c>
      <c r="P1742" s="9">
        <v>0.288</v>
      </c>
      <c r="Q1742" t="s">
        <v>1433</v>
      </c>
      <c r="T1742" s="15" t="s">
        <v>89</v>
      </c>
      <c r="W1742" s="16" t="str">
        <f t="shared" si="152"/>
        <v>EN_WON_29_c02_PER</v>
      </c>
      <c r="X1742" s="12">
        <f t="shared" si="153"/>
        <v>1575</v>
      </c>
      <c r="Y1742" s="11">
        <f t="shared" si="154"/>
        <v>1575</v>
      </c>
    </row>
    <row r="1743" spans="2:25">
      <c r="B1743" t="s">
        <v>26</v>
      </c>
      <c r="C1743" t="s">
        <v>7797</v>
      </c>
      <c r="D1743" t="s">
        <v>7798</v>
      </c>
      <c r="E1743" t="s">
        <v>29</v>
      </c>
      <c r="F1743" t="s">
        <v>30</v>
      </c>
      <c r="G1743" t="s">
        <v>31</v>
      </c>
      <c r="J1743" t="s">
        <v>7797</v>
      </c>
      <c r="K1743" t="s">
        <v>1967</v>
      </c>
      <c r="L1743" t="s">
        <v>5093</v>
      </c>
      <c r="M1743" s="8">
        <v>0.21525</v>
      </c>
      <c r="N1743">
        <v>105.747516212372</v>
      </c>
      <c r="O1743">
        <v>1575</v>
      </c>
      <c r="P1743" s="9">
        <v>0.297</v>
      </c>
      <c r="Q1743" t="s">
        <v>1433</v>
      </c>
      <c r="T1743" s="15" t="s">
        <v>89</v>
      </c>
      <c r="W1743" s="16" t="str">
        <f t="shared" si="152"/>
        <v>EN_WON_30_c03_PER</v>
      </c>
      <c r="X1743" s="12">
        <f t="shared" si="153"/>
        <v>1575</v>
      </c>
      <c r="Y1743" s="11">
        <f t="shared" si="154"/>
        <v>1575</v>
      </c>
    </row>
    <row r="1744" spans="2:25">
      <c r="B1744" t="s">
        <v>26</v>
      </c>
      <c r="C1744" t="s">
        <v>7799</v>
      </c>
      <c r="D1744" t="s">
        <v>7800</v>
      </c>
      <c r="E1744" t="s">
        <v>29</v>
      </c>
      <c r="F1744" t="s">
        <v>30</v>
      </c>
      <c r="G1744" t="s">
        <v>31</v>
      </c>
      <c r="J1744" t="s">
        <v>7799</v>
      </c>
      <c r="K1744" t="s">
        <v>1967</v>
      </c>
      <c r="L1744" t="s">
        <v>5093</v>
      </c>
      <c r="M1744" s="8">
        <v>3.405</v>
      </c>
      <c r="N1744">
        <v>145.23264029167</v>
      </c>
      <c r="O1744">
        <v>1575</v>
      </c>
      <c r="P1744" s="9">
        <v>0.308779295154185</v>
      </c>
      <c r="Q1744" t="s">
        <v>1433</v>
      </c>
      <c r="T1744" s="15" t="s">
        <v>89</v>
      </c>
      <c r="W1744" s="16" t="str">
        <f t="shared" si="152"/>
        <v>EN_WON_31_c04_PER</v>
      </c>
      <c r="X1744" s="12">
        <f t="shared" si="153"/>
        <v>1575</v>
      </c>
      <c r="Y1744" s="11">
        <f t="shared" si="154"/>
        <v>1575</v>
      </c>
    </row>
    <row r="1745" spans="2:25">
      <c r="B1745" t="s">
        <v>26</v>
      </c>
      <c r="C1745" t="s">
        <v>7801</v>
      </c>
      <c r="D1745" t="s">
        <v>7802</v>
      </c>
      <c r="E1745" t="s">
        <v>29</v>
      </c>
      <c r="F1745" t="s">
        <v>30</v>
      </c>
      <c r="G1745" t="s">
        <v>31</v>
      </c>
      <c r="J1745" t="s">
        <v>7801</v>
      </c>
      <c r="K1745" t="s">
        <v>1967</v>
      </c>
      <c r="L1745" t="s">
        <v>5093</v>
      </c>
      <c r="M1745" s="8">
        <v>3.8325</v>
      </c>
      <c r="N1745">
        <v>80.7856561622413</v>
      </c>
      <c r="O1745">
        <v>1575</v>
      </c>
      <c r="P1745" s="9">
        <v>0.336</v>
      </c>
      <c r="Q1745" t="s">
        <v>1433</v>
      </c>
      <c r="T1745" s="15" t="s">
        <v>89</v>
      </c>
      <c r="W1745" s="16" t="str">
        <f t="shared" si="152"/>
        <v>EN_WON_34_c02_PER</v>
      </c>
      <c r="X1745" s="12">
        <f t="shared" si="153"/>
        <v>1575</v>
      </c>
      <c r="Y1745" s="11">
        <f t="shared" si="154"/>
        <v>1575</v>
      </c>
    </row>
    <row r="1746" spans="2:25">
      <c r="B1746" t="s">
        <v>26</v>
      </c>
      <c r="C1746" t="s">
        <v>7803</v>
      </c>
      <c r="D1746" t="s">
        <v>7804</v>
      </c>
      <c r="E1746" t="s">
        <v>29</v>
      </c>
      <c r="F1746" t="s">
        <v>30</v>
      </c>
      <c r="G1746" t="s">
        <v>31</v>
      </c>
      <c r="J1746" t="s">
        <v>7803</v>
      </c>
      <c r="K1746" t="s">
        <v>1967</v>
      </c>
      <c r="L1746" t="s">
        <v>5093</v>
      </c>
      <c r="M1746" s="8">
        <v>1.278</v>
      </c>
      <c r="N1746">
        <v>145.23264029167</v>
      </c>
      <c r="O1746">
        <v>1575</v>
      </c>
      <c r="P1746" s="9">
        <v>0.342</v>
      </c>
      <c r="Q1746" t="s">
        <v>1433</v>
      </c>
      <c r="T1746" s="15" t="s">
        <v>89</v>
      </c>
      <c r="W1746" s="16" t="str">
        <f t="shared" si="152"/>
        <v>EN_WON_34_c04_PER</v>
      </c>
      <c r="X1746" s="12">
        <f t="shared" si="153"/>
        <v>1575</v>
      </c>
      <c r="Y1746" s="11">
        <f t="shared" si="154"/>
        <v>1575</v>
      </c>
    </row>
    <row r="1747" spans="2:25">
      <c r="B1747" t="s">
        <v>26</v>
      </c>
      <c r="C1747" t="s">
        <v>7805</v>
      </c>
      <c r="D1747" t="s">
        <v>7806</v>
      </c>
      <c r="E1747" t="s">
        <v>29</v>
      </c>
      <c r="F1747" t="s">
        <v>30</v>
      </c>
      <c r="G1747" t="s">
        <v>31</v>
      </c>
      <c r="J1747" t="s">
        <v>7805</v>
      </c>
      <c r="K1747" t="s">
        <v>1967</v>
      </c>
      <c r="L1747" t="s">
        <v>5093</v>
      </c>
      <c r="M1747" s="8">
        <v>0.13575</v>
      </c>
      <c r="N1747">
        <v>0</v>
      </c>
      <c r="O1747">
        <v>1575</v>
      </c>
      <c r="P1747" s="9">
        <v>0.378</v>
      </c>
      <c r="Q1747" t="s">
        <v>1433</v>
      </c>
      <c r="T1747" s="15" t="s">
        <v>89</v>
      </c>
      <c r="W1747" s="16" t="str">
        <f t="shared" si="152"/>
        <v>EN_WON_38_c01_PER</v>
      </c>
      <c r="X1747" s="12">
        <f t="shared" si="153"/>
        <v>1575</v>
      </c>
      <c r="Y1747" s="11">
        <f t="shared" si="154"/>
        <v>1575</v>
      </c>
    </row>
    <row r="1748" spans="2:25">
      <c r="B1748" t="s">
        <v>26</v>
      </c>
      <c r="C1748" t="s">
        <v>7807</v>
      </c>
      <c r="D1748" t="s">
        <v>7808</v>
      </c>
      <c r="E1748" t="s">
        <v>29</v>
      </c>
      <c r="F1748" t="s">
        <v>30</v>
      </c>
      <c r="G1748" t="s">
        <v>31</v>
      </c>
      <c r="J1748" t="s">
        <v>7807</v>
      </c>
      <c r="K1748" t="s">
        <v>1967</v>
      </c>
      <c r="L1748" t="s">
        <v>5093</v>
      </c>
      <c r="M1748" s="8">
        <v>2.556</v>
      </c>
      <c r="N1748">
        <v>145.23264029167</v>
      </c>
      <c r="O1748">
        <v>1575</v>
      </c>
      <c r="P1748" s="9">
        <v>0.382</v>
      </c>
      <c r="Q1748" t="s">
        <v>1433</v>
      </c>
      <c r="T1748" s="15" t="s">
        <v>89</v>
      </c>
      <c r="W1748" s="16" t="str">
        <f t="shared" si="152"/>
        <v>EN_WON_38_c04_PER</v>
      </c>
      <c r="X1748" s="12">
        <f t="shared" si="153"/>
        <v>1575</v>
      </c>
      <c r="Y1748" s="11">
        <f t="shared" si="154"/>
        <v>1575</v>
      </c>
    </row>
    <row r="1749" spans="2:25">
      <c r="B1749" t="s">
        <v>26</v>
      </c>
      <c r="C1749" t="s">
        <v>7809</v>
      </c>
      <c r="D1749" t="s">
        <v>7810</v>
      </c>
      <c r="E1749" t="s">
        <v>29</v>
      </c>
      <c r="F1749" t="s">
        <v>30</v>
      </c>
      <c r="G1749" t="s">
        <v>31</v>
      </c>
      <c r="J1749" t="s">
        <v>7809</v>
      </c>
      <c r="K1749" t="s">
        <v>1967</v>
      </c>
      <c r="L1749" t="s">
        <v>5093</v>
      </c>
      <c r="M1749" s="8">
        <v>0.01425</v>
      </c>
      <c r="N1749">
        <v>0</v>
      </c>
      <c r="O1749">
        <v>1575</v>
      </c>
      <c r="P1749" s="9">
        <v>0.653</v>
      </c>
      <c r="Q1749" t="s">
        <v>1433</v>
      </c>
      <c r="T1749" s="15" t="s">
        <v>89</v>
      </c>
      <c r="W1749" s="16" t="str">
        <f t="shared" si="152"/>
        <v>EN_WON_65_c01_PER</v>
      </c>
      <c r="X1749" s="12">
        <f t="shared" si="153"/>
        <v>1575</v>
      </c>
      <c r="Y1749" s="11">
        <f t="shared" si="154"/>
        <v>1575</v>
      </c>
    </row>
    <row r="1750" spans="2:25">
      <c r="B1750" t="s">
        <v>26</v>
      </c>
      <c r="C1750" t="s">
        <v>7811</v>
      </c>
      <c r="D1750" t="s">
        <v>7812</v>
      </c>
      <c r="E1750" t="s">
        <v>29</v>
      </c>
      <c r="F1750" t="s">
        <v>30</v>
      </c>
      <c r="G1750" t="s">
        <v>31</v>
      </c>
      <c r="J1750" t="s">
        <v>7811</v>
      </c>
      <c r="K1750" t="s">
        <v>1967</v>
      </c>
      <c r="L1750" t="s">
        <v>5198</v>
      </c>
      <c r="M1750" s="8">
        <v>11.9115</v>
      </c>
      <c r="N1750">
        <v>145.23264029167</v>
      </c>
      <c r="O1750">
        <v>2213</v>
      </c>
      <c r="P1750" s="9">
        <v>0.189773076438736</v>
      </c>
      <c r="Q1750" t="s">
        <v>1467</v>
      </c>
      <c r="T1750" s="15" t="s">
        <v>290</v>
      </c>
      <c r="W1750" s="16" t="str">
        <f t="shared" si="152"/>
        <v>EN_WON_19_c04_PHL</v>
      </c>
      <c r="X1750" s="12">
        <f t="shared" si="153"/>
        <v>2213</v>
      </c>
      <c r="Y1750" s="11">
        <f t="shared" si="154"/>
        <v>2213</v>
      </c>
    </row>
    <row r="1751" spans="2:25">
      <c r="B1751" t="s">
        <v>26</v>
      </c>
      <c r="C1751" t="s">
        <v>7813</v>
      </c>
      <c r="D1751" t="s">
        <v>7814</v>
      </c>
      <c r="E1751" t="s">
        <v>29</v>
      </c>
      <c r="F1751" t="s">
        <v>30</v>
      </c>
      <c r="G1751" t="s">
        <v>31</v>
      </c>
      <c r="J1751" t="s">
        <v>7813</v>
      </c>
      <c r="K1751" t="s">
        <v>1967</v>
      </c>
      <c r="L1751" t="s">
        <v>5198</v>
      </c>
      <c r="M1751" s="8">
        <v>14.33925</v>
      </c>
      <c r="N1751">
        <v>145.23264029167</v>
      </c>
      <c r="O1751">
        <v>2213</v>
      </c>
      <c r="P1751" s="9">
        <v>0.200575762330666</v>
      </c>
      <c r="Q1751" t="s">
        <v>1467</v>
      </c>
      <c r="T1751" s="15" t="s">
        <v>290</v>
      </c>
      <c r="W1751" s="16" t="str">
        <f t="shared" si="152"/>
        <v>EN_WON_20_c04_PHL</v>
      </c>
      <c r="X1751" s="12">
        <f t="shared" si="153"/>
        <v>2213</v>
      </c>
      <c r="Y1751" s="11">
        <f t="shared" si="154"/>
        <v>2213</v>
      </c>
    </row>
    <row r="1752" spans="2:25">
      <c r="B1752" t="s">
        <v>26</v>
      </c>
      <c r="C1752" t="s">
        <v>7815</v>
      </c>
      <c r="D1752" t="s">
        <v>7816</v>
      </c>
      <c r="E1752" t="s">
        <v>29</v>
      </c>
      <c r="F1752" t="s">
        <v>30</v>
      </c>
      <c r="G1752" t="s">
        <v>31</v>
      </c>
      <c r="J1752" t="s">
        <v>7815</v>
      </c>
      <c r="K1752" t="s">
        <v>1967</v>
      </c>
      <c r="L1752" t="s">
        <v>5198</v>
      </c>
      <c r="M1752" s="8">
        <v>1.7655</v>
      </c>
      <c r="N1752">
        <v>80.7856561622413</v>
      </c>
      <c r="O1752">
        <v>2213</v>
      </c>
      <c r="P1752" s="9">
        <v>0.208912489379779</v>
      </c>
      <c r="Q1752" t="s">
        <v>1467</v>
      </c>
      <c r="T1752" s="15" t="s">
        <v>290</v>
      </c>
      <c r="W1752" s="16" t="str">
        <f t="shared" si="152"/>
        <v>EN_WON_21_c02_PHL</v>
      </c>
      <c r="X1752" s="12">
        <f t="shared" si="153"/>
        <v>2213</v>
      </c>
      <c r="Y1752" s="11">
        <f t="shared" si="154"/>
        <v>2213</v>
      </c>
    </row>
    <row r="1753" spans="2:25">
      <c r="B1753" t="s">
        <v>26</v>
      </c>
      <c r="C1753" t="s">
        <v>7817</v>
      </c>
      <c r="D1753" t="s">
        <v>7818</v>
      </c>
      <c r="E1753" t="s">
        <v>29</v>
      </c>
      <c r="F1753" t="s">
        <v>30</v>
      </c>
      <c r="G1753" t="s">
        <v>31</v>
      </c>
      <c r="J1753" t="s">
        <v>7817</v>
      </c>
      <c r="K1753" t="s">
        <v>1967</v>
      </c>
      <c r="L1753" t="s">
        <v>5198</v>
      </c>
      <c r="M1753" s="8">
        <v>0.62775</v>
      </c>
      <c r="N1753">
        <v>105.747516212372</v>
      </c>
      <c r="O1753">
        <v>2213</v>
      </c>
      <c r="P1753" s="9">
        <v>0.211035842293907</v>
      </c>
      <c r="Q1753" t="s">
        <v>1467</v>
      </c>
      <c r="T1753" s="15" t="s">
        <v>290</v>
      </c>
      <c r="W1753" s="16" t="str">
        <f t="shared" si="152"/>
        <v>EN_WON_21_c03_PHL</v>
      </c>
      <c r="X1753" s="12">
        <f t="shared" si="153"/>
        <v>2213</v>
      </c>
      <c r="Y1753" s="11">
        <f t="shared" si="154"/>
        <v>2213</v>
      </c>
    </row>
    <row r="1754" spans="2:25">
      <c r="B1754" t="s">
        <v>26</v>
      </c>
      <c r="C1754" t="s">
        <v>7819</v>
      </c>
      <c r="D1754" t="s">
        <v>7820</v>
      </c>
      <c r="E1754" t="s">
        <v>29</v>
      </c>
      <c r="F1754" t="s">
        <v>30</v>
      </c>
      <c r="G1754" t="s">
        <v>31</v>
      </c>
      <c r="J1754" t="s">
        <v>7819</v>
      </c>
      <c r="K1754" t="s">
        <v>1967</v>
      </c>
      <c r="L1754" t="s">
        <v>5198</v>
      </c>
      <c r="M1754" s="8">
        <v>19.40625</v>
      </c>
      <c r="N1754">
        <v>145.23264029167</v>
      </c>
      <c r="O1754">
        <v>2213</v>
      </c>
      <c r="P1754" s="9">
        <v>0.209878106280193</v>
      </c>
      <c r="Q1754" t="s">
        <v>1467</v>
      </c>
      <c r="T1754" s="15" t="s">
        <v>290</v>
      </c>
      <c r="W1754" s="16" t="str">
        <f t="shared" si="152"/>
        <v>EN_WON_21_c04_PHL</v>
      </c>
      <c r="X1754" s="12">
        <f t="shared" si="153"/>
        <v>2213</v>
      </c>
      <c r="Y1754" s="11">
        <f t="shared" si="154"/>
        <v>2213</v>
      </c>
    </row>
    <row r="1755" spans="2:25">
      <c r="B1755" t="s">
        <v>26</v>
      </c>
      <c r="C1755" t="s">
        <v>7821</v>
      </c>
      <c r="D1755" t="s">
        <v>7822</v>
      </c>
      <c r="E1755" t="s">
        <v>29</v>
      </c>
      <c r="F1755" t="s">
        <v>30</v>
      </c>
      <c r="G1755" t="s">
        <v>31</v>
      </c>
      <c r="J1755" t="s">
        <v>7821</v>
      </c>
      <c r="K1755" t="s">
        <v>1967</v>
      </c>
      <c r="L1755" t="s">
        <v>5198</v>
      </c>
      <c r="M1755" s="8">
        <v>0.174</v>
      </c>
      <c r="N1755">
        <v>80.7856561622413</v>
      </c>
      <c r="O1755">
        <v>2213</v>
      </c>
      <c r="P1755" s="9">
        <v>0.218</v>
      </c>
      <c r="Q1755" t="s">
        <v>1467</v>
      </c>
      <c r="T1755" s="15" t="s">
        <v>290</v>
      </c>
      <c r="W1755" s="16" t="str">
        <f t="shared" si="152"/>
        <v>EN_WON_22_c02_PHL</v>
      </c>
      <c r="X1755" s="12">
        <f t="shared" si="153"/>
        <v>2213</v>
      </c>
      <c r="Y1755" s="11">
        <f t="shared" si="154"/>
        <v>2213</v>
      </c>
    </row>
    <row r="1756" spans="2:25">
      <c r="B1756" t="s">
        <v>26</v>
      </c>
      <c r="C1756" t="s">
        <v>7823</v>
      </c>
      <c r="D1756" t="s">
        <v>7824</v>
      </c>
      <c r="E1756" t="s">
        <v>29</v>
      </c>
      <c r="F1756" t="s">
        <v>30</v>
      </c>
      <c r="G1756" t="s">
        <v>31</v>
      </c>
      <c r="J1756" t="s">
        <v>7823</v>
      </c>
      <c r="K1756" t="s">
        <v>1967</v>
      </c>
      <c r="L1756" t="s">
        <v>5198</v>
      </c>
      <c r="M1756" s="8">
        <v>0.525</v>
      </c>
      <c r="N1756">
        <v>105.747516212372</v>
      </c>
      <c r="O1756">
        <v>2213</v>
      </c>
      <c r="P1756" s="9">
        <v>0.219</v>
      </c>
      <c r="Q1756" t="s">
        <v>1467</v>
      </c>
      <c r="T1756" s="15" t="s">
        <v>290</v>
      </c>
      <c r="W1756" s="16" t="str">
        <f t="shared" si="152"/>
        <v>EN_WON_22_c03_PHL</v>
      </c>
      <c r="X1756" s="12">
        <f t="shared" si="153"/>
        <v>2213</v>
      </c>
      <c r="Y1756" s="11">
        <f t="shared" si="154"/>
        <v>2213</v>
      </c>
    </row>
    <row r="1757" spans="2:25">
      <c r="B1757" t="s">
        <v>26</v>
      </c>
      <c r="C1757" t="s">
        <v>7825</v>
      </c>
      <c r="D1757" t="s">
        <v>7826</v>
      </c>
      <c r="E1757" t="s">
        <v>29</v>
      </c>
      <c r="F1757" t="s">
        <v>30</v>
      </c>
      <c r="G1757" t="s">
        <v>31</v>
      </c>
      <c r="J1757" t="s">
        <v>7825</v>
      </c>
      <c r="K1757" t="s">
        <v>1967</v>
      </c>
      <c r="L1757" t="s">
        <v>5198</v>
      </c>
      <c r="M1757" s="8">
        <v>10.61175</v>
      </c>
      <c r="N1757">
        <v>145.23264029167</v>
      </c>
      <c r="O1757">
        <v>2213</v>
      </c>
      <c r="P1757" s="9">
        <v>0.218023888614036</v>
      </c>
      <c r="Q1757" t="s">
        <v>1467</v>
      </c>
      <c r="T1757" s="15" t="s">
        <v>290</v>
      </c>
      <c r="W1757" s="16" t="str">
        <f t="shared" si="152"/>
        <v>EN_WON_22_c04_PHL</v>
      </c>
      <c r="X1757" s="12">
        <f t="shared" si="153"/>
        <v>2213</v>
      </c>
      <c r="Y1757" s="11">
        <f t="shared" si="154"/>
        <v>2213</v>
      </c>
    </row>
    <row r="1758" spans="2:25">
      <c r="B1758" t="s">
        <v>26</v>
      </c>
      <c r="C1758" t="s">
        <v>7827</v>
      </c>
      <c r="D1758" t="s">
        <v>7828</v>
      </c>
      <c r="E1758" t="s">
        <v>29</v>
      </c>
      <c r="F1758" t="s">
        <v>30</v>
      </c>
      <c r="G1758" t="s">
        <v>31</v>
      </c>
      <c r="J1758" t="s">
        <v>7827</v>
      </c>
      <c r="K1758" t="s">
        <v>1967</v>
      </c>
      <c r="L1758" t="s">
        <v>5198</v>
      </c>
      <c r="M1758" s="8">
        <v>1.5255</v>
      </c>
      <c r="N1758">
        <v>80.7856561622413</v>
      </c>
      <c r="O1758">
        <v>2213</v>
      </c>
      <c r="P1758" s="9">
        <v>0.227</v>
      </c>
      <c r="Q1758" t="s">
        <v>1467</v>
      </c>
      <c r="T1758" s="15" t="s">
        <v>290</v>
      </c>
      <c r="W1758" s="16" t="str">
        <f t="shared" si="152"/>
        <v>EN_WON_23_c02_PHL</v>
      </c>
      <c r="X1758" s="12">
        <f t="shared" si="153"/>
        <v>2213</v>
      </c>
      <c r="Y1758" s="11">
        <f t="shared" si="154"/>
        <v>2213</v>
      </c>
    </row>
    <row r="1759" spans="2:25">
      <c r="B1759" t="s">
        <v>26</v>
      </c>
      <c r="C1759" t="s">
        <v>7829</v>
      </c>
      <c r="D1759" t="s">
        <v>7830</v>
      </c>
      <c r="E1759" t="s">
        <v>29</v>
      </c>
      <c r="F1759" t="s">
        <v>30</v>
      </c>
      <c r="G1759" t="s">
        <v>31</v>
      </c>
      <c r="J1759" t="s">
        <v>7829</v>
      </c>
      <c r="K1759" t="s">
        <v>1967</v>
      </c>
      <c r="L1759" t="s">
        <v>5198</v>
      </c>
      <c r="M1759" s="8">
        <v>3.7515</v>
      </c>
      <c r="N1759">
        <v>105.747516212372</v>
      </c>
      <c r="O1759">
        <v>2213</v>
      </c>
      <c r="P1759" s="9">
        <v>0.228</v>
      </c>
      <c r="Q1759" t="s">
        <v>1467</v>
      </c>
      <c r="T1759" s="15" t="s">
        <v>290</v>
      </c>
      <c r="W1759" s="16" t="str">
        <f t="shared" si="152"/>
        <v>EN_WON_23_c03_PHL</v>
      </c>
      <c r="X1759" s="12">
        <f t="shared" si="153"/>
        <v>2213</v>
      </c>
      <c r="Y1759" s="11">
        <f t="shared" si="154"/>
        <v>2213</v>
      </c>
    </row>
    <row r="1760" spans="2:25">
      <c r="B1760" t="s">
        <v>26</v>
      </c>
      <c r="C1760" t="s">
        <v>7831</v>
      </c>
      <c r="D1760" t="s">
        <v>7832</v>
      </c>
      <c r="E1760" t="s">
        <v>29</v>
      </c>
      <c r="F1760" t="s">
        <v>30</v>
      </c>
      <c r="G1760" t="s">
        <v>31</v>
      </c>
      <c r="J1760" t="s">
        <v>7831</v>
      </c>
      <c r="K1760" t="s">
        <v>1967</v>
      </c>
      <c r="L1760" t="s">
        <v>5198</v>
      </c>
      <c r="M1760" s="8">
        <v>20.75025</v>
      </c>
      <c r="N1760">
        <v>145.23264029167</v>
      </c>
      <c r="O1760">
        <v>2213</v>
      </c>
      <c r="P1760" s="9">
        <v>0.228991867567861</v>
      </c>
      <c r="Q1760" t="s">
        <v>1467</v>
      </c>
      <c r="T1760" s="15" t="s">
        <v>290</v>
      </c>
      <c r="W1760" s="16" t="str">
        <f t="shared" si="152"/>
        <v>EN_WON_23_c04_PHL</v>
      </c>
      <c r="X1760" s="12">
        <f t="shared" si="153"/>
        <v>2213</v>
      </c>
      <c r="Y1760" s="11">
        <f t="shared" si="154"/>
        <v>2213</v>
      </c>
    </row>
    <row r="1761" spans="2:25">
      <c r="B1761" t="s">
        <v>26</v>
      </c>
      <c r="C1761" t="s">
        <v>7833</v>
      </c>
      <c r="D1761" t="s">
        <v>7834</v>
      </c>
      <c r="E1761" t="s">
        <v>29</v>
      </c>
      <c r="F1761" t="s">
        <v>30</v>
      </c>
      <c r="G1761" t="s">
        <v>31</v>
      </c>
      <c r="J1761" t="s">
        <v>7833</v>
      </c>
      <c r="K1761" t="s">
        <v>1967</v>
      </c>
      <c r="L1761" t="s">
        <v>5198</v>
      </c>
      <c r="M1761" s="8">
        <v>5.637</v>
      </c>
      <c r="N1761">
        <v>145.23264029167</v>
      </c>
      <c r="O1761">
        <v>2213</v>
      </c>
      <c r="P1761" s="9">
        <v>0.241026742948377</v>
      </c>
      <c r="Q1761" t="s">
        <v>1467</v>
      </c>
      <c r="T1761" s="15" t="s">
        <v>290</v>
      </c>
      <c r="W1761" s="16" t="str">
        <f t="shared" si="152"/>
        <v>EN_WON_24_c04_PHL</v>
      </c>
      <c r="X1761" s="12">
        <f t="shared" si="153"/>
        <v>2213</v>
      </c>
      <c r="Y1761" s="11">
        <f t="shared" si="154"/>
        <v>2213</v>
      </c>
    </row>
    <row r="1762" spans="2:25">
      <c r="B1762" t="s">
        <v>26</v>
      </c>
      <c r="C1762" t="s">
        <v>7835</v>
      </c>
      <c r="D1762" t="s">
        <v>7836</v>
      </c>
      <c r="E1762" t="s">
        <v>29</v>
      </c>
      <c r="F1762" t="s">
        <v>30</v>
      </c>
      <c r="G1762" t="s">
        <v>31</v>
      </c>
      <c r="J1762" t="s">
        <v>7835</v>
      </c>
      <c r="K1762" t="s">
        <v>1967</v>
      </c>
      <c r="L1762" t="s">
        <v>5198</v>
      </c>
      <c r="M1762" s="8">
        <v>0.55125</v>
      </c>
      <c r="N1762">
        <v>80.7856561622413</v>
      </c>
      <c r="O1762">
        <v>2213</v>
      </c>
      <c r="P1762" s="9">
        <v>0.250065306122449</v>
      </c>
      <c r="Q1762" t="s">
        <v>1467</v>
      </c>
      <c r="T1762" s="15" t="s">
        <v>290</v>
      </c>
      <c r="W1762" s="16" t="str">
        <f t="shared" si="152"/>
        <v>EN_WON_25_c02_PHL</v>
      </c>
      <c r="X1762" s="12">
        <f t="shared" si="153"/>
        <v>2213</v>
      </c>
      <c r="Y1762" s="11">
        <f t="shared" si="154"/>
        <v>2213</v>
      </c>
    </row>
    <row r="1763" spans="2:25">
      <c r="B1763" t="s">
        <v>26</v>
      </c>
      <c r="C1763" t="s">
        <v>7837</v>
      </c>
      <c r="D1763" t="s">
        <v>7838</v>
      </c>
      <c r="E1763" t="s">
        <v>29</v>
      </c>
      <c r="F1763" t="s">
        <v>30</v>
      </c>
      <c r="G1763" t="s">
        <v>31</v>
      </c>
      <c r="J1763" t="s">
        <v>7837</v>
      </c>
      <c r="K1763" t="s">
        <v>1967</v>
      </c>
      <c r="L1763" t="s">
        <v>5198</v>
      </c>
      <c r="M1763" s="8">
        <v>8.25225</v>
      </c>
      <c r="N1763">
        <v>145.23264029167</v>
      </c>
      <c r="O1763">
        <v>2213</v>
      </c>
      <c r="P1763" s="9">
        <v>0.250583931655003</v>
      </c>
      <c r="Q1763" t="s">
        <v>1467</v>
      </c>
      <c r="T1763" s="15" t="s">
        <v>290</v>
      </c>
      <c r="W1763" s="16" t="str">
        <f t="shared" si="152"/>
        <v>EN_WON_25_c04_PHL</v>
      </c>
      <c r="X1763" s="12">
        <f t="shared" si="153"/>
        <v>2213</v>
      </c>
      <c r="Y1763" s="11">
        <f t="shared" si="154"/>
        <v>2213</v>
      </c>
    </row>
    <row r="1764" spans="2:25">
      <c r="B1764" t="s">
        <v>26</v>
      </c>
      <c r="C1764" t="s">
        <v>7839</v>
      </c>
      <c r="D1764" t="s">
        <v>7840</v>
      </c>
      <c r="E1764" t="s">
        <v>29</v>
      </c>
      <c r="F1764" t="s">
        <v>30</v>
      </c>
      <c r="G1764" t="s">
        <v>31</v>
      </c>
      <c r="J1764" t="s">
        <v>7839</v>
      </c>
      <c r="K1764" t="s">
        <v>1967</v>
      </c>
      <c r="L1764" t="s">
        <v>5198</v>
      </c>
      <c r="M1764" s="8">
        <v>8.5605</v>
      </c>
      <c r="N1764">
        <v>145.23264029167</v>
      </c>
      <c r="O1764">
        <v>2213</v>
      </c>
      <c r="P1764" s="9">
        <v>0.255724636411425</v>
      </c>
      <c r="Q1764" t="s">
        <v>1467</v>
      </c>
      <c r="T1764" s="15" t="s">
        <v>290</v>
      </c>
      <c r="W1764" s="16" t="str">
        <f t="shared" si="152"/>
        <v>EN_WON_26_c04_PHL</v>
      </c>
      <c r="X1764" s="12">
        <f t="shared" si="153"/>
        <v>2213</v>
      </c>
      <c r="Y1764" s="11">
        <f t="shared" si="154"/>
        <v>2213</v>
      </c>
    </row>
    <row r="1765" spans="2:25">
      <c r="B1765" t="s">
        <v>26</v>
      </c>
      <c r="C1765" t="s">
        <v>7841</v>
      </c>
      <c r="D1765" t="s">
        <v>7842</v>
      </c>
      <c r="E1765" t="s">
        <v>29</v>
      </c>
      <c r="F1765" t="s">
        <v>30</v>
      </c>
      <c r="G1765" t="s">
        <v>31</v>
      </c>
      <c r="J1765" t="s">
        <v>7841</v>
      </c>
      <c r="K1765" t="s">
        <v>1967</v>
      </c>
      <c r="L1765" t="s">
        <v>5198</v>
      </c>
      <c r="M1765" s="8">
        <v>0.258</v>
      </c>
      <c r="N1765">
        <v>80.7856561622413</v>
      </c>
      <c r="O1765">
        <v>2213</v>
      </c>
      <c r="P1765" s="9">
        <v>0.27</v>
      </c>
      <c r="Q1765" t="s">
        <v>1467</v>
      </c>
      <c r="T1765" s="15" t="s">
        <v>290</v>
      </c>
      <c r="W1765" s="16" t="str">
        <f t="shared" si="152"/>
        <v>EN_WON_27_c02_PHL</v>
      </c>
      <c r="X1765" s="12">
        <f t="shared" si="153"/>
        <v>2213</v>
      </c>
      <c r="Y1765" s="11">
        <f t="shared" si="154"/>
        <v>2213</v>
      </c>
    </row>
    <row r="1766" spans="2:25">
      <c r="B1766" t="s">
        <v>26</v>
      </c>
      <c r="C1766" t="s">
        <v>7843</v>
      </c>
      <c r="D1766" t="s">
        <v>7844</v>
      </c>
      <c r="E1766" t="s">
        <v>29</v>
      </c>
      <c r="F1766" t="s">
        <v>30</v>
      </c>
      <c r="G1766" t="s">
        <v>31</v>
      </c>
      <c r="J1766" t="s">
        <v>7843</v>
      </c>
      <c r="K1766" t="s">
        <v>1967</v>
      </c>
      <c r="L1766" t="s">
        <v>5198</v>
      </c>
      <c r="M1766" s="8">
        <v>1.99725</v>
      </c>
      <c r="N1766">
        <v>105.747516212372</v>
      </c>
      <c r="O1766">
        <v>2213</v>
      </c>
      <c r="P1766" s="9">
        <v>0.267825009387908</v>
      </c>
      <c r="Q1766" t="s">
        <v>1467</v>
      </c>
      <c r="T1766" s="15" t="s">
        <v>290</v>
      </c>
      <c r="W1766" s="16" t="str">
        <f t="shared" si="152"/>
        <v>EN_WON_27_c03_PHL</v>
      </c>
      <c r="X1766" s="12">
        <f t="shared" si="153"/>
        <v>2213</v>
      </c>
      <c r="Y1766" s="11">
        <f t="shared" si="154"/>
        <v>2213</v>
      </c>
    </row>
    <row r="1767" spans="2:25">
      <c r="B1767" t="s">
        <v>26</v>
      </c>
      <c r="C1767" t="s">
        <v>7845</v>
      </c>
      <c r="D1767" t="s">
        <v>7846</v>
      </c>
      <c r="E1767" t="s">
        <v>29</v>
      </c>
      <c r="F1767" t="s">
        <v>30</v>
      </c>
      <c r="G1767" t="s">
        <v>31</v>
      </c>
      <c r="J1767" t="s">
        <v>7845</v>
      </c>
      <c r="K1767" t="s">
        <v>1967</v>
      </c>
      <c r="L1767" t="s">
        <v>5198</v>
      </c>
      <c r="M1767" s="8">
        <v>0.159</v>
      </c>
      <c r="N1767">
        <v>145.23264029167</v>
      </c>
      <c r="O1767">
        <v>2213</v>
      </c>
      <c r="P1767" s="9">
        <v>0.27</v>
      </c>
      <c r="Q1767" t="s">
        <v>1467</v>
      </c>
      <c r="T1767" s="15" t="s">
        <v>290</v>
      </c>
      <c r="W1767" s="16" t="str">
        <f t="shared" si="152"/>
        <v>EN_WON_27_c04_PHL</v>
      </c>
      <c r="X1767" s="12">
        <f t="shared" si="153"/>
        <v>2213</v>
      </c>
      <c r="Y1767" s="11">
        <f t="shared" si="154"/>
        <v>2213</v>
      </c>
    </row>
    <row r="1768" spans="2:25">
      <c r="B1768" t="s">
        <v>26</v>
      </c>
      <c r="C1768" t="s">
        <v>7847</v>
      </c>
      <c r="D1768" t="s">
        <v>7848</v>
      </c>
      <c r="E1768" t="s">
        <v>29</v>
      </c>
      <c r="F1768" t="s">
        <v>30</v>
      </c>
      <c r="G1768" t="s">
        <v>31</v>
      </c>
      <c r="J1768" t="s">
        <v>7847</v>
      </c>
      <c r="K1768" t="s">
        <v>1967</v>
      </c>
      <c r="L1768" t="s">
        <v>5198</v>
      </c>
      <c r="M1768" s="8">
        <v>0.47475</v>
      </c>
      <c r="N1768">
        <v>105.747516212372</v>
      </c>
      <c r="O1768">
        <v>2213</v>
      </c>
      <c r="P1768" s="9">
        <v>0.283</v>
      </c>
      <c r="Q1768" t="s">
        <v>1467</v>
      </c>
      <c r="T1768" s="15" t="s">
        <v>290</v>
      </c>
      <c r="W1768" s="16" t="str">
        <f t="shared" si="152"/>
        <v>EN_WON_28_c03_PHL</v>
      </c>
      <c r="X1768" s="12">
        <f t="shared" si="153"/>
        <v>2213</v>
      </c>
      <c r="Y1768" s="11">
        <f t="shared" si="154"/>
        <v>2213</v>
      </c>
    </row>
    <row r="1769" spans="2:25">
      <c r="B1769" t="s">
        <v>26</v>
      </c>
      <c r="C1769" t="s">
        <v>7849</v>
      </c>
      <c r="D1769" t="s">
        <v>7850</v>
      </c>
      <c r="E1769" t="s">
        <v>29</v>
      </c>
      <c r="F1769" t="s">
        <v>30</v>
      </c>
      <c r="G1769" t="s">
        <v>31</v>
      </c>
      <c r="J1769" t="s">
        <v>7849</v>
      </c>
      <c r="K1769" t="s">
        <v>1967</v>
      </c>
      <c r="L1769" t="s">
        <v>5198</v>
      </c>
      <c r="M1769" s="8">
        <v>4.0275</v>
      </c>
      <c r="N1769">
        <v>145.23264029167</v>
      </c>
      <c r="O1769">
        <v>2213</v>
      </c>
      <c r="P1769" s="9">
        <v>0.276875605214153</v>
      </c>
      <c r="Q1769" t="s">
        <v>1467</v>
      </c>
      <c r="T1769" s="15" t="s">
        <v>290</v>
      </c>
      <c r="W1769" s="16" t="str">
        <f t="shared" si="152"/>
        <v>EN_WON_28_c04_PHL</v>
      </c>
      <c r="X1769" s="12">
        <f t="shared" si="153"/>
        <v>2213</v>
      </c>
      <c r="Y1769" s="11">
        <f t="shared" si="154"/>
        <v>2213</v>
      </c>
    </row>
    <row r="1770" spans="2:25">
      <c r="B1770" t="s">
        <v>26</v>
      </c>
      <c r="C1770" t="s">
        <v>7851</v>
      </c>
      <c r="D1770" t="s">
        <v>7852</v>
      </c>
      <c r="E1770" t="s">
        <v>29</v>
      </c>
      <c r="F1770" t="s">
        <v>30</v>
      </c>
      <c r="G1770" t="s">
        <v>31</v>
      </c>
      <c r="J1770" t="s">
        <v>7851</v>
      </c>
      <c r="K1770" t="s">
        <v>1967</v>
      </c>
      <c r="L1770" t="s">
        <v>5198</v>
      </c>
      <c r="M1770" s="8">
        <v>7.36575</v>
      </c>
      <c r="N1770">
        <v>105.747516212372</v>
      </c>
      <c r="O1770">
        <v>2213</v>
      </c>
      <c r="P1770" s="9">
        <v>0.286</v>
      </c>
      <c r="Q1770" t="s">
        <v>1467</v>
      </c>
      <c r="T1770" s="15" t="s">
        <v>290</v>
      </c>
      <c r="W1770" s="16" t="str">
        <f t="shared" si="152"/>
        <v>EN_WON_29_c03_PHL</v>
      </c>
      <c r="X1770" s="12">
        <f t="shared" si="153"/>
        <v>2213</v>
      </c>
      <c r="Y1770" s="11">
        <f t="shared" si="154"/>
        <v>2213</v>
      </c>
    </row>
    <row r="1771" spans="2:25">
      <c r="B1771" t="s">
        <v>26</v>
      </c>
      <c r="C1771" t="s">
        <v>7853</v>
      </c>
      <c r="D1771" t="s">
        <v>7854</v>
      </c>
      <c r="E1771" t="s">
        <v>29</v>
      </c>
      <c r="F1771" t="s">
        <v>30</v>
      </c>
      <c r="G1771" t="s">
        <v>31</v>
      </c>
      <c r="J1771" t="s">
        <v>7853</v>
      </c>
      <c r="K1771" t="s">
        <v>1967</v>
      </c>
      <c r="L1771" t="s">
        <v>5198</v>
      </c>
      <c r="M1771" s="8">
        <v>4.872</v>
      </c>
      <c r="N1771">
        <v>145.23264029167</v>
      </c>
      <c r="O1771">
        <v>2213</v>
      </c>
      <c r="P1771" s="9">
        <v>0.289196890394089</v>
      </c>
      <c r="Q1771" t="s">
        <v>1467</v>
      </c>
      <c r="T1771" s="15" t="s">
        <v>290</v>
      </c>
      <c r="W1771" s="16" t="str">
        <f t="shared" si="152"/>
        <v>EN_WON_29_c04_PHL</v>
      </c>
      <c r="X1771" s="12">
        <f t="shared" si="153"/>
        <v>2213</v>
      </c>
      <c r="Y1771" s="11">
        <f t="shared" si="154"/>
        <v>2213</v>
      </c>
    </row>
    <row r="1772" spans="2:25">
      <c r="B1772" t="s">
        <v>26</v>
      </c>
      <c r="C1772" t="s">
        <v>7855</v>
      </c>
      <c r="D1772" t="s">
        <v>7856</v>
      </c>
      <c r="E1772" t="s">
        <v>29</v>
      </c>
      <c r="F1772" t="s">
        <v>30</v>
      </c>
      <c r="G1772" t="s">
        <v>31</v>
      </c>
      <c r="J1772" t="s">
        <v>7855</v>
      </c>
      <c r="K1772" t="s">
        <v>1967</v>
      </c>
      <c r="L1772" t="s">
        <v>5198</v>
      </c>
      <c r="M1772" s="8">
        <v>0.03</v>
      </c>
      <c r="N1772">
        <v>80.7856561622413</v>
      </c>
      <c r="O1772">
        <v>2213</v>
      </c>
      <c r="P1772" s="9">
        <v>0.30135</v>
      </c>
      <c r="Q1772" t="s">
        <v>1467</v>
      </c>
      <c r="T1772" s="15" t="s">
        <v>290</v>
      </c>
      <c r="W1772" s="16" t="str">
        <f t="shared" si="152"/>
        <v>EN_WON_30_c02_PHL</v>
      </c>
      <c r="X1772" s="12">
        <f t="shared" si="153"/>
        <v>2213</v>
      </c>
      <c r="Y1772" s="11">
        <f t="shared" si="154"/>
        <v>2213</v>
      </c>
    </row>
    <row r="1773" spans="2:25">
      <c r="B1773" t="s">
        <v>26</v>
      </c>
      <c r="C1773" t="s">
        <v>7857</v>
      </c>
      <c r="D1773" t="s">
        <v>7858</v>
      </c>
      <c r="E1773" t="s">
        <v>29</v>
      </c>
      <c r="F1773" t="s">
        <v>30</v>
      </c>
      <c r="G1773" t="s">
        <v>31</v>
      </c>
      <c r="J1773" t="s">
        <v>7857</v>
      </c>
      <c r="K1773" t="s">
        <v>1967</v>
      </c>
      <c r="L1773" t="s">
        <v>5198</v>
      </c>
      <c r="M1773" s="8">
        <v>1.8495</v>
      </c>
      <c r="N1773">
        <v>105.747516212372</v>
      </c>
      <c r="O1773">
        <v>2213</v>
      </c>
      <c r="P1773" s="9">
        <v>0.298997161394972</v>
      </c>
      <c r="Q1773" t="s">
        <v>1467</v>
      </c>
      <c r="T1773" s="15" t="s">
        <v>290</v>
      </c>
      <c r="W1773" s="16" t="str">
        <f t="shared" si="152"/>
        <v>EN_WON_30_c03_PHL</v>
      </c>
      <c r="X1773" s="12">
        <f t="shared" si="153"/>
        <v>2213</v>
      </c>
      <c r="Y1773" s="11">
        <f t="shared" si="154"/>
        <v>2213</v>
      </c>
    </row>
    <row r="1774" spans="2:25">
      <c r="B1774" t="s">
        <v>26</v>
      </c>
      <c r="C1774" t="s">
        <v>7859</v>
      </c>
      <c r="D1774" t="s">
        <v>7860</v>
      </c>
      <c r="E1774" t="s">
        <v>29</v>
      </c>
      <c r="F1774" t="s">
        <v>30</v>
      </c>
      <c r="G1774" t="s">
        <v>31</v>
      </c>
      <c r="J1774" t="s">
        <v>7859</v>
      </c>
      <c r="K1774" t="s">
        <v>1967</v>
      </c>
      <c r="L1774" t="s">
        <v>5198</v>
      </c>
      <c r="M1774" s="8">
        <v>3.76575</v>
      </c>
      <c r="N1774">
        <v>145.23264029167</v>
      </c>
      <c r="O1774">
        <v>2213</v>
      </c>
      <c r="P1774" s="9">
        <v>0.298</v>
      </c>
      <c r="Q1774" t="s">
        <v>1467</v>
      </c>
      <c r="T1774" s="15" t="s">
        <v>290</v>
      </c>
      <c r="W1774" s="16" t="str">
        <f t="shared" si="152"/>
        <v>EN_WON_30_c04_PHL</v>
      </c>
      <c r="X1774" s="12">
        <f t="shared" si="153"/>
        <v>2213</v>
      </c>
      <c r="Y1774" s="11">
        <f t="shared" si="154"/>
        <v>2213</v>
      </c>
    </row>
    <row r="1775" spans="2:25">
      <c r="B1775" t="s">
        <v>26</v>
      </c>
      <c r="C1775" t="s">
        <v>7861</v>
      </c>
      <c r="D1775" t="s">
        <v>7862</v>
      </c>
      <c r="E1775" t="s">
        <v>29</v>
      </c>
      <c r="F1775" t="s">
        <v>30</v>
      </c>
      <c r="G1775" t="s">
        <v>31</v>
      </c>
      <c r="J1775" t="s">
        <v>7861</v>
      </c>
      <c r="K1775" t="s">
        <v>1967</v>
      </c>
      <c r="L1775" t="s">
        <v>5198</v>
      </c>
      <c r="M1775" s="8">
        <v>0.36375</v>
      </c>
      <c r="N1775">
        <v>80.7856561622413</v>
      </c>
      <c r="O1775">
        <v>2213</v>
      </c>
      <c r="P1775" s="9">
        <v>0.323</v>
      </c>
      <c r="Q1775" t="s">
        <v>1467</v>
      </c>
      <c r="T1775" s="15" t="s">
        <v>290</v>
      </c>
      <c r="W1775" s="16" t="str">
        <f t="shared" si="152"/>
        <v>EN_WON_32_c02_PHL</v>
      </c>
      <c r="X1775" s="12">
        <f t="shared" si="153"/>
        <v>2213</v>
      </c>
      <c r="Y1775" s="11">
        <f t="shared" si="154"/>
        <v>2213</v>
      </c>
    </row>
    <row r="1776" spans="2:25">
      <c r="B1776" t="s">
        <v>26</v>
      </c>
      <c r="C1776" t="s">
        <v>7863</v>
      </c>
      <c r="D1776" t="s">
        <v>7864</v>
      </c>
      <c r="E1776" t="s">
        <v>29</v>
      </c>
      <c r="F1776" t="s">
        <v>30</v>
      </c>
      <c r="G1776" t="s">
        <v>31</v>
      </c>
      <c r="J1776" t="s">
        <v>7863</v>
      </c>
      <c r="K1776" t="s">
        <v>1967</v>
      </c>
      <c r="L1776" t="s">
        <v>5198</v>
      </c>
      <c r="M1776" s="8">
        <v>0.6045</v>
      </c>
      <c r="N1776">
        <v>80.7856561622413</v>
      </c>
      <c r="O1776">
        <v>2213</v>
      </c>
      <c r="P1776" s="9">
        <v>0.351357320099256</v>
      </c>
      <c r="Q1776" t="s">
        <v>1467</v>
      </c>
      <c r="T1776" s="15" t="s">
        <v>290</v>
      </c>
      <c r="W1776" s="16" t="str">
        <f t="shared" si="152"/>
        <v>EN_WON_35_c02_PHL</v>
      </c>
      <c r="X1776" s="12">
        <f t="shared" si="153"/>
        <v>2213</v>
      </c>
      <c r="Y1776" s="11">
        <f t="shared" si="154"/>
        <v>2213</v>
      </c>
    </row>
    <row r="1777" spans="2:25">
      <c r="B1777" t="s">
        <v>26</v>
      </c>
      <c r="C1777" t="s">
        <v>7865</v>
      </c>
      <c r="D1777" t="s">
        <v>7866</v>
      </c>
      <c r="E1777" t="s">
        <v>29</v>
      </c>
      <c r="F1777" t="s">
        <v>30</v>
      </c>
      <c r="G1777" t="s">
        <v>31</v>
      </c>
      <c r="J1777" t="s">
        <v>7865</v>
      </c>
      <c r="K1777" t="s">
        <v>1967</v>
      </c>
      <c r="L1777" t="s">
        <v>5198</v>
      </c>
      <c r="M1777" s="8">
        <v>0.50625</v>
      </c>
      <c r="N1777">
        <v>105.747516212372</v>
      </c>
      <c r="O1777">
        <v>2213</v>
      </c>
      <c r="P1777" s="9">
        <v>0.345</v>
      </c>
      <c r="Q1777" t="s">
        <v>1467</v>
      </c>
      <c r="T1777" s="15" t="s">
        <v>290</v>
      </c>
      <c r="W1777" s="16" t="str">
        <f t="shared" si="152"/>
        <v>EN_WON_35_c03_PHL</v>
      </c>
      <c r="X1777" s="12">
        <f t="shared" si="153"/>
        <v>2213</v>
      </c>
      <c r="Y1777" s="11">
        <f t="shared" si="154"/>
        <v>2213</v>
      </c>
    </row>
    <row r="1778" spans="2:25">
      <c r="B1778" t="s">
        <v>26</v>
      </c>
      <c r="C1778" t="s">
        <v>7867</v>
      </c>
      <c r="D1778" t="s">
        <v>7868</v>
      </c>
      <c r="E1778" t="s">
        <v>29</v>
      </c>
      <c r="F1778" t="s">
        <v>30</v>
      </c>
      <c r="G1778" t="s">
        <v>31</v>
      </c>
      <c r="J1778" t="s">
        <v>7867</v>
      </c>
      <c r="K1778" t="s">
        <v>1967</v>
      </c>
      <c r="L1778" t="s">
        <v>5198</v>
      </c>
      <c r="M1778" s="8">
        <v>1.28925</v>
      </c>
      <c r="N1778">
        <v>105.747516212372</v>
      </c>
      <c r="O1778">
        <v>2213</v>
      </c>
      <c r="P1778" s="9">
        <v>0.360449680046539</v>
      </c>
      <c r="Q1778" t="s">
        <v>1467</v>
      </c>
      <c r="T1778" s="15" t="s">
        <v>290</v>
      </c>
      <c r="W1778" s="16" t="str">
        <f t="shared" si="152"/>
        <v>EN_WON_36_c03_PHL</v>
      </c>
      <c r="X1778" s="12">
        <f t="shared" si="153"/>
        <v>2213</v>
      </c>
      <c r="Y1778" s="11">
        <f t="shared" si="154"/>
        <v>2213</v>
      </c>
    </row>
    <row r="1779" spans="2:25">
      <c r="B1779" t="s">
        <v>26</v>
      </c>
      <c r="C1779" t="s">
        <v>7869</v>
      </c>
      <c r="D1779" t="s">
        <v>7870</v>
      </c>
      <c r="E1779" t="s">
        <v>29</v>
      </c>
      <c r="F1779" t="s">
        <v>30</v>
      </c>
      <c r="G1779" t="s">
        <v>31</v>
      </c>
      <c r="J1779" t="s">
        <v>7869</v>
      </c>
      <c r="K1779" t="s">
        <v>1967</v>
      </c>
      <c r="L1779" t="s">
        <v>5198</v>
      </c>
      <c r="M1779" s="8">
        <v>0.09975</v>
      </c>
      <c r="N1779">
        <v>0</v>
      </c>
      <c r="O1779">
        <v>2213</v>
      </c>
      <c r="P1779" s="9">
        <v>0.387</v>
      </c>
      <c r="Q1779" t="s">
        <v>1467</v>
      </c>
      <c r="T1779" s="15" t="s">
        <v>290</v>
      </c>
      <c r="W1779" s="16" t="str">
        <f t="shared" si="152"/>
        <v>EN_WON_39_c01_PHL</v>
      </c>
      <c r="X1779" s="12">
        <f t="shared" si="153"/>
        <v>2213</v>
      </c>
      <c r="Y1779" s="11">
        <f t="shared" si="154"/>
        <v>2213</v>
      </c>
    </row>
    <row r="1780" spans="2:25">
      <c r="B1780" t="s">
        <v>26</v>
      </c>
      <c r="C1780" t="s">
        <v>7871</v>
      </c>
      <c r="D1780" t="s">
        <v>7872</v>
      </c>
      <c r="E1780" t="s">
        <v>29</v>
      </c>
      <c r="F1780" t="s">
        <v>30</v>
      </c>
      <c r="G1780" t="s">
        <v>31</v>
      </c>
      <c r="J1780" t="s">
        <v>7871</v>
      </c>
      <c r="K1780" t="s">
        <v>1967</v>
      </c>
      <c r="L1780" t="s">
        <v>5198</v>
      </c>
      <c r="M1780" s="8">
        <v>0.228</v>
      </c>
      <c r="N1780">
        <v>80.7856561622413</v>
      </c>
      <c r="O1780">
        <v>2213</v>
      </c>
      <c r="P1780" s="9">
        <v>0.392</v>
      </c>
      <c r="Q1780" t="s">
        <v>1467</v>
      </c>
      <c r="T1780" s="15" t="s">
        <v>290</v>
      </c>
      <c r="W1780" s="16" t="str">
        <f t="shared" si="152"/>
        <v>EN_WON_39_c02_PHL</v>
      </c>
      <c r="X1780" s="12">
        <f t="shared" si="153"/>
        <v>2213</v>
      </c>
      <c r="Y1780" s="11">
        <f t="shared" si="154"/>
        <v>2213</v>
      </c>
    </row>
    <row r="1781" spans="2:25">
      <c r="B1781" t="s">
        <v>26</v>
      </c>
      <c r="C1781" t="s">
        <v>7873</v>
      </c>
      <c r="D1781" t="s">
        <v>7874</v>
      </c>
      <c r="E1781" t="s">
        <v>29</v>
      </c>
      <c r="F1781" t="s">
        <v>30</v>
      </c>
      <c r="G1781" t="s">
        <v>31</v>
      </c>
      <c r="J1781" t="s">
        <v>7873</v>
      </c>
      <c r="K1781" t="s">
        <v>1967</v>
      </c>
      <c r="L1781" t="s">
        <v>5198</v>
      </c>
      <c r="M1781" s="8">
        <v>0.21075</v>
      </c>
      <c r="N1781">
        <v>105.747516212372</v>
      </c>
      <c r="O1781">
        <v>2213</v>
      </c>
      <c r="P1781" s="9">
        <v>0.387</v>
      </c>
      <c r="Q1781" t="s">
        <v>1467</v>
      </c>
      <c r="T1781" s="15" t="s">
        <v>290</v>
      </c>
      <c r="W1781" s="16" t="str">
        <f t="shared" si="152"/>
        <v>EN_WON_39_c03_PHL</v>
      </c>
      <c r="X1781" s="12">
        <f t="shared" si="153"/>
        <v>2213</v>
      </c>
      <c r="Y1781" s="11">
        <f t="shared" si="154"/>
        <v>2213</v>
      </c>
    </row>
    <row r="1782" spans="2:25">
      <c r="B1782" t="s">
        <v>26</v>
      </c>
      <c r="C1782" t="s">
        <v>7875</v>
      </c>
      <c r="D1782" t="s">
        <v>7876</v>
      </c>
      <c r="E1782" t="s">
        <v>29</v>
      </c>
      <c r="F1782" t="s">
        <v>30</v>
      </c>
      <c r="G1782" t="s">
        <v>31</v>
      </c>
      <c r="J1782" t="s">
        <v>7875</v>
      </c>
      <c r="K1782" t="s">
        <v>1967</v>
      </c>
      <c r="L1782" t="s">
        <v>5198</v>
      </c>
      <c r="M1782" s="8">
        <v>0.00975</v>
      </c>
      <c r="N1782">
        <v>0</v>
      </c>
      <c r="O1782">
        <v>2213</v>
      </c>
      <c r="P1782" s="9">
        <v>0.406</v>
      </c>
      <c r="Q1782" t="s">
        <v>1467</v>
      </c>
      <c r="T1782" s="15" t="s">
        <v>290</v>
      </c>
      <c r="W1782" s="16" t="str">
        <f t="shared" si="152"/>
        <v>EN_WON_41_c01_PHL</v>
      </c>
      <c r="X1782" s="12">
        <f t="shared" si="153"/>
        <v>2213</v>
      </c>
      <c r="Y1782" s="11">
        <f t="shared" si="154"/>
        <v>2213</v>
      </c>
    </row>
    <row r="1783" spans="2:25">
      <c r="B1783" t="s">
        <v>26</v>
      </c>
      <c r="C1783" t="s">
        <v>7877</v>
      </c>
      <c r="D1783" t="s">
        <v>7878</v>
      </c>
      <c r="E1783" t="s">
        <v>29</v>
      </c>
      <c r="F1783" t="s">
        <v>30</v>
      </c>
      <c r="G1783" t="s">
        <v>31</v>
      </c>
      <c r="J1783" t="s">
        <v>7877</v>
      </c>
      <c r="K1783" t="s">
        <v>1967</v>
      </c>
      <c r="L1783" t="s">
        <v>5296</v>
      </c>
      <c r="M1783" s="8">
        <v>0.024</v>
      </c>
      <c r="N1783">
        <v>105.747516212372</v>
      </c>
      <c r="O1783">
        <v>1554</v>
      </c>
      <c r="P1783" s="9">
        <v>0.15771875</v>
      </c>
      <c r="Q1783" t="s">
        <v>1489</v>
      </c>
      <c r="T1783" s="15" t="s">
        <v>290</v>
      </c>
      <c r="W1783" s="16" t="str">
        <f t="shared" si="152"/>
        <v>EN_WON_16_c03_PNG</v>
      </c>
      <c r="X1783" s="12">
        <f t="shared" si="153"/>
        <v>1554</v>
      </c>
      <c r="Y1783" s="11">
        <f t="shared" si="154"/>
        <v>1554</v>
      </c>
    </row>
    <row r="1784" spans="2:25">
      <c r="B1784" t="s">
        <v>26</v>
      </c>
      <c r="C1784" t="s">
        <v>7879</v>
      </c>
      <c r="D1784" t="s">
        <v>7880</v>
      </c>
      <c r="E1784" t="s">
        <v>29</v>
      </c>
      <c r="F1784" t="s">
        <v>30</v>
      </c>
      <c r="G1784" t="s">
        <v>31</v>
      </c>
      <c r="J1784" t="s">
        <v>7879</v>
      </c>
      <c r="K1784" t="s">
        <v>1967</v>
      </c>
      <c r="L1784" t="s">
        <v>5296</v>
      </c>
      <c r="M1784" s="8">
        <v>0.80625</v>
      </c>
      <c r="N1784">
        <v>145.23264029167</v>
      </c>
      <c r="O1784">
        <v>1554</v>
      </c>
      <c r="P1784" s="9">
        <v>0.160081860465116</v>
      </c>
      <c r="Q1784" t="s">
        <v>1489</v>
      </c>
      <c r="T1784" s="15" t="s">
        <v>290</v>
      </c>
      <c r="W1784" s="16" t="str">
        <f t="shared" si="152"/>
        <v>EN_WON_16_c04_PNG</v>
      </c>
      <c r="X1784" s="12">
        <f t="shared" si="153"/>
        <v>1554</v>
      </c>
      <c r="Y1784" s="11">
        <f t="shared" si="154"/>
        <v>1554</v>
      </c>
    </row>
    <row r="1785" spans="2:25">
      <c r="B1785" t="s">
        <v>26</v>
      </c>
      <c r="C1785" t="s">
        <v>7881</v>
      </c>
      <c r="D1785" t="s">
        <v>7882</v>
      </c>
      <c r="E1785" t="s">
        <v>29</v>
      </c>
      <c r="F1785" t="s">
        <v>30</v>
      </c>
      <c r="G1785" t="s">
        <v>31</v>
      </c>
      <c r="J1785" t="s">
        <v>7881</v>
      </c>
      <c r="K1785" t="s">
        <v>1967</v>
      </c>
      <c r="L1785" t="s">
        <v>5296</v>
      </c>
      <c r="M1785" s="8">
        <v>0.01425</v>
      </c>
      <c r="N1785">
        <v>80.7856561622413</v>
      </c>
      <c r="O1785">
        <v>1554</v>
      </c>
      <c r="P1785" s="9">
        <v>0.165</v>
      </c>
      <c r="Q1785" t="s">
        <v>1489</v>
      </c>
      <c r="T1785" s="15" t="s">
        <v>290</v>
      </c>
      <c r="W1785" s="16" t="str">
        <f t="shared" si="152"/>
        <v>EN_WON_17_c02_PNG</v>
      </c>
      <c r="X1785" s="12">
        <f t="shared" si="153"/>
        <v>1554</v>
      </c>
      <c r="Y1785" s="11">
        <f t="shared" si="154"/>
        <v>1554</v>
      </c>
    </row>
    <row r="1786" spans="2:25">
      <c r="B1786" t="s">
        <v>26</v>
      </c>
      <c r="C1786" t="s">
        <v>7883</v>
      </c>
      <c r="D1786" t="s">
        <v>7884</v>
      </c>
      <c r="E1786" t="s">
        <v>29</v>
      </c>
      <c r="F1786" t="s">
        <v>30</v>
      </c>
      <c r="G1786" t="s">
        <v>31</v>
      </c>
      <c r="J1786" t="s">
        <v>7883</v>
      </c>
      <c r="K1786" t="s">
        <v>1967</v>
      </c>
      <c r="L1786" t="s">
        <v>5296</v>
      </c>
      <c r="M1786" s="8">
        <v>0.885</v>
      </c>
      <c r="N1786">
        <v>145.23264029167</v>
      </c>
      <c r="O1786">
        <v>1554</v>
      </c>
      <c r="P1786" s="9">
        <v>0.168040677966102</v>
      </c>
      <c r="Q1786" t="s">
        <v>1489</v>
      </c>
      <c r="T1786" s="15" t="s">
        <v>290</v>
      </c>
      <c r="W1786" s="16" t="str">
        <f t="shared" si="152"/>
        <v>EN_WON_17_c04_PNG</v>
      </c>
      <c r="X1786" s="12">
        <f t="shared" si="153"/>
        <v>1554</v>
      </c>
      <c r="Y1786" s="11">
        <f t="shared" si="154"/>
        <v>1554</v>
      </c>
    </row>
    <row r="1787" spans="2:25">
      <c r="B1787" t="s">
        <v>26</v>
      </c>
      <c r="C1787" t="s">
        <v>7885</v>
      </c>
      <c r="D1787" t="s">
        <v>7886</v>
      </c>
      <c r="E1787" t="s">
        <v>29</v>
      </c>
      <c r="F1787" t="s">
        <v>30</v>
      </c>
      <c r="G1787" t="s">
        <v>31</v>
      </c>
      <c r="J1787" t="s">
        <v>7885</v>
      </c>
      <c r="K1787" t="s">
        <v>1967</v>
      </c>
      <c r="L1787" t="s">
        <v>5296</v>
      </c>
      <c r="M1787" s="8">
        <v>0.009</v>
      </c>
      <c r="N1787">
        <v>105.747516212372</v>
      </c>
      <c r="O1787">
        <v>1554</v>
      </c>
      <c r="P1787" s="9">
        <v>0.177</v>
      </c>
      <c r="Q1787" t="s">
        <v>1489</v>
      </c>
      <c r="T1787" s="15" t="s">
        <v>290</v>
      </c>
      <c r="W1787" s="16" t="str">
        <f t="shared" si="152"/>
        <v>EN_WON_18_c03_PNG</v>
      </c>
      <c r="X1787" s="12">
        <f t="shared" si="153"/>
        <v>1554</v>
      </c>
      <c r="Y1787" s="11">
        <f t="shared" si="154"/>
        <v>1554</v>
      </c>
    </row>
    <row r="1788" spans="2:25">
      <c r="B1788" t="s">
        <v>26</v>
      </c>
      <c r="C1788" t="s">
        <v>7887</v>
      </c>
      <c r="D1788" t="s">
        <v>7888</v>
      </c>
      <c r="E1788" t="s">
        <v>29</v>
      </c>
      <c r="F1788" t="s">
        <v>30</v>
      </c>
      <c r="G1788" t="s">
        <v>31</v>
      </c>
      <c r="J1788" t="s">
        <v>7887</v>
      </c>
      <c r="K1788" t="s">
        <v>1967</v>
      </c>
      <c r="L1788" t="s">
        <v>5296</v>
      </c>
      <c r="M1788" s="8">
        <v>0.2325</v>
      </c>
      <c r="N1788">
        <v>145.23264029167</v>
      </c>
      <c r="O1788">
        <v>1554</v>
      </c>
      <c r="P1788" s="9">
        <v>0.175987096774194</v>
      </c>
      <c r="Q1788" t="s">
        <v>1489</v>
      </c>
      <c r="T1788" s="15" t="s">
        <v>290</v>
      </c>
      <c r="W1788" s="16" t="str">
        <f t="shared" si="152"/>
        <v>EN_WON_18_c04_PNG</v>
      </c>
      <c r="X1788" s="12">
        <f t="shared" si="153"/>
        <v>1554</v>
      </c>
      <c r="Y1788" s="11">
        <f t="shared" si="154"/>
        <v>1554</v>
      </c>
    </row>
    <row r="1789" spans="2:25">
      <c r="B1789" t="s">
        <v>26</v>
      </c>
      <c r="C1789" t="s">
        <v>7889</v>
      </c>
      <c r="D1789" t="s">
        <v>7890</v>
      </c>
      <c r="E1789" t="s">
        <v>29</v>
      </c>
      <c r="F1789" t="s">
        <v>30</v>
      </c>
      <c r="G1789" t="s">
        <v>31</v>
      </c>
      <c r="J1789" t="s">
        <v>7889</v>
      </c>
      <c r="K1789" t="s">
        <v>1967</v>
      </c>
      <c r="L1789" t="s">
        <v>5296</v>
      </c>
      <c r="M1789" s="8">
        <v>0.32625</v>
      </c>
      <c r="N1789">
        <v>145.23264029167</v>
      </c>
      <c r="O1789">
        <v>1554</v>
      </c>
      <c r="P1789" s="9">
        <v>0.190563218390805</v>
      </c>
      <c r="Q1789" t="s">
        <v>1489</v>
      </c>
      <c r="T1789" s="15" t="s">
        <v>290</v>
      </c>
      <c r="W1789" s="16" t="str">
        <f t="shared" si="152"/>
        <v>EN_WON_19_c04_PNG</v>
      </c>
      <c r="X1789" s="12">
        <f t="shared" si="153"/>
        <v>1554</v>
      </c>
      <c r="Y1789" s="11">
        <f t="shared" si="154"/>
        <v>1554</v>
      </c>
    </row>
    <row r="1790" spans="2:25">
      <c r="B1790" t="s">
        <v>26</v>
      </c>
      <c r="C1790" t="s">
        <v>7891</v>
      </c>
      <c r="D1790" t="s">
        <v>7892</v>
      </c>
      <c r="E1790" t="s">
        <v>29</v>
      </c>
      <c r="F1790" t="s">
        <v>30</v>
      </c>
      <c r="G1790" t="s">
        <v>31</v>
      </c>
      <c r="J1790" t="s">
        <v>7891</v>
      </c>
      <c r="K1790" t="s">
        <v>1967</v>
      </c>
      <c r="L1790" t="s">
        <v>5296</v>
      </c>
      <c r="M1790" s="8">
        <v>0.075</v>
      </c>
      <c r="N1790">
        <v>80.7856561622413</v>
      </c>
      <c r="O1790">
        <v>1554</v>
      </c>
      <c r="P1790" s="9">
        <v>0.203</v>
      </c>
      <c r="Q1790" t="s">
        <v>1489</v>
      </c>
      <c r="T1790" s="15" t="s">
        <v>290</v>
      </c>
      <c r="W1790" s="16" t="str">
        <f t="shared" si="152"/>
        <v>EN_WON_20_c02_PNG</v>
      </c>
      <c r="X1790" s="12">
        <f t="shared" si="153"/>
        <v>1554</v>
      </c>
      <c r="Y1790" s="11">
        <f t="shared" si="154"/>
        <v>1554</v>
      </c>
    </row>
    <row r="1791" spans="2:25">
      <c r="B1791" t="s">
        <v>26</v>
      </c>
      <c r="C1791" t="s">
        <v>7893</v>
      </c>
      <c r="D1791" t="s">
        <v>7894</v>
      </c>
      <c r="E1791" t="s">
        <v>29</v>
      </c>
      <c r="F1791" t="s">
        <v>30</v>
      </c>
      <c r="G1791" t="s">
        <v>31</v>
      </c>
      <c r="J1791" t="s">
        <v>7893</v>
      </c>
      <c r="K1791" t="s">
        <v>1967</v>
      </c>
      <c r="L1791" t="s">
        <v>5296</v>
      </c>
      <c r="M1791" s="8">
        <v>0.03675</v>
      </c>
      <c r="N1791">
        <v>105.747516212372</v>
      </c>
      <c r="O1791">
        <v>1554</v>
      </c>
      <c r="P1791" s="9">
        <v>0.202795918367347</v>
      </c>
      <c r="Q1791" t="s">
        <v>1489</v>
      </c>
      <c r="T1791" s="15" t="s">
        <v>290</v>
      </c>
      <c r="W1791" s="16" t="str">
        <f t="shared" si="152"/>
        <v>EN_WON_20_c03_PNG</v>
      </c>
      <c r="X1791" s="12">
        <f t="shared" si="153"/>
        <v>1554</v>
      </c>
      <c r="Y1791" s="11">
        <f t="shared" si="154"/>
        <v>1554</v>
      </c>
    </row>
    <row r="1792" spans="2:25">
      <c r="B1792" t="s">
        <v>26</v>
      </c>
      <c r="C1792" t="s">
        <v>7895</v>
      </c>
      <c r="D1792" t="s">
        <v>7896</v>
      </c>
      <c r="E1792" t="s">
        <v>29</v>
      </c>
      <c r="F1792" t="s">
        <v>30</v>
      </c>
      <c r="G1792" t="s">
        <v>31</v>
      </c>
      <c r="J1792" t="s">
        <v>7895</v>
      </c>
      <c r="K1792" t="s">
        <v>1967</v>
      </c>
      <c r="L1792" t="s">
        <v>5296</v>
      </c>
      <c r="M1792" s="8">
        <v>0.01575</v>
      </c>
      <c r="N1792">
        <v>145.23264029167</v>
      </c>
      <c r="O1792">
        <v>1554</v>
      </c>
      <c r="P1792" s="9">
        <v>0.196571428571429</v>
      </c>
      <c r="Q1792" t="s">
        <v>1489</v>
      </c>
      <c r="T1792" s="15" t="s">
        <v>290</v>
      </c>
      <c r="W1792" s="16" t="str">
        <f t="shared" si="152"/>
        <v>EN_WON_20_c04_PNG</v>
      </c>
      <c r="X1792" s="12">
        <f t="shared" si="153"/>
        <v>1554</v>
      </c>
      <c r="Y1792" s="11">
        <f t="shared" si="154"/>
        <v>1554</v>
      </c>
    </row>
    <row r="1793" spans="2:25">
      <c r="B1793" t="s">
        <v>26</v>
      </c>
      <c r="C1793" t="s">
        <v>7897</v>
      </c>
      <c r="D1793" t="s">
        <v>7898</v>
      </c>
      <c r="E1793" t="s">
        <v>29</v>
      </c>
      <c r="F1793" t="s">
        <v>30</v>
      </c>
      <c r="G1793" t="s">
        <v>31</v>
      </c>
      <c r="J1793" t="s">
        <v>7897</v>
      </c>
      <c r="K1793" t="s">
        <v>1967</v>
      </c>
      <c r="L1793" t="s">
        <v>5296</v>
      </c>
      <c r="M1793" s="8">
        <v>0.0705</v>
      </c>
      <c r="N1793">
        <v>105.747516212372</v>
      </c>
      <c r="O1793">
        <v>1554</v>
      </c>
      <c r="P1793" s="9">
        <v>0.205</v>
      </c>
      <c r="Q1793" t="s">
        <v>1489</v>
      </c>
      <c r="T1793" s="15" t="s">
        <v>290</v>
      </c>
      <c r="W1793" s="16" t="str">
        <f t="shared" si="152"/>
        <v>EN_WON_21_c03_PNG</v>
      </c>
      <c r="X1793" s="12">
        <f t="shared" si="153"/>
        <v>1554</v>
      </c>
      <c r="Y1793" s="11">
        <f t="shared" si="154"/>
        <v>1554</v>
      </c>
    </row>
    <row r="1794" spans="2:25">
      <c r="B1794" t="s">
        <v>26</v>
      </c>
      <c r="C1794" t="s">
        <v>7899</v>
      </c>
      <c r="D1794" t="s">
        <v>7900</v>
      </c>
      <c r="E1794" t="s">
        <v>29</v>
      </c>
      <c r="F1794" t="s">
        <v>30</v>
      </c>
      <c r="G1794" t="s">
        <v>31</v>
      </c>
      <c r="J1794" t="s">
        <v>7899</v>
      </c>
      <c r="K1794" t="s">
        <v>1967</v>
      </c>
      <c r="L1794" t="s">
        <v>5296</v>
      </c>
      <c r="M1794" s="8">
        <v>0.327</v>
      </c>
      <c r="N1794">
        <v>145.23264029167</v>
      </c>
      <c r="O1794">
        <v>1554</v>
      </c>
      <c r="P1794" s="9">
        <v>0.207</v>
      </c>
      <c r="Q1794" t="s">
        <v>1489</v>
      </c>
      <c r="T1794" s="15" t="s">
        <v>290</v>
      </c>
      <c r="W1794" s="16" t="str">
        <f t="shared" si="152"/>
        <v>EN_WON_21_c04_PNG</v>
      </c>
      <c r="X1794" s="12">
        <f t="shared" si="153"/>
        <v>1554</v>
      </c>
      <c r="Y1794" s="11">
        <f t="shared" si="154"/>
        <v>1554</v>
      </c>
    </row>
    <row r="1795" spans="2:25">
      <c r="B1795" t="s">
        <v>26</v>
      </c>
      <c r="C1795" t="s">
        <v>7901</v>
      </c>
      <c r="D1795" t="s">
        <v>7902</v>
      </c>
      <c r="E1795" t="s">
        <v>29</v>
      </c>
      <c r="F1795" t="s">
        <v>30</v>
      </c>
      <c r="G1795" t="s">
        <v>31</v>
      </c>
      <c r="J1795" t="s">
        <v>7901</v>
      </c>
      <c r="K1795" t="s">
        <v>1967</v>
      </c>
      <c r="L1795" t="s">
        <v>5296</v>
      </c>
      <c r="M1795" s="8">
        <v>0.48675</v>
      </c>
      <c r="N1795">
        <v>105.747516212372</v>
      </c>
      <c r="O1795">
        <v>1554</v>
      </c>
      <c r="P1795" s="9">
        <v>0.217654853620955</v>
      </c>
      <c r="Q1795" t="s">
        <v>1489</v>
      </c>
      <c r="T1795" s="15" t="s">
        <v>290</v>
      </c>
      <c r="W1795" s="16" t="str">
        <f t="shared" si="152"/>
        <v>EN_WON_22_c03_PNG</v>
      </c>
      <c r="X1795" s="12">
        <f t="shared" si="153"/>
        <v>1554</v>
      </c>
      <c r="Y1795" s="11">
        <f t="shared" si="154"/>
        <v>1554</v>
      </c>
    </row>
    <row r="1796" spans="2:25">
      <c r="B1796" t="s">
        <v>26</v>
      </c>
      <c r="C1796" t="s">
        <v>7903</v>
      </c>
      <c r="D1796" t="s">
        <v>7904</v>
      </c>
      <c r="E1796" t="s">
        <v>29</v>
      </c>
      <c r="F1796" t="s">
        <v>30</v>
      </c>
      <c r="G1796" t="s">
        <v>31</v>
      </c>
      <c r="J1796" t="s">
        <v>7903</v>
      </c>
      <c r="K1796" t="s">
        <v>1967</v>
      </c>
      <c r="L1796" t="s">
        <v>5296</v>
      </c>
      <c r="M1796" s="8">
        <v>0.006</v>
      </c>
      <c r="N1796">
        <v>145.23264029167</v>
      </c>
      <c r="O1796">
        <v>1554</v>
      </c>
      <c r="P1796" s="9">
        <v>0.222</v>
      </c>
      <c r="Q1796" t="s">
        <v>1489</v>
      </c>
      <c r="T1796" s="15" t="s">
        <v>290</v>
      </c>
      <c r="W1796" s="16" t="str">
        <f t="shared" si="152"/>
        <v>EN_WON_22_c04_PNG</v>
      </c>
      <c r="X1796" s="12">
        <f t="shared" si="153"/>
        <v>1554</v>
      </c>
      <c r="Y1796" s="11">
        <f t="shared" si="154"/>
        <v>1554</v>
      </c>
    </row>
    <row r="1797" spans="2:25">
      <c r="B1797" t="s">
        <v>26</v>
      </c>
      <c r="C1797" t="s">
        <v>7905</v>
      </c>
      <c r="D1797" t="s">
        <v>7906</v>
      </c>
      <c r="E1797" t="s">
        <v>29</v>
      </c>
      <c r="F1797" t="s">
        <v>30</v>
      </c>
      <c r="G1797" t="s">
        <v>31</v>
      </c>
      <c r="J1797" t="s">
        <v>7905</v>
      </c>
      <c r="K1797" t="s">
        <v>1967</v>
      </c>
      <c r="L1797" t="s">
        <v>5296</v>
      </c>
      <c r="M1797" s="8">
        <v>0.00825</v>
      </c>
      <c r="N1797">
        <v>145.23264029167</v>
      </c>
      <c r="O1797">
        <v>1554</v>
      </c>
      <c r="P1797" s="9">
        <v>0.228454545454545</v>
      </c>
      <c r="Q1797" t="s">
        <v>1489</v>
      </c>
      <c r="T1797" s="15" t="s">
        <v>290</v>
      </c>
      <c r="W1797" s="16" t="str">
        <f t="shared" si="152"/>
        <v>EN_WON_23_c04_PNG</v>
      </c>
      <c r="X1797" s="12">
        <f t="shared" si="153"/>
        <v>1554</v>
      </c>
      <c r="Y1797" s="11">
        <f t="shared" si="154"/>
        <v>1554</v>
      </c>
    </row>
    <row r="1798" spans="2:25">
      <c r="B1798" t="s">
        <v>26</v>
      </c>
      <c r="C1798" t="s">
        <v>7907</v>
      </c>
      <c r="D1798" t="s">
        <v>7908</v>
      </c>
      <c r="E1798" t="s">
        <v>29</v>
      </c>
      <c r="F1798" t="s">
        <v>30</v>
      </c>
      <c r="G1798" t="s">
        <v>31</v>
      </c>
      <c r="J1798" t="s">
        <v>7907</v>
      </c>
      <c r="K1798" t="s">
        <v>1967</v>
      </c>
      <c r="L1798" t="s">
        <v>5296</v>
      </c>
      <c r="M1798" s="8">
        <v>0.02325</v>
      </c>
      <c r="N1798">
        <v>145.23264029167</v>
      </c>
      <c r="O1798">
        <v>1554</v>
      </c>
      <c r="P1798" s="9">
        <v>0.253</v>
      </c>
      <c r="Q1798" t="s">
        <v>1489</v>
      </c>
      <c r="T1798" s="15" t="s">
        <v>290</v>
      </c>
      <c r="W1798" s="16" t="str">
        <f t="shared" ref="W1798:W1861" si="155">J1798</f>
        <v>EN_WON_25_c04_PNG</v>
      </c>
      <c r="X1798" s="12">
        <f t="shared" ref="X1798:X1861" si="156">O1798</f>
        <v>1554</v>
      </c>
      <c r="Y1798" s="11">
        <f t="shared" ref="Y1798:Y1861" si="157">X1798</f>
        <v>1554</v>
      </c>
    </row>
    <row r="1799" spans="2:25">
      <c r="B1799" t="s">
        <v>26</v>
      </c>
      <c r="C1799" t="s">
        <v>7909</v>
      </c>
      <c r="D1799" t="s">
        <v>7910</v>
      </c>
      <c r="E1799" t="s">
        <v>29</v>
      </c>
      <c r="F1799" t="s">
        <v>30</v>
      </c>
      <c r="G1799" t="s">
        <v>31</v>
      </c>
      <c r="J1799" t="s">
        <v>7909</v>
      </c>
      <c r="K1799" t="s">
        <v>1967</v>
      </c>
      <c r="L1799" t="s">
        <v>5296</v>
      </c>
      <c r="M1799" s="8">
        <v>0.12</v>
      </c>
      <c r="N1799">
        <v>105.747516212372</v>
      </c>
      <c r="O1799">
        <v>1554</v>
      </c>
      <c r="P1799" s="9">
        <v>0.257</v>
      </c>
      <c r="Q1799" t="s">
        <v>1489</v>
      </c>
      <c r="T1799" s="15" t="s">
        <v>290</v>
      </c>
      <c r="W1799" s="16" t="str">
        <f t="shared" si="155"/>
        <v>EN_WON_26_c03_PNG</v>
      </c>
      <c r="X1799" s="12">
        <f t="shared" si="156"/>
        <v>1554</v>
      </c>
      <c r="Y1799" s="11">
        <f t="shared" si="157"/>
        <v>1554</v>
      </c>
    </row>
    <row r="1800" spans="2:25">
      <c r="B1800" t="s">
        <v>26</v>
      </c>
      <c r="C1800" t="s">
        <v>7911</v>
      </c>
      <c r="D1800" t="s">
        <v>7912</v>
      </c>
      <c r="E1800" t="s">
        <v>29</v>
      </c>
      <c r="F1800" t="s">
        <v>30</v>
      </c>
      <c r="G1800" t="s">
        <v>31</v>
      </c>
      <c r="J1800" t="s">
        <v>7911</v>
      </c>
      <c r="K1800" t="s">
        <v>1967</v>
      </c>
      <c r="L1800" t="s">
        <v>5296</v>
      </c>
      <c r="M1800" s="8">
        <v>0.1335</v>
      </c>
      <c r="N1800">
        <v>105.747516212372</v>
      </c>
      <c r="O1800">
        <v>1554</v>
      </c>
      <c r="P1800" s="9">
        <v>0.279</v>
      </c>
      <c r="Q1800" t="s">
        <v>1489</v>
      </c>
      <c r="T1800" s="15" t="s">
        <v>290</v>
      </c>
      <c r="W1800" s="16" t="str">
        <f t="shared" si="155"/>
        <v>EN_WON_28_c03_PNG</v>
      </c>
      <c r="X1800" s="12">
        <f t="shared" si="156"/>
        <v>1554</v>
      </c>
      <c r="Y1800" s="11">
        <f t="shared" si="157"/>
        <v>1554</v>
      </c>
    </row>
    <row r="1801" spans="2:25">
      <c r="B1801" t="s">
        <v>26</v>
      </c>
      <c r="C1801" t="s">
        <v>7913</v>
      </c>
      <c r="D1801" t="s">
        <v>7914</v>
      </c>
      <c r="E1801" t="s">
        <v>29</v>
      </c>
      <c r="F1801" t="s">
        <v>30</v>
      </c>
      <c r="G1801" t="s">
        <v>31</v>
      </c>
      <c r="J1801" t="s">
        <v>7913</v>
      </c>
      <c r="K1801" t="s">
        <v>1967</v>
      </c>
      <c r="L1801" t="s">
        <v>5296</v>
      </c>
      <c r="M1801" s="8">
        <v>0.702</v>
      </c>
      <c r="N1801">
        <v>80.7856561622413</v>
      </c>
      <c r="O1801">
        <v>1554</v>
      </c>
      <c r="P1801" s="9">
        <v>0.293</v>
      </c>
      <c r="Q1801" t="s">
        <v>1489</v>
      </c>
      <c r="T1801" s="15" t="s">
        <v>290</v>
      </c>
      <c r="W1801" s="16" t="str">
        <f t="shared" si="155"/>
        <v>EN_WON_29_c02_PNG</v>
      </c>
      <c r="X1801" s="12">
        <f t="shared" si="156"/>
        <v>1554</v>
      </c>
      <c r="Y1801" s="11">
        <f t="shared" si="157"/>
        <v>1554</v>
      </c>
    </row>
    <row r="1802" spans="2:25">
      <c r="B1802" t="s">
        <v>26</v>
      </c>
      <c r="C1802" t="s">
        <v>7915</v>
      </c>
      <c r="D1802" t="s">
        <v>7916</v>
      </c>
      <c r="E1802" t="s">
        <v>29</v>
      </c>
      <c r="F1802" t="s">
        <v>30</v>
      </c>
      <c r="G1802" t="s">
        <v>31</v>
      </c>
      <c r="J1802" t="s">
        <v>7915</v>
      </c>
      <c r="K1802" t="s">
        <v>1967</v>
      </c>
      <c r="L1802" t="s">
        <v>5296</v>
      </c>
      <c r="M1802" s="8">
        <v>0.82425</v>
      </c>
      <c r="N1802">
        <v>80.7856561622413</v>
      </c>
      <c r="O1802">
        <v>1554</v>
      </c>
      <c r="P1802" s="9">
        <v>0.306</v>
      </c>
      <c r="Q1802" t="s">
        <v>1489</v>
      </c>
      <c r="T1802" s="15" t="s">
        <v>290</v>
      </c>
      <c r="W1802" s="16" t="str">
        <f t="shared" si="155"/>
        <v>EN_WON_31_c02_PNG</v>
      </c>
      <c r="X1802" s="12">
        <f t="shared" si="156"/>
        <v>1554</v>
      </c>
      <c r="Y1802" s="11">
        <f t="shared" si="157"/>
        <v>1554</v>
      </c>
    </row>
    <row r="1803" spans="2:25">
      <c r="B1803" t="s">
        <v>26</v>
      </c>
      <c r="C1803" t="s">
        <v>7917</v>
      </c>
      <c r="D1803" t="s">
        <v>7918</v>
      </c>
      <c r="E1803" t="s">
        <v>29</v>
      </c>
      <c r="F1803" t="s">
        <v>30</v>
      </c>
      <c r="G1803" t="s">
        <v>31</v>
      </c>
      <c r="J1803" t="s">
        <v>7917</v>
      </c>
      <c r="K1803" t="s">
        <v>1967</v>
      </c>
      <c r="L1803" t="s">
        <v>5341</v>
      </c>
      <c r="M1803" s="8">
        <v>0.1935</v>
      </c>
      <c r="N1803">
        <v>80.7856561622413</v>
      </c>
      <c r="O1803">
        <v>1827</v>
      </c>
      <c r="P1803" s="9">
        <v>0.189</v>
      </c>
      <c r="Q1803" t="s">
        <v>1515</v>
      </c>
      <c r="T1803" s="15" t="s">
        <v>69</v>
      </c>
      <c r="W1803" s="16" t="str">
        <f t="shared" si="155"/>
        <v>EN_WON_19_c02_POL</v>
      </c>
      <c r="X1803" s="12">
        <f t="shared" si="156"/>
        <v>1827</v>
      </c>
      <c r="Y1803" s="11">
        <f t="shared" si="157"/>
        <v>1827</v>
      </c>
    </row>
    <row r="1804" spans="2:25">
      <c r="B1804" t="s">
        <v>26</v>
      </c>
      <c r="C1804" t="s">
        <v>7919</v>
      </c>
      <c r="D1804" t="s">
        <v>7920</v>
      </c>
      <c r="E1804" t="s">
        <v>29</v>
      </c>
      <c r="F1804" t="s">
        <v>30</v>
      </c>
      <c r="G1804" t="s">
        <v>31</v>
      </c>
      <c r="J1804" t="s">
        <v>7919</v>
      </c>
      <c r="K1804" t="s">
        <v>1967</v>
      </c>
      <c r="L1804" t="s">
        <v>5341</v>
      </c>
      <c r="M1804" s="8">
        <v>0.072</v>
      </c>
      <c r="N1804">
        <v>105.747516212372</v>
      </c>
      <c r="O1804">
        <v>1827</v>
      </c>
      <c r="P1804" s="9">
        <v>0.188</v>
      </c>
      <c r="Q1804" t="s">
        <v>1515</v>
      </c>
      <c r="T1804" s="15" t="s">
        <v>69</v>
      </c>
      <c r="W1804" s="16" t="str">
        <f t="shared" si="155"/>
        <v>EN_WON_19_c03_POL</v>
      </c>
      <c r="X1804" s="12">
        <f t="shared" si="156"/>
        <v>1827</v>
      </c>
      <c r="Y1804" s="11">
        <f t="shared" si="157"/>
        <v>1827</v>
      </c>
    </row>
    <row r="1805" spans="2:25">
      <c r="B1805" t="s">
        <v>26</v>
      </c>
      <c r="C1805" t="s">
        <v>7921</v>
      </c>
      <c r="D1805" t="s">
        <v>7922</v>
      </c>
      <c r="E1805" t="s">
        <v>29</v>
      </c>
      <c r="F1805" t="s">
        <v>30</v>
      </c>
      <c r="G1805" t="s">
        <v>31</v>
      </c>
      <c r="J1805" t="s">
        <v>7921</v>
      </c>
      <c r="K1805" t="s">
        <v>1967</v>
      </c>
      <c r="L1805" t="s">
        <v>5341</v>
      </c>
      <c r="M1805" s="8">
        <v>0.297</v>
      </c>
      <c r="N1805">
        <v>80.7856561622413</v>
      </c>
      <c r="O1805">
        <v>1827</v>
      </c>
      <c r="P1805" s="9">
        <v>0.195</v>
      </c>
      <c r="Q1805" t="s">
        <v>1515</v>
      </c>
      <c r="T1805" s="15" t="s">
        <v>69</v>
      </c>
      <c r="W1805" s="16" t="str">
        <f t="shared" si="155"/>
        <v>EN_WON_20_c02_POL</v>
      </c>
      <c r="X1805" s="12">
        <f t="shared" si="156"/>
        <v>1827</v>
      </c>
      <c r="Y1805" s="11">
        <f t="shared" si="157"/>
        <v>1827</v>
      </c>
    </row>
    <row r="1806" spans="2:25">
      <c r="B1806" t="s">
        <v>26</v>
      </c>
      <c r="C1806" t="s">
        <v>7923</v>
      </c>
      <c r="D1806" t="s">
        <v>7924</v>
      </c>
      <c r="E1806" t="s">
        <v>29</v>
      </c>
      <c r="F1806" t="s">
        <v>30</v>
      </c>
      <c r="G1806" t="s">
        <v>31</v>
      </c>
      <c r="J1806" t="s">
        <v>7923</v>
      </c>
      <c r="K1806" t="s">
        <v>1967</v>
      </c>
      <c r="L1806" t="s">
        <v>5341</v>
      </c>
      <c r="M1806" s="8">
        <v>0.15</v>
      </c>
      <c r="N1806">
        <v>80.7856561622413</v>
      </c>
      <c r="O1806">
        <v>1827</v>
      </c>
      <c r="P1806" s="9">
        <v>0.209</v>
      </c>
      <c r="Q1806" t="s">
        <v>1515</v>
      </c>
      <c r="T1806" s="15" t="s">
        <v>69</v>
      </c>
      <c r="W1806" s="16" t="str">
        <f t="shared" si="155"/>
        <v>EN_WON_21_c02_POL</v>
      </c>
      <c r="X1806" s="12">
        <f t="shared" si="156"/>
        <v>1827</v>
      </c>
      <c r="Y1806" s="11">
        <f t="shared" si="157"/>
        <v>1827</v>
      </c>
    </row>
    <row r="1807" spans="2:25">
      <c r="B1807" t="s">
        <v>26</v>
      </c>
      <c r="C1807" t="s">
        <v>7925</v>
      </c>
      <c r="D1807" t="s">
        <v>7926</v>
      </c>
      <c r="E1807" t="s">
        <v>29</v>
      </c>
      <c r="F1807" t="s">
        <v>30</v>
      </c>
      <c r="G1807" t="s">
        <v>31</v>
      </c>
      <c r="J1807" t="s">
        <v>7925</v>
      </c>
      <c r="K1807" t="s">
        <v>1967</v>
      </c>
      <c r="L1807" t="s">
        <v>5341</v>
      </c>
      <c r="M1807" s="8">
        <v>0.1215</v>
      </c>
      <c r="N1807">
        <v>105.747516212372</v>
      </c>
      <c r="O1807">
        <v>1827</v>
      </c>
      <c r="P1807" s="9">
        <v>0.21</v>
      </c>
      <c r="Q1807" t="s">
        <v>1515</v>
      </c>
      <c r="T1807" s="15" t="s">
        <v>69</v>
      </c>
      <c r="W1807" s="16" t="str">
        <f t="shared" si="155"/>
        <v>EN_WON_21_c03_POL</v>
      </c>
      <c r="X1807" s="12">
        <f t="shared" si="156"/>
        <v>1827</v>
      </c>
      <c r="Y1807" s="11">
        <f t="shared" si="157"/>
        <v>1827</v>
      </c>
    </row>
    <row r="1808" spans="2:25">
      <c r="B1808" t="s">
        <v>26</v>
      </c>
      <c r="C1808" t="s">
        <v>7927</v>
      </c>
      <c r="D1808" t="s">
        <v>7928</v>
      </c>
      <c r="E1808" t="s">
        <v>29</v>
      </c>
      <c r="F1808" t="s">
        <v>30</v>
      </c>
      <c r="G1808" t="s">
        <v>31</v>
      </c>
      <c r="J1808" t="s">
        <v>7927</v>
      </c>
      <c r="K1808" t="s">
        <v>1967</v>
      </c>
      <c r="L1808" t="s">
        <v>5341</v>
      </c>
      <c r="M1808" s="8">
        <v>0.47325</v>
      </c>
      <c r="N1808">
        <v>80.7856561622413</v>
      </c>
      <c r="O1808">
        <v>1827</v>
      </c>
      <c r="P1808" s="9">
        <v>0.219026941362916</v>
      </c>
      <c r="Q1808" t="s">
        <v>1515</v>
      </c>
      <c r="T1808" s="15" t="s">
        <v>69</v>
      </c>
      <c r="W1808" s="16" t="str">
        <f t="shared" si="155"/>
        <v>EN_WON_22_c02_POL</v>
      </c>
      <c r="X1808" s="12">
        <f t="shared" si="156"/>
        <v>1827</v>
      </c>
      <c r="Y1808" s="11">
        <f t="shared" si="157"/>
        <v>1827</v>
      </c>
    </row>
    <row r="1809" spans="2:25">
      <c r="B1809" t="s">
        <v>26</v>
      </c>
      <c r="C1809" t="s">
        <v>7929</v>
      </c>
      <c r="D1809" t="s">
        <v>7930</v>
      </c>
      <c r="E1809" t="s">
        <v>29</v>
      </c>
      <c r="F1809" t="s">
        <v>30</v>
      </c>
      <c r="G1809" t="s">
        <v>31</v>
      </c>
      <c r="J1809" t="s">
        <v>7929</v>
      </c>
      <c r="K1809" t="s">
        <v>1967</v>
      </c>
      <c r="L1809" t="s">
        <v>5341</v>
      </c>
      <c r="M1809" s="8">
        <v>0.71925</v>
      </c>
      <c r="N1809">
        <v>80.7856561622413</v>
      </c>
      <c r="O1809">
        <v>1827</v>
      </c>
      <c r="P1809" s="9">
        <v>0.229602711157456</v>
      </c>
      <c r="Q1809" t="s">
        <v>1515</v>
      </c>
      <c r="T1809" s="15" t="s">
        <v>69</v>
      </c>
      <c r="W1809" s="16" t="str">
        <f t="shared" si="155"/>
        <v>EN_WON_23_c02_POL</v>
      </c>
      <c r="X1809" s="12">
        <f t="shared" si="156"/>
        <v>1827</v>
      </c>
      <c r="Y1809" s="11">
        <f t="shared" si="157"/>
        <v>1827</v>
      </c>
    </row>
    <row r="1810" spans="2:25">
      <c r="B1810" t="s">
        <v>26</v>
      </c>
      <c r="C1810" t="s">
        <v>7931</v>
      </c>
      <c r="D1810" t="s">
        <v>7932</v>
      </c>
      <c r="E1810" t="s">
        <v>29</v>
      </c>
      <c r="F1810" t="s">
        <v>30</v>
      </c>
      <c r="G1810" t="s">
        <v>31</v>
      </c>
      <c r="J1810" t="s">
        <v>7931</v>
      </c>
      <c r="K1810" t="s">
        <v>1967</v>
      </c>
      <c r="L1810" t="s">
        <v>5341</v>
      </c>
      <c r="M1810" s="8">
        <v>0.087</v>
      </c>
      <c r="N1810">
        <v>0</v>
      </c>
      <c r="O1810">
        <v>1827</v>
      </c>
      <c r="P1810" s="9">
        <v>0.24</v>
      </c>
      <c r="Q1810" t="s">
        <v>1515</v>
      </c>
      <c r="T1810" s="15" t="s">
        <v>69</v>
      </c>
      <c r="W1810" s="16" t="str">
        <f t="shared" si="155"/>
        <v>EN_WON_24_c01_POL</v>
      </c>
      <c r="X1810" s="12">
        <f t="shared" si="156"/>
        <v>1827</v>
      </c>
      <c r="Y1810" s="11">
        <f t="shared" si="157"/>
        <v>1827</v>
      </c>
    </row>
    <row r="1811" spans="2:25">
      <c r="B1811" t="s">
        <v>26</v>
      </c>
      <c r="C1811" t="s">
        <v>7933</v>
      </c>
      <c r="D1811" t="s">
        <v>7934</v>
      </c>
      <c r="E1811" t="s">
        <v>29</v>
      </c>
      <c r="F1811" t="s">
        <v>30</v>
      </c>
      <c r="G1811" t="s">
        <v>31</v>
      </c>
      <c r="J1811" t="s">
        <v>7933</v>
      </c>
      <c r="K1811" t="s">
        <v>1967</v>
      </c>
      <c r="L1811" t="s">
        <v>5341</v>
      </c>
      <c r="M1811" s="8">
        <v>0.74475</v>
      </c>
      <c r="N1811">
        <v>80.7856561622413</v>
      </c>
      <c r="O1811">
        <v>1827</v>
      </c>
      <c r="P1811" s="9">
        <v>0.238311178247734</v>
      </c>
      <c r="Q1811" t="s">
        <v>1515</v>
      </c>
      <c r="T1811" s="15" t="s">
        <v>69</v>
      </c>
      <c r="W1811" s="16" t="str">
        <f t="shared" si="155"/>
        <v>EN_WON_24_c02_POL</v>
      </c>
      <c r="X1811" s="12">
        <f t="shared" si="156"/>
        <v>1827</v>
      </c>
      <c r="Y1811" s="11">
        <f t="shared" si="157"/>
        <v>1827</v>
      </c>
    </row>
    <row r="1812" spans="2:25">
      <c r="B1812" t="s">
        <v>26</v>
      </c>
      <c r="C1812" t="s">
        <v>7935</v>
      </c>
      <c r="D1812" t="s">
        <v>7936</v>
      </c>
      <c r="E1812" t="s">
        <v>29</v>
      </c>
      <c r="F1812" t="s">
        <v>30</v>
      </c>
      <c r="G1812" t="s">
        <v>31</v>
      </c>
      <c r="J1812" t="s">
        <v>7935</v>
      </c>
      <c r="K1812" t="s">
        <v>1967</v>
      </c>
      <c r="L1812" t="s">
        <v>5341</v>
      </c>
      <c r="M1812" s="8">
        <v>0.282</v>
      </c>
      <c r="N1812">
        <v>0</v>
      </c>
      <c r="O1812">
        <v>1827</v>
      </c>
      <c r="P1812" s="9">
        <v>0.25</v>
      </c>
      <c r="Q1812" t="s">
        <v>1515</v>
      </c>
      <c r="T1812" s="15" t="s">
        <v>69</v>
      </c>
      <c r="W1812" s="16" t="str">
        <f t="shared" si="155"/>
        <v>EN_WON_25_c01_POL</v>
      </c>
      <c r="X1812" s="12">
        <f t="shared" si="156"/>
        <v>1827</v>
      </c>
      <c r="Y1812" s="11">
        <f t="shared" si="157"/>
        <v>1827</v>
      </c>
    </row>
    <row r="1813" spans="2:25">
      <c r="B1813" t="s">
        <v>26</v>
      </c>
      <c r="C1813" t="s">
        <v>7937</v>
      </c>
      <c r="D1813" t="s">
        <v>7938</v>
      </c>
      <c r="E1813" t="s">
        <v>29</v>
      </c>
      <c r="F1813" t="s">
        <v>30</v>
      </c>
      <c r="G1813" t="s">
        <v>31</v>
      </c>
      <c r="J1813" t="s">
        <v>7937</v>
      </c>
      <c r="K1813" t="s">
        <v>1967</v>
      </c>
      <c r="L1813" t="s">
        <v>5341</v>
      </c>
      <c r="M1813" s="8">
        <v>0.174</v>
      </c>
      <c r="N1813">
        <v>80.7856561622413</v>
      </c>
      <c r="O1813">
        <v>1827</v>
      </c>
      <c r="P1813" s="9">
        <v>0.245</v>
      </c>
      <c r="Q1813" t="s">
        <v>1515</v>
      </c>
      <c r="T1813" s="15" t="s">
        <v>69</v>
      </c>
      <c r="W1813" s="16" t="str">
        <f t="shared" si="155"/>
        <v>EN_WON_25_c02_POL</v>
      </c>
      <c r="X1813" s="12">
        <f t="shared" si="156"/>
        <v>1827</v>
      </c>
      <c r="Y1813" s="11">
        <f t="shared" si="157"/>
        <v>1827</v>
      </c>
    </row>
    <row r="1814" spans="2:25">
      <c r="B1814" t="s">
        <v>26</v>
      </c>
      <c r="C1814" t="s">
        <v>7939</v>
      </c>
      <c r="D1814" t="s">
        <v>7940</v>
      </c>
      <c r="E1814" t="s">
        <v>29</v>
      </c>
      <c r="F1814" t="s">
        <v>30</v>
      </c>
      <c r="G1814" t="s">
        <v>31</v>
      </c>
      <c r="J1814" t="s">
        <v>7939</v>
      </c>
      <c r="K1814" t="s">
        <v>1967</v>
      </c>
      <c r="L1814" t="s">
        <v>5341</v>
      </c>
      <c r="M1814" s="8">
        <v>0.195</v>
      </c>
      <c r="N1814">
        <v>105.747516212372</v>
      </c>
      <c r="O1814">
        <v>1827</v>
      </c>
      <c r="P1814" s="9">
        <v>0.252</v>
      </c>
      <c r="Q1814" t="s">
        <v>1515</v>
      </c>
      <c r="T1814" s="15" t="s">
        <v>69</v>
      </c>
      <c r="W1814" s="16" t="str">
        <f t="shared" si="155"/>
        <v>EN_WON_25_c03_POL</v>
      </c>
      <c r="X1814" s="12">
        <f t="shared" si="156"/>
        <v>1827</v>
      </c>
      <c r="Y1814" s="11">
        <f t="shared" si="157"/>
        <v>1827</v>
      </c>
    </row>
    <row r="1815" spans="2:25">
      <c r="B1815" t="s">
        <v>26</v>
      </c>
      <c r="C1815" t="s">
        <v>7941</v>
      </c>
      <c r="D1815" t="s">
        <v>7942</v>
      </c>
      <c r="E1815" t="s">
        <v>29</v>
      </c>
      <c r="F1815" t="s">
        <v>30</v>
      </c>
      <c r="G1815" t="s">
        <v>31</v>
      </c>
      <c r="J1815" t="s">
        <v>7941</v>
      </c>
      <c r="K1815" t="s">
        <v>1967</v>
      </c>
      <c r="L1815" t="s">
        <v>5341</v>
      </c>
      <c r="M1815" s="8">
        <v>0.6105</v>
      </c>
      <c r="N1815">
        <v>0</v>
      </c>
      <c r="O1815">
        <v>1827</v>
      </c>
      <c r="P1815" s="9">
        <v>0.262234643734644</v>
      </c>
      <c r="Q1815" t="s">
        <v>1515</v>
      </c>
      <c r="T1815" s="15" t="s">
        <v>69</v>
      </c>
      <c r="W1815" s="16" t="str">
        <f t="shared" si="155"/>
        <v>EN_WON_26_c01_POL</v>
      </c>
      <c r="X1815" s="12">
        <f t="shared" si="156"/>
        <v>1827</v>
      </c>
      <c r="Y1815" s="11">
        <f t="shared" si="157"/>
        <v>1827</v>
      </c>
    </row>
    <row r="1816" spans="2:25">
      <c r="B1816" t="s">
        <v>26</v>
      </c>
      <c r="C1816" t="s">
        <v>7943</v>
      </c>
      <c r="D1816" t="s">
        <v>7944</v>
      </c>
      <c r="E1816" t="s">
        <v>29</v>
      </c>
      <c r="F1816" t="s">
        <v>30</v>
      </c>
      <c r="G1816" t="s">
        <v>31</v>
      </c>
      <c r="J1816" t="s">
        <v>7943</v>
      </c>
      <c r="K1816" t="s">
        <v>1967</v>
      </c>
      <c r="L1816" t="s">
        <v>5341</v>
      </c>
      <c r="M1816" s="8">
        <v>1.5345</v>
      </c>
      <c r="N1816">
        <v>80.7856561622413</v>
      </c>
      <c r="O1816">
        <v>1827</v>
      </c>
      <c r="P1816" s="9">
        <v>0.262112903225806</v>
      </c>
      <c r="Q1816" t="s">
        <v>1515</v>
      </c>
      <c r="T1816" s="15" t="s">
        <v>69</v>
      </c>
      <c r="W1816" s="16" t="str">
        <f t="shared" si="155"/>
        <v>EN_WON_26_c02_POL</v>
      </c>
      <c r="X1816" s="12">
        <f t="shared" si="156"/>
        <v>1827</v>
      </c>
      <c r="Y1816" s="11">
        <f t="shared" si="157"/>
        <v>1827</v>
      </c>
    </row>
    <row r="1817" spans="2:25">
      <c r="B1817" t="s">
        <v>26</v>
      </c>
      <c r="C1817" t="s">
        <v>7945</v>
      </c>
      <c r="D1817" t="s">
        <v>7946</v>
      </c>
      <c r="E1817" t="s">
        <v>29</v>
      </c>
      <c r="F1817" t="s">
        <v>30</v>
      </c>
      <c r="G1817" t="s">
        <v>31</v>
      </c>
      <c r="J1817" t="s">
        <v>7945</v>
      </c>
      <c r="K1817" t="s">
        <v>1967</v>
      </c>
      <c r="L1817" t="s">
        <v>5341</v>
      </c>
      <c r="M1817" s="8">
        <v>0.9435</v>
      </c>
      <c r="N1817">
        <v>0</v>
      </c>
      <c r="O1817">
        <v>1827</v>
      </c>
      <c r="P1817" s="9">
        <v>0.269862480127186</v>
      </c>
      <c r="Q1817" t="s">
        <v>1515</v>
      </c>
      <c r="T1817" s="15" t="s">
        <v>69</v>
      </c>
      <c r="W1817" s="16" t="str">
        <f t="shared" si="155"/>
        <v>EN_WON_27_c01_POL</v>
      </c>
      <c r="X1817" s="12">
        <f t="shared" si="156"/>
        <v>1827</v>
      </c>
      <c r="Y1817" s="11">
        <f t="shared" si="157"/>
        <v>1827</v>
      </c>
    </row>
    <row r="1818" spans="2:25">
      <c r="B1818" t="s">
        <v>26</v>
      </c>
      <c r="C1818" t="s">
        <v>7947</v>
      </c>
      <c r="D1818" t="s">
        <v>7948</v>
      </c>
      <c r="E1818" t="s">
        <v>29</v>
      </c>
      <c r="F1818" t="s">
        <v>30</v>
      </c>
      <c r="G1818" t="s">
        <v>31</v>
      </c>
      <c r="J1818" t="s">
        <v>7947</v>
      </c>
      <c r="K1818" t="s">
        <v>1967</v>
      </c>
      <c r="L1818" t="s">
        <v>5341</v>
      </c>
      <c r="M1818" s="8">
        <v>0.3885</v>
      </c>
      <c r="N1818">
        <v>80.7856561622413</v>
      </c>
      <c r="O1818">
        <v>1827</v>
      </c>
      <c r="P1818" s="9">
        <v>0.266341698841699</v>
      </c>
      <c r="Q1818" t="s">
        <v>1515</v>
      </c>
      <c r="T1818" s="15" t="s">
        <v>69</v>
      </c>
      <c r="W1818" s="16" t="str">
        <f t="shared" si="155"/>
        <v>EN_WON_27_c02_POL</v>
      </c>
      <c r="X1818" s="12">
        <f t="shared" si="156"/>
        <v>1827</v>
      </c>
      <c r="Y1818" s="11">
        <f t="shared" si="157"/>
        <v>1827</v>
      </c>
    </row>
    <row r="1819" spans="2:25">
      <c r="B1819" t="s">
        <v>26</v>
      </c>
      <c r="C1819" t="s">
        <v>7949</v>
      </c>
      <c r="D1819" t="s">
        <v>7950</v>
      </c>
      <c r="E1819" t="s">
        <v>29</v>
      </c>
      <c r="F1819" t="s">
        <v>30</v>
      </c>
      <c r="G1819" t="s">
        <v>31</v>
      </c>
      <c r="J1819" t="s">
        <v>7949</v>
      </c>
      <c r="K1819" t="s">
        <v>1967</v>
      </c>
      <c r="L1819" t="s">
        <v>5341</v>
      </c>
      <c r="M1819" s="8">
        <v>0.14775</v>
      </c>
      <c r="N1819">
        <v>105.747516212372</v>
      </c>
      <c r="O1819">
        <v>1827</v>
      </c>
      <c r="P1819" s="9">
        <v>0.271</v>
      </c>
      <c r="Q1819" t="s">
        <v>1515</v>
      </c>
      <c r="T1819" s="15" t="s">
        <v>69</v>
      </c>
      <c r="W1819" s="16" t="str">
        <f t="shared" si="155"/>
        <v>EN_WON_27_c03_POL</v>
      </c>
      <c r="X1819" s="12">
        <f t="shared" si="156"/>
        <v>1827</v>
      </c>
      <c r="Y1819" s="11">
        <f t="shared" si="157"/>
        <v>1827</v>
      </c>
    </row>
    <row r="1820" spans="2:25">
      <c r="B1820" t="s">
        <v>26</v>
      </c>
      <c r="C1820" t="s">
        <v>7951</v>
      </c>
      <c r="D1820" t="s">
        <v>7952</v>
      </c>
      <c r="E1820" t="s">
        <v>29</v>
      </c>
      <c r="F1820" t="s">
        <v>30</v>
      </c>
      <c r="G1820" t="s">
        <v>31</v>
      </c>
      <c r="J1820" t="s">
        <v>7951</v>
      </c>
      <c r="K1820" t="s">
        <v>1967</v>
      </c>
      <c r="L1820" t="s">
        <v>5341</v>
      </c>
      <c r="M1820" s="8">
        <v>2.58075</v>
      </c>
      <c r="N1820">
        <v>0</v>
      </c>
      <c r="O1820">
        <v>1827</v>
      </c>
      <c r="P1820" s="9">
        <v>0.280782330717815</v>
      </c>
      <c r="Q1820" t="s">
        <v>1515</v>
      </c>
      <c r="T1820" s="15" t="s">
        <v>69</v>
      </c>
      <c r="W1820" s="16" t="str">
        <f t="shared" si="155"/>
        <v>EN_WON_28_c01_POL</v>
      </c>
      <c r="X1820" s="12">
        <f t="shared" si="156"/>
        <v>1827</v>
      </c>
      <c r="Y1820" s="11">
        <f t="shared" si="157"/>
        <v>1827</v>
      </c>
    </row>
    <row r="1821" spans="2:25">
      <c r="B1821" t="s">
        <v>26</v>
      </c>
      <c r="C1821" t="s">
        <v>7953</v>
      </c>
      <c r="D1821" t="s">
        <v>7954</v>
      </c>
      <c r="E1821" t="s">
        <v>29</v>
      </c>
      <c r="F1821" t="s">
        <v>30</v>
      </c>
      <c r="G1821" t="s">
        <v>31</v>
      </c>
      <c r="J1821" t="s">
        <v>7953</v>
      </c>
      <c r="K1821" t="s">
        <v>1967</v>
      </c>
      <c r="L1821" t="s">
        <v>5341</v>
      </c>
      <c r="M1821" s="8">
        <v>3.4875</v>
      </c>
      <c r="N1821">
        <v>0</v>
      </c>
      <c r="O1821">
        <v>1827</v>
      </c>
      <c r="P1821" s="9">
        <v>0.290441720430107</v>
      </c>
      <c r="Q1821" t="s">
        <v>1515</v>
      </c>
      <c r="T1821" s="15" t="s">
        <v>69</v>
      </c>
      <c r="W1821" s="16" t="str">
        <f t="shared" si="155"/>
        <v>EN_WON_29_c01_POL</v>
      </c>
      <c r="X1821" s="12">
        <f t="shared" si="156"/>
        <v>1827</v>
      </c>
      <c r="Y1821" s="11">
        <f t="shared" si="157"/>
        <v>1827</v>
      </c>
    </row>
    <row r="1822" spans="2:25">
      <c r="B1822" t="s">
        <v>26</v>
      </c>
      <c r="C1822" t="s">
        <v>7955</v>
      </c>
      <c r="D1822" t="s">
        <v>7956</v>
      </c>
      <c r="E1822" t="s">
        <v>29</v>
      </c>
      <c r="F1822" t="s">
        <v>30</v>
      </c>
      <c r="G1822" t="s">
        <v>31</v>
      </c>
      <c r="J1822" t="s">
        <v>7955</v>
      </c>
      <c r="K1822" t="s">
        <v>1967</v>
      </c>
      <c r="L1822" t="s">
        <v>5341</v>
      </c>
      <c r="M1822" s="8">
        <v>2.784</v>
      </c>
      <c r="N1822">
        <v>0</v>
      </c>
      <c r="O1822">
        <v>1827</v>
      </c>
      <c r="P1822" s="9">
        <v>0.299331088362069</v>
      </c>
      <c r="Q1822" t="s">
        <v>1515</v>
      </c>
      <c r="T1822" s="15" t="s">
        <v>69</v>
      </c>
      <c r="W1822" s="16" t="str">
        <f t="shared" si="155"/>
        <v>EN_WON_30_c01_POL</v>
      </c>
      <c r="X1822" s="12">
        <f t="shared" si="156"/>
        <v>1827</v>
      </c>
      <c r="Y1822" s="11">
        <f t="shared" si="157"/>
        <v>1827</v>
      </c>
    </row>
    <row r="1823" spans="2:25">
      <c r="B1823" t="s">
        <v>26</v>
      </c>
      <c r="C1823" t="s">
        <v>7957</v>
      </c>
      <c r="D1823" t="s">
        <v>7958</v>
      </c>
      <c r="E1823" t="s">
        <v>29</v>
      </c>
      <c r="F1823" t="s">
        <v>30</v>
      </c>
      <c r="G1823" t="s">
        <v>31</v>
      </c>
      <c r="J1823" t="s">
        <v>7957</v>
      </c>
      <c r="K1823" t="s">
        <v>1967</v>
      </c>
      <c r="L1823" t="s">
        <v>5341</v>
      </c>
      <c r="M1823" s="8">
        <v>4.2855</v>
      </c>
      <c r="N1823">
        <v>0</v>
      </c>
      <c r="O1823">
        <v>1827</v>
      </c>
      <c r="P1823" s="9">
        <v>0.310220861043052</v>
      </c>
      <c r="Q1823" t="s">
        <v>1515</v>
      </c>
      <c r="T1823" s="15" t="s">
        <v>69</v>
      </c>
      <c r="W1823" s="16" t="str">
        <f t="shared" si="155"/>
        <v>EN_WON_31_c01_POL</v>
      </c>
      <c r="X1823" s="12">
        <f t="shared" si="156"/>
        <v>1827</v>
      </c>
      <c r="Y1823" s="11">
        <f t="shared" si="157"/>
        <v>1827</v>
      </c>
    </row>
    <row r="1824" spans="2:25">
      <c r="B1824" t="s">
        <v>26</v>
      </c>
      <c r="C1824" t="s">
        <v>7959</v>
      </c>
      <c r="D1824" t="s">
        <v>7960</v>
      </c>
      <c r="E1824" t="s">
        <v>29</v>
      </c>
      <c r="F1824" t="s">
        <v>30</v>
      </c>
      <c r="G1824" t="s">
        <v>31</v>
      </c>
      <c r="J1824" t="s">
        <v>7959</v>
      </c>
      <c r="K1824" t="s">
        <v>1967</v>
      </c>
      <c r="L1824" t="s">
        <v>5341</v>
      </c>
      <c r="M1824" s="8">
        <v>4.3065</v>
      </c>
      <c r="N1824">
        <v>0</v>
      </c>
      <c r="O1824">
        <v>1827</v>
      </c>
      <c r="P1824" s="9">
        <v>0.320017589690003</v>
      </c>
      <c r="Q1824" t="s">
        <v>1515</v>
      </c>
      <c r="T1824" s="15" t="s">
        <v>69</v>
      </c>
      <c r="W1824" s="16" t="str">
        <f t="shared" si="155"/>
        <v>EN_WON_32_c01_POL</v>
      </c>
      <c r="X1824" s="12">
        <f t="shared" si="156"/>
        <v>1827</v>
      </c>
      <c r="Y1824" s="11">
        <f t="shared" si="157"/>
        <v>1827</v>
      </c>
    </row>
    <row r="1825" spans="2:25">
      <c r="B1825" t="s">
        <v>26</v>
      </c>
      <c r="C1825" t="s">
        <v>7961</v>
      </c>
      <c r="D1825" t="s">
        <v>7962</v>
      </c>
      <c r="E1825" t="s">
        <v>29</v>
      </c>
      <c r="F1825" t="s">
        <v>30</v>
      </c>
      <c r="G1825" t="s">
        <v>31</v>
      </c>
      <c r="J1825" t="s">
        <v>7961</v>
      </c>
      <c r="K1825" t="s">
        <v>1967</v>
      </c>
      <c r="L1825" t="s">
        <v>5341</v>
      </c>
      <c r="M1825" s="8">
        <v>7.27125</v>
      </c>
      <c r="N1825">
        <v>0</v>
      </c>
      <c r="O1825">
        <v>1827</v>
      </c>
      <c r="P1825" s="9">
        <v>0.328295100567303</v>
      </c>
      <c r="Q1825" t="s">
        <v>1515</v>
      </c>
      <c r="T1825" s="15" t="s">
        <v>69</v>
      </c>
      <c r="W1825" s="16" t="str">
        <f t="shared" si="155"/>
        <v>EN_WON_33_c01_POL</v>
      </c>
      <c r="X1825" s="12">
        <f t="shared" si="156"/>
        <v>1827</v>
      </c>
      <c r="Y1825" s="11">
        <f t="shared" si="157"/>
        <v>1827</v>
      </c>
    </row>
    <row r="1826" spans="2:25">
      <c r="B1826" t="s">
        <v>26</v>
      </c>
      <c r="C1826" t="s">
        <v>7963</v>
      </c>
      <c r="D1826" t="s">
        <v>7964</v>
      </c>
      <c r="E1826" t="s">
        <v>29</v>
      </c>
      <c r="F1826" t="s">
        <v>30</v>
      </c>
      <c r="G1826" t="s">
        <v>31</v>
      </c>
      <c r="J1826" t="s">
        <v>7963</v>
      </c>
      <c r="K1826" t="s">
        <v>1967</v>
      </c>
      <c r="L1826" t="s">
        <v>5341</v>
      </c>
      <c r="M1826" s="8">
        <v>6.68475</v>
      </c>
      <c r="N1826">
        <v>0</v>
      </c>
      <c r="O1826">
        <v>1827</v>
      </c>
      <c r="P1826" s="9">
        <v>0.337820374733535</v>
      </c>
      <c r="Q1826" t="s">
        <v>1515</v>
      </c>
      <c r="T1826" s="15" t="s">
        <v>69</v>
      </c>
      <c r="W1826" s="16" t="str">
        <f t="shared" si="155"/>
        <v>EN_WON_34_c01_POL</v>
      </c>
      <c r="X1826" s="12">
        <f t="shared" si="156"/>
        <v>1827</v>
      </c>
      <c r="Y1826" s="11">
        <f t="shared" si="157"/>
        <v>1827</v>
      </c>
    </row>
    <row r="1827" spans="2:25">
      <c r="B1827" t="s">
        <v>26</v>
      </c>
      <c r="C1827" t="s">
        <v>7965</v>
      </c>
      <c r="D1827" t="s">
        <v>7966</v>
      </c>
      <c r="E1827" t="s">
        <v>29</v>
      </c>
      <c r="F1827" t="s">
        <v>30</v>
      </c>
      <c r="G1827" t="s">
        <v>31</v>
      </c>
      <c r="J1827" t="s">
        <v>7965</v>
      </c>
      <c r="K1827" t="s">
        <v>1967</v>
      </c>
      <c r="L1827" t="s">
        <v>5341</v>
      </c>
      <c r="M1827" s="8">
        <v>3.61125</v>
      </c>
      <c r="N1827">
        <v>0</v>
      </c>
      <c r="O1827">
        <v>1827</v>
      </c>
      <c r="P1827" s="9">
        <v>0.351054413291796</v>
      </c>
      <c r="Q1827" t="s">
        <v>1515</v>
      </c>
      <c r="T1827" s="15" t="s">
        <v>69</v>
      </c>
      <c r="W1827" s="16" t="str">
        <f t="shared" si="155"/>
        <v>EN_WON_35_c01_POL</v>
      </c>
      <c r="X1827" s="12">
        <f t="shared" si="156"/>
        <v>1827</v>
      </c>
      <c r="Y1827" s="11">
        <f t="shared" si="157"/>
        <v>1827</v>
      </c>
    </row>
    <row r="1828" spans="2:25">
      <c r="B1828" t="s">
        <v>26</v>
      </c>
      <c r="C1828" t="s">
        <v>7967</v>
      </c>
      <c r="D1828" t="s">
        <v>7968</v>
      </c>
      <c r="E1828" t="s">
        <v>29</v>
      </c>
      <c r="F1828" t="s">
        <v>30</v>
      </c>
      <c r="G1828" t="s">
        <v>31</v>
      </c>
      <c r="J1828" t="s">
        <v>7967</v>
      </c>
      <c r="K1828" t="s">
        <v>1967</v>
      </c>
      <c r="L1828" t="s">
        <v>5341</v>
      </c>
      <c r="M1828" s="8">
        <v>1.64475</v>
      </c>
      <c r="N1828">
        <v>0</v>
      </c>
      <c r="O1828">
        <v>1827</v>
      </c>
      <c r="P1828" s="9">
        <v>0.357583219334245</v>
      </c>
      <c r="Q1828" t="s">
        <v>1515</v>
      </c>
      <c r="T1828" s="15" t="s">
        <v>69</v>
      </c>
      <c r="W1828" s="16" t="str">
        <f t="shared" si="155"/>
        <v>EN_WON_36_c01_POL</v>
      </c>
      <c r="X1828" s="12">
        <f t="shared" si="156"/>
        <v>1827</v>
      </c>
      <c r="Y1828" s="11">
        <f t="shared" si="157"/>
        <v>1827</v>
      </c>
    </row>
    <row r="1829" spans="2:25">
      <c r="B1829" t="s">
        <v>26</v>
      </c>
      <c r="C1829" t="s">
        <v>7969</v>
      </c>
      <c r="D1829" t="s">
        <v>7970</v>
      </c>
      <c r="E1829" t="s">
        <v>29</v>
      </c>
      <c r="F1829" t="s">
        <v>30</v>
      </c>
      <c r="G1829" t="s">
        <v>31</v>
      </c>
      <c r="J1829" t="s">
        <v>7969</v>
      </c>
      <c r="K1829" t="s">
        <v>1967</v>
      </c>
      <c r="L1829" t="s">
        <v>5341</v>
      </c>
      <c r="M1829" s="8">
        <v>1.338</v>
      </c>
      <c r="N1829">
        <v>0</v>
      </c>
      <c r="O1829">
        <v>1827</v>
      </c>
      <c r="P1829" s="9">
        <v>0.367</v>
      </c>
      <c r="Q1829" t="s">
        <v>1515</v>
      </c>
      <c r="T1829" s="15" t="s">
        <v>69</v>
      </c>
      <c r="W1829" s="16" t="str">
        <f t="shared" si="155"/>
        <v>EN_WON_37_c01_POL</v>
      </c>
      <c r="X1829" s="12">
        <f t="shared" si="156"/>
        <v>1827</v>
      </c>
      <c r="Y1829" s="11">
        <f t="shared" si="157"/>
        <v>1827</v>
      </c>
    </row>
    <row r="1830" spans="2:25">
      <c r="B1830" t="s">
        <v>26</v>
      </c>
      <c r="C1830" t="s">
        <v>7971</v>
      </c>
      <c r="D1830" t="s">
        <v>7972</v>
      </c>
      <c r="E1830" t="s">
        <v>29</v>
      </c>
      <c r="F1830" t="s">
        <v>30</v>
      </c>
      <c r="G1830" t="s">
        <v>31</v>
      </c>
      <c r="J1830" t="s">
        <v>7971</v>
      </c>
      <c r="K1830" t="s">
        <v>1967</v>
      </c>
      <c r="L1830" t="s">
        <v>5341</v>
      </c>
      <c r="M1830" s="8">
        <v>0.099</v>
      </c>
      <c r="N1830">
        <v>0</v>
      </c>
      <c r="O1830">
        <v>1827</v>
      </c>
      <c r="P1830" s="9">
        <v>0.379</v>
      </c>
      <c r="Q1830" t="s">
        <v>1515</v>
      </c>
      <c r="T1830" s="15" t="s">
        <v>69</v>
      </c>
      <c r="W1830" s="16" t="str">
        <f t="shared" si="155"/>
        <v>EN_WON_38_c01_POL</v>
      </c>
      <c r="X1830" s="12">
        <f t="shared" si="156"/>
        <v>1827</v>
      </c>
      <c r="Y1830" s="11">
        <f t="shared" si="157"/>
        <v>1827</v>
      </c>
    </row>
    <row r="1831" spans="2:25">
      <c r="B1831" t="s">
        <v>26</v>
      </c>
      <c r="C1831" t="s">
        <v>7973</v>
      </c>
      <c r="D1831" t="s">
        <v>7974</v>
      </c>
      <c r="E1831" t="s">
        <v>29</v>
      </c>
      <c r="F1831" t="s">
        <v>30</v>
      </c>
      <c r="G1831" t="s">
        <v>31</v>
      </c>
      <c r="J1831" t="s">
        <v>7973</v>
      </c>
      <c r="K1831" t="s">
        <v>1967</v>
      </c>
      <c r="L1831" t="s">
        <v>5362</v>
      </c>
      <c r="M1831" s="8">
        <v>6.5805</v>
      </c>
      <c r="N1831">
        <v>105.747516212372</v>
      </c>
      <c r="O1831">
        <v>2239</v>
      </c>
      <c r="P1831" s="9">
        <v>0.234</v>
      </c>
      <c r="Q1831" t="s">
        <v>1523</v>
      </c>
      <c r="T1831" s="15" t="s">
        <v>290</v>
      </c>
      <c r="W1831" s="16" t="str">
        <f t="shared" si="155"/>
        <v>EN_WON_23_c03_PRK</v>
      </c>
      <c r="X1831" s="12">
        <f t="shared" si="156"/>
        <v>2239</v>
      </c>
      <c r="Y1831" s="11">
        <f t="shared" si="157"/>
        <v>2239</v>
      </c>
    </row>
    <row r="1832" spans="2:25">
      <c r="B1832" t="s">
        <v>26</v>
      </c>
      <c r="C1832" t="s">
        <v>7975</v>
      </c>
      <c r="D1832" t="s">
        <v>7976</v>
      </c>
      <c r="E1832" t="s">
        <v>29</v>
      </c>
      <c r="F1832" t="s">
        <v>30</v>
      </c>
      <c r="G1832" t="s">
        <v>31</v>
      </c>
      <c r="J1832" t="s">
        <v>7975</v>
      </c>
      <c r="K1832" t="s">
        <v>1967</v>
      </c>
      <c r="L1832" t="s">
        <v>5362</v>
      </c>
      <c r="M1832" s="8">
        <v>5.23125</v>
      </c>
      <c r="N1832">
        <v>145.23264029167</v>
      </c>
      <c r="O1832">
        <v>2239</v>
      </c>
      <c r="P1832" s="9">
        <v>0.231</v>
      </c>
      <c r="Q1832" t="s">
        <v>1523</v>
      </c>
      <c r="T1832" s="15" t="s">
        <v>290</v>
      </c>
      <c r="W1832" s="16" t="str">
        <f t="shared" si="155"/>
        <v>EN_WON_23_c04_PRK</v>
      </c>
      <c r="X1832" s="12">
        <f t="shared" si="156"/>
        <v>2239</v>
      </c>
      <c r="Y1832" s="11">
        <f t="shared" si="157"/>
        <v>2239</v>
      </c>
    </row>
    <row r="1833" spans="2:25">
      <c r="B1833" t="s">
        <v>26</v>
      </c>
      <c r="C1833" t="s">
        <v>7977</v>
      </c>
      <c r="D1833" t="s">
        <v>7978</v>
      </c>
      <c r="E1833" t="s">
        <v>29</v>
      </c>
      <c r="F1833" t="s">
        <v>30</v>
      </c>
      <c r="G1833" t="s">
        <v>31</v>
      </c>
      <c r="J1833" t="s">
        <v>7977</v>
      </c>
      <c r="K1833" t="s">
        <v>1967</v>
      </c>
      <c r="L1833" t="s">
        <v>5362</v>
      </c>
      <c r="M1833" s="8">
        <v>1.479</v>
      </c>
      <c r="N1833">
        <v>80.7856561622413</v>
      </c>
      <c r="O1833">
        <v>2239</v>
      </c>
      <c r="P1833" s="9">
        <v>0.239</v>
      </c>
      <c r="Q1833" t="s">
        <v>1523</v>
      </c>
      <c r="T1833" s="15" t="s">
        <v>290</v>
      </c>
      <c r="W1833" s="16" t="str">
        <f t="shared" si="155"/>
        <v>EN_WON_24_c02_PRK</v>
      </c>
      <c r="X1833" s="12">
        <f t="shared" si="156"/>
        <v>2239</v>
      </c>
      <c r="Y1833" s="11">
        <f t="shared" si="157"/>
        <v>2239</v>
      </c>
    </row>
    <row r="1834" spans="2:25">
      <c r="B1834" t="s">
        <v>26</v>
      </c>
      <c r="C1834" t="s">
        <v>7979</v>
      </c>
      <c r="D1834" t="s">
        <v>7980</v>
      </c>
      <c r="E1834" t="s">
        <v>29</v>
      </c>
      <c r="F1834" t="s">
        <v>30</v>
      </c>
      <c r="G1834" t="s">
        <v>31</v>
      </c>
      <c r="J1834" t="s">
        <v>7979</v>
      </c>
      <c r="K1834" t="s">
        <v>1967</v>
      </c>
      <c r="L1834" t="s">
        <v>5362</v>
      </c>
      <c r="M1834" s="8">
        <v>15.00675</v>
      </c>
      <c r="N1834">
        <v>145.23264029167</v>
      </c>
      <c r="O1834">
        <v>2239</v>
      </c>
      <c r="P1834" s="9">
        <v>0.241763256534559</v>
      </c>
      <c r="Q1834" t="s">
        <v>1523</v>
      </c>
      <c r="T1834" s="15" t="s">
        <v>290</v>
      </c>
      <c r="W1834" s="16" t="str">
        <f t="shared" si="155"/>
        <v>EN_WON_24_c04_PRK</v>
      </c>
      <c r="X1834" s="12">
        <f t="shared" si="156"/>
        <v>2239</v>
      </c>
      <c r="Y1834" s="11">
        <f t="shared" si="157"/>
        <v>2239</v>
      </c>
    </row>
    <row r="1835" spans="2:25">
      <c r="B1835" t="s">
        <v>26</v>
      </c>
      <c r="C1835" t="s">
        <v>7981</v>
      </c>
      <c r="D1835" t="s">
        <v>7982</v>
      </c>
      <c r="E1835" t="s">
        <v>29</v>
      </c>
      <c r="F1835" t="s">
        <v>30</v>
      </c>
      <c r="G1835" t="s">
        <v>31</v>
      </c>
      <c r="J1835" t="s">
        <v>7981</v>
      </c>
      <c r="K1835" t="s">
        <v>1967</v>
      </c>
      <c r="L1835" t="s">
        <v>5362</v>
      </c>
      <c r="M1835" s="8">
        <v>4.2795</v>
      </c>
      <c r="N1835">
        <v>105.747516212372</v>
      </c>
      <c r="O1835">
        <v>2239</v>
      </c>
      <c r="P1835" s="9">
        <v>0.248133193130039</v>
      </c>
      <c r="Q1835" t="s">
        <v>1523</v>
      </c>
      <c r="T1835" s="15" t="s">
        <v>290</v>
      </c>
      <c r="W1835" s="16" t="str">
        <f t="shared" si="155"/>
        <v>EN_WON_25_c03_PRK</v>
      </c>
      <c r="X1835" s="12">
        <f t="shared" si="156"/>
        <v>2239</v>
      </c>
      <c r="Y1835" s="11">
        <f t="shared" si="157"/>
        <v>2239</v>
      </c>
    </row>
    <row r="1836" spans="2:25">
      <c r="B1836" t="s">
        <v>26</v>
      </c>
      <c r="C1836" t="s">
        <v>7983</v>
      </c>
      <c r="D1836" t="s">
        <v>7984</v>
      </c>
      <c r="E1836" t="s">
        <v>29</v>
      </c>
      <c r="F1836" t="s">
        <v>30</v>
      </c>
      <c r="G1836" t="s">
        <v>31</v>
      </c>
      <c r="J1836" t="s">
        <v>7983</v>
      </c>
      <c r="K1836" t="s">
        <v>1967</v>
      </c>
      <c r="L1836" t="s">
        <v>5362</v>
      </c>
      <c r="M1836" s="8">
        <v>6.225</v>
      </c>
      <c r="N1836">
        <v>145.23264029167</v>
      </c>
      <c r="O1836">
        <v>2239</v>
      </c>
      <c r="P1836" s="9">
        <v>0.252</v>
      </c>
      <c r="Q1836" t="s">
        <v>1523</v>
      </c>
      <c r="T1836" s="15" t="s">
        <v>290</v>
      </c>
      <c r="W1836" s="16" t="str">
        <f t="shared" si="155"/>
        <v>EN_WON_25_c04_PRK</v>
      </c>
      <c r="X1836" s="12">
        <f t="shared" si="156"/>
        <v>2239</v>
      </c>
      <c r="Y1836" s="11">
        <f t="shared" si="157"/>
        <v>2239</v>
      </c>
    </row>
    <row r="1837" spans="2:25">
      <c r="B1837" t="s">
        <v>26</v>
      </c>
      <c r="C1837" t="s">
        <v>7985</v>
      </c>
      <c r="D1837" t="s">
        <v>7986</v>
      </c>
      <c r="E1837" t="s">
        <v>29</v>
      </c>
      <c r="F1837" t="s">
        <v>30</v>
      </c>
      <c r="G1837" t="s">
        <v>31</v>
      </c>
      <c r="J1837" t="s">
        <v>7985</v>
      </c>
      <c r="K1837" t="s">
        <v>1967</v>
      </c>
      <c r="L1837" t="s">
        <v>5362</v>
      </c>
      <c r="M1837" s="8">
        <v>0.363</v>
      </c>
      <c r="N1837">
        <v>80.7856561622413</v>
      </c>
      <c r="O1837">
        <v>2239</v>
      </c>
      <c r="P1837" s="9">
        <v>0.283</v>
      </c>
      <c r="Q1837" t="s">
        <v>1523</v>
      </c>
      <c r="T1837" s="15" t="s">
        <v>290</v>
      </c>
      <c r="W1837" s="16" t="str">
        <f t="shared" si="155"/>
        <v>EN_WON_28_c02_PRK</v>
      </c>
      <c r="X1837" s="12">
        <f t="shared" si="156"/>
        <v>2239</v>
      </c>
      <c r="Y1837" s="11">
        <f t="shared" si="157"/>
        <v>2239</v>
      </c>
    </row>
    <row r="1838" spans="2:25">
      <c r="B1838" t="s">
        <v>26</v>
      </c>
      <c r="C1838" t="s">
        <v>7987</v>
      </c>
      <c r="D1838" t="s">
        <v>7988</v>
      </c>
      <c r="E1838" t="s">
        <v>29</v>
      </c>
      <c r="F1838" t="s">
        <v>30</v>
      </c>
      <c r="G1838" t="s">
        <v>31</v>
      </c>
      <c r="J1838" t="s">
        <v>7987</v>
      </c>
      <c r="K1838" t="s">
        <v>1967</v>
      </c>
      <c r="L1838" t="s">
        <v>5362</v>
      </c>
      <c r="M1838" s="8">
        <v>0.207</v>
      </c>
      <c r="N1838">
        <v>80.7856561622413</v>
      </c>
      <c r="O1838">
        <v>2239</v>
      </c>
      <c r="P1838" s="9">
        <v>0.314</v>
      </c>
      <c r="Q1838" t="s">
        <v>1523</v>
      </c>
      <c r="T1838" s="15" t="s">
        <v>290</v>
      </c>
      <c r="W1838" s="16" t="str">
        <f t="shared" si="155"/>
        <v>EN_WON_31_c02_PRK</v>
      </c>
      <c r="X1838" s="12">
        <f t="shared" si="156"/>
        <v>2239</v>
      </c>
      <c r="Y1838" s="11">
        <f t="shared" si="157"/>
        <v>2239</v>
      </c>
    </row>
    <row r="1839" spans="2:25">
      <c r="B1839" t="s">
        <v>26</v>
      </c>
      <c r="C1839" t="s">
        <v>7989</v>
      </c>
      <c r="D1839" t="s">
        <v>7990</v>
      </c>
      <c r="E1839" t="s">
        <v>29</v>
      </c>
      <c r="F1839" t="s">
        <v>30</v>
      </c>
      <c r="G1839" t="s">
        <v>31</v>
      </c>
      <c r="J1839" t="s">
        <v>7989</v>
      </c>
      <c r="K1839" t="s">
        <v>1967</v>
      </c>
      <c r="L1839" t="s">
        <v>5362</v>
      </c>
      <c r="M1839" s="8">
        <v>0.06825</v>
      </c>
      <c r="N1839">
        <v>0</v>
      </c>
      <c r="O1839">
        <v>2239</v>
      </c>
      <c r="P1839" s="9">
        <v>0.345</v>
      </c>
      <c r="Q1839" t="s">
        <v>1523</v>
      </c>
      <c r="T1839" s="15" t="s">
        <v>290</v>
      </c>
      <c r="W1839" s="16" t="str">
        <f t="shared" si="155"/>
        <v>EN_WON_35_c01_PRK</v>
      </c>
      <c r="X1839" s="12">
        <f t="shared" si="156"/>
        <v>2239</v>
      </c>
      <c r="Y1839" s="11">
        <f t="shared" si="157"/>
        <v>2239</v>
      </c>
    </row>
    <row r="1840" spans="2:25">
      <c r="B1840" t="s">
        <v>26</v>
      </c>
      <c r="C1840" t="s">
        <v>7991</v>
      </c>
      <c r="D1840" t="s">
        <v>7992</v>
      </c>
      <c r="E1840" t="s">
        <v>29</v>
      </c>
      <c r="F1840" t="s">
        <v>30</v>
      </c>
      <c r="G1840" t="s">
        <v>31</v>
      </c>
      <c r="J1840" t="s">
        <v>7991</v>
      </c>
      <c r="K1840" t="s">
        <v>1967</v>
      </c>
      <c r="L1840" t="s">
        <v>5403</v>
      </c>
      <c r="M1840" s="8">
        <v>13.02075</v>
      </c>
      <c r="N1840">
        <v>105.747516212372</v>
      </c>
      <c r="O1840">
        <v>1909</v>
      </c>
      <c r="P1840" s="9">
        <v>0.227605667876274</v>
      </c>
      <c r="Q1840" t="s">
        <v>1537</v>
      </c>
      <c r="T1840" s="15" t="s">
        <v>69</v>
      </c>
      <c r="W1840" s="16" t="str">
        <f t="shared" si="155"/>
        <v>EN_WON_23_c03_PRT</v>
      </c>
      <c r="X1840" s="12">
        <f t="shared" si="156"/>
        <v>1909</v>
      </c>
      <c r="Y1840" s="11">
        <f t="shared" si="157"/>
        <v>1909</v>
      </c>
    </row>
    <row r="1841" spans="2:25">
      <c r="B1841" t="s">
        <v>26</v>
      </c>
      <c r="C1841" t="s">
        <v>7993</v>
      </c>
      <c r="D1841" t="s">
        <v>7994</v>
      </c>
      <c r="E1841" t="s">
        <v>29</v>
      </c>
      <c r="F1841" t="s">
        <v>30</v>
      </c>
      <c r="G1841" t="s">
        <v>31</v>
      </c>
      <c r="J1841" t="s">
        <v>7993</v>
      </c>
      <c r="K1841" t="s">
        <v>1967</v>
      </c>
      <c r="L1841" t="s">
        <v>5403</v>
      </c>
      <c r="M1841" s="8">
        <v>0.02025</v>
      </c>
      <c r="N1841">
        <v>0</v>
      </c>
      <c r="O1841">
        <v>1909</v>
      </c>
      <c r="P1841" s="9">
        <v>0.241</v>
      </c>
      <c r="Q1841" t="s">
        <v>1537</v>
      </c>
      <c r="T1841" s="15" t="s">
        <v>69</v>
      </c>
      <c r="W1841" s="16" t="str">
        <f t="shared" si="155"/>
        <v>EN_WON_24_c01_PRT</v>
      </c>
      <c r="X1841" s="12">
        <f t="shared" si="156"/>
        <v>1909</v>
      </c>
      <c r="Y1841" s="11">
        <f t="shared" si="157"/>
        <v>1909</v>
      </c>
    </row>
    <row r="1842" spans="2:25">
      <c r="B1842" t="s">
        <v>26</v>
      </c>
      <c r="C1842" t="s">
        <v>7995</v>
      </c>
      <c r="D1842" t="s">
        <v>7996</v>
      </c>
      <c r="E1842" t="s">
        <v>29</v>
      </c>
      <c r="F1842" t="s">
        <v>30</v>
      </c>
      <c r="G1842" t="s">
        <v>31</v>
      </c>
      <c r="J1842" t="s">
        <v>7995</v>
      </c>
      <c r="K1842" t="s">
        <v>1967</v>
      </c>
      <c r="L1842" t="s">
        <v>5403</v>
      </c>
      <c r="M1842" s="8">
        <v>3.70575</v>
      </c>
      <c r="N1842">
        <v>80.7856561622413</v>
      </c>
      <c r="O1842">
        <v>1909</v>
      </c>
      <c r="P1842" s="9">
        <v>0.237</v>
      </c>
      <c r="Q1842" t="s">
        <v>1537</v>
      </c>
      <c r="T1842" s="15" t="s">
        <v>69</v>
      </c>
      <c r="W1842" s="16" t="str">
        <f t="shared" si="155"/>
        <v>EN_WON_24_c02_PRT</v>
      </c>
      <c r="X1842" s="12">
        <f t="shared" si="156"/>
        <v>1909</v>
      </c>
      <c r="Y1842" s="11">
        <f t="shared" si="157"/>
        <v>1909</v>
      </c>
    </row>
    <row r="1843" spans="2:25">
      <c r="B1843" t="s">
        <v>26</v>
      </c>
      <c r="C1843" t="s">
        <v>7997</v>
      </c>
      <c r="D1843" t="s">
        <v>7998</v>
      </c>
      <c r="E1843" t="s">
        <v>29</v>
      </c>
      <c r="F1843" t="s">
        <v>30</v>
      </c>
      <c r="G1843" t="s">
        <v>31</v>
      </c>
      <c r="J1843" t="s">
        <v>7997</v>
      </c>
      <c r="K1843" t="s">
        <v>1967</v>
      </c>
      <c r="L1843" t="s">
        <v>5403</v>
      </c>
      <c r="M1843" s="8">
        <v>2.025</v>
      </c>
      <c r="N1843">
        <v>105.747516212372</v>
      </c>
      <c r="O1843">
        <v>1909</v>
      </c>
      <c r="P1843" s="9">
        <v>0.241</v>
      </c>
      <c r="Q1843" t="s">
        <v>1537</v>
      </c>
      <c r="T1843" s="15" t="s">
        <v>69</v>
      </c>
      <c r="W1843" s="16" t="str">
        <f t="shared" si="155"/>
        <v>EN_WON_24_c03_PRT</v>
      </c>
      <c r="X1843" s="12">
        <f t="shared" si="156"/>
        <v>1909</v>
      </c>
      <c r="Y1843" s="11">
        <f t="shared" si="157"/>
        <v>1909</v>
      </c>
    </row>
    <row r="1844" spans="2:25">
      <c r="B1844" t="s">
        <v>26</v>
      </c>
      <c r="C1844" t="s">
        <v>7999</v>
      </c>
      <c r="D1844" t="s">
        <v>8000</v>
      </c>
      <c r="E1844" t="s">
        <v>29</v>
      </c>
      <c r="F1844" t="s">
        <v>30</v>
      </c>
      <c r="G1844" t="s">
        <v>31</v>
      </c>
      <c r="J1844" t="s">
        <v>7999</v>
      </c>
      <c r="K1844" t="s">
        <v>1967</v>
      </c>
      <c r="L1844" t="s">
        <v>5403</v>
      </c>
      <c r="M1844" s="8">
        <v>2.28375</v>
      </c>
      <c r="N1844">
        <v>145.23264029167</v>
      </c>
      <c r="O1844">
        <v>1909</v>
      </c>
      <c r="P1844" s="9">
        <v>0.237</v>
      </c>
      <c r="Q1844" t="s">
        <v>1537</v>
      </c>
      <c r="T1844" s="15" t="s">
        <v>69</v>
      </c>
      <c r="W1844" s="16" t="str">
        <f t="shared" si="155"/>
        <v>EN_WON_24_c04_PRT</v>
      </c>
      <c r="X1844" s="12">
        <f t="shared" si="156"/>
        <v>1909</v>
      </c>
      <c r="Y1844" s="11">
        <f t="shared" si="157"/>
        <v>1909</v>
      </c>
    </row>
    <row r="1845" spans="2:25">
      <c r="B1845" t="s">
        <v>26</v>
      </c>
      <c r="C1845" t="s">
        <v>8001</v>
      </c>
      <c r="D1845" t="s">
        <v>8002</v>
      </c>
      <c r="E1845" t="s">
        <v>29</v>
      </c>
      <c r="F1845" t="s">
        <v>30</v>
      </c>
      <c r="G1845" t="s">
        <v>31</v>
      </c>
      <c r="J1845" t="s">
        <v>8001</v>
      </c>
      <c r="K1845" t="s">
        <v>1967</v>
      </c>
      <c r="L1845" t="s">
        <v>5403</v>
      </c>
      <c r="M1845" s="8">
        <v>3.1365</v>
      </c>
      <c r="N1845">
        <v>105.747516212372</v>
      </c>
      <c r="O1845">
        <v>1909</v>
      </c>
      <c r="P1845" s="9">
        <v>0.25</v>
      </c>
      <c r="Q1845" t="s">
        <v>1537</v>
      </c>
      <c r="T1845" s="15" t="s">
        <v>69</v>
      </c>
      <c r="W1845" s="16" t="str">
        <f t="shared" si="155"/>
        <v>EN_WON_25_c03_PRT</v>
      </c>
      <c r="X1845" s="12">
        <f t="shared" si="156"/>
        <v>1909</v>
      </c>
      <c r="Y1845" s="11">
        <f t="shared" si="157"/>
        <v>1909</v>
      </c>
    </row>
    <row r="1846" spans="2:25">
      <c r="B1846" t="s">
        <v>26</v>
      </c>
      <c r="C1846" t="s">
        <v>8003</v>
      </c>
      <c r="D1846" t="s">
        <v>8004</v>
      </c>
      <c r="E1846" t="s">
        <v>29</v>
      </c>
      <c r="F1846" t="s">
        <v>30</v>
      </c>
      <c r="G1846" t="s">
        <v>31</v>
      </c>
      <c r="J1846" t="s">
        <v>8003</v>
      </c>
      <c r="K1846" t="s">
        <v>1967</v>
      </c>
      <c r="L1846" t="s">
        <v>5403</v>
      </c>
      <c r="M1846" s="8">
        <v>1.47825</v>
      </c>
      <c r="N1846">
        <v>80.7856561622413</v>
      </c>
      <c r="O1846">
        <v>1909</v>
      </c>
      <c r="P1846" s="9">
        <v>0.26</v>
      </c>
      <c r="Q1846" t="s">
        <v>1537</v>
      </c>
      <c r="T1846" s="15" t="s">
        <v>69</v>
      </c>
      <c r="W1846" s="16" t="str">
        <f t="shared" si="155"/>
        <v>EN_WON_26_c02_PRT</v>
      </c>
      <c r="X1846" s="12">
        <f t="shared" si="156"/>
        <v>1909</v>
      </c>
      <c r="Y1846" s="11">
        <f t="shared" si="157"/>
        <v>1909</v>
      </c>
    </row>
    <row r="1847" spans="2:25">
      <c r="B1847" t="s">
        <v>26</v>
      </c>
      <c r="C1847" t="s">
        <v>8005</v>
      </c>
      <c r="D1847" t="s">
        <v>8006</v>
      </c>
      <c r="E1847" t="s">
        <v>29</v>
      </c>
      <c r="F1847" t="s">
        <v>30</v>
      </c>
      <c r="G1847" t="s">
        <v>31</v>
      </c>
      <c r="J1847" t="s">
        <v>8005</v>
      </c>
      <c r="K1847" t="s">
        <v>1967</v>
      </c>
      <c r="L1847" t="s">
        <v>5403</v>
      </c>
      <c r="M1847" s="8">
        <v>5.4945</v>
      </c>
      <c r="N1847">
        <v>105.747516212372</v>
      </c>
      <c r="O1847">
        <v>1909</v>
      </c>
      <c r="P1847" s="9">
        <v>0.259552006552007</v>
      </c>
      <c r="Q1847" t="s">
        <v>1537</v>
      </c>
      <c r="T1847" s="15" t="s">
        <v>69</v>
      </c>
      <c r="W1847" s="16" t="str">
        <f t="shared" si="155"/>
        <v>EN_WON_26_c03_PRT</v>
      </c>
      <c r="X1847" s="12">
        <f t="shared" si="156"/>
        <v>1909</v>
      </c>
      <c r="Y1847" s="11">
        <f t="shared" si="157"/>
        <v>1909</v>
      </c>
    </row>
    <row r="1848" spans="2:25">
      <c r="B1848" t="s">
        <v>26</v>
      </c>
      <c r="C1848" t="s">
        <v>8007</v>
      </c>
      <c r="D1848" t="s">
        <v>8008</v>
      </c>
      <c r="E1848" t="s">
        <v>29</v>
      </c>
      <c r="F1848" t="s">
        <v>30</v>
      </c>
      <c r="G1848" t="s">
        <v>31</v>
      </c>
      <c r="J1848" t="s">
        <v>8007</v>
      </c>
      <c r="K1848" t="s">
        <v>1967</v>
      </c>
      <c r="L1848" t="s">
        <v>5403</v>
      </c>
      <c r="M1848" s="8">
        <v>3.19275</v>
      </c>
      <c r="N1848">
        <v>105.747516212372</v>
      </c>
      <c r="O1848">
        <v>1909</v>
      </c>
      <c r="P1848" s="9">
        <v>0.269</v>
      </c>
      <c r="Q1848" t="s">
        <v>1537</v>
      </c>
      <c r="T1848" s="15" t="s">
        <v>69</v>
      </c>
      <c r="W1848" s="16" t="str">
        <f t="shared" si="155"/>
        <v>EN_WON_27_c03_PRT</v>
      </c>
      <c r="X1848" s="12">
        <f t="shared" si="156"/>
        <v>1909</v>
      </c>
      <c r="Y1848" s="11">
        <f t="shared" si="157"/>
        <v>1909</v>
      </c>
    </row>
    <row r="1849" spans="2:25">
      <c r="B1849" t="s">
        <v>26</v>
      </c>
      <c r="C1849" t="s">
        <v>8009</v>
      </c>
      <c r="D1849" t="s">
        <v>8010</v>
      </c>
      <c r="E1849" t="s">
        <v>29</v>
      </c>
      <c r="F1849" t="s">
        <v>30</v>
      </c>
      <c r="G1849" t="s">
        <v>31</v>
      </c>
      <c r="J1849" t="s">
        <v>8009</v>
      </c>
      <c r="K1849" t="s">
        <v>1967</v>
      </c>
      <c r="L1849" t="s">
        <v>5403</v>
      </c>
      <c r="M1849" s="8">
        <v>3.393</v>
      </c>
      <c r="N1849">
        <v>80.7856561622413</v>
      </c>
      <c r="O1849">
        <v>1909</v>
      </c>
      <c r="P1849" s="9">
        <v>0.276</v>
      </c>
      <c r="Q1849" t="s">
        <v>1537</v>
      </c>
      <c r="T1849" s="15" t="s">
        <v>69</v>
      </c>
      <c r="W1849" s="16" t="str">
        <f t="shared" si="155"/>
        <v>EN_WON_28_c02_PRT</v>
      </c>
      <c r="X1849" s="12">
        <f t="shared" si="156"/>
        <v>1909</v>
      </c>
      <c r="Y1849" s="11">
        <f t="shared" si="157"/>
        <v>1909</v>
      </c>
    </row>
    <row r="1850" spans="2:25">
      <c r="B1850" t="s">
        <v>26</v>
      </c>
      <c r="C1850" t="s">
        <v>8011</v>
      </c>
      <c r="D1850" t="s">
        <v>8012</v>
      </c>
      <c r="E1850" t="s">
        <v>29</v>
      </c>
      <c r="F1850" t="s">
        <v>30</v>
      </c>
      <c r="G1850" t="s">
        <v>31</v>
      </c>
      <c r="J1850" t="s">
        <v>8011</v>
      </c>
      <c r="K1850" t="s">
        <v>1967</v>
      </c>
      <c r="L1850" t="s">
        <v>5403</v>
      </c>
      <c r="M1850" s="8">
        <v>1.0665</v>
      </c>
      <c r="N1850">
        <v>105.747516212372</v>
      </c>
      <c r="O1850">
        <v>1909</v>
      </c>
      <c r="P1850" s="9">
        <v>0.277</v>
      </c>
      <c r="Q1850" t="s">
        <v>1537</v>
      </c>
      <c r="T1850" s="15" t="s">
        <v>69</v>
      </c>
      <c r="W1850" s="16" t="str">
        <f t="shared" si="155"/>
        <v>EN_WON_28_c03_PRT</v>
      </c>
      <c r="X1850" s="12">
        <f t="shared" si="156"/>
        <v>1909</v>
      </c>
      <c r="Y1850" s="11">
        <f t="shared" si="157"/>
        <v>1909</v>
      </c>
    </row>
    <row r="1851" spans="2:25">
      <c r="B1851" t="s">
        <v>26</v>
      </c>
      <c r="C1851" t="s">
        <v>8013</v>
      </c>
      <c r="D1851" t="s">
        <v>8014</v>
      </c>
      <c r="E1851" t="s">
        <v>29</v>
      </c>
      <c r="F1851" t="s">
        <v>30</v>
      </c>
      <c r="G1851" t="s">
        <v>31</v>
      </c>
      <c r="J1851" t="s">
        <v>8013</v>
      </c>
      <c r="K1851" t="s">
        <v>1967</v>
      </c>
      <c r="L1851" t="s">
        <v>5403</v>
      </c>
      <c r="M1851" s="8">
        <v>0.04275</v>
      </c>
      <c r="N1851">
        <v>80.7856561622413</v>
      </c>
      <c r="O1851">
        <v>1909</v>
      </c>
      <c r="P1851" s="9">
        <v>0.294</v>
      </c>
      <c r="Q1851" t="s">
        <v>1537</v>
      </c>
      <c r="T1851" s="15" t="s">
        <v>69</v>
      </c>
      <c r="W1851" s="16" t="str">
        <f t="shared" si="155"/>
        <v>EN_WON_29_c02_PRT</v>
      </c>
      <c r="X1851" s="12">
        <f t="shared" si="156"/>
        <v>1909</v>
      </c>
      <c r="Y1851" s="11">
        <f t="shared" si="157"/>
        <v>1909</v>
      </c>
    </row>
    <row r="1852" spans="2:25">
      <c r="B1852" t="s">
        <v>26</v>
      </c>
      <c r="C1852" t="s">
        <v>8015</v>
      </c>
      <c r="D1852" t="s">
        <v>8016</v>
      </c>
      <c r="E1852" t="s">
        <v>29</v>
      </c>
      <c r="F1852" t="s">
        <v>30</v>
      </c>
      <c r="G1852" t="s">
        <v>31</v>
      </c>
      <c r="J1852" t="s">
        <v>8015</v>
      </c>
      <c r="K1852" t="s">
        <v>1967</v>
      </c>
      <c r="L1852" t="s">
        <v>5403</v>
      </c>
      <c r="M1852" s="8">
        <v>0.01125</v>
      </c>
      <c r="N1852">
        <v>0</v>
      </c>
      <c r="O1852">
        <v>1909</v>
      </c>
      <c r="P1852" s="9">
        <v>0.298</v>
      </c>
      <c r="Q1852" t="s">
        <v>1537</v>
      </c>
      <c r="T1852" s="15" t="s">
        <v>69</v>
      </c>
      <c r="W1852" s="16" t="str">
        <f t="shared" si="155"/>
        <v>EN_WON_30_c01_PRT</v>
      </c>
      <c r="X1852" s="12">
        <f t="shared" si="156"/>
        <v>1909</v>
      </c>
      <c r="Y1852" s="11">
        <f t="shared" si="157"/>
        <v>1909</v>
      </c>
    </row>
    <row r="1853" spans="2:25">
      <c r="B1853" t="s">
        <v>26</v>
      </c>
      <c r="C1853" t="s">
        <v>8017</v>
      </c>
      <c r="D1853" t="s">
        <v>8018</v>
      </c>
      <c r="E1853" t="s">
        <v>29</v>
      </c>
      <c r="F1853" t="s">
        <v>30</v>
      </c>
      <c r="G1853" t="s">
        <v>31</v>
      </c>
      <c r="J1853" t="s">
        <v>8017</v>
      </c>
      <c r="K1853" t="s">
        <v>1967</v>
      </c>
      <c r="L1853" t="s">
        <v>5403</v>
      </c>
      <c r="M1853" s="8">
        <v>0.0855</v>
      </c>
      <c r="N1853">
        <v>0</v>
      </c>
      <c r="O1853">
        <v>1909</v>
      </c>
      <c r="P1853" s="9">
        <v>0.318</v>
      </c>
      <c r="Q1853" t="s">
        <v>1537</v>
      </c>
      <c r="T1853" s="15" t="s">
        <v>69</v>
      </c>
      <c r="W1853" s="16" t="str">
        <f t="shared" si="155"/>
        <v>EN_WON_32_c01_PRT</v>
      </c>
      <c r="X1853" s="12">
        <f t="shared" si="156"/>
        <v>1909</v>
      </c>
      <c r="Y1853" s="11">
        <f t="shared" si="157"/>
        <v>1909</v>
      </c>
    </row>
    <row r="1854" spans="2:25">
      <c r="B1854" t="s">
        <v>26</v>
      </c>
      <c r="C1854" t="s">
        <v>8019</v>
      </c>
      <c r="D1854" t="s">
        <v>8020</v>
      </c>
      <c r="E1854" t="s">
        <v>29</v>
      </c>
      <c r="F1854" t="s">
        <v>30</v>
      </c>
      <c r="G1854" t="s">
        <v>31</v>
      </c>
      <c r="J1854" t="s">
        <v>8019</v>
      </c>
      <c r="K1854" t="s">
        <v>1967</v>
      </c>
      <c r="L1854" t="s">
        <v>5403</v>
      </c>
      <c r="M1854" s="8">
        <v>0.02475</v>
      </c>
      <c r="N1854">
        <v>0</v>
      </c>
      <c r="O1854">
        <v>1909</v>
      </c>
      <c r="P1854" s="9">
        <v>0.342</v>
      </c>
      <c r="Q1854" t="s">
        <v>1537</v>
      </c>
      <c r="T1854" s="15" t="s">
        <v>69</v>
      </c>
      <c r="W1854" s="16" t="str">
        <f t="shared" si="155"/>
        <v>EN_WON_34_c01_PRT</v>
      </c>
      <c r="X1854" s="12">
        <f t="shared" si="156"/>
        <v>1909</v>
      </c>
      <c r="Y1854" s="11">
        <f t="shared" si="157"/>
        <v>1909</v>
      </c>
    </row>
    <row r="1855" spans="2:25">
      <c r="B1855" t="s">
        <v>26</v>
      </c>
      <c r="C1855" t="s">
        <v>8021</v>
      </c>
      <c r="D1855" t="s">
        <v>8022</v>
      </c>
      <c r="E1855" t="s">
        <v>29</v>
      </c>
      <c r="F1855" t="s">
        <v>30</v>
      </c>
      <c r="G1855" t="s">
        <v>31</v>
      </c>
      <c r="J1855" t="s">
        <v>8021</v>
      </c>
      <c r="K1855" t="s">
        <v>1967</v>
      </c>
      <c r="L1855" t="s">
        <v>5403</v>
      </c>
      <c r="M1855" s="8">
        <v>0.1935</v>
      </c>
      <c r="N1855">
        <v>0</v>
      </c>
      <c r="O1855">
        <v>1909</v>
      </c>
      <c r="P1855" s="9">
        <v>0.371255813953488</v>
      </c>
      <c r="Q1855" t="s">
        <v>1537</v>
      </c>
      <c r="T1855" s="15" t="s">
        <v>69</v>
      </c>
      <c r="W1855" s="16" t="str">
        <f t="shared" si="155"/>
        <v>EN_WON_37_c01_PRT</v>
      </c>
      <c r="X1855" s="12">
        <f t="shared" si="156"/>
        <v>1909</v>
      </c>
      <c r="Y1855" s="11">
        <f t="shared" si="157"/>
        <v>1909</v>
      </c>
    </row>
    <row r="1856" spans="2:25">
      <c r="B1856" t="s">
        <v>26</v>
      </c>
      <c r="C1856" t="s">
        <v>8023</v>
      </c>
      <c r="D1856" t="s">
        <v>8024</v>
      </c>
      <c r="E1856" t="s">
        <v>29</v>
      </c>
      <c r="F1856" t="s">
        <v>30</v>
      </c>
      <c r="G1856" t="s">
        <v>31</v>
      </c>
      <c r="J1856" t="s">
        <v>8023</v>
      </c>
      <c r="K1856" t="s">
        <v>1967</v>
      </c>
      <c r="L1856" t="s">
        <v>5403</v>
      </c>
      <c r="M1856" s="8">
        <v>0.09</v>
      </c>
      <c r="N1856">
        <v>80.7856561622413</v>
      </c>
      <c r="O1856">
        <v>1909</v>
      </c>
      <c r="P1856" s="9">
        <v>0.382</v>
      </c>
      <c r="Q1856" t="s">
        <v>1537</v>
      </c>
      <c r="T1856" s="15" t="s">
        <v>69</v>
      </c>
      <c r="W1856" s="16" t="str">
        <f t="shared" si="155"/>
        <v>EN_WON_38_c02_PRT</v>
      </c>
      <c r="X1856" s="12">
        <f t="shared" si="156"/>
        <v>1909</v>
      </c>
      <c r="Y1856" s="11">
        <f t="shared" si="157"/>
        <v>1909</v>
      </c>
    </row>
    <row r="1857" spans="2:25">
      <c r="B1857" t="s">
        <v>26</v>
      </c>
      <c r="C1857" t="s">
        <v>8025</v>
      </c>
      <c r="D1857" t="s">
        <v>8026</v>
      </c>
      <c r="E1857" t="s">
        <v>29</v>
      </c>
      <c r="F1857" t="s">
        <v>30</v>
      </c>
      <c r="G1857" t="s">
        <v>31</v>
      </c>
      <c r="J1857" t="s">
        <v>8025</v>
      </c>
      <c r="K1857" t="s">
        <v>1967</v>
      </c>
      <c r="L1857" t="s">
        <v>5403</v>
      </c>
      <c r="M1857" s="8">
        <v>0.02475</v>
      </c>
      <c r="N1857">
        <v>0</v>
      </c>
      <c r="O1857">
        <v>1909</v>
      </c>
      <c r="P1857" s="9">
        <v>0.389</v>
      </c>
      <c r="Q1857" t="s">
        <v>1537</v>
      </c>
      <c r="T1857" s="15" t="s">
        <v>69</v>
      </c>
      <c r="W1857" s="16" t="str">
        <f t="shared" si="155"/>
        <v>EN_WON_39_c01_PRT</v>
      </c>
      <c r="X1857" s="12">
        <f t="shared" si="156"/>
        <v>1909</v>
      </c>
      <c r="Y1857" s="11">
        <f t="shared" si="157"/>
        <v>1909</v>
      </c>
    </row>
    <row r="1858" spans="2:25">
      <c r="B1858" t="s">
        <v>26</v>
      </c>
      <c r="C1858" t="s">
        <v>8027</v>
      </c>
      <c r="D1858" t="s">
        <v>8028</v>
      </c>
      <c r="E1858" t="s">
        <v>29</v>
      </c>
      <c r="F1858" t="s">
        <v>30</v>
      </c>
      <c r="G1858" t="s">
        <v>31</v>
      </c>
      <c r="J1858" t="s">
        <v>8027</v>
      </c>
      <c r="K1858" t="s">
        <v>1967</v>
      </c>
      <c r="L1858" t="s">
        <v>5403</v>
      </c>
      <c r="M1858" s="8">
        <v>0.12825</v>
      </c>
      <c r="N1858">
        <v>80.7856561622413</v>
      </c>
      <c r="O1858">
        <v>1909</v>
      </c>
      <c r="P1858" s="9">
        <v>0.389280701754386</v>
      </c>
      <c r="Q1858" t="s">
        <v>1537</v>
      </c>
      <c r="T1858" s="15" t="s">
        <v>69</v>
      </c>
      <c r="W1858" s="16" t="str">
        <f t="shared" si="155"/>
        <v>EN_WON_39_c02_PRT</v>
      </c>
      <c r="X1858" s="12">
        <f t="shared" si="156"/>
        <v>1909</v>
      </c>
      <c r="Y1858" s="11">
        <f t="shared" si="157"/>
        <v>1909</v>
      </c>
    </row>
    <row r="1859" spans="2:25">
      <c r="B1859" t="s">
        <v>26</v>
      </c>
      <c r="C1859" t="s">
        <v>8029</v>
      </c>
      <c r="D1859" t="s">
        <v>8030</v>
      </c>
      <c r="E1859" t="s">
        <v>29</v>
      </c>
      <c r="F1859" t="s">
        <v>30</v>
      </c>
      <c r="G1859" t="s">
        <v>31</v>
      </c>
      <c r="J1859" t="s">
        <v>8029</v>
      </c>
      <c r="K1859" t="s">
        <v>1967</v>
      </c>
      <c r="L1859" t="s">
        <v>5403</v>
      </c>
      <c r="M1859" s="8">
        <v>0.135</v>
      </c>
      <c r="N1859">
        <v>0</v>
      </c>
      <c r="O1859">
        <v>1909</v>
      </c>
      <c r="P1859" s="9">
        <v>0.409</v>
      </c>
      <c r="Q1859" t="s">
        <v>1537</v>
      </c>
      <c r="T1859" s="15" t="s">
        <v>69</v>
      </c>
      <c r="W1859" s="16" t="str">
        <f t="shared" si="155"/>
        <v>EN_WON_41_c01_PRT</v>
      </c>
      <c r="X1859" s="12">
        <f t="shared" si="156"/>
        <v>1909</v>
      </c>
      <c r="Y1859" s="11">
        <f t="shared" si="157"/>
        <v>1909</v>
      </c>
    </row>
    <row r="1860" spans="2:25">
      <c r="B1860" t="s">
        <v>26</v>
      </c>
      <c r="C1860" t="s">
        <v>8031</v>
      </c>
      <c r="D1860" t="s">
        <v>8032</v>
      </c>
      <c r="E1860" t="s">
        <v>29</v>
      </c>
      <c r="F1860" t="s">
        <v>30</v>
      </c>
      <c r="G1860" t="s">
        <v>31</v>
      </c>
      <c r="J1860" t="s">
        <v>8031</v>
      </c>
      <c r="K1860" t="s">
        <v>1967</v>
      </c>
      <c r="L1860" t="s">
        <v>5403</v>
      </c>
      <c r="M1860" s="8">
        <v>0.03375</v>
      </c>
      <c r="N1860">
        <v>0</v>
      </c>
      <c r="O1860">
        <v>1909</v>
      </c>
      <c r="P1860" s="9">
        <v>0.418</v>
      </c>
      <c r="Q1860" t="s">
        <v>1537</v>
      </c>
      <c r="T1860" s="15" t="s">
        <v>69</v>
      </c>
      <c r="W1860" s="16" t="str">
        <f t="shared" si="155"/>
        <v>EN_WON_42_c01_PRT</v>
      </c>
      <c r="X1860" s="12">
        <f t="shared" si="156"/>
        <v>1909</v>
      </c>
      <c r="Y1860" s="11">
        <f t="shared" si="157"/>
        <v>1909</v>
      </c>
    </row>
    <row r="1861" spans="2:25">
      <c r="B1861" t="s">
        <v>26</v>
      </c>
      <c r="C1861" t="s">
        <v>8033</v>
      </c>
      <c r="D1861" t="s">
        <v>8034</v>
      </c>
      <c r="E1861" t="s">
        <v>29</v>
      </c>
      <c r="F1861" t="s">
        <v>30</v>
      </c>
      <c r="G1861" t="s">
        <v>31</v>
      </c>
      <c r="J1861" t="s">
        <v>8033</v>
      </c>
      <c r="K1861" t="s">
        <v>1967</v>
      </c>
      <c r="L1861" t="s">
        <v>5403</v>
      </c>
      <c r="M1861" s="8">
        <v>0.00675</v>
      </c>
      <c r="N1861">
        <v>80.7856561622413</v>
      </c>
      <c r="O1861">
        <v>1909</v>
      </c>
      <c r="P1861" s="9">
        <v>0.434</v>
      </c>
      <c r="Q1861" t="s">
        <v>1537</v>
      </c>
      <c r="T1861" s="15" t="s">
        <v>69</v>
      </c>
      <c r="W1861" s="16" t="str">
        <f t="shared" si="155"/>
        <v>EN_WON_43_c02_PRT</v>
      </c>
      <c r="X1861" s="12">
        <f t="shared" si="156"/>
        <v>1909</v>
      </c>
      <c r="Y1861" s="11">
        <f t="shared" si="157"/>
        <v>1909</v>
      </c>
    </row>
    <row r="1862" spans="2:25">
      <c r="B1862" t="s">
        <v>26</v>
      </c>
      <c r="C1862" t="s">
        <v>8035</v>
      </c>
      <c r="D1862" t="s">
        <v>8036</v>
      </c>
      <c r="E1862" t="s">
        <v>29</v>
      </c>
      <c r="F1862" t="s">
        <v>30</v>
      </c>
      <c r="G1862" t="s">
        <v>31</v>
      </c>
      <c r="J1862" t="s">
        <v>8035</v>
      </c>
      <c r="K1862" t="s">
        <v>1967</v>
      </c>
      <c r="L1862" t="s">
        <v>5403</v>
      </c>
      <c r="M1862" s="8">
        <v>0.18675</v>
      </c>
      <c r="N1862">
        <v>0</v>
      </c>
      <c r="O1862">
        <v>1909</v>
      </c>
      <c r="P1862" s="9">
        <v>0.437</v>
      </c>
      <c r="Q1862" t="s">
        <v>1537</v>
      </c>
      <c r="T1862" s="15" t="s">
        <v>69</v>
      </c>
      <c r="W1862" s="16" t="str">
        <f t="shared" ref="W1862:W1925" si="158">J1862</f>
        <v>EN_WON_44_c01_PRT</v>
      </c>
      <c r="X1862" s="12">
        <f t="shared" ref="X1862:X1925" si="159">O1862</f>
        <v>1909</v>
      </c>
      <c r="Y1862" s="11">
        <f t="shared" ref="Y1862:Y1925" si="160">X1862</f>
        <v>1909</v>
      </c>
    </row>
    <row r="1863" spans="2:25">
      <c r="B1863" t="s">
        <v>26</v>
      </c>
      <c r="C1863" t="s">
        <v>8037</v>
      </c>
      <c r="D1863" t="s">
        <v>8038</v>
      </c>
      <c r="E1863" t="s">
        <v>29</v>
      </c>
      <c r="F1863" t="s">
        <v>30</v>
      </c>
      <c r="G1863" t="s">
        <v>31</v>
      </c>
      <c r="J1863" t="s">
        <v>8037</v>
      </c>
      <c r="K1863" t="s">
        <v>1967</v>
      </c>
      <c r="L1863" t="s">
        <v>5403</v>
      </c>
      <c r="M1863" s="8">
        <v>0.00675</v>
      </c>
      <c r="N1863">
        <v>0</v>
      </c>
      <c r="O1863">
        <v>1909</v>
      </c>
      <c r="P1863" s="9">
        <v>0.469</v>
      </c>
      <c r="Q1863" t="s">
        <v>1537</v>
      </c>
      <c r="T1863" s="15" t="s">
        <v>69</v>
      </c>
      <c r="W1863" s="16" t="str">
        <f t="shared" si="158"/>
        <v>EN_WON_47_c01_PRT</v>
      </c>
      <c r="X1863" s="12">
        <f t="shared" si="159"/>
        <v>1909</v>
      </c>
      <c r="Y1863" s="11">
        <f t="shared" si="160"/>
        <v>1909</v>
      </c>
    </row>
    <row r="1864" spans="2:25">
      <c r="B1864" t="s">
        <v>26</v>
      </c>
      <c r="C1864" t="s">
        <v>8039</v>
      </c>
      <c r="D1864" t="s">
        <v>8040</v>
      </c>
      <c r="E1864" t="s">
        <v>29</v>
      </c>
      <c r="F1864" t="s">
        <v>30</v>
      </c>
      <c r="G1864" t="s">
        <v>31</v>
      </c>
      <c r="J1864" t="s">
        <v>8039</v>
      </c>
      <c r="K1864" t="s">
        <v>1967</v>
      </c>
      <c r="L1864" t="s">
        <v>5403</v>
      </c>
      <c r="M1864" s="8">
        <v>0.009</v>
      </c>
      <c r="N1864">
        <v>0</v>
      </c>
      <c r="O1864">
        <v>1909</v>
      </c>
      <c r="P1864" s="9">
        <v>0.534</v>
      </c>
      <c r="Q1864" t="s">
        <v>1537</v>
      </c>
      <c r="T1864" s="15" t="s">
        <v>69</v>
      </c>
      <c r="W1864" s="16" t="str">
        <f t="shared" si="158"/>
        <v>EN_WON_53_c01_PRT</v>
      </c>
      <c r="X1864" s="12">
        <f t="shared" si="159"/>
        <v>1909</v>
      </c>
      <c r="Y1864" s="11">
        <f t="shared" si="160"/>
        <v>1909</v>
      </c>
    </row>
    <row r="1865" spans="2:25">
      <c r="B1865" t="s">
        <v>26</v>
      </c>
      <c r="C1865" t="s">
        <v>8041</v>
      </c>
      <c r="D1865" t="s">
        <v>8042</v>
      </c>
      <c r="E1865" t="s">
        <v>29</v>
      </c>
      <c r="F1865" t="s">
        <v>30</v>
      </c>
      <c r="G1865" t="s">
        <v>31</v>
      </c>
      <c r="J1865" t="s">
        <v>8041</v>
      </c>
      <c r="K1865" t="s">
        <v>1967</v>
      </c>
      <c r="L1865" t="s">
        <v>8043</v>
      </c>
      <c r="M1865" s="8">
        <v>16.97625</v>
      </c>
      <c r="N1865">
        <v>0</v>
      </c>
      <c r="O1865">
        <v>1575</v>
      </c>
      <c r="P1865" s="9">
        <v>0.267576010603048</v>
      </c>
      <c r="Q1865" t="s">
        <v>1545</v>
      </c>
      <c r="T1865" s="15" t="s">
        <v>89</v>
      </c>
      <c r="W1865" s="16" t="str">
        <f t="shared" si="158"/>
        <v>EN_WON_27_c01_PRY</v>
      </c>
      <c r="X1865" s="12">
        <f t="shared" si="159"/>
        <v>1575</v>
      </c>
      <c r="Y1865" s="11">
        <f t="shared" si="160"/>
        <v>1575</v>
      </c>
    </row>
    <row r="1866" spans="2:25">
      <c r="B1866" t="s">
        <v>26</v>
      </c>
      <c r="C1866" t="s">
        <v>8044</v>
      </c>
      <c r="D1866" t="s">
        <v>8045</v>
      </c>
      <c r="E1866" t="s">
        <v>29</v>
      </c>
      <c r="F1866" t="s">
        <v>30</v>
      </c>
      <c r="G1866" t="s">
        <v>31</v>
      </c>
      <c r="J1866" t="s">
        <v>8044</v>
      </c>
      <c r="K1866" t="s">
        <v>1967</v>
      </c>
      <c r="L1866" t="s">
        <v>8043</v>
      </c>
      <c r="M1866" s="8">
        <v>2.99625</v>
      </c>
      <c r="N1866">
        <v>80.7856561622413</v>
      </c>
      <c r="O1866">
        <v>1575</v>
      </c>
      <c r="P1866" s="9">
        <v>0.267953692115144</v>
      </c>
      <c r="Q1866" t="s">
        <v>1545</v>
      </c>
      <c r="T1866" s="15" t="s">
        <v>89</v>
      </c>
      <c r="W1866" s="16" t="str">
        <f t="shared" si="158"/>
        <v>EN_WON_27_c02_PRY</v>
      </c>
      <c r="X1866" s="12">
        <f t="shared" si="159"/>
        <v>1575</v>
      </c>
      <c r="Y1866" s="11">
        <f t="shared" si="160"/>
        <v>1575</v>
      </c>
    </row>
    <row r="1867" spans="2:25">
      <c r="B1867" t="s">
        <v>26</v>
      </c>
      <c r="C1867" t="s">
        <v>8046</v>
      </c>
      <c r="D1867" t="s">
        <v>8047</v>
      </c>
      <c r="E1867" t="s">
        <v>29</v>
      </c>
      <c r="F1867" t="s">
        <v>30</v>
      </c>
      <c r="G1867" t="s">
        <v>31</v>
      </c>
      <c r="J1867" t="s">
        <v>8046</v>
      </c>
      <c r="K1867" t="s">
        <v>1967</v>
      </c>
      <c r="L1867" t="s">
        <v>8043</v>
      </c>
      <c r="M1867" s="8">
        <v>4.1985</v>
      </c>
      <c r="N1867">
        <v>105.747516212372</v>
      </c>
      <c r="O1867">
        <v>1575</v>
      </c>
      <c r="P1867" s="9">
        <v>0.269984637370489</v>
      </c>
      <c r="Q1867" t="s">
        <v>1545</v>
      </c>
      <c r="T1867" s="15" t="s">
        <v>89</v>
      </c>
      <c r="W1867" s="16" t="str">
        <f t="shared" si="158"/>
        <v>EN_WON_27_c03_PRY</v>
      </c>
      <c r="X1867" s="12">
        <f t="shared" si="159"/>
        <v>1575</v>
      </c>
      <c r="Y1867" s="11">
        <f t="shared" si="160"/>
        <v>1575</v>
      </c>
    </row>
    <row r="1868" spans="2:25">
      <c r="B1868" t="s">
        <v>26</v>
      </c>
      <c r="C1868" t="s">
        <v>8048</v>
      </c>
      <c r="D1868" t="s">
        <v>8049</v>
      </c>
      <c r="E1868" t="s">
        <v>29</v>
      </c>
      <c r="F1868" t="s">
        <v>30</v>
      </c>
      <c r="G1868" t="s">
        <v>31</v>
      </c>
      <c r="J1868" t="s">
        <v>8048</v>
      </c>
      <c r="K1868" t="s">
        <v>1967</v>
      </c>
      <c r="L1868" t="s">
        <v>8043</v>
      </c>
      <c r="M1868" s="8">
        <v>0.15375</v>
      </c>
      <c r="N1868">
        <v>145.23264029167</v>
      </c>
      <c r="O1868">
        <v>1575</v>
      </c>
      <c r="P1868" s="9">
        <v>0.273</v>
      </c>
      <c r="Q1868" t="s">
        <v>1545</v>
      </c>
      <c r="T1868" s="15" t="s">
        <v>89</v>
      </c>
      <c r="W1868" s="16" t="str">
        <f t="shared" si="158"/>
        <v>EN_WON_27_c04_PRY</v>
      </c>
      <c r="X1868" s="12">
        <f t="shared" si="159"/>
        <v>1575</v>
      </c>
      <c r="Y1868" s="11">
        <f t="shared" si="160"/>
        <v>1575</v>
      </c>
    </row>
    <row r="1869" spans="2:25">
      <c r="B1869" t="s">
        <v>26</v>
      </c>
      <c r="C1869" t="s">
        <v>8050</v>
      </c>
      <c r="D1869" t="s">
        <v>8051</v>
      </c>
      <c r="E1869" t="s">
        <v>29</v>
      </c>
      <c r="F1869" t="s">
        <v>30</v>
      </c>
      <c r="G1869" t="s">
        <v>31</v>
      </c>
      <c r="J1869" t="s">
        <v>8050</v>
      </c>
      <c r="K1869" t="s">
        <v>1967</v>
      </c>
      <c r="L1869" t="s">
        <v>8043</v>
      </c>
      <c r="M1869" s="8">
        <v>5.44275</v>
      </c>
      <c r="N1869">
        <v>0</v>
      </c>
      <c r="O1869">
        <v>1575</v>
      </c>
      <c r="P1869" s="9">
        <v>0.278248174176657</v>
      </c>
      <c r="Q1869" t="s">
        <v>1545</v>
      </c>
      <c r="T1869" s="15" t="s">
        <v>89</v>
      </c>
      <c r="W1869" s="16" t="str">
        <f t="shared" si="158"/>
        <v>EN_WON_28_c01_PRY</v>
      </c>
      <c r="X1869" s="12">
        <f t="shared" si="159"/>
        <v>1575</v>
      </c>
      <c r="Y1869" s="11">
        <f t="shared" si="160"/>
        <v>1575</v>
      </c>
    </row>
    <row r="1870" spans="2:25">
      <c r="B1870" t="s">
        <v>26</v>
      </c>
      <c r="C1870" t="s">
        <v>8052</v>
      </c>
      <c r="D1870" t="s">
        <v>8053</v>
      </c>
      <c r="E1870" t="s">
        <v>29</v>
      </c>
      <c r="F1870" t="s">
        <v>30</v>
      </c>
      <c r="G1870" t="s">
        <v>31</v>
      </c>
      <c r="J1870" t="s">
        <v>8052</v>
      </c>
      <c r="K1870" t="s">
        <v>1967</v>
      </c>
      <c r="L1870" t="s">
        <v>8043</v>
      </c>
      <c r="M1870" s="8">
        <v>3.975</v>
      </c>
      <c r="N1870">
        <v>80.7856561622413</v>
      </c>
      <c r="O1870">
        <v>1575</v>
      </c>
      <c r="P1870" s="9">
        <v>0.275</v>
      </c>
      <c r="Q1870" t="s">
        <v>1545</v>
      </c>
      <c r="T1870" s="15" t="s">
        <v>89</v>
      </c>
      <c r="W1870" s="16" t="str">
        <f t="shared" si="158"/>
        <v>EN_WON_28_c02_PRY</v>
      </c>
      <c r="X1870" s="12">
        <f t="shared" si="159"/>
        <v>1575</v>
      </c>
      <c r="Y1870" s="11">
        <f t="shared" si="160"/>
        <v>1575</v>
      </c>
    </row>
    <row r="1871" spans="2:25">
      <c r="B1871" t="s">
        <v>26</v>
      </c>
      <c r="C1871" t="s">
        <v>8054</v>
      </c>
      <c r="D1871" t="s">
        <v>8055</v>
      </c>
      <c r="E1871" t="s">
        <v>29</v>
      </c>
      <c r="F1871" t="s">
        <v>30</v>
      </c>
      <c r="G1871" t="s">
        <v>31</v>
      </c>
      <c r="J1871" t="s">
        <v>8054</v>
      </c>
      <c r="K1871" t="s">
        <v>1967</v>
      </c>
      <c r="L1871" t="s">
        <v>8043</v>
      </c>
      <c r="M1871" s="8">
        <v>0.3555</v>
      </c>
      <c r="N1871">
        <v>105.747516212372</v>
      </c>
      <c r="O1871">
        <v>1575</v>
      </c>
      <c r="P1871" s="9">
        <v>0.275</v>
      </c>
      <c r="Q1871" t="s">
        <v>1545</v>
      </c>
      <c r="T1871" s="15" t="s">
        <v>89</v>
      </c>
      <c r="W1871" s="16" t="str">
        <f t="shared" si="158"/>
        <v>EN_WON_28_c03_PRY</v>
      </c>
      <c r="X1871" s="12">
        <f t="shared" si="159"/>
        <v>1575</v>
      </c>
      <c r="Y1871" s="11">
        <f t="shared" si="160"/>
        <v>1575</v>
      </c>
    </row>
    <row r="1872" spans="2:25">
      <c r="B1872" t="s">
        <v>26</v>
      </c>
      <c r="C1872" t="s">
        <v>8056</v>
      </c>
      <c r="D1872" t="s">
        <v>8057</v>
      </c>
      <c r="E1872" t="s">
        <v>29</v>
      </c>
      <c r="F1872" t="s">
        <v>30</v>
      </c>
      <c r="G1872" t="s">
        <v>31</v>
      </c>
      <c r="J1872" t="s">
        <v>8056</v>
      </c>
      <c r="K1872" t="s">
        <v>1967</v>
      </c>
      <c r="L1872" t="s">
        <v>8043</v>
      </c>
      <c r="M1872" s="8">
        <v>5.796</v>
      </c>
      <c r="N1872">
        <v>80.7856561622413</v>
      </c>
      <c r="O1872">
        <v>1575</v>
      </c>
      <c r="P1872" s="9">
        <v>0.292896480331263</v>
      </c>
      <c r="Q1872" t="s">
        <v>1545</v>
      </c>
      <c r="T1872" s="15" t="s">
        <v>89</v>
      </c>
      <c r="W1872" s="16" t="str">
        <f t="shared" si="158"/>
        <v>EN_WON_29_c02_PRY</v>
      </c>
      <c r="X1872" s="12">
        <f t="shared" si="159"/>
        <v>1575</v>
      </c>
      <c r="Y1872" s="11">
        <f t="shared" si="160"/>
        <v>1575</v>
      </c>
    </row>
    <row r="1873" spans="2:25">
      <c r="B1873" t="s">
        <v>26</v>
      </c>
      <c r="C1873" t="s">
        <v>8058</v>
      </c>
      <c r="D1873" t="s">
        <v>8059</v>
      </c>
      <c r="E1873" t="s">
        <v>29</v>
      </c>
      <c r="F1873" t="s">
        <v>30</v>
      </c>
      <c r="G1873" t="s">
        <v>31</v>
      </c>
      <c r="J1873" t="s">
        <v>8058</v>
      </c>
      <c r="K1873" t="s">
        <v>1967</v>
      </c>
      <c r="L1873" t="s">
        <v>8043</v>
      </c>
      <c r="M1873" s="8">
        <v>1.27125</v>
      </c>
      <c r="N1873">
        <v>105.747516212372</v>
      </c>
      <c r="O1873">
        <v>1575</v>
      </c>
      <c r="P1873" s="9">
        <v>0.293</v>
      </c>
      <c r="Q1873" t="s">
        <v>1545</v>
      </c>
      <c r="T1873" s="15" t="s">
        <v>89</v>
      </c>
      <c r="W1873" s="16" t="str">
        <f t="shared" si="158"/>
        <v>EN_WON_29_c03_PRY</v>
      </c>
      <c r="X1873" s="12">
        <f t="shared" si="159"/>
        <v>1575</v>
      </c>
      <c r="Y1873" s="11">
        <f t="shared" si="160"/>
        <v>1575</v>
      </c>
    </row>
    <row r="1874" spans="2:25">
      <c r="B1874" t="s">
        <v>26</v>
      </c>
      <c r="C1874" t="s">
        <v>8060</v>
      </c>
      <c r="D1874" t="s">
        <v>8061</v>
      </c>
      <c r="E1874" t="s">
        <v>29</v>
      </c>
      <c r="F1874" t="s">
        <v>30</v>
      </c>
      <c r="G1874" t="s">
        <v>31</v>
      </c>
      <c r="J1874" t="s">
        <v>8060</v>
      </c>
      <c r="K1874" t="s">
        <v>1967</v>
      </c>
      <c r="L1874" t="s">
        <v>8043</v>
      </c>
      <c r="M1874" s="8">
        <v>7.1835</v>
      </c>
      <c r="N1874">
        <v>105.747516212372</v>
      </c>
      <c r="O1874">
        <v>1575</v>
      </c>
      <c r="P1874" s="9">
        <v>0.306938296095218</v>
      </c>
      <c r="Q1874" t="s">
        <v>1545</v>
      </c>
      <c r="T1874" s="15" t="s">
        <v>89</v>
      </c>
      <c r="W1874" s="16" t="str">
        <f t="shared" si="158"/>
        <v>EN_WON_31_c03_PRY</v>
      </c>
      <c r="X1874" s="12">
        <f t="shared" si="159"/>
        <v>1575</v>
      </c>
      <c r="Y1874" s="11">
        <f t="shared" si="160"/>
        <v>1575</v>
      </c>
    </row>
    <row r="1875" spans="2:25">
      <c r="B1875" t="s">
        <v>26</v>
      </c>
      <c r="C1875" t="s">
        <v>8062</v>
      </c>
      <c r="D1875" t="s">
        <v>8063</v>
      </c>
      <c r="E1875" t="s">
        <v>29</v>
      </c>
      <c r="F1875" t="s">
        <v>30</v>
      </c>
      <c r="G1875" t="s">
        <v>31</v>
      </c>
      <c r="J1875" t="s">
        <v>8062</v>
      </c>
      <c r="K1875" t="s">
        <v>1967</v>
      </c>
      <c r="L1875" t="s">
        <v>8043</v>
      </c>
      <c r="M1875" s="8">
        <v>3.90525</v>
      </c>
      <c r="N1875">
        <v>80.7856561622413</v>
      </c>
      <c r="O1875">
        <v>1575</v>
      </c>
      <c r="P1875" s="9">
        <v>0.315</v>
      </c>
      <c r="Q1875" t="s">
        <v>1545</v>
      </c>
      <c r="T1875" s="15" t="s">
        <v>89</v>
      </c>
      <c r="W1875" s="16" t="str">
        <f t="shared" si="158"/>
        <v>EN_WON_32_c02_PRY</v>
      </c>
      <c r="X1875" s="12">
        <f t="shared" si="159"/>
        <v>1575</v>
      </c>
      <c r="Y1875" s="11">
        <f t="shared" si="160"/>
        <v>1575</v>
      </c>
    </row>
    <row r="1876" spans="2:25">
      <c r="B1876" t="s">
        <v>26</v>
      </c>
      <c r="C1876" t="s">
        <v>8064</v>
      </c>
      <c r="D1876" t="s">
        <v>8065</v>
      </c>
      <c r="E1876" t="s">
        <v>29</v>
      </c>
      <c r="F1876" t="s">
        <v>30</v>
      </c>
      <c r="G1876" t="s">
        <v>31</v>
      </c>
      <c r="J1876" t="s">
        <v>8064</v>
      </c>
      <c r="K1876" t="s">
        <v>1967</v>
      </c>
      <c r="L1876" t="s">
        <v>8066</v>
      </c>
      <c r="M1876" s="8">
        <v>0.47925</v>
      </c>
      <c r="N1876">
        <v>80.7856561622413</v>
      </c>
      <c r="O1876">
        <v>1756</v>
      </c>
      <c r="P1876" s="9">
        <v>0.189</v>
      </c>
      <c r="Q1876" t="s">
        <v>1549</v>
      </c>
      <c r="T1876" s="15" t="s">
        <v>80</v>
      </c>
      <c r="W1876" s="16" t="str">
        <f t="shared" si="158"/>
        <v>EN_WON_19_c02_PSE</v>
      </c>
      <c r="X1876" s="12">
        <f t="shared" si="159"/>
        <v>1756</v>
      </c>
      <c r="Y1876" s="11">
        <f t="shared" si="160"/>
        <v>1756</v>
      </c>
    </row>
    <row r="1877" spans="2:25">
      <c r="B1877" t="s">
        <v>26</v>
      </c>
      <c r="C1877" t="s">
        <v>8067</v>
      </c>
      <c r="D1877" t="s">
        <v>8068</v>
      </c>
      <c r="E1877" t="s">
        <v>29</v>
      </c>
      <c r="F1877" t="s">
        <v>30</v>
      </c>
      <c r="G1877" t="s">
        <v>31</v>
      </c>
      <c r="J1877" t="s">
        <v>8067</v>
      </c>
      <c r="K1877" t="s">
        <v>1967</v>
      </c>
      <c r="L1877" t="s">
        <v>8066</v>
      </c>
      <c r="M1877" s="8">
        <v>0.3645</v>
      </c>
      <c r="N1877">
        <v>105.747516212372</v>
      </c>
      <c r="O1877">
        <v>1756</v>
      </c>
      <c r="P1877" s="9">
        <v>0.197</v>
      </c>
      <c r="Q1877" t="s">
        <v>1549</v>
      </c>
      <c r="T1877" s="15" t="s">
        <v>80</v>
      </c>
      <c r="W1877" s="16" t="str">
        <f t="shared" si="158"/>
        <v>EN_WON_20_c03_PSE</v>
      </c>
      <c r="X1877" s="12">
        <f t="shared" si="159"/>
        <v>1756</v>
      </c>
      <c r="Y1877" s="11">
        <f t="shared" si="160"/>
        <v>1756</v>
      </c>
    </row>
    <row r="1878" spans="2:25">
      <c r="B1878" t="s">
        <v>26</v>
      </c>
      <c r="C1878" t="s">
        <v>8069</v>
      </c>
      <c r="D1878" t="s">
        <v>8070</v>
      </c>
      <c r="E1878" t="s">
        <v>29</v>
      </c>
      <c r="F1878" t="s">
        <v>30</v>
      </c>
      <c r="G1878" t="s">
        <v>31</v>
      </c>
      <c r="J1878" t="s">
        <v>8069</v>
      </c>
      <c r="K1878" t="s">
        <v>1967</v>
      </c>
      <c r="L1878" t="s">
        <v>8071</v>
      </c>
      <c r="M1878" s="8">
        <v>10.92675</v>
      </c>
      <c r="N1878">
        <v>0</v>
      </c>
      <c r="O1878">
        <v>1756</v>
      </c>
      <c r="P1878" s="9">
        <v>0.289774109410392</v>
      </c>
      <c r="Q1878" t="s">
        <v>1555</v>
      </c>
      <c r="T1878" s="15" t="s">
        <v>80</v>
      </c>
      <c r="W1878" s="16" t="str">
        <f t="shared" si="158"/>
        <v>EN_WON_29_c01_QAT</v>
      </c>
      <c r="X1878" s="12">
        <f t="shared" si="159"/>
        <v>1756</v>
      </c>
      <c r="Y1878" s="11">
        <f t="shared" si="160"/>
        <v>1756</v>
      </c>
    </row>
    <row r="1879" spans="2:25">
      <c r="B1879" t="s">
        <v>26</v>
      </c>
      <c r="C1879" t="s">
        <v>8072</v>
      </c>
      <c r="D1879" t="s">
        <v>8073</v>
      </c>
      <c r="E1879" t="s">
        <v>29</v>
      </c>
      <c r="F1879" t="s">
        <v>30</v>
      </c>
      <c r="G1879" t="s">
        <v>31</v>
      </c>
      <c r="J1879" t="s">
        <v>8072</v>
      </c>
      <c r="K1879" t="s">
        <v>1967</v>
      </c>
      <c r="L1879" t="s">
        <v>8074</v>
      </c>
      <c r="M1879" s="8">
        <v>8.32875</v>
      </c>
      <c r="N1879">
        <v>0</v>
      </c>
      <c r="O1879">
        <v>1827</v>
      </c>
      <c r="P1879" s="9">
        <v>0.257967762269248</v>
      </c>
      <c r="Q1879" t="s">
        <v>1559</v>
      </c>
      <c r="T1879" s="15" t="s">
        <v>69</v>
      </c>
      <c r="W1879" s="16" t="str">
        <f t="shared" si="158"/>
        <v>EN_WON_26_c01_ROU</v>
      </c>
      <c r="X1879" s="12">
        <f t="shared" si="159"/>
        <v>1827</v>
      </c>
      <c r="Y1879" s="11">
        <f t="shared" si="160"/>
        <v>1827</v>
      </c>
    </row>
    <row r="1880" spans="2:25">
      <c r="B1880" t="s">
        <v>26</v>
      </c>
      <c r="C1880" t="s">
        <v>8075</v>
      </c>
      <c r="D1880" t="s">
        <v>8076</v>
      </c>
      <c r="E1880" t="s">
        <v>29</v>
      </c>
      <c r="F1880" t="s">
        <v>30</v>
      </c>
      <c r="G1880" t="s">
        <v>31</v>
      </c>
      <c r="J1880" t="s">
        <v>8075</v>
      </c>
      <c r="K1880" t="s">
        <v>1967</v>
      </c>
      <c r="L1880" t="s">
        <v>8074</v>
      </c>
      <c r="M1880" s="8">
        <v>14.9325</v>
      </c>
      <c r="N1880">
        <v>0</v>
      </c>
      <c r="O1880">
        <v>1827</v>
      </c>
      <c r="P1880" s="9">
        <v>0.2662326469111</v>
      </c>
      <c r="Q1880" t="s">
        <v>1559</v>
      </c>
      <c r="T1880" s="15" t="s">
        <v>69</v>
      </c>
      <c r="W1880" s="16" t="str">
        <f t="shared" si="158"/>
        <v>EN_WON_27_c01_ROU</v>
      </c>
      <c r="X1880" s="12">
        <f t="shared" si="159"/>
        <v>1827</v>
      </c>
      <c r="Y1880" s="11">
        <f t="shared" si="160"/>
        <v>1827</v>
      </c>
    </row>
    <row r="1881" spans="2:25">
      <c r="B1881" t="s">
        <v>26</v>
      </c>
      <c r="C1881" t="s">
        <v>8077</v>
      </c>
      <c r="D1881" t="s">
        <v>8078</v>
      </c>
      <c r="E1881" t="s">
        <v>29</v>
      </c>
      <c r="F1881" t="s">
        <v>30</v>
      </c>
      <c r="G1881" t="s">
        <v>31</v>
      </c>
      <c r="J1881" t="s">
        <v>8077</v>
      </c>
      <c r="K1881" t="s">
        <v>1967</v>
      </c>
      <c r="L1881" t="s">
        <v>8074</v>
      </c>
      <c r="M1881" s="8">
        <v>5.6325</v>
      </c>
      <c r="N1881">
        <v>80.7856561622413</v>
      </c>
      <c r="O1881">
        <v>1827</v>
      </c>
      <c r="P1881" s="9">
        <v>0.265863648468708</v>
      </c>
      <c r="Q1881" t="s">
        <v>1559</v>
      </c>
      <c r="T1881" s="15" t="s">
        <v>69</v>
      </c>
      <c r="W1881" s="16" t="str">
        <f t="shared" si="158"/>
        <v>EN_WON_27_c02_ROU</v>
      </c>
      <c r="X1881" s="12">
        <f t="shared" si="159"/>
        <v>1827</v>
      </c>
      <c r="Y1881" s="11">
        <f t="shared" si="160"/>
        <v>1827</v>
      </c>
    </row>
    <row r="1882" spans="2:25">
      <c r="B1882" t="s">
        <v>26</v>
      </c>
      <c r="C1882" t="s">
        <v>8079</v>
      </c>
      <c r="D1882" t="s">
        <v>8080</v>
      </c>
      <c r="E1882" t="s">
        <v>29</v>
      </c>
      <c r="F1882" t="s">
        <v>30</v>
      </c>
      <c r="G1882" t="s">
        <v>31</v>
      </c>
      <c r="J1882" t="s">
        <v>8079</v>
      </c>
      <c r="K1882" t="s">
        <v>1967</v>
      </c>
      <c r="L1882" t="s">
        <v>8074</v>
      </c>
      <c r="M1882" s="8">
        <v>0.33375</v>
      </c>
      <c r="N1882">
        <v>105.747516212372</v>
      </c>
      <c r="O1882">
        <v>1827</v>
      </c>
      <c r="P1882" s="9">
        <v>0.266</v>
      </c>
      <c r="Q1882" t="s">
        <v>1559</v>
      </c>
      <c r="T1882" s="15" t="s">
        <v>69</v>
      </c>
      <c r="W1882" s="16" t="str">
        <f t="shared" si="158"/>
        <v>EN_WON_27_c03_ROU</v>
      </c>
      <c r="X1882" s="12">
        <f t="shared" si="159"/>
        <v>1827</v>
      </c>
      <c r="Y1882" s="11">
        <f t="shared" si="160"/>
        <v>1827</v>
      </c>
    </row>
    <row r="1883" spans="2:25">
      <c r="B1883" t="s">
        <v>26</v>
      </c>
      <c r="C1883" t="s">
        <v>8081</v>
      </c>
      <c r="D1883" t="s">
        <v>8082</v>
      </c>
      <c r="E1883" t="s">
        <v>29</v>
      </c>
      <c r="F1883" t="s">
        <v>30</v>
      </c>
      <c r="G1883" t="s">
        <v>31</v>
      </c>
      <c r="J1883" t="s">
        <v>8081</v>
      </c>
      <c r="K1883" t="s">
        <v>1967</v>
      </c>
      <c r="L1883" t="s">
        <v>8074</v>
      </c>
      <c r="M1883" s="8">
        <v>11.976</v>
      </c>
      <c r="N1883">
        <v>0</v>
      </c>
      <c r="O1883">
        <v>1827</v>
      </c>
      <c r="P1883" s="9">
        <v>0.279710546092184</v>
      </c>
      <c r="Q1883" t="s">
        <v>1559</v>
      </c>
      <c r="T1883" s="15" t="s">
        <v>69</v>
      </c>
      <c r="W1883" s="16" t="str">
        <f t="shared" si="158"/>
        <v>EN_WON_28_c01_ROU</v>
      </c>
      <c r="X1883" s="12">
        <f t="shared" si="159"/>
        <v>1827</v>
      </c>
      <c r="Y1883" s="11">
        <f t="shared" si="160"/>
        <v>1827</v>
      </c>
    </row>
    <row r="1884" spans="2:25">
      <c r="B1884" t="s">
        <v>26</v>
      </c>
      <c r="C1884" t="s">
        <v>8083</v>
      </c>
      <c r="D1884" t="s">
        <v>8084</v>
      </c>
      <c r="E1884" t="s">
        <v>29</v>
      </c>
      <c r="F1884" t="s">
        <v>30</v>
      </c>
      <c r="G1884" t="s">
        <v>31</v>
      </c>
      <c r="J1884" t="s">
        <v>8083</v>
      </c>
      <c r="K1884" t="s">
        <v>1967</v>
      </c>
      <c r="L1884" t="s">
        <v>8074</v>
      </c>
      <c r="M1884" s="8">
        <v>1.50525</v>
      </c>
      <c r="N1884">
        <v>80.7856561622413</v>
      </c>
      <c r="O1884">
        <v>1827</v>
      </c>
      <c r="P1884" s="9">
        <v>0.275</v>
      </c>
      <c r="Q1884" t="s">
        <v>1559</v>
      </c>
      <c r="T1884" s="15" t="s">
        <v>69</v>
      </c>
      <c r="W1884" s="16" t="str">
        <f t="shared" si="158"/>
        <v>EN_WON_28_c02_ROU</v>
      </c>
      <c r="X1884" s="12">
        <f t="shared" si="159"/>
        <v>1827</v>
      </c>
      <c r="Y1884" s="11">
        <f t="shared" si="160"/>
        <v>1827</v>
      </c>
    </row>
    <row r="1885" spans="2:25">
      <c r="B1885" t="s">
        <v>26</v>
      </c>
      <c r="C1885" t="s">
        <v>8085</v>
      </c>
      <c r="D1885" t="s">
        <v>8086</v>
      </c>
      <c r="E1885" t="s">
        <v>29</v>
      </c>
      <c r="F1885" t="s">
        <v>30</v>
      </c>
      <c r="G1885" t="s">
        <v>31</v>
      </c>
      <c r="J1885" t="s">
        <v>8085</v>
      </c>
      <c r="K1885" t="s">
        <v>1967</v>
      </c>
      <c r="L1885" t="s">
        <v>8074</v>
      </c>
      <c r="M1885" s="8">
        <v>0.01575</v>
      </c>
      <c r="N1885">
        <v>105.747516212372</v>
      </c>
      <c r="O1885">
        <v>1827</v>
      </c>
      <c r="P1885" s="9">
        <v>0.276</v>
      </c>
      <c r="Q1885" t="s">
        <v>1559</v>
      </c>
      <c r="T1885" s="15" t="s">
        <v>69</v>
      </c>
      <c r="W1885" s="16" t="str">
        <f t="shared" si="158"/>
        <v>EN_WON_28_c03_ROU</v>
      </c>
      <c r="X1885" s="12">
        <f t="shared" si="159"/>
        <v>1827</v>
      </c>
      <c r="Y1885" s="11">
        <f t="shared" si="160"/>
        <v>1827</v>
      </c>
    </row>
    <row r="1886" spans="2:25">
      <c r="B1886" t="s">
        <v>26</v>
      </c>
      <c r="C1886" t="s">
        <v>8087</v>
      </c>
      <c r="D1886" t="s">
        <v>8088</v>
      </c>
      <c r="E1886" t="s">
        <v>29</v>
      </c>
      <c r="F1886" t="s">
        <v>30</v>
      </c>
      <c r="G1886" t="s">
        <v>31</v>
      </c>
      <c r="J1886" t="s">
        <v>8087</v>
      </c>
      <c r="K1886" t="s">
        <v>1967</v>
      </c>
      <c r="L1886" t="s">
        <v>8074</v>
      </c>
      <c r="M1886" s="8">
        <v>0.19275</v>
      </c>
      <c r="N1886">
        <v>105.747516212372</v>
      </c>
      <c r="O1886">
        <v>1827</v>
      </c>
      <c r="P1886" s="9">
        <v>0.286</v>
      </c>
      <c r="Q1886" t="s">
        <v>1559</v>
      </c>
      <c r="T1886" s="15" t="s">
        <v>69</v>
      </c>
      <c r="W1886" s="16" t="str">
        <f t="shared" si="158"/>
        <v>EN_WON_29_c03_ROU</v>
      </c>
      <c r="X1886" s="12">
        <f t="shared" si="159"/>
        <v>1827</v>
      </c>
      <c r="Y1886" s="11">
        <f t="shared" si="160"/>
        <v>1827</v>
      </c>
    </row>
    <row r="1887" spans="2:25">
      <c r="B1887" t="s">
        <v>26</v>
      </c>
      <c r="C1887" t="s">
        <v>8089</v>
      </c>
      <c r="D1887" t="s">
        <v>8090</v>
      </c>
      <c r="E1887" t="s">
        <v>29</v>
      </c>
      <c r="F1887" t="s">
        <v>30</v>
      </c>
      <c r="G1887" t="s">
        <v>31</v>
      </c>
      <c r="J1887" t="s">
        <v>8089</v>
      </c>
      <c r="K1887" t="s">
        <v>1967</v>
      </c>
      <c r="L1887" t="s">
        <v>5448</v>
      </c>
      <c r="M1887" s="8">
        <v>440.673</v>
      </c>
      <c r="N1887">
        <v>0</v>
      </c>
      <c r="O1887">
        <v>1540</v>
      </c>
      <c r="P1887" s="9">
        <v>0.348788537078514</v>
      </c>
      <c r="Q1887" t="s">
        <v>1565</v>
      </c>
      <c r="T1887" s="15" t="s">
        <v>112</v>
      </c>
      <c r="W1887" s="16" t="str">
        <f t="shared" si="158"/>
        <v>EN_WON_35_c01_RUS</v>
      </c>
      <c r="X1887" s="12">
        <f t="shared" si="159"/>
        <v>1540</v>
      </c>
      <c r="Y1887" s="11">
        <f t="shared" si="160"/>
        <v>1540</v>
      </c>
    </row>
    <row r="1888" spans="2:25">
      <c r="B1888" t="s">
        <v>26</v>
      </c>
      <c r="C1888" t="s">
        <v>8091</v>
      </c>
      <c r="D1888" t="s">
        <v>8092</v>
      </c>
      <c r="E1888" t="s">
        <v>29</v>
      </c>
      <c r="F1888" t="s">
        <v>30</v>
      </c>
      <c r="G1888" t="s">
        <v>31</v>
      </c>
      <c r="J1888" t="s">
        <v>8091</v>
      </c>
      <c r="K1888" t="s">
        <v>1967</v>
      </c>
      <c r="L1888" t="s">
        <v>5448</v>
      </c>
      <c r="M1888" s="8">
        <v>0.096</v>
      </c>
      <c r="N1888">
        <v>80.7856561622413</v>
      </c>
      <c r="O1888">
        <v>1540</v>
      </c>
      <c r="P1888" s="9">
        <v>0.353</v>
      </c>
      <c r="Q1888" t="s">
        <v>1565</v>
      </c>
      <c r="T1888" s="15" t="s">
        <v>112</v>
      </c>
      <c r="W1888" s="16" t="str">
        <f t="shared" si="158"/>
        <v>EN_WON_35_c02_RUS</v>
      </c>
      <c r="X1888" s="12">
        <f t="shared" si="159"/>
        <v>1540</v>
      </c>
      <c r="Y1888" s="11">
        <f t="shared" si="160"/>
        <v>1540</v>
      </c>
    </row>
    <row r="1889" spans="2:25">
      <c r="B1889" t="s">
        <v>26</v>
      </c>
      <c r="C1889" t="s">
        <v>8093</v>
      </c>
      <c r="D1889" t="s">
        <v>8094</v>
      </c>
      <c r="E1889" t="s">
        <v>29</v>
      </c>
      <c r="F1889" t="s">
        <v>30</v>
      </c>
      <c r="G1889" t="s">
        <v>31</v>
      </c>
      <c r="J1889" t="s">
        <v>8093</v>
      </c>
      <c r="K1889" t="s">
        <v>1967</v>
      </c>
      <c r="L1889" t="s">
        <v>5448</v>
      </c>
      <c r="M1889" s="8">
        <v>1.227</v>
      </c>
      <c r="N1889">
        <v>105.747516212372</v>
      </c>
      <c r="O1889">
        <v>1540</v>
      </c>
      <c r="P1889" s="9">
        <v>0.35041564792176</v>
      </c>
      <c r="Q1889" t="s">
        <v>1565</v>
      </c>
      <c r="T1889" s="15" t="s">
        <v>112</v>
      </c>
      <c r="W1889" s="16" t="str">
        <f t="shared" si="158"/>
        <v>EN_WON_35_c03_RUS</v>
      </c>
      <c r="X1889" s="12">
        <f t="shared" si="159"/>
        <v>1540</v>
      </c>
      <c r="Y1889" s="11">
        <f t="shared" si="160"/>
        <v>1540</v>
      </c>
    </row>
    <row r="1890" spans="2:25">
      <c r="B1890" t="s">
        <v>26</v>
      </c>
      <c r="C1890" t="s">
        <v>8095</v>
      </c>
      <c r="D1890" t="s">
        <v>8096</v>
      </c>
      <c r="E1890" t="s">
        <v>29</v>
      </c>
      <c r="F1890" t="s">
        <v>30</v>
      </c>
      <c r="G1890" t="s">
        <v>31</v>
      </c>
      <c r="J1890" t="s">
        <v>8095</v>
      </c>
      <c r="K1890" t="s">
        <v>1967</v>
      </c>
      <c r="L1890" t="s">
        <v>5448</v>
      </c>
      <c r="M1890" s="8">
        <v>1.344</v>
      </c>
      <c r="N1890">
        <v>145.23264029167</v>
      </c>
      <c r="O1890">
        <v>1540</v>
      </c>
      <c r="P1890" s="9">
        <v>0.34996875</v>
      </c>
      <c r="Q1890" t="s">
        <v>1565</v>
      </c>
      <c r="T1890" s="15" t="s">
        <v>112</v>
      </c>
      <c r="W1890" s="16" t="str">
        <f t="shared" si="158"/>
        <v>EN_WON_35_c04_RUS</v>
      </c>
      <c r="X1890" s="12">
        <f t="shared" si="159"/>
        <v>1540</v>
      </c>
      <c r="Y1890" s="11">
        <f t="shared" si="160"/>
        <v>1540</v>
      </c>
    </row>
    <row r="1891" spans="2:25">
      <c r="B1891" t="s">
        <v>26</v>
      </c>
      <c r="C1891" t="s">
        <v>8097</v>
      </c>
      <c r="D1891" t="s">
        <v>8098</v>
      </c>
      <c r="E1891" t="s">
        <v>29</v>
      </c>
      <c r="F1891" t="s">
        <v>30</v>
      </c>
      <c r="G1891" t="s">
        <v>31</v>
      </c>
      <c r="J1891" t="s">
        <v>8097</v>
      </c>
      <c r="K1891" t="s">
        <v>1967</v>
      </c>
      <c r="L1891" t="s">
        <v>5448</v>
      </c>
      <c r="M1891" s="8">
        <v>239.10225</v>
      </c>
      <c r="N1891">
        <v>0</v>
      </c>
      <c r="O1891">
        <v>1540</v>
      </c>
      <c r="P1891" s="9">
        <v>0.359398547065115</v>
      </c>
      <c r="Q1891" t="s">
        <v>1565</v>
      </c>
      <c r="T1891" s="15" t="s">
        <v>112</v>
      </c>
      <c r="W1891" s="16" t="str">
        <f t="shared" si="158"/>
        <v>EN_WON_36_c01_RUS</v>
      </c>
      <c r="X1891" s="12">
        <f t="shared" si="159"/>
        <v>1540</v>
      </c>
      <c r="Y1891" s="11">
        <f t="shared" si="160"/>
        <v>1540</v>
      </c>
    </row>
    <row r="1892" spans="2:25">
      <c r="B1892" t="s">
        <v>26</v>
      </c>
      <c r="C1892" t="s">
        <v>8099</v>
      </c>
      <c r="D1892" t="s">
        <v>8100</v>
      </c>
      <c r="E1892" t="s">
        <v>29</v>
      </c>
      <c r="F1892" t="s">
        <v>30</v>
      </c>
      <c r="G1892" t="s">
        <v>31</v>
      </c>
      <c r="J1892" t="s">
        <v>8099</v>
      </c>
      <c r="K1892" t="s">
        <v>1967</v>
      </c>
      <c r="L1892" t="s">
        <v>5448</v>
      </c>
      <c r="M1892" s="8">
        <v>0.0345</v>
      </c>
      <c r="N1892">
        <v>80.7856561622413</v>
      </c>
      <c r="O1892">
        <v>1540</v>
      </c>
      <c r="P1892" s="9">
        <v>0.361</v>
      </c>
      <c r="Q1892" t="s">
        <v>1565</v>
      </c>
      <c r="T1892" s="15" t="s">
        <v>112</v>
      </c>
      <c r="W1892" s="16" t="str">
        <f t="shared" si="158"/>
        <v>EN_WON_36_c02_RUS</v>
      </c>
      <c r="X1892" s="12">
        <f t="shared" si="159"/>
        <v>1540</v>
      </c>
      <c r="Y1892" s="11">
        <f t="shared" si="160"/>
        <v>1540</v>
      </c>
    </row>
    <row r="1893" spans="2:25">
      <c r="B1893" t="s">
        <v>26</v>
      </c>
      <c r="C1893" t="s">
        <v>8101</v>
      </c>
      <c r="D1893" t="s">
        <v>8102</v>
      </c>
      <c r="E1893" t="s">
        <v>29</v>
      </c>
      <c r="F1893" t="s">
        <v>30</v>
      </c>
      <c r="G1893" t="s">
        <v>31</v>
      </c>
      <c r="J1893" t="s">
        <v>8101</v>
      </c>
      <c r="K1893" t="s">
        <v>1967</v>
      </c>
      <c r="L1893" t="s">
        <v>5448</v>
      </c>
      <c r="M1893" s="8">
        <v>1.23</v>
      </c>
      <c r="N1893">
        <v>105.747516212372</v>
      </c>
      <c r="O1893">
        <v>1540</v>
      </c>
      <c r="P1893" s="9">
        <v>0.355710365853659</v>
      </c>
      <c r="Q1893" t="s">
        <v>1565</v>
      </c>
      <c r="T1893" s="15" t="s">
        <v>112</v>
      </c>
      <c r="W1893" s="16" t="str">
        <f t="shared" si="158"/>
        <v>EN_WON_36_c03_RUS</v>
      </c>
      <c r="X1893" s="12">
        <f t="shared" si="159"/>
        <v>1540</v>
      </c>
      <c r="Y1893" s="11">
        <f t="shared" si="160"/>
        <v>1540</v>
      </c>
    </row>
    <row r="1894" spans="2:25">
      <c r="B1894" t="s">
        <v>26</v>
      </c>
      <c r="C1894" t="s">
        <v>8103</v>
      </c>
      <c r="D1894" t="s">
        <v>8104</v>
      </c>
      <c r="E1894" t="s">
        <v>29</v>
      </c>
      <c r="F1894" t="s">
        <v>30</v>
      </c>
      <c r="G1894" t="s">
        <v>31</v>
      </c>
      <c r="J1894" t="s">
        <v>8103</v>
      </c>
      <c r="K1894" t="s">
        <v>1967</v>
      </c>
      <c r="L1894" t="s">
        <v>5448</v>
      </c>
      <c r="M1894" s="8">
        <v>1.3215</v>
      </c>
      <c r="N1894">
        <v>145.23264029167</v>
      </c>
      <c r="O1894">
        <v>1540</v>
      </c>
      <c r="P1894" s="9">
        <v>0.359468785471056</v>
      </c>
      <c r="Q1894" t="s">
        <v>1565</v>
      </c>
      <c r="T1894" s="15" t="s">
        <v>112</v>
      </c>
      <c r="W1894" s="16" t="str">
        <f t="shared" si="158"/>
        <v>EN_WON_36_c04_RUS</v>
      </c>
      <c r="X1894" s="12">
        <f t="shared" si="159"/>
        <v>1540</v>
      </c>
      <c r="Y1894" s="11">
        <f t="shared" si="160"/>
        <v>1540</v>
      </c>
    </row>
    <row r="1895" spans="2:25">
      <c r="B1895" t="s">
        <v>26</v>
      </c>
      <c r="C1895" t="s">
        <v>8105</v>
      </c>
      <c r="D1895" t="s">
        <v>8106</v>
      </c>
      <c r="E1895" t="s">
        <v>29</v>
      </c>
      <c r="F1895" t="s">
        <v>30</v>
      </c>
      <c r="G1895" t="s">
        <v>31</v>
      </c>
      <c r="J1895" t="s">
        <v>8105</v>
      </c>
      <c r="K1895" t="s">
        <v>1967</v>
      </c>
      <c r="L1895" t="s">
        <v>5448</v>
      </c>
      <c r="M1895" s="8">
        <v>194.28</v>
      </c>
      <c r="N1895">
        <v>0</v>
      </c>
      <c r="O1895">
        <v>1540</v>
      </c>
      <c r="P1895" s="9">
        <v>0.369433330759728</v>
      </c>
      <c r="Q1895" t="s">
        <v>1565</v>
      </c>
      <c r="T1895" s="15" t="s">
        <v>112</v>
      </c>
      <c r="W1895" s="16" t="str">
        <f t="shared" si="158"/>
        <v>EN_WON_37_c01_RUS</v>
      </c>
      <c r="X1895" s="12">
        <f t="shared" si="159"/>
        <v>1540</v>
      </c>
      <c r="Y1895" s="11">
        <f t="shared" si="160"/>
        <v>1540</v>
      </c>
    </row>
    <row r="1896" spans="2:25">
      <c r="B1896" t="s">
        <v>26</v>
      </c>
      <c r="C1896" t="s">
        <v>8107</v>
      </c>
      <c r="D1896" t="s">
        <v>8108</v>
      </c>
      <c r="E1896" t="s">
        <v>29</v>
      </c>
      <c r="F1896" t="s">
        <v>30</v>
      </c>
      <c r="G1896" t="s">
        <v>31</v>
      </c>
      <c r="J1896" t="s">
        <v>8107</v>
      </c>
      <c r="K1896" t="s">
        <v>1967</v>
      </c>
      <c r="L1896" t="s">
        <v>5448</v>
      </c>
      <c r="M1896" s="8">
        <v>1.15425</v>
      </c>
      <c r="N1896">
        <v>80.7856561622413</v>
      </c>
      <c r="O1896">
        <v>1540</v>
      </c>
      <c r="P1896" s="9">
        <v>0.373825860948668</v>
      </c>
      <c r="Q1896" t="s">
        <v>1565</v>
      </c>
      <c r="T1896" s="15" t="s">
        <v>112</v>
      </c>
      <c r="W1896" s="16" t="str">
        <f t="shared" si="158"/>
        <v>EN_WON_37_c02_RUS</v>
      </c>
      <c r="X1896" s="12">
        <f t="shared" si="159"/>
        <v>1540</v>
      </c>
      <c r="Y1896" s="11">
        <f t="shared" si="160"/>
        <v>1540</v>
      </c>
    </row>
    <row r="1897" spans="2:25">
      <c r="B1897" t="s">
        <v>26</v>
      </c>
      <c r="C1897" t="s">
        <v>8109</v>
      </c>
      <c r="D1897" t="s">
        <v>8110</v>
      </c>
      <c r="E1897" t="s">
        <v>29</v>
      </c>
      <c r="F1897" t="s">
        <v>30</v>
      </c>
      <c r="G1897" t="s">
        <v>31</v>
      </c>
      <c r="J1897" t="s">
        <v>8109</v>
      </c>
      <c r="K1897" t="s">
        <v>1967</v>
      </c>
      <c r="L1897" t="s">
        <v>5448</v>
      </c>
      <c r="M1897" s="8">
        <v>1.086</v>
      </c>
      <c r="N1897">
        <v>105.747516212372</v>
      </c>
      <c r="O1897">
        <v>1540</v>
      </c>
      <c r="P1897" s="9">
        <v>0.370293508287293</v>
      </c>
      <c r="Q1897" t="s">
        <v>1565</v>
      </c>
      <c r="T1897" s="15" t="s">
        <v>112</v>
      </c>
      <c r="W1897" s="16" t="str">
        <f t="shared" si="158"/>
        <v>EN_WON_37_c03_RUS</v>
      </c>
      <c r="X1897" s="12">
        <f t="shared" si="159"/>
        <v>1540</v>
      </c>
      <c r="Y1897" s="11">
        <f t="shared" si="160"/>
        <v>1540</v>
      </c>
    </row>
    <row r="1898" spans="2:25">
      <c r="B1898" t="s">
        <v>26</v>
      </c>
      <c r="C1898" t="s">
        <v>8111</v>
      </c>
      <c r="D1898" t="s">
        <v>8112</v>
      </c>
      <c r="E1898" t="s">
        <v>29</v>
      </c>
      <c r="F1898" t="s">
        <v>30</v>
      </c>
      <c r="G1898" t="s">
        <v>31</v>
      </c>
      <c r="J1898" t="s">
        <v>8111</v>
      </c>
      <c r="K1898" t="s">
        <v>1967</v>
      </c>
      <c r="L1898" t="s">
        <v>5448</v>
      </c>
      <c r="M1898" s="8">
        <v>0.83175</v>
      </c>
      <c r="N1898">
        <v>145.23264029167</v>
      </c>
      <c r="O1898">
        <v>1540</v>
      </c>
      <c r="P1898" s="9">
        <v>0.368670874661858</v>
      </c>
      <c r="Q1898" t="s">
        <v>1565</v>
      </c>
      <c r="T1898" s="15" t="s">
        <v>112</v>
      </c>
      <c r="W1898" s="16" t="str">
        <f t="shared" si="158"/>
        <v>EN_WON_37_c04_RUS</v>
      </c>
      <c r="X1898" s="12">
        <f t="shared" si="159"/>
        <v>1540</v>
      </c>
      <c r="Y1898" s="11">
        <f t="shared" si="160"/>
        <v>1540</v>
      </c>
    </row>
    <row r="1899" spans="2:25">
      <c r="B1899" t="s">
        <v>26</v>
      </c>
      <c r="C1899" t="s">
        <v>8113</v>
      </c>
      <c r="D1899" t="s">
        <v>8114</v>
      </c>
      <c r="E1899" t="s">
        <v>29</v>
      </c>
      <c r="F1899" t="s">
        <v>30</v>
      </c>
      <c r="G1899" t="s">
        <v>31</v>
      </c>
      <c r="J1899" t="s">
        <v>8113</v>
      </c>
      <c r="K1899" t="s">
        <v>1967</v>
      </c>
      <c r="L1899" t="s">
        <v>5448</v>
      </c>
      <c r="M1899" s="8">
        <v>48.60375</v>
      </c>
      <c r="N1899">
        <v>0</v>
      </c>
      <c r="O1899">
        <v>1540</v>
      </c>
      <c r="P1899" s="9">
        <v>0.3784458606589</v>
      </c>
      <c r="Q1899" t="s">
        <v>1565</v>
      </c>
      <c r="T1899" s="15" t="s">
        <v>112</v>
      </c>
      <c r="W1899" s="16" t="str">
        <f t="shared" si="158"/>
        <v>EN_WON_38_c01_RUS</v>
      </c>
      <c r="X1899" s="12">
        <f t="shared" si="159"/>
        <v>1540</v>
      </c>
      <c r="Y1899" s="11">
        <f t="shared" si="160"/>
        <v>1540</v>
      </c>
    </row>
    <row r="1900" spans="2:25">
      <c r="B1900" t="s">
        <v>26</v>
      </c>
      <c r="C1900" t="s">
        <v>8115</v>
      </c>
      <c r="D1900" t="s">
        <v>8116</v>
      </c>
      <c r="E1900" t="s">
        <v>29</v>
      </c>
      <c r="F1900" t="s">
        <v>30</v>
      </c>
      <c r="G1900" t="s">
        <v>31</v>
      </c>
      <c r="J1900" t="s">
        <v>8115</v>
      </c>
      <c r="K1900" t="s">
        <v>1967</v>
      </c>
      <c r="L1900" t="s">
        <v>5448</v>
      </c>
      <c r="M1900" s="8">
        <v>0.3195</v>
      </c>
      <c r="N1900">
        <v>80.7856561622413</v>
      </c>
      <c r="O1900">
        <v>1540</v>
      </c>
      <c r="P1900" s="9">
        <v>0.383</v>
      </c>
      <c r="Q1900" t="s">
        <v>1565</v>
      </c>
      <c r="T1900" s="15" t="s">
        <v>112</v>
      </c>
      <c r="W1900" s="16" t="str">
        <f t="shared" si="158"/>
        <v>EN_WON_38_c02_RUS</v>
      </c>
      <c r="X1900" s="12">
        <f t="shared" si="159"/>
        <v>1540</v>
      </c>
      <c r="Y1900" s="11">
        <f t="shared" si="160"/>
        <v>1540</v>
      </c>
    </row>
    <row r="1901" spans="2:25">
      <c r="B1901" t="s">
        <v>26</v>
      </c>
      <c r="C1901" t="s">
        <v>8117</v>
      </c>
      <c r="D1901" t="s">
        <v>8118</v>
      </c>
      <c r="E1901" t="s">
        <v>29</v>
      </c>
      <c r="F1901" t="s">
        <v>30</v>
      </c>
      <c r="G1901" t="s">
        <v>31</v>
      </c>
      <c r="J1901" t="s">
        <v>8117</v>
      </c>
      <c r="K1901" t="s">
        <v>1967</v>
      </c>
      <c r="L1901" t="s">
        <v>5448</v>
      </c>
      <c r="M1901" s="8">
        <v>1.092</v>
      </c>
      <c r="N1901">
        <v>105.747516212372</v>
      </c>
      <c r="O1901">
        <v>1540</v>
      </c>
      <c r="P1901" s="9">
        <v>0.38335989010989</v>
      </c>
      <c r="Q1901" t="s">
        <v>1565</v>
      </c>
      <c r="T1901" s="15" t="s">
        <v>112</v>
      </c>
      <c r="W1901" s="16" t="str">
        <f t="shared" si="158"/>
        <v>EN_WON_38_c03_RUS</v>
      </c>
      <c r="X1901" s="12">
        <f t="shared" si="159"/>
        <v>1540</v>
      </c>
      <c r="Y1901" s="11">
        <f t="shared" si="160"/>
        <v>1540</v>
      </c>
    </row>
    <row r="1902" spans="2:25">
      <c r="B1902" t="s">
        <v>26</v>
      </c>
      <c r="C1902" t="s">
        <v>8119</v>
      </c>
      <c r="D1902" t="s">
        <v>8120</v>
      </c>
      <c r="E1902" t="s">
        <v>29</v>
      </c>
      <c r="F1902" t="s">
        <v>30</v>
      </c>
      <c r="G1902" t="s">
        <v>31</v>
      </c>
      <c r="J1902" t="s">
        <v>8119</v>
      </c>
      <c r="K1902" t="s">
        <v>1967</v>
      </c>
      <c r="L1902" t="s">
        <v>5448</v>
      </c>
      <c r="M1902" s="8">
        <v>46.989</v>
      </c>
      <c r="N1902">
        <v>0</v>
      </c>
      <c r="O1902">
        <v>1540</v>
      </c>
      <c r="P1902" s="9">
        <v>0.389713704271212</v>
      </c>
      <c r="Q1902" t="s">
        <v>1565</v>
      </c>
      <c r="T1902" s="15" t="s">
        <v>112</v>
      </c>
      <c r="W1902" s="16" t="str">
        <f t="shared" si="158"/>
        <v>EN_WON_39_c01_RUS</v>
      </c>
      <c r="X1902" s="12">
        <f t="shared" si="159"/>
        <v>1540</v>
      </c>
      <c r="Y1902" s="11">
        <f t="shared" si="160"/>
        <v>1540</v>
      </c>
    </row>
    <row r="1903" spans="2:25">
      <c r="B1903" t="s">
        <v>26</v>
      </c>
      <c r="C1903" t="s">
        <v>8121</v>
      </c>
      <c r="D1903" t="s">
        <v>8122</v>
      </c>
      <c r="E1903" t="s">
        <v>29</v>
      </c>
      <c r="F1903" t="s">
        <v>30</v>
      </c>
      <c r="G1903" t="s">
        <v>31</v>
      </c>
      <c r="J1903" t="s">
        <v>8121</v>
      </c>
      <c r="K1903" t="s">
        <v>1967</v>
      </c>
      <c r="L1903" t="s">
        <v>5448</v>
      </c>
      <c r="M1903" s="8">
        <v>0.66075</v>
      </c>
      <c r="N1903">
        <v>80.7856561622413</v>
      </c>
      <c r="O1903">
        <v>1540</v>
      </c>
      <c r="P1903" s="9">
        <v>0.391213393870602</v>
      </c>
      <c r="Q1903" t="s">
        <v>1565</v>
      </c>
      <c r="T1903" s="15" t="s">
        <v>112</v>
      </c>
      <c r="W1903" s="16" t="str">
        <f t="shared" si="158"/>
        <v>EN_WON_39_c02_RUS</v>
      </c>
      <c r="X1903" s="12">
        <f t="shared" si="159"/>
        <v>1540</v>
      </c>
      <c r="Y1903" s="11">
        <f t="shared" si="160"/>
        <v>1540</v>
      </c>
    </row>
    <row r="1904" spans="2:25">
      <c r="B1904" t="s">
        <v>26</v>
      </c>
      <c r="C1904" t="s">
        <v>8123</v>
      </c>
      <c r="D1904" t="s">
        <v>8124</v>
      </c>
      <c r="E1904" t="s">
        <v>29</v>
      </c>
      <c r="F1904" t="s">
        <v>30</v>
      </c>
      <c r="G1904" t="s">
        <v>31</v>
      </c>
      <c r="J1904" t="s">
        <v>8123</v>
      </c>
      <c r="K1904" t="s">
        <v>1967</v>
      </c>
      <c r="L1904" t="s">
        <v>5448</v>
      </c>
      <c r="M1904" s="8">
        <v>0.92475</v>
      </c>
      <c r="N1904">
        <v>145.23264029167</v>
      </c>
      <c r="O1904">
        <v>1540</v>
      </c>
      <c r="P1904" s="9">
        <v>0.390859691808597</v>
      </c>
      <c r="Q1904" t="s">
        <v>1565</v>
      </c>
      <c r="T1904" s="15" t="s">
        <v>112</v>
      </c>
      <c r="W1904" s="16" t="str">
        <f t="shared" si="158"/>
        <v>EN_WON_39_c04_RUS</v>
      </c>
      <c r="X1904" s="12">
        <f t="shared" si="159"/>
        <v>1540</v>
      </c>
      <c r="Y1904" s="11">
        <f t="shared" si="160"/>
        <v>1540</v>
      </c>
    </row>
    <row r="1905" spans="2:25">
      <c r="B1905" t="s">
        <v>26</v>
      </c>
      <c r="C1905" t="s">
        <v>8125</v>
      </c>
      <c r="D1905" t="s">
        <v>8126</v>
      </c>
      <c r="E1905" t="s">
        <v>29</v>
      </c>
      <c r="F1905" t="s">
        <v>30</v>
      </c>
      <c r="G1905" t="s">
        <v>31</v>
      </c>
      <c r="J1905" t="s">
        <v>8125</v>
      </c>
      <c r="K1905" t="s">
        <v>1967</v>
      </c>
      <c r="L1905" t="s">
        <v>5448</v>
      </c>
      <c r="M1905" s="8">
        <v>14.0385</v>
      </c>
      <c r="N1905">
        <v>0</v>
      </c>
      <c r="O1905">
        <v>1540</v>
      </c>
      <c r="P1905" s="9">
        <v>0.397857890800299</v>
      </c>
      <c r="Q1905" t="s">
        <v>1565</v>
      </c>
      <c r="T1905" s="15" t="s">
        <v>112</v>
      </c>
      <c r="W1905" s="16" t="str">
        <f t="shared" si="158"/>
        <v>EN_WON_40_c01_RUS</v>
      </c>
      <c r="X1905" s="12">
        <f t="shared" si="159"/>
        <v>1540</v>
      </c>
      <c r="Y1905" s="11">
        <f t="shared" si="160"/>
        <v>1540</v>
      </c>
    </row>
    <row r="1906" spans="2:25">
      <c r="B1906" t="s">
        <v>26</v>
      </c>
      <c r="C1906" t="s">
        <v>8127</v>
      </c>
      <c r="D1906" t="s">
        <v>8128</v>
      </c>
      <c r="E1906" t="s">
        <v>29</v>
      </c>
      <c r="F1906" t="s">
        <v>30</v>
      </c>
      <c r="G1906" t="s">
        <v>31</v>
      </c>
      <c r="J1906" t="s">
        <v>8127</v>
      </c>
      <c r="K1906" t="s">
        <v>1967</v>
      </c>
      <c r="L1906" t="s">
        <v>5448</v>
      </c>
      <c r="M1906" s="8">
        <v>0.1425</v>
      </c>
      <c r="N1906">
        <v>80.7856561622413</v>
      </c>
      <c r="O1906">
        <v>1540</v>
      </c>
      <c r="P1906" s="9">
        <v>0.398389473684211</v>
      </c>
      <c r="Q1906" t="s">
        <v>1565</v>
      </c>
      <c r="T1906" s="15" t="s">
        <v>112</v>
      </c>
      <c r="W1906" s="16" t="str">
        <f t="shared" si="158"/>
        <v>EN_WON_40_c02_RUS</v>
      </c>
      <c r="X1906" s="12">
        <f t="shared" si="159"/>
        <v>1540</v>
      </c>
      <c r="Y1906" s="11">
        <f t="shared" si="160"/>
        <v>1540</v>
      </c>
    </row>
    <row r="1907" spans="2:25">
      <c r="B1907" t="s">
        <v>26</v>
      </c>
      <c r="C1907" t="s">
        <v>8129</v>
      </c>
      <c r="D1907" t="s">
        <v>8130</v>
      </c>
      <c r="E1907" t="s">
        <v>29</v>
      </c>
      <c r="F1907" t="s">
        <v>30</v>
      </c>
      <c r="G1907" t="s">
        <v>31</v>
      </c>
      <c r="J1907" t="s">
        <v>8129</v>
      </c>
      <c r="K1907" t="s">
        <v>1967</v>
      </c>
      <c r="L1907" t="s">
        <v>5448</v>
      </c>
      <c r="M1907" s="8">
        <v>0.366</v>
      </c>
      <c r="N1907">
        <v>105.747516212372</v>
      </c>
      <c r="O1907">
        <v>1540</v>
      </c>
      <c r="P1907" s="9">
        <v>0.397</v>
      </c>
      <c r="Q1907" t="s">
        <v>1565</v>
      </c>
      <c r="T1907" s="15" t="s">
        <v>112</v>
      </c>
      <c r="W1907" s="16" t="str">
        <f t="shared" si="158"/>
        <v>EN_WON_40_c03_RUS</v>
      </c>
      <c r="X1907" s="12">
        <f t="shared" si="159"/>
        <v>1540</v>
      </c>
      <c r="Y1907" s="11">
        <f t="shared" si="160"/>
        <v>1540</v>
      </c>
    </row>
    <row r="1908" spans="2:25">
      <c r="B1908" t="s">
        <v>26</v>
      </c>
      <c r="C1908" t="s">
        <v>8131</v>
      </c>
      <c r="D1908" t="s">
        <v>8132</v>
      </c>
      <c r="E1908" t="s">
        <v>29</v>
      </c>
      <c r="F1908" t="s">
        <v>30</v>
      </c>
      <c r="G1908" t="s">
        <v>31</v>
      </c>
      <c r="J1908" t="s">
        <v>8131</v>
      </c>
      <c r="K1908" t="s">
        <v>1967</v>
      </c>
      <c r="L1908" t="s">
        <v>5448</v>
      </c>
      <c r="M1908" s="8">
        <v>6.61875</v>
      </c>
      <c r="N1908">
        <v>0</v>
      </c>
      <c r="O1908">
        <v>1540</v>
      </c>
      <c r="P1908" s="9">
        <v>0.413</v>
      </c>
      <c r="Q1908" t="s">
        <v>1565</v>
      </c>
      <c r="T1908" s="15" t="s">
        <v>112</v>
      </c>
      <c r="W1908" s="16" t="str">
        <f t="shared" si="158"/>
        <v>EN_WON_41_c01_RUS</v>
      </c>
      <c r="X1908" s="12">
        <f t="shared" si="159"/>
        <v>1540</v>
      </c>
      <c r="Y1908" s="11">
        <f t="shared" si="160"/>
        <v>1540</v>
      </c>
    </row>
    <row r="1909" spans="2:25">
      <c r="B1909" t="s">
        <v>26</v>
      </c>
      <c r="C1909" t="s">
        <v>8133</v>
      </c>
      <c r="D1909" t="s">
        <v>8134</v>
      </c>
      <c r="E1909" t="s">
        <v>29</v>
      </c>
      <c r="F1909" t="s">
        <v>30</v>
      </c>
      <c r="G1909" t="s">
        <v>31</v>
      </c>
      <c r="J1909" t="s">
        <v>8133</v>
      </c>
      <c r="K1909" t="s">
        <v>1967</v>
      </c>
      <c r="L1909" t="s">
        <v>5448</v>
      </c>
      <c r="M1909" s="8">
        <v>0.021</v>
      </c>
      <c r="N1909">
        <v>80.7856561622413</v>
      </c>
      <c r="O1909">
        <v>1540</v>
      </c>
      <c r="P1909" s="9">
        <v>0.412</v>
      </c>
      <c r="Q1909" t="s">
        <v>1565</v>
      </c>
      <c r="T1909" s="15" t="s">
        <v>112</v>
      </c>
      <c r="W1909" s="16" t="str">
        <f t="shared" si="158"/>
        <v>EN_WON_41_c02_RUS</v>
      </c>
      <c r="X1909" s="12">
        <f t="shared" si="159"/>
        <v>1540</v>
      </c>
      <c r="Y1909" s="11">
        <f t="shared" si="160"/>
        <v>1540</v>
      </c>
    </row>
    <row r="1910" spans="2:25">
      <c r="B1910" t="s">
        <v>26</v>
      </c>
      <c r="C1910" t="s">
        <v>8135</v>
      </c>
      <c r="D1910" t="s">
        <v>8136</v>
      </c>
      <c r="E1910" t="s">
        <v>29</v>
      </c>
      <c r="F1910" t="s">
        <v>30</v>
      </c>
      <c r="G1910" t="s">
        <v>31</v>
      </c>
      <c r="J1910" t="s">
        <v>8135</v>
      </c>
      <c r="K1910" t="s">
        <v>1967</v>
      </c>
      <c r="L1910" t="s">
        <v>5448</v>
      </c>
      <c r="M1910" s="8">
        <v>0.00525</v>
      </c>
      <c r="N1910">
        <v>105.747516212372</v>
      </c>
      <c r="O1910">
        <v>1540</v>
      </c>
      <c r="P1910" s="9">
        <v>0.409</v>
      </c>
      <c r="Q1910" t="s">
        <v>1565</v>
      </c>
      <c r="T1910" s="15" t="s">
        <v>112</v>
      </c>
      <c r="W1910" s="16" t="str">
        <f t="shared" si="158"/>
        <v>EN_WON_41_c03_RUS</v>
      </c>
      <c r="X1910" s="12">
        <f t="shared" si="159"/>
        <v>1540</v>
      </c>
      <c r="Y1910" s="11">
        <f t="shared" si="160"/>
        <v>1540</v>
      </c>
    </row>
    <row r="1911" spans="2:25">
      <c r="B1911" t="s">
        <v>26</v>
      </c>
      <c r="C1911" t="s">
        <v>8137</v>
      </c>
      <c r="D1911" t="s">
        <v>8138</v>
      </c>
      <c r="E1911" t="s">
        <v>29</v>
      </c>
      <c r="F1911" t="s">
        <v>30</v>
      </c>
      <c r="G1911" t="s">
        <v>31</v>
      </c>
      <c r="J1911" t="s">
        <v>8137</v>
      </c>
      <c r="K1911" t="s">
        <v>1967</v>
      </c>
      <c r="L1911" t="s">
        <v>5448</v>
      </c>
      <c r="M1911" s="8">
        <v>0.04425</v>
      </c>
      <c r="N1911">
        <v>80.7856561622413</v>
      </c>
      <c r="O1911">
        <v>1540</v>
      </c>
      <c r="P1911" s="9">
        <v>0.444</v>
      </c>
      <c r="Q1911" t="s">
        <v>1565</v>
      </c>
      <c r="T1911" s="15" t="s">
        <v>112</v>
      </c>
      <c r="W1911" s="16" t="str">
        <f t="shared" si="158"/>
        <v>EN_WON_44_c02_RUS</v>
      </c>
      <c r="X1911" s="12">
        <f t="shared" si="159"/>
        <v>1540</v>
      </c>
      <c r="Y1911" s="11">
        <f t="shared" si="160"/>
        <v>1540</v>
      </c>
    </row>
    <row r="1912" spans="2:25">
      <c r="B1912" t="s">
        <v>26</v>
      </c>
      <c r="C1912" t="s">
        <v>8139</v>
      </c>
      <c r="D1912" t="s">
        <v>8140</v>
      </c>
      <c r="E1912" t="s">
        <v>29</v>
      </c>
      <c r="F1912" t="s">
        <v>30</v>
      </c>
      <c r="G1912" t="s">
        <v>31</v>
      </c>
      <c r="J1912" t="s">
        <v>8139</v>
      </c>
      <c r="K1912" t="s">
        <v>1967</v>
      </c>
      <c r="L1912" t="s">
        <v>8141</v>
      </c>
      <c r="M1912" s="8">
        <v>0.00825</v>
      </c>
      <c r="N1912">
        <v>105.747516212372</v>
      </c>
      <c r="O1912">
        <v>1952</v>
      </c>
      <c r="P1912" s="9">
        <v>0.164</v>
      </c>
      <c r="Q1912" t="s">
        <v>1597</v>
      </c>
      <c r="T1912" s="15" t="s">
        <v>54</v>
      </c>
      <c r="W1912" s="16" t="str">
        <f t="shared" si="158"/>
        <v>EN_WON_16_c03_RWA</v>
      </c>
      <c r="X1912" s="12">
        <f t="shared" si="159"/>
        <v>1952</v>
      </c>
      <c r="Y1912" s="11">
        <f t="shared" si="160"/>
        <v>1952</v>
      </c>
    </row>
    <row r="1913" spans="2:25">
      <c r="B1913" t="s">
        <v>26</v>
      </c>
      <c r="C1913" t="s">
        <v>8142</v>
      </c>
      <c r="D1913" t="s">
        <v>8143</v>
      </c>
      <c r="E1913" t="s">
        <v>29</v>
      </c>
      <c r="F1913" t="s">
        <v>30</v>
      </c>
      <c r="G1913" t="s">
        <v>31</v>
      </c>
      <c r="J1913" t="s">
        <v>8142</v>
      </c>
      <c r="K1913" t="s">
        <v>1967</v>
      </c>
      <c r="L1913" t="s">
        <v>5555</v>
      </c>
      <c r="M1913" s="8">
        <v>153.49575</v>
      </c>
      <c r="N1913">
        <v>0</v>
      </c>
      <c r="O1913">
        <v>1756</v>
      </c>
      <c r="P1913" s="9">
        <v>0.308896008521408</v>
      </c>
      <c r="Q1913" t="s">
        <v>1607</v>
      </c>
      <c r="T1913" s="15" t="s">
        <v>80</v>
      </c>
      <c r="W1913" s="16" t="str">
        <f t="shared" si="158"/>
        <v>EN_WON_31_c01_SAU</v>
      </c>
      <c r="X1913" s="12">
        <f t="shared" si="159"/>
        <v>1756</v>
      </c>
      <c r="Y1913" s="11">
        <f t="shared" si="160"/>
        <v>1756</v>
      </c>
    </row>
    <row r="1914" spans="2:25">
      <c r="B1914" t="s">
        <v>26</v>
      </c>
      <c r="C1914" t="s">
        <v>8144</v>
      </c>
      <c r="D1914" t="s">
        <v>8145</v>
      </c>
      <c r="E1914" t="s">
        <v>29</v>
      </c>
      <c r="F1914" t="s">
        <v>30</v>
      </c>
      <c r="G1914" t="s">
        <v>31</v>
      </c>
      <c r="J1914" t="s">
        <v>8144</v>
      </c>
      <c r="K1914" t="s">
        <v>1967</v>
      </c>
      <c r="L1914" t="s">
        <v>5555</v>
      </c>
      <c r="M1914" s="8">
        <v>63.5235</v>
      </c>
      <c r="N1914">
        <v>80.7856561622413</v>
      </c>
      <c r="O1914">
        <v>1756</v>
      </c>
      <c r="P1914" s="9">
        <v>0.30950842995112</v>
      </c>
      <c r="Q1914" t="s">
        <v>1607</v>
      </c>
      <c r="T1914" s="15" t="s">
        <v>80</v>
      </c>
      <c r="W1914" s="16" t="str">
        <f t="shared" si="158"/>
        <v>EN_WON_31_c02_SAU</v>
      </c>
      <c r="X1914" s="12">
        <f t="shared" si="159"/>
        <v>1756</v>
      </c>
      <c r="Y1914" s="11">
        <f t="shared" si="160"/>
        <v>1756</v>
      </c>
    </row>
    <row r="1915" spans="2:25">
      <c r="B1915" t="s">
        <v>26</v>
      </c>
      <c r="C1915" t="s">
        <v>8146</v>
      </c>
      <c r="D1915" t="s">
        <v>8147</v>
      </c>
      <c r="E1915" t="s">
        <v>29</v>
      </c>
      <c r="F1915" t="s">
        <v>30</v>
      </c>
      <c r="G1915" t="s">
        <v>31</v>
      </c>
      <c r="J1915" t="s">
        <v>8146</v>
      </c>
      <c r="K1915" t="s">
        <v>1967</v>
      </c>
      <c r="L1915" t="s">
        <v>5555</v>
      </c>
      <c r="M1915" s="8">
        <v>77.04825</v>
      </c>
      <c r="N1915">
        <v>0</v>
      </c>
      <c r="O1915">
        <v>1756</v>
      </c>
      <c r="P1915" s="9">
        <v>0.321386144396531</v>
      </c>
      <c r="Q1915" t="s">
        <v>1607</v>
      </c>
      <c r="T1915" s="15" t="s">
        <v>80</v>
      </c>
      <c r="W1915" s="16" t="str">
        <f t="shared" si="158"/>
        <v>EN_WON_32_c01_SAU</v>
      </c>
      <c r="X1915" s="12">
        <f t="shared" si="159"/>
        <v>1756</v>
      </c>
      <c r="Y1915" s="11">
        <f t="shared" si="160"/>
        <v>1756</v>
      </c>
    </row>
    <row r="1916" spans="2:25">
      <c r="B1916" t="s">
        <v>26</v>
      </c>
      <c r="C1916" t="s">
        <v>8148</v>
      </c>
      <c r="D1916" t="s">
        <v>8149</v>
      </c>
      <c r="E1916" t="s">
        <v>29</v>
      </c>
      <c r="F1916" t="s">
        <v>30</v>
      </c>
      <c r="G1916" t="s">
        <v>31</v>
      </c>
      <c r="J1916" t="s">
        <v>8148</v>
      </c>
      <c r="K1916" t="s">
        <v>1967</v>
      </c>
      <c r="L1916" t="s">
        <v>5555</v>
      </c>
      <c r="M1916" s="8">
        <v>20.019</v>
      </c>
      <c r="N1916">
        <v>80.7856561622413</v>
      </c>
      <c r="O1916">
        <v>1756</v>
      </c>
      <c r="P1916" s="9">
        <v>0.318990708826615</v>
      </c>
      <c r="Q1916" t="s">
        <v>1607</v>
      </c>
      <c r="T1916" s="15" t="s">
        <v>80</v>
      </c>
      <c r="W1916" s="16" t="str">
        <f t="shared" si="158"/>
        <v>EN_WON_32_c02_SAU</v>
      </c>
      <c r="X1916" s="12">
        <f t="shared" si="159"/>
        <v>1756</v>
      </c>
      <c r="Y1916" s="11">
        <f t="shared" si="160"/>
        <v>1756</v>
      </c>
    </row>
    <row r="1917" spans="2:25">
      <c r="B1917" t="s">
        <v>26</v>
      </c>
      <c r="C1917" t="s">
        <v>8150</v>
      </c>
      <c r="D1917" t="s">
        <v>8151</v>
      </c>
      <c r="E1917" t="s">
        <v>29</v>
      </c>
      <c r="F1917" t="s">
        <v>30</v>
      </c>
      <c r="G1917" t="s">
        <v>31</v>
      </c>
      <c r="J1917" t="s">
        <v>8150</v>
      </c>
      <c r="K1917" t="s">
        <v>1967</v>
      </c>
      <c r="L1917" t="s">
        <v>5555</v>
      </c>
      <c r="M1917" s="8">
        <v>83.124</v>
      </c>
      <c r="N1917">
        <v>0</v>
      </c>
      <c r="O1917">
        <v>1756</v>
      </c>
      <c r="P1917" s="9">
        <v>0.328137451277609</v>
      </c>
      <c r="Q1917" t="s">
        <v>1607</v>
      </c>
      <c r="T1917" s="15" t="s">
        <v>80</v>
      </c>
      <c r="W1917" s="16" t="str">
        <f t="shared" si="158"/>
        <v>EN_WON_33_c01_SAU</v>
      </c>
      <c r="X1917" s="12">
        <f t="shared" si="159"/>
        <v>1756</v>
      </c>
      <c r="Y1917" s="11">
        <f t="shared" si="160"/>
        <v>1756</v>
      </c>
    </row>
    <row r="1918" spans="2:25">
      <c r="B1918" t="s">
        <v>26</v>
      </c>
      <c r="C1918" t="s">
        <v>8152</v>
      </c>
      <c r="D1918" t="s">
        <v>8153</v>
      </c>
      <c r="E1918" t="s">
        <v>29</v>
      </c>
      <c r="F1918" t="s">
        <v>30</v>
      </c>
      <c r="G1918" t="s">
        <v>31</v>
      </c>
      <c r="J1918" t="s">
        <v>8152</v>
      </c>
      <c r="K1918" t="s">
        <v>1967</v>
      </c>
      <c r="L1918" t="s">
        <v>5555</v>
      </c>
      <c r="M1918" s="8">
        <v>23.457</v>
      </c>
      <c r="N1918">
        <v>80.7856561622413</v>
      </c>
      <c r="O1918">
        <v>1756</v>
      </c>
      <c r="P1918" s="9">
        <v>0.328510039647014</v>
      </c>
      <c r="Q1918" t="s">
        <v>1607</v>
      </c>
      <c r="T1918" s="15" t="s">
        <v>80</v>
      </c>
      <c r="W1918" s="16" t="str">
        <f t="shared" si="158"/>
        <v>EN_WON_33_c02_SAU</v>
      </c>
      <c r="X1918" s="12">
        <f t="shared" si="159"/>
        <v>1756</v>
      </c>
      <c r="Y1918" s="11">
        <f t="shared" si="160"/>
        <v>1756</v>
      </c>
    </row>
    <row r="1919" spans="2:25">
      <c r="B1919" t="s">
        <v>26</v>
      </c>
      <c r="C1919" t="s">
        <v>8154</v>
      </c>
      <c r="D1919" t="s">
        <v>8155</v>
      </c>
      <c r="E1919" t="s">
        <v>29</v>
      </c>
      <c r="F1919" t="s">
        <v>30</v>
      </c>
      <c r="G1919" t="s">
        <v>31</v>
      </c>
      <c r="J1919" t="s">
        <v>8154</v>
      </c>
      <c r="K1919" t="s">
        <v>1967</v>
      </c>
      <c r="L1919" t="s">
        <v>5555</v>
      </c>
      <c r="M1919" s="8">
        <v>61.974</v>
      </c>
      <c r="N1919">
        <v>0</v>
      </c>
      <c r="O1919">
        <v>1756</v>
      </c>
      <c r="P1919" s="9">
        <v>0.338890768709459</v>
      </c>
      <c r="Q1919" t="s">
        <v>1607</v>
      </c>
      <c r="T1919" s="15" t="s">
        <v>80</v>
      </c>
      <c r="W1919" s="16" t="str">
        <f t="shared" si="158"/>
        <v>EN_WON_34_c01_SAU</v>
      </c>
      <c r="X1919" s="12">
        <f t="shared" si="159"/>
        <v>1756</v>
      </c>
      <c r="Y1919" s="11">
        <f t="shared" si="160"/>
        <v>1756</v>
      </c>
    </row>
    <row r="1920" spans="2:25">
      <c r="B1920" t="s">
        <v>26</v>
      </c>
      <c r="C1920" t="s">
        <v>8156</v>
      </c>
      <c r="D1920" t="s">
        <v>8157</v>
      </c>
      <c r="E1920" t="s">
        <v>29</v>
      </c>
      <c r="F1920" t="s">
        <v>30</v>
      </c>
      <c r="G1920" t="s">
        <v>31</v>
      </c>
      <c r="J1920" t="s">
        <v>8156</v>
      </c>
      <c r="K1920" t="s">
        <v>1967</v>
      </c>
      <c r="L1920" t="s">
        <v>5555</v>
      </c>
      <c r="M1920" s="8">
        <v>11.50725</v>
      </c>
      <c r="N1920">
        <v>80.7856561622413</v>
      </c>
      <c r="O1920">
        <v>1756</v>
      </c>
      <c r="P1920" s="9">
        <v>0.343008277390341</v>
      </c>
      <c r="Q1920" t="s">
        <v>1607</v>
      </c>
      <c r="T1920" s="15" t="s">
        <v>80</v>
      </c>
      <c r="W1920" s="16" t="str">
        <f t="shared" si="158"/>
        <v>EN_WON_34_c02_SAU</v>
      </c>
      <c r="X1920" s="12">
        <f t="shared" si="159"/>
        <v>1756</v>
      </c>
      <c r="Y1920" s="11">
        <f t="shared" si="160"/>
        <v>1756</v>
      </c>
    </row>
    <row r="1921" spans="2:25">
      <c r="B1921" t="s">
        <v>26</v>
      </c>
      <c r="C1921" t="s">
        <v>8158</v>
      </c>
      <c r="D1921" t="s">
        <v>8159</v>
      </c>
      <c r="E1921" t="s">
        <v>29</v>
      </c>
      <c r="F1921" t="s">
        <v>30</v>
      </c>
      <c r="G1921" t="s">
        <v>31</v>
      </c>
      <c r="J1921" t="s">
        <v>8158</v>
      </c>
      <c r="K1921" t="s">
        <v>1967</v>
      </c>
      <c r="L1921" t="s">
        <v>5555</v>
      </c>
      <c r="M1921" s="8">
        <v>40.50975</v>
      </c>
      <c r="N1921">
        <v>0</v>
      </c>
      <c r="O1921">
        <v>1756</v>
      </c>
      <c r="P1921" s="9">
        <v>0.350722437191047</v>
      </c>
      <c r="Q1921" t="s">
        <v>1607</v>
      </c>
      <c r="T1921" s="15" t="s">
        <v>80</v>
      </c>
      <c r="W1921" s="16" t="str">
        <f t="shared" si="158"/>
        <v>EN_WON_35_c01_SAU</v>
      </c>
      <c r="X1921" s="12">
        <f t="shared" si="159"/>
        <v>1756</v>
      </c>
      <c r="Y1921" s="11">
        <f t="shared" si="160"/>
        <v>1756</v>
      </c>
    </row>
    <row r="1922" spans="2:25">
      <c r="B1922" t="s">
        <v>26</v>
      </c>
      <c r="C1922" t="s">
        <v>8160</v>
      </c>
      <c r="D1922" t="s">
        <v>8161</v>
      </c>
      <c r="E1922" t="s">
        <v>29</v>
      </c>
      <c r="F1922" t="s">
        <v>30</v>
      </c>
      <c r="G1922" t="s">
        <v>31</v>
      </c>
      <c r="J1922" t="s">
        <v>8160</v>
      </c>
      <c r="K1922" t="s">
        <v>1967</v>
      </c>
      <c r="L1922" t="s">
        <v>5555</v>
      </c>
      <c r="M1922" s="8">
        <v>10.4265</v>
      </c>
      <c r="N1922">
        <v>80.7856561622413</v>
      </c>
      <c r="O1922">
        <v>1756</v>
      </c>
      <c r="P1922" s="9">
        <v>0.348335779024601</v>
      </c>
      <c r="Q1922" t="s">
        <v>1607</v>
      </c>
      <c r="T1922" s="15" t="s">
        <v>80</v>
      </c>
      <c r="W1922" s="16" t="str">
        <f t="shared" si="158"/>
        <v>EN_WON_35_c02_SAU</v>
      </c>
      <c r="X1922" s="12">
        <f t="shared" si="159"/>
        <v>1756</v>
      </c>
      <c r="Y1922" s="11">
        <f t="shared" si="160"/>
        <v>1756</v>
      </c>
    </row>
    <row r="1923" spans="2:25">
      <c r="B1923" t="s">
        <v>26</v>
      </c>
      <c r="C1923" t="s">
        <v>8162</v>
      </c>
      <c r="D1923" t="s">
        <v>8163</v>
      </c>
      <c r="E1923" t="s">
        <v>29</v>
      </c>
      <c r="F1923" t="s">
        <v>30</v>
      </c>
      <c r="G1923" t="s">
        <v>31</v>
      </c>
      <c r="J1923" t="s">
        <v>8162</v>
      </c>
      <c r="K1923" t="s">
        <v>1967</v>
      </c>
      <c r="L1923" t="s">
        <v>5555</v>
      </c>
      <c r="M1923" s="8">
        <v>48.62175</v>
      </c>
      <c r="N1923">
        <v>0</v>
      </c>
      <c r="O1923">
        <v>1756</v>
      </c>
      <c r="P1923" s="9">
        <v>0.359277962023169</v>
      </c>
      <c r="Q1923" t="s">
        <v>1607</v>
      </c>
      <c r="T1923" s="15" t="s">
        <v>80</v>
      </c>
      <c r="W1923" s="16" t="str">
        <f t="shared" si="158"/>
        <v>EN_WON_36_c01_SAU</v>
      </c>
      <c r="X1923" s="12">
        <f t="shared" si="159"/>
        <v>1756</v>
      </c>
      <c r="Y1923" s="11">
        <f t="shared" si="160"/>
        <v>1756</v>
      </c>
    </row>
    <row r="1924" spans="2:25">
      <c r="B1924" t="s">
        <v>26</v>
      </c>
      <c r="C1924" t="s">
        <v>8164</v>
      </c>
      <c r="D1924" t="s">
        <v>8165</v>
      </c>
      <c r="E1924" t="s">
        <v>29</v>
      </c>
      <c r="F1924" t="s">
        <v>30</v>
      </c>
      <c r="G1924" t="s">
        <v>31</v>
      </c>
      <c r="J1924" t="s">
        <v>8164</v>
      </c>
      <c r="K1924" t="s">
        <v>1967</v>
      </c>
      <c r="L1924" t="s">
        <v>5555</v>
      </c>
      <c r="M1924" s="8">
        <v>11.05575</v>
      </c>
      <c r="N1924">
        <v>0</v>
      </c>
      <c r="O1924">
        <v>1756</v>
      </c>
      <c r="P1924" s="9">
        <v>0.36926952038532</v>
      </c>
      <c r="Q1924" t="s">
        <v>1607</v>
      </c>
      <c r="T1924" s="15" t="s">
        <v>80</v>
      </c>
      <c r="W1924" s="16" t="str">
        <f t="shared" si="158"/>
        <v>EN_WON_37_c01_SAU</v>
      </c>
      <c r="X1924" s="12">
        <f t="shared" si="159"/>
        <v>1756</v>
      </c>
      <c r="Y1924" s="11">
        <f t="shared" si="160"/>
        <v>1756</v>
      </c>
    </row>
    <row r="1925" spans="2:25">
      <c r="B1925" t="s">
        <v>26</v>
      </c>
      <c r="C1925" t="s">
        <v>8166</v>
      </c>
      <c r="D1925" t="s">
        <v>8167</v>
      </c>
      <c r="E1925" t="s">
        <v>29</v>
      </c>
      <c r="F1925" t="s">
        <v>30</v>
      </c>
      <c r="G1925" t="s">
        <v>31</v>
      </c>
      <c r="J1925" t="s">
        <v>8166</v>
      </c>
      <c r="K1925" t="s">
        <v>1967</v>
      </c>
      <c r="L1925" t="s">
        <v>5555</v>
      </c>
      <c r="M1925" s="8">
        <v>2.18025</v>
      </c>
      <c r="N1925">
        <v>105.747516212372</v>
      </c>
      <c r="O1925">
        <v>1756</v>
      </c>
      <c r="P1925" s="9">
        <v>0.372</v>
      </c>
      <c r="Q1925" t="s">
        <v>1607</v>
      </c>
      <c r="T1925" s="15" t="s">
        <v>80</v>
      </c>
      <c r="W1925" s="16" t="str">
        <f t="shared" si="158"/>
        <v>EN_WON_37_c03_SAU</v>
      </c>
      <c r="X1925" s="12">
        <f t="shared" si="159"/>
        <v>1756</v>
      </c>
      <c r="Y1925" s="11">
        <f t="shared" si="160"/>
        <v>1756</v>
      </c>
    </row>
    <row r="1926" spans="2:25">
      <c r="B1926" t="s">
        <v>26</v>
      </c>
      <c r="C1926" t="s">
        <v>8168</v>
      </c>
      <c r="D1926" t="s">
        <v>8169</v>
      </c>
      <c r="E1926" t="s">
        <v>29</v>
      </c>
      <c r="F1926" t="s">
        <v>30</v>
      </c>
      <c r="G1926" t="s">
        <v>31</v>
      </c>
      <c r="J1926" t="s">
        <v>8168</v>
      </c>
      <c r="K1926" t="s">
        <v>1967</v>
      </c>
      <c r="L1926" t="s">
        <v>5555</v>
      </c>
      <c r="M1926" s="8">
        <v>17.0325</v>
      </c>
      <c r="N1926">
        <v>0</v>
      </c>
      <c r="O1926">
        <v>1756</v>
      </c>
      <c r="P1926" s="9">
        <v>0.379967239101717</v>
      </c>
      <c r="Q1926" t="s">
        <v>1607</v>
      </c>
      <c r="T1926" s="15" t="s">
        <v>80</v>
      </c>
      <c r="W1926" s="16" t="str">
        <f t="shared" ref="W1926:W1989" si="161">J1926</f>
        <v>EN_WON_38_c01_SAU</v>
      </c>
      <c r="X1926" s="12">
        <f t="shared" ref="X1926:X1989" si="162">O1926</f>
        <v>1756</v>
      </c>
      <c r="Y1926" s="11">
        <f t="shared" ref="Y1926:Y1989" si="163">X1926</f>
        <v>1756</v>
      </c>
    </row>
    <row r="1927" spans="2:25">
      <c r="B1927" t="s">
        <v>26</v>
      </c>
      <c r="C1927" t="s">
        <v>8170</v>
      </c>
      <c r="D1927" t="s">
        <v>8171</v>
      </c>
      <c r="E1927" t="s">
        <v>29</v>
      </c>
      <c r="F1927" t="s">
        <v>30</v>
      </c>
      <c r="G1927" t="s">
        <v>31</v>
      </c>
      <c r="J1927" t="s">
        <v>8170</v>
      </c>
      <c r="K1927" t="s">
        <v>1967</v>
      </c>
      <c r="L1927" t="s">
        <v>5555</v>
      </c>
      <c r="M1927" s="8">
        <v>1.34175</v>
      </c>
      <c r="N1927">
        <v>0</v>
      </c>
      <c r="O1927">
        <v>1756</v>
      </c>
      <c r="P1927" s="9">
        <v>0.398</v>
      </c>
      <c r="Q1927" t="s">
        <v>1607</v>
      </c>
      <c r="T1927" s="15" t="s">
        <v>80</v>
      </c>
      <c r="W1927" s="16" t="str">
        <f t="shared" si="161"/>
        <v>EN_WON_40_c01_SAU</v>
      </c>
      <c r="X1927" s="12">
        <f t="shared" si="162"/>
        <v>1756</v>
      </c>
      <c r="Y1927" s="11">
        <f t="shared" si="163"/>
        <v>1756</v>
      </c>
    </row>
    <row r="1928" spans="2:25">
      <c r="B1928" t="s">
        <v>26</v>
      </c>
      <c r="C1928" t="s">
        <v>8172</v>
      </c>
      <c r="D1928" t="s">
        <v>8173</v>
      </c>
      <c r="E1928" t="s">
        <v>29</v>
      </c>
      <c r="F1928" t="s">
        <v>30</v>
      </c>
      <c r="G1928" t="s">
        <v>31</v>
      </c>
      <c r="J1928" t="s">
        <v>8172</v>
      </c>
      <c r="K1928" t="s">
        <v>1967</v>
      </c>
      <c r="L1928" t="s">
        <v>5555</v>
      </c>
      <c r="M1928" s="8">
        <v>3.144</v>
      </c>
      <c r="N1928">
        <v>80.7856561622413</v>
      </c>
      <c r="O1928">
        <v>1756</v>
      </c>
      <c r="P1928" s="9">
        <v>0.461</v>
      </c>
      <c r="Q1928" t="s">
        <v>1607</v>
      </c>
      <c r="T1928" s="15" t="s">
        <v>80</v>
      </c>
      <c r="W1928" s="16" t="str">
        <f t="shared" si="161"/>
        <v>EN_WON_46_c02_SAU</v>
      </c>
      <c r="X1928" s="12">
        <f t="shared" si="162"/>
        <v>1756</v>
      </c>
      <c r="Y1928" s="11">
        <f t="shared" si="163"/>
        <v>1756</v>
      </c>
    </row>
    <row r="1929" spans="2:25">
      <c r="B1929" t="s">
        <v>26</v>
      </c>
      <c r="C1929" t="s">
        <v>8174</v>
      </c>
      <c r="D1929" t="s">
        <v>8175</v>
      </c>
      <c r="E1929" t="s">
        <v>29</v>
      </c>
      <c r="F1929" t="s">
        <v>30</v>
      </c>
      <c r="G1929" t="s">
        <v>31</v>
      </c>
      <c r="J1929" t="s">
        <v>8174</v>
      </c>
      <c r="K1929" t="s">
        <v>1967</v>
      </c>
      <c r="L1929" t="s">
        <v>5555</v>
      </c>
      <c r="M1929" s="8">
        <v>0.0525</v>
      </c>
      <c r="N1929">
        <v>0</v>
      </c>
      <c r="O1929">
        <v>1756</v>
      </c>
      <c r="P1929" s="9">
        <v>0.522</v>
      </c>
      <c r="Q1929" t="s">
        <v>1607</v>
      </c>
      <c r="T1929" s="15" t="s">
        <v>80</v>
      </c>
      <c r="W1929" s="16" t="str">
        <f t="shared" si="161"/>
        <v>EN_WON_52_c01_SAU</v>
      </c>
      <c r="X1929" s="12">
        <f t="shared" si="162"/>
        <v>1756</v>
      </c>
      <c r="Y1929" s="11">
        <f t="shared" si="163"/>
        <v>1756</v>
      </c>
    </row>
    <row r="1930" spans="2:25">
      <c r="B1930" t="s">
        <v>26</v>
      </c>
      <c r="C1930" t="s">
        <v>8176</v>
      </c>
      <c r="D1930" t="s">
        <v>8177</v>
      </c>
      <c r="E1930" t="s">
        <v>29</v>
      </c>
      <c r="F1930" t="s">
        <v>30</v>
      </c>
      <c r="G1930" t="s">
        <v>31</v>
      </c>
      <c r="J1930" t="s">
        <v>8176</v>
      </c>
      <c r="K1930" t="s">
        <v>1967</v>
      </c>
      <c r="L1930" t="s">
        <v>5624</v>
      </c>
      <c r="M1930" s="8">
        <v>3.71325</v>
      </c>
      <c r="N1930">
        <v>0</v>
      </c>
      <c r="O1930">
        <v>1952</v>
      </c>
      <c r="P1930" s="9">
        <v>0.233</v>
      </c>
      <c r="Q1930" t="s">
        <v>1619</v>
      </c>
      <c r="T1930" s="15" t="s">
        <v>54</v>
      </c>
      <c r="W1930" s="16" t="str">
        <f t="shared" si="161"/>
        <v>EN_WON_23_c01_SEN</v>
      </c>
      <c r="X1930" s="12">
        <f t="shared" si="162"/>
        <v>1952</v>
      </c>
      <c r="Y1930" s="11">
        <f t="shared" si="163"/>
        <v>1952</v>
      </c>
    </row>
    <row r="1931" spans="2:25">
      <c r="B1931" t="s">
        <v>26</v>
      </c>
      <c r="C1931" t="s">
        <v>8178</v>
      </c>
      <c r="D1931" t="s">
        <v>8179</v>
      </c>
      <c r="E1931" t="s">
        <v>29</v>
      </c>
      <c r="F1931" t="s">
        <v>30</v>
      </c>
      <c r="G1931" t="s">
        <v>31</v>
      </c>
      <c r="J1931" t="s">
        <v>8178</v>
      </c>
      <c r="K1931" t="s">
        <v>1967</v>
      </c>
      <c r="L1931" t="s">
        <v>5624</v>
      </c>
      <c r="M1931" s="8">
        <v>9.75675</v>
      </c>
      <c r="N1931">
        <v>80.7856561622413</v>
      </c>
      <c r="O1931">
        <v>1952</v>
      </c>
      <c r="P1931" s="9">
        <v>0.22990275962795</v>
      </c>
      <c r="Q1931" t="s">
        <v>1619</v>
      </c>
      <c r="T1931" s="15" t="s">
        <v>54</v>
      </c>
      <c r="W1931" s="16" t="str">
        <f t="shared" si="161"/>
        <v>EN_WON_23_c02_SEN</v>
      </c>
      <c r="X1931" s="12">
        <f t="shared" si="162"/>
        <v>1952</v>
      </c>
      <c r="Y1931" s="11">
        <f t="shared" si="163"/>
        <v>1952</v>
      </c>
    </row>
    <row r="1932" spans="2:25">
      <c r="B1932" t="s">
        <v>26</v>
      </c>
      <c r="C1932" t="s">
        <v>8180</v>
      </c>
      <c r="D1932" t="s">
        <v>8181</v>
      </c>
      <c r="E1932" t="s">
        <v>29</v>
      </c>
      <c r="F1932" t="s">
        <v>30</v>
      </c>
      <c r="G1932" t="s">
        <v>31</v>
      </c>
      <c r="J1932" t="s">
        <v>8180</v>
      </c>
      <c r="K1932" t="s">
        <v>1967</v>
      </c>
      <c r="L1932" t="s">
        <v>5624</v>
      </c>
      <c r="M1932" s="8">
        <v>0.08625</v>
      </c>
      <c r="N1932">
        <v>0</v>
      </c>
      <c r="O1932">
        <v>1952</v>
      </c>
      <c r="P1932" s="9">
        <v>0.244</v>
      </c>
      <c r="Q1932" t="s">
        <v>1619</v>
      </c>
      <c r="T1932" s="15" t="s">
        <v>54</v>
      </c>
      <c r="W1932" s="16" t="str">
        <f t="shared" si="161"/>
        <v>EN_WON_24_c01_SEN</v>
      </c>
      <c r="X1932" s="12">
        <f t="shared" si="162"/>
        <v>1952</v>
      </c>
      <c r="Y1932" s="11">
        <f t="shared" si="163"/>
        <v>1952</v>
      </c>
    </row>
    <row r="1933" spans="2:25">
      <c r="B1933" t="s">
        <v>26</v>
      </c>
      <c r="C1933" t="s">
        <v>8182</v>
      </c>
      <c r="D1933" t="s">
        <v>8183</v>
      </c>
      <c r="E1933" t="s">
        <v>29</v>
      </c>
      <c r="F1933" t="s">
        <v>30</v>
      </c>
      <c r="G1933" t="s">
        <v>31</v>
      </c>
      <c r="J1933" t="s">
        <v>8182</v>
      </c>
      <c r="K1933" t="s">
        <v>1967</v>
      </c>
      <c r="L1933" t="s">
        <v>5624</v>
      </c>
      <c r="M1933" s="8">
        <v>11.37675</v>
      </c>
      <c r="N1933">
        <v>80.7856561622413</v>
      </c>
      <c r="O1933">
        <v>1952</v>
      </c>
      <c r="P1933" s="9">
        <v>0.240776781594041</v>
      </c>
      <c r="Q1933" t="s">
        <v>1619</v>
      </c>
      <c r="T1933" s="15" t="s">
        <v>54</v>
      </c>
      <c r="W1933" s="16" t="str">
        <f t="shared" si="161"/>
        <v>EN_WON_24_c02_SEN</v>
      </c>
      <c r="X1933" s="12">
        <f t="shared" si="162"/>
        <v>1952</v>
      </c>
      <c r="Y1933" s="11">
        <f t="shared" si="163"/>
        <v>1952</v>
      </c>
    </row>
    <row r="1934" spans="2:25">
      <c r="B1934" t="s">
        <v>26</v>
      </c>
      <c r="C1934" t="s">
        <v>8184</v>
      </c>
      <c r="D1934" t="s">
        <v>8185</v>
      </c>
      <c r="E1934" t="s">
        <v>29</v>
      </c>
      <c r="F1934" t="s">
        <v>30</v>
      </c>
      <c r="G1934" t="s">
        <v>31</v>
      </c>
      <c r="J1934" t="s">
        <v>8184</v>
      </c>
      <c r="K1934" t="s">
        <v>1967</v>
      </c>
      <c r="L1934" t="s">
        <v>5624</v>
      </c>
      <c r="M1934" s="8">
        <v>7.77375</v>
      </c>
      <c r="N1934">
        <v>80.7856561622413</v>
      </c>
      <c r="O1934">
        <v>1952</v>
      </c>
      <c r="P1934" s="9">
        <v>0.247514230583695</v>
      </c>
      <c r="Q1934" t="s">
        <v>1619</v>
      </c>
      <c r="T1934" s="15" t="s">
        <v>54</v>
      </c>
      <c r="W1934" s="16" t="str">
        <f t="shared" si="161"/>
        <v>EN_WON_25_c02_SEN</v>
      </c>
      <c r="X1934" s="12">
        <f t="shared" si="162"/>
        <v>1952</v>
      </c>
      <c r="Y1934" s="11">
        <f t="shared" si="163"/>
        <v>1952</v>
      </c>
    </row>
    <row r="1935" spans="2:25">
      <c r="B1935" t="s">
        <v>26</v>
      </c>
      <c r="C1935" t="s">
        <v>8186</v>
      </c>
      <c r="D1935" t="s">
        <v>8187</v>
      </c>
      <c r="E1935" t="s">
        <v>29</v>
      </c>
      <c r="F1935" t="s">
        <v>30</v>
      </c>
      <c r="G1935" t="s">
        <v>31</v>
      </c>
      <c r="J1935" t="s">
        <v>8186</v>
      </c>
      <c r="K1935" t="s">
        <v>1967</v>
      </c>
      <c r="L1935" t="s">
        <v>5624</v>
      </c>
      <c r="M1935" s="8">
        <v>0.37875</v>
      </c>
      <c r="N1935">
        <v>0</v>
      </c>
      <c r="O1935">
        <v>1952</v>
      </c>
      <c r="P1935" s="9">
        <v>0.264</v>
      </c>
      <c r="Q1935" t="s">
        <v>1619</v>
      </c>
      <c r="T1935" s="15" t="s">
        <v>54</v>
      </c>
      <c r="W1935" s="16" t="str">
        <f t="shared" si="161"/>
        <v>EN_WON_26_c01_SEN</v>
      </c>
      <c r="X1935" s="12">
        <f t="shared" si="162"/>
        <v>1952</v>
      </c>
      <c r="Y1935" s="11">
        <f t="shared" si="163"/>
        <v>1952</v>
      </c>
    </row>
    <row r="1936" spans="2:25">
      <c r="B1936" t="s">
        <v>26</v>
      </c>
      <c r="C1936" t="s">
        <v>8188</v>
      </c>
      <c r="D1936" t="s">
        <v>8189</v>
      </c>
      <c r="E1936" t="s">
        <v>29</v>
      </c>
      <c r="F1936" t="s">
        <v>30</v>
      </c>
      <c r="G1936" t="s">
        <v>31</v>
      </c>
      <c r="J1936" t="s">
        <v>8188</v>
      </c>
      <c r="K1936" t="s">
        <v>1967</v>
      </c>
      <c r="L1936" t="s">
        <v>5624</v>
      </c>
      <c r="M1936" s="8">
        <v>2.79225</v>
      </c>
      <c r="N1936">
        <v>80.7856561622413</v>
      </c>
      <c r="O1936">
        <v>1952</v>
      </c>
      <c r="P1936" s="9">
        <v>0.26</v>
      </c>
      <c r="Q1936" t="s">
        <v>1619</v>
      </c>
      <c r="T1936" s="15" t="s">
        <v>54</v>
      </c>
      <c r="W1936" s="16" t="str">
        <f t="shared" si="161"/>
        <v>EN_WON_26_c02_SEN</v>
      </c>
      <c r="X1936" s="12">
        <f t="shared" si="162"/>
        <v>1952</v>
      </c>
      <c r="Y1936" s="11">
        <f t="shared" si="163"/>
        <v>1952</v>
      </c>
    </row>
    <row r="1937" spans="2:25">
      <c r="B1937" t="s">
        <v>26</v>
      </c>
      <c r="C1937" t="s">
        <v>8190</v>
      </c>
      <c r="D1937" t="s">
        <v>8191</v>
      </c>
      <c r="E1937" t="s">
        <v>29</v>
      </c>
      <c r="F1937" t="s">
        <v>30</v>
      </c>
      <c r="G1937" t="s">
        <v>31</v>
      </c>
      <c r="J1937" t="s">
        <v>8190</v>
      </c>
      <c r="K1937" t="s">
        <v>1967</v>
      </c>
      <c r="L1937" t="s">
        <v>5624</v>
      </c>
      <c r="M1937" s="8">
        <v>3.057</v>
      </c>
      <c r="N1937">
        <v>80.7856561622413</v>
      </c>
      <c r="O1937">
        <v>1952</v>
      </c>
      <c r="P1937" s="9">
        <v>0.271</v>
      </c>
      <c r="Q1937" t="s">
        <v>1619</v>
      </c>
      <c r="T1937" s="15" t="s">
        <v>54</v>
      </c>
      <c r="W1937" s="16" t="str">
        <f t="shared" si="161"/>
        <v>EN_WON_27_c02_SEN</v>
      </c>
      <c r="X1937" s="12">
        <f t="shared" si="162"/>
        <v>1952</v>
      </c>
      <c r="Y1937" s="11">
        <f t="shared" si="163"/>
        <v>1952</v>
      </c>
    </row>
    <row r="1938" spans="2:25">
      <c r="B1938" t="s">
        <v>26</v>
      </c>
      <c r="C1938" t="s">
        <v>8192</v>
      </c>
      <c r="D1938" t="s">
        <v>8193</v>
      </c>
      <c r="E1938" t="s">
        <v>29</v>
      </c>
      <c r="F1938" t="s">
        <v>30</v>
      </c>
      <c r="G1938" t="s">
        <v>31</v>
      </c>
      <c r="J1938" t="s">
        <v>8192</v>
      </c>
      <c r="K1938" t="s">
        <v>1967</v>
      </c>
      <c r="L1938" t="s">
        <v>5624</v>
      </c>
      <c r="M1938" s="8">
        <v>3.50175</v>
      </c>
      <c r="N1938">
        <v>0</v>
      </c>
      <c r="O1938">
        <v>1952</v>
      </c>
      <c r="P1938" s="9">
        <v>0.283376311844078</v>
      </c>
      <c r="Q1938" t="s">
        <v>1619</v>
      </c>
      <c r="T1938" s="15" t="s">
        <v>54</v>
      </c>
      <c r="W1938" s="16" t="str">
        <f t="shared" si="161"/>
        <v>EN_WON_28_c01_SEN</v>
      </c>
      <c r="X1938" s="12">
        <f t="shared" si="162"/>
        <v>1952</v>
      </c>
      <c r="Y1938" s="11">
        <f t="shared" si="163"/>
        <v>1952</v>
      </c>
    </row>
    <row r="1939" spans="2:25">
      <c r="B1939" t="s">
        <v>26</v>
      </c>
      <c r="C1939" t="s">
        <v>8194</v>
      </c>
      <c r="D1939" t="s">
        <v>8195</v>
      </c>
      <c r="E1939" t="s">
        <v>29</v>
      </c>
      <c r="F1939" t="s">
        <v>30</v>
      </c>
      <c r="G1939" t="s">
        <v>31</v>
      </c>
      <c r="J1939" t="s">
        <v>8194</v>
      </c>
      <c r="K1939" t="s">
        <v>1967</v>
      </c>
      <c r="L1939" t="s">
        <v>8196</v>
      </c>
      <c r="M1939" s="8">
        <v>0.0105</v>
      </c>
      <c r="N1939">
        <v>105.747516212372</v>
      </c>
      <c r="O1939">
        <v>1952</v>
      </c>
      <c r="P1939" s="9">
        <v>0.151857142857143</v>
      </c>
      <c r="Q1939" t="s">
        <v>1625</v>
      </c>
      <c r="T1939" s="15" t="s">
        <v>54</v>
      </c>
      <c r="W1939" s="16" t="str">
        <f t="shared" si="161"/>
        <v>EN_WON_15_c03_SLE</v>
      </c>
      <c r="X1939" s="12">
        <f t="shared" si="162"/>
        <v>1952</v>
      </c>
      <c r="Y1939" s="11">
        <f t="shared" si="163"/>
        <v>1952</v>
      </c>
    </row>
    <row r="1940" spans="2:25">
      <c r="B1940" t="s">
        <v>26</v>
      </c>
      <c r="C1940" t="s">
        <v>8197</v>
      </c>
      <c r="D1940" t="s">
        <v>8198</v>
      </c>
      <c r="E1940" t="s">
        <v>29</v>
      </c>
      <c r="F1940" t="s">
        <v>30</v>
      </c>
      <c r="G1940" t="s">
        <v>31</v>
      </c>
      <c r="J1940" t="s">
        <v>8197</v>
      </c>
      <c r="K1940" t="s">
        <v>1967</v>
      </c>
      <c r="L1940" t="s">
        <v>8196</v>
      </c>
      <c r="M1940" s="8">
        <v>0.1935</v>
      </c>
      <c r="N1940">
        <v>105.747516212372</v>
      </c>
      <c r="O1940">
        <v>1952</v>
      </c>
      <c r="P1940" s="9">
        <v>0.17</v>
      </c>
      <c r="Q1940" t="s">
        <v>1625</v>
      </c>
      <c r="T1940" s="15" t="s">
        <v>54</v>
      </c>
      <c r="W1940" s="16" t="str">
        <f t="shared" si="161"/>
        <v>EN_WON_17_c03_SLE</v>
      </c>
      <c r="X1940" s="12">
        <f t="shared" si="162"/>
        <v>1952</v>
      </c>
      <c r="Y1940" s="11">
        <f t="shared" si="163"/>
        <v>1952</v>
      </c>
    </row>
    <row r="1941" spans="2:25">
      <c r="B1941" t="s">
        <v>26</v>
      </c>
      <c r="C1941" t="s">
        <v>8199</v>
      </c>
      <c r="D1941" t="s">
        <v>8200</v>
      </c>
      <c r="E1941" t="s">
        <v>29</v>
      </c>
      <c r="F1941" t="s">
        <v>30</v>
      </c>
      <c r="G1941" t="s">
        <v>31</v>
      </c>
      <c r="J1941" t="s">
        <v>8199</v>
      </c>
      <c r="K1941" t="s">
        <v>1967</v>
      </c>
      <c r="L1941" t="s">
        <v>8201</v>
      </c>
      <c r="M1941" s="8">
        <v>4.28775</v>
      </c>
      <c r="N1941">
        <v>145.23264029167</v>
      </c>
      <c r="O1941">
        <v>1769</v>
      </c>
      <c r="P1941" s="9">
        <v>0.168866013643519</v>
      </c>
      <c r="Q1941" t="s">
        <v>1635</v>
      </c>
      <c r="T1941" s="15" t="s">
        <v>89</v>
      </c>
      <c r="W1941" s="16" t="str">
        <f t="shared" si="161"/>
        <v>EN_WON_17_c04_SLV</v>
      </c>
      <c r="X1941" s="12">
        <f t="shared" si="162"/>
        <v>1769</v>
      </c>
      <c r="Y1941" s="11">
        <f t="shared" si="163"/>
        <v>1769</v>
      </c>
    </row>
    <row r="1942" spans="2:25">
      <c r="B1942" t="s">
        <v>26</v>
      </c>
      <c r="C1942" t="s">
        <v>8202</v>
      </c>
      <c r="D1942" t="s">
        <v>8203</v>
      </c>
      <c r="E1942" t="s">
        <v>29</v>
      </c>
      <c r="F1942" t="s">
        <v>30</v>
      </c>
      <c r="G1942" t="s">
        <v>31</v>
      </c>
      <c r="J1942" t="s">
        <v>8202</v>
      </c>
      <c r="K1942" t="s">
        <v>1967</v>
      </c>
      <c r="L1942" t="s">
        <v>8201</v>
      </c>
      <c r="M1942" s="8">
        <v>5.424</v>
      </c>
      <c r="N1942">
        <v>145.23264029167</v>
      </c>
      <c r="O1942">
        <v>1769</v>
      </c>
      <c r="P1942" s="9">
        <v>0.176368086283186</v>
      </c>
      <c r="Q1942" t="s">
        <v>1635</v>
      </c>
      <c r="T1942" s="15" t="s">
        <v>89</v>
      </c>
      <c r="W1942" s="16" t="str">
        <f t="shared" si="161"/>
        <v>EN_WON_18_c04_SLV</v>
      </c>
      <c r="X1942" s="12">
        <f t="shared" si="162"/>
        <v>1769</v>
      </c>
      <c r="Y1942" s="11">
        <f t="shared" si="163"/>
        <v>1769</v>
      </c>
    </row>
    <row r="1943" spans="2:25">
      <c r="B1943" t="s">
        <v>26</v>
      </c>
      <c r="C1943" t="s">
        <v>8204</v>
      </c>
      <c r="D1943" t="s">
        <v>8205</v>
      </c>
      <c r="E1943" t="s">
        <v>29</v>
      </c>
      <c r="F1943" t="s">
        <v>30</v>
      </c>
      <c r="G1943" t="s">
        <v>31</v>
      </c>
      <c r="J1943" t="s">
        <v>8204</v>
      </c>
      <c r="K1943" t="s">
        <v>1967</v>
      </c>
      <c r="L1943" t="s">
        <v>8201</v>
      </c>
      <c r="M1943" s="8">
        <v>4.5885</v>
      </c>
      <c r="N1943">
        <v>145.23264029167</v>
      </c>
      <c r="O1943">
        <v>1769</v>
      </c>
      <c r="P1943" s="9">
        <v>0.19</v>
      </c>
      <c r="Q1943" t="s">
        <v>1635</v>
      </c>
      <c r="T1943" s="15" t="s">
        <v>89</v>
      </c>
      <c r="W1943" s="16" t="str">
        <f t="shared" si="161"/>
        <v>EN_WON_19_c04_SLV</v>
      </c>
      <c r="X1943" s="12">
        <f t="shared" si="162"/>
        <v>1769</v>
      </c>
      <c r="Y1943" s="11">
        <f t="shared" si="163"/>
        <v>1769</v>
      </c>
    </row>
    <row r="1944" spans="2:25">
      <c r="B1944" t="s">
        <v>26</v>
      </c>
      <c r="C1944" t="s">
        <v>8206</v>
      </c>
      <c r="D1944" t="s">
        <v>8207</v>
      </c>
      <c r="E1944" t="s">
        <v>29</v>
      </c>
      <c r="F1944" t="s">
        <v>30</v>
      </c>
      <c r="G1944" t="s">
        <v>31</v>
      </c>
      <c r="J1944" t="s">
        <v>8206</v>
      </c>
      <c r="K1944" t="s">
        <v>1967</v>
      </c>
      <c r="L1944" t="s">
        <v>5645</v>
      </c>
      <c r="M1944" s="8">
        <v>4.728</v>
      </c>
      <c r="N1944">
        <v>0</v>
      </c>
      <c r="O1944">
        <v>1952</v>
      </c>
      <c r="P1944" s="9">
        <v>0.469139276649746</v>
      </c>
      <c r="Q1944" t="s">
        <v>1639</v>
      </c>
      <c r="T1944" s="15" t="s">
        <v>54</v>
      </c>
      <c r="W1944" s="16" t="str">
        <f t="shared" si="161"/>
        <v>EN_WON_47_c01_SOM</v>
      </c>
      <c r="X1944" s="12">
        <f t="shared" si="162"/>
        <v>1952</v>
      </c>
      <c r="Y1944" s="11">
        <f t="shared" si="163"/>
        <v>1952</v>
      </c>
    </row>
    <row r="1945" spans="2:25">
      <c r="B1945" t="s">
        <v>26</v>
      </c>
      <c r="C1945" t="s">
        <v>8208</v>
      </c>
      <c r="D1945" t="s">
        <v>8209</v>
      </c>
      <c r="E1945" t="s">
        <v>29</v>
      </c>
      <c r="F1945" t="s">
        <v>30</v>
      </c>
      <c r="G1945" t="s">
        <v>31</v>
      </c>
      <c r="J1945" t="s">
        <v>8208</v>
      </c>
      <c r="K1945" t="s">
        <v>1967</v>
      </c>
      <c r="L1945" t="s">
        <v>5645</v>
      </c>
      <c r="M1945" s="8">
        <v>1.11075</v>
      </c>
      <c r="N1945">
        <v>145.23264029167</v>
      </c>
      <c r="O1945">
        <v>1952</v>
      </c>
      <c r="P1945" s="9">
        <v>0.481</v>
      </c>
      <c r="Q1945" t="s">
        <v>1639</v>
      </c>
      <c r="T1945" s="15" t="s">
        <v>54</v>
      </c>
      <c r="W1945" s="16" t="str">
        <f t="shared" si="161"/>
        <v>EN_WON_48_c04_SOM</v>
      </c>
      <c r="X1945" s="12">
        <f t="shared" si="162"/>
        <v>1952</v>
      </c>
      <c r="Y1945" s="11">
        <f t="shared" si="163"/>
        <v>1952</v>
      </c>
    </row>
    <row r="1946" spans="2:25">
      <c r="B1946" t="s">
        <v>26</v>
      </c>
      <c r="C1946" t="s">
        <v>8210</v>
      </c>
      <c r="D1946" t="s">
        <v>8211</v>
      </c>
      <c r="E1946" t="s">
        <v>29</v>
      </c>
      <c r="F1946" t="s">
        <v>30</v>
      </c>
      <c r="G1946" t="s">
        <v>31</v>
      </c>
      <c r="J1946" t="s">
        <v>8210</v>
      </c>
      <c r="K1946" t="s">
        <v>1967</v>
      </c>
      <c r="L1946" t="s">
        <v>5645</v>
      </c>
      <c r="M1946" s="8">
        <v>3.6375</v>
      </c>
      <c r="N1946">
        <v>0</v>
      </c>
      <c r="O1946">
        <v>1952</v>
      </c>
      <c r="P1946" s="9">
        <v>0.488637113402062</v>
      </c>
      <c r="Q1946" t="s">
        <v>1639</v>
      </c>
      <c r="T1946" s="15" t="s">
        <v>54</v>
      </c>
      <c r="W1946" s="16" t="str">
        <f t="shared" si="161"/>
        <v>EN_WON_49_c01_SOM</v>
      </c>
      <c r="X1946" s="12">
        <f t="shared" si="162"/>
        <v>1952</v>
      </c>
      <c r="Y1946" s="11">
        <f t="shared" si="163"/>
        <v>1952</v>
      </c>
    </row>
    <row r="1947" spans="2:25">
      <c r="B1947" t="s">
        <v>26</v>
      </c>
      <c r="C1947" t="s">
        <v>8212</v>
      </c>
      <c r="D1947" t="s">
        <v>8213</v>
      </c>
      <c r="E1947" t="s">
        <v>29</v>
      </c>
      <c r="F1947" t="s">
        <v>30</v>
      </c>
      <c r="G1947" t="s">
        <v>31</v>
      </c>
      <c r="J1947" t="s">
        <v>8212</v>
      </c>
      <c r="K1947" t="s">
        <v>1967</v>
      </c>
      <c r="L1947" t="s">
        <v>5645</v>
      </c>
      <c r="M1947" s="8">
        <v>2.50425</v>
      </c>
      <c r="N1947">
        <v>145.23264029167</v>
      </c>
      <c r="O1947">
        <v>1952</v>
      </c>
      <c r="P1947" s="9">
        <v>0.488100628930818</v>
      </c>
      <c r="Q1947" t="s">
        <v>1639</v>
      </c>
      <c r="T1947" s="15" t="s">
        <v>54</v>
      </c>
      <c r="W1947" s="16" t="str">
        <f t="shared" si="161"/>
        <v>EN_WON_49_c04_SOM</v>
      </c>
      <c r="X1947" s="12">
        <f t="shared" si="162"/>
        <v>1952</v>
      </c>
      <c r="Y1947" s="11">
        <f t="shared" si="163"/>
        <v>1952</v>
      </c>
    </row>
    <row r="1948" spans="2:25">
      <c r="B1948" t="s">
        <v>26</v>
      </c>
      <c r="C1948" t="s">
        <v>8214</v>
      </c>
      <c r="D1948" t="s">
        <v>8215</v>
      </c>
      <c r="E1948" t="s">
        <v>29</v>
      </c>
      <c r="F1948" t="s">
        <v>30</v>
      </c>
      <c r="G1948" t="s">
        <v>31</v>
      </c>
      <c r="J1948" t="s">
        <v>8214</v>
      </c>
      <c r="K1948" t="s">
        <v>1967</v>
      </c>
      <c r="L1948" t="s">
        <v>5645</v>
      </c>
      <c r="M1948" s="8">
        <v>0.225</v>
      </c>
      <c r="N1948">
        <v>145.23264029167</v>
      </c>
      <c r="O1948">
        <v>1952</v>
      </c>
      <c r="P1948" s="9">
        <v>0.506916666666667</v>
      </c>
      <c r="Q1948" t="s">
        <v>1639</v>
      </c>
      <c r="T1948" s="15" t="s">
        <v>54</v>
      </c>
      <c r="W1948" s="16" t="str">
        <f t="shared" si="161"/>
        <v>EN_WON_51_c04_SOM</v>
      </c>
      <c r="X1948" s="12">
        <f t="shared" si="162"/>
        <v>1952</v>
      </c>
      <c r="Y1948" s="11">
        <f t="shared" si="163"/>
        <v>1952</v>
      </c>
    </row>
    <row r="1949" spans="2:25">
      <c r="B1949" t="s">
        <v>26</v>
      </c>
      <c r="C1949" t="s">
        <v>8216</v>
      </c>
      <c r="D1949" t="s">
        <v>8217</v>
      </c>
      <c r="E1949" t="s">
        <v>29</v>
      </c>
      <c r="F1949" t="s">
        <v>30</v>
      </c>
      <c r="G1949" t="s">
        <v>31</v>
      </c>
      <c r="J1949" t="s">
        <v>8216</v>
      </c>
      <c r="K1949" t="s">
        <v>1967</v>
      </c>
      <c r="L1949" t="s">
        <v>5645</v>
      </c>
      <c r="M1949" s="8">
        <v>0.018</v>
      </c>
      <c r="N1949">
        <v>0</v>
      </c>
      <c r="O1949">
        <v>1952</v>
      </c>
      <c r="P1949" s="9">
        <v>0.536</v>
      </c>
      <c r="Q1949" t="s">
        <v>1639</v>
      </c>
      <c r="T1949" s="15" t="s">
        <v>54</v>
      </c>
      <c r="W1949" s="16" t="str">
        <f t="shared" si="161"/>
        <v>EN_WON_54_c01_SOM</v>
      </c>
      <c r="X1949" s="12">
        <f t="shared" si="162"/>
        <v>1952</v>
      </c>
      <c r="Y1949" s="11">
        <f t="shared" si="163"/>
        <v>1952</v>
      </c>
    </row>
    <row r="1950" spans="2:25">
      <c r="B1950" t="s">
        <v>26</v>
      </c>
      <c r="C1950" t="s">
        <v>8218</v>
      </c>
      <c r="D1950" t="s">
        <v>8219</v>
      </c>
      <c r="E1950" t="s">
        <v>29</v>
      </c>
      <c r="F1950" t="s">
        <v>30</v>
      </c>
      <c r="G1950" t="s">
        <v>31</v>
      </c>
      <c r="J1950" t="s">
        <v>8218</v>
      </c>
      <c r="K1950" t="s">
        <v>1967</v>
      </c>
      <c r="L1950" t="s">
        <v>8220</v>
      </c>
      <c r="M1950" s="8">
        <v>5.25</v>
      </c>
      <c r="N1950">
        <v>0</v>
      </c>
      <c r="O1950">
        <v>2104</v>
      </c>
      <c r="P1950" s="9">
        <v>0.220587142857143</v>
      </c>
      <c r="Q1950" t="s">
        <v>1643</v>
      </c>
      <c r="T1950" s="15" t="s">
        <v>69</v>
      </c>
      <c r="W1950" s="16" t="str">
        <f t="shared" si="161"/>
        <v>EN_WON_22_c01_SRB</v>
      </c>
      <c r="X1950" s="12">
        <f t="shared" si="162"/>
        <v>2104</v>
      </c>
      <c r="Y1950" s="11">
        <f t="shared" si="163"/>
        <v>2104</v>
      </c>
    </row>
    <row r="1951" spans="2:25">
      <c r="B1951" t="s">
        <v>26</v>
      </c>
      <c r="C1951" t="s">
        <v>8221</v>
      </c>
      <c r="D1951" t="s">
        <v>8222</v>
      </c>
      <c r="E1951" t="s">
        <v>29</v>
      </c>
      <c r="F1951" t="s">
        <v>30</v>
      </c>
      <c r="G1951" t="s">
        <v>31</v>
      </c>
      <c r="J1951" t="s">
        <v>8221</v>
      </c>
      <c r="K1951" t="s">
        <v>1967</v>
      </c>
      <c r="L1951" t="s">
        <v>8220</v>
      </c>
      <c r="M1951" s="8">
        <v>0.22725</v>
      </c>
      <c r="N1951">
        <v>105.747516212372</v>
      </c>
      <c r="O1951">
        <v>2104</v>
      </c>
      <c r="P1951" s="9">
        <v>0.220782178217822</v>
      </c>
      <c r="Q1951" t="s">
        <v>1643</v>
      </c>
      <c r="T1951" s="15" t="s">
        <v>69</v>
      </c>
      <c r="W1951" s="16" t="str">
        <f t="shared" si="161"/>
        <v>EN_WON_22_c03_SRB</v>
      </c>
      <c r="X1951" s="12">
        <f t="shared" si="162"/>
        <v>2104</v>
      </c>
      <c r="Y1951" s="11">
        <f t="shared" si="163"/>
        <v>2104</v>
      </c>
    </row>
    <row r="1952" spans="2:25">
      <c r="B1952" t="s">
        <v>26</v>
      </c>
      <c r="C1952" t="s">
        <v>8223</v>
      </c>
      <c r="D1952" t="s">
        <v>8224</v>
      </c>
      <c r="E1952" t="s">
        <v>29</v>
      </c>
      <c r="F1952" t="s">
        <v>30</v>
      </c>
      <c r="G1952" t="s">
        <v>31</v>
      </c>
      <c r="J1952" t="s">
        <v>8223</v>
      </c>
      <c r="K1952" t="s">
        <v>1967</v>
      </c>
      <c r="L1952" t="s">
        <v>8220</v>
      </c>
      <c r="M1952" s="8">
        <v>7.6665</v>
      </c>
      <c r="N1952">
        <v>0</v>
      </c>
      <c r="O1952">
        <v>2104</v>
      </c>
      <c r="P1952" s="9">
        <v>0.2288488554099</v>
      </c>
      <c r="Q1952" t="s">
        <v>1643</v>
      </c>
      <c r="T1952" s="15" t="s">
        <v>69</v>
      </c>
      <c r="W1952" s="16" t="str">
        <f t="shared" si="161"/>
        <v>EN_WON_23_c01_SRB</v>
      </c>
      <c r="X1952" s="12">
        <f t="shared" si="162"/>
        <v>2104</v>
      </c>
      <c r="Y1952" s="11">
        <f t="shared" si="163"/>
        <v>2104</v>
      </c>
    </row>
    <row r="1953" spans="2:25">
      <c r="B1953" t="s">
        <v>26</v>
      </c>
      <c r="C1953" t="s">
        <v>8225</v>
      </c>
      <c r="D1953" t="s">
        <v>8226</v>
      </c>
      <c r="E1953" t="s">
        <v>29</v>
      </c>
      <c r="F1953" t="s">
        <v>30</v>
      </c>
      <c r="G1953" t="s">
        <v>31</v>
      </c>
      <c r="J1953" t="s">
        <v>8225</v>
      </c>
      <c r="K1953" t="s">
        <v>1967</v>
      </c>
      <c r="L1953" t="s">
        <v>8220</v>
      </c>
      <c r="M1953" s="8">
        <v>0.066</v>
      </c>
      <c r="N1953">
        <v>80.7856561622413</v>
      </c>
      <c r="O1953">
        <v>2104</v>
      </c>
      <c r="P1953" s="9">
        <v>0.229</v>
      </c>
      <c r="Q1953" t="s">
        <v>1643</v>
      </c>
      <c r="T1953" s="15" t="s">
        <v>69</v>
      </c>
      <c r="W1953" s="16" t="str">
        <f t="shared" si="161"/>
        <v>EN_WON_23_c02_SRB</v>
      </c>
      <c r="X1953" s="12">
        <f t="shared" si="162"/>
        <v>2104</v>
      </c>
      <c r="Y1953" s="11">
        <f t="shared" si="163"/>
        <v>2104</v>
      </c>
    </row>
    <row r="1954" spans="2:25">
      <c r="B1954" t="s">
        <v>26</v>
      </c>
      <c r="C1954" t="s">
        <v>8227</v>
      </c>
      <c r="D1954" t="s">
        <v>8228</v>
      </c>
      <c r="E1954" t="s">
        <v>29</v>
      </c>
      <c r="F1954" t="s">
        <v>30</v>
      </c>
      <c r="G1954" t="s">
        <v>31</v>
      </c>
      <c r="J1954" t="s">
        <v>8227</v>
      </c>
      <c r="K1954" t="s">
        <v>1967</v>
      </c>
      <c r="L1954" t="s">
        <v>8220</v>
      </c>
      <c r="M1954" s="8">
        <v>0.6075</v>
      </c>
      <c r="N1954">
        <v>105.747516212372</v>
      </c>
      <c r="O1954">
        <v>2104</v>
      </c>
      <c r="P1954" s="9">
        <v>0.228812345679012</v>
      </c>
      <c r="Q1954" t="s">
        <v>1643</v>
      </c>
      <c r="T1954" s="15" t="s">
        <v>69</v>
      </c>
      <c r="W1954" s="16" t="str">
        <f t="shared" si="161"/>
        <v>EN_WON_23_c03_SRB</v>
      </c>
      <c r="X1954" s="12">
        <f t="shared" si="162"/>
        <v>2104</v>
      </c>
      <c r="Y1954" s="11">
        <f t="shared" si="163"/>
        <v>2104</v>
      </c>
    </row>
    <row r="1955" spans="2:25">
      <c r="B1955" t="s">
        <v>26</v>
      </c>
      <c r="C1955" t="s">
        <v>8229</v>
      </c>
      <c r="D1955" t="s">
        <v>8230</v>
      </c>
      <c r="E1955" t="s">
        <v>29</v>
      </c>
      <c r="F1955" t="s">
        <v>30</v>
      </c>
      <c r="G1955" t="s">
        <v>31</v>
      </c>
      <c r="J1955" t="s">
        <v>8229</v>
      </c>
      <c r="K1955" t="s">
        <v>1967</v>
      </c>
      <c r="L1955" t="s">
        <v>8220</v>
      </c>
      <c r="M1955" s="8">
        <v>10.08975</v>
      </c>
      <c r="N1955">
        <v>0</v>
      </c>
      <c r="O1955">
        <v>2104</v>
      </c>
      <c r="P1955" s="9">
        <v>0.237873411135063</v>
      </c>
      <c r="Q1955" t="s">
        <v>1643</v>
      </c>
      <c r="T1955" s="15" t="s">
        <v>69</v>
      </c>
      <c r="W1955" s="16" t="str">
        <f t="shared" si="161"/>
        <v>EN_WON_24_c01_SRB</v>
      </c>
      <c r="X1955" s="12">
        <f t="shared" si="162"/>
        <v>2104</v>
      </c>
      <c r="Y1955" s="11">
        <f t="shared" si="163"/>
        <v>2104</v>
      </c>
    </row>
    <row r="1956" spans="2:25">
      <c r="B1956" t="s">
        <v>26</v>
      </c>
      <c r="C1956" t="s">
        <v>8231</v>
      </c>
      <c r="D1956" t="s">
        <v>8232</v>
      </c>
      <c r="E1956" t="s">
        <v>29</v>
      </c>
      <c r="F1956" t="s">
        <v>30</v>
      </c>
      <c r="G1956" t="s">
        <v>31</v>
      </c>
      <c r="J1956" t="s">
        <v>8231</v>
      </c>
      <c r="K1956" t="s">
        <v>1967</v>
      </c>
      <c r="L1956" t="s">
        <v>8220</v>
      </c>
      <c r="M1956" s="8">
        <v>0.1935</v>
      </c>
      <c r="N1956">
        <v>105.747516212372</v>
      </c>
      <c r="O1956">
        <v>2104</v>
      </c>
      <c r="P1956" s="9">
        <v>0.241</v>
      </c>
      <c r="Q1956" t="s">
        <v>1643</v>
      </c>
      <c r="T1956" s="15" t="s">
        <v>69</v>
      </c>
      <c r="W1956" s="16" t="str">
        <f t="shared" si="161"/>
        <v>EN_WON_24_c03_SRB</v>
      </c>
      <c r="X1956" s="12">
        <f t="shared" si="162"/>
        <v>2104</v>
      </c>
      <c r="Y1956" s="11">
        <f t="shared" si="163"/>
        <v>2104</v>
      </c>
    </row>
    <row r="1957" spans="2:25">
      <c r="B1957" t="s">
        <v>26</v>
      </c>
      <c r="C1957" t="s">
        <v>8233</v>
      </c>
      <c r="D1957" t="s">
        <v>8234</v>
      </c>
      <c r="E1957" t="s">
        <v>29</v>
      </c>
      <c r="F1957" t="s">
        <v>30</v>
      </c>
      <c r="G1957" t="s">
        <v>31</v>
      </c>
      <c r="J1957" t="s">
        <v>8233</v>
      </c>
      <c r="K1957" t="s">
        <v>1967</v>
      </c>
      <c r="L1957" t="s">
        <v>8220</v>
      </c>
      <c r="M1957" s="8">
        <v>4.389</v>
      </c>
      <c r="N1957">
        <v>0</v>
      </c>
      <c r="O1957">
        <v>2104</v>
      </c>
      <c r="P1957" s="9">
        <v>0.249706596035543</v>
      </c>
      <c r="Q1957" t="s">
        <v>1643</v>
      </c>
      <c r="T1957" s="15" t="s">
        <v>69</v>
      </c>
      <c r="W1957" s="16" t="str">
        <f t="shared" si="161"/>
        <v>EN_WON_25_c01_SRB</v>
      </c>
      <c r="X1957" s="12">
        <f t="shared" si="162"/>
        <v>2104</v>
      </c>
      <c r="Y1957" s="11">
        <f t="shared" si="163"/>
        <v>2104</v>
      </c>
    </row>
    <row r="1958" spans="2:25">
      <c r="B1958" t="s">
        <v>26</v>
      </c>
      <c r="C1958" t="s">
        <v>8235</v>
      </c>
      <c r="D1958" t="s">
        <v>8236</v>
      </c>
      <c r="E1958" t="s">
        <v>29</v>
      </c>
      <c r="F1958" t="s">
        <v>30</v>
      </c>
      <c r="G1958" t="s">
        <v>31</v>
      </c>
      <c r="J1958" t="s">
        <v>8235</v>
      </c>
      <c r="K1958" t="s">
        <v>1967</v>
      </c>
      <c r="L1958" t="s">
        <v>8220</v>
      </c>
      <c r="M1958" s="8">
        <v>1.4445</v>
      </c>
      <c r="N1958">
        <v>0</v>
      </c>
      <c r="O1958">
        <v>2104</v>
      </c>
      <c r="P1958" s="9">
        <v>0.256</v>
      </c>
      <c r="Q1958" t="s">
        <v>1643</v>
      </c>
      <c r="T1958" s="15" t="s">
        <v>69</v>
      </c>
      <c r="W1958" s="16" t="str">
        <f t="shared" si="161"/>
        <v>EN_WON_26_c01_SRB</v>
      </c>
      <c r="X1958" s="12">
        <f t="shared" si="162"/>
        <v>2104</v>
      </c>
      <c r="Y1958" s="11">
        <f t="shared" si="163"/>
        <v>2104</v>
      </c>
    </row>
    <row r="1959" spans="2:25">
      <c r="B1959" t="s">
        <v>26</v>
      </c>
      <c r="C1959" t="s">
        <v>8237</v>
      </c>
      <c r="D1959" t="s">
        <v>8238</v>
      </c>
      <c r="E1959" t="s">
        <v>29</v>
      </c>
      <c r="F1959" t="s">
        <v>30</v>
      </c>
      <c r="G1959" t="s">
        <v>31</v>
      </c>
      <c r="J1959" t="s">
        <v>8237</v>
      </c>
      <c r="K1959" t="s">
        <v>1967</v>
      </c>
      <c r="L1959" t="s">
        <v>8220</v>
      </c>
      <c r="M1959" s="8">
        <v>0.40425</v>
      </c>
      <c r="N1959">
        <v>80.7856561622413</v>
      </c>
      <c r="O1959">
        <v>2104</v>
      </c>
      <c r="P1959" s="9">
        <v>0.258</v>
      </c>
      <c r="Q1959" t="s">
        <v>1643</v>
      </c>
      <c r="T1959" s="15" t="s">
        <v>69</v>
      </c>
      <c r="W1959" s="16" t="str">
        <f t="shared" si="161"/>
        <v>EN_WON_26_c02_SRB</v>
      </c>
      <c r="X1959" s="12">
        <f t="shared" si="162"/>
        <v>2104</v>
      </c>
      <c r="Y1959" s="11">
        <f t="shared" si="163"/>
        <v>2104</v>
      </c>
    </row>
    <row r="1960" spans="2:25">
      <c r="B1960" t="s">
        <v>26</v>
      </c>
      <c r="C1960" t="s">
        <v>8239</v>
      </c>
      <c r="D1960" t="s">
        <v>8240</v>
      </c>
      <c r="E1960" t="s">
        <v>29</v>
      </c>
      <c r="F1960" t="s">
        <v>30</v>
      </c>
      <c r="G1960" t="s">
        <v>31</v>
      </c>
      <c r="J1960" t="s">
        <v>8239</v>
      </c>
      <c r="K1960" t="s">
        <v>1967</v>
      </c>
      <c r="L1960" t="s">
        <v>8220</v>
      </c>
      <c r="M1960" s="8">
        <v>1.01925</v>
      </c>
      <c r="N1960">
        <v>0</v>
      </c>
      <c r="O1960">
        <v>2104</v>
      </c>
      <c r="P1960" s="9">
        <v>0.278</v>
      </c>
      <c r="Q1960" t="s">
        <v>1643</v>
      </c>
      <c r="T1960" s="15" t="s">
        <v>69</v>
      </c>
      <c r="W1960" s="16" t="str">
        <f t="shared" si="161"/>
        <v>EN_WON_28_c01_SRB</v>
      </c>
      <c r="X1960" s="12">
        <f t="shared" si="162"/>
        <v>2104</v>
      </c>
      <c r="Y1960" s="11">
        <f t="shared" si="163"/>
        <v>2104</v>
      </c>
    </row>
    <row r="1961" spans="2:25">
      <c r="B1961" t="s">
        <v>26</v>
      </c>
      <c r="C1961" t="s">
        <v>8241</v>
      </c>
      <c r="D1961" t="s">
        <v>8242</v>
      </c>
      <c r="E1961" t="s">
        <v>29</v>
      </c>
      <c r="F1961" t="s">
        <v>30</v>
      </c>
      <c r="G1961" t="s">
        <v>31</v>
      </c>
      <c r="J1961" t="s">
        <v>8241</v>
      </c>
      <c r="K1961" t="s">
        <v>1967</v>
      </c>
      <c r="L1961" t="s">
        <v>8243</v>
      </c>
      <c r="M1961" s="8">
        <v>2.65725</v>
      </c>
      <c r="N1961">
        <v>105.747516212372</v>
      </c>
      <c r="O1961">
        <v>1952</v>
      </c>
      <c r="P1961" s="9">
        <v>0.151003386960203</v>
      </c>
      <c r="Q1961" t="s">
        <v>1649</v>
      </c>
      <c r="T1961" s="15" t="s">
        <v>54</v>
      </c>
      <c r="W1961" s="16" t="str">
        <f t="shared" si="161"/>
        <v>EN_WON_15_c03_SSD</v>
      </c>
      <c r="X1961" s="12">
        <f t="shared" si="162"/>
        <v>1952</v>
      </c>
      <c r="Y1961" s="11">
        <f t="shared" si="163"/>
        <v>1952</v>
      </c>
    </row>
    <row r="1962" spans="2:25">
      <c r="B1962" t="s">
        <v>26</v>
      </c>
      <c r="C1962" t="s">
        <v>8244</v>
      </c>
      <c r="D1962" t="s">
        <v>8245</v>
      </c>
      <c r="E1962" t="s">
        <v>29</v>
      </c>
      <c r="F1962" t="s">
        <v>30</v>
      </c>
      <c r="G1962" t="s">
        <v>31</v>
      </c>
      <c r="J1962" t="s">
        <v>8244</v>
      </c>
      <c r="K1962" t="s">
        <v>1967</v>
      </c>
      <c r="L1962" t="s">
        <v>8243</v>
      </c>
      <c r="M1962" s="8">
        <v>16.94925</v>
      </c>
      <c r="N1962">
        <v>145.23264029167</v>
      </c>
      <c r="O1962">
        <v>1952</v>
      </c>
      <c r="P1962" s="9">
        <v>0.15220478782247</v>
      </c>
      <c r="Q1962" t="s">
        <v>1649</v>
      </c>
      <c r="T1962" s="15" t="s">
        <v>54</v>
      </c>
      <c r="W1962" s="16" t="str">
        <f t="shared" si="161"/>
        <v>EN_WON_15_c04_SSD</v>
      </c>
      <c r="X1962" s="12">
        <f t="shared" si="162"/>
        <v>1952</v>
      </c>
      <c r="Y1962" s="11">
        <f t="shared" si="163"/>
        <v>1952</v>
      </c>
    </row>
    <row r="1963" spans="2:25">
      <c r="B1963" t="s">
        <v>26</v>
      </c>
      <c r="C1963" t="s">
        <v>8246</v>
      </c>
      <c r="D1963" t="s">
        <v>8247</v>
      </c>
      <c r="E1963" t="s">
        <v>29</v>
      </c>
      <c r="F1963" t="s">
        <v>30</v>
      </c>
      <c r="G1963" t="s">
        <v>31</v>
      </c>
      <c r="J1963" t="s">
        <v>8246</v>
      </c>
      <c r="K1963" t="s">
        <v>1967</v>
      </c>
      <c r="L1963" t="s">
        <v>8243</v>
      </c>
      <c r="M1963" s="8">
        <v>15.05325</v>
      </c>
      <c r="N1963">
        <v>105.747516212372</v>
      </c>
      <c r="O1963">
        <v>1952</v>
      </c>
      <c r="P1963" s="9">
        <v>0.16024697324498</v>
      </c>
      <c r="Q1963" t="s">
        <v>1649</v>
      </c>
      <c r="T1963" s="15" t="s">
        <v>54</v>
      </c>
      <c r="W1963" s="16" t="str">
        <f t="shared" si="161"/>
        <v>EN_WON_16_c03_SSD</v>
      </c>
      <c r="X1963" s="12">
        <f t="shared" si="162"/>
        <v>1952</v>
      </c>
      <c r="Y1963" s="11">
        <f t="shared" si="163"/>
        <v>1952</v>
      </c>
    </row>
    <row r="1964" spans="2:25">
      <c r="B1964" t="s">
        <v>26</v>
      </c>
      <c r="C1964" t="s">
        <v>8248</v>
      </c>
      <c r="D1964" t="s">
        <v>8249</v>
      </c>
      <c r="E1964" t="s">
        <v>29</v>
      </c>
      <c r="F1964" t="s">
        <v>30</v>
      </c>
      <c r="G1964" t="s">
        <v>31</v>
      </c>
      <c r="J1964" t="s">
        <v>8248</v>
      </c>
      <c r="K1964" t="s">
        <v>1967</v>
      </c>
      <c r="L1964" t="s">
        <v>8243</v>
      </c>
      <c r="M1964" s="8">
        <v>26.36175</v>
      </c>
      <c r="N1964">
        <v>145.23264029167</v>
      </c>
      <c r="O1964">
        <v>1952</v>
      </c>
      <c r="P1964" s="9">
        <v>0.161106745568864</v>
      </c>
      <c r="Q1964" t="s">
        <v>1649</v>
      </c>
      <c r="T1964" s="15" t="s">
        <v>54</v>
      </c>
      <c r="W1964" s="16" t="str">
        <f t="shared" si="161"/>
        <v>EN_WON_16_c04_SSD</v>
      </c>
      <c r="X1964" s="12">
        <f t="shared" si="162"/>
        <v>1952</v>
      </c>
      <c r="Y1964" s="11">
        <f t="shared" si="163"/>
        <v>1952</v>
      </c>
    </row>
    <row r="1965" spans="2:25">
      <c r="B1965" t="s">
        <v>26</v>
      </c>
      <c r="C1965" t="s">
        <v>8250</v>
      </c>
      <c r="D1965" t="s">
        <v>8251</v>
      </c>
      <c r="E1965" t="s">
        <v>29</v>
      </c>
      <c r="F1965" t="s">
        <v>30</v>
      </c>
      <c r="G1965" t="s">
        <v>31</v>
      </c>
      <c r="J1965" t="s">
        <v>8250</v>
      </c>
      <c r="K1965" t="s">
        <v>1967</v>
      </c>
      <c r="L1965" t="s">
        <v>8243</v>
      </c>
      <c r="M1965" s="8">
        <v>4.2885</v>
      </c>
      <c r="N1965">
        <v>80.7856561622413</v>
      </c>
      <c r="O1965">
        <v>1952</v>
      </c>
      <c r="P1965" s="9">
        <v>0.165</v>
      </c>
      <c r="Q1965" t="s">
        <v>1649</v>
      </c>
      <c r="T1965" s="15" t="s">
        <v>54</v>
      </c>
      <c r="W1965" s="16" t="str">
        <f t="shared" si="161"/>
        <v>EN_WON_17_c02_SSD</v>
      </c>
      <c r="X1965" s="12">
        <f t="shared" si="162"/>
        <v>1952</v>
      </c>
      <c r="Y1965" s="11">
        <f t="shared" si="163"/>
        <v>1952</v>
      </c>
    </row>
    <row r="1966" spans="2:25">
      <c r="B1966" t="s">
        <v>26</v>
      </c>
      <c r="C1966" t="s">
        <v>8252</v>
      </c>
      <c r="D1966" t="s">
        <v>8253</v>
      </c>
      <c r="E1966" t="s">
        <v>29</v>
      </c>
      <c r="F1966" t="s">
        <v>30</v>
      </c>
      <c r="G1966" t="s">
        <v>31</v>
      </c>
      <c r="J1966" t="s">
        <v>8252</v>
      </c>
      <c r="K1966" t="s">
        <v>1967</v>
      </c>
      <c r="L1966" t="s">
        <v>8243</v>
      </c>
      <c r="M1966" s="8">
        <v>17.43375</v>
      </c>
      <c r="N1966">
        <v>105.747516212372</v>
      </c>
      <c r="O1966">
        <v>1952</v>
      </c>
      <c r="P1966" s="9">
        <v>0.16993159819316</v>
      </c>
      <c r="Q1966" t="s">
        <v>1649</v>
      </c>
      <c r="T1966" s="15" t="s">
        <v>54</v>
      </c>
      <c r="W1966" s="16" t="str">
        <f t="shared" si="161"/>
        <v>EN_WON_17_c03_SSD</v>
      </c>
      <c r="X1966" s="12">
        <f t="shared" si="162"/>
        <v>1952</v>
      </c>
      <c r="Y1966" s="11">
        <f t="shared" si="163"/>
        <v>1952</v>
      </c>
    </row>
    <row r="1967" spans="2:25">
      <c r="B1967" t="s">
        <v>26</v>
      </c>
      <c r="C1967" t="s">
        <v>8254</v>
      </c>
      <c r="D1967" t="s">
        <v>8255</v>
      </c>
      <c r="E1967" t="s">
        <v>29</v>
      </c>
      <c r="F1967" t="s">
        <v>30</v>
      </c>
      <c r="G1967" t="s">
        <v>31</v>
      </c>
      <c r="J1967" t="s">
        <v>8254</v>
      </c>
      <c r="K1967" t="s">
        <v>1967</v>
      </c>
      <c r="L1967" t="s">
        <v>8243</v>
      </c>
      <c r="M1967" s="8">
        <v>17.226</v>
      </c>
      <c r="N1967">
        <v>145.23264029167</v>
      </c>
      <c r="O1967">
        <v>1952</v>
      </c>
      <c r="P1967" s="9">
        <v>0.170062652385928</v>
      </c>
      <c r="Q1967" t="s">
        <v>1649</v>
      </c>
      <c r="T1967" s="15" t="s">
        <v>54</v>
      </c>
      <c r="W1967" s="16" t="str">
        <f t="shared" si="161"/>
        <v>EN_WON_17_c04_SSD</v>
      </c>
      <c r="X1967" s="12">
        <f t="shared" si="162"/>
        <v>1952</v>
      </c>
      <c r="Y1967" s="11">
        <f t="shared" si="163"/>
        <v>1952</v>
      </c>
    </row>
    <row r="1968" spans="2:25">
      <c r="B1968" t="s">
        <v>26</v>
      </c>
      <c r="C1968" t="s">
        <v>8256</v>
      </c>
      <c r="D1968" t="s">
        <v>8257</v>
      </c>
      <c r="E1968" t="s">
        <v>29</v>
      </c>
      <c r="F1968" t="s">
        <v>30</v>
      </c>
      <c r="G1968" t="s">
        <v>31</v>
      </c>
      <c r="J1968" t="s">
        <v>8256</v>
      </c>
      <c r="K1968" t="s">
        <v>1967</v>
      </c>
      <c r="L1968" t="s">
        <v>8243</v>
      </c>
      <c r="M1968" s="8">
        <v>5.23275</v>
      </c>
      <c r="N1968">
        <v>105.747516212372</v>
      </c>
      <c r="O1968">
        <v>1952</v>
      </c>
      <c r="P1968" s="9">
        <v>0.179911996560126</v>
      </c>
      <c r="Q1968" t="s">
        <v>1649</v>
      </c>
      <c r="T1968" s="15" t="s">
        <v>54</v>
      </c>
      <c r="W1968" s="16" t="str">
        <f t="shared" si="161"/>
        <v>EN_WON_18_c03_SSD</v>
      </c>
      <c r="X1968" s="12">
        <f t="shared" si="162"/>
        <v>1952</v>
      </c>
      <c r="Y1968" s="11">
        <f t="shared" si="163"/>
        <v>1952</v>
      </c>
    </row>
    <row r="1969" spans="2:25">
      <c r="B1969" t="s">
        <v>26</v>
      </c>
      <c r="C1969" t="s">
        <v>8258</v>
      </c>
      <c r="D1969" t="s">
        <v>8259</v>
      </c>
      <c r="E1969" t="s">
        <v>29</v>
      </c>
      <c r="F1969" t="s">
        <v>30</v>
      </c>
      <c r="G1969" t="s">
        <v>31</v>
      </c>
      <c r="J1969" t="s">
        <v>8258</v>
      </c>
      <c r="K1969" t="s">
        <v>1967</v>
      </c>
      <c r="L1969" t="s">
        <v>8243</v>
      </c>
      <c r="M1969" s="8">
        <v>15.99525</v>
      </c>
      <c r="N1969">
        <v>145.23264029167</v>
      </c>
      <c r="O1969">
        <v>1952</v>
      </c>
      <c r="P1969" s="9">
        <v>0.177230552820369</v>
      </c>
      <c r="Q1969" t="s">
        <v>1649</v>
      </c>
      <c r="T1969" s="15" t="s">
        <v>54</v>
      </c>
      <c r="W1969" s="16" t="str">
        <f t="shared" si="161"/>
        <v>EN_WON_18_c04_SSD</v>
      </c>
      <c r="X1969" s="12">
        <f t="shared" si="162"/>
        <v>1952</v>
      </c>
      <c r="Y1969" s="11">
        <f t="shared" si="163"/>
        <v>1952</v>
      </c>
    </row>
    <row r="1970" spans="2:25">
      <c r="B1970" t="s">
        <v>26</v>
      </c>
      <c r="C1970" t="s">
        <v>8260</v>
      </c>
      <c r="D1970" t="s">
        <v>8261</v>
      </c>
      <c r="E1970" t="s">
        <v>29</v>
      </c>
      <c r="F1970" t="s">
        <v>30</v>
      </c>
      <c r="G1970" t="s">
        <v>31</v>
      </c>
      <c r="J1970" t="s">
        <v>8260</v>
      </c>
      <c r="K1970" t="s">
        <v>1967</v>
      </c>
      <c r="L1970" t="s">
        <v>8243</v>
      </c>
      <c r="M1970" s="8">
        <v>4.12275</v>
      </c>
      <c r="N1970">
        <v>80.7856561622413</v>
      </c>
      <c r="O1970">
        <v>1952</v>
      </c>
      <c r="P1970" s="9">
        <v>0.185</v>
      </c>
      <c r="Q1970" t="s">
        <v>1649</v>
      </c>
      <c r="T1970" s="15" t="s">
        <v>54</v>
      </c>
      <c r="W1970" s="16" t="str">
        <f t="shared" si="161"/>
        <v>EN_WON_19_c02_SSD</v>
      </c>
      <c r="X1970" s="12">
        <f t="shared" si="162"/>
        <v>1952</v>
      </c>
      <c r="Y1970" s="11">
        <f t="shared" si="163"/>
        <v>1952</v>
      </c>
    </row>
    <row r="1971" spans="2:25">
      <c r="B1971" t="s">
        <v>26</v>
      </c>
      <c r="C1971" t="s">
        <v>8262</v>
      </c>
      <c r="D1971" t="s">
        <v>8263</v>
      </c>
      <c r="E1971" t="s">
        <v>29</v>
      </c>
      <c r="F1971" t="s">
        <v>30</v>
      </c>
      <c r="G1971" t="s">
        <v>31</v>
      </c>
      <c r="J1971" t="s">
        <v>8262</v>
      </c>
      <c r="K1971" t="s">
        <v>1967</v>
      </c>
      <c r="L1971" t="s">
        <v>8243</v>
      </c>
      <c r="M1971" s="8">
        <v>5.82375</v>
      </c>
      <c r="N1971">
        <v>105.747516212372</v>
      </c>
      <c r="O1971">
        <v>1952</v>
      </c>
      <c r="P1971" s="9">
        <v>0.189519639407598</v>
      </c>
      <c r="Q1971" t="s">
        <v>1649</v>
      </c>
      <c r="T1971" s="15" t="s">
        <v>54</v>
      </c>
      <c r="W1971" s="16" t="str">
        <f t="shared" si="161"/>
        <v>EN_WON_19_c03_SSD</v>
      </c>
      <c r="X1971" s="12">
        <f t="shared" si="162"/>
        <v>1952</v>
      </c>
      <c r="Y1971" s="11">
        <f t="shared" si="163"/>
        <v>1952</v>
      </c>
    </row>
    <row r="1972" spans="2:25">
      <c r="B1972" t="s">
        <v>26</v>
      </c>
      <c r="C1972" t="s">
        <v>8264</v>
      </c>
      <c r="D1972" t="s">
        <v>8265</v>
      </c>
      <c r="E1972" t="s">
        <v>29</v>
      </c>
      <c r="F1972" t="s">
        <v>30</v>
      </c>
      <c r="G1972" t="s">
        <v>31</v>
      </c>
      <c r="J1972" t="s">
        <v>8264</v>
      </c>
      <c r="K1972" t="s">
        <v>1967</v>
      </c>
      <c r="L1972" t="s">
        <v>8243</v>
      </c>
      <c r="M1972" s="8">
        <v>7.0725</v>
      </c>
      <c r="N1972">
        <v>145.23264029167</v>
      </c>
      <c r="O1972">
        <v>1952</v>
      </c>
      <c r="P1972" s="9">
        <v>0.1898032873807</v>
      </c>
      <c r="Q1972" t="s">
        <v>1649</v>
      </c>
      <c r="T1972" s="15" t="s">
        <v>54</v>
      </c>
      <c r="W1972" s="16" t="str">
        <f t="shared" si="161"/>
        <v>EN_WON_19_c04_SSD</v>
      </c>
      <c r="X1972" s="12">
        <f t="shared" si="162"/>
        <v>1952</v>
      </c>
      <c r="Y1972" s="11">
        <f t="shared" si="163"/>
        <v>1952</v>
      </c>
    </row>
    <row r="1973" spans="2:25">
      <c r="B1973" t="s">
        <v>26</v>
      </c>
      <c r="C1973" t="s">
        <v>8266</v>
      </c>
      <c r="D1973" t="s">
        <v>8267</v>
      </c>
      <c r="E1973" t="s">
        <v>29</v>
      </c>
      <c r="F1973" t="s">
        <v>30</v>
      </c>
      <c r="G1973" t="s">
        <v>31</v>
      </c>
      <c r="J1973" t="s">
        <v>8266</v>
      </c>
      <c r="K1973" t="s">
        <v>1967</v>
      </c>
      <c r="L1973" t="s">
        <v>8243</v>
      </c>
      <c r="M1973" s="8">
        <v>1.55625</v>
      </c>
      <c r="N1973">
        <v>80.7856561622413</v>
      </c>
      <c r="O1973">
        <v>1952</v>
      </c>
      <c r="P1973" s="9">
        <v>0.2</v>
      </c>
      <c r="Q1973" t="s">
        <v>1649</v>
      </c>
      <c r="T1973" s="15" t="s">
        <v>54</v>
      </c>
      <c r="W1973" s="16" t="str">
        <f t="shared" si="161"/>
        <v>EN_WON_20_c02_SSD</v>
      </c>
      <c r="X1973" s="12">
        <f t="shared" si="162"/>
        <v>1952</v>
      </c>
      <c r="Y1973" s="11">
        <f t="shared" si="163"/>
        <v>1952</v>
      </c>
    </row>
    <row r="1974" spans="2:25">
      <c r="B1974" t="s">
        <v>26</v>
      </c>
      <c r="C1974" t="s">
        <v>8268</v>
      </c>
      <c r="D1974" t="s">
        <v>8269</v>
      </c>
      <c r="E1974" t="s">
        <v>29</v>
      </c>
      <c r="F1974" t="s">
        <v>30</v>
      </c>
      <c r="G1974" t="s">
        <v>31</v>
      </c>
      <c r="J1974" t="s">
        <v>8268</v>
      </c>
      <c r="K1974" t="s">
        <v>1967</v>
      </c>
      <c r="L1974" t="s">
        <v>8243</v>
      </c>
      <c r="M1974" s="8">
        <v>3.25125</v>
      </c>
      <c r="N1974">
        <v>105.747516212372</v>
      </c>
      <c r="O1974">
        <v>1952</v>
      </c>
      <c r="P1974" s="9">
        <v>0.201</v>
      </c>
      <c r="Q1974" t="s">
        <v>1649</v>
      </c>
      <c r="T1974" s="15" t="s">
        <v>54</v>
      </c>
      <c r="W1974" s="16" t="str">
        <f t="shared" si="161"/>
        <v>EN_WON_20_c03_SSD</v>
      </c>
      <c r="X1974" s="12">
        <f t="shared" si="162"/>
        <v>1952</v>
      </c>
      <c r="Y1974" s="11">
        <f t="shared" si="163"/>
        <v>1952</v>
      </c>
    </row>
    <row r="1975" spans="2:25">
      <c r="B1975" t="s">
        <v>26</v>
      </c>
      <c r="C1975" t="s">
        <v>8270</v>
      </c>
      <c r="D1975" t="s">
        <v>8271</v>
      </c>
      <c r="E1975" t="s">
        <v>29</v>
      </c>
      <c r="F1975" t="s">
        <v>30</v>
      </c>
      <c r="G1975" t="s">
        <v>31</v>
      </c>
      <c r="J1975" t="s">
        <v>8270</v>
      </c>
      <c r="K1975" t="s">
        <v>1967</v>
      </c>
      <c r="L1975" t="s">
        <v>8243</v>
      </c>
      <c r="M1975" s="8">
        <v>3.31725</v>
      </c>
      <c r="N1975">
        <v>145.23264029167</v>
      </c>
      <c r="O1975">
        <v>1952</v>
      </c>
      <c r="P1975" s="9">
        <v>0.196039113723717</v>
      </c>
      <c r="Q1975" t="s">
        <v>1649</v>
      </c>
      <c r="T1975" s="15" t="s">
        <v>54</v>
      </c>
      <c r="W1975" s="16" t="str">
        <f t="shared" si="161"/>
        <v>EN_WON_20_c04_SSD</v>
      </c>
      <c r="X1975" s="12">
        <f t="shared" si="162"/>
        <v>1952</v>
      </c>
      <c r="Y1975" s="11">
        <f t="shared" si="163"/>
        <v>1952</v>
      </c>
    </row>
    <row r="1976" spans="2:25">
      <c r="B1976" t="s">
        <v>26</v>
      </c>
      <c r="C1976" t="s">
        <v>8272</v>
      </c>
      <c r="D1976" t="s">
        <v>8273</v>
      </c>
      <c r="E1976" t="s">
        <v>29</v>
      </c>
      <c r="F1976" t="s">
        <v>30</v>
      </c>
      <c r="G1976" t="s">
        <v>31</v>
      </c>
      <c r="J1976" t="s">
        <v>8272</v>
      </c>
      <c r="K1976" t="s">
        <v>1967</v>
      </c>
      <c r="L1976" t="s">
        <v>8243</v>
      </c>
      <c r="M1976" s="8">
        <v>1.80225</v>
      </c>
      <c r="N1976">
        <v>80.7856561622413</v>
      </c>
      <c r="O1976">
        <v>1952</v>
      </c>
      <c r="P1976" s="9">
        <v>0.206</v>
      </c>
      <c r="Q1976" t="s">
        <v>1649</v>
      </c>
      <c r="T1976" s="15" t="s">
        <v>54</v>
      </c>
      <c r="W1976" s="16" t="str">
        <f t="shared" si="161"/>
        <v>EN_WON_21_c02_SSD</v>
      </c>
      <c r="X1976" s="12">
        <f t="shared" si="162"/>
        <v>1952</v>
      </c>
      <c r="Y1976" s="11">
        <f t="shared" si="163"/>
        <v>1952</v>
      </c>
    </row>
    <row r="1977" spans="2:25">
      <c r="B1977" t="s">
        <v>26</v>
      </c>
      <c r="C1977" t="s">
        <v>8274</v>
      </c>
      <c r="D1977" t="s">
        <v>8275</v>
      </c>
      <c r="E1977" t="s">
        <v>29</v>
      </c>
      <c r="F1977" t="s">
        <v>30</v>
      </c>
      <c r="G1977" t="s">
        <v>31</v>
      </c>
      <c r="J1977" t="s">
        <v>8274</v>
      </c>
      <c r="K1977" t="s">
        <v>1967</v>
      </c>
      <c r="L1977" t="s">
        <v>8243</v>
      </c>
      <c r="M1977" s="8">
        <v>6.75525</v>
      </c>
      <c r="N1977">
        <v>105.747516212372</v>
      </c>
      <c r="O1977">
        <v>1952</v>
      </c>
      <c r="P1977" s="9">
        <v>0.209</v>
      </c>
      <c r="Q1977" t="s">
        <v>1649</v>
      </c>
      <c r="T1977" s="15" t="s">
        <v>54</v>
      </c>
      <c r="W1977" s="16" t="str">
        <f t="shared" si="161"/>
        <v>EN_WON_21_c03_SSD</v>
      </c>
      <c r="X1977" s="12">
        <f t="shared" si="162"/>
        <v>1952</v>
      </c>
      <c r="Y1977" s="11">
        <f t="shared" si="163"/>
        <v>1952</v>
      </c>
    </row>
    <row r="1978" spans="2:25">
      <c r="B1978" t="s">
        <v>26</v>
      </c>
      <c r="C1978" t="s">
        <v>8276</v>
      </c>
      <c r="D1978" t="s">
        <v>8277</v>
      </c>
      <c r="E1978" t="s">
        <v>29</v>
      </c>
      <c r="F1978" t="s">
        <v>30</v>
      </c>
      <c r="G1978" t="s">
        <v>31</v>
      </c>
      <c r="J1978" t="s">
        <v>8276</v>
      </c>
      <c r="K1978" t="s">
        <v>1967</v>
      </c>
      <c r="L1978" t="s">
        <v>8243</v>
      </c>
      <c r="M1978" s="8">
        <v>11.808</v>
      </c>
      <c r="N1978">
        <v>145.23264029167</v>
      </c>
      <c r="O1978">
        <v>1952</v>
      </c>
      <c r="P1978" s="9">
        <v>0.207528899898374</v>
      </c>
      <c r="Q1978" t="s">
        <v>1649</v>
      </c>
      <c r="T1978" s="15" t="s">
        <v>54</v>
      </c>
      <c r="W1978" s="16" t="str">
        <f t="shared" si="161"/>
        <v>EN_WON_21_c04_SSD</v>
      </c>
      <c r="X1978" s="12">
        <f t="shared" si="162"/>
        <v>1952</v>
      </c>
      <c r="Y1978" s="11">
        <f t="shared" si="163"/>
        <v>1952</v>
      </c>
    </row>
    <row r="1979" spans="2:25">
      <c r="B1979" t="s">
        <v>26</v>
      </c>
      <c r="C1979" t="s">
        <v>8278</v>
      </c>
      <c r="D1979" t="s">
        <v>8279</v>
      </c>
      <c r="E1979" t="s">
        <v>29</v>
      </c>
      <c r="F1979" t="s">
        <v>30</v>
      </c>
      <c r="G1979" t="s">
        <v>31</v>
      </c>
      <c r="J1979" t="s">
        <v>8278</v>
      </c>
      <c r="K1979" t="s">
        <v>1967</v>
      </c>
      <c r="L1979" t="s">
        <v>8243</v>
      </c>
      <c r="M1979" s="8">
        <v>2.48925</v>
      </c>
      <c r="N1979">
        <v>80.7856561622413</v>
      </c>
      <c r="O1979">
        <v>1952</v>
      </c>
      <c r="P1979" s="9">
        <v>0.216</v>
      </c>
      <c r="Q1979" t="s">
        <v>1649</v>
      </c>
      <c r="T1979" s="15" t="s">
        <v>54</v>
      </c>
      <c r="W1979" s="16" t="str">
        <f t="shared" si="161"/>
        <v>EN_WON_22_c02_SSD</v>
      </c>
      <c r="X1979" s="12">
        <f t="shared" si="162"/>
        <v>1952</v>
      </c>
      <c r="Y1979" s="11">
        <f t="shared" si="163"/>
        <v>1952</v>
      </c>
    </row>
    <row r="1980" spans="2:25">
      <c r="B1980" t="s">
        <v>26</v>
      </c>
      <c r="C1980" t="s">
        <v>8280</v>
      </c>
      <c r="D1980" t="s">
        <v>8281</v>
      </c>
      <c r="E1980" t="s">
        <v>29</v>
      </c>
      <c r="F1980" t="s">
        <v>30</v>
      </c>
      <c r="G1980" t="s">
        <v>31</v>
      </c>
      <c r="J1980" t="s">
        <v>8280</v>
      </c>
      <c r="K1980" t="s">
        <v>1967</v>
      </c>
      <c r="L1980" t="s">
        <v>8243</v>
      </c>
      <c r="M1980" s="8">
        <v>3.2295</v>
      </c>
      <c r="N1980">
        <v>145.23264029167</v>
      </c>
      <c r="O1980">
        <v>1952</v>
      </c>
      <c r="P1980" s="9">
        <v>0.222736646539712</v>
      </c>
      <c r="Q1980" t="s">
        <v>1649</v>
      </c>
      <c r="T1980" s="15" t="s">
        <v>54</v>
      </c>
      <c r="W1980" s="16" t="str">
        <f t="shared" si="161"/>
        <v>EN_WON_22_c04_SSD</v>
      </c>
      <c r="X1980" s="12">
        <f t="shared" si="162"/>
        <v>1952</v>
      </c>
      <c r="Y1980" s="11">
        <f t="shared" si="163"/>
        <v>1952</v>
      </c>
    </row>
    <row r="1981" spans="2:25">
      <c r="B1981" t="s">
        <v>26</v>
      </c>
      <c r="C1981" t="s">
        <v>8282</v>
      </c>
      <c r="D1981" t="s">
        <v>8283</v>
      </c>
      <c r="E1981" t="s">
        <v>29</v>
      </c>
      <c r="F1981" t="s">
        <v>30</v>
      </c>
      <c r="G1981" t="s">
        <v>31</v>
      </c>
      <c r="J1981" t="s">
        <v>8282</v>
      </c>
      <c r="K1981" t="s">
        <v>1967</v>
      </c>
      <c r="L1981" t="s">
        <v>8243</v>
      </c>
      <c r="M1981" s="8">
        <v>3.558</v>
      </c>
      <c r="N1981">
        <v>80.7856561622413</v>
      </c>
      <c r="O1981">
        <v>1952</v>
      </c>
      <c r="P1981" s="9">
        <v>0.232</v>
      </c>
      <c r="Q1981" t="s">
        <v>1649</v>
      </c>
      <c r="T1981" s="15" t="s">
        <v>54</v>
      </c>
      <c r="W1981" s="16" t="str">
        <f t="shared" si="161"/>
        <v>EN_WON_23_c02_SSD</v>
      </c>
      <c r="X1981" s="12">
        <f t="shared" si="162"/>
        <v>1952</v>
      </c>
      <c r="Y1981" s="11">
        <f t="shared" si="163"/>
        <v>1952</v>
      </c>
    </row>
    <row r="1982" spans="2:25">
      <c r="B1982" t="s">
        <v>26</v>
      </c>
      <c r="C1982" t="s">
        <v>8284</v>
      </c>
      <c r="D1982" t="s">
        <v>8285</v>
      </c>
      <c r="E1982" t="s">
        <v>29</v>
      </c>
      <c r="F1982" t="s">
        <v>30</v>
      </c>
      <c r="G1982" t="s">
        <v>31</v>
      </c>
      <c r="J1982" t="s">
        <v>8284</v>
      </c>
      <c r="K1982" t="s">
        <v>1967</v>
      </c>
      <c r="L1982" t="s">
        <v>8243</v>
      </c>
      <c r="M1982" s="8">
        <v>1.2555</v>
      </c>
      <c r="N1982">
        <v>105.747516212372</v>
      </c>
      <c r="O1982">
        <v>1952</v>
      </c>
      <c r="P1982" s="9">
        <v>0.228</v>
      </c>
      <c r="Q1982" t="s">
        <v>1649</v>
      </c>
      <c r="T1982" s="15" t="s">
        <v>54</v>
      </c>
      <c r="W1982" s="16" t="str">
        <f t="shared" si="161"/>
        <v>EN_WON_23_c03_SSD</v>
      </c>
      <c r="X1982" s="12">
        <f t="shared" si="162"/>
        <v>1952</v>
      </c>
      <c r="Y1982" s="11">
        <f t="shared" si="163"/>
        <v>1952</v>
      </c>
    </row>
    <row r="1983" spans="2:25">
      <c r="B1983" t="s">
        <v>26</v>
      </c>
      <c r="C1983" t="s">
        <v>8286</v>
      </c>
      <c r="D1983" t="s">
        <v>8287</v>
      </c>
      <c r="E1983" t="s">
        <v>29</v>
      </c>
      <c r="F1983" t="s">
        <v>30</v>
      </c>
      <c r="G1983" t="s">
        <v>31</v>
      </c>
      <c r="J1983" t="s">
        <v>8286</v>
      </c>
      <c r="K1983" t="s">
        <v>1967</v>
      </c>
      <c r="L1983" t="s">
        <v>8243</v>
      </c>
      <c r="M1983" s="8">
        <v>4.524</v>
      </c>
      <c r="N1983">
        <v>145.23264029167</v>
      </c>
      <c r="O1983">
        <v>1952</v>
      </c>
      <c r="P1983" s="9">
        <v>0.230460212201592</v>
      </c>
      <c r="Q1983" t="s">
        <v>1649</v>
      </c>
      <c r="T1983" s="15" t="s">
        <v>54</v>
      </c>
      <c r="W1983" s="16" t="str">
        <f t="shared" si="161"/>
        <v>EN_WON_23_c04_SSD</v>
      </c>
      <c r="X1983" s="12">
        <f t="shared" si="162"/>
        <v>1952</v>
      </c>
      <c r="Y1983" s="11">
        <f t="shared" si="163"/>
        <v>1952</v>
      </c>
    </row>
    <row r="1984" spans="2:25">
      <c r="B1984" t="s">
        <v>26</v>
      </c>
      <c r="C1984" t="s">
        <v>8288</v>
      </c>
      <c r="D1984" t="s">
        <v>8289</v>
      </c>
      <c r="E1984" t="s">
        <v>29</v>
      </c>
      <c r="F1984" t="s">
        <v>30</v>
      </c>
      <c r="G1984" t="s">
        <v>31</v>
      </c>
      <c r="J1984" t="s">
        <v>8288</v>
      </c>
      <c r="K1984" t="s">
        <v>1967</v>
      </c>
      <c r="L1984" t="s">
        <v>8243</v>
      </c>
      <c r="M1984" s="8">
        <v>2.766</v>
      </c>
      <c r="N1984">
        <v>80.7856561622413</v>
      </c>
      <c r="O1984">
        <v>1952</v>
      </c>
      <c r="P1984" s="9">
        <v>0.253</v>
      </c>
      <c r="Q1984" t="s">
        <v>1649</v>
      </c>
      <c r="T1984" s="15" t="s">
        <v>54</v>
      </c>
      <c r="W1984" s="16" t="str">
        <f t="shared" si="161"/>
        <v>EN_WON_25_c02_SSD</v>
      </c>
      <c r="X1984" s="12">
        <f t="shared" si="162"/>
        <v>1952</v>
      </c>
      <c r="Y1984" s="11">
        <f t="shared" si="163"/>
        <v>1952</v>
      </c>
    </row>
    <row r="1985" spans="2:25">
      <c r="B1985" t="s">
        <v>26</v>
      </c>
      <c r="C1985" t="s">
        <v>8290</v>
      </c>
      <c r="D1985" t="s">
        <v>8291</v>
      </c>
      <c r="E1985" t="s">
        <v>29</v>
      </c>
      <c r="F1985" t="s">
        <v>30</v>
      </c>
      <c r="G1985" t="s">
        <v>31</v>
      </c>
      <c r="J1985" t="s">
        <v>8290</v>
      </c>
      <c r="K1985" t="s">
        <v>1967</v>
      </c>
      <c r="L1985" t="s">
        <v>8243</v>
      </c>
      <c r="M1985" s="8">
        <v>3.6345</v>
      </c>
      <c r="N1985">
        <v>145.23264029167</v>
      </c>
      <c r="O1985">
        <v>1952</v>
      </c>
      <c r="P1985" s="9">
        <v>0.247</v>
      </c>
      <c r="Q1985" t="s">
        <v>1649</v>
      </c>
      <c r="T1985" s="15" t="s">
        <v>54</v>
      </c>
      <c r="W1985" s="16" t="str">
        <f t="shared" si="161"/>
        <v>EN_WON_25_c04_SSD</v>
      </c>
      <c r="X1985" s="12">
        <f t="shared" si="162"/>
        <v>1952</v>
      </c>
      <c r="Y1985" s="11">
        <f t="shared" si="163"/>
        <v>1952</v>
      </c>
    </row>
    <row r="1986" spans="2:25">
      <c r="B1986" t="s">
        <v>26</v>
      </c>
      <c r="C1986" t="s">
        <v>8292</v>
      </c>
      <c r="D1986" t="s">
        <v>8293</v>
      </c>
      <c r="E1986" t="s">
        <v>29</v>
      </c>
      <c r="F1986" t="s">
        <v>30</v>
      </c>
      <c r="G1986" t="s">
        <v>31</v>
      </c>
      <c r="J1986" t="s">
        <v>8292</v>
      </c>
      <c r="K1986" t="s">
        <v>1967</v>
      </c>
      <c r="L1986" t="s">
        <v>8243</v>
      </c>
      <c r="M1986" s="8">
        <v>3.56925</v>
      </c>
      <c r="N1986">
        <v>105.747516212372</v>
      </c>
      <c r="O1986">
        <v>1952</v>
      </c>
      <c r="P1986" s="9">
        <v>0.256</v>
      </c>
      <c r="Q1986" t="s">
        <v>1649</v>
      </c>
      <c r="T1986" s="15" t="s">
        <v>54</v>
      </c>
      <c r="W1986" s="16" t="str">
        <f t="shared" si="161"/>
        <v>EN_WON_26_c03_SSD</v>
      </c>
      <c r="X1986" s="12">
        <f t="shared" si="162"/>
        <v>1952</v>
      </c>
      <c r="Y1986" s="11">
        <f t="shared" si="163"/>
        <v>1952</v>
      </c>
    </row>
    <row r="1987" spans="2:25">
      <c r="B1987" t="s">
        <v>26</v>
      </c>
      <c r="C1987" t="s">
        <v>8294</v>
      </c>
      <c r="D1987" t="s">
        <v>8295</v>
      </c>
      <c r="E1987" t="s">
        <v>29</v>
      </c>
      <c r="F1987" t="s">
        <v>30</v>
      </c>
      <c r="G1987" t="s">
        <v>31</v>
      </c>
      <c r="J1987" t="s">
        <v>8294</v>
      </c>
      <c r="K1987" t="s">
        <v>1967</v>
      </c>
      <c r="L1987" t="s">
        <v>8243</v>
      </c>
      <c r="M1987" s="8">
        <v>1.6635</v>
      </c>
      <c r="N1987">
        <v>145.23264029167</v>
      </c>
      <c r="O1987">
        <v>1952</v>
      </c>
      <c r="P1987" s="9">
        <v>0.26</v>
      </c>
      <c r="Q1987" t="s">
        <v>1649</v>
      </c>
      <c r="T1987" s="15" t="s">
        <v>54</v>
      </c>
      <c r="W1987" s="16" t="str">
        <f t="shared" si="161"/>
        <v>EN_WON_26_c04_SSD</v>
      </c>
      <c r="X1987" s="12">
        <f t="shared" si="162"/>
        <v>1952</v>
      </c>
      <c r="Y1987" s="11">
        <f t="shared" si="163"/>
        <v>1952</v>
      </c>
    </row>
    <row r="1988" spans="2:25">
      <c r="B1988" t="s">
        <v>26</v>
      </c>
      <c r="C1988" t="s">
        <v>8296</v>
      </c>
      <c r="D1988" t="s">
        <v>8297</v>
      </c>
      <c r="E1988" t="s">
        <v>29</v>
      </c>
      <c r="F1988" t="s">
        <v>30</v>
      </c>
      <c r="G1988" t="s">
        <v>31</v>
      </c>
      <c r="J1988" t="s">
        <v>8296</v>
      </c>
      <c r="K1988" t="s">
        <v>1967</v>
      </c>
      <c r="L1988" t="s">
        <v>8243</v>
      </c>
      <c r="M1988" s="8">
        <v>1.13475</v>
      </c>
      <c r="N1988">
        <v>145.23264029167</v>
      </c>
      <c r="O1988">
        <v>1952</v>
      </c>
      <c r="P1988" s="9">
        <v>0.278</v>
      </c>
      <c r="Q1988" t="s">
        <v>1649</v>
      </c>
      <c r="T1988" s="15" t="s">
        <v>54</v>
      </c>
      <c r="W1988" s="16" t="str">
        <f t="shared" si="161"/>
        <v>EN_WON_28_c04_SSD</v>
      </c>
      <c r="X1988" s="12">
        <f t="shared" si="162"/>
        <v>1952</v>
      </c>
      <c r="Y1988" s="11">
        <f t="shared" si="163"/>
        <v>1952</v>
      </c>
    </row>
    <row r="1989" spans="2:25">
      <c r="B1989" t="s">
        <v>26</v>
      </c>
      <c r="C1989" t="s">
        <v>8298</v>
      </c>
      <c r="D1989" t="s">
        <v>8299</v>
      </c>
      <c r="E1989" t="s">
        <v>29</v>
      </c>
      <c r="F1989" t="s">
        <v>30</v>
      </c>
      <c r="G1989" t="s">
        <v>31</v>
      </c>
      <c r="J1989" t="s">
        <v>8298</v>
      </c>
      <c r="K1989" t="s">
        <v>1967</v>
      </c>
      <c r="L1989" t="s">
        <v>8243</v>
      </c>
      <c r="M1989" s="8">
        <v>1.767</v>
      </c>
      <c r="N1989">
        <v>80.7856561622413</v>
      </c>
      <c r="O1989">
        <v>1952</v>
      </c>
      <c r="P1989" s="9">
        <v>0.29</v>
      </c>
      <c r="Q1989" t="s">
        <v>1649</v>
      </c>
      <c r="T1989" s="15" t="s">
        <v>54</v>
      </c>
      <c r="W1989" s="16" t="str">
        <f t="shared" si="161"/>
        <v>EN_WON_29_c02_SSD</v>
      </c>
      <c r="X1989" s="12">
        <f t="shared" si="162"/>
        <v>1952</v>
      </c>
      <c r="Y1989" s="11">
        <f t="shared" si="163"/>
        <v>1952</v>
      </c>
    </row>
    <row r="1990" spans="2:25">
      <c r="B1990" t="s">
        <v>26</v>
      </c>
      <c r="C1990" t="s">
        <v>8300</v>
      </c>
      <c r="D1990" t="s">
        <v>8301</v>
      </c>
      <c r="E1990" t="s">
        <v>29</v>
      </c>
      <c r="F1990" t="s">
        <v>30</v>
      </c>
      <c r="G1990" t="s">
        <v>31</v>
      </c>
      <c r="J1990" t="s">
        <v>8300</v>
      </c>
      <c r="K1990" t="s">
        <v>1967</v>
      </c>
      <c r="L1990" t="s">
        <v>8302</v>
      </c>
      <c r="M1990" s="8">
        <v>0.01875</v>
      </c>
      <c r="N1990">
        <v>145.23264029167</v>
      </c>
      <c r="O1990">
        <v>1575</v>
      </c>
      <c r="P1990" s="9">
        <v>0.197</v>
      </c>
      <c r="Q1990" t="s">
        <v>1667</v>
      </c>
      <c r="T1990" s="15" t="s">
        <v>89</v>
      </c>
      <c r="W1990" s="16" t="str">
        <f t="shared" ref="W1990:W2053" si="164">J1990</f>
        <v>EN_WON_20_c04_SUR</v>
      </c>
      <c r="X1990" s="12">
        <f t="shared" ref="X1990:X2053" si="165">O1990</f>
        <v>1575</v>
      </c>
      <c r="Y1990" s="11">
        <f t="shared" ref="Y1990:Y2053" si="166">X1990</f>
        <v>1575</v>
      </c>
    </row>
    <row r="1991" spans="2:25">
      <c r="B1991" t="s">
        <v>26</v>
      </c>
      <c r="C1991" t="s">
        <v>8303</v>
      </c>
      <c r="D1991" t="s">
        <v>8304</v>
      </c>
      <c r="E1991" t="s">
        <v>29</v>
      </c>
      <c r="F1991" t="s">
        <v>30</v>
      </c>
      <c r="G1991" t="s">
        <v>31</v>
      </c>
      <c r="J1991" t="s">
        <v>8303</v>
      </c>
      <c r="K1991" t="s">
        <v>1967</v>
      </c>
      <c r="L1991" t="s">
        <v>8305</v>
      </c>
      <c r="M1991" s="8">
        <v>8.4825</v>
      </c>
      <c r="N1991">
        <v>0</v>
      </c>
      <c r="O1991">
        <v>1827</v>
      </c>
      <c r="P1991" s="9">
        <v>0.254</v>
      </c>
      <c r="Q1991" t="s">
        <v>1677</v>
      </c>
      <c r="T1991" s="15" t="s">
        <v>69</v>
      </c>
      <c r="W1991" s="16" t="str">
        <f t="shared" si="164"/>
        <v>EN_WON_25_c01_SVK</v>
      </c>
      <c r="X1991" s="12">
        <f t="shared" si="165"/>
        <v>1827</v>
      </c>
      <c r="Y1991" s="11">
        <f t="shared" si="166"/>
        <v>1827</v>
      </c>
    </row>
    <row r="1992" spans="2:25">
      <c r="B1992" t="s">
        <v>26</v>
      </c>
      <c r="C1992" t="s">
        <v>8306</v>
      </c>
      <c r="D1992" t="s">
        <v>8307</v>
      </c>
      <c r="E1992" t="s">
        <v>29</v>
      </c>
      <c r="F1992" t="s">
        <v>30</v>
      </c>
      <c r="G1992" t="s">
        <v>31</v>
      </c>
      <c r="J1992" t="s">
        <v>8306</v>
      </c>
      <c r="K1992" t="s">
        <v>1967</v>
      </c>
      <c r="L1992" t="s">
        <v>8305</v>
      </c>
      <c r="M1992" s="8">
        <v>8.3565</v>
      </c>
      <c r="N1992">
        <v>105.747516212372</v>
      </c>
      <c r="O1992">
        <v>1827</v>
      </c>
      <c r="P1992" s="9">
        <v>0.259</v>
      </c>
      <c r="Q1992" t="s">
        <v>1677</v>
      </c>
      <c r="T1992" s="15" t="s">
        <v>69</v>
      </c>
      <c r="W1992" s="16" t="str">
        <f t="shared" si="164"/>
        <v>EN_WON_26_c03_SVK</v>
      </c>
      <c r="X1992" s="12">
        <f t="shared" si="165"/>
        <v>1827</v>
      </c>
      <c r="Y1992" s="11">
        <f t="shared" si="166"/>
        <v>1827</v>
      </c>
    </row>
    <row r="1993" spans="2:25">
      <c r="B1993" t="s">
        <v>26</v>
      </c>
      <c r="C1993" t="s">
        <v>8308</v>
      </c>
      <c r="D1993" t="s">
        <v>8309</v>
      </c>
      <c r="E1993" t="s">
        <v>29</v>
      </c>
      <c r="F1993" t="s">
        <v>30</v>
      </c>
      <c r="G1993" t="s">
        <v>31</v>
      </c>
      <c r="J1993" t="s">
        <v>8308</v>
      </c>
      <c r="K1993" t="s">
        <v>1967</v>
      </c>
      <c r="L1993" t="s">
        <v>8305</v>
      </c>
      <c r="M1993" s="8">
        <v>8.22</v>
      </c>
      <c r="N1993">
        <v>0</v>
      </c>
      <c r="O1993">
        <v>1827</v>
      </c>
      <c r="P1993" s="9">
        <v>0.269</v>
      </c>
      <c r="Q1993" t="s">
        <v>1677</v>
      </c>
      <c r="T1993" s="15" t="s">
        <v>69</v>
      </c>
      <c r="W1993" s="16" t="str">
        <f t="shared" si="164"/>
        <v>EN_WON_27_c01_SVK</v>
      </c>
      <c r="X1993" s="12">
        <f t="shared" si="165"/>
        <v>1827</v>
      </c>
      <c r="Y1993" s="11">
        <f t="shared" si="166"/>
        <v>1827</v>
      </c>
    </row>
    <row r="1994" spans="2:25">
      <c r="B1994" t="s">
        <v>26</v>
      </c>
      <c r="C1994" t="s">
        <v>8310</v>
      </c>
      <c r="D1994" t="s">
        <v>8311</v>
      </c>
      <c r="E1994" t="s">
        <v>29</v>
      </c>
      <c r="F1994" t="s">
        <v>30</v>
      </c>
      <c r="G1994" t="s">
        <v>31</v>
      </c>
      <c r="J1994" t="s">
        <v>8310</v>
      </c>
      <c r="K1994" t="s">
        <v>1967</v>
      </c>
      <c r="L1994" t="s">
        <v>8312</v>
      </c>
      <c r="M1994" s="8">
        <v>6.87825</v>
      </c>
      <c r="N1994">
        <v>145.23264029167</v>
      </c>
      <c r="O1994">
        <v>1909</v>
      </c>
      <c r="P1994" s="9">
        <v>0.221</v>
      </c>
      <c r="Q1994" t="s">
        <v>1681</v>
      </c>
      <c r="T1994" s="15" t="s">
        <v>69</v>
      </c>
      <c r="W1994" s="16" t="str">
        <f t="shared" si="164"/>
        <v>EN_WON_22_c04_SVN</v>
      </c>
      <c r="X1994" s="12">
        <f t="shared" si="165"/>
        <v>1909</v>
      </c>
      <c r="Y1994" s="11">
        <f t="shared" si="166"/>
        <v>1909</v>
      </c>
    </row>
    <row r="1995" spans="2:25">
      <c r="B1995" t="s">
        <v>26</v>
      </c>
      <c r="C1995" t="s">
        <v>8313</v>
      </c>
      <c r="D1995" t="s">
        <v>8314</v>
      </c>
      <c r="E1995" t="s">
        <v>29</v>
      </c>
      <c r="F1995" t="s">
        <v>30</v>
      </c>
      <c r="G1995" t="s">
        <v>31</v>
      </c>
      <c r="J1995" t="s">
        <v>8313</v>
      </c>
      <c r="K1995" t="s">
        <v>1967</v>
      </c>
      <c r="L1995" t="s">
        <v>5738</v>
      </c>
      <c r="M1995" s="8">
        <v>0.03525</v>
      </c>
      <c r="N1995">
        <v>80.7856561622413</v>
      </c>
      <c r="O1995">
        <v>1340</v>
      </c>
      <c r="P1995" s="9">
        <v>0.167</v>
      </c>
      <c r="Q1995" t="s">
        <v>1685</v>
      </c>
      <c r="T1995" s="15" t="s">
        <v>69</v>
      </c>
      <c r="W1995" s="16" t="str">
        <f t="shared" si="164"/>
        <v>EN_WON_17_c02_SWE</v>
      </c>
      <c r="X1995" s="12">
        <f t="shared" si="165"/>
        <v>1340</v>
      </c>
      <c r="Y1995" s="11">
        <f t="shared" si="166"/>
        <v>1340</v>
      </c>
    </row>
    <row r="1996" spans="2:25">
      <c r="B1996" t="s">
        <v>26</v>
      </c>
      <c r="C1996" t="s">
        <v>8315</v>
      </c>
      <c r="D1996" t="s">
        <v>8316</v>
      </c>
      <c r="E1996" t="s">
        <v>29</v>
      </c>
      <c r="F1996" t="s">
        <v>30</v>
      </c>
      <c r="G1996" t="s">
        <v>31</v>
      </c>
      <c r="J1996" t="s">
        <v>8315</v>
      </c>
      <c r="K1996" t="s">
        <v>1967</v>
      </c>
      <c r="L1996" t="s">
        <v>5738</v>
      </c>
      <c r="M1996" s="8">
        <v>0.03375</v>
      </c>
      <c r="N1996">
        <v>80.7856561622413</v>
      </c>
      <c r="O1996">
        <v>1340</v>
      </c>
      <c r="P1996" s="9">
        <v>0.175066666666667</v>
      </c>
      <c r="Q1996" t="s">
        <v>1685</v>
      </c>
      <c r="T1996" s="15" t="s">
        <v>69</v>
      </c>
      <c r="W1996" s="16" t="str">
        <f t="shared" si="164"/>
        <v>EN_WON_18_c02_SWE</v>
      </c>
      <c r="X1996" s="12">
        <f t="shared" si="165"/>
        <v>1340</v>
      </c>
      <c r="Y1996" s="11">
        <f t="shared" si="166"/>
        <v>1340</v>
      </c>
    </row>
    <row r="1997" spans="2:25">
      <c r="B1997" t="s">
        <v>26</v>
      </c>
      <c r="C1997" t="s">
        <v>8317</v>
      </c>
      <c r="D1997" t="s">
        <v>8318</v>
      </c>
      <c r="E1997" t="s">
        <v>29</v>
      </c>
      <c r="F1997" t="s">
        <v>30</v>
      </c>
      <c r="G1997" t="s">
        <v>31</v>
      </c>
      <c r="J1997" t="s">
        <v>8317</v>
      </c>
      <c r="K1997" t="s">
        <v>1967</v>
      </c>
      <c r="L1997" t="s">
        <v>5738</v>
      </c>
      <c r="M1997" s="8">
        <v>0.204</v>
      </c>
      <c r="N1997">
        <v>80.7856561622413</v>
      </c>
      <c r="O1997">
        <v>1340</v>
      </c>
      <c r="P1997" s="9">
        <v>0.194</v>
      </c>
      <c r="Q1997" t="s">
        <v>1685</v>
      </c>
      <c r="T1997" s="15" t="s">
        <v>69</v>
      </c>
      <c r="W1997" s="16" t="str">
        <f t="shared" si="164"/>
        <v>EN_WON_19_c02_SWE</v>
      </c>
      <c r="X1997" s="12">
        <f t="shared" si="165"/>
        <v>1340</v>
      </c>
      <c r="Y1997" s="11">
        <f t="shared" si="166"/>
        <v>1340</v>
      </c>
    </row>
    <row r="1998" spans="2:25">
      <c r="B1998" t="s">
        <v>26</v>
      </c>
      <c r="C1998" t="s">
        <v>8319</v>
      </c>
      <c r="D1998" t="s">
        <v>8320</v>
      </c>
      <c r="E1998" t="s">
        <v>29</v>
      </c>
      <c r="F1998" t="s">
        <v>30</v>
      </c>
      <c r="G1998" t="s">
        <v>31</v>
      </c>
      <c r="J1998" t="s">
        <v>8319</v>
      </c>
      <c r="K1998" t="s">
        <v>1967</v>
      </c>
      <c r="L1998" t="s">
        <v>5738</v>
      </c>
      <c r="M1998" s="8">
        <v>0.06525</v>
      </c>
      <c r="N1998">
        <v>80.7856561622413</v>
      </c>
      <c r="O1998">
        <v>1340</v>
      </c>
      <c r="P1998" s="9">
        <v>0.201</v>
      </c>
      <c r="Q1998" t="s">
        <v>1685</v>
      </c>
      <c r="T1998" s="15" t="s">
        <v>69</v>
      </c>
      <c r="W1998" s="16" t="str">
        <f t="shared" si="164"/>
        <v>EN_WON_20_c02_SWE</v>
      </c>
      <c r="X1998" s="12">
        <f t="shared" si="165"/>
        <v>1340</v>
      </c>
      <c r="Y1998" s="11">
        <f t="shared" si="166"/>
        <v>1340</v>
      </c>
    </row>
    <row r="1999" spans="2:25">
      <c r="B1999" t="s">
        <v>26</v>
      </c>
      <c r="C1999" t="s">
        <v>8321</v>
      </c>
      <c r="D1999" t="s">
        <v>8322</v>
      </c>
      <c r="E1999" t="s">
        <v>29</v>
      </c>
      <c r="F1999" t="s">
        <v>30</v>
      </c>
      <c r="G1999" t="s">
        <v>31</v>
      </c>
      <c r="J1999" t="s">
        <v>8321</v>
      </c>
      <c r="K1999" t="s">
        <v>1967</v>
      </c>
      <c r="L1999" t="s">
        <v>5738</v>
      </c>
      <c r="M1999" s="8">
        <v>0.531</v>
      </c>
      <c r="N1999">
        <v>80.7856561622413</v>
      </c>
      <c r="O1999">
        <v>1340</v>
      </c>
      <c r="P1999" s="9">
        <v>0.213</v>
      </c>
      <c r="Q1999" t="s">
        <v>1685</v>
      </c>
      <c r="T1999" s="15" t="s">
        <v>69</v>
      </c>
      <c r="W1999" s="16" t="str">
        <f t="shared" si="164"/>
        <v>EN_WON_21_c02_SWE</v>
      </c>
      <c r="X1999" s="12">
        <f t="shared" si="165"/>
        <v>1340</v>
      </c>
      <c r="Y1999" s="11">
        <f t="shared" si="166"/>
        <v>1340</v>
      </c>
    </row>
    <row r="2000" spans="2:25">
      <c r="B2000" t="s">
        <v>26</v>
      </c>
      <c r="C2000" t="s">
        <v>8323</v>
      </c>
      <c r="D2000" t="s">
        <v>8324</v>
      </c>
      <c r="E2000" t="s">
        <v>29</v>
      </c>
      <c r="F2000" t="s">
        <v>30</v>
      </c>
      <c r="G2000" t="s">
        <v>31</v>
      </c>
      <c r="J2000" t="s">
        <v>8323</v>
      </c>
      <c r="K2000" t="s">
        <v>1967</v>
      </c>
      <c r="L2000" t="s">
        <v>5738</v>
      </c>
      <c r="M2000" s="8">
        <v>0.35025</v>
      </c>
      <c r="N2000">
        <v>0</v>
      </c>
      <c r="O2000">
        <v>1340</v>
      </c>
      <c r="P2000" s="9">
        <v>0.227002141327623</v>
      </c>
      <c r="Q2000" t="s">
        <v>1685</v>
      </c>
      <c r="T2000" s="15" t="s">
        <v>69</v>
      </c>
      <c r="W2000" s="16" t="str">
        <f t="shared" si="164"/>
        <v>EN_WON_23_c01_SWE</v>
      </c>
      <c r="X2000" s="12">
        <f t="shared" si="165"/>
        <v>1340</v>
      </c>
      <c r="Y2000" s="11">
        <f t="shared" si="166"/>
        <v>1340</v>
      </c>
    </row>
    <row r="2001" spans="2:25">
      <c r="B2001" t="s">
        <v>26</v>
      </c>
      <c r="C2001" t="s">
        <v>8325</v>
      </c>
      <c r="D2001" t="s">
        <v>8326</v>
      </c>
      <c r="E2001" t="s">
        <v>29</v>
      </c>
      <c r="F2001" t="s">
        <v>30</v>
      </c>
      <c r="G2001" t="s">
        <v>31</v>
      </c>
      <c r="J2001" t="s">
        <v>8325</v>
      </c>
      <c r="K2001" t="s">
        <v>1967</v>
      </c>
      <c r="L2001" t="s">
        <v>5738</v>
      </c>
      <c r="M2001" s="8">
        <v>0.7065</v>
      </c>
      <c r="N2001">
        <v>80.7856561622413</v>
      </c>
      <c r="O2001">
        <v>1340</v>
      </c>
      <c r="P2001" s="9">
        <v>0.244</v>
      </c>
      <c r="Q2001" t="s">
        <v>1685</v>
      </c>
      <c r="T2001" s="15" t="s">
        <v>69</v>
      </c>
      <c r="W2001" s="16" t="str">
        <f t="shared" si="164"/>
        <v>EN_WON_24_c02_SWE</v>
      </c>
      <c r="X2001" s="12">
        <f t="shared" si="165"/>
        <v>1340</v>
      </c>
      <c r="Y2001" s="11">
        <f t="shared" si="166"/>
        <v>1340</v>
      </c>
    </row>
    <row r="2002" spans="2:25">
      <c r="B2002" t="s">
        <v>26</v>
      </c>
      <c r="C2002" t="s">
        <v>8327</v>
      </c>
      <c r="D2002" t="s">
        <v>8328</v>
      </c>
      <c r="E2002" t="s">
        <v>29</v>
      </c>
      <c r="F2002" t="s">
        <v>30</v>
      </c>
      <c r="G2002" t="s">
        <v>31</v>
      </c>
      <c r="J2002" t="s">
        <v>8327</v>
      </c>
      <c r="K2002" t="s">
        <v>1967</v>
      </c>
      <c r="L2002" t="s">
        <v>5738</v>
      </c>
      <c r="M2002" s="8">
        <v>0.5295</v>
      </c>
      <c r="N2002">
        <v>0</v>
      </c>
      <c r="O2002">
        <v>1340</v>
      </c>
      <c r="P2002" s="9">
        <v>0.252842776203966</v>
      </c>
      <c r="Q2002" t="s">
        <v>1685</v>
      </c>
      <c r="T2002" s="15" t="s">
        <v>69</v>
      </c>
      <c r="W2002" s="16" t="str">
        <f t="shared" si="164"/>
        <v>EN_WON_25_c01_SWE</v>
      </c>
      <c r="X2002" s="12">
        <f t="shared" si="165"/>
        <v>1340</v>
      </c>
      <c r="Y2002" s="11">
        <f t="shared" si="166"/>
        <v>1340</v>
      </c>
    </row>
    <row r="2003" spans="2:25">
      <c r="B2003" t="s">
        <v>26</v>
      </c>
      <c r="C2003" t="s">
        <v>8329</v>
      </c>
      <c r="D2003" t="s">
        <v>8330</v>
      </c>
      <c r="E2003" t="s">
        <v>29</v>
      </c>
      <c r="F2003" t="s">
        <v>30</v>
      </c>
      <c r="G2003" t="s">
        <v>31</v>
      </c>
      <c r="J2003" t="s">
        <v>8329</v>
      </c>
      <c r="K2003" t="s">
        <v>1967</v>
      </c>
      <c r="L2003" t="s">
        <v>5738</v>
      </c>
      <c r="M2003" s="8">
        <v>2.544</v>
      </c>
      <c r="N2003">
        <v>0</v>
      </c>
      <c r="O2003">
        <v>1340</v>
      </c>
      <c r="P2003" s="9">
        <v>0.26005454009434</v>
      </c>
      <c r="Q2003" t="s">
        <v>1685</v>
      </c>
      <c r="T2003" s="15" t="s">
        <v>69</v>
      </c>
      <c r="W2003" s="16" t="str">
        <f t="shared" si="164"/>
        <v>EN_WON_26_c01_SWE</v>
      </c>
      <c r="X2003" s="12">
        <f t="shared" si="165"/>
        <v>1340</v>
      </c>
      <c r="Y2003" s="11">
        <f t="shared" si="166"/>
        <v>1340</v>
      </c>
    </row>
    <row r="2004" spans="2:25">
      <c r="B2004" t="s">
        <v>26</v>
      </c>
      <c r="C2004" t="s">
        <v>8331</v>
      </c>
      <c r="D2004" t="s">
        <v>8332</v>
      </c>
      <c r="E2004" t="s">
        <v>29</v>
      </c>
      <c r="F2004" t="s">
        <v>30</v>
      </c>
      <c r="G2004" t="s">
        <v>31</v>
      </c>
      <c r="J2004" t="s">
        <v>8331</v>
      </c>
      <c r="K2004" t="s">
        <v>1967</v>
      </c>
      <c r="L2004" t="s">
        <v>5738</v>
      </c>
      <c r="M2004" s="8">
        <v>1.059</v>
      </c>
      <c r="N2004">
        <v>0</v>
      </c>
      <c r="O2004">
        <v>1340</v>
      </c>
      <c r="P2004" s="9">
        <v>0.267209631728045</v>
      </c>
      <c r="Q2004" t="s">
        <v>1685</v>
      </c>
      <c r="T2004" s="15" t="s">
        <v>69</v>
      </c>
      <c r="W2004" s="16" t="str">
        <f t="shared" si="164"/>
        <v>EN_WON_27_c01_SWE</v>
      </c>
      <c r="X2004" s="12">
        <f t="shared" si="165"/>
        <v>1340</v>
      </c>
      <c r="Y2004" s="11">
        <f t="shared" si="166"/>
        <v>1340</v>
      </c>
    </row>
    <row r="2005" spans="2:25">
      <c r="B2005" t="s">
        <v>26</v>
      </c>
      <c r="C2005" t="s">
        <v>8333</v>
      </c>
      <c r="D2005" t="s">
        <v>8334</v>
      </c>
      <c r="E2005" t="s">
        <v>29</v>
      </c>
      <c r="F2005" t="s">
        <v>30</v>
      </c>
      <c r="G2005" t="s">
        <v>31</v>
      </c>
      <c r="J2005" t="s">
        <v>8333</v>
      </c>
      <c r="K2005" t="s">
        <v>1967</v>
      </c>
      <c r="L2005" t="s">
        <v>5738</v>
      </c>
      <c r="M2005" s="8">
        <v>3.14025</v>
      </c>
      <c r="N2005">
        <v>0</v>
      </c>
      <c r="O2005">
        <v>1340</v>
      </c>
      <c r="P2005" s="9">
        <v>0.282091712443277</v>
      </c>
      <c r="Q2005" t="s">
        <v>1685</v>
      </c>
      <c r="T2005" s="15" t="s">
        <v>69</v>
      </c>
      <c r="W2005" s="16" t="str">
        <f t="shared" si="164"/>
        <v>EN_WON_28_c01_SWE</v>
      </c>
      <c r="X2005" s="12">
        <f t="shared" si="165"/>
        <v>1340</v>
      </c>
      <c r="Y2005" s="11">
        <f t="shared" si="166"/>
        <v>1340</v>
      </c>
    </row>
    <row r="2006" spans="2:25">
      <c r="B2006" t="s">
        <v>26</v>
      </c>
      <c r="C2006" t="s">
        <v>8335</v>
      </c>
      <c r="D2006" t="s">
        <v>8336</v>
      </c>
      <c r="E2006" t="s">
        <v>29</v>
      </c>
      <c r="F2006" t="s">
        <v>30</v>
      </c>
      <c r="G2006" t="s">
        <v>31</v>
      </c>
      <c r="J2006" t="s">
        <v>8335</v>
      </c>
      <c r="K2006" t="s">
        <v>1967</v>
      </c>
      <c r="L2006" t="s">
        <v>5738</v>
      </c>
      <c r="M2006" s="8">
        <v>0.45825</v>
      </c>
      <c r="N2006">
        <v>0</v>
      </c>
      <c r="O2006">
        <v>1340</v>
      </c>
      <c r="P2006" s="9">
        <v>0.291450081833061</v>
      </c>
      <c r="Q2006" t="s">
        <v>1685</v>
      </c>
      <c r="T2006" s="15" t="s">
        <v>69</v>
      </c>
      <c r="W2006" s="16" t="str">
        <f t="shared" si="164"/>
        <v>EN_WON_29_c01_SWE</v>
      </c>
      <c r="X2006" s="12">
        <f t="shared" si="165"/>
        <v>1340</v>
      </c>
      <c r="Y2006" s="11">
        <f t="shared" si="166"/>
        <v>1340</v>
      </c>
    </row>
    <row r="2007" spans="2:25">
      <c r="B2007" t="s">
        <v>26</v>
      </c>
      <c r="C2007" t="s">
        <v>8337</v>
      </c>
      <c r="D2007" t="s">
        <v>8338</v>
      </c>
      <c r="E2007" t="s">
        <v>29</v>
      </c>
      <c r="F2007" t="s">
        <v>30</v>
      </c>
      <c r="G2007" t="s">
        <v>31</v>
      </c>
      <c r="J2007" t="s">
        <v>8337</v>
      </c>
      <c r="K2007" t="s">
        <v>1967</v>
      </c>
      <c r="L2007" t="s">
        <v>5738</v>
      </c>
      <c r="M2007" s="8">
        <v>6.52575</v>
      </c>
      <c r="N2007">
        <v>0</v>
      </c>
      <c r="O2007">
        <v>1340</v>
      </c>
      <c r="P2007" s="9">
        <v>0.298309159866682</v>
      </c>
      <c r="Q2007" t="s">
        <v>1685</v>
      </c>
      <c r="T2007" s="15" t="s">
        <v>69</v>
      </c>
      <c r="W2007" s="16" t="str">
        <f t="shared" si="164"/>
        <v>EN_WON_30_c01_SWE</v>
      </c>
      <c r="X2007" s="12">
        <f t="shared" si="165"/>
        <v>1340</v>
      </c>
      <c r="Y2007" s="11">
        <f t="shared" si="166"/>
        <v>1340</v>
      </c>
    </row>
    <row r="2008" spans="2:25">
      <c r="B2008" t="s">
        <v>26</v>
      </c>
      <c r="C2008" t="s">
        <v>8339</v>
      </c>
      <c r="D2008" t="s">
        <v>8340</v>
      </c>
      <c r="E2008" t="s">
        <v>29</v>
      </c>
      <c r="F2008" t="s">
        <v>30</v>
      </c>
      <c r="G2008" t="s">
        <v>31</v>
      </c>
      <c r="J2008" t="s">
        <v>8339</v>
      </c>
      <c r="K2008" t="s">
        <v>1967</v>
      </c>
      <c r="L2008" t="s">
        <v>5738</v>
      </c>
      <c r="M2008" s="8">
        <v>0.15825</v>
      </c>
      <c r="N2008">
        <v>80.7856561622413</v>
      </c>
      <c r="O2008">
        <v>1340</v>
      </c>
      <c r="P2008" s="9">
        <v>0.295</v>
      </c>
      <c r="Q2008" t="s">
        <v>1685</v>
      </c>
      <c r="T2008" s="15" t="s">
        <v>69</v>
      </c>
      <c r="W2008" s="16" t="str">
        <f t="shared" si="164"/>
        <v>EN_WON_30_c02_SWE</v>
      </c>
      <c r="X2008" s="12">
        <f t="shared" si="165"/>
        <v>1340</v>
      </c>
      <c r="Y2008" s="11">
        <f t="shared" si="166"/>
        <v>1340</v>
      </c>
    </row>
    <row r="2009" spans="2:25">
      <c r="B2009" t="s">
        <v>26</v>
      </c>
      <c r="C2009" t="s">
        <v>8341</v>
      </c>
      <c r="D2009" t="s">
        <v>8342</v>
      </c>
      <c r="E2009" t="s">
        <v>29</v>
      </c>
      <c r="F2009" t="s">
        <v>30</v>
      </c>
      <c r="G2009" t="s">
        <v>31</v>
      </c>
      <c r="J2009" t="s">
        <v>8341</v>
      </c>
      <c r="K2009" t="s">
        <v>1967</v>
      </c>
      <c r="L2009" t="s">
        <v>5738</v>
      </c>
      <c r="M2009" s="8">
        <v>5.88975</v>
      </c>
      <c r="N2009">
        <v>0</v>
      </c>
      <c r="O2009">
        <v>1340</v>
      </c>
      <c r="P2009" s="9">
        <v>0.31175321533172</v>
      </c>
      <c r="Q2009" t="s">
        <v>1685</v>
      </c>
      <c r="T2009" s="15" t="s">
        <v>69</v>
      </c>
      <c r="W2009" s="16" t="str">
        <f t="shared" si="164"/>
        <v>EN_WON_31_c01_SWE</v>
      </c>
      <c r="X2009" s="12">
        <f t="shared" si="165"/>
        <v>1340</v>
      </c>
      <c r="Y2009" s="11">
        <f t="shared" si="166"/>
        <v>1340</v>
      </c>
    </row>
    <row r="2010" spans="2:25">
      <c r="B2010" t="s">
        <v>26</v>
      </c>
      <c r="C2010" t="s">
        <v>8343</v>
      </c>
      <c r="D2010" t="s">
        <v>8344</v>
      </c>
      <c r="E2010" t="s">
        <v>29</v>
      </c>
      <c r="F2010" t="s">
        <v>30</v>
      </c>
      <c r="G2010" t="s">
        <v>31</v>
      </c>
      <c r="J2010" t="s">
        <v>8343</v>
      </c>
      <c r="K2010" t="s">
        <v>1967</v>
      </c>
      <c r="L2010" t="s">
        <v>5738</v>
      </c>
      <c r="M2010" s="8">
        <v>5.709</v>
      </c>
      <c r="N2010">
        <v>0</v>
      </c>
      <c r="O2010">
        <v>1340</v>
      </c>
      <c r="P2010" s="9">
        <v>0.318472411981082</v>
      </c>
      <c r="Q2010" t="s">
        <v>1685</v>
      </c>
      <c r="T2010" s="15" t="s">
        <v>69</v>
      </c>
      <c r="W2010" s="16" t="str">
        <f t="shared" si="164"/>
        <v>EN_WON_32_c01_SWE</v>
      </c>
      <c r="X2010" s="12">
        <f t="shared" si="165"/>
        <v>1340</v>
      </c>
      <c r="Y2010" s="11">
        <f t="shared" si="166"/>
        <v>1340</v>
      </c>
    </row>
    <row r="2011" spans="2:25">
      <c r="B2011" t="s">
        <v>26</v>
      </c>
      <c r="C2011" t="s">
        <v>8345</v>
      </c>
      <c r="D2011" t="s">
        <v>8346</v>
      </c>
      <c r="E2011" t="s">
        <v>29</v>
      </c>
      <c r="F2011" t="s">
        <v>30</v>
      </c>
      <c r="G2011" t="s">
        <v>31</v>
      </c>
      <c r="J2011" t="s">
        <v>8345</v>
      </c>
      <c r="K2011" t="s">
        <v>1967</v>
      </c>
      <c r="L2011" t="s">
        <v>5738</v>
      </c>
      <c r="M2011" s="8">
        <v>0.0555</v>
      </c>
      <c r="N2011">
        <v>80.7856561622413</v>
      </c>
      <c r="O2011">
        <v>1340</v>
      </c>
      <c r="P2011" s="9">
        <v>0.322</v>
      </c>
      <c r="Q2011" t="s">
        <v>1685</v>
      </c>
      <c r="T2011" s="15" t="s">
        <v>69</v>
      </c>
      <c r="W2011" s="16" t="str">
        <f t="shared" si="164"/>
        <v>EN_WON_32_c02_SWE</v>
      </c>
      <c r="X2011" s="12">
        <f t="shared" si="165"/>
        <v>1340</v>
      </c>
      <c r="Y2011" s="11">
        <f t="shared" si="166"/>
        <v>1340</v>
      </c>
    </row>
    <row r="2012" spans="2:25">
      <c r="B2012" t="s">
        <v>26</v>
      </c>
      <c r="C2012" t="s">
        <v>8347</v>
      </c>
      <c r="D2012" t="s">
        <v>8348</v>
      </c>
      <c r="E2012" t="s">
        <v>29</v>
      </c>
      <c r="F2012" t="s">
        <v>30</v>
      </c>
      <c r="G2012" t="s">
        <v>31</v>
      </c>
      <c r="J2012" t="s">
        <v>8347</v>
      </c>
      <c r="K2012" t="s">
        <v>1967</v>
      </c>
      <c r="L2012" t="s">
        <v>5738</v>
      </c>
      <c r="M2012" s="8">
        <v>4.12575</v>
      </c>
      <c r="N2012">
        <v>0</v>
      </c>
      <c r="O2012">
        <v>1340</v>
      </c>
      <c r="P2012" s="9">
        <v>0.327678240319942</v>
      </c>
      <c r="Q2012" t="s">
        <v>1685</v>
      </c>
      <c r="T2012" s="15" t="s">
        <v>69</v>
      </c>
      <c r="W2012" s="16" t="str">
        <f t="shared" si="164"/>
        <v>EN_WON_33_c01_SWE</v>
      </c>
      <c r="X2012" s="12">
        <f t="shared" si="165"/>
        <v>1340</v>
      </c>
      <c r="Y2012" s="11">
        <f t="shared" si="166"/>
        <v>1340</v>
      </c>
    </row>
    <row r="2013" spans="2:25">
      <c r="B2013" t="s">
        <v>26</v>
      </c>
      <c r="C2013" t="s">
        <v>8349</v>
      </c>
      <c r="D2013" t="s">
        <v>8350</v>
      </c>
      <c r="E2013" t="s">
        <v>29</v>
      </c>
      <c r="F2013" t="s">
        <v>30</v>
      </c>
      <c r="G2013" t="s">
        <v>31</v>
      </c>
      <c r="J2013" t="s">
        <v>8349</v>
      </c>
      <c r="K2013" t="s">
        <v>1967</v>
      </c>
      <c r="L2013" t="s">
        <v>5738</v>
      </c>
      <c r="M2013" s="8">
        <v>7.404</v>
      </c>
      <c r="N2013">
        <v>0</v>
      </c>
      <c r="O2013">
        <v>1340</v>
      </c>
      <c r="P2013" s="9">
        <v>0.338690640194489</v>
      </c>
      <c r="Q2013" t="s">
        <v>1685</v>
      </c>
      <c r="T2013" s="15" t="s">
        <v>69</v>
      </c>
      <c r="W2013" s="16" t="str">
        <f t="shared" si="164"/>
        <v>EN_WON_34_c01_SWE</v>
      </c>
      <c r="X2013" s="12">
        <f t="shared" si="165"/>
        <v>1340</v>
      </c>
      <c r="Y2013" s="11">
        <f t="shared" si="166"/>
        <v>1340</v>
      </c>
    </row>
    <row r="2014" spans="2:25">
      <c r="B2014" t="s">
        <v>26</v>
      </c>
      <c r="C2014" t="s">
        <v>8351</v>
      </c>
      <c r="D2014" t="s">
        <v>8352</v>
      </c>
      <c r="E2014" t="s">
        <v>29</v>
      </c>
      <c r="F2014" t="s">
        <v>30</v>
      </c>
      <c r="G2014" t="s">
        <v>31</v>
      </c>
      <c r="J2014" t="s">
        <v>8351</v>
      </c>
      <c r="K2014" t="s">
        <v>1967</v>
      </c>
      <c r="L2014" t="s">
        <v>5738</v>
      </c>
      <c r="M2014" s="8">
        <v>0.45225</v>
      </c>
      <c r="N2014">
        <v>0</v>
      </c>
      <c r="O2014">
        <v>1340</v>
      </c>
      <c r="P2014" s="9">
        <v>0.346</v>
      </c>
      <c r="Q2014" t="s">
        <v>1685</v>
      </c>
      <c r="T2014" s="15" t="s">
        <v>69</v>
      </c>
      <c r="W2014" s="16" t="str">
        <f t="shared" si="164"/>
        <v>EN_WON_35_c01_SWE</v>
      </c>
      <c r="X2014" s="12">
        <f t="shared" si="165"/>
        <v>1340</v>
      </c>
      <c r="Y2014" s="11">
        <f t="shared" si="166"/>
        <v>1340</v>
      </c>
    </row>
    <row r="2015" spans="2:25">
      <c r="B2015" t="s">
        <v>26</v>
      </c>
      <c r="C2015" t="s">
        <v>8353</v>
      </c>
      <c r="D2015" t="s">
        <v>8354</v>
      </c>
      <c r="E2015" t="s">
        <v>29</v>
      </c>
      <c r="F2015" t="s">
        <v>30</v>
      </c>
      <c r="G2015" t="s">
        <v>31</v>
      </c>
      <c r="J2015" t="s">
        <v>8353</v>
      </c>
      <c r="K2015" t="s">
        <v>1967</v>
      </c>
      <c r="L2015" t="s">
        <v>5738</v>
      </c>
      <c r="M2015" s="8">
        <v>7.116</v>
      </c>
      <c r="N2015">
        <v>0</v>
      </c>
      <c r="O2015">
        <v>1340</v>
      </c>
      <c r="P2015" s="9">
        <v>0.358593064924115</v>
      </c>
      <c r="Q2015" t="s">
        <v>1685</v>
      </c>
      <c r="T2015" s="15" t="s">
        <v>69</v>
      </c>
      <c r="W2015" s="16" t="str">
        <f t="shared" si="164"/>
        <v>EN_WON_36_c01_SWE</v>
      </c>
      <c r="X2015" s="12">
        <f t="shared" si="165"/>
        <v>1340</v>
      </c>
      <c r="Y2015" s="11">
        <f t="shared" si="166"/>
        <v>1340</v>
      </c>
    </row>
    <row r="2016" spans="2:25">
      <c r="B2016" t="s">
        <v>26</v>
      </c>
      <c r="C2016" t="s">
        <v>8355</v>
      </c>
      <c r="D2016" t="s">
        <v>8356</v>
      </c>
      <c r="E2016" t="s">
        <v>29</v>
      </c>
      <c r="F2016" t="s">
        <v>30</v>
      </c>
      <c r="G2016" t="s">
        <v>31</v>
      </c>
      <c r="J2016" t="s">
        <v>8355</v>
      </c>
      <c r="K2016" t="s">
        <v>1967</v>
      </c>
      <c r="L2016" t="s">
        <v>5738</v>
      </c>
      <c r="M2016" s="8">
        <v>0.5265</v>
      </c>
      <c r="N2016">
        <v>0</v>
      </c>
      <c r="O2016">
        <v>1340</v>
      </c>
      <c r="P2016" s="9">
        <v>0.366555555555556</v>
      </c>
      <c r="Q2016" t="s">
        <v>1685</v>
      </c>
      <c r="T2016" s="15" t="s">
        <v>69</v>
      </c>
      <c r="W2016" s="16" t="str">
        <f t="shared" si="164"/>
        <v>EN_WON_37_c01_SWE</v>
      </c>
      <c r="X2016" s="12">
        <f t="shared" si="165"/>
        <v>1340</v>
      </c>
      <c r="Y2016" s="11">
        <f t="shared" si="166"/>
        <v>1340</v>
      </c>
    </row>
    <row r="2017" spans="2:25">
      <c r="B2017" t="s">
        <v>26</v>
      </c>
      <c r="C2017" t="s">
        <v>8357</v>
      </c>
      <c r="D2017" t="s">
        <v>8358</v>
      </c>
      <c r="E2017" t="s">
        <v>29</v>
      </c>
      <c r="F2017" t="s">
        <v>30</v>
      </c>
      <c r="G2017" t="s">
        <v>31</v>
      </c>
      <c r="J2017" t="s">
        <v>8357</v>
      </c>
      <c r="K2017" t="s">
        <v>1967</v>
      </c>
      <c r="L2017" t="s">
        <v>5738</v>
      </c>
      <c r="M2017" s="8">
        <v>0.858</v>
      </c>
      <c r="N2017">
        <v>0</v>
      </c>
      <c r="O2017">
        <v>1340</v>
      </c>
      <c r="P2017" s="9">
        <v>0.376817307692308</v>
      </c>
      <c r="Q2017" t="s">
        <v>1685</v>
      </c>
      <c r="T2017" s="15" t="s">
        <v>69</v>
      </c>
      <c r="W2017" s="16" t="str">
        <f t="shared" si="164"/>
        <v>EN_WON_38_c01_SWE</v>
      </c>
      <c r="X2017" s="12">
        <f t="shared" si="165"/>
        <v>1340</v>
      </c>
      <c r="Y2017" s="11">
        <f t="shared" si="166"/>
        <v>1340</v>
      </c>
    </row>
    <row r="2018" spans="2:25">
      <c r="B2018" t="s">
        <v>26</v>
      </c>
      <c r="C2018" t="s">
        <v>8359</v>
      </c>
      <c r="D2018" t="s">
        <v>8360</v>
      </c>
      <c r="E2018" t="s">
        <v>29</v>
      </c>
      <c r="F2018" t="s">
        <v>30</v>
      </c>
      <c r="G2018" t="s">
        <v>31</v>
      </c>
      <c r="J2018" t="s">
        <v>8359</v>
      </c>
      <c r="K2018" t="s">
        <v>1967</v>
      </c>
      <c r="L2018" t="s">
        <v>5738</v>
      </c>
      <c r="M2018" s="8">
        <v>0.3075</v>
      </c>
      <c r="N2018">
        <v>0</v>
      </c>
      <c r="O2018">
        <v>1340</v>
      </c>
      <c r="P2018" s="9">
        <v>0.388051219512195</v>
      </c>
      <c r="Q2018" t="s">
        <v>1685</v>
      </c>
      <c r="T2018" s="15" t="s">
        <v>69</v>
      </c>
      <c r="W2018" s="16" t="str">
        <f t="shared" si="164"/>
        <v>EN_WON_39_c01_SWE</v>
      </c>
      <c r="X2018" s="12">
        <f t="shared" si="165"/>
        <v>1340</v>
      </c>
      <c r="Y2018" s="11">
        <f t="shared" si="166"/>
        <v>1340</v>
      </c>
    </row>
    <row r="2019" spans="2:25">
      <c r="B2019" t="s">
        <v>26</v>
      </c>
      <c r="C2019" t="s">
        <v>8361</v>
      </c>
      <c r="D2019" t="s">
        <v>8362</v>
      </c>
      <c r="E2019" t="s">
        <v>29</v>
      </c>
      <c r="F2019" t="s">
        <v>30</v>
      </c>
      <c r="G2019" t="s">
        <v>31</v>
      </c>
      <c r="J2019" t="s">
        <v>8361</v>
      </c>
      <c r="K2019" t="s">
        <v>1967</v>
      </c>
      <c r="L2019" t="s">
        <v>5738</v>
      </c>
      <c r="M2019" s="8">
        <v>0.093</v>
      </c>
      <c r="N2019">
        <v>0</v>
      </c>
      <c r="O2019">
        <v>1340</v>
      </c>
      <c r="P2019" s="9">
        <v>0.396</v>
      </c>
      <c r="Q2019" t="s">
        <v>1685</v>
      </c>
      <c r="T2019" s="15" t="s">
        <v>69</v>
      </c>
      <c r="W2019" s="16" t="str">
        <f t="shared" si="164"/>
        <v>EN_WON_40_c01_SWE</v>
      </c>
      <c r="X2019" s="12">
        <f t="shared" si="165"/>
        <v>1340</v>
      </c>
      <c r="Y2019" s="11">
        <f t="shared" si="166"/>
        <v>1340</v>
      </c>
    </row>
    <row r="2020" spans="2:25">
      <c r="B2020" t="s">
        <v>26</v>
      </c>
      <c r="C2020" t="s">
        <v>8363</v>
      </c>
      <c r="D2020" t="s">
        <v>8364</v>
      </c>
      <c r="E2020" t="s">
        <v>29</v>
      </c>
      <c r="F2020" t="s">
        <v>30</v>
      </c>
      <c r="G2020" t="s">
        <v>31</v>
      </c>
      <c r="J2020" t="s">
        <v>8363</v>
      </c>
      <c r="K2020" t="s">
        <v>1967</v>
      </c>
      <c r="L2020" t="s">
        <v>5738</v>
      </c>
      <c r="M2020" s="8">
        <v>0.066</v>
      </c>
      <c r="N2020">
        <v>0</v>
      </c>
      <c r="O2020">
        <v>1340</v>
      </c>
      <c r="P2020" s="9">
        <v>0.41</v>
      </c>
      <c r="Q2020" t="s">
        <v>1685</v>
      </c>
      <c r="T2020" s="15" t="s">
        <v>69</v>
      </c>
      <c r="W2020" s="16" t="str">
        <f t="shared" si="164"/>
        <v>EN_WON_41_c01_SWE</v>
      </c>
      <c r="X2020" s="12">
        <f t="shared" si="165"/>
        <v>1340</v>
      </c>
      <c r="Y2020" s="11">
        <f t="shared" si="166"/>
        <v>1340</v>
      </c>
    </row>
    <row r="2021" spans="2:25">
      <c r="B2021" t="s">
        <v>26</v>
      </c>
      <c r="C2021" t="s">
        <v>8365</v>
      </c>
      <c r="D2021" t="s">
        <v>8366</v>
      </c>
      <c r="E2021" t="s">
        <v>29</v>
      </c>
      <c r="F2021" t="s">
        <v>30</v>
      </c>
      <c r="G2021" t="s">
        <v>31</v>
      </c>
      <c r="J2021" t="s">
        <v>8365</v>
      </c>
      <c r="K2021" t="s">
        <v>1967</v>
      </c>
      <c r="L2021" t="s">
        <v>5738</v>
      </c>
      <c r="M2021" s="8">
        <v>0.00525</v>
      </c>
      <c r="N2021">
        <v>0</v>
      </c>
      <c r="O2021">
        <v>1340</v>
      </c>
      <c r="P2021" s="9">
        <v>0.416</v>
      </c>
      <c r="Q2021" t="s">
        <v>1685</v>
      </c>
      <c r="T2021" s="15" t="s">
        <v>69</v>
      </c>
      <c r="W2021" s="16" t="str">
        <f t="shared" si="164"/>
        <v>EN_WON_42_c01_SWE</v>
      </c>
      <c r="X2021" s="12">
        <f t="shared" si="165"/>
        <v>1340</v>
      </c>
      <c r="Y2021" s="11">
        <f t="shared" si="166"/>
        <v>1340</v>
      </c>
    </row>
    <row r="2022" spans="2:25">
      <c r="B2022" t="s">
        <v>26</v>
      </c>
      <c r="C2022" t="s">
        <v>8367</v>
      </c>
      <c r="D2022" t="s">
        <v>8368</v>
      </c>
      <c r="E2022" t="s">
        <v>29</v>
      </c>
      <c r="F2022" t="s">
        <v>30</v>
      </c>
      <c r="G2022" t="s">
        <v>31</v>
      </c>
      <c r="J2022" t="s">
        <v>8367</v>
      </c>
      <c r="K2022" t="s">
        <v>1967</v>
      </c>
      <c r="L2022" t="s">
        <v>5738</v>
      </c>
      <c r="M2022" s="8">
        <v>0.03375</v>
      </c>
      <c r="N2022">
        <v>0</v>
      </c>
      <c r="O2022">
        <v>1340</v>
      </c>
      <c r="P2022" s="9">
        <v>0.431</v>
      </c>
      <c r="Q2022" t="s">
        <v>1685</v>
      </c>
      <c r="T2022" s="15" t="s">
        <v>69</v>
      </c>
      <c r="W2022" s="16" t="str">
        <f t="shared" si="164"/>
        <v>EN_WON_43_c01_SWE</v>
      </c>
      <c r="X2022" s="12">
        <f t="shared" si="165"/>
        <v>1340</v>
      </c>
      <c r="Y2022" s="11">
        <f t="shared" si="166"/>
        <v>1340</v>
      </c>
    </row>
    <row r="2023" spans="2:25">
      <c r="B2023" t="s">
        <v>26</v>
      </c>
      <c r="C2023" t="s">
        <v>8369</v>
      </c>
      <c r="D2023" t="s">
        <v>8370</v>
      </c>
      <c r="E2023" t="s">
        <v>29</v>
      </c>
      <c r="F2023" t="s">
        <v>30</v>
      </c>
      <c r="G2023" t="s">
        <v>31</v>
      </c>
      <c r="J2023" t="s">
        <v>8369</v>
      </c>
      <c r="K2023" t="s">
        <v>1967</v>
      </c>
      <c r="L2023" t="s">
        <v>8371</v>
      </c>
      <c r="M2023" s="8">
        <v>0.33225</v>
      </c>
      <c r="N2023">
        <v>105.747516212372</v>
      </c>
      <c r="O2023">
        <v>1952</v>
      </c>
      <c r="P2023" s="9">
        <v>0.178</v>
      </c>
      <c r="Q2023" t="s">
        <v>1695</v>
      </c>
      <c r="T2023" s="15" t="s">
        <v>54</v>
      </c>
      <c r="W2023" s="16" t="str">
        <f t="shared" si="164"/>
        <v>EN_WON_18_c03_SWZ</v>
      </c>
      <c r="X2023" s="12">
        <f t="shared" si="165"/>
        <v>1952</v>
      </c>
      <c r="Y2023" s="11">
        <f t="shared" si="166"/>
        <v>1952</v>
      </c>
    </row>
    <row r="2024" spans="2:25">
      <c r="B2024" t="s">
        <v>26</v>
      </c>
      <c r="C2024" t="s">
        <v>8372</v>
      </c>
      <c r="D2024" t="s">
        <v>8373</v>
      </c>
      <c r="E2024" t="s">
        <v>29</v>
      </c>
      <c r="F2024" t="s">
        <v>30</v>
      </c>
      <c r="G2024" t="s">
        <v>31</v>
      </c>
      <c r="J2024" t="s">
        <v>8372</v>
      </c>
      <c r="K2024" t="s">
        <v>1967</v>
      </c>
      <c r="L2024" t="s">
        <v>8371</v>
      </c>
      <c r="M2024" s="8">
        <v>1.299</v>
      </c>
      <c r="N2024">
        <v>105.747516212372</v>
      </c>
      <c r="O2024">
        <v>1952</v>
      </c>
      <c r="P2024" s="9">
        <v>0.191758660508083</v>
      </c>
      <c r="Q2024" t="s">
        <v>1695</v>
      </c>
      <c r="T2024" s="15" t="s">
        <v>54</v>
      </c>
      <c r="W2024" s="16" t="str">
        <f t="shared" si="164"/>
        <v>EN_WON_19_c03_SWZ</v>
      </c>
      <c r="X2024" s="12">
        <f t="shared" si="165"/>
        <v>1952</v>
      </c>
      <c r="Y2024" s="11">
        <f t="shared" si="166"/>
        <v>1952</v>
      </c>
    </row>
    <row r="2025" spans="2:25">
      <c r="B2025" t="s">
        <v>26</v>
      </c>
      <c r="C2025" t="s">
        <v>8374</v>
      </c>
      <c r="D2025" t="s">
        <v>8375</v>
      </c>
      <c r="E2025" t="s">
        <v>29</v>
      </c>
      <c r="F2025" t="s">
        <v>30</v>
      </c>
      <c r="G2025" t="s">
        <v>31</v>
      </c>
      <c r="J2025" t="s">
        <v>8374</v>
      </c>
      <c r="K2025" t="s">
        <v>1967</v>
      </c>
      <c r="L2025" t="s">
        <v>8371</v>
      </c>
      <c r="M2025" s="8">
        <v>1.75875</v>
      </c>
      <c r="N2025">
        <v>105.747516212372</v>
      </c>
      <c r="O2025">
        <v>1952</v>
      </c>
      <c r="P2025" s="9">
        <v>0.207110021321962</v>
      </c>
      <c r="Q2025" t="s">
        <v>1695</v>
      </c>
      <c r="T2025" s="15" t="s">
        <v>54</v>
      </c>
      <c r="W2025" s="16" t="str">
        <f t="shared" si="164"/>
        <v>EN_WON_21_c03_SWZ</v>
      </c>
      <c r="X2025" s="12">
        <f t="shared" si="165"/>
        <v>1952</v>
      </c>
      <c r="Y2025" s="11">
        <f t="shared" si="166"/>
        <v>1952</v>
      </c>
    </row>
    <row r="2026" spans="2:25">
      <c r="B2026" t="s">
        <v>26</v>
      </c>
      <c r="C2026" t="s">
        <v>8376</v>
      </c>
      <c r="D2026" t="s">
        <v>8377</v>
      </c>
      <c r="E2026" t="s">
        <v>29</v>
      </c>
      <c r="F2026" t="s">
        <v>30</v>
      </c>
      <c r="G2026" t="s">
        <v>31</v>
      </c>
      <c r="J2026" t="s">
        <v>8376</v>
      </c>
      <c r="K2026" t="s">
        <v>1967</v>
      </c>
      <c r="L2026" t="s">
        <v>5821</v>
      </c>
      <c r="M2026" s="8">
        <v>9.3855</v>
      </c>
      <c r="N2026">
        <v>0</v>
      </c>
      <c r="O2026">
        <v>1756</v>
      </c>
      <c r="P2026" s="9">
        <v>0.347459725107879</v>
      </c>
      <c r="Q2026" t="s">
        <v>1703</v>
      </c>
      <c r="T2026" s="15" t="s">
        <v>80</v>
      </c>
      <c r="W2026" s="16" t="str">
        <f t="shared" si="164"/>
        <v>EN_WON_35_c01_SYR</v>
      </c>
      <c r="X2026" s="12">
        <f t="shared" si="165"/>
        <v>1756</v>
      </c>
      <c r="Y2026" s="11">
        <f t="shared" si="166"/>
        <v>1756</v>
      </c>
    </row>
    <row r="2027" spans="2:25">
      <c r="B2027" t="s">
        <v>26</v>
      </c>
      <c r="C2027" t="s">
        <v>8378</v>
      </c>
      <c r="D2027" t="s">
        <v>8379</v>
      </c>
      <c r="E2027" t="s">
        <v>29</v>
      </c>
      <c r="F2027" t="s">
        <v>30</v>
      </c>
      <c r="G2027" t="s">
        <v>31</v>
      </c>
      <c r="J2027" t="s">
        <v>8378</v>
      </c>
      <c r="K2027" t="s">
        <v>1967</v>
      </c>
      <c r="L2027" t="s">
        <v>5821</v>
      </c>
      <c r="M2027" s="8">
        <v>6.1845</v>
      </c>
      <c r="N2027">
        <v>0</v>
      </c>
      <c r="O2027">
        <v>1756</v>
      </c>
      <c r="P2027" s="9">
        <v>0.36</v>
      </c>
      <c r="Q2027" t="s">
        <v>1703</v>
      </c>
      <c r="T2027" s="15" t="s">
        <v>80</v>
      </c>
      <c r="W2027" s="16" t="str">
        <f t="shared" si="164"/>
        <v>EN_WON_36_c01_SYR</v>
      </c>
      <c r="X2027" s="12">
        <f t="shared" si="165"/>
        <v>1756</v>
      </c>
      <c r="Y2027" s="11">
        <f t="shared" si="166"/>
        <v>1756</v>
      </c>
    </row>
    <row r="2028" spans="2:25">
      <c r="B2028" t="s">
        <v>26</v>
      </c>
      <c r="C2028" t="s">
        <v>8380</v>
      </c>
      <c r="D2028" t="s">
        <v>8381</v>
      </c>
      <c r="E2028" t="s">
        <v>29</v>
      </c>
      <c r="F2028" t="s">
        <v>30</v>
      </c>
      <c r="G2028" t="s">
        <v>31</v>
      </c>
      <c r="J2028" t="s">
        <v>8380</v>
      </c>
      <c r="K2028" t="s">
        <v>1967</v>
      </c>
      <c r="L2028" t="s">
        <v>5821</v>
      </c>
      <c r="M2028" s="8">
        <v>4.0125</v>
      </c>
      <c r="N2028">
        <v>80.7856561622413</v>
      </c>
      <c r="O2028">
        <v>1756</v>
      </c>
      <c r="P2028" s="9">
        <v>0.364</v>
      </c>
      <c r="Q2028" t="s">
        <v>1703</v>
      </c>
      <c r="T2028" s="15" t="s">
        <v>80</v>
      </c>
      <c r="W2028" s="16" t="str">
        <f t="shared" si="164"/>
        <v>EN_WON_36_c02_SYR</v>
      </c>
      <c r="X2028" s="12">
        <f t="shared" si="165"/>
        <v>1756</v>
      </c>
      <c r="Y2028" s="11">
        <f t="shared" si="166"/>
        <v>1756</v>
      </c>
    </row>
    <row r="2029" spans="2:25">
      <c r="B2029" t="s">
        <v>26</v>
      </c>
      <c r="C2029" t="s">
        <v>8382</v>
      </c>
      <c r="D2029" t="s">
        <v>8383</v>
      </c>
      <c r="E2029" t="s">
        <v>29</v>
      </c>
      <c r="F2029" t="s">
        <v>30</v>
      </c>
      <c r="G2029" t="s">
        <v>31</v>
      </c>
      <c r="J2029" t="s">
        <v>8382</v>
      </c>
      <c r="K2029" t="s">
        <v>1967</v>
      </c>
      <c r="L2029" t="s">
        <v>5821</v>
      </c>
      <c r="M2029" s="8">
        <v>5.1225</v>
      </c>
      <c r="N2029">
        <v>0</v>
      </c>
      <c r="O2029">
        <v>1756</v>
      </c>
      <c r="P2029" s="9">
        <v>0.38</v>
      </c>
      <c r="Q2029" t="s">
        <v>1703</v>
      </c>
      <c r="T2029" s="15" t="s">
        <v>80</v>
      </c>
      <c r="W2029" s="16" t="str">
        <f t="shared" si="164"/>
        <v>EN_WON_38_c01_SYR</v>
      </c>
      <c r="X2029" s="12">
        <f t="shared" si="165"/>
        <v>1756</v>
      </c>
      <c r="Y2029" s="11">
        <f t="shared" si="166"/>
        <v>1756</v>
      </c>
    </row>
    <row r="2030" spans="2:25">
      <c r="B2030" t="s">
        <v>26</v>
      </c>
      <c r="C2030" t="s">
        <v>8384</v>
      </c>
      <c r="D2030" t="s">
        <v>8385</v>
      </c>
      <c r="E2030" t="s">
        <v>29</v>
      </c>
      <c r="F2030" t="s">
        <v>30</v>
      </c>
      <c r="G2030" t="s">
        <v>31</v>
      </c>
      <c r="J2030" t="s">
        <v>8384</v>
      </c>
      <c r="K2030" t="s">
        <v>1967</v>
      </c>
      <c r="L2030" t="s">
        <v>5821</v>
      </c>
      <c r="M2030" s="8">
        <v>6.381</v>
      </c>
      <c r="N2030">
        <v>0</v>
      </c>
      <c r="O2030">
        <v>1756</v>
      </c>
      <c r="P2030" s="9">
        <v>0.39</v>
      </c>
      <c r="Q2030" t="s">
        <v>1703</v>
      </c>
      <c r="T2030" s="15" t="s">
        <v>80</v>
      </c>
      <c r="W2030" s="16" t="str">
        <f t="shared" si="164"/>
        <v>EN_WON_39_c01_SYR</v>
      </c>
      <c r="X2030" s="12">
        <f t="shared" si="165"/>
        <v>1756</v>
      </c>
      <c r="Y2030" s="11">
        <f t="shared" si="166"/>
        <v>1756</v>
      </c>
    </row>
    <row r="2031" spans="2:25">
      <c r="B2031" t="s">
        <v>26</v>
      </c>
      <c r="C2031" t="s">
        <v>8386</v>
      </c>
      <c r="D2031" t="s">
        <v>8387</v>
      </c>
      <c r="E2031" t="s">
        <v>29</v>
      </c>
      <c r="F2031" t="s">
        <v>30</v>
      </c>
      <c r="G2031" t="s">
        <v>31</v>
      </c>
      <c r="J2031" t="s">
        <v>8386</v>
      </c>
      <c r="K2031" t="s">
        <v>1967</v>
      </c>
      <c r="L2031" t="s">
        <v>5821</v>
      </c>
      <c r="M2031" s="8">
        <v>5.17275</v>
      </c>
      <c r="N2031">
        <v>0</v>
      </c>
      <c r="O2031">
        <v>1756</v>
      </c>
      <c r="P2031" s="9">
        <v>0.405</v>
      </c>
      <c r="Q2031" t="s">
        <v>1703</v>
      </c>
      <c r="T2031" s="15" t="s">
        <v>80</v>
      </c>
      <c r="W2031" s="16" t="str">
        <f t="shared" si="164"/>
        <v>EN_WON_41_c01_SYR</v>
      </c>
      <c r="X2031" s="12">
        <f t="shared" si="165"/>
        <v>1756</v>
      </c>
      <c r="Y2031" s="11">
        <f t="shared" si="166"/>
        <v>1756</v>
      </c>
    </row>
    <row r="2032" spans="2:25">
      <c r="B2032" t="s">
        <v>26</v>
      </c>
      <c r="C2032" t="s">
        <v>8388</v>
      </c>
      <c r="D2032" t="s">
        <v>8389</v>
      </c>
      <c r="E2032" t="s">
        <v>29</v>
      </c>
      <c r="F2032" t="s">
        <v>30</v>
      </c>
      <c r="G2032" t="s">
        <v>31</v>
      </c>
      <c r="J2032" t="s">
        <v>8388</v>
      </c>
      <c r="K2032" t="s">
        <v>1967</v>
      </c>
      <c r="L2032" t="s">
        <v>5821</v>
      </c>
      <c r="M2032" s="8">
        <v>6.4215</v>
      </c>
      <c r="N2032">
        <v>0</v>
      </c>
      <c r="O2032">
        <v>1756</v>
      </c>
      <c r="P2032" s="9">
        <v>0.429</v>
      </c>
      <c r="Q2032" t="s">
        <v>1703</v>
      </c>
      <c r="T2032" s="15" t="s">
        <v>80</v>
      </c>
      <c r="W2032" s="16" t="str">
        <f t="shared" si="164"/>
        <v>EN_WON_43_c01_SYR</v>
      </c>
      <c r="X2032" s="12">
        <f t="shared" si="165"/>
        <v>1756</v>
      </c>
      <c r="Y2032" s="11">
        <f t="shared" si="166"/>
        <v>1756</v>
      </c>
    </row>
    <row r="2033" spans="2:25">
      <c r="B2033" t="s">
        <v>26</v>
      </c>
      <c r="C2033" t="s">
        <v>8390</v>
      </c>
      <c r="D2033" t="s">
        <v>8391</v>
      </c>
      <c r="E2033" t="s">
        <v>29</v>
      </c>
      <c r="F2033" t="s">
        <v>30</v>
      </c>
      <c r="G2033" t="s">
        <v>31</v>
      </c>
      <c r="J2033" t="s">
        <v>8390</v>
      </c>
      <c r="K2033" t="s">
        <v>1967</v>
      </c>
      <c r="L2033" t="s">
        <v>8392</v>
      </c>
      <c r="M2033" s="8">
        <v>11.33475</v>
      </c>
      <c r="N2033">
        <v>0</v>
      </c>
      <c r="O2033">
        <v>1952</v>
      </c>
      <c r="P2033" s="9">
        <v>0.58248024879243</v>
      </c>
      <c r="Q2033" t="s">
        <v>1715</v>
      </c>
      <c r="T2033" s="15" t="s">
        <v>54</v>
      </c>
      <c r="W2033" s="16" t="str">
        <f t="shared" si="164"/>
        <v>EN_WON_58_c01_TCD</v>
      </c>
      <c r="X2033" s="12">
        <f t="shared" si="165"/>
        <v>1952</v>
      </c>
      <c r="Y2033" s="11">
        <f t="shared" si="166"/>
        <v>1952</v>
      </c>
    </row>
    <row r="2034" spans="2:25">
      <c r="B2034" t="s">
        <v>26</v>
      </c>
      <c r="C2034" t="s">
        <v>8393</v>
      </c>
      <c r="D2034" t="s">
        <v>8394</v>
      </c>
      <c r="E2034" t="s">
        <v>29</v>
      </c>
      <c r="F2034" t="s">
        <v>30</v>
      </c>
      <c r="G2034" t="s">
        <v>31</v>
      </c>
      <c r="J2034" t="s">
        <v>8393</v>
      </c>
      <c r="K2034" t="s">
        <v>1967</v>
      </c>
      <c r="L2034" t="s">
        <v>8392</v>
      </c>
      <c r="M2034" s="8">
        <v>5.664</v>
      </c>
      <c r="N2034">
        <v>0</v>
      </c>
      <c r="O2034">
        <v>1952</v>
      </c>
      <c r="P2034" s="9">
        <v>0.595</v>
      </c>
      <c r="Q2034" t="s">
        <v>1715</v>
      </c>
      <c r="T2034" s="15" t="s">
        <v>54</v>
      </c>
      <c r="W2034" s="16" t="str">
        <f t="shared" si="164"/>
        <v>EN_WON_60_c01_TCD</v>
      </c>
      <c r="X2034" s="12">
        <f t="shared" si="165"/>
        <v>1952</v>
      </c>
      <c r="Y2034" s="11">
        <f t="shared" si="166"/>
        <v>1952</v>
      </c>
    </row>
    <row r="2035" spans="2:25">
      <c r="B2035" t="s">
        <v>26</v>
      </c>
      <c r="C2035" t="s">
        <v>8395</v>
      </c>
      <c r="D2035" t="s">
        <v>8396</v>
      </c>
      <c r="E2035" t="s">
        <v>29</v>
      </c>
      <c r="F2035" t="s">
        <v>30</v>
      </c>
      <c r="G2035" t="s">
        <v>31</v>
      </c>
      <c r="J2035" t="s">
        <v>8395</v>
      </c>
      <c r="K2035" t="s">
        <v>1967</v>
      </c>
      <c r="L2035" t="s">
        <v>8397</v>
      </c>
      <c r="M2035" s="8">
        <v>5.676</v>
      </c>
      <c r="N2035">
        <v>145.23264029167</v>
      </c>
      <c r="O2035">
        <v>1952</v>
      </c>
      <c r="P2035" s="9">
        <v>0.164</v>
      </c>
      <c r="Q2035" t="s">
        <v>1721</v>
      </c>
      <c r="T2035" s="15" t="s">
        <v>54</v>
      </c>
      <c r="W2035" s="16" t="str">
        <f t="shared" si="164"/>
        <v>EN_WON_16_c04_TGO</v>
      </c>
      <c r="X2035" s="12">
        <f t="shared" si="165"/>
        <v>1952</v>
      </c>
      <c r="Y2035" s="11">
        <f t="shared" si="166"/>
        <v>1952</v>
      </c>
    </row>
    <row r="2036" spans="2:25">
      <c r="B2036" t="s">
        <v>26</v>
      </c>
      <c r="C2036" t="s">
        <v>8398</v>
      </c>
      <c r="D2036" t="s">
        <v>8399</v>
      </c>
      <c r="E2036" t="s">
        <v>29</v>
      </c>
      <c r="F2036" t="s">
        <v>30</v>
      </c>
      <c r="G2036" t="s">
        <v>31</v>
      </c>
      <c r="J2036" t="s">
        <v>8398</v>
      </c>
      <c r="K2036" t="s">
        <v>1967</v>
      </c>
      <c r="L2036" t="s">
        <v>8400</v>
      </c>
      <c r="M2036" s="8">
        <v>15.54075</v>
      </c>
      <c r="N2036">
        <v>80.7856561622413</v>
      </c>
      <c r="O2036">
        <v>2369</v>
      </c>
      <c r="P2036" s="9">
        <v>0.151825346267072</v>
      </c>
      <c r="Q2036" t="s">
        <v>1725</v>
      </c>
      <c r="T2036" s="15" t="s">
        <v>290</v>
      </c>
      <c r="W2036" s="16" t="str">
        <f t="shared" si="164"/>
        <v>EN_WON_15_c02_THA</v>
      </c>
      <c r="X2036" s="12">
        <f t="shared" si="165"/>
        <v>2369</v>
      </c>
      <c r="Y2036" s="11">
        <f t="shared" si="166"/>
        <v>2369</v>
      </c>
    </row>
    <row r="2037" spans="2:25">
      <c r="B2037" t="s">
        <v>26</v>
      </c>
      <c r="C2037" t="s">
        <v>8401</v>
      </c>
      <c r="D2037" t="s">
        <v>8402</v>
      </c>
      <c r="E2037" t="s">
        <v>29</v>
      </c>
      <c r="F2037" t="s">
        <v>30</v>
      </c>
      <c r="G2037" t="s">
        <v>31</v>
      </c>
      <c r="J2037" t="s">
        <v>8401</v>
      </c>
      <c r="K2037" t="s">
        <v>1967</v>
      </c>
      <c r="L2037" t="s">
        <v>8400</v>
      </c>
      <c r="M2037" s="8">
        <v>2.42175</v>
      </c>
      <c r="N2037">
        <v>105.747516212372</v>
      </c>
      <c r="O2037">
        <v>2369</v>
      </c>
      <c r="P2037" s="9">
        <v>0.151355528027253</v>
      </c>
      <c r="Q2037" t="s">
        <v>1725</v>
      </c>
      <c r="T2037" s="15" t="s">
        <v>290</v>
      </c>
      <c r="W2037" s="16" t="str">
        <f t="shared" si="164"/>
        <v>EN_WON_15_c03_THA</v>
      </c>
      <c r="X2037" s="12">
        <f t="shared" si="165"/>
        <v>2369</v>
      </c>
      <c r="Y2037" s="11">
        <f t="shared" si="166"/>
        <v>2369</v>
      </c>
    </row>
    <row r="2038" spans="2:25">
      <c r="B2038" t="s">
        <v>26</v>
      </c>
      <c r="C2038" t="s">
        <v>8403</v>
      </c>
      <c r="D2038" t="s">
        <v>8404</v>
      </c>
      <c r="E2038" t="s">
        <v>29</v>
      </c>
      <c r="F2038" t="s">
        <v>30</v>
      </c>
      <c r="G2038" t="s">
        <v>31</v>
      </c>
      <c r="J2038" t="s">
        <v>8403</v>
      </c>
      <c r="K2038" t="s">
        <v>1967</v>
      </c>
      <c r="L2038" t="s">
        <v>8400</v>
      </c>
      <c r="M2038" s="8">
        <v>6.31575</v>
      </c>
      <c r="N2038">
        <v>80.7856561622413</v>
      </c>
      <c r="O2038">
        <v>2369</v>
      </c>
      <c r="P2038" s="9">
        <v>0.156886355539722</v>
      </c>
      <c r="Q2038" t="s">
        <v>1725</v>
      </c>
      <c r="T2038" s="15" t="s">
        <v>290</v>
      </c>
      <c r="W2038" s="16" t="str">
        <f t="shared" si="164"/>
        <v>EN_WON_16_c02_THA</v>
      </c>
      <c r="X2038" s="12">
        <f t="shared" si="165"/>
        <v>2369</v>
      </c>
      <c r="Y2038" s="11">
        <f t="shared" si="166"/>
        <v>2369</v>
      </c>
    </row>
    <row r="2039" spans="2:25">
      <c r="B2039" t="s">
        <v>26</v>
      </c>
      <c r="C2039" t="s">
        <v>8405</v>
      </c>
      <c r="D2039" t="s">
        <v>8406</v>
      </c>
      <c r="E2039" t="s">
        <v>29</v>
      </c>
      <c r="F2039" t="s">
        <v>30</v>
      </c>
      <c r="G2039" t="s">
        <v>31</v>
      </c>
      <c r="J2039" t="s">
        <v>8405</v>
      </c>
      <c r="K2039" t="s">
        <v>1967</v>
      </c>
      <c r="L2039" t="s">
        <v>8400</v>
      </c>
      <c r="M2039" s="8">
        <v>12.9735</v>
      </c>
      <c r="N2039">
        <v>105.747516212372</v>
      </c>
      <c r="O2039">
        <v>2369</v>
      </c>
      <c r="P2039" s="9">
        <v>0.158519655451497</v>
      </c>
      <c r="Q2039" t="s">
        <v>1725</v>
      </c>
      <c r="T2039" s="15" t="s">
        <v>290</v>
      </c>
      <c r="W2039" s="16" t="str">
        <f t="shared" si="164"/>
        <v>EN_WON_16_c03_THA</v>
      </c>
      <c r="X2039" s="12">
        <f t="shared" si="165"/>
        <v>2369</v>
      </c>
      <c r="Y2039" s="11">
        <f t="shared" si="166"/>
        <v>2369</v>
      </c>
    </row>
    <row r="2040" spans="2:25">
      <c r="B2040" t="s">
        <v>26</v>
      </c>
      <c r="C2040" t="s">
        <v>8407</v>
      </c>
      <c r="D2040" t="s">
        <v>8408</v>
      </c>
      <c r="E2040" t="s">
        <v>29</v>
      </c>
      <c r="F2040" t="s">
        <v>30</v>
      </c>
      <c r="G2040" t="s">
        <v>31</v>
      </c>
      <c r="J2040" t="s">
        <v>8407</v>
      </c>
      <c r="K2040" t="s">
        <v>1967</v>
      </c>
      <c r="L2040" t="s">
        <v>8400</v>
      </c>
      <c r="M2040" s="8">
        <v>0.873</v>
      </c>
      <c r="N2040">
        <v>145.23264029167</v>
      </c>
      <c r="O2040">
        <v>2369</v>
      </c>
      <c r="P2040" s="9">
        <v>0.160789518900344</v>
      </c>
      <c r="Q2040" t="s">
        <v>1725</v>
      </c>
      <c r="T2040" s="15" t="s">
        <v>290</v>
      </c>
      <c r="W2040" s="16" t="str">
        <f t="shared" si="164"/>
        <v>EN_WON_16_c04_THA</v>
      </c>
      <c r="X2040" s="12">
        <f t="shared" si="165"/>
        <v>2369</v>
      </c>
      <c r="Y2040" s="11">
        <f t="shared" si="166"/>
        <v>2369</v>
      </c>
    </row>
    <row r="2041" spans="2:25">
      <c r="B2041" t="s">
        <v>26</v>
      </c>
      <c r="C2041" t="s">
        <v>8409</v>
      </c>
      <c r="D2041" t="s">
        <v>8410</v>
      </c>
      <c r="E2041" t="s">
        <v>29</v>
      </c>
      <c r="F2041" t="s">
        <v>30</v>
      </c>
      <c r="G2041" t="s">
        <v>31</v>
      </c>
      <c r="J2041" t="s">
        <v>8409</v>
      </c>
      <c r="K2041" t="s">
        <v>1967</v>
      </c>
      <c r="L2041" t="s">
        <v>8400</v>
      </c>
      <c r="M2041" s="8">
        <v>8.11725</v>
      </c>
      <c r="N2041">
        <v>80.7856561622413</v>
      </c>
      <c r="O2041">
        <v>2369</v>
      </c>
      <c r="P2041" s="9">
        <v>0.167553450984016</v>
      </c>
      <c r="Q2041" t="s">
        <v>1725</v>
      </c>
      <c r="T2041" s="15" t="s">
        <v>290</v>
      </c>
      <c r="W2041" s="16" t="str">
        <f t="shared" si="164"/>
        <v>EN_WON_17_c02_THA</v>
      </c>
      <c r="X2041" s="12">
        <f t="shared" si="165"/>
        <v>2369</v>
      </c>
      <c r="Y2041" s="11">
        <f t="shared" si="166"/>
        <v>2369</v>
      </c>
    </row>
    <row r="2042" spans="2:25">
      <c r="B2042" t="s">
        <v>26</v>
      </c>
      <c r="C2042" t="s">
        <v>8411</v>
      </c>
      <c r="D2042" t="s">
        <v>8412</v>
      </c>
      <c r="E2042" t="s">
        <v>29</v>
      </c>
      <c r="F2042" t="s">
        <v>30</v>
      </c>
      <c r="G2042" t="s">
        <v>31</v>
      </c>
      <c r="J2042" t="s">
        <v>8411</v>
      </c>
      <c r="K2042" t="s">
        <v>1967</v>
      </c>
      <c r="L2042" t="s">
        <v>8400</v>
      </c>
      <c r="M2042" s="8">
        <v>14.58075</v>
      </c>
      <c r="N2042">
        <v>105.747516212372</v>
      </c>
      <c r="O2042">
        <v>2369</v>
      </c>
      <c r="P2042" s="9">
        <v>0.168713183478216</v>
      </c>
      <c r="Q2042" t="s">
        <v>1725</v>
      </c>
      <c r="T2042" s="15" t="s">
        <v>290</v>
      </c>
      <c r="W2042" s="16" t="str">
        <f t="shared" si="164"/>
        <v>EN_WON_17_c03_THA</v>
      </c>
      <c r="X2042" s="12">
        <f t="shared" si="165"/>
        <v>2369</v>
      </c>
      <c r="Y2042" s="11">
        <f t="shared" si="166"/>
        <v>2369</v>
      </c>
    </row>
    <row r="2043" spans="2:25">
      <c r="B2043" t="s">
        <v>26</v>
      </c>
      <c r="C2043" t="s">
        <v>8413</v>
      </c>
      <c r="D2043" t="s">
        <v>8414</v>
      </c>
      <c r="E2043" t="s">
        <v>29</v>
      </c>
      <c r="F2043" t="s">
        <v>30</v>
      </c>
      <c r="G2043" t="s">
        <v>31</v>
      </c>
      <c r="J2043" t="s">
        <v>8413</v>
      </c>
      <c r="K2043" t="s">
        <v>1967</v>
      </c>
      <c r="L2043" t="s">
        <v>8400</v>
      </c>
      <c r="M2043" s="8">
        <v>0.546</v>
      </c>
      <c r="N2043">
        <v>145.23264029167</v>
      </c>
      <c r="O2043">
        <v>2369</v>
      </c>
      <c r="P2043" s="9">
        <v>0.166700549450549</v>
      </c>
      <c r="Q2043" t="s">
        <v>1725</v>
      </c>
      <c r="T2043" s="15" t="s">
        <v>290</v>
      </c>
      <c r="W2043" s="16" t="str">
        <f t="shared" si="164"/>
        <v>EN_WON_17_c04_THA</v>
      </c>
      <c r="X2043" s="12">
        <f t="shared" si="165"/>
        <v>2369</v>
      </c>
      <c r="Y2043" s="11">
        <f t="shared" si="166"/>
        <v>2369</v>
      </c>
    </row>
    <row r="2044" spans="2:25">
      <c r="B2044" t="s">
        <v>26</v>
      </c>
      <c r="C2044" t="s">
        <v>8415</v>
      </c>
      <c r="D2044" t="s">
        <v>8416</v>
      </c>
      <c r="E2044" t="s">
        <v>29</v>
      </c>
      <c r="F2044" t="s">
        <v>30</v>
      </c>
      <c r="G2044" t="s">
        <v>31</v>
      </c>
      <c r="J2044" t="s">
        <v>8415</v>
      </c>
      <c r="K2044" t="s">
        <v>1967</v>
      </c>
      <c r="L2044" t="s">
        <v>8400</v>
      </c>
      <c r="M2044" s="8">
        <v>8.40825</v>
      </c>
      <c r="N2044">
        <v>80.7856561622413</v>
      </c>
      <c r="O2044">
        <v>2369</v>
      </c>
      <c r="P2044" s="9">
        <v>0.181846311658193</v>
      </c>
      <c r="Q2044" t="s">
        <v>1725</v>
      </c>
      <c r="T2044" s="15" t="s">
        <v>290</v>
      </c>
      <c r="W2044" s="16" t="str">
        <f t="shared" si="164"/>
        <v>EN_WON_18_c02_THA</v>
      </c>
      <c r="X2044" s="12">
        <f t="shared" si="165"/>
        <v>2369</v>
      </c>
      <c r="Y2044" s="11">
        <f t="shared" si="166"/>
        <v>2369</v>
      </c>
    </row>
    <row r="2045" spans="2:25">
      <c r="B2045" t="s">
        <v>26</v>
      </c>
      <c r="C2045" t="s">
        <v>8417</v>
      </c>
      <c r="D2045" t="s">
        <v>8418</v>
      </c>
      <c r="E2045" t="s">
        <v>29</v>
      </c>
      <c r="F2045" t="s">
        <v>30</v>
      </c>
      <c r="G2045" t="s">
        <v>31</v>
      </c>
      <c r="J2045" t="s">
        <v>8417</v>
      </c>
      <c r="K2045" t="s">
        <v>1967</v>
      </c>
      <c r="L2045" t="s">
        <v>8400</v>
      </c>
      <c r="M2045" s="8">
        <v>10.2495</v>
      </c>
      <c r="N2045">
        <v>105.747516212372</v>
      </c>
      <c r="O2045">
        <v>2369</v>
      </c>
      <c r="P2045" s="9">
        <v>0.181538123810918</v>
      </c>
      <c r="Q2045" t="s">
        <v>1725</v>
      </c>
      <c r="T2045" s="15" t="s">
        <v>290</v>
      </c>
      <c r="W2045" s="16" t="str">
        <f t="shared" si="164"/>
        <v>EN_WON_18_c03_THA</v>
      </c>
      <c r="X2045" s="12">
        <f t="shared" si="165"/>
        <v>2369</v>
      </c>
      <c r="Y2045" s="11">
        <f t="shared" si="166"/>
        <v>2369</v>
      </c>
    </row>
    <row r="2046" spans="2:25">
      <c r="B2046" t="s">
        <v>26</v>
      </c>
      <c r="C2046" t="s">
        <v>8419</v>
      </c>
      <c r="D2046" t="s">
        <v>8420</v>
      </c>
      <c r="E2046" t="s">
        <v>29</v>
      </c>
      <c r="F2046" t="s">
        <v>30</v>
      </c>
      <c r="G2046" t="s">
        <v>31</v>
      </c>
      <c r="J2046" t="s">
        <v>8419</v>
      </c>
      <c r="K2046" t="s">
        <v>1967</v>
      </c>
      <c r="L2046" t="s">
        <v>8400</v>
      </c>
      <c r="M2046" s="8">
        <v>2.4015</v>
      </c>
      <c r="N2046">
        <v>145.23264029167</v>
      </c>
      <c r="O2046">
        <v>2369</v>
      </c>
      <c r="P2046" s="9">
        <v>0.177541536539663</v>
      </c>
      <c r="Q2046" t="s">
        <v>1725</v>
      </c>
      <c r="T2046" s="15" t="s">
        <v>290</v>
      </c>
      <c r="W2046" s="16" t="str">
        <f t="shared" si="164"/>
        <v>EN_WON_18_c04_THA</v>
      </c>
      <c r="X2046" s="12">
        <f t="shared" si="165"/>
        <v>2369</v>
      </c>
      <c r="Y2046" s="11">
        <f t="shared" si="166"/>
        <v>2369</v>
      </c>
    </row>
    <row r="2047" spans="2:25">
      <c r="B2047" t="s">
        <v>26</v>
      </c>
      <c r="C2047" t="s">
        <v>8421</v>
      </c>
      <c r="D2047" t="s">
        <v>8422</v>
      </c>
      <c r="E2047" t="s">
        <v>29</v>
      </c>
      <c r="F2047" t="s">
        <v>30</v>
      </c>
      <c r="G2047" t="s">
        <v>31</v>
      </c>
      <c r="J2047" t="s">
        <v>8421</v>
      </c>
      <c r="K2047" t="s">
        <v>1967</v>
      </c>
      <c r="L2047" t="s">
        <v>8400</v>
      </c>
      <c r="M2047" s="8">
        <v>2.75625</v>
      </c>
      <c r="N2047">
        <v>80.7856561622413</v>
      </c>
      <c r="O2047">
        <v>2369</v>
      </c>
      <c r="P2047" s="9">
        <v>0.191970612244898</v>
      </c>
      <c r="Q2047" t="s">
        <v>1725</v>
      </c>
      <c r="T2047" s="15" t="s">
        <v>290</v>
      </c>
      <c r="W2047" s="16" t="str">
        <f t="shared" si="164"/>
        <v>EN_WON_19_c02_THA</v>
      </c>
      <c r="X2047" s="12">
        <f t="shared" si="165"/>
        <v>2369</v>
      </c>
      <c r="Y2047" s="11">
        <f t="shared" si="166"/>
        <v>2369</v>
      </c>
    </row>
    <row r="2048" spans="2:25">
      <c r="B2048" t="s">
        <v>26</v>
      </c>
      <c r="C2048" t="s">
        <v>8423</v>
      </c>
      <c r="D2048" t="s">
        <v>8424</v>
      </c>
      <c r="E2048" t="s">
        <v>29</v>
      </c>
      <c r="F2048" t="s">
        <v>30</v>
      </c>
      <c r="G2048" t="s">
        <v>31</v>
      </c>
      <c r="J2048" t="s">
        <v>8423</v>
      </c>
      <c r="K2048" t="s">
        <v>1967</v>
      </c>
      <c r="L2048" t="s">
        <v>8400</v>
      </c>
      <c r="M2048" s="8">
        <v>1.44675</v>
      </c>
      <c r="N2048">
        <v>105.747516212372</v>
      </c>
      <c r="O2048">
        <v>2369</v>
      </c>
      <c r="P2048" s="9">
        <v>0.190052877138414</v>
      </c>
      <c r="Q2048" t="s">
        <v>1725</v>
      </c>
      <c r="T2048" s="15" t="s">
        <v>290</v>
      </c>
      <c r="W2048" s="16" t="str">
        <f t="shared" si="164"/>
        <v>EN_WON_19_c03_THA</v>
      </c>
      <c r="X2048" s="12">
        <f t="shared" si="165"/>
        <v>2369</v>
      </c>
      <c r="Y2048" s="11">
        <f t="shared" si="166"/>
        <v>2369</v>
      </c>
    </row>
    <row r="2049" spans="2:25">
      <c r="B2049" t="s">
        <v>26</v>
      </c>
      <c r="C2049" t="s">
        <v>8425</v>
      </c>
      <c r="D2049" t="s">
        <v>8426</v>
      </c>
      <c r="E2049" t="s">
        <v>29</v>
      </c>
      <c r="F2049" t="s">
        <v>30</v>
      </c>
      <c r="G2049" t="s">
        <v>31</v>
      </c>
      <c r="J2049" t="s">
        <v>8425</v>
      </c>
      <c r="K2049" t="s">
        <v>1967</v>
      </c>
      <c r="L2049" t="s">
        <v>8400</v>
      </c>
      <c r="M2049" s="8">
        <v>2.202</v>
      </c>
      <c r="N2049">
        <v>145.23264029167</v>
      </c>
      <c r="O2049">
        <v>2369</v>
      </c>
      <c r="P2049" s="9">
        <v>0.189815054495913</v>
      </c>
      <c r="Q2049" t="s">
        <v>1725</v>
      </c>
      <c r="T2049" s="15" t="s">
        <v>290</v>
      </c>
      <c r="W2049" s="16" t="str">
        <f t="shared" si="164"/>
        <v>EN_WON_19_c04_THA</v>
      </c>
      <c r="X2049" s="12">
        <f t="shared" si="165"/>
        <v>2369</v>
      </c>
      <c r="Y2049" s="11">
        <f t="shared" si="166"/>
        <v>2369</v>
      </c>
    </row>
    <row r="2050" spans="2:25">
      <c r="B2050" t="s">
        <v>26</v>
      </c>
      <c r="C2050" t="s">
        <v>8427</v>
      </c>
      <c r="D2050" t="s">
        <v>8428</v>
      </c>
      <c r="E2050" t="s">
        <v>29</v>
      </c>
      <c r="F2050" t="s">
        <v>30</v>
      </c>
      <c r="G2050" t="s">
        <v>31</v>
      </c>
      <c r="J2050" t="s">
        <v>8427</v>
      </c>
      <c r="K2050" t="s">
        <v>1967</v>
      </c>
      <c r="L2050" t="s">
        <v>8400</v>
      </c>
      <c r="M2050" s="8">
        <v>1.87875</v>
      </c>
      <c r="N2050">
        <v>80.7856561622413</v>
      </c>
      <c r="O2050">
        <v>2369</v>
      </c>
      <c r="P2050" s="9">
        <v>0.198005588822355</v>
      </c>
      <c r="Q2050" t="s">
        <v>1725</v>
      </c>
      <c r="T2050" s="15" t="s">
        <v>290</v>
      </c>
      <c r="W2050" s="16" t="str">
        <f t="shared" si="164"/>
        <v>EN_WON_20_c02_THA</v>
      </c>
      <c r="X2050" s="12">
        <f t="shared" si="165"/>
        <v>2369</v>
      </c>
      <c r="Y2050" s="11">
        <f t="shared" si="166"/>
        <v>2369</v>
      </c>
    </row>
    <row r="2051" spans="2:25">
      <c r="B2051" t="s">
        <v>26</v>
      </c>
      <c r="C2051" t="s">
        <v>8429</v>
      </c>
      <c r="D2051" t="s">
        <v>8430</v>
      </c>
      <c r="E2051" t="s">
        <v>29</v>
      </c>
      <c r="F2051" t="s">
        <v>30</v>
      </c>
      <c r="G2051" t="s">
        <v>31</v>
      </c>
      <c r="J2051" t="s">
        <v>8429</v>
      </c>
      <c r="K2051" t="s">
        <v>1967</v>
      </c>
      <c r="L2051" t="s">
        <v>8400</v>
      </c>
      <c r="M2051" s="8">
        <v>0.80625</v>
      </c>
      <c r="N2051">
        <v>105.747516212372</v>
      </c>
      <c r="O2051">
        <v>2369</v>
      </c>
      <c r="P2051" s="9">
        <v>0.199428837209302</v>
      </c>
      <c r="Q2051" t="s">
        <v>1725</v>
      </c>
      <c r="T2051" s="15" t="s">
        <v>290</v>
      </c>
      <c r="W2051" s="16" t="str">
        <f t="shared" si="164"/>
        <v>EN_WON_20_c03_THA</v>
      </c>
      <c r="X2051" s="12">
        <f t="shared" si="165"/>
        <v>2369</v>
      </c>
      <c r="Y2051" s="11">
        <f t="shared" si="166"/>
        <v>2369</v>
      </c>
    </row>
    <row r="2052" spans="2:25">
      <c r="B2052" t="s">
        <v>26</v>
      </c>
      <c r="C2052" t="s">
        <v>8431</v>
      </c>
      <c r="D2052" t="s">
        <v>8432</v>
      </c>
      <c r="E2052" t="s">
        <v>29</v>
      </c>
      <c r="F2052" t="s">
        <v>30</v>
      </c>
      <c r="G2052" t="s">
        <v>31</v>
      </c>
      <c r="J2052" t="s">
        <v>8431</v>
      </c>
      <c r="K2052" t="s">
        <v>1967</v>
      </c>
      <c r="L2052" t="s">
        <v>8400</v>
      </c>
      <c r="M2052" s="8">
        <v>3.14175</v>
      </c>
      <c r="N2052">
        <v>145.23264029167</v>
      </c>
      <c r="O2052">
        <v>2369</v>
      </c>
      <c r="P2052" s="9">
        <v>0.198331105275722</v>
      </c>
      <c r="Q2052" t="s">
        <v>1725</v>
      </c>
      <c r="T2052" s="15" t="s">
        <v>290</v>
      </c>
      <c r="W2052" s="16" t="str">
        <f t="shared" si="164"/>
        <v>EN_WON_20_c04_THA</v>
      </c>
      <c r="X2052" s="12">
        <f t="shared" si="165"/>
        <v>2369</v>
      </c>
      <c r="Y2052" s="11">
        <f t="shared" si="166"/>
        <v>2369</v>
      </c>
    </row>
    <row r="2053" spans="2:25">
      <c r="B2053" t="s">
        <v>26</v>
      </c>
      <c r="C2053" t="s">
        <v>8433</v>
      </c>
      <c r="D2053" t="s">
        <v>8434</v>
      </c>
      <c r="E2053" t="s">
        <v>29</v>
      </c>
      <c r="F2053" t="s">
        <v>30</v>
      </c>
      <c r="G2053" t="s">
        <v>31</v>
      </c>
      <c r="J2053" t="s">
        <v>8433</v>
      </c>
      <c r="K2053" t="s">
        <v>1967</v>
      </c>
      <c r="L2053" t="s">
        <v>8400</v>
      </c>
      <c r="M2053" s="8">
        <v>4.96125</v>
      </c>
      <c r="N2053">
        <v>105.747516212372</v>
      </c>
      <c r="O2053">
        <v>2369</v>
      </c>
      <c r="P2053" s="9">
        <v>0.211450642479214</v>
      </c>
      <c r="Q2053" t="s">
        <v>1725</v>
      </c>
      <c r="T2053" s="15" t="s">
        <v>290</v>
      </c>
      <c r="W2053" s="16" t="str">
        <f t="shared" si="164"/>
        <v>EN_WON_21_c03_THA</v>
      </c>
      <c r="X2053" s="12">
        <f t="shared" si="165"/>
        <v>2369</v>
      </c>
      <c r="Y2053" s="11">
        <f t="shared" si="166"/>
        <v>2369</v>
      </c>
    </row>
    <row r="2054" spans="2:25">
      <c r="B2054" t="s">
        <v>26</v>
      </c>
      <c r="C2054" t="s">
        <v>8435</v>
      </c>
      <c r="D2054" t="s">
        <v>8436</v>
      </c>
      <c r="E2054" t="s">
        <v>29</v>
      </c>
      <c r="F2054" t="s">
        <v>30</v>
      </c>
      <c r="G2054" t="s">
        <v>31</v>
      </c>
      <c r="J2054" t="s">
        <v>8435</v>
      </c>
      <c r="K2054" t="s">
        <v>1967</v>
      </c>
      <c r="L2054" t="s">
        <v>8400</v>
      </c>
      <c r="M2054" s="8">
        <v>2.95725</v>
      </c>
      <c r="N2054">
        <v>145.23264029167</v>
      </c>
      <c r="O2054">
        <v>2369</v>
      </c>
      <c r="P2054" s="9">
        <v>0.205988587370023</v>
      </c>
      <c r="Q2054" t="s">
        <v>1725</v>
      </c>
      <c r="T2054" s="15" t="s">
        <v>290</v>
      </c>
      <c r="W2054" s="16" t="str">
        <f t="shared" ref="W2054:W2117" si="167">J2054</f>
        <v>EN_WON_21_c04_THA</v>
      </c>
      <c r="X2054" s="12">
        <f t="shared" ref="X2054:X2117" si="168">O2054</f>
        <v>2369</v>
      </c>
      <c r="Y2054" s="11">
        <f t="shared" ref="Y2054:Y2117" si="169">X2054</f>
        <v>2369</v>
      </c>
    </row>
    <row r="2055" spans="2:25">
      <c r="B2055" t="s">
        <v>26</v>
      </c>
      <c r="C2055" t="s">
        <v>8437</v>
      </c>
      <c r="D2055" t="s">
        <v>8438</v>
      </c>
      <c r="E2055" t="s">
        <v>29</v>
      </c>
      <c r="F2055" t="s">
        <v>30</v>
      </c>
      <c r="G2055" t="s">
        <v>31</v>
      </c>
      <c r="J2055" t="s">
        <v>8437</v>
      </c>
      <c r="K2055" t="s">
        <v>1967</v>
      </c>
      <c r="L2055" t="s">
        <v>8400</v>
      </c>
      <c r="M2055" s="8">
        <v>2.34825</v>
      </c>
      <c r="N2055">
        <v>80.7856561622413</v>
      </c>
      <c r="O2055">
        <v>2369</v>
      </c>
      <c r="P2055" s="9">
        <v>0.215003513254551</v>
      </c>
      <c r="Q2055" t="s">
        <v>1725</v>
      </c>
      <c r="T2055" s="15" t="s">
        <v>290</v>
      </c>
      <c r="W2055" s="16" t="str">
        <f t="shared" si="167"/>
        <v>EN_WON_22_c02_THA</v>
      </c>
      <c r="X2055" s="12">
        <f t="shared" si="168"/>
        <v>2369</v>
      </c>
      <c r="Y2055" s="11">
        <f t="shared" si="169"/>
        <v>2369</v>
      </c>
    </row>
    <row r="2056" spans="2:25">
      <c r="B2056" t="s">
        <v>26</v>
      </c>
      <c r="C2056" t="s">
        <v>8439</v>
      </c>
      <c r="D2056" t="s">
        <v>8440</v>
      </c>
      <c r="E2056" t="s">
        <v>29</v>
      </c>
      <c r="F2056" t="s">
        <v>30</v>
      </c>
      <c r="G2056" t="s">
        <v>31</v>
      </c>
      <c r="J2056" t="s">
        <v>8439</v>
      </c>
      <c r="K2056" t="s">
        <v>1967</v>
      </c>
      <c r="L2056" t="s">
        <v>8400</v>
      </c>
      <c r="M2056" s="8">
        <v>0.072</v>
      </c>
      <c r="N2056">
        <v>105.747516212372</v>
      </c>
      <c r="O2056">
        <v>2369</v>
      </c>
      <c r="P2056" s="9">
        <v>0.218135416666667</v>
      </c>
      <c r="Q2056" t="s">
        <v>1725</v>
      </c>
      <c r="T2056" s="15" t="s">
        <v>290</v>
      </c>
      <c r="W2056" s="16" t="str">
        <f t="shared" si="167"/>
        <v>EN_WON_22_c03_THA</v>
      </c>
      <c r="X2056" s="12">
        <f t="shared" si="168"/>
        <v>2369</v>
      </c>
      <c r="Y2056" s="11">
        <f t="shared" si="169"/>
        <v>2369</v>
      </c>
    </row>
    <row r="2057" spans="2:25">
      <c r="B2057" t="s">
        <v>26</v>
      </c>
      <c r="C2057" t="s">
        <v>8441</v>
      </c>
      <c r="D2057" t="s">
        <v>8442</v>
      </c>
      <c r="E2057" t="s">
        <v>29</v>
      </c>
      <c r="F2057" t="s">
        <v>30</v>
      </c>
      <c r="G2057" t="s">
        <v>31</v>
      </c>
      <c r="J2057" t="s">
        <v>8441</v>
      </c>
      <c r="K2057" t="s">
        <v>1967</v>
      </c>
      <c r="L2057" t="s">
        <v>8400</v>
      </c>
      <c r="M2057" s="8">
        <v>0.22725</v>
      </c>
      <c r="N2057">
        <v>145.23264029167</v>
      </c>
      <c r="O2057">
        <v>2369</v>
      </c>
      <c r="P2057" s="9">
        <v>0.218594059405941</v>
      </c>
      <c r="Q2057" t="s">
        <v>1725</v>
      </c>
      <c r="T2057" s="15" t="s">
        <v>290</v>
      </c>
      <c r="W2057" s="16" t="str">
        <f t="shared" si="167"/>
        <v>EN_WON_22_c04_THA</v>
      </c>
      <c r="X2057" s="12">
        <f t="shared" si="168"/>
        <v>2369</v>
      </c>
      <c r="Y2057" s="11">
        <f t="shared" si="169"/>
        <v>2369</v>
      </c>
    </row>
    <row r="2058" spans="2:25">
      <c r="B2058" t="s">
        <v>26</v>
      </c>
      <c r="C2058" t="s">
        <v>8443</v>
      </c>
      <c r="D2058" t="s">
        <v>8444</v>
      </c>
      <c r="E2058" t="s">
        <v>29</v>
      </c>
      <c r="F2058" t="s">
        <v>30</v>
      </c>
      <c r="G2058" t="s">
        <v>31</v>
      </c>
      <c r="J2058" t="s">
        <v>8443</v>
      </c>
      <c r="K2058" t="s">
        <v>1967</v>
      </c>
      <c r="L2058" t="s">
        <v>8400</v>
      </c>
      <c r="M2058" s="8">
        <v>9.291</v>
      </c>
      <c r="N2058">
        <v>80.7856561622413</v>
      </c>
      <c r="O2058">
        <v>2369</v>
      </c>
      <c r="P2058" s="9">
        <v>0.22812633193413</v>
      </c>
      <c r="Q2058" t="s">
        <v>1725</v>
      </c>
      <c r="T2058" s="15" t="s">
        <v>290</v>
      </c>
      <c r="W2058" s="16" t="str">
        <f t="shared" si="167"/>
        <v>EN_WON_23_c02_THA</v>
      </c>
      <c r="X2058" s="12">
        <f t="shared" si="168"/>
        <v>2369</v>
      </c>
      <c r="Y2058" s="11">
        <f t="shared" si="169"/>
        <v>2369</v>
      </c>
    </row>
    <row r="2059" spans="2:25">
      <c r="B2059" t="s">
        <v>26</v>
      </c>
      <c r="C2059" t="s">
        <v>8445</v>
      </c>
      <c r="D2059" t="s">
        <v>8446</v>
      </c>
      <c r="E2059" t="s">
        <v>29</v>
      </c>
      <c r="F2059" t="s">
        <v>30</v>
      </c>
      <c r="G2059" t="s">
        <v>31</v>
      </c>
      <c r="J2059" t="s">
        <v>8445</v>
      </c>
      <c r="K2059" t="s">
        <v>1967</v>
      </c>
      <c r="L2059" t="s">
        <v>8400</v>
      </c>
      <c r="M2059" s="8">
        <v>0.3735</v>
      </c>
      <c r="N2059">
        <v>105.747516212372</v>
      </c>
      <c r="O2059">
        <v>2369</v>
      </c>
      <c r="P2059" s="9">
        <v>0.231</v>
      </c>
      <c r="Q2059" t="s">
        <v>1725</v>
      </c>
      <c r="T2059" s="15" t="s">
        <v>290</v>
      </c>
      <c r="W2059" s="16" t="str">
        <f t="shared" si="167"/>
        <v>EN_WON_23_c03_THA</v>
      </c>
      <c r="X2059" s="12">
        <f t="shared" si="168"/>
        <v>2369</v>
      </c>
      <c r="Y2059" s="11">
        <f t="shared" si="169"/>
        <v>2369</v>
      </c>
    </row>
    <row r="2060" spans="2:25">
      <c r="B2060" t="s">
        <v>26</v>
      </c>
      <c r="C2060" t="s">
        <v>8447</v>
      </c>
      <c r="D2060" t="s">
        <v>8448</v>
      </c>
      <c r="E2060" t="s">
        <v>29</v>
      </c>
      <c r="F2060" t="s">
        <v>30</v>
      </c>
      <c r="G2060" t="s">
        <v>31</v>
      </c>
      <c r="J2060" t="s">
        <v>8447</v>
      </c>
      <c r="K2060" t="s">
        <v>1967</v>
      </c>
      <c r="L2060" t="s">
        <v>8400</v>
      </c>
      <c r="M2060" s="8">
        <v>2.742</v>
      </c>
      <c r="N2060">
        <v>0</v>
      </c>
      <c r="O2060">
        <v>2369</v>
      </c>
      <c r="P2060" s="9">
        <v>0.239</v>
      </c>
      <c r="Q2060" t="s">
        <v>1725</v>
      </c>
      <c r="T2060" s="15" t="s">
        <v>290</v>
      </c>
      <c r="W2060" s="16" t="str">
        <f t="shared" si="167"/>
        <v>EN_WON_24_c01_THA</v>
      </c>
      <c r="X2060" s="12">
        <f t="shared" si="168"/>
        <v>2369</v>
      </c>
      <c r="Y2060" s="11">
        <f t="shared" si="169"/>
        <v>2369</v>
      </c>
    </row>
    <row r="2061" spans="2:25">
      <c r="B2061" t="s">
        <v>26</v>
      </c>
      <c r="C2061" t="s">
        <v>8449</v>
      </c>
      <c r="D2061" t="s">
        <v>8450</v>
      </c>
      <c r="E2061" t="s">
        <v>29</v>
      </c>
      <c r="F2061" t="s">
        <v>30</v>
      </c>
      <c r="G2061" t="s">
        <v>31</v>
      </c>
      <c r="J2061" t="s">
        <v>8449</v>
      </c>
      <c r="K2061" t="s">
        <v>1967</v>
      </c>
      <c r="L2061" t="s">
        <v>8400</v>
      </c>
      <c r="M2061" s="8">
        <v>2.628</v>
      </c>
      <c r="N2061">
        <v>0</v>
      </c>
      <c r="O2061">
        <v>2369</v>
      </c>
      <c r="P2061" s="9">
        <v>0.264</v>
      </c>
      <c r="Q2061" t="s">
        <v>1725</v>
      </c>
      <c r="T2061" s="15" t="s">
        <v>290</v>
      </c>
      <c r="W2061" s="16" t="str">
        <f t="shared" si="167"/>
        <v>EN_WON_26_c01_THA</v>
      </c>
      <c r="X2061" s="12">
        <f t="shared" si="168"/>
        <v>2369</v>
      </c>
      <c r="Y2061" s="11">
        <f t="shared" si="169"/>
        <v>2369</v>
      </c>
    </row>
    <row r="2062" spans="2:25">
      <c r="B2062" t="s">
        <v>26</v>
      </c>
      <c r="C2062" t="s">
        <v>8451</v>
      </c>
      <c r="D2062" t="s">
        <v>8452</v>
      </c>
      <c r="E2062" t="s">
        <v>29</v>
      </c>
      <c r="F2062" t="s">
        <v>30</v>
      </c>
      <c r="G2062" t="s">
        <v>31</v>
      </c>
      <c r="J2062" t="s">
        <v>8451</v>
      </c>
      <c r="K2062" t="s">
        <v>1967</v>
      </c>
      <c r="L2062" t="s">
        <v>8453</v>
      </c>
      <c r="M2062" s="8">
        <v>0.024</v>
      </c>
      <c r="N2062">
        <v>80.7856561622413</v>
      </c>
      <c r="O2062">
        <v>2809</v>
      </c>
      <c r="P2062" s="9">
        <v>0.1578125</v>
      </c>
      <c r="Q2062" t="s">
        <v>1733</v>
      </c>
      <c r="T2062" s="15" t="s">
        <v>112</v>
      </c>
      <c r="W2062" s="16" t="str">
        <f t="shared" si="167"/>
        <v>EN_WON_16_c02_TJK</v>
      </c>
      <c r="X2062" s="12">
        <f t="shared" si="168"/>
        <v>2809</v>
      </c>
      <c r="Y2062" s="11">
        <f t="shared" si="169"/>
        <v>2809</v>
      </c>
    </row>
    <row r="2063" spans="2:25">
      <c r="B2063" t="s">
        <v>26</v>
      </c>
      <c r="C2063" t="s">
        <v>8454</v>
      </c>
      <c r="D2063" t="s">
        <v>8455</v>
      </c>
      <c r="E2063" t="s">
        <v>29</v>
      </c>
      <c r="F2063" t="s">
        <v>30</v>
      </c>
      <c r="G2063" t="s">
        <v>31</v>
      </c>
      <c r="J2063" t="s">
        <v>8454</v>
      </c>
      <c r="K2063" t="s">
        <v>1967</v>
      </c>
      <c r="L2063" t="s">
        <v>8453</v>
      </c>
      <c r="M2063" s="8">
        <v>0.18675</v>
      </c>
      <c r="N2063">
        <v>105.747516212372</v>
      </c>
      <c r="O2063">
        <v>2809</v>
      </c>
      <c r="P2063" s="9">
        <v>0.161104417670683</v>
      </c>
      <c r="Q2063" t="s">
        <v>1733</v>
      </c>
      <c r="T2063" s="15" t="s">
        <v>112</v>
      </c>
      <c r="W2063" s="16" t="str">
        <f t="shared" si="167"/>
        <v>EN_WON_16_c03_TJK</v>
      </c>
      <c r="X2063" s="12">
        <f t="shared" si="168"/>
        <v>2809</v>
      </c>
      <c r="Y2063" s="11">
        <f t="shared" si="169"/>
        <v>2809</v>
      </c>
    </row>
    <row r="2064" spans="2:25">
      <c r="B2064" t="s">
        <v>26</v>
      </c>
      <c r="C2064" t="s">
        <v>8456</v>
      </c>
      <c r="D2064" t="s">
        <v>8457</v>
      </c>
      <c r="E2064" t="s">
        <v>29</v>
      </c>
      <c r="F2064" t="s">
        <v>30</v>
      </c>
      <c r="G2064" t="s">
        <v>31</v>
      </c>
      <c r="J2064" t="s">
        <v>8456</v>
      </c>
      <c r="K2064" t="s">
        <v>1967</v>
      </c>
      <c r="L2064" t="s">
        <v>8453</v>
      </c>
      <c r="M2064" s="8">
        <v>0.033</v>
      </c>
      <c r="N2064">
        <v>145.23264029167</v>
      </c>
      <c r="O2064">
        <v>2809</v>
      </c>
      <c r="P2064" s="9">
        <v>0.159</v>
      </c>
      <c r="Q2064" t="s">
        <v>1733</v>
      </c>
      <c r="T2064" s="15" t="s">
        <v>112</v>
      </c>
      <c r="W2064" s="16" t="str">
        <f t="shared" si="167"/>
        <v>EN_WON_16_c04_TJK</v>
      </c>
      <c r="X2064" s="12">
        <f t="shared" si="168"/>
        <v>2809</v>
      </c>
      <c r="Y2064" s="11">
        <f t="shared" si="169"/>
        <v>2809</v>
      </c>
    </row>
    <row r="2065" spans="2:25">
      <c r="B2065" t="s">
        <v>26</v>
      </c>
      <c r="C2065" t="s">
        <v>8458</v>
      </c>
      <c r="D2065" t="s">
        <v>8459</v>
      </c>
      <c r="E2065" t="s">
        <v>29</v>
      </c>
      <c r="F2065" t="s">
        <v>30</v>
      </c>
      <c r="G2065" t="s">
        <v>31</v>
      </c>
      <c r="J2065" t="s">
        <v>8458</v>
      </c>
      <c r="K2065" t="s">
        <v>1967</v>
      </c>
      <c r="L2065" t="s">
        <v>8453</v>
      </c>
      <c r="M2065" s="8">
        <v>0.23625</v>
      </c>
      <c r="N2065">
        <v>105.747516212372</v>
      </c>
      <c r="O2065">
        <v>2809</v>
      </c>
      <c r="P2065" s="9">
        <v>0.169866666666667</v>
      </c>
      <c r="Q2065" t="s">
        <v>1733</v>
      </c>
      <c r="T2065" s="15" t="s">
        <v>112</v>
      </c>
      <c r="W2065" s="16" t="str">
        <f t="shared" si="167"/>
        <v>EN_WON_17_c03_TJK</v>
      </c>
      <c r="X2065" s="12">
        <f t="shared" si="168"/>
        <v>2809</v>
      </c>
      <c r="Y2065" s="11">
        <f t="shared" si="169"/>
        <v>2809</v>
      </c>
    </row>
    <row r="2066" spans="2:25">
      <c r="B2066" t="s">
        <v>26</v>
      </c>
      <c r="C2066" t="s">
        <v>8460</v>
      </c>
      <c r="D2066" t="s">
        <v>8461</v>
      </c>
      <c r="E2066" t="s">
        <v>29</v>
      </c>
      <c r="F2066" t="s">
        <v>30</v>
      </c>
      <c r="G2066" t="s">
        <v>31</v>
      </c>
      <c r="J2066" t="s">
        <v>8460</v>
      </c>
      <c r="K2066" t="s">
        <v>1967</v>
      </c>
      <c r="L2066" t="s">
        <v>8453</v>
      </c>
      <c r="M2066" s="8">
        <v>0.10875</v>
      </c>
      <c r="N2066">
        <v>145.23264029167</v>
      </c>
      <c r="O2066">
        <v>2809</v>
      </c>
      <c r="P2066" s="9">
        <v>0.169779310344828</v>
      </c>
      <c r="Q2066" t="s">
        <v>1733</v>
      </c>
      <c r="T2066" s="15" t="s">
        <v>112</v>
      </c>
      <c r="W2066" s="16" t="str">
        <f t="shared" si="167"/>
        <v>EN_WON_17_c04_TJK</v>
      </c>
      <c r="X2066" s="12">
        <f t="shared" si="168"/>
        <v>2809</v>
      </c>
      <c r="Y2066" s="11">
        <f t="shared" si="169"/>
        <v>2809</v>
      </c>
    </row>
    <row r="2067" spans="2:25">
      <c r="B2067" t="s">
        <v>26</v>
      </c>
      <c r="C2067" t="s">
        <v>8462</v>
      </c>
      <c r="D2067" t="s">
        <v>8463</v>
      </c>
      <c r="E2067" t="s">
        <v>29</v>
      </c>
      <c r="F2067" t="s">
        <v>30</v>
      </c>
      <c r="G2067" t="s">
        <v>31</v>
      </c>
      <c r="J2067" t="s">
        <v>8462</v>
      </c>
      <c r="K2067" t="s">
        <v>1967</v>
      </c>
      <c r="L2067" t="s">
        <v>8453</v>
      </c>
      <c r="M2067" s="8">
        <v>0.0525</v>
      </c>
      <c r="N2067">
        <v>80.7856561622413</v>
      </c>
      <c r="O2067">
        <v>2809</v>
      </c>
      <c r="P2067" s="9">
        <v>0.1767</v>
      </c>
      <c r="Q2067" t="s">
        <v>1733</v>
      </c>
      <c r="T2067" s="15" t="s">
        <v>112</v>
      </c>
      <c r="W2067" s="16" t="str">
        <f t="shared" si="167"/>
        <v>EN_WON_18_c02_TJK</v>
      </c>
      <c r="X2067" s="12">
        <f t="shared" si="168"/>
        <v>2809</v>
      </c>
      <c r="Y2067" s="11">
        <f t="shared" si="169"/>
        <v>2809</v>
      </c>
    </row>
    <row r="2068" spans="2:25">
      <c r="B2068" t="s">
        <v>26</v>
      </c>
      <c r="C2068" t="s">
        <v>8464</v>
      </c>
      <c r="D2068" t="s">
        <v>8465</v>
      </c>
      <c r="E2068" t="s">
        <v>29</v>
      </c>
      <c r="F2068" t="s">
        <v>30</v>
      </c>
      <c r="G2068" t="s">
        <v>31</v>
      </c>
      <c r="J2068" t="s">
        <v>8464</v>
      </c>
      <c r="K2068" t="s">
        <v>1967</v>
      </c>
      <c r="L2068" t="s">
        <v>8453</v>
      </c>
      <c r="M2068" s="8">
        <v>0.12</v>
      </c>
      <c r="N2068">
        <v>105.747516212372</v>
      </c>
      <c r="O2068">
        <v>2809</v>
      </c>
      <c r="P2068" s="9">
        <v>0.179175</v>
      </c>
      <c r="Q2068" t="s">
        <v>1733</v>
      </c>
      <c r="T2068" s="15" t="s">
        <v>112</v>
      </c>
      <c r="W2068" s="16" t="str">
        <f t="shared" si="167"/>
        <v>EN_WON_18_c03_TJK</v>
      </c>
      <c r="X2068" s="12">
        <f t="shared" si="168"/>
        <v>2809</v>
      </c>
      <c r="Y2068" s="11">
        <f t="shared" si="169"/>
        <v>2809</v>
      </c>
    </row>
    <row r="2069" spans="2:25">
      <c r="B2069" t="s">
        <v>26</v>
      </c>
      <c r="C2069" t="s">
        <v>8466</v>
      </c>
      <c r="D2069" t="s">
        <v>8467</v>
      </c>
      <c r="E2069" t="s">
        <v>29</v>
      </c>
      <c r="F2069" t="s">
        <v>30</v>
      </c>
      <c r="G2069" t="s">
        <v>31</v>
      </c>
      <c r="J2069" t="s">
        <v>8466</v>
      </c>
      <c r="K2069" t="s">
        <v>1967</v>
      </c>
      <c r="L2069" t="s">
        <v>8453</v>
      </c>
      <c r="M2069" s="8">
        <v>0.0585</v>
      </c>
      <c r="N2069">
        <v>145.23264029167</v>
      </c>
      <c r="O2069">
        <v>2809</v>
      </c>
      <c r="P2069" s="9">
        <v>0.178</v>
      </c>
      <c r="Q2069" t="s">
        <v>1733</v>
      </c>
      <c r="T2069" s="15" t="s">
        <v>112</v>
      </c>
      <c r="W2069" s="16" t="str">
        <f t="shared" si="167"/>
        <v>EN_WON_18_c04_TJK</v>
      </c>
      <c r="X2069" s="12">
        <f t="shared" si="168"/>
        <v>2809</v>
      </c>
      <c r="Y2069" s="11">
        <f t="shared" si="169"/>
        <v>2809</v>
      </c>
    </row>
    <row r="2070" spans="2:25">
      <c r="B2070" t="s">
        <v>26</v>
      </c>
      <c r="C2070" t="s">
        <v>8468</v>
      </c>
      <c r="D2070" t="s">
        <v>8469</v>
      </c>
      <c r="E2070" t="s">
        <v>29</v>
      </c>
      <c r="F2070" t="s">
        <v>30</v>
      </c>
      <c r="G2070" t="s">
        <v>31</v>
      </c>
      <c r="J2070" t="s">
        <v>8468</v>
      </c>
      <c r="K2070" t="s">
        <v>1967</v>
      </c>
      <c r="L2070" t="s">
        <v>8453</v>
      </c>
      <c r="M2070" s="8">
        <v>2.05275</v>
      </c>
      <c r="N2070">
        <v>80.7856561622413</v>
      </c>
      <c r="O2070">
        <v>2809</v>
      </c>
      <c r="P2070" s="9">
        <v>0.186457069784436</v>
      </c>
      <c r="Q2070" t="s">
        <v>1733</v>
      </c>
      <c r="T2070" s="15" t="s">
        <v>112</v>
      </c>
      <c r="W2070" s="16" t="str">
        <f t="shared" si="167"/>
        <v>EN_WON_19_c02_TJK</v>
      </c>
      <c r="X2070" s="12">
        <f t="shared" si="168"/>
        <v>2809</v>
      </c>
      <c r="Y2070" s="11">
        <f t="shared" si="169"/>
        <v>2809</v>
      </c>
    </row>
    <row r="2071" spans="2:25">
      <c r="B2071" t="s">
        <v>26</v>
      </c>
      <c r="C2071" t="s">
        <v>8470</v>
      </c>
      <c r="D2071" t="s">
        <v>8471</v>
      </c>
      <c r="E2071" t="s">
        <v>29</v>
      </c>
      <c r="F2071" t="s">
        <v>30</v>
      </c>
      <c r="G2071" t="s">
        <v>31</v>
      </c>
      <c r="J2071" t="s">
        <v>8470</v>
      </c>
      <c r="K2071" t="s">
        <v>1967</v>
      </c>
      <c r="L2071" t="s">
        <v>8453</v>
      </c>
      <c r="M2071" s="8">
        <v>1.00425</v>
      </c>
      <c r="N2071">
        <v>105.747516212372</v>
      </c>
      <c r="O2071">
        <v>2809</v>
      </c>
      <c r="P2071" s="9">
        <v>0.190976101568335</v>
      </c>
      <c r="Q2071" t="s">
        <v>1733</v>
      </c>
      <c r="T2071" s="15" t="s">
        <v>112</v>
      </c>
      <c r="W2071" s="16" t="str">
        <f t="shared" si="167"/>
        <v>EN_WON_19_c03_TJK</v>
      </c>
      <c r="X2071" s="12">
        <f t="shared" si="168"/>
        <v>2809</v>
      </c>
      <c r="Y2071" s="11">
        <f t="shared" si="169"/>
        <v>2809</v>
      </c>
    </row>
    <row r="2072" spans="2:25">
      <c r="B2072" t="s">
        <v>26</v>
      </c>
      <c r="C2072" t="s">
        <v>8472</v>
      </c>
      <c r="D2072" t="s">
        <v>8473</v>
      </c>
      <c r="E2072" t="s">
        <v>29</v>
      </c>
      <c r="F2072" t="s">
        <v>30</v>
      </c>
      <c r="G2072" t="s">
        <v>31</v>
      </c>
      <c r="J2072" t="s">
        <v>8472</v>
      </c>
      <c r="K2072" t="s">
        <v>1967</v>
      </c>
      <c r="L2072" t="s">
        <v>8453</v>
      </c>
      <c r="M2072" s="8">
        <v>0.195</v>
      </c>
      <c r="N2072">
        <v>145.23264029167</v>
      </c>
      <c r="O2072">
        <v>2809</v>
      </c>
      <c r="P2072" s="9">
        <v>0.191180769230769</v>
      </c>
      <c r="Q2072" t="s">
        <v>1733</v>
      </c>
      <c r="T2072" s="15" t="s">
        <v>112</v>
      </c>
      <c r="W2072" s="16" t="str">
        <f t="shared" si="167"/>
        <v>EN_WON_19_c04_TJK</v>
      </c>
      <c r="X2072" s="12">
        <f t="shared" si="168"/>
        <v>2809</v>
      </c>
      <c r="Y2072" s="11">
        <f t="shared" si="169"/>
        <v>2809</v>
      </c>
    </row>
    <row r="2073" spans="2:25">
      <c r="B2073" t="s">
        <v>26</v>
      </c>
      <c r="C2073" t="s">
        <v>8474</v>
      </c>
      <c r="D2073" t="s">
        <v>8475</v>
      </c>
      <c r="E2073" t="s">
        <v>29</v>
      </c>
      <c r="F2073" t="s">
        <v>30</v>
      </c>
      <c r="G2073" t="s">
        <v>31</v>
      </c>
      <c r="J2073" t="s">
        <v>8474</v>
      </c>
      <c r="K2073" t="s">
        <v>1967</v>
      </c>
      <c r="L2073" t="s">
        <v>8453</v>
      </c>
      <c r="M2073" s="8">
        <v>1.4595</v>
      </c>
      <c r="N2073">
        <v>80.7856561622413</v>
      </c>
      <c r="O2073">
        <v>2809</v>
      </c>
      <c r="P2073" s="9">
        <v>0.203</v>
      </c>
      <c r="Q2073" t="s">
        <v>1733</v>
      </c>
      <c r="T2073" s="15" t="s">
        <v>112</v>
      </c>
      <c r="W2073" s="16" t="str">
        <f t="shared" si="167"/>
        <v>EN_WON_20_c02_TJK</v>
      </c>
      <c r="X2073" s="12">
        <f t="shared" si="168"/>
        <v>2809</v>
      </c>
      <c r="Y2073" s="11">
        <f t="shared" si="169"/>
        <v>2809</v>
      </c>
    </row>
    <row r="2074" spans="2:25">
      <c r="B2074" t="s">
        <v>26</v>
      </c>
      <c r="C2074" t="s">
        <v>8476</v>
      </c>
      <c r="D2074" t="s">
        <v>8477</v>
      </c>
      <c r="E2074" t="s">
        <v>29</v>
      </c>
      <c r="F2074" t="s">
        <v>30</v>
      </c>
      <c r="G2074" t="s">
        <v>31</v>
      </c>
      <c r="J2074" t="s">
        <v>8476</v>
      </c>
      <c r="K2074" t="s">
        <v>1967</v>
      </c>
      <c r="L2074" t="s">
        <v>8453</v>
      </c>
      <c r="M2074" s="8">
        <v>1.67625</v>
      </c>
      <c r="N2074">
        <v>80.7856561622413</v>
      </c>
      <c r="O2074">
        <v>2809</v>
      </c>
      <c r="P2074" s="9">
        <v>0.210000447427293</v>
      </c>
      <c r="Q2074" t="s">
        <v>1733</v>
      </c>
      <c r="T2074" s="15" t="s">
        <v>112</v>
      </c>
      <c r="W2074" s="16" t="str">
        <f t="shared" si="167"/>
        <v>EN_WON_21_c02_TJK</v>
      </c>
      <c r="X2074" s="12">
        <f t="shared" si="168"/>
        <v>2809</v>
      </c>
      <c r="Y2074" s="11">
        <f t="shared" si="169"/>
        <v>2809</v>
      </c>
    </row>
    <row r="2075" spans="2:25">
      <c r="B2075" t="s">
        <v>26</v>
      </c>
      <c r="C2075" t="s">
        <v>8478</v>
      </c>
      <c r="D2075" t="s">
        <v>8479</v>
      </c>
      <c r="E2075" t="s">
        <v>29</v>
      </c>
      <c r="F2075" t="s">
        <v>30</v>
      </c>
      <c r="G2075" t="s">
        <v>31</v>
      </c>
      <c r="J2075" t="s">
        <v>8478</v>
      </c>
      <c r="K2075" t="s">
        <v>1967</v>
      </c>
      <c r="L2075" t="s">
        <v>8453</v>
      </c>
      <c r="M2075" s="8">
        <v>0.76275</v>
      </c>
      <c r="N2075">
        <v>105.747516212372</v>
      </c>
      <c r="O2075">
        <v>2809</v>
      </c>
      <c r="P2075" s="9">
        <v>0.206</v>
      </c>
      <c r="Q2075" t="s">
        <v>1733</v>
      </c>
      <c r="T2075" s="15" t="s">
        <v>112</v>
      </c>
      <c r="W2075" s="16" t="str">
        <f t="shared" si="167"/>
        <v>EN_WON_21_c03_TJK</v>
      </c>
      <c r="X2075" s="12">
        <f t="shared" si="168"/>
        <v>2809</v>
      </c>
      <c r="Y2075" s="11">
        <f t="shared" si="169"/>
        <v>2809</v>
      </c>
    </row>
    <row r="2076" spans="2:25">
      <c r="B2076" t="s">
        <v>26</v>
      </c>
      <c r="C2076" t="s">
        <v>8480</v>
      </c>
      <c r="D2076" t="s">
        <v>8481</v>
      </c>
      <c r="E2076" t="s">
        <v>29</v>
      </c>
      <c r="F2076" t="s">
        <v>30</v>
      </c>
      <c r="G2076" t="s">
        <v>31</v>
      </c>
      <c r="J2076" t="s">
        <v>8480</v>
      </c>
      <c r="K2076" t="s">
        <v>1967</v>
      </c>
      <c r="L2076" t="s">
        <v>8453</v>
      </c>
      <c r="M2076" s="8">
        <v>1.93575</v>
      </c>
      <c r="N2076">
        <v>145.23264029167</v>
      </c>
      <c r="O2076">
        <v>2809</v>
      </c>
      <c r="P2076" s="9">
        <v>0.212853545137544</v>
      </c>
      <c r="Q2076" t="s">
        <v>1733</v>
      </c>
      <c r="T2076" s="15" t="s">
        <v>112</v>
      </c>
      <c r="W2076" s="16" t="str">
        <f t="shared" si="167"/>
        <v>EN_WON_21_c04_TJK</v>
      </c>
      <c r="X2076" s="12">
        <f t="shared" si="168"/>
        <v>2809</v>
      </c>
      <c r="Y2076" s="11">
        <f t="shared" si="169"/>
        <v>2809</v>
      </c>
    </row>
    <row r="2077" spans="2:25">
      <c r="B2077" t="s">
        <v>26</v>
      </c>
      <c r="C2077" t="s">
        <v>8482</v>
      </c>
      <c r="D2077" t="s">
        <v>8483</v>
      </c>
      <c r="E2077" t="s">
        <v>29</v>
      </c>
      <c r="F2077" t="s">
        <v>30</v>
      </c>
      <c r="G2077" t="s">
        <v>31</v>
      </c>
      <c r="J2077" t="s">
        <v>8482</v>
      </c>
      <c r="K2077" t="s">
        <v>1967</v>
      </c>
      <c r="L2077" t="s">
        <v>8453</v>
      </c>
      <c r="M2077" s="8">
        <v>0.021</v>
      </c>
      <c r="N2077">
        <v>105.747516212372</v>
      </c>
      <c r="O2077">
        <v>2809</v>
      </c>
      <c r="P2077" s="9">
        <v>0.221</v>
      </c>
      <c r="Q2077" t="s">
        <v>1733</v>
      </c>
      <c r="T2077" s="15" t="s">
        <v>112</v>
      </c>
      <c r="W2077" s="16" t="str">
        <f t="shared" si="167"/>
        <v>EN_WON_22_c03_TJK</v>
      </c>
      <c r="X2077" s="12">
        <f t="shared" si="168"/>
        <v>2809</v>
      </c>
      <c r="Y2077" s="11">
        <f t="shared" si="169"/>
        <v>2809</v>
      </c>
    </row>
    <row r="2078" spans="2:25">
      <c r="B2078" t="s">
        <v>26</v>
      </c>
      <c r="C2078" t="s">
        <v>8484</v>
      </c>
      <c r="D2078" t="s">
        <v>8485</v>
      </c>
      <c r="E2078" t="s">
        <v>29</v>
      </c>
      <c r="F2078" t="s">
        <v>30</v>
      </c>
      <c r="G2078" t="s">
        <v>31</v>
      </c>
      <c r="J2078" t="s">
        <v>8484</v>
      </c>
      <c r="K2078" t="s">
        <v>1967</v>
      </c>
      <c r="L2078" t="s">
        <v>8453</v>
      </c>
      <c r="M2078" s="8">
        <v>0.102</v>
      </c>
      <c r="N2078">
        <v>145.23264029167</v>
      </c>
      <c r="O2078">
        <v>2809</v>
      </c>
      <c r="P2078" s="9">
        <v>0.218919117647059</v>
      </c>
      <c r="Q2078" t="s">
        <v>1733</v>
      </c>
      <c r="T2078" s="15" t="s">
        <v>112</v>
      </c>
      <c r="W2078" s="16" t="str">
        <f t="shared" si="167"/>
        <v>EN_WON_22_c04_TJK</v>
      </c>
      <c r="X2078" s="12">
        <f t="shared" si="168"/>
        <v>2809</v>
      </c>
      <c r="Y2078" s="11">
        <f t="shared" si="169"/>
        <v>2809</v>
      </c>
    </row>
    <row r="2079" spans="2:25">
      <c r="B2079" t="s">
        <v>26</v>
      </c>
      <c r="C2079" t="s">
        <v>8486</v>
      </c>
      <c r="D2079" t="s">
        <v>8487</v>
      </c>
      <c r="E2079" t="s">
        <v>29</v>
      </c>
      <c r="F2079" t="s">
        <v>30</v>
      </c>
      <c r="G2079" t="s">
        <v>31</v>
      </c>
      <c r="J2079" t="s">
        <v>8486</v>
      </c>
      <c r="K2079" t="s">
        <v>1967</v>
      </c>
      <c r="L2079" t="s">
        <v>8453</v>
      </c>
      <c r="M2079" s="8">
        <v>3.43575</v>
      </c>
      <c r="N2079">
        <v>105.747516212372</v>
      </c>
      <c r="O2079">
        <v>2809</v>
      </c>
      <c r="P2079" s="9">
        <v>0.245</v>
      </c>
      <c r="Q2079" t="s">
        <v>1733</v>
      </c>
      <c r="T2079" s="15" t="s">
        <v>112</v>
      </c>
      <c r="W2079" s="16" t="str">
        <f t="shared" si="167"/>
        <v>EN_WON_25_c03_TJK</v>
      </c>
      <c r="X2079" s="12">
        <f t="shared" si="168"/>
        <v>2809</v>
      </c>
      <c r="Y2079" s="11">
        <f t="shared" si="169"/>
        <v>2809</v>
      </c>
    </row>
    <row r="2080" spans="2:25">
      <c r="B2080" t="s">
        <v>26</v>
      </c>
      <c r="C2080" t="s">
        <v>8488</v>
      </c>
      <c r="D2080" t="s">
        <v>8489</v>
      </c>
      <c r="E2080" t="s">
        <v>29</v>
      </c>
      <c r="F2080" t="s">
        <v>30</v>
      </c>
      <c r="G2080" t="s">
        <v>31</v>
      </c>
      <c r="J2080" t="s">
        <v>8488</v>
      </c>
      <c r="K2080" t="s">
        <v>1967</v>
      </c>
      <c r="L2080" t="s">
        <v>8453</v>
      </c>
      <c r="M2080" s="8">
        <v>2.81775</v>
      </c>
      <c r="N2080">
        <v>145.23264029167</v>
      </c>
      <c r="O2080">
        <v>2809</v>
      </c>
      <c r="P2080" s="9">
        <v>0.252348682459409</v>
      </c>
      <c r="Q2080" t="s">
        <v>1733</v>
      </c>
      <c r="T2080" s="15" t="s">
        <v>112</v>
      </c>
      <c r="W2080" s="16" t="str">
        <f t="shared" si="167"/>
        <v>EN_WON_25_c04_TJK</v>
      </c>
      <c r="X2080" s="12">
        <f t="shared" si="168"/>
        <v>2809</v>
      </c>
      <c r="Y2080" s="11">
        <f t="shared" si="169"/>
        <v>2809</v>
      </c>
    </row>
    <row r="2081" spans="2:25">
      <c r="B2081" t="s">
        <v>26</v>
      </c>
      <c r="C2081" t="s">
        <v>8490</v>
      </c>
      <c r="D2081" t="s">
        <v>8491</v>
      </c>
      <c r="E2081" t="s">
        <v>29</v>
      </c>
      <c r="F2081" t="s">
        <v>30</v>
      </c>
      <c r="G2081" t="s">
        <v>31</v>
      </c>
      <c r="J2081" t="s">
        <v>8490</v>
      </c>
      <c r="K2081" t="s">
        <v>1967</v>
      </c>
      <c r="L2081" t="s">
        <v>8453</v>
      </c>
      <c r="M2081" s="8">
        <v>3.075</v>
      </c>
      <c r="N2081">
        <v>145.23264029167</v>
      </c>
      <c r="O2081">
        <v>2809</v>
      </c>
      <c r="P2081" s="9">
        <v>0.284</v>
      </c>
      <c r="Q2081" t="s">
        <v>1733</v>
      </c>
      <c r="T2081" s="15" t="s">
        <v>112</v>
      </c>
      <c r="W2081" s="16" t="str">
        <f t="shared" si="167"/>
        <v>EN_WON_28_c04_TJK</v>
      </c>
      <c r="X2081" s="12">
        <f t="shared" si="168"/>
        <v>2809</v>
      </c>
      <c r="Y2081" s="11">
        <f t="shared" si="169"/>
        <v>2809</v>
      </c>
    </row>
    <row r="2082" spans="2:25">
      <c r="B2082" t="s">
        <v>26</v>
      </c>
      <c r="C2082" t="s">
        <v>8492</v>
      </c>
      <c r="D2082" t="s">
        <v>8493</v>
      </c>
      <c r="E2082" t="s">
        <v>29</v>
      </c>
      <c r="F2082" t="s">
        <v>30</v>
      </c>
      <c r="G2082" t="s">
        <v>31</v>
      </c>
      <c r="J2082" t="s">
        <v>8492</v>
      </c>
      <c r="K2082" t="s">
        <v>1967</v>
      </c>
      <c r="L2082" t="s">
        <v>8453</v>
      </c>
      <c r="M2082" s="8">
        <v>3.6375</v>
      </c>
      <c r="N2082">
        <v>145.23264029167</v>
      </c>
      <c r="O2082">
        <v>2809</v>
      </c>
      <c r="P2082" s="9">
        <v>0.287</v>
      </c>
      <c r="Q2082" t="s">
        <v>1733</v>
      </c>
      <c r="T2082" s="15" t="s">
        <v>112</v>
      </c>
      <c r="W2082" s="16" t="str">
        <f t="shared" si="167"/>
        <v>EN_WON_29_c04_TJK</v>
      </c>
      <c r="X2082" s="12">
        <f t="shared" si="168"/>
        <v>2809</v>
      </c>
      <c r="Y2082" s="11">
        <f t="shared" si="169"/>
        <v>2809</v>
      </c>
    </row>
    <row r="2083" spans="2:25">
      <c r="B2083" t="s">
        <v>26</v>
      </c>
      <c r="C2083" t="s">
        <v>8494</v>
      </c>
      <c r="D2083" t="s">
        <v>8495</v>
      </c>
      <c r="E2083" t="s">
        <v>29</v>
      </c>
      <c r="F2083" t="s">
        <v>30</v>
      </c>
      <c r="G2083" t="s">
        <v>31</v>
      </c>
      <c r="J2083" t="s">
        <v>8494</v>
      </c>
      <c r="K2083" t="s">
        <v>1967</v>
      </c>
      <c r="L2083" t="s">
        <v>8453</v>
      </c>
      <c r="M2083" s="8">
        <v>2.595</v>
      </c>
      <c r="N2083">
        <v>145.23264029167</v>
      </c>
      <c r="O2083">
        <v>2809</v>
      </c>
      <c r="P2083" s="9">
        <v>0.3</v>
      </c>
      <c r="Q2083" t="s">
        <v>1733</v>
      </c>
      <c r="T2083" s="15" t="s">
        <v>112</v>
      </c>
      <c r="W2083" s="16" t="str">
        <f t="shared" si="167"/>
        <v>EN_WON_30_c04_TJK</v>
      </c>
      <c r="X2083" s="12">
        <f t="shared" si="168"/>
        <v>2809</v>
      </c>
      <c r="Y2083" s="11">
        <f t="shared" si="169"/>
        <v>2809</v>
      </c>
    </row>
    <row r="2084" spans="2:25">
      <c r="B2084" t="s">
        <v>26</v>
      </c>
      <c r="C2084" t="s">
        <v>8496</v>
      </c>
      <c r="D2084" t="s">
        <v>8497</v>
      </c>
      <c r="E2084" t="s">
        <v>29</v>
      </c>
      <c r="F2084" t="s">
        <v>30</v>
      </c>
      <c r="G2084" t="s">
        <v>31</v>
      </c>
      <c r="J2084" t="s">
        <v>8496</v>
      </c>
      <c r="K2084" t="s">
        <v>1967</v>
      </c>
      <c r="L2084" t="s">
        <v>8498</v>
      </c>
      <c r="M2084" s="8">
        <v>23.40375</v>
      </c>
      <c r="N2084">
        <v>0</v>
      </c>
      <c r="O2084">
        <v>2809</v>
      </c>
      <c r="P2084" s="9">
        <v>0.418399871815414</v>
      </c>
      <c r="Q2084" t="s">
        <v>1745</v>
      </c>
      <c r="T2084" s="15" t="s">
        <v>112</v>
      </c>
      <c r="W2084" s="16" t="str">
        <f t="shared" si="167"/>
        <v>EN_WON_42_c01_TKM</v>
      </c>
      <c r="X2084" s="12">
        <f t="shared" si="168"/>
        <v>2809</v>
      </c>
      <c r="Y2084" s="11">
        <f t="shared" si="169"/>
        <v>2809</v>
      </c>
    </row>
    <row r="2085" spans="2:25">
      <c r="B2085" t="s">
        <v>26</v>
      </c>
      <c r="C2085" t="s">
        <v>8499</v>
      </c>
      <c r="D2085" t="s">
        <v>8500</v>
      </c>
      <c r="E2085" t="s">
        <v>29</v>
      </c>
      <c r="F2085" t="s">
        <v>30</v>
      </c>
      <c r="G2085" t="s">
        <v>31</v>
      </c>
      <c r="J2085" t="s">
        <v>8499</v>
      </c>
      <c r="K2085" t="s">
        <v>1967</v>
      </c>
      <c r="L2085" t="s">
        <v>8498</v>
      </c>
      <c r="M2085" s="8">
        <v>13.9545</v>
      </c>
      <c r="N2085">
        <v>0</v>
      </c>
      <c r="O2085">
        <v>2809</v>
      </c>
      <c r="P2085" s="9">
        <v>0.429491615607868</v>
      </c>
      <c r="Q2085" t="s">
        <v>1745</v>
      </c>
      <c r="T2085" s="15" t="s">
        <v>112</v>
      </c>
      <c r="W2085" s="16" t="str">
        <f t="shared" si="167"/>
        <v>EN_WON_43_c01_TKM</v>
      </c>
      <c r="X2085" s="12">
        <f t="shared" si="168"/>
        <v>2809</v>
      </c>
      <c r="Y2085" s="11">
        <f t="shared" si="169"/>
        <v>2809</v>
      </c>
    </row>
    <row r="2086" spans="2:25">
      <c r="B2086" t="s">
        <v>26</v>
      </c>
      <c r="C2086" t="s">
        <v>8501</v>
      </c>
      <c r="D2086" t="s">
        <v>8502</v>
      </c>
      <c r="E2086" t="s">
        <v>29</v>
      </c>
      <c r="F2086" t="s">
        <v>30</v>
      </c>
      <c r="G2086" t="s">
        <v>31</v>
      </c>
      <c r="J2086" t="s">
        <v>8501</v>
      </c>
      <c r="K2086" t="s">
        <v>1967</v>
      </c>
      <c r="L2086" t="s">
        <v>8498</v>
      </c>
      <c r="M2086" s="8">
        <v>6.34275</v>
      </c>
      <c r="N2086">
        <v>0</v>
      </c>
      <c r="O2086">
        <v>2809</v>
      </c>
      <c r="P2086" s="9">
        <v>0.436</v>
      </c>
      <c r="Q2086" t="s">
        <v>1745</v>
      </c>
      <c r="T2086" s="15" t="s">
        <v>112</v>
      </c>
      <c r="W2086" s="16" t="str">
        <f t="shared" si="167"/>
        <v>EN_WON_44_c01_TKM</v>
      </c>
      <c r="X2086" s="12">
        <f t="shared" si="168"/>
        <v>2809</v>
      </c>
      <c r="Y2086" s="11">
        <f t="shared" si="169"/>
        <v>2809</v>
      </c>
    </row>
    <row r="2087" spans="2:25">
      <c r="B2087" t="s">
        <v>26</v>
      </c>
      <c r="C2087" t="s">
        <v>8503</v>
      </c>
      <c r="D2087" t="s">
        <v>8504</v>
      </c>
      <c r="E2087" t="s">
        <v>29</v>
      </c>
      <c r="F2087" t="s">
        <v>30</v>
      </c>
      <c r="G2087" t="s">
        <v>31</v>
      </c>
      <c r="J2087" t="s">
        <v>8503</v>
      </c>
      <c r="K2087" t="s">
        <v>1967</v>
      </c>
      <c r="L2087" t="s">
        <v>8498</v>
      </c>
      <c r="M2087" s="8">
        <v>0.75825</v>
      </c>
      <c r="N2087">
        <v>0</v>
      </c>
      <c r="O2087">
        <v>2809</v>
      </c>
      <c r="P2087" s="9">
        <v>0.454</v>
      </c>
      <c r="Q2087" t="s">
        <v>1745</v>
      </c>
      <c r="T2087" s="15" t="s">
        <v>112</v>
      </c>
      <c r="W2087" s="16" t="str">
        <f t="shared" si="167"/>
        <v>EN_WON_45_c01_TKM</v>
      </c>
      <c r="X2087" s="12">
        <f t="shared" si="168"/>
        <v>2809</v>
      </c>
      <c r="Y2087" s="11">
        <f t="shared" si="169"/>
        <v>2809</v>
      </c>
    </row>
    <row r="2088" spans="2:25">
      <c r="B2088" t="s">
        <v>26</v>
      </c>
      <c r="C2088" t="s">
        <v>8505</v>
      </c>
      <c r="D2088" t="s">
        <v>8506</v>
      </c>
      <c r="E2088" t="s">
        <v>29</v>
      </c>
      <c r="F2088" t="s">
        <v>30</v>
      </c>
      <c r="G2088" t="s">
        <v>31</v>
      </c>
      <c r="J2088" t="s">
        <v>8505</v>
      </c>
      <c r="K2088" t="s">
        <v>1967</v>
      </c>
      <c r="L2088" t="s">
        <v>5826</v>
      </c>
      <c r="M2088" s="8">
        <v>0.087</v>
      </c>
      <c r="N2088">
        <v>0</v>
      </c>
      <c r="O2088">
        <v>1554</v>
      </c>
      <c r="P2088" s="9">
        <v>0.22</v>
      </c>
      <c r="Q2088" t="s">
        <v>5827</v>
      </c>
      <c r="T2088" s="15" t="s">
        <v>290</v>
      </c>
      <c r="W2088" s="16" t="str">
        <f t="shared" si="167"/>
        <v>EN_WON_22_c01_TON</v>
      </c>
      <c r="X2088" s="12">
        <f t="shared" si="168"/>
        <v>1554</v>
      </c>
      <c r="Y2088" s="11">
        <f t="shared" si="169"/>
        <v>1554</v>
      </c>
    </row>
    <row r="2089" spans="2:25">
      <c r="B2089" t="s">
        <v>26</v>
      </c>
      <c r="C2089" t="s">
        <v>8507</v>
      </c>
      <c r="D2089" t="s">
        <v>8508</v>
      </c>
      <c r="E2089" t="s">
        <v>29</v>
      </c>
      <c r="F2089" t="s">
        <v>30</v>
      </c>
      <c r="G2089" t="s">
        <v>31</v>
      </c>
      <c r="J2089" t="s">
        <v>8507</v>
      </c>
      <c r="K2089" t="s">
        <v>1967</v>
      </c>
      <c r="L2089" t="s">
        <v>5826</v>
      </c>
      <c r="M2089" s="8">
        <v>0.09675</v>
      </c>
      <c r="N2089">
        <v>80.7856561622413</v>
      </c>
      <c r="O2089">
        <v>1554</v>
      </c>
      <c r="P2089" s="9">
        <v>0.252</v>
      </c>
      <c r="Q2089" t="s">
        <v>5827</v>
      </c>
      <c r="T2089" s="15" t="s">
        <v>290</v>
      </c>
      <c r="W2089" s="16" t="str">
        <f t="shared" si="167"/>
        <v>EN_WON_25_c02_TON</v>
      </c>
      <c r="X2089" s="12">
        <f t="shared" si="168"/>
        <v>1554</v>
      </c>
      <c r="Y2089" s="11">
        <f t="shared" si="169"/>
        <v>1554</v>
      </c>
    </row>
    <row r="2090" spans="2:25">
      <c r="B2090" t="s">
        <v>26</v>
      </c>
      <c r="C2090" t="s">
        <v>8509</v>
      </c>
      <c r="D2090" t="s">
        <v>8510</v>
      </c>
      <c r="E2090" t="s">
        <v>29</v>
      </c>
      <c r="F2090" t="s">
        <v>30</v>
      </c>
      <c r="G2090" t="s">
        <v>31</v>
      </c>
      <c r="J2090" t="s">
        <v>8509</v>
      </c>
      <c r="K2090" t="s">
        <v>1967</v>
      </c>
      <c r="L2090" t="s">
        <v>5826</v>
      </c>
      <c r="M2090" s="8">
        <v>0.01125</v>
      </c>
      <c r="N2090">
        <v>145.23264029167</v>
      </c>
      <c r="O2090">
        <v>1554</v>
      </c>
      <c r="P2090" s="9">
        <v>0.297</v>
      </c>
      <c r="Q2090" t="s">
        <v>5827</v>
      </c>
      <c r="T2090" s="15" t="s">
        <v>290</v>
      </c>
      <c r="W2090" s="16" t="str">
        <f t="shared" si="167"/>
        <v>EN_WON_30_c04_TON</v>
      </c>
      <c r="X2090" s="12">
        <f t="shared" si="168"/>
        <v>1554</v>
      </c>
      <c r="Y2090" s="11">
        <f t="shared" si="169"/>
        <v>1554</v>
      </c>
    </row>
    <row r="2091" spans="2:25">
      <c r="B2091" t="s">
        <v>26</v>
      </c>
      <c r="C2091" t="s">
        <v>8511</v>
      </c>
      <c r="D2091" t="s">
        <v>8512</v>
      </c>
      <c r="E2091" t="s">
        <v>29</v>
      </c>
      <c r="F2091" t="s">
        <v>30</v>
      </c>
      <c r="G2091" t="s">
        <v>31</v>
      </c>
      <c r="J2091" t="s">
        <v>8511</v>
      </c>
      <c r="K2091" t="s">
        <v>1967</v>
      </c>
      <c r="L2091" t="s">
        <v>5849</v>
      </c>
      <c r="M2091" s="8">
        <v>5.466</v>
      </c>
      <c r="N2091">
        <v>145.23264029167</v>
      </c>
      <c r="O2091">
        <v>1910</v>
      </c>
      <c r="P2091" s="9">
        <v>0.242</v>
      </c>
      <c r="Q2091" t="s">
        <v>1751</v>
      </c>
      <c r="T2091" s="15" t="s">
        <v>89</v>
      </c>
      <c r="W2091" s="16" t="str">
        <f t="shared" si="167"/>
        <v>EN_WON_24_c04_TTO</v>
      </c>
      <c r="X2091" s="12">
        <f t="shared" si="168"/>
        <v>1910</v>
      </c>
      <c r="Y2091" s="11">
        <f t="shared" si="169"/>
        <v>1910</v>
      </c>
    </row>
    <row r="2092" spans="2:25">
      <c r="B2092" t="s">
        <v>26</v>
      </c>
      <c r="C2092" t="s">
        <v>8513</v>
      </c>
      <c r="D2092" t="s">
        <v>8514</v>
      </c>
      <c r="E2092" t="s">
        <v>29</v>
      </c>
      <c r="F2092" t="s">
        <v>30</v>
      </c>
      <c r="G2092" t="s">
        <v>31</v>
      </c>
      <c r="J2092" t="s">
        <v>8513</v>
      </c>
      <c r="K2092" t="s">
        <v>1967</v>
      </c>
      <c r="L2092" t="s">
        <v>5849</v>
      </c>
      <c r="M2092" s="8">
        <v>5.586</v>
      </c>
      <c r="N2092">
        <v>105.747516212372</v>
      </c>
      <c r="O2092">
        <v>1910</v>
      </c>
      <c r="P2092" s="9">
        <v>0.291</v>
      </c>
      <c r="Q2092" t="s">
        <v>1751</v>
      </c>
      <c r="T2092" s="15" t="s">
        <v>89</v>
      </c>
      <c r="W2092" s="16" t="str">
        <f t="shared" si="167"/>
        <v>EN_WON_29_c03_TTO</v>
      </c>
      <c r="X2092" s="12">
        <f t="shared" si="168"/>
        <v>1910</v>
      </c>
      <c r="Y2092" s="11">
        <f t="shared" si="169"/>
        <v>1910</v>
      </c>
    </row>
    <row r="2093" spans="2:25">
      <c r="B2093" t="s">
        <v>26</v>
      </c>
      <c r="C2093" t="s">
        <v>8515</v>
      </c>
      <c r="D2093" t="s">
        <v>8516</v>
      </c>
      <c r="E2093" t="s">
        <v>29</v>
      </c>
      <c r="F2093" t="s">
        <v>30</v>
      </c>
      <c r="G2093" t="s">
        <v>31</v>
      </c>
      <c r="J2093" t="s">
        <v>8515</v>
      </c>
      <c r="K2093" t="s">
        <v>1967</v>
      </c>
      <c r="L2093" t="s">
        <v>5854</v>
      </c>
      <c r="M2093" s="8">
        <v>12.492</v>
      </c>
      <c r="N2093">
        <v>0</v>
      </c>
      <c r="O2093">
        <v>1514</v>
      </c>
      <c r="P2093" s="9">
        <v>0.400640369836696</v>
      </c>
      <c r="Q2093" t="s">
        <v>1755</v>
      </c>
      <c r="T2093" s="15" t="s">
        <v>80</v>
      </c>
      <c r="W2093" s="16" t="str">
        <f t="shared" si="167"/>
        <v>EN_WON_40_c01_TUN</v>
      </c>
      <c r="X2093" s="12">
        <f t="shared" si="168"/>
        <v>1514</v>
      </c>
      <c r="Y2093" s="11">
        <f t="shared" si="169"/>
        <v>1514</v>
      </c>
    </row>
    <row r="2094" spans="2:25">
      <c r="B2094" t="s">
        <v>26</v>
      </c>
      <c r="C2094" t="s">
        <v>8517</v>
      </c>
      <c r="D2094" t="s">
        <v>8518</v>
      </c>
      <c r="E2094" t="s">
        <v>29</v>
      </c>
      <c r="F2094" t="s">
        <v>30</v>
      </c>
      <c r="G2094" t="s">
        <v>31</v>
      </c>
      <c r="J2094" t="s">
        <v>8517</v>
      </c>
      <c r="K2094" t="s">
        <v>1967</v>
      </c>
      <c r="L2094" t="s">
        <v>5854</v>
      </c>
      <c r="M2094" s="8">
        <v>14.23875</v>
      </c>
      <c r="N2094">
        <v>0</v>
      </c>
      <c r="O2094">
        <v>1514</v>
      </c>
      <c r="P2094" s="9">
        <v>0.410693916249671</v>
      </c>
      <c r="Q2094" t="s">
        <v>1755</v>
      </c>
      <c r="T2094" s="15" t="s">
        <v>80</v>
      </c>
      <c r="W2094" s="16" t="str">
        <f t="shared" si="167"/>
        <v>EN_WON_41_c01_TUN</v>
      </c>
      <c r="X2094" s="12">
        <f t="shared" si="168"/>
        <v>1514</v>
      </c>
      <c r="Y2094" s="11">
        <f t="shared" si="169"/>
        <v>1514</v>
      </c>
    </row>
    <row r="2095" spans="2:25">
      <c r="B2095" t="s">
        <v>26</v>
      </c>
      <c r="C2095" t="s">
        <v>8519</v>
      </c>
      <c r="D2095" t="s">
        <v>8520</v>
      </c>
      <c r="E2095" t="s">
        <v>29</v>
      </c>
      <c r="F2095" t="s">
        <v>30</v>
      </c>
      <c r="G2095" t="s">
        <v>31</v>
      </c>
      <c r="J2095" t="s">
        <v>8519</v>
      </c>
      <c r="K2095" t="s">
        <v>1967</v>
      </c>
      <c r="L2095" t="s">
        <v>5892</v>
      </c>
      <c r="M2095" s="8">
        <v>0.468</v>
      </c>
      <c r="N2095">
        <v>80.7856561622413</v>
      </c>
      <c r="O2095">
        <v>1683</v>
      </c>
      <c r="P2095" s="9">
        <v>0.151004807692308</v>
      </c>
      <c r="Q2095" t="s">
        <v>1761</v>
      </c>
      <c r="T2095" s="15" t="s">
        <v>80</v>
      </c>
      <c r="W2095" s="16" t="str">
        <f t="shared" si="167"/>
        <v>EN_WON_15_c02_TUR</v>
      </c>
      <c r="X2095" s="12">
        <f t="shared" si="168"/>
        <v>1683</v>
      </c>
      <c r="Y2095" s="11">
        <f t="shared" si="169"/>
        <v>1683</v>
      </c>
    </row>
    <row r="2096" spans="2:25">
      <c r="B2096" t="s">
        <v>26</v>
      </c>
      <c r="C2096" t="s">
        <v>8521</v>
      </c>
      <c r="D2096" t="s">
        <v>8522</v>
      </c>
      <c r="E2096" t="s">
        <v>29</v>
      </c>
      <c r="F2096" t="s">
        <v>30</v>
      </c>
      <c r="G2096" t="s">
        <v>31</v>
      </c>
      <c r="J2096" t="s">
        <v>8521</v>
      </c>
      <c r="K2096" t="s">
        <v>1967</v>
      </c>
      <c r="L2096" t="s">
        <v>5892</v>
      </c>
      <c r="M2096" s="8">
        <v>4.9545</v>
      </c>
      <c r="N2096">
        <v>80.7856561622413</v>
      </c>
      <c r="O2096">
        <v>1683</v>
      </c>
      <c r="P2096" s="9">
        <v>0.160608386315471</v>
      </c>
      <c r="Q2096" t="s">
        <v>1761</v>
      </c>
      <c r="T2096" s="15" t="s">
        <v>80</v>
      </c>
      <c r="W2096" s="16" t="str">
        <f t="shared" si="167"/>
        <v>EN_WON_16_c02_TUR</v>
      </c>
      <c r="X2096" s="12">
        <f t="shared" si="168"/>
        <v>1683</v>
      </c>
      <c r="Y2096" s="11">
        <f t="shared" si="169"/>
        <v>1683</v>
      </c>
    </row>
    <row r="2097" spans="2:25">
      <c r="B2097" t="s">
        <v>26</v>
      </c>
      <c r="C2097" t="s">
        <v>8523</v>
      </c>
      <c r="D2097" t="s">
        <v>8524</v>
      </c>
      <c r="E2097" t="s">
        <v>29</v>
      </c>
      <c r="F2097" t="s">
        <v>30</v>
      </c>
      <c r="G2097" t="s">
        <v>31</v>
      </c>
      <c r="J2097" t="s">
        <v>8523</v>
      </c>
      <c r="K2097" t="s">
        <v>1967</v>
      </c>
      <c r="L2097" t="s">
        <v>5892</v>
      </c>
      <c r="M2097" s="8">
        <v>0.14325</v>
      </c>
      <c r="N2097">
        <v>105.747516212372</v>
      </c>
      <c r="O2097">
        <v>1683</v>
      </c>
      <c r="P2097" s="9">
        <v>0.16282722513089</v>
      </c>
      <c r="Q2097" t="s">
        <v>1761</v>
      </c>
      <c r="T2097" s="15" t="s">
        <v>80</v>
      </c>
      <c r="W2097" s="16" t="str">
        <f t="shared" si="167"/>
        <v>EN_WON_16_c03_TUR</v>
      </c>
      <c r="X2097" s="12">
        <f t="shared" si="168"/>
        <v>1683</v>
      </c>
      <c r="Y2097" s="11">
        <f t="shared" si="169"/>
        <v>1683</v>
      </c>
    </row>
    <row r="2098" spans="2:25">
      <c r="B2098" t="s">
        <v>26</v>
      </c>
      <c r="C2098" t="s">
        <v>8525</v>
      </c>
      <c r="D2098" t="s">
        <v>8526</v>
      </c>
      <c r="E2098" t="s">
        <v>29</v>
      </c>
      <c r="F2098" t="s">
        <v>30</v>
      </c>
      <c r="G2098" t="s">
        <v>31</v>
      </c>
      <c r="J2098" t="s">
        <v>8525</v>
      </c>
      <c r="K2098" t="s">
        <v>1967</v>
      </c>
      <c r="L2098" t="s">
        <v>5892</v>
      </c>
      <c r="M2098" s="8">
        <v>3.04725</v>
      </c>
      <c r="N2098">
        <v>80.7856561622413</v>
      </c>
      <c r="O2098">
        <v>1683</v>
      </c>
      <c r="P2098" s="9">
        <v>0.17145385183362</v>
      </c>
      <c r="Q2098" t="s">
        <v>1761</v>
      </c>
      <c r="T2098" s="15" t="s">
        <v>80</v>
      </c>
      <c r="W2098" s="16" t="str">
        <f t="shared" si="167"/>
        <v>EN_WON_17_c02_TUR</v>
      </c>
      <c r="X2098" s="12">
        <f t="shared" si="168"/>
        <v>1683</v>
      </c>
      <c r="Y2098" s="11">
        <f t="shared" si="169"/>
        <v>1683</v>
      </c>
    </row>
    <row r="2099" spans="2:25">
      <c r="B2099" t="s">
        <v>26</v>
      </c>
      <c r="C2099" t="s">
        <v>8527</v>
      </c>
      <c r="D2099" t="s">
        <v>8528</v>
      </c>
      <c r="E2099" t="s">
        <v>29</v>
      </c>
      <c r="F2099" t="s">
        <v>30</v>
      </c>
      <c r="G2099" t="s">
        <v>31</v>
      </c>
      <c r="J2099" t="s">
        <v>8527</v>
      </c>
      <c r="K2099" t="s">
        <v>1967</v>
      </c>
      <c r="L2099" t="s">
        <v>5892</v>
      </c>
      <c r="M2099" s="8">
        <v>5.22975</v>
      </c>
      <c r="N2099">
        <v>105.747516212372</v>
      </c>
      <c r="O2099">
        <v>1683</v>
      </c>
      <c r="P2099" s="9">
        <v>0.171349921124337</v>
      </c>
      <c r="Q2099" t="s">
        <v>1761</v>
      </c>
      <c r="T2099" s="15" t="s">
        <v>80</v>
      </c>
      <c r="W2099" s="16" t="str">
        <f t="shared" si="167"/>
        <v>EN_WON_17_c03_TUR</v>
      </c>
      <c r="X2099" s="12">
        <f t="shared" si="168"/>
        <v>1683</v>
      </c>
      <c r="Y2099" s="11">
        <f t="shared" si="169"/>
        <v>1683</v>
      </c>
    </row>
    <row r="2100" spans="2:25">
      <c r="B2100" t="s">
        <v>26</v>
      </c>
      <c r="C2100" t="s">
        <v>8529</v>
      </c>
      <c r="D2100" t="s">
        <v>8530</v>
      </c>
      <c r="E2100" t="s">
        <v>29</v>
      </c>
      <c r="F2100" t="s">
        <v>30</v>
      </c>
      <c r="G2100" t="s">
        <v>31</v>
      </c>
      <c r="J2100" t="s">
        <v>8529</v>
      </c>
      <c r="K2100" t="s">
        <v>1967</v>
      </c>
      <c r="L2100" t="s">
        <v>5892</v>
      </c>
      <c r="M2100" s="8">
        <v>7.19775</v>
      </c>
      <c r="N2100">
        <v>80.7856561622413</v>
      </c>
      <c r="O2100">
        <v>1683</v>
      </c>
      <c r="P2100" s="9">
        <v>0.178985828904866</v>
      </c>
      <c r="Q2100" t="s">
        <v>1761</v>
      </c>
      <c r="T2100" s="15" t="s">
        <v>80</v>
      </c>
      <c r="W2100" s="16" t="str">
        <f t="shared" si="167"/>
        <v>EN_WON_18_c02_TUR</v>
      </c>
      <c r="X2100" s="12">
        <f t="shared" si="168"/>
        <v>1683</v>
      </c>
      <c r="Y2100" s="11">
        <f t="shared" si="169"/>
        <v>1683</v>
      </c>
    </row>
    <row r="2101" spans="2:25">
      <c r="B2101" t="s">
        <v>26</v>
      </c>
      <c r="C2101" t="s">
        <v>8531</v>
      </c>
      <c r="D2101" t="s">
        <v>8532</v>
      </c>
      <c r="E2101" t="s">
        <v>29</v>
      </c>
      <c r="F2101" t="s">
        <v>30</v>
      </c>
      <c r="G2101" t="s">
        <v>31</v>
      </c>
      <c r="J2101" t="s">
        <v>8531</v>
      </c>
      <c r="K2101" t="s">
        <v>1967</v>
      </c>
      <c r="L2101" t="s">
        <v>5892</v>
      </c>
      <c r="M2101" s="8">
        <v>8.7255</v>
      </c>
      <c r="N2101">
        <v>105.747516212372</v>
      </c>
      <c r="O2101">
        <v>1683</v>
      </c>
      <c r="P2101" s="9">
        <v>0.181386539453326</v>
      </c>
      <c r="Q2101" t="s">
        <v>1761</v>
      </c>
      <c r="T2101" s="15" t="s">
        <v>80</v>
      </c>
      <c r="W2101" s="16" t="str">
        <f t="shared" si="167"/>
        <v>EN_WON_18_c03_TUR</v>
      </c>
      <c r="X2101" s="12">
        <f t="shared" si="168"/>
        <v>1683</v>
      </c>
      <c r="Y2101" s="11">
        <f t="shared" si="169"/>
        <v>1683</v>
      </c>
    </row>
    <row r="2102" spans="2:25">
      <c r="B2102" t="s">
        <v>26</v>
      </c>
      <c r="C2102" t="s">
        <v>8533</v>
      </c>
      <c r="D2102" t="s">
        <v>8534</v>
      </c>
      <c r="E2102" t="s">
        <v>29</v>
      </c>
      <c r="F2102" t="s">
        <v>30</v>
      </c>
      <c r="G2102" t="s">
        <v>31</v>
      </c>
      <c r="J2102" t="s">
        <v>8533</v>
      </c>
      <c r="K2102" t="s">
        <v>1967</v>
      </c>
      <c r="L2102" t="s">
        <v>5892</v>
      </c>
      <c r="M2102" s="8">
        <v>0.1515</v>
      </c>
      <c r="N2102">
        <v>145.23264029167</v>
      </c>
      <c r="O2102">
        <v>1683</v>
      </c>
      <c r="P2102" s="9">
        <v>0.176</v>
      </c>
      <c r="Q2102" t="s">
        <v>1761</v>
      </c>
      <c r="T2102" s="15" t="s">
        <v>80</v>
      </c>
      <c r="W2102" s="16" t="str">
        <f t="shared" si="167"/>
        <v>EN_WON_18_c04_TUR</v>
      </c>
      <c r="X2102" s="12">
        <f t="shared" si="168"/>
        <v>1683</v>
      </c>
      <c r="Y2102" s="11">
        <f t="shared" si="169"/>
        <v>1683</v>
      </c>
    </row>
    <row r="2103" spans="2:25">
      <c r="B2103" t="s">
        <v>26</v>
      </c>
      <c r="C2103" t="s">
        <v>8535</v>
      </c>
      <c r="D2103" t="s">
        <v>8536</v>
      </c>
      <c r="E2103" t="s">
        <v>29</v>
      </c>
      <c r="F2103" t="s">
        <v>30</v>
      </c>
      <c r="G2103" t="s">
        <v>31</v>
      </c>
      <c r="J2103" t="s">
        <v>8535</v>
      </c>
      <c r="K2103" t="s">
        <v>1967</v>
      </c>
      <c r="L2103" t="s">
        <v>5892</v>
      </c>
      <c r="M2103" s="8">
        <v>9.32625</v>
      </c>
      <c r="N2103">
        <v>80.7856561622413</v>
      </c>
      <c r="O2103">
        <v>1683</v>
      </c>
      <c r="P2103" s="9">
        <v>0.189190832328106</v>
      </c>
      <c r="Q2103" t="s">
        <v>1761</v>
      </c>
      <c r="T2103" s="15" t="s">
        <v>80</v>
      </c>
      <c r="W2103" s="16" t="str">
        <f t="shared" si="167"/>
        <v>EN_WON_19_c02_TUR</v>
      </c>
      <c r="X2103" s="12">
        <f t="shared" si="168"/>
        <v>1683</v>
      </c>
      <c r="Y2103" s="11">
        <f t="shared" si="169"/>
        <v>1683</v>
      </c>
    </row>
    <row r="2104" spans="2:25">
      <c r="B2104" t="s">
        <v>26</v>
      </c>
      <c r="C2104" t="s">
        <v>8537</v>
      </c>
      <c r="D2104" t="s">
        <v>8538</v>
      </c>
      <c r="E2104" t="s">
        <v>29</v>
      </c>
      <c r="F2104" t="s">
        <v>30</v>
      </c>
      <c r="G2104" t="s">
        <v>31</v>
      </c>
      <c r="J2104" t="s">
        <v>8537</v>
      </c>
      <c r="K2104" t="s">
        <v>1967</v>
      </c>
      <c r="L2104" t="s">
        <v>5892</v>
      </c>
      <c r="M2104" s="8">
        <v>17.06325</v>
      </c>
      <c r="N2104">
        <v>105.747516212372</v>
      </c>
      <c r="O2104">
        <v>1683</v>
      </c>
      <c r="P2104" s="9">
        <v>0.189596325436245</v>
      </c>
      <c r="Q2104" t="s">
        <v>1761</v>
      </c>
      <c r="T2104" s="15" t="s">
        <v>80</v>
      </c>
      <c r="W2104" s="16" t="str">
        <f t="shared" si="167"/>
        <v>EN_WON_19_c03_TUR</v>
      </c>
      <c r="X2104" s="12">
        <f t="shared" si="168"/>
        <v>1683</v>
      </c>
      <c r="Y2104" s="11">
        <f t="shared" si="169"/>
        <v>1683</v>
      </c>
    </row>
    <row r="2105" spans="2:25">
      <c r="B2105" t="s">
        <v>26</v>
      </c>
      <c r="C2105" t="s">
        <v>8539</v>
      </c>
      <c r="D2105" t="s">
        <v>8540</v>
      </c>
      <c r="E2105" t="s">
        <v>29</v>
      </c>
      <c r="F2105" t="s">
        <v>30</v>
      </c>
      <c r="G2105" t="s">
        <v>31</v>
      </c>
      <c r="J2105" t="s">
        <v>8539</v>
      </c>
      <c r="K2105" t="s">
        <v>1967</v>
      </c>
      <c r="L2105" t="s">
        <v>5892</v>
      </c>
      <c r="M2105" s="8">
        <v>1.776</v>
      </c>
      <c r="N2105">
        <v>145.23264029167</v>
      </c>
      <c r="O2105">
        <v>1683</v>
      </c>
      <c r="P2105" s="9">
        <v>0.191910472972973</v>
      </c>
      <c r="Q2105" t="s">
        <v>1761</v>
      </c>
      <c r="T2105" s="15" t="s">
        <v>80</v>
      </c>
      <c r="W2105" s="16" t="str">
        <f t="shared" si="167"/>
        <v>EN_WON_19_c04_TUR</v>
      </c>
      <c r="X2105" s="12">
        <f t="shared" si="168"/>
        <v>1683</v>
      </c>
      <c r="Y2105" s="11">
        <f t="shared" si="169"/>
        <v>1683</v>
      </c>
    </row>
    <row r="2106" spans="2:25">
      <c r="B2106" t="s">
        <v>26</v>
      </c>
      <c r="C2106" t="s">
        <v>8541</v>
      </c>
      <c r="D2106" t="s">
        <v>8542</v>
      </c>
      <c r="E2106" t="s">
        <v>29</v>
      </c>
      <c r="F2106" t="s">
        <v>30</v>
      </c>
      <c r="G2106" t="s">
        <v>31</v>
      </c>
      <c r="J2106" t="s">
        <v>8541</v>
      </c>
      <c r="K2106" t="s">
        <v>1967</v>
      </c>
      <c r="L2106" t="s">
        <v>5892</v>
      </c>
      <c r="M2106" s="8">
        <v>0.0705</v>
      </c>
      <c r="N2106">
        <v>0</v>
      </c>
      <c r="O2106">
        <v>1683</v>
      </c>
      <c r="P2106" s="9">
        <v>0.199</v>
      </c>
      <c r="Q2106" t="s">
        <v>1761</v>
      </c>
      <c r="T2106" s="15" t="s">
        <v>80</v>
      </c>
      <c r="W2106" s="16" t="str">
        <f t="shared" si="167"/>
        <v>EN_WON_20_c01_TUR</v>
      </c>
      <c r="X2106" s="12">
        <f t="shared" si="168"/>
        <v>1683</v>
      </c>
      <c r="Y2106" s="11">
        <f t="shared" si="169"/>
        <v>1683</v>
      </c>
    </row>
    <row r="2107" spans="2:25">
      <c r="B2107" t="s">
        <v>26</v>
      </c>
      <c r="C2107" t="s">
        <v>8543</v>
      </c>
      <c r="D2107" t="s">
        <v>8544</v>
      </c>
      <c r="E2107" t="s">
        <v>29</v>
      </c>
      <c r="F2107" t="s">
        <v>30</v>
      </c>
      <c r="G2107" t="s">
        <v>31</v>
      </c>
      <c r="J2107" t="s">
        <v>8543</v>
      </c>
      <c r="K2107" t="s">
        <v>1967</v>
      </c>
      <c r="L2107" t="s">
        <v>5892</v>
      </c>
      <c r="M2107" s="8">
        <v>8.34975</v>
      </c>
      <c r="N2107">
        <v>80.7856561622413</v>
      </c>
      <c r="O2107">
        <v>1683</v>
      </c>
      <c r="P2107" s="9">
        <v>0.198826551693164</v>
      </c>
      <c r="Q2107" t="s">
        <v>1761</v>
      </c>
      <c r="T2107" s="15" t="s">
        <v>80</v>
      </c>
      <c r="W2107" s="16" t="str">
        <f t="shared" si="167"/>
        <v>EN_WON_20_c02_TUR</v>
      </c>
      <c r="X2107" s="12">
        <f t="shared" si="168"/>
        <v>1683</v>
      </c>
      <c r="Y2107" s="11">
        <f t="shared" si="169"/>
        <v>1683</v>
      </c>
    </row>
    <row r="2108" spans="2:25">
      <c r="B2108" t="s">
        <v>26</v>
      </c>
      <c r="C2108" t="s">
        <v>8545</v>
      </c>
      <c r="D2108" t="s">
        <v>8546</v>
      </c>
      <c r="E2108" t="s">
        <v>29</v>
      </c>
      <c r="F2108" t="s">
        <v>30</v>
      </c>
      <c r="G2108" t="s">
        <v>31</v>
      </c>
      <c r="J2108" t="s">
        <v>8545</v>
      </c>
      <c r="K2108" t="s">
        <v>1967</v>
      </c>
      <c r="L2108" t="s">
        <v>5892</v>
      </c>
      <c r="M2108" s="8">
        <v>17.475</v>
      </c>
      <c r="N2108">
        <v>105.747516212372</v>
      </c>
      <c r="O2108">
        <v>1683</v>
      </c>
      <c r="P2108" s="9">
        <v>0.199849399141631</v>
      </c>
      <c r="Q2108" t="s">
        <v>1761</v>
      </c>
      <c r="T2108" s="15" t="s">
        <v>80</v>
      </c>
      <c r="W2108" s="16" t="str">
        <f t="shared" si="167"/>
        <v>EN_WON_20_c03_TUR</v>
      </c>
      <c r="X2108" s="12">
        <f t="shared" si="168"/>
        <v>1683</v>
      </c>
      <c r="Y2108" s="11">
        <f t="shared" si="169"/>
        <v>1683</v>
      </c>
    </row>
    <row r="2109" spans="2:25">
      <c r="B2109" t="s">
        <v>26</v>
      </c>
      <c r="C2109" t="s">
        <v>8547</v>
      </c>
      <c r="D2109" t="s">
        <v>8548</v>
      </c>
      <c r="E2109" t="s">
        <v>29</v>
      </c>
      <c r="F2109" t="s">
        <v>30</v>
      </c>
      <c r="G2109" t="s">
        <v>31</v>
      </c>
      <c r="J2109" t="s">
        <v>8547</v>
      </c>
      <c r="K2109" t="s">
        <v>1967</v>
      </c>
      <c r="L2109" t="s">
        <v>5892</v>
      </c>
      <c r="M2109" s="8">
        <v>2.8185</v>
      </c>
      <c r="N2109">
        <v>145.23264029167</v>
      </c>
      <c r="O2109">
        <v>1683</v>
      </c>
      <c r="P2109" s="9">
        <v>0.199856040447046</v>
      </c>
      <c r="Q2109" t="s">
        <v>1761</v>
      </c>
      <c r="T2109" s="15" t="s">
        <v>80</v>
      </c>
      <c r="W2109" s="16" t="str">
        <f t="shared" si="167"/>
        <v>EN_WON_20_c04_TUR</v>
      </c>
      <c r="X2109" s="12">
        <f t="shared" si="168"/>
        <v>1683</v>
      </c>
      <c r="Y2109" s="11">
        <f t="shared" si="169"/>
        <v>1683</v>
      </c>
    </row>
    <row r="2110" spans="2:25">
      <c r="B2110" t="s">
        <v>26</v>
      </c>
      <c r="C2110" t="s">
        <v>8549</v>
      </c>
      <c r="D2110" t="s">
        <v>8550</v>
      </c>
      <c r="E2110" t="s">
        <v>29</v>
      </c>
      <c r="F2110" t="s">
        <v>30</v>
      </c>
      <c r="G2110" t="s">
        <v>31</v>
      </c>
      <c r="J2110" t="s">
        <v>8549</v>
      </c>
      <c r="K2110" t="s">
        <v>1967</v>
      </c>
      <c r="L2110" t="s">
        <v>5892</v>
      </c>
      <c r="M2110" s="8">
        <v>7.521</v>
      </c>
      <c r="N2110">
        <v>80.7856561622413</v>
      </c>
      <c r="O2110">
        <v>1683</v>
      </c>
      <c r="P2110" s="9">
        <v>0.207810430793777</v>
      </c>
      <c r="Q2110" t="s">
        <v>1761</v>
      </c>
      <c r="T2110" s="15" t="s">
        <v>80</v>
      </c>
      <c r="W2110" s="16" t="str">
        <f t="shared" si="167"/>
        <v>EN_WON_21_c02_TUR</v>
      </c>
      <c r="X2110" s="12">
        <f t="shared" si="168"/>
        <v>1683</v>
      </c>
      <c r="Y2110" s="11">
        <f t="shared" si="169"/>
        <v>1683</v>
      </c>
    </row>
    <row r="2111" spans="2:25">
      <c r="B2111" t="s">
        <v>26</v>
      </c>
      <c r="C2111" t="s">
        <v>8551</v>
      </c>
      <c r="D2111" t="s">
        <v>8552</v>
      </c>
      <c r="E2111" t="s">
        <v>29</v>
      </c>
      <c r="F2111" t="s">
        <v>30</v>
      </c>
      <c r="G2111" t="s">
        <v>31</v>
      </c>
      <c r="J2111" t="s">
        <v>8551</v>
      </c>
      <c r="K2111" t="s">
        <v>1967</v>
      </c>
      <c r="L2111" t="s">
        <v>5892</v>
      </c>
      <c r="M2111" s="8">
        <v>22.224</v>
      </c>
      <c r="N2111">
        <v>105.747516212372</v>
      </c>
      <c r="O2111">
        <v>1683</v>
      </c>
      <c r="P2111" s="9">
        <v>0.20929370275378</v>
      </c>
      <c r="Q2111" t="s">
        <v>1761</v>
      </c>
      <c r="T2111" s="15" t="s">
        <v>80</v>
      </c>
      <c r="W2111" s="16" t="str">
        <f t="shared" si="167"/>
        <v>EN_WON_21_c03_TUR</v>
      </c>
      <c r="X2111" s="12">
        <f t="shared" si="168"/>
        <v>1683</v>
      </c>
      <c r="Y2111" s="11">
        <f t="shared" si="169"/>
        <v>1683</v>
      </c>
    </row>
    <row r="2112" spans="2:25">
      <c r="B2112" t="s">
        <v>26</v>
      </c>
      <c r="C2112" t="s">
        <v>8553</v>
      </c>
      <c r="D2112" t="s">
        <v>8554</v>
      </c>
      <c r="E2112" t="s">
        <v>29</v>
      </c>
      <c r="F2112" t="s">
        <v>30</v>
      </c>
      <c r="G2112" t="s">
        <v>31</v>
      </c>
      <c r="J2112" t="s">
        <v>8553</v>
      </c>
      <c r="K2112" t="s">
        <v>1967</v>
      </c>
      <c r="L2112" t="s">
        <v>5892</v>
      </c>
      <c r="M2112" s="8">
        <v>0.61725</v>
      </c>
      <c r="N2112">
        <v>145.23264029167</v>
      </c>
      <c r="O2112">
        <v>1683</v>
      </c>
      <c r="P2112" s="9">
        <v>0.212</v>
      </c>
      <c r="Q2112" t="s">
        <v>1761</v>
      </c>
      <c r="T2112" s="15" t="s">
        <v>80</v>
      </c>
      <c r="W2112" s="16" t="str">
        <f t="shared" si="167"/>
        <v>EN_WON_21_c04_TUR</v>
      </c>
      <c r="X2112" s="12">
        <f t="shared" si="168"/>
        <v>1683</v>
      </c>
      <c r="Y2112" s="11">
        <f t="shared" si="169"/>
        <v>1683</v>
      </c>
    </row>
    <row r="2113" spans="2:25">
      <c r="B2113" t="s">
        <v>26</v>
      </c>
      <c r="C2113" t="s">
        <v>8555</v>
      </c>
      <c r="D2113" t="s">
        <v>8556</v>
      </c>
      <c r="E2113" t="s">
        <v>29</v>
      </c>
      <c r="F2113" t="s">
        <v>30</v>
      </c>
      <c r="G2113" t="s">
        <v>31</v>
      </c>
      <c r="J2113" t="s">
        <v>8555</v>
      </c>
      <c r="K2113" t="s">
        <v>1967</v>
      </c>
      <c r="L2113" t="s">
        <v>5892</v>
      </c>
      <c r="M2113" s="8">
        <v>1.65375</v>
      </c>
      <c r="N2113">
        <v>80.7856561622413</v>
      </c>
      <c r="O2113">
        <v>1683</v>
      </c>
      <c r="P2113" s="9">
        <v>0.218307482993197</v>
      </c>
      <c r="Q2113" t="s">
        <v>1761</v>
      </c>
      <c r="T2113" s="15" t="s">
        <v>80</v>
      </c>
      <c r="W2113" s="16" t="str">
        <f t="shared" si="167"/>
        <v>EN_WON_22_c02_TUR</v>
      </c>
      <c r="X2113" s="12">
        <f t="shared" si="168"/>
        <v>1683</v>
      </c>
      <c r="Y2113" s="11">
        <f t="shared" si="169"/>
        <v>1683</v>
      </c>
    </row>
    <row r="2114" spans="2:25">
      <c r="B2114" t="s">
        <v>26</v>
      </c>
      <c r="C2114" t="s">
        <v>8557</v>
      </c>
      <c r="D2114" t="s">
        <v>8558</v>
      </c>
      <c r="E2114" t="s">
        <v>29</v>
      </c>
      <c r="F2114" t="s">
        <v>30</v>
      </c>
      <c r="G2114" t="s">
        <v>31</v>
      </c>
      <c r="J2114" t="s">
        <v>8557</v>
      </c>
      <c r="K2114" t="s">
        <v>1967</v>
      </c>
      <c r="L2114" t="s">
        <v>5892</v>
      </c>
      <c r="M2114" s="8">
        <v>21.8475</v>
      </c>
      <c r="N2114">
        <v>105.747516212372</v>
      </c>
      <c r="O2114">
        <v>1683</v>
      </c>
      <c r="P2114" s="9">
        <v>0.219625231719876</v>
      </c>
      <c r="Q2114" t="s">
        <v>1761</v>
      </c>
      <c r="T2114" s="15" t="s">
        <v>80</v>
      </c>
      <c r="W2114" s="16" t="str">
        <f t="shared" si="167"/>
        <v>EN_WON_22_c03_TUR</v>
      </c>
      <c r="X2114" s="12">
        <f t="shared" si="168"/>
        <v>1683</v>
      </c>
      <c r="Y2114" s="11">
        <f t="shared" si="169"/>
        <v>1683</v>
      </c>
    </row>
    <row r="2115" spans="2:25">
      <c r="B2115" t="s">
        <v>26</v>
      </c>
      <c r="C2115" t="s">
        <v>8559</v>
      </c>
      <c r="D2115" t="s">
        <v>8560</v>
      </c>
      <c r="E2115" t="s">
        <v>29</v>
      </c>
      <c r="F2115" t="s">
        <v>30</v>
      </c>
      <c r="G2115" t="s">
        <v>31</v>
      </c>
      <c r="J2115" t="s">
        <v>8559</v>
      </c>
      <c r="K2115" t="s">
        <v>1967</v>
      </c>
      <c r="L2115" t="s">
        <v>5892</v>
      </c>
      <c r="M2115" s="8">
        <v>0.94575</v>
      </c>
      <c r="N2115">
        <v>145.23264029167</v>
      </c>
      <c r="O2115">
        <v>1683</v>
      </c>
      <c r="P2115" s="9">
        <v>0.221</v>
      </c>
      <c r="Q2115" t="s">
        <v>1761</v>
      </c>
      <c r="T2115" s="15" t="s">
        <v>80</v>
      </c>
      <c r="W2115" s="16" t="str">
        <f t="shared" si="167"/>
        <v>EN_WON_22_c04_TUR</v>
      </c>
      <c r="X2115" s="12">
        <f t="shared" si="168"/>
        <v>1683</v>
      </c>
      <c r="Y2115" s="11">
        <f t="shared" si="169"/>
        <v>1683</v>
      </c>
    </row>
    <row r="2116" spans="2:25">
      <c r="B2116" t="s">
        <v>26</v>
      </c>
      <c r="C2116" t="s">
        <v>8561</v>
      </c>
      <c r="D2116" t="s">
        <v>8562</v>
      </c>
      <c r="E2116" t="s">
        <v>29</v>
      </c>
      <c r="F2116" t="s">
        <v>30</v>
      </c>
      <c r="G2116" t="s">
        <v>31</v>
      </c>
      <c r="J2116" t="s">
        <v>8561</v>
      </c>
      <c r="K2116" t="s">
        <v>1967</v>
      </c>
      <c r="L2116" t="s">
        <v>5892</v>
      </c>
      <c r="M2116" s="8">
        <v>1.26075</v>
      </c>
      <c r="N2116">
        <v>80.7856561622413</v>
      </c>
      <c r="O2116">
        <v>1683</v>
      </c>
      <c r="P2116" s="9">
        <v>0.227239143367043</v>
      </c>
      <c r="Q2116" t="s">
        <v>1761</v>
      </c>
      <c r="T2116" s="15" t="s">
        <v>80</v>
      </c>
      <c r="W2116" s="16" t="str">
        <f t="shared" si="167"/>
        <v>EN_WON_23_c02_TUR</v>
      </c>
      <c r="X2116" s="12">
        <f t="shared" si="168"/>
        <v>1683</v>
      </c>
      <c r="Y2116" s="11">
        <f t="shared" si="169"/>
        <v>1683</v>
      </c>
    </row>
    <row r="2117" spans="2:25">
      <c r="B2117" t="s">
        <v>26</v>
      </c>
      <c r="C2117" t="s">
        <v>8563</v>
      </c>
      <c r="D2117" t="s">
        <v>8564</v>
      </c>
      <c r="E2117" t="s">
        <v>29</v>
      </c>
      <c r="F2117" t="s">
        <v>30</v>
      </c>
      <c r="G2117" t="s">
        <v>31</v>
      </c>
      <c r="J2117" t="s">
        <v>8563</v>
      </c>
      <c r="K2117" t="s">
        <v>1967</v>
      </c>
      <c r="L2117" t="s">
        <v>5892</v>
      </c>
      <c r="M2117" s="8">
        <v>12.4155</v>
      </c>
      <c r="N2117">
        <v>105.747516212372</v>
      </c>
      <c r="O2117">
        <v>1683</v>
      </c>
      <c r="P2117" s="9">
        <v>0.228147275582941</v>
      </c>
      <c r="Q2117" t="s">
        <v>1761</v>
      </c>
      <c r="T2117" s="15" t="s">
        <v>80</v>
      </c>
      <c r="W2117" s="16" t="str">
        <f t="shared" si="167"/>
        <v>EN_WON_23_c03_TUR</v>
      </c>
      <c r="X2117" s="12">
        <f t="shared" si="168"/>
        <v>1683</v>
      </c>
      <c r="Y2117" s="11">
        <f t="shared" si="169"/>
        <v>1683</v>
      </c>
    </row>
    <row r="2118" spans="2:25">
      <c r="B2118" t="s">
        <v>26</v>
      </c>
      <c r="C2118" t="s">
        <v>8565</v>
      </c>
      <c r="D2118" t="s">
        <v>8566</v>
      </c>
      <c r="E2118" t="s">
        <v>29</v>
      </c>
      <c r="F2118" t="s">
        <v>30</v>
      </c>
      <c r="G2118" t="s">
        <v>31</v>
      </c>
      <c r="J2118" t="s">
        <v>8565</v>
      </c>
      <c r="K2118" t="s">
        <v>1967</v>
      </c>
      <c r="L2118" t="s">
        <v>5892</v>
      </c>
      <c r="M2118" s="8">
        <v>1.67625</v>
      </c>
      <c r="N2118">
        <v>145.23264029167</v>
      </c>
      <c r="O2118">
        <v>1683</v>
      </c>
      <c r="P2118" s="9">
        <v>0.229659060402685</v>
      </c>
      <c r="Q2118" t="s">
        <v>1761</v>
      </c>
      <c r="T2118" s="15" t="s">
        <v>80</v>
      </c>
      <c r="W2118" s="16" t="str">
        <f t="shared" ref="W2118:W2181" si="170">J2118</f>
        <v>EN_WON_23_c04_TUR</v>
      </c>
      <c r="X2118" s="12">
        <f t="shared" ref="X2118:X2181" si="171">O2118</f>
        <v>1683</v>
      </c>
      <c r="Y2118" s="11">
        <f t="shared" ref="Y2118:Y2181" si="172">X2118</f>
        <v>1683</v>
      </c>
    </row>
    <row r="2119" spans="2:25">
      <c r="B2119" t="s">
        <v>26</v>
      </c>
      <c r="C2119" t="s">
        <v>8567</v>
      </c>
      <c r="D2119" t="s">
        <v>8568</v>
      </c>
      <c r="E2119" t="s">
        <v>29</v>
      </c>
      <c r="F2119" t="s">
        <v>30</v>
      </c>
      <c r="G2119" t="s">
        <v>31</v>
      </c>
      <c r="J2119" t="s">
        <v>8567</v>
      </c>
      <c r="K2119" t="s">
        <v>1967</v>
      </c>
      <c r="L2119" t="s">
        <v>5892</v>
      </c>
      <c r="M2119" s="8">
        <v>0.70875</v>
      </c>
      <c r="N2119">
        <v>80.7856561622413</v>
      </c>
      <c r="O2119">
        <v>1683</v>
      </c>
      <c r="P2119" s="9">
        <v>0.236</v>
      </c>
      <c r="Q2119" t="s">
        <v>1761</v>
      </c>
      <c r="T2119" s="15" t="s">
        <v>80</v>
      </c>
      <c r="W2119" s="16" t="str">
        <f t="shared" si="170"/>
        <v>EN_WON_24_c02_TUR</v>
      </c>
      <c r="X2119" s="12">
        <f t="shared" si="171"/>
        <v>1683</v>
      </c>
      <c r="Y2119" s="11">
        <f t="shared" si="172"/>
        <v>1683</v>
      </c>
    </row>
    <row r="2120" spans="2:25">
      <c r="B2120" t="s">
        <v>26</v>
      </c>
      <c r="C2120" t="s">
        <v>8569</v>
      </c>
      <c r="D2120" t="s">
        <v>8570</v>
      </c>
      <c r="E2120" t="s">
        <v>29</v>
      </c>
      <c r="F2120" t="s">
        <v>30</v>
      </c>
      <c r="G2120" t="s">
        <v>31</v>
      </c>
      <c r="J2120" t="s">
        <v>8569</v>
      </c>
      <c r="K2120" t="s">
        <v>1967</v>
      </c>
      <c r="L2120" t="s">
        <v>5892</v>
      </c>
      <c r="M2120" s="8">
        <v>6.05325</v>
      </c>
      <c r="N2120">
        <v>105.747516212372</v>
      </c>
      <c r="O2120">
        <v>1683</v>
      </c>
      <c r="P2120" s="9">
        <v>0.238868169991327</v>
      </c>
      <c r="Q2120" t="s">
        <v>1761</v>
      </c>
      <c r="T2120" s="15" t="s">
        <v>80</v>
      </c>
      <c r="W2120" s="16" t="str">
        <f t="shared" si="170"/>
        <v>EN_WON_24_c03_TUR</v>
      </c>
      <c r="X2120" s="12">
        <f t="shared" si="171"/>
        <v>1683</v>
      </c>
      <c r="Y2120" s="11">
        <f t="shared" si="172"/>
        <v>1683</v>
      </c>
    </row>
    <row r="2121" spans="2:25">
      <c r="B2121" t="s">
        <v>26</v>
      </c>
      <c r="C2121" t="s">
        <v>8571</v>
      </c>
      <c r="D2121" t="s">
        <v>8572</v>
      </c>
      <c r="E2121" t="s">
        <v>29</v>
      </c>
      <c r="F2121" t="s">
        <v>30</v>
      </c>
      <c r="G2121" t="s">
        <v>31</v>
      </c>
      <c r="J2121" t="s">
        <v>8571</v>
      </c>
      <c r="K2121" t="s">
        <v>1967</v>
      </c>
      <c r="L2121" t="s">
        <v>5892</v>
      </c>
      <c r="M2121" s="8">
        <v>0.372</v>
      </c>
      <c r="N2121">
        <v>145.23264029167</v>
      </c>
      <c r="O2121">
        <v>1683</v>
      </c>
      <c r="P2121" s="9">
        <v>0.240588709677419</v>
      </c>
      <c r="Q2121" t="s">
        <v>1761</v>
      </c>
      <c r="T2121" s="15" t="s">
        <v>80</v>
      </c>
      <c r="W2121" s="16" t="str">
        <f t="shared" si="170"/>
        <v>EN_WON_24_c04_TUR</v>
      </c>
      <c r="X2121" s="12">
        <f t="shared" si="171"/>
        <v>1683</v>
      </c>
      <c r="Y2121" s="11">
        <f t="shared" si="172"/>
        <v>1683</v>
      </c>
    </row>
    <row r="2122" spans="2:25">
      <c r="B2122" t="s">
        <v>26</v>
      </c>
      <c r="C2122" t="s">
        <v>8573</v>
      </c>
      <c r="D2122" t="s">
        <v>8574</v>
      </c>
      <c r="E2122" t="s">
        <v>29</v>
      </c>
      <c r="F2122" t="s">
        <v>30</v>
      </c>
      <c r="G2122" t="s">
        <v>31</v>
      </c>
      <c r="J2122" t="s">
        <v>8573</v>
      </c>
      <c r="K2122" t="s">
        <v>1967</v>
      </c>
      <c r="L2122" t="s">
        <v>5892</v>
      </c>
      <c r="M2122" s="8">
        <v>1.1475</v>
      </c>
      <c r="N2122">
        <v>80.7856561622413</v>
      </c>
      <c r="O2122">
        <v>1683</v>
      </c>
      <c r="P2122" s="9">
        <v>0.247133333333333</v>
      </c>
      <c r="Q2122" t="s">
        <v>1761</v>
      </c>
      <c r="T2122" s="15" t="s">
        <v>80</v>
      </c>
      <c r="W2122" s="16" t="str">
        <f t="shared" si="170"/>
        <v>EN_WON_25_c02_TUR</v>
      </c>
      <c r="X2122" s="12">
        <f t="shared" si="171"/>
        <v>1683</v>
      </c>
      <c r="Y2122" s="11">
        <f t="shared" si="172"/>
        <v>1683</v>
      </c>
    </row>
    <row r="2123" spans="2:25">
      <c r="B2123" t="s">
        <v>26</v>
      </c>
      <c r="C2123" t="s">
        <v>8575</v>
      </c>
      <c r="D2123" t="s">
        <v>8576</v>
      </c>
      <c r="E2123" t="s">
        <v>29</v>
      </c>
      <c r="F2123" t="s">
        <v>30</v>
      </c>
      <c r="G2123" t="s">
        <v>31</v>
      </c>
      <c r="J2123" t="s">
        <v>8575</v>
      </c>
      <c r="K2123" t="s">
        <v>1967</v>
      </c>
      <c r="L2123" t="s">
        <v>5892</v>
      </c>
      <c r="M2123" s="8">
        <v>6.1185</v>
      </c>
      <c r="N2123">
        <v>105.747516212372</v>
      </c>
      <c r="O2123">
        <v>1683</v>
      </c>
      <c r="P2123" s="9">
        <v>0.250773228732532</v>
      </c>
      <c r="Q2123" t="s">
        <v>1761</v>
      </c>
      <c r="T2123" s="15" t="s">
        <v>80</v>
      </c>
      <c r="W2123" s="16" t="str">
        <f t="shared" si="170"/>
        <v>EN_WON_25_c03_TUR</v>
      </c>
      <c r="X2123" s="12">
        <f t="shared" si="171"/>
        <v>1683</v>
      </c>
      <c r="Y2123" s="11">
        <f t="shared" si="172"/>
        <v>1683</v>
      </c>
    </row>
    <row r="2124" spans="2:25">
      <c r="B2124" t="s">
        <v>26</v>
      </c>
      <c r="C2124" t="s">
        <v>8577</v>
      </c>
      <c r="D2124" t="s">
        <v>8578</v>
      </c>
      <c r="E2124" t="s">
        <v>29</v>
      </c>
      <c r="F2124" t="s">
        <v>30</v>
      </c>
      <c r="G2124" t="s">
        <v>31</v>
      </c>
      <c r="J2124" t="s">
        <v>8577</v>
      </c>
      <c r="K2124" t="s">
        <v>1967</v>
      </c>
      <c r="L2124" t="s">
        <v>5892</v>
      </c>
      <c r="M2124" s="8">
        <v>1.12125</v>
      </c>
      <c r="N2124">
        <v>0</v>
      </c>
      <c r="O2124">
        <v>1683</v>
      </c>
      <c r="P2124" s="9">
        <v>0.263</v>
      </c>
      <c r="Q2124" t="s">
        <v>1761</v>
      </c>
      <c r="T2124" s="15" t="s">
        <v>80</v>
      </c>
      <c r="W2124" s="16" t="str">
        <f t="shared" si="170"/>
        <v>EN_WON_26_c01_TUR</v>
      </c>
      <c r="X2124" s="12">
        <f t="shared" si="171"/>
        <v>1683</v>
      </c>
      <c r="Y2124" s="11">
        <f t="shared" si="172"/>
        <v>1683</v>
      </c>
    </row>
    <row r="2125" spans="2:25">
      <c r="B2125" t="s">
        <v>26</v>
      </c>
      <c r="C2125" t="s">
        <v>8579</v>
      </c>
      <c r="D2125" t="s">
        <v>8580</v>
      </c>
      <c r="E2125" t="s">
        <v>29</v>
      </c>
      <c r="F2125" t="s">
        <v>30</v>
      </c>
      <c r="G2125" t="s">
        <v>31</v>
      </c>
      <c r="J2125" t="s">
        <v>8579</v>
      </c>
      <c r="K2125" t="s">
        <v>1967</v>
      </c>
      <c r="L2125" t="s">
        <v>5892</v>
      </c>
      <c r="M2125" s="8">
        <v>2.1315</v>
      </c>
      <c r="N2125">
        <v>80.7856561622413</v>
      </c>
      <c r="O2125">
        <v>1683</v>
      </c>
      <c r="P2125" s="9">
        <v>0.256762843068262</v>
      </c>
      <c r="Q2125" t="s">
        <v>1761</v>
      </c>
      <c r="T2125" s="15" t="s">
        <v>80</v>
      </c>
      <c r="W2125" s="16" t="str">
        <f t="shared" si="170"/>
        <v>EN_WON_26_c02_TUR</v>
      </c>
      <c r="X2125" s="12">
        <f t="shared" si="171"/>
        <v>1683</v>
      </c>
      <c r="Y2125" s="11">
        <f t="shared" si="172"/>
        <v>1683</v>
      </c>
    </row>
    <row r="2126" spans="2:25">
      <c r="B2126" t="s">
        <v>26</v>
      </c>
      <c r="C2126" t="s">
        <v>8581</v>
      </c>
      <c r="D2126" t="s">
        <v>8582</v>
      </c>
      <c r="E2126" t="s">
        <v>29</v>
      </c>
      <c r="F2126" t="s">
        <v>30</v>
      </c>
      <c r="G2126" t="s">
        <v>31</v>
      </c>
      <c r="J2126" t="s">
        <v>8581</v>
      </c>
      <c r="K2126" t="s">
        <v>1967</v>
      </c>
      <c r="L2126" t="s">
        <v>5892</v>
      </c>
      <c r="M2126" s="8">
        <v>1.4235</v>
      </c>
      <c r="N2126">
        <v>105.747516212372</v>
      </c>
      <c r="O2126">
        <v>1683</v>
      </c>
      <c r="P2126" s="9">
        <v>0.262575342465753</v>
      </c>
      <c r="Q2126" t="s">
        <v>1761</v>
      </c>
      <c r="T2126" s="15" t="s">
        <v>80</v>
      </c>
      <c r="W2126" s="16" t="str">
        <f t="shared" si="170"/>
        <v>EN_WON_26_c03_TUR</v>
      </c>
      <c r="X2126" s="12">
        <f t="shared" si="171"/>
        <v>1683</v>
      </c>
      <c r="Y2126" s="11">
        <f t="shared" si="172"/>
        <v>1683</v>
      </c>
    </row>
    <row r="2127" spans="2:25">
      <c r="B2127" t="s">
        <v>26</v>
      </c>
      <c r="C2127" t="s">
        <v>8583</v>
      </c>
      <c r="D2127" t="s">
        <v>8584</v>
      </c>
      <c r="E2127" t="s">
        <v>29</v>
      </c>
      <c r="F2127" t="s">
        <v>30</v>
      </c>
      <c r="G2127" t="s">
        <v>31</v>
      </c>
      <c r="J2127" t="s">
        <v>8583</v>
      </c>
      <c r="K2127" t="s">
        <v>1967</v>
      </c>
      <c r="L2127" t="s">
        <v>5892</v>
      </c>
      <c r="M2127" s="8">
        <v>1.6425</v>
      </c>
      <c r="N2127">
        <v>145.23264029167</v>
      </c>
      <c r="O2127">
        <v>1683</v>
      </c>
      <c r="P2127" s="9">
        <v>0.261</v>
      </c>
      <c r="Q2127" t="s">
        <v>1761</v>
      </c>
      <c r="T2127" s="15" t="s">
        <v>80</v>
      </c>
      <c r="W2127" s="16" t="str">
        <f t="shared" si="170"/>
        <v>EN_WON_26_c04_TUR</v>
      </c>
      <c r="X2127" s="12">
        <f t="shared" si="171"/>
        <v>1683</v>
      </c>
      <c r="Y2127" s="11">
        <f t="shared" si="172"/>
        <v>1683</v>
      </c>
    </row>
    <row r="2128" spans="2:25">
      <c r="B2128" t="s">
        <v>26</v>
      </c>
      <c r="C2128" t="s">
        <v>8585</v>
      </c>
      <c r="D2128" t="s">
        <v>8586</v>
      </c>
      <c r="E2128" t="s">
        <v>29</v>
      </c>
      <c r="F2128" t="s">
        <v>30</v>
      </c>
      <c r="G2128" t="s">
        <v>31</v>
      </c>
      <c r="J2128" t="s">
        <v>8585</v>
      </c>
      <c r="K2128" t="s">
        <v>1967</v>
      </c>
      <c r="L2128" t="s">
        <v>5892</v>
      </c>
      <c r="M2128" s="8">
        <v>0.80175</v>
      </c>
      <c r="N2128">
        <v>0</v>
      </c>
      <c r="O2128">
        <v>1683</v>
      </c>
      <c r="P2128" s="9">
        <v>0.269266604303087</v>
      </c>
      <c r="Q2128" t="s">
        <v>1761</v>
      </c>
      <c r="T2128" s="15" t="s">
        <v>80</v>
      </c>
      <c r="W2128" s="16" t="str">
        <f t="shared" si="170"/>
        <v>EN_WON_27_c01_TUR</v>
      </c>
      <c r="X2128" s="12">
        <f t="shared" si="171"/>
        <v>1683</v>
      </c>
      <c r="Y2128" s="11">
        <f t="shared" si="172"/>
        <v>1683</v>
      </c>
    </row>
    <row r="2129" spans="2:25">
      <c r="B2129" t="s">
        <v>26</v>
      </c>
      <c r="C2129" t="s">
        <v>8587</v>
      </c>
      <c r="D2129" t="s">
        <v>8588</v>
      </c>
      <c r="E2129" t="s">
        <v>29</v>
      </c>
      <c r="F2129" t="s">
        <v>30</v>
      </c>
      <c r="G2129" t="s">
        <v>31</v>
      </c>
      <c r="J2129" t="s">
        <v>8587</v>
      </c>
      <c r="K2129" t="s">
        <v>1967</v>
      </c>
      <c r="L2129" t="s">
        <v>5892</v>
      </c>
      <c r="M2129" s="8">
        <v>2.13975</v>
      </c>
      <c r="N2129">
        <v>105.747516212372</v>
      </c>
      <c r="O2129">
        <v>1683</v>
      </c>
      <c r="P2129" s="9">
        <v>0.265212407991588</v>
      </c>
      <c r="Q2129" t="s">
        <v>1761</v>
      </c>
      <c r="T2129" s="15" t="s">
        <v>80</v>
      </c>
      <c r="W2129" s="16" t="str">
        <f t="shared" si="170"/>
        <v>EN_WON_27_c03_TUR</v>
      </c>
      <c r="X2129" s="12">
        <f t="shared" si="171"/>
        <v>1683</v>
      </c>
      <c r="Y2129" s="11">
        <f t="shared" si="172"/>
        <v>1683</v>
      </c>
    </row>
    <row r="2130" spans="2:25">
      <c r="B2130" t="s">
        <v>26</v>
      </c>
      <c r="C2130" t="s">
        <v>8589</v>
      </c>
      <c r="D2130" t="s">
        <v>8590</v>
      </c>
      <c r="E2130" t="s">
        <v>29</v>
      </c>
      <c r="F2130" t="s">
        <v>30</v>
      </c>
      <c r="G2130" t="s">
        <v>31</v>
      </c>
      <c r="J2130" t="s">
        <v>8589</v>
      </c>
      <c r="K2130" t="s">
        <v>1967</v>
      </c>
      <c r="L2130" t="s">
        <v>5892</v>
      </c>
      <c r="M2130" s="8">
        <v>1.0335</v>
      </c>
      <c r="N2130">
        <v>80.7856561622413</v>
      </c>
      <c r="O2130">
        <v>1683</v>
      </c>
      <c r="P2130" s="9">
        <v>0.283828737300435</v>
      </c>
      <c r="Q2130" t="s">
        <v>1761</v>
      </c>
      <c r="T2130" s="15" t="s">
        <v>80</v>
      </c>
      <c r="W2130" s="16" t="str">
        <f t="shared" si="170"/>
        <v>EN_WON_28_c02_TUR</v>
      </c>
      <c r="X2130" s="12">
        <f t="shared" si="171"/>
        <v>1683</v>
      </c>
      <c r="Y2130" s="11">
        <f t="shared" si="172"/>
        <v>1683</v>
      </c>
    </row>
    <row r="2131" spans="2:25">
      <c r="B2131" t="s">
        <v>26</v>
      </c>
      <c r="C2131" t="s">
        <v>8591</v>
      </c>
      <c r="D2131" t="s">
        <v>8592</v>
      </c>
      <c r="E2131" t="s">
        <v>29</v>
      </c>
      <c r="F2131" t="s">
        <v>30</v>
      </c>
      <c r="G2131" t="s">
        <v>31</v>
      </c>
      <c r="J2131" t="s">
        <v>8591</v>
      </c>
      <c r="K2131" t="s">
        <v>1967</v>
      </c>
      <c r="L2131" t="s">
        <v>5892</v>
      </c>
      <c r="M2131" s="8">
        <v>0.20175</v>
      </c>
      <c r="N2131">
        <v>80.7856561622413</v>
      </c>
      <c r="O2131">
        <v>1683</v>
      </c>
      <c r="P2131" s="9">
        <v>0.291</v>
      </c>
      <c r="Q2131" t="s">
        <v>1761</v>
      </c>
      <c r="T2131" s="15" t="s">
        <v>80</v>
      </c>
      <c r="W2131" s="16" t="str">
        <f t="shared" si="170"/>
        <v>EN_WON_29_c02_TUR</v>
      </c>
      <c r="X2131" s="12">
        <f t="shared" si="171"/>
        <v>1683</v>
      </c>
      <c r="Y2131" s="11">
        <f t="shared" si="172"/>
        <v>1683</v>
      </c>
    </row>
    <row r="2132" spans="2:25">
      <c r="B2132" t="s">
        <v>26</v>
      </c>
      <c r="C2132" t="s">
        <v>8593</v>
      </c>
      <c r="D2132" t="s">
        <v>8594</v>
      </c>
      <c r="E2132" t="s">
        <v>29</v>
      </c>
      <c r="F2132" t="s">
        <v>30</v>
      </c>
      <c r="G2132" t="s">
        <v>31</v>
      </c>
      <c r="J2132" t="s">
        <v>8593</v>
      </c>
      <c r="K2132" t="s">
        <v>1967</v>
      </c>
      <c r="L2132" t="s">
        <v>5892</v>
      </c>
      <c r="M2132" s="8">
        <v>0.1515</v>
      </c>
      <c r="N2132">
        <v>80.7856561622413</v>
      </c>
      <c r="O2132">
        <v>1683</v>
      </c>
      <c r="P2132" s="9">
        <v>0.3</v>
      </c>
      <c r="Q2132" t="s">
        <v>1761</v>
      </c>
      <c r="T2132" s="15" t="s">
        <v>80</v>
      </c>
      <c r="W2132" s="16" t="str">
        <f t="shared" si="170"/>
        <v>EN_WON_30_c02_TUR</v>
      </c>
      <c r="X2132" s="12">
        <f t="shared" si="171"/>
        <v>1683</v>
      </c>
      <c r="Y2132" s="11">
        <f t="shared" si="172"/>
        <v>1683</v>
      </c>
    </row>
    <row r="2133" spans="2:25">
      <c r="B2133" t="s">
        <v>26</v>
      </c>
      <c r="C2133" t="s">
        <v>8595</v>
      </c>
      <c r="D2133" t="s">
        <v>8596</v>
      </c>
      <c r="E2133" t="s">
        <v>29</v>
      </c>
      <c r="F2133" t="s">
        <v>30</v>
      </c>
      <c r="G2133" t="s">
        <v>31</v>
      </c>
      <c r="J2133" t="s">
        <v>8595</v>
      </c>
      <c r="K2133" t="s">
        <v>1967</v>
      </c>
      <c r="L2133" t="s">
        <v>5892</v>
      </c>
      <c r="M2133" s="8">
        <v>1.97475</v>
      </c>
      <c r="N2133">
        <v>105.747516212372</v>
      </c>
      <c r="O2133">
        <v>1683</v>
      </c>
      <c r="P2133" s="9">
        <v>0.297681352069882</v>
      </c>
      <c r="Q2133" t="s">
        <v>1761</v>
      </c>
      <c r="T2133" s="15" t="s">
        <v>80</v>
      </c>
      <c r="W2133" s="16" t="str">
        <f t="shared" si="170"/>
        <v>EN_WON_30_c03_TUR</v>
      </c>
      <c r="X2133" s="12">
        <f t="shared" si="171"/>
        <v>1683</v>
      </c>
      <c r="Y2133" s="11">
        <f t="shared" si="172"/>
        <v>1683</v>
      </c>
    </row>
    <row r="2134" spans="2:25">
      <c r="B2134" t="s">
        <v>26</v>
      </c>
      <c r="C2134" t="s">
        <v>8597</v>
      </c>
      <c r="D2134" t="s">
        <v>8598</v>
      </c>
      <c r="E2134" t="s">
        <v>29</v>
      </c>
      <c r="F2134" t="s">
        <v>30</v>
      </c>
      <c r="G2134" t="s">
        <v>31</v>
      </c>
      <c r="J2134" t="s">
        <v>8597</v>
      </c>
      <c r="K2134" t="s">
        <v>1967</v>
      </c>
      <c r="L2134" t="s">
        <v>5892</v>
      </c>
      <c r="M2134" s="8">
        <v>0.9255</v>
      </c>
      <c r="N2134">
        <v>0</v>
      </c>
      <c r="O2134">
        <v>1683</v>
      </c>
      <c r="P2134" s="9">
        <v>0.307</v>
      </c>
      <c r="Q2134" t="s">
        <v>1761</v>
      </c>
      <c r="T2134" s="15" t="s">
        <v>80</v>
      </c>
      <c r="W2134" s="16" t="str">
        <f t="shared" si="170"/>
        <v>EN_WON_31_c01_TUR</v>
      </c>
      <c r="X2134" s="12">
        <f t="shared" si="171"/>
        <v>1683</v>
      </c>
      <c r="Y2134" s="11">
        <f t="shared" si="172"/>
        <v>1683</v>
      </c>
    </row>
    <row r="2135" spans="2:25">
      <c r="B2135" t="s">
        <v>26</v>
      </c>
      <c r="C2135" t="s">
        <v>8599</v>
      </c>
      <c r="D2135" t="s">
        <v>8600</v>
      </c>
      <c r="E2135" t="s">
        <v>29</v>
      </c>
      <c r="F2135" t="s">
        <v>30</v>
      </c>
      <c r="G2135" t="s">
        <v>31</v>
      </c>
      <c r="J2135" t="s">
        <v>8599</v>
      </c>
      <c r="K2135" t="s">
        <v>1967</v>
      </c>
      <c r="L2135" t="s">
        <v>5892</v>
      </c>
      <c r="M2135" s="8">
        <v>0.13875</v>
      </c>
      <c r="N2135">
        <v>105.747516212372</v>
      </c>
      <c r="O2135">
        <v>1683</v>
      </c>
      <c r="P2135" s="9">
        <v>0.305</v>
      </c>
      <c r="Q2135" t="s">
        <v>1761</v>
      </c>
      <c r="T2135" s="15" t="s">
        <v>80</v>
      </c>
      <c r="W2135" s="16" t="str">
        <f t="shared" si="170"/>
        <v>EN_WON_31_c03_TUR</v>
      </c>
      <c r="X2135" s="12">
        <f t="shared" si="171"/>
        <v>1683</v>
      </c>
      <c r="Y2135" s="11">
        <f t="shared" si="172"/>
        <v>1683</v>
      </c>
    </row>
    <row r="2136" spans="2:25">
      <c r="B2136" t="s">
        <v>26</v>
      </c>
      <c r="C2136" t="s">
        <v>8601</v>
      </c>
      <c r="D2136" t="s">
        <v>8602</v>
      </c>
      <c r="E2136" t="s">
        <v>29</v>
      </c>
      <c r="F2136" t="s">
        <v>30</v>
      </c>
      <c r="G2136" t="s">
        <v>31</v>
      </c>
      <c r="J2136" t="s">
        <v>8601</v>
      </c>
      <c r="K2136" t="s">
        <v>1967</v>
      </c>
      <c r="L2136" t="s">
        <v>5892</v>
      </c>
      <c r="M2136" s="8">
        <v>0.46725</v>
      </c>
      <c r="N2136">
        <v>105.747516212372</v>
      </c>
      <c r="O2136">
        <v>1683</v>
      </c>
      <c r="P2136" s="9">
        <v>0.319</v>
      </c>
      <c r="Q2136" t="s">
        <v>1761</v>
      </c>
      <c r="T2136" s="15" t="s">
        <v>80</v>
      </c>
      <c r="W2136" s="16" t="str">
        <f t="shared" si="170"/>
        <v>EN_WON_32_c03_TUR</v>
      </c>
      <c r="X2136" s="12">
        <f t="shared" si="171"/>
        <v>1683</v>
      </c>
      <c r="Y2136" s="11">
        <f t="shared" si="172"/>
        <v>1683</v>
      </c>
    </row>
    <row r="2137" spans="2:25">
      <c r="B2137" t="s">
        <v>26</v>
      </c>
      <c r="C2137" t="s">
        <v>8603</v>
      </c>
      <c r="D2137" t="s">
        <v>8604</v>
      </c>
      <c r="E2137" t="s">
        <v>29</v>
      </c>
      <c r="F2137" t="s">
        <v>30</v>
      </c>
      <c r="G2137" t="s">
        <v>31</v>
      </c>
      <c r="J2137" t="s">
        <v>8603</v>
      </c>
      <c r="K2137" t="s">
        <v>1967</v>
      </c>
      <c r="L2137" t="s">
        <v>5892</v>
      </c>
      <c r="M2137" s="8">
        <v>0.912</v>
      </c>
      <c r="N2137">
        <v>80.7856561622413</v>
      </c>
      <c r="O2137">
        <v>1683</v>
      </c>
      <c r="P2137" s="9">
        <v>0.332223684210526</v>
      </c>
      <c r="Q2137" t="s">
        <v>1761</v>
      </c>
      <c r="T2137" s="15" t="s">
        <v>80</v>
      </c>
      <c r="W2137" s="16" t="str">
        <f t="shared" si="170"/>
        <v>EN_WON_33_c02_TUR</v>
      </c>
      <c r="X2137" s="12">
        <f t="shared" si="171"/>
        <v>1683</v>
      </c>
      <c r="Y2137" s="11">
        <f t="shared" si="172"/>
        <v>1683</v>
      </c>
    </row>
    <row r="2138" spans="2:25">
      <c r="B2138" t="s">
        <v>26</v>
      </c>
      <c r="C2138" t="s">
        <v>8605</v>
      </c>
      <c r="D2138" t="s">
        <v>8606</v>
      </c>
      <c r="E2138" t="s">
        <v>29</v>
      </c>
      <c r="F2138" t="s">
        <v>30</v>
      </c>
      <c r="G2138" t="s">
        <v>31</v>
      </c>
      <c r="J2138" t="s">
        <v>8605</v>
      </c>
      <c r="K2138" t="s">
        <v>1967</v>
      </c>
      <c r="L2138" t="s">
        <v>5892</v>
      </c>
      <c r="M2138" s="8">
        <v>0.74475</v>
      </c>
      <c r="N2138">
        <v>0</v>
      </c>
      <c r="O2138">
        <v>1683</v>
      </c>
      <c r="P2138" s="9">
        <v>0.344</v>
      </c>
      <c r="Q2138" t="s">
        <v>1761</v>
      </c>
      <c r="T2138" s="15" t="s">
        <v>80</v>
      </c>
      <c r="W2138" s="16" t="str">
        <f t="shared" si="170"/>
        <v>EN_WON_34_c01_TUR</v>
      </c>
      <c r="X2138" s="12">
        <f t="shared" si="171"/>
        <v>1683</v>
      </c>
      <c r="Y2138" s="11">
        <f t="shared" si="172"/>
        <v>1683</v>
      </c>
    </row>
    <row r="2139" spans="2:25">
      <c r="B2139" t="s">
        <v>26</v>
      </c>
      <c r="C2139" t="s">
        <v>8607</v>
      </c>
      <c r="D2139" t="s">
        <v>8608</v>
      </c>
      <c r="E2139" t="s">
        <v>29</v>
      </c>
      <c r="F2139" t="s">
        <v>30</v>
      </c>
      <c r="G2139" t="s">
        <v>31</v>
      </c>
      <c r="J2139" t="s">
        <v>8607</v>
      </c>
      <c r="K2139" t="s">
        <v>1967</v>
      </c>
      <c r="L2139" t="s">
        <v>5892</v>
      </c>
      <c r="M2139" s="8">
        <v>0.441</v>
      </c>
      <c r="N2139">
        <v>80.7856561622413</v>
      </c>
      <c r="O2139">
        <v>1683</v>
      </c>
      <c r="P2139" s="9">
        <v>0.335054421768707</v>
      </c>
      <c r="Q2139" t="s">
        <v>1761</v>
      </c>
      <c r="T2139" s="15" t="s">
        <v>80</v>
      </c>
      <c r="W2139" s="16" t="str">
        <f t="shared" si="170"/>
        <v>EN_WON_34_c02_TUR</v>
      </c>
      <c r="X2139" s="12">
        <f t="shared" si="171"/>
        <v>1683</v>
      </c>
      <c r="Y2139" s="11">
        <f t="shared" si="172"/>
        <v>1683</v>
      </c>
    </row>
    <row r="2140" spans="2:25">
      <c r="B2140" t="s">
        <v>26</v>
      </c>
      <c r="C2140" t="s">
        <v>8609</v>
      </c>
      <c r="D2140" t="s">
        <v>8610</v>
      </c>
      <c r="E2140" t="s">
        <v>29</v>
      </c>
      <c r="F2140" t="s">
        <v>30</v>
      </c>
      <c r="G2140" t="s">
        <v>31</v>
      </c>
      <c r="J2140" t="s">
        <v>8609</v>
      </c>
      <c r="K2140" t="s">
        <v>1967</v>
      </c>
      <c r="L2140" t="s">
        <v>5892</v>
      </c>
      <c r="M2140" s="8">
        <v>0.381</v>
      </c>
      <c r="N2140">
        <v>0</v>
      </c>
      <c r="O2140">
        <v>1683</v>
      </c>
      <c r="P2140" s="9">
        <v>0.352</v>
      </c>
      <c r="Q2140" t="s">
        <v>1761</v>
      </c>
      <c r="T2140" s="15" t="s">
        <v>80</v>
      </c>
      <c r="W2140" s="16" t="str">
        <f t="shared" si="170"/>
        <v>EN_WON_35_c01_TUR</v>
      </c>
      <c r="X2140" s="12">
        <f t="shared" si="171"/>
        <v>1683</v>
      </c>
      <c r="Y2140" s="11">
        <f t="shared" si="172"/>
        <v>1683</v>
      </c>
    </row>
    <row r="2141" spans="2:25">
      <c r="B2141" t="s">
        <v>26</v>
      </c>
      <c r="C2141" t="s">
        <v>8611</v>
      </c>
      <c r="D2141" t="s">
        <v>8612</v>
      </c>
      <c r="E2141" t="s">
        <v>29</v>
      </c>
      <c r="F2141" t="s">
        <v>30</v>
      </c>
      <c r="G2141" t="s">
        <v>31</v>
      </c>
      <c r="J2141" t="s">
        <v>8611</v>
      </c>
      <c r="K2141" t="s">
        <v>1967</v>
      </c>
      <c r="L2141" t="s">
        <v>5892</v>
      </c>
      <c r="M2141" s="8">
        <v>0.3855</v>
      </c>
      <c r="N2141">
        <v>80.7856561622413</v>
      </c>
      <c r="O2141">
        <v>1683</v>
      </c>
      <c r="P2141" s="9">
        <v>0.349</v>
      </c>
      <c r="Q2141" t="s">
        <v>1761</v>
      </c>
      <c r="T2141" s="15" t="s">
        <v>80</v>
      </c>
      <c r="W2141" s="16" t="str">
        <f t="shared" si="170"/>
        <v>EN_WON_35_c02_TUR</v>
      </c>
      <c r="X2141" s="12">
        <f t="shared" si="171"/>
        <v>1683</v>
      </c>
      <c r="Y2141" s="11">
        <f t="shared" si="172"/>
        <v>1683</v>
      </c>
    </row>
    <row r="2142" spans="2:25">
      <c r="B2142" t="s">
        <v>26</v>
      </c>
      <c r="C2142" t="s">
        <v>8613</v>
      </c>
      <c r="D2142" t="s">
        <v>8614</v>
      </c>
      <c r="E2142" t="s">
        <v>29</v>
      </c>
      <c r="F2142" t="s">
        <v>30</v>
      </c>
      <c r="G2142" t="s">
        <v>31</v>
      </c>
      <c r="J2142" t="s">
        <v>8613</v>
      </c>
      <c r="K2142" t="s">
        <v>1967</v>
      </c>
      <c r="L2142" t="s">
        <v>5892</v>
      </c>
      <c r="M2142" s="8">
        <v>0.4605</v>
      </c>
      <c r="N2142">
        <v>0</v>
      </c>
      <c r="O2142">
        <v>1683</v>
      </c>
      <c r="P2142" s="9">
        <v>0.362</v>
      </c>
      <c r="Q2142" t="s">
        <v>1761</v>
      </c>
      <c r="T2142" s="15" t="s">
        <v>80</v>
      </c>
      <c r="W2142" s="16" t="str">
        <f t="shared" si="170"/>
        <v>EN_WON_36_c01_TUR</v>
      </c>
      <c r="X2142" s="12">
        <f t="shared" si="171"/>
        <v>1683</v>
      </c>
      <c r="Y2142" s="11">
        <f t="shared" si="172"/>
        <v>1683</v>
      </c>
    </row>
    <row r="2143" spans="2:25">
      <c r="B2143" t="s">
        <v>26</v>
      </c>
      <c r="C2143" t="s">
        <v>8615</v>
      </c>
      <c r="D2143" t="s">
        <v>8616</v>
      </c>
      <c r="E2143" t="s">
        <v>29</v>
      </c>
      <c r="F2143" t="s">
        <v>30</v>
      </c>
      <c r="G2143" t="s">
        <v>31</v>
      </c>
      <c r="J2143" t="s">
        <v>8615</v>
      </c>
      <c r="K2143" t="s">
        <v>1967</v>
      </c>
      <c r="L2143" t="s">
        <v>5892</v>
      </c>
      <c r="M2143" s="8">
        <v>0.07875</v>
      </c>
      <c r="N2143">
        <v>80.7856561622413</v>
      </c>
      <c r="O2143">
        <v>1683</v>
      </c>
      <c r="P2143" s="9">
        <v>0.358</v>
      </c>
      <c r="Q2143" t="s">
        <v>1761</v>
      </c>
      <c r="T2143" s="15" t="s">
        <v>80</v>
      </c>
      <c r="W2143" s="16" t="str">
        <f t="shared" si="170"/>
        <v>EN_WON_36_c02_TUR</v>
      </c>
      <c r="X2143" s="12">
        <f t="shared" si="171"/>
        <v>1683</v>
      </c>
      <c r="Y2143" s="11">
        <f t="shared" si="172"/>
        <v>1683</v>
      </c>
    </row>
    <row r="2144" spans="2:25">
      <c r="B2144" t="s">
        <v>26</v>
      </c>
      <c r="C2144" t="s">
        <v>8617</v>
      </c>
      <c r="D2144" t="s">
        <v>8618</v>
      </c>
      <c r="E2144" t="s">
        <v>29</v>
      </c>
      <c r="F2144" t="s">
        <v>30</v>
      </c>
      <c r="G2144" t="s">
        <v>31</v>
      </c>
      <c r="J2144" t="s">
        <v>8617</v>
      </c>
      <c r="K2144" t="s">
        <v>1967</v>
      </c>
      <c r="L2144" t="s">
        <v>5892</v>
      </c>
      <c r="M2144" s="8">
        <v>0.102</v>
      </c>
      <c r="N2144">
        <v>80.7856561622413</v>
      </c>
      <c r="O2144">
        <v>1683</v>
      </c>
      <c r="P2144" s="9">
        <v>0.374</v>
      </c>
      <c r="Q2144" t="s">
        <v>1761</v>
      </c>
      <c r="T2144" s="15" t="s">
        <v>80</v>
      </c>
      <c r="W2144" s="16" t="str">
        <f t="shared" si="170"/>
        <v>EN_WON_37_c02_TUR</v>
      </c>
      <c r="X2144" s="12">
        <f t="shared" si="171"/>
        <v>1683</v>
      </c>
      <c r="Y2144" s="11">
        <f t="shared" si="172"/>
        <v>1683</v>
      </c>
    </row>
    <row r="2145" spans="2:25">
      <c r="B2145" t="s">
        <v>26</v>
      </c>
      <c r="C2145" t="s">
        <v>8619</v>
      </c>
      <c r="D2145" t="s">
        <v>8620</v>
      </c>
      <c r="E2145" t="s">
        <v>29</v>
      </c>
      <c r="F2145" t="s">
        <v>30</v>
      </c>
      <c r="G2145" t="s">
        <v>31</v>
      </c>
      <c r="J2145" t="s">
        <v>8619</v>
      </c>
      <c r="K2145" t="s">
        <v>1967</v>
      </c>
      <c r="L2145" t="s">
        <v>5892</v>
      </c>
      <c r="M2145" s="8">
        <v>0.17325</v>
      </c>
      <c r="N2145">
        <v>0</v>
      </c>
      <c r="O2145">
        <v>1683</v>
      </c>
      <c r="P2145" s="9">
        <v>0.393</v>
      </c>
      <c r="Q2145" t="s">
        <v>1761</v>
      </c>
      <c r="T2145" s="15" t="s">
        <v>80</v>
      </c>
      <c r="W2145" s="16" t="str">
        <f t="shared" si="170"/>
        <v>EN_WON_39_c01_TUR</v>
      </c>
      <c r="X2145" s="12">
        <f t="shared" si="171"/>
        <v>1683</v>
      </c>
      <c r="Y2145" s="11">
        <f t="shared" si="172"/>
        <v>1683</v>
      </c>
    </row>
    <row r="2146" spans="2:25">
      <c r="B2146" t="s">
        <v>26</v>
      </c>
      <c r="C2146" t="s">
        <v>8621</v>
      </c>
      <c r="D2146" t="s">
        <v>8622</v>
      </c>
      <c r="E2146" t="s">
        <v>29</v>
      </c>
      <c r="F2146" t="s">
        <v>30</v>
      </c>
      <c r="G2146" t="s">
        <v>31</v>
      </c>
      <c r="J2146" t="s">
        <v>8621</v>
      </c>
      <c r="K2146" t="s">
        <v>1967</v>
      </c>
      <c r="L2146" t="s">
        <v>8623</v>
      </c>
      <c r="M2146" s="8">
        <v>2.211</v>
      </c>
      <c r="N2146">
        <v>105.747516212372</v>
      </c>
      <c r="O2146">
        <v>1952</v>
      </c>
      <c r="P2146" s="9">
        <v>0.241</v>
      </c>
      <c r="Q2146" t="s">
        <v>1783</v>
      </c>
      <c r="T2146" s="15" t="s">
        <v>54</v>
      </c>
      <c r="W2146" s="16" t="str">
        <f t="shared" si="170"/>
        <v>EN_WON_24_c03_TZA</v>
      </c>
      <c r="X2146" s="12">
        <f t="shared" si="171"/>
        <v>1952</v>
      </c>
      <c r="Y2146" s="11">
        <f t="shared" si="172"/>
        <v>1952</v>
      </c>
    </row>
    <row r="2147" spans="2:25">
      <c r="B2147" t="s">
        <v>26</v>
      </c>
      <c r="C2147" t="s">
        <v>8624</v>
      </c>
      <c r="D2147" t="s">
        <v>8625</v>
      </c>
      <c r="E2147" t="s">
        <v>29</v>
      </c>
      <c r="F2147" t="s">
        <v>30</v>
      </c>
      <c r="G2147" t="s">
        <v>31</v>
      </c>
      <c r="J2147" t="s">
        <v>8624</v>
      </c>
      <c r="K2147" t="s">
        <v>1967</v>
      </c>
      <c r="L2147" t="s">
        <v>8623</v>
      </c>
      <c r="M2147" s="8">
        <v>2.68575</v>
      </c>
      <c r="N2147">
        <v>145.23264029167</v>
      </c>
      <c r="O2147">
        <v>1952</v>
      </c>
      <c r="P2147" s="9">
        <v>0.242834962301033</v>
      </c>
      <c r="Q2147" t="s">
        <v>1783</v>
      </c>
      <c r="T2147" s="15" t="s">
        <v>54</v>
      </c>
      <c r="W2147" s="16" t="str">
        <f t="shared" si="170"/>
        <v>EN_WON_24_c04_TZA</v>
      </c>
      <c r="X2147" s="12">
        <f t="shared" si="171"/>
        <v>1952</v>
      </c>
      <c r="Y2147" s="11">
        <f t="shared" si="172"/>
        <v>1952</v>
      </c>
    </row>
    <row r="2148" spans="2:25">
      <c r="B2148" t="s">
        <v>26</v>
      </c>
      <c r="C2148" t="s">
        <v>8626</v>
      </c>
      <c r="D2148" t="s">
        <v>8627</v>
      </c>
      <c r="E2148" t="s">
        <v>29</v>
      </c>
      <c r="F2148" t="s">
        <v>30</v>
      </c>
      <c r="G2148" t="s">
        <v>31</v>
      </c>
      <c r="J2148" t="s">
        <v>8626</v>
      </c>
      <c r="K2148" t="s">
        <v>1967</v>
      </c>
      <c r="L2148" t="s">
        <v>8623</v>
      </c>
      <c r="M2148" s="8">
        <v>1.58025</v>
      </c>
      <c r="N2148">
        <v>80.7856561622413</v>
      </c>
      <c r="O2148">
        <v>1952</v>
      </c>
      <c r="P2148" s="9">
        <v>0.254</v>
      </c>
      <c r="Q2148" t="s">
        <v>1783</v>
      </c>
      <c r="T2148" s="15" t="s">
        <v>54</v>
      </c>
      <c r="W2148" s="16" t="str">
        <f t="shared" si="170"/>
        <v>EN_WON_25_c02_TZA</v>
      </c>
      <c r="X2148" s="12">
        <f t="shared" si="171"/>
        <v>1952</v>
      </c>
      <c r="Y2148" s="11">
        <f t="shared" si="172"/>
        <v>1952</v>
      </c>
    </row>
    <row r="2149" spans="2:25">
      <c r="B2149" t="s">
        <v>26</v>
      </c>
      <c r="C2149" t="s">
        <v>8628</v>
      </c>
      <c r="D2149" t="s">
        <v>8629</v>
      </c>
      <c r="E2149" t="s">
        <v>29</v>
      </c>
      <c r="F2149" t="s">
        <v>30</v>
      </c>
      <c r="G2149" t="s">
        <v>31</v>
      </c>
      <c r="J2149" t="s">
        <v>8628</v>
      </c>
      <c r="K2149" t="s">
        <v>1967</v>
      </c>
      <c r="L2149" t="s">
        <v>8623</v>
      </c>
      <c r="M2149" s="8">
        <v>1.3515</v>
      </c>
      <c r="N2149">
        <v>105.747516212372</v>
      </c>
      <c r="O2149">
        <v>1952</v>
      </c>
      <c r="P2149" s="9">
        <v>0.25084461709212</v>
      </c>
      <c r="Q2149" t="s">
        <v>1783</v>
      </c>
      <c r="T2149" s="15" t="s">
        <v>54</v>
      </c>
      <c r="W2149" s="16" t="str">
        <f t="shared" si="170"/>
        <v>EN_WON_25_c03_TZA</v>
      </c>
      <c r="X2149" s="12">
        <f t="shared" si="171"/>
        <v>1952</v>
      </c>
      <c r="Y2149" s="11">
        <f t="shared" si="172"/>
        <v>1952</v>
      </c>
    </row>
    <row r="2150" spans="2:25">
      <c r="B2150" t="s">
        <v>26</v>
      </c>
      <c r="C2150" t="s">
        <v>8630</v>
      </c>
      <c r="D2150" t="s">
        <v>8631</v>
      </c>
      <c r="E2150" t="s">
        <v>29</v>
      </c>
      <c r="F2150" t="s">
        <v>30</v>
      </c>
      <c r="G2150" t="s">
        <v>31</v>
      </c>
      <c r="J2150" t="s">
        <v>8630</v>
      </c>
      <c r="K2150" t="s">
        <v>1967</v>
      </c>
      <c r="L2150" t="s">
        <v>8623</v>
      </c>
      <c r="M2150" s="8">
        <v>8.35875</v>
      </c>
      <c r="N2150">
        <v>145.23264029167</v>
      </c>
      <c r="O2150">
        <v>1952</v>
      </c>
      <c r="P2150" s="9">
        <v>0.247947958725886</v>
      </c>
      <c r="Q2150" t="s">
        <v>1783</v>
      </c>
      <c r="T2150" s="15" t="s">
        <v>54</v>
      </c>
      <c r="W2150" s="16" t="str">
        <f t="shared" si="170"/>
        <v>EN_WON_25_c04_TZA</v>
      </c>
      <c r="X2150" s="12">
        <f t="shared" si="171"/>
        <v>1952</v>
      </c>
      <c r="Y2150" s="11">
        <f t="shared" si="172"/>
        <v>1952</v>
      </c>
    </row>
    <row r="2151" spans="2:25">
      <c r="B2151" t="s">
        <v>26</v>
      </c>
      <c r="C2151" t="s">
        <v>8632</v>
      </c>
      <c r="D2151" t="s">
        <v>8633</v>
      </c>
      <c r="E2151" t="s">
        <v>29</v>
      </c>
      <c r="F2151" t="s">
        <v>30</v>
      </c>
      <c r="G2151" t="s">
        <v>31</v>
      </c>
      <c r="J2151" t="s">
        <v>8632</v>
      </c>
      <c r="K2151" t="s">
        <v>1967</v>
      </c>
      <c r="L2151" t="s">
        <v>8623</v>
      </c>
      <c r="M2151" s="8">
        <v>1.9815</v>
      </c>
      <c r="N2151">
        <v>80.7856561622413</v>
      </c>
      <c r="O2151">
        <v>1952</v>
      </c>
      <c r="P2151" s="9">
        <v>0.264</v>
      </c>
      <c r="Q2151" t="s">
        <v>1783</v>
      </c>
      <c r="T2151" s="15" t="s">
        <v>54</v>
      </c>
      <c r="W2151" s="16" t="str">
        <f t="shared" si="170"/>
        <v>EN_WON_26_c02_TZA</v>
      </c>
      <c r="X2151" s="12">
        <f t="shared" si="171"/>
        <v>1952</v>
      </c>
      <c r="Y2151" s="11">
        <f t="shared" si="172"/>
        <v>1952</v>
      </c>
    </row>
    <row r="2152" spans="2:25">
      <c r="B2152" t="s">
        <v>26</v>
      </c>
      <c r="C2152" t="s">
        <v>8634</v>
      </c>
      <c r="D2152" t="s">
        <v>8635</v>
      </c>
      <c r="E2152" t="s">
        <v>29</v>
      </c>
      <c r="F2152" t="s">
        <v>30</v>
      </c>
      <c r="G2152" t="s">
        <v>31</v>
      </c>
      <c r="J2152" t="s">
        <v>8634</v>
      </c>
      <c r="K2152" t="s">
        <v>1967</v>
      </c>
      <c r="L2152" t="s">
        <v>8623</v>
      </c>
      <c r="M2152" s="8">
        <v>0.39975</v>
      </c>
      <c r="N2152">
        <v>105.747516212372</v>
      </c>
      <c r="O2152">
        <v>1952</v>
      </c>
      <c r="P2152" s="9">
        <v>0.264</v>
      </c>
      <c r="Q2152" t="s">
        <v>1783</v>
      </c>
      <c r="T2152" s="15" t="s">
        <v>54</v>
      </c>
      <c r="W2152" s="16" t="str">
        <f t="shared" si="170"/>
        <v>EN_WON_26_c03_TZA</v>
      </c>
      <c r="X2152" s="12">
        <f t="shared" si="171"/>
        <v>1952</v>
      </c>
      <c r="Y2152" s="11">
        <f t="shared" si="172"/>
        <v>1952</v>
      </c>
    </row>
    <row r="2153" spans="2:25">
      <c r="B2153" t="s">
        <v>26</v>
      </c>
      <c r="C2153" t="s">
        <v>8636</v>
      </c>
      <c r="D2153" t="s">
        <v>8637</v>
      </c>
      <c r="E2153" t="s">
        <v>29</v>
      </c>
      <c r="F2153" t="s">
        <v>30</v>
      </c>
      <c r="G2153" t="s">
        <v>31</v>
      </c>
      <c r="J2153" t="s">
        <v>8636</v>
      </c>
      <c r="K2153" t="s">
        <v>1967</v>
      </c>
      <c r="L2153" t="s">
        <v>8623</v>
      </c>
      <c r="M2153" s="8">
        <v>4.827</v>
      </c>
      <c r="N2153">
        <v>145.23264029167</v>
      </c>
      <c r="O2153">
        <v>1952</v>
      </c>
      <c r="P2153" s="9">
        <v>0.256015226848974</v>
      </c>
      <c r="Q2153" t="s">
        <v>1783</v>
      </c>
      <c r="T2153" s="15" t="s">
        <v>54</v>
      </c>
      <c r="W2153" s="16" t="str">
        <f t="shared" si="170"/>
        <v>EN_WON_26_c04_TZA</v>
      </c>
      <c r="X2153" s="12">
        <f t="shared" si="171"/>
        <v>1952</v>
      </c>
      <c r="Y2153" s="11">
        <f t="shared" si="172"/>
        <v>1952</v>
      </c>
    </row>
    <row r="2154" spans="2:25">
      <c r="B2154" t="s">
        <v>26</v>
      </c>
      <c r="C2154" t="s">
        <v>8638</v>
      </c>
      <c r="D2154" t="s">
        <v>8639</v>
      </c>
      <c r="E2154" t="s">
        <v>29</v>
      </c>
      <c r="F2154" t="s">
        <v>30</v>
      </c>
      <c r="G2154" t="s">
        <v>31</v>
      </c>
      <c r="J2154" t="s">
        <v>8638</v>
      </c>
      <c r="K2154" t="s">
        <v>1967</v>
      </c>
      <c r="L2154" t="s">
        <v>8623</v>
      </c>
      <c r="M2154" s="8">
        <v>2.32875</v>
      </c>
      <c r="N2154">
        <v>105.747516212372</v>
      </c>
      <c r="O2154">
        <v>1952</v>
      </c>
      <c r="P2154" s="9">
        <v>0.271642512077295</v>
      </c>
      <c r="Q2154" t="s">
        <v>1783</v>
      </c>
      <c r="T2154" s="15" t="s">
        <v>54</v>
      </c>
      <c r="W2154" s="16" t="str">
        <f t="shared" si="170"/>
        <v>EN_WON_27_c03_TZA</v>
      </c>
      <c r="X2154" s="12">
        <f t="shared" si="171"/>
        <v>1952</v>
      </c>
      <c r="Y2154" s="11">
        <f t="shared" si="172"/>
        <v>1952</v>
      </c>
    </row>
    <row r="2155" spans="2:25">
      <c r="B2155" t="s">
        <v>26</v>
      </c>
      <c r="C2155" t="s">
        <v>8640</v>
      </c>
      <c r="D2155" t="s">
        <v>8641</v>
      </c>
      <c r="E2155" t="s">
        <v>29</v>
      </c>
      <c r="F2155" t="s">
        <v>30</v>
      </c>
      <c r="G2155" t="s">
        <v>31</v>
      </c>
      <c r="J2155" t="s">
        <v>8640</v>
      </c>
      <c r="K2155" t="s">
        <v>1967</v>
      </c>
      <c r="L2155" t="s">
        <v>8623</v>
      </c>
      <c r="M2155" s="8">
        <v>0.8295</v>
      </c>
      <c r="N2155">
        <v>145.23264029167</v>
      </c>
      <c r="O2155">
        <v>1952</v>
      </c>
      <c r="P2155" s="9">
        <v>0.267018987341772</v>
      </c>
      <c r="Q2155" t="s">
        <v>1783</v>
      </c>
      <c r="T2155" s="15" t="s">
        <v>54</v>
      </c>
      <c r="W2155" s="16" t="str">
        <f t="shared" si="170"/>
        <v>EN_WON_27_c04_TZA</v>
      </c>
      <c r="X2155" s="12">
        <f t="shared" si="171"/>
        <v>1952</v>
      </c>
      <c r="Y2155" s="11">
        <f t="shared" si="172"/>
        <v>1952</v>
      </c>
    </row>
    <row r="2156" spans="2:25">
      <c r="B2156" t="s">
        <v>26</v>
      </c>
      <c r="C2156" t="s">
        <v>8642</v>
      </c>
      <c r="D2156" t="s">
        <v>8643</v>
      </c>
      <c r="E2156" t="s">
        <v>29</v>
      </c>
      <c r="F2156" t="s">
        <v>30</v>
      </c>
      <c r="G2156" t="s">
        <v>31</v>
      </c>
      <c r="J2156" t="s">
        <v>8642</v>
      </c>
      <c r="K2156" t="s">
        <v>1967</v>
      </c>
      <c r="L2156" t="s">
        <v>8623</v>
      </c>
      <c r="M2156" s="8">
        <v>0.747</v>
      </c>
      <c r="N2156">
        <v>105.747516212372</v>
      </c>
      <c r="O2156">
        <v>1952</v>
      </c>
      <c r="P2156" s="9">
        <v>0.285</v>
      </c>
      <c r="Q2156" t="s">
        <v>1783</v>
      </c>
      <c r="T2156" s="15" t="s">
        <v>54</v>
      </c>
      <c r="W2156" s="16" t="str">
        <f t="shared" si="170"/>
        <v>EN_WON_28_c03_TZA</v>
      </c>
      <c r="X2156" s="12">
        <f t="shared" si="171"/>
        <v>1952</v>
      </c>
      <c r="Y2156" s="11">
        <f t="shared" si="172"/>
        <v>1952</v>
      </c>
    </row>
    <row r="2157" spans="2:25">
      <c r="B2157" t="s">
        <v>26</v>
      </c>
      <c r="C2157" t="s">
        <v>8644</v>
      </c>
      <c r="D2157" t="s">
        <v>8645</v>
      </c>
      <c r="E2157" t="s">
        <v>29</v>
      </c>
      <c r="F2157" t="s">
        <v>30</v>
      </c>
      <c r="G2157" t="s">
        <v>31</v>
      </c>
      <c r="J2157" t="s">
        <v>8644</v>
      </c>
      <c r="K2157" t="s">
        <v>1967</v>
      </c>
      <c r="L2157" t="s">
        <v>8623</v>
      </c>
      <c r="M2157" s="8">
        <v>3.02175</v>
      </c>
      <c r="N2157">
        <v>105.747516212372</v>
      </c>
      <c r="O2157">
        <v>1952</v>
      </c>
      <c r="P2157" s="9">
        <v>0.287367088607595</v>
      </c>
      <c r="Q2157" t="s">
        <v>1783</v>
      </c>
      <c r="T2157" s="15" t="s">
        <v>54</v>
      </c>
      <c r="W2157" s="16" t="str">
        <f t="shared" si="170"/>
        <v>EN_WON_29_c03_TZA</v>
      </c>
      <c r="X2157" s="12">
        <f t="shared" si="171"/>
        <v>1952</v>
      </c>
      <c r="Y2157" s="11">
        <f t="shared" si="172"/>
        <v>1952</v>
      </c>
    </row>
    <row r="2158" spans="2:25">
      <c r="B2158" t="s">
        <v>26</v>
      </c>
      <c r="C2158" t="s">
        <v>8646</v>
      </c>
      <c r="D2158" t="s">
        <v>8647</v>
      </c>
      <c r="E2158" t="s">
        <v>29</v>
      </c>
      <c r="F2158" t="s">
        <v>30</v>
      </c>
      <c r="G2158" t="s">
        <v>31</v>
      </c>
      <c r="J2158" t="s">
        <v>8646</v>
      </c>
      <c r="K2158" t="s">
        <v>1967</v>
      </c>
      <c r="L2158" t="s">
        <v>8623</v>
      </c>
      <c r="M2158" s="8">
        <v>1.056</v>
      </c>
      <c r="N2158">
        <v>105.747516212372</v>
      </c>
      <c r="O2158">
        <v>1952</v>
      </c>
      <c r="P2158" s="9">
        <v>0.297</v>
      </c>
      <c r="Q2158" t="s">
        <v>1783</v>
      </c>
      <c r="T2158" s="15" t="s">
        <v>54</v>
      </c>
      <c r="W2158" s="16" t="str">
        <f t="shared" si="170"/>
        <v>EN_WON_30_c03_TZA</v>
      </c>
      <c r="X2158" s="12">
        <f t="shared" si="171"/>
        <v>1952</v>
      </c>
      <c r="Y2158" s="11">
        <f t="shared" si="172"/>
        <v>1952</v>
      </c>
    </row>
    <row r="2159" spans="2:25">
      <c r="B2159" t="s">
        <v>26</v>
      </c>
      <c r="C2159" t="s">
        <v>8648</v>
      </c>
      <c r="D2159" t="s">
        <v>8649</v>
      </c>
      <c r="E2159" t="s">
        <v>29</v>
      </c>
      <c r="F2159" t="s">
        <v>30</v>
      </c>
      <c r="G2159" t="s">
        <v>31</v>
      </c>
      <c r="J2159" t="s">
        <v>8648</v>
      </c>
      <c r="K2159" t="s">
        <v>1967</v>
      </c>
      <c r="L2159" t="s">
        <v>8623</v>
      </c>
      <c r="M2159" s="8">
        <v>0.519</v>
      </c>
      <c r="N2159">
        <v>145.23264029167</v>
      </c>
      <c r="O2159">
        <v>1952</v>
      </c>
      <c r="P2159" s="9">
        <v>0.298</v>
      </c>
      <c r="Q2159" t="s">
        <v>1783</v>
      </c>
      <c r="T2159" s="15" t="s">
        <v>54</v>
      </c>
      <c r="W2159" s="16" t="str">
        <f t="shared" si="170"/>
        <v>EN_WON_30_c04_TZA</v>
      </c>
      <c r="X2159" s="12">
        <f t="shared" si="171"/>
        <v>1952</v>
      </c>
      <c r="Y2159" s="11">
        <f t="shared" si="172"/>
        <v>1952</v>
      </c>
    </row>
    <row r="2160" spans="2:25">
      <c r="B2160" t="s">
        <v>26</v>
      </c>
      <c r="C2160" t="s">
        <v>8650</v>
      </c>
      <c r="D2160" t="s">
        <v>8651</v>
      </c>
      <c r="E2160" t="s">
        <v>29</v>
      </c>
      <c r="F2160" t="s">
        <v>30</v>
      </c>
      <c r="G2160" t="s">
        <v>31</v>
      </c>
      <c r="J2160" t="s">
        <v>8650</v>
      </c>
      <c r="K2160" t="s">
        <v>1967</v>
      </c>
      <c r="L2160" t="s">
        <v>8623</v>
      </c>
      <c r="M2160" s="8">
        <v>2.016</v>
      </c>
      <c r="N2160">
        <v>105.747516212372</v>
      </c>
      <c r="O2160">
        <v>1952</v>
      </c>
      <c r="P2160" s="9">
        <v>0.307</v>
      </c>
      <c r="Q2160" t="s">
        <v>1783</v>
      </c>
      <c r="T2160" s="15" t="s">
        <v>54</v>
      </c>
      <c r="W2160" s="16" t="str">
        <f t="shared" si="170"/>
        <v>EN_WON_31_c03_TZA</v>
      </c>
      <c r="X2160" s="12">
        <f t="shared" si="171"/>
        <v>1952</v>
      </c>
      <c r="Y2160" s="11">
        <f t="shared" si="172"/>
        <v>1952</v>
      </c>
    </row>
    <row r="2161" spans="2:25">
      <c r="B2161" t="s">
        <v>26</v>
      </c>
      <c r="C2161" t="s">
        <v>8652</v>
      </c>
      <c r="D2161" t="s">
        <v>8653</v>
      </c>
      <c r="E2161" t="s">
        <v>29</v>
      </c>
      <c r="F2161" t="s">
        <v>30</v>
      </c>
      <c r="G2161" t="s">
        <v>31</v>
      </c>
      <c r="J2161" t="s">
        <v>8652</v>
      </c>
      <c r="K2161" t="s">
        <v>1967</v>
      </c>
      <c r="L2161" t="s">
        <v>8623</v>
      </c>
      <c r="M2161" s="8">
        <v>0.495</v>
      </c>
      <c r="N2161">
        <v>145.23264029167</v>
      </c>
      <c r="O2161">
        <v>1952</v>
      </c>
      <c r="P2161" s="9">
        <v>0.309</v>
      </c>
      <c r="Q2161" t="s">
        <v>1783</v>
      </c>
      <c r="T2161" s="15" t="s">
        <v>54</v>
      </c>
      <c r="W2161" s="16" t="str">
        <f t="shared" si="170"/>
        <v>EN_WON_31_c04_TZA</v>
      </c>
      <c r="X2161" s="12">
        <f t="shared" si="171"/>
        <v>1952</v>
      </c>
      <c r="Y2161" s="11">
        <f t="shared" si="172"/>
        <v>1952</v>
      </c>
    </row>
    <row r="2162" spans="2:25">
      <c r="B2162" t="s">
        <v>26</v>
      </c>
      <c r="C2162" t="s">
        <v>8654</v>
      </c>
      <c r="D2162" t="s">
        <v>8655</v>
      </c>
      <c r="E2162" t="s">
        <v>29</v>
      </c>
      <c r="F2162" t="s">
        <v>30</v>
      </c>
      <c r="G2162" t="s">
        <v>31</v>
      </c>
      <c r="J2162" t="s">
        <v>8654</v>
      </c>
      <c r="K2162" t="s">
        <v>1967</v>
      </c>
      <c r="L2162" t="s">
        <v>8623</v>
      </c>
      <c r="M2162" s="8">
        <v>0.5535</v>
      </c>
      <c r="N2162">
        <v>105.747516212372</v>
      </c>
      <c r="O2162">
        <v>1952</v>
      </c>
      <c r="P2162" s="9">
        <v>0.319</v>
      </c>
      <c r="Q2162" t="s">
        <v>1783</v>
      </c>
      <c r="T2162" s="15" t="s">
        <v>54</v>
      </c>
      <c r="W2162" s="16" t="str">
        <f t="shared" si="170"/>
        <v>EN_WON_32_c03_TZA</v>
      </c>
      <c r="X2162" s="12">
        <f t="shared" si="171"/>
        <v>1952</v>
      </c>
      <c r="Y2162" s="11">
        <f t="shared" si="172"/>
        <v>1952</v>
      </c>
    </row>
    <row r="2163" spans="2:25">
      <c r="B2163" t="s">
        <v>26</v>
      </c>
      <c r="C2163" t="s">
        <v>8656</v>
      </c>
      <c r="D2163" t="s">
        <v>8657</v>
      </c>
      <c r="E2163" t="s">
        <v>29</v>
      </c>
      <c r="F2163" t="s">
        <v>30</v>
      </c>
      <c r="G2163" t="s">
        <v>31</v>
      </c>
      <c r="J2163" t="s">
        <v>8656</v>
      </c>
      <c r="K2163" t="s">
        <v>1967</v>
      </c>
      <c r="L2163" t="s">
        <v>8623</v>
      </c>
      <c r="M2163" s="8">
        <v>0.54525</v>
      </c>
      <c r="N2163">
        <v>145.23264029167</v>
      </c>
      <c r="O2163">
        <v>1952</v>
      </c>
      <c r="P2163" s="9">
        <v>0.317</v>
      </c>
      <c r="Q2163" t="s">
        <v>1783</v>
      </c>
      <c r="T2163" s="15" t="s">
        <v>54</v>
      </c>
      <c r="W2163" s="16" t="str">
        <f t="shared" si="170"/>
        <v>EN_WON_32_c04_TZA</v>
      </c>
      <c r="X2163" s="12">
        <f t="shared" si="171"/>
        <v>1952</v>
      </c>
      <c r="Y2163" s="11">
        <f t="shared" si="172"/>
        <v>1952</v>
      </c>
    </row>
    <row r="2164" spans="2:25">
      <c r="B2164" t="s">
        <v>26</v>
      </c>
      <c r="C2164" t="s">
        <v>8658</v>
      </c>
      <c r="D2164" t="s">
        <v>8659</v>
      </c>
      <c r="E2164" t="s">
        <v>29</v>
      </c>
      <c r="F2164" t="s">
        <v>30</v>
      </c>
      <c r="G2164" t="s">
        <v>31</v>
      </c>
      <c r="J2164" t="s">
        <v>8658</v>
      </c>
      <c r="K2164" t="s">
        <v>1967</v>
      </c>
      <c r="L2164" t="s">
        <v>8623</v>
      </c>
      <c r="M2164" s="8">
        <v>0.72675</v>
      </c>
      <c r="N2164">
        <v>80.7856561622413</v>
      </c>
      <c r="O2164">
        <v>1952</v>
      </c>
      <c r="P2164" s="9">
        <v>0.334</v>
      </c>
      <c r="Q2164" t="s">
        <v>1783</v>
      </c>
      <c r="T2164" s="15" t="s">
        <v>54</v>
      </c>
      <c r="W2164" s="16" t="str">
        <f t="shared" si="170"/>
        <v>EN_WON_33_c02_TZA</v>
      </c>
      <c r="X2164" s="12">
        <f t="shared" si="171"/>
        <v>1952</v>
      </c>
      <c r="Y2164" s="11">
        <f t="shared" si="172"/>
        <v>1952</v>
      </c>
    </row>
    <row r="2165" spans="2:25">
      <c r="B2165" t="s">
        <v>26</v>
      </c>
      <c r="C2165" t="s">
        <v>8660</v>
      </c>
      <c r="D2165" t="s">
        <v>8661</v>
      </c>
      <c r="E2165" t="s">
        <v>29</v>
      </c>
      <c r="F2165" t="s">
        <v>30</v>
      </c>
      <c r="G2165" t="s">
        <v>31</v>
      </c>
      <c r="J2165" t="s">
        <v>8660</v>
      </c>
      <c r="K2165" t="s">
        <v>1967</v>
      </c>
      <c r="L2165" t="s">
        <v>8623</v>
      </c>
      <c r="M2165" s="8">
        <v>0.33075</v>
      </c>
      <c r="N2165">
        <v>105.747516212372</v>
      </c>
      <c r="O2165">
        <v>1952</v>
      </c>
      <c r="P2165" s="9">
        <v>0.326</v>
      </c>
      <c r="Q2165" t="s">
        <v>1783</v>
      </c>
      <c r="T2165" s="15" t="s">
        <v>54</v>
      </c>
      <c r="W2165" s="16" t="str">
        <f t="shared" si="170"/>
        <v>EN_WON_33_c03_TZA</v>
      </c>
      <c r="X2165" s="12">
        <f t="shared" si="171"/>
        <v>1952</v>
      </c>
      <c r="Y2165" s="11">
        <f t="shared" si="172"/>
        <v>1952</v>
      </c>
    </row>
    <row r="2166" spans="2:25">
      <c r="B2166" t="s">
        <v>26</v>
      </c>
      <c r="C2166" t="s">
        <v>8662</v>
      </c>
      <c r="D2166" t="s">
        <v>8663</v>
      </c>
      <c r="E2166" t="s">
        <v>29</v>
      </c>
      <c r="F2166" t="s">
        <v>30</v>
      </c>
      <c r="G2166" t="s">
        <v>31</v>
      </c>
      <c r="J2166" t="s">
        <v>8662</v>
      </c>
      <c r="K2166" t="s">
        <v>1967</v>
      </c>
      <c r="L2166" t="s">
        <v>8623</v>
      </c>
      <c r="M2166" s="8">
        <v>1.8075</v>
      </c>
      <c r="N2166">
        <v>145.23264029167</v>
      </c>
      <c r="O2166">
        <v>1952</v>
      </c>
      <c r="P2166" s="9">
        <v>0.331</v>
      </c>
      <c r="Q2166" t="s">
        <v>1783</v>
      </c>
      <c r="T2166" s="15" t="s">
        <v>54</v>
      </c>
      <c r="W2166" s="16" t="str">
        <f t="shared" si="170"/>
        <v>EN_WON_33_c04_TZA</v>
      </c>
      <c r="X2166" s="12">
        <f t="shared" si="171"/>
        <v>1952</v>
      </c>
      <c r="Y2166" s="11">
        <f t="shared" si="172"/>
        <v>1952</v>
      </c>
    </row>
    <row r="2167" spans="2:25">
      <c r="B2167" t="s">
        <v>26</v>
      </c>
      <c r="C2167" t="s">
        <v>8664</v>
      </c>
      <c r="D2167" t="s">
        <v>8665</v>
      </c>
      <c r="E2167" t="s">
        <v>29</v>
      </c>
      <c r="F2167" t="s">
        <v>30</v>
      </c>
      <c r="G2167" t="s">
        <v>31</v>
      </c>
      <c r="J2167" t="s">
        <v>8664</v>
      </c>
      <c r="K2167" t="s">
        <v>1967</v>
      </c>
      <c r="L2167" t="s">
        <v>8623</v>
      </c>
      <c r="M2167" s="8">
        <v>0.74475</v>
      </c>
      <c r="N2167">
        <v>145.23264029167</v>
      </c>
      <c r="O2167">
        <v>1952</v>
      </c>
      <c r="P2167" s="9">
        <v>0.357</v>
      </c>
      <c r="Q2167" t="s">
        <v>1783</v>
      </c>
      <c r="T2167" s="15" t="s">
        <v>54</v>
      </c>
      <c r="W2167" s="16" t="str">
        <f t="shared" si="170"/>
        <v>EN_WON_36_c04_TZA</v>
      </c>
      <c r="X2167" s="12">
        <f t="shared" si="171"/>
        <v>1952</v>
      </c>
      <c r="Y2167" s="11">
        <f t="shared" si="172"/>
        <v>1952</v>
      </c>
    </row>
    <row r="2168" spans="2:25">
      <c r="B2168" t="s">
        <v>26</v>
      </c>
      <c r="C2168" t="s">
        <v>8666</v>
      </c>
      <c r="D2168" t="s">
        <v>8667</v>
      </c>
      <c r="E2168" t="s">
        <v>29</v>
      </c>
      <c r="F2168" t="s">
        <v>30</v>
      </c>
      <c r="G2168" t="s">
        <v>31</v>
      </c>
      <c r="J2168" t="s">
        <v>8666</v>
      </c>
      <c r="K2168" t="s">
        <v>1967</v>
      </c>
      <c r="L2168" t="s">
        <v>8623</v>
      </c>
      <c r="M2168" s="8">
        <v>1.2255</v>
      </c>
      <c r="N2168">
        <v>0</v>
      </c>
      <c r="O2168">
        <v>1952</v>
      </c>
      <c r="P2168" s="9">
        <v>0.368</v>
      </c>
      <c r="Q2168" t="s">
        <v>1783</v>
      </c>
      <c r="T2168" s="15" t="s">
        <v>54</v>
      </c>
      <c r="W2168" s="16" t="str">
        <f t="shared" si="170"/>
        <v>EN_WON_37_c01_TZA</v>
      </c>
      <c r="X2168" s="12">
        <f t="shared" si="171"/>
        <v>1952</v>
      </c>
      <c r="Y2168" s="11">
        <f t="shared" si="172"/>
        <v>1952</v>
      </c>
    </row>
    <row r="2169" spans="2:25">
      <c r="B2169" t="s">
        <v>26</v>
      </c>
      <c r="C2169" t="s">
        <v>8668</v>
      </c>
      <c r="D2169" t="s">
        <v>8669</v>
      </c>
      <c r="E2169" t="s">
        <v>29</v>
      </c>
      <c r="F2169" t="s">
        <v>30</v>
      </c>
      <c r="G2169" t="s">
        <v>31</v>
      </c>
      <c r="J2169" t="s">
        <v>8668</v>
      </c>
      <c r="K2169" t="s">
        <v>1967</v>
      </c>
      <c r="L2169" t="s">
        <v>8623</v>
      </c>
      <c r="M2169" s="8">
        <v>0.1365</v>
      </c>
      <c r="N2169">
        <v>145.23264029167</v>
      </c>
      <c r="O2169">
        <v>1952</v>
      </c>
      <c r="P2169" s="9">
        <v>0.365</v>
      </c>
      <c r="Q2169" t="s">
        <v>1783</v>
      </c>
      <c r="T2169" s="15" t="s">
        <v>54</v>
      </c>
      <c r="W2169" s="16" t="str">
        <f t="shared" si="170"/>
        <v>EN_WON_37_c04_TZA</v>
      </c>
      <c r="X2169" s="12">
        <f t="shared" si="171"/>
        <v>1952</v>
      </c>
      <c r="Y2169" s="11">
        <f t="shared" si="172"/>
        <v>1952</v>
      </c>
    </row>
    <row r="2170" spans="2:25">
      <c r="B2170" t="s">
        <v>26</v>
      </c>
      <c r="C2170" t="s">
        <v>8670</v>
      </c>
      <c r="D2170" t="s">
        <v>8671</v>
      </c>
      <c r="E2170" t="s">
        <v>29</v>
      </c>
      <c r="F2170" t="s">
        <v>30</v>
      </c>
      <c r="G2170" t="s">
        <v>31</v>
      </c>
      <c r="J2170" t="s">
        <v>8670</v>
      </c>
      <c r="K2170" t="s">
        <v>1967</v>
      </c>
      <c r="L2170" t="s">
        <v>8623</v>
      </c>
      <c r="M2170" s="8">
        <v>1.44225</v>
      </c>
      <c r="N2170">
        <v>145.23264029167</v>
      </c>
      <c r="O2170">
        <v>1952</v>
      </c>
      <c r="P2170" s="9">
        <v>0.379</v>
      </c>
      <c r="Q2170" t="s">
        <v>1783</v>
      </c>
      <c r="T2170" s="15" t="s">
        <v>54</v>
      </c>
      <c r="W2170" s="16" t="str">
        <f t="shared" si="170"/>
        <v>EN_WON_38_c04_TZA</v>
      </c>
      <c r="X2170" s="12">
        <f t="shared" si="171"/>
        <v>1952</v>
      </c>
      <c r="Y2170" s="11">
        <f t="shared" si="172"/>
        <v>1952</v>
      </c>
    </row>
    <row r="2171" spans="2:25">
      <c r="B2171" t="s">
        <v>26</v>
      </c>
      <c r="C2171" t="s">
        <v>8672</v>
      </c>
      <c r="D2171" t="s">
        <v>8673</v>
      </c>
      <c r="E2171" t="s">
        <v>29</v>
      </c>
      <c r="F2171" t="s">
        <v>30</v>
      </c>
      <c r="G2171" t="s">
        <v>31</v>
      </c>
      <c r="J2171" t="s">
        <v>8672</v>
      </c>
      <c r="K2171" t="s">
        <v>1967</v>
      </c>
      <c r="L2171" t="s">
        <v>8623</v>
      </c>
      <c r="M2171" s="8">
        <v>0.144</v>
      </c>
      <c r="N2171">
        <v>80.7856561622413</v>
      </c>
      <c r="O2171">
        <v>1952</v>
      </c>
      <c r="P2171" s="9">
        <v>0.412</v>
      </c>
      <c r="Q2171" t="s">
        <v>1783</v>
      </c>
      <c r="T2171" s="15" t="s">
        <v>54</v>
      </c>
      <c r="W2171" s="16" t="str">
        <f t="shared" si="170"/>
        <v>EN_WON_41_c02_TZA</v>
      </c>
      <c r="X2171" s="12">
        <f t="shared" si="171"/>
        <v>1952</v>
      </c>
      <c r="Y2171" s="11">
        <f t="shared" si="172"/>
        <v>1952</v>
      </c>
    </row>
    <row r="2172" spans="2:25">
      <c r="B2172" t="s">
        <v>26</v>
      </c>
      <c r="C2172" t="s">
        <v>8674</v>
      </c>
      <c r="D2172" t="s">
        <v>8675</v>
      </c>
      <c r="E2172" t="s">
        <v>29</v>
      </c>
      <c r="F2172" t="s">
        <v>30</v>
      </c>
      <c r="G2172" t="s">
        <v>31</v>
      </c>
      <c r="J2172" t="s">
        <v>8674</v>
      </c>
      <c r="K2172" t="s">
        <v>1967</v>
      </c>
      <c r="L2172" t="s">
        <v>8676</v>
      </c>
      <c r="M2172" s="8">
        <v>0.3765</v>
      </c>
      <c r="N2172">
        <v>105.747516212372</v>
      </c>
      <c r="O2172">
        <v>1952</v>
      </c>
      <c r="P2172" s="9">
        <v>0.153880478087649</v>
      </c>
      <c r="Q2172" t="s">
        <v>1791</v>
      </c>
      <c r="T2172" s="15" t="s">
        <v>54</v>
      </c>
      <c r="W2172" s="16" t="str">
        <f t="shared" si="170"/>
        <v>EN_WON_15_c03_UGA</v>
      </c>
      <c r="X2172" s="12">
        <f t="shared" si="171"/>
        <v>1952</v>
      </c>
      <c r="Y2172" s="11">
        <f t="shared" si="172"/>
        <v>1952</v>
      </c>
    </row>
    <row r="2173" spans="2:25">
      <c r="B2173" t="s">
        <v>26</v>
      </c>
      <c r="C2173" t="s">
        <v>8677</v>
      </c>
      <c r="D2173" t="s">
        <v>8678</v>
      </c>
      <c r="E2173" t="s">
        <v>29</v>
      </c>
      <c r="F2173" t="s">
        <v>30</v>
      </c>
      <c r="G2173" t="s">
        <v>31</v>
      </c>
      <c r="J2173" t="s">
        <v>8677</v>
      </c>
      <c r="K2173" t="s">
        <v>1967</v>
      </c>
      <c r="L2173" t="s">
        <v>8676</v>
      </c>
      <c r="M2173" s="8">
        <v>0.0105</v>
      </c>
      <c r="N2173">
        <v>80.7856561622413</v>
      </c>
      <c r="O2173">
        <v>1952</v>
      </c>
      <c r="P2173" s="9">
        <v>0.164</v>
      </c>
      <c r="Q2173" t="s">
        <v>1791</v>
      </c>
      <c r="T2173" s="15" t="s">
        <v>54</v>
      </c>
      <c r="W2173" s="16" t="str">
        <f t="shared" si="170"/>
        <v>EN_WON_16_c02_UGA</v>
      </c>
      <c r="X2173" s="12">
        <f t="shared" si="171"/>
        <v>1952</v>
      </c>
      <c r="Y2173" s="11">
        <f t="shared" si="172"/>
        <v>1952</v>
      </c>
    </row>
    <row r="2174" spans="2:25">
      <c r="B2174" t="s">
        <v>26</v>
      </c>
      <c r="C2174" t="s">
        <v>8679</v>
      </c>
      <c r="D2174" t="s">
        <v>8680</v>
      </c>
      <c r="E2174" t="s">
        <v>29</v>
      </c>
      <c r="F2174" t="s">
        <v>30</v>
      </c>
      <c r="G2174" t="s">
        <v>31</v>
      </c>
      <c r="J2174" t="s">
        <v>8679</v>
      </c>
      <c r="K2174" t="s">
        <v>1967</v>
      </c>
      <c r="L2174" t="s">
        <v>8676</v>
      </c>
      <c r="M2174" s="8">
        <v>2.62125</v>
      </c>
      <c r="N2174">
        <v>105.747516212372</v>
      </c>
      <c r="O2174">
        <v>1952</v>
      </c>
      <c r="P2174" s="9">
        <v>0.158211731044349</v>
      </c>
      <c r="Q2174" t="s">
        <v>1791</v>
      </c>
      <c r="T2174" s="15" t="s">
        <v>54</v>
      </c>
      <c r="W2174" s="16" t="str">
        <f t="shared" si="170"/>
        <v>EN_WON_16_c03_UGA</v>
      </c>
      <c r="X2174" s="12">
        <f t="shared" si="171"/>
        <v>1952</v>
      </c>
      <c r="Y2174" s="11">
        <f t="shared" si="172"/>
        <v>1952</v>
      </c>
    </row>
    <row r="2175" spans="2:25">
      <c r="B2175" t="s">
        <v>26</v>
      </c>
      <c r="C2175" t="s">
        <v>8681</v>
      </c>
      <c r="D2175" t="s">
        <v>8682</v>
      </c>
      <c r="E2175" t="s">
        <v>29</v>
      </c>
      <c r="F2175" t="s">
        <v>30</v>
      </c>
      <c r="G2175" t="s">
        <v>31</v>
      </c>
      <c r="J2175" t="s">
        <v>8681</v>
      </c>
      <c r="K2175" t="s">
        <v>1967</v>
      </c>
      <c r="L2175" t="s">
        <v>8676</v>
      </c>
      <c r="M2175" s="8">
        <v>0.21975</v>
      </c>
      <c r="N2175">
        <v>145.23264029167</v>
      </c>
      <c r="O2175">
        <v>1952</v>
      </c>
      <c r="P2175" s="9">
        <v>0.161</v>
      </c>
      <c r="Q2175" t="s">
        <v>1791</v>
      </c>
      <c r="T2175" s="15" t="s">
        <v>54</v>
      </c>
      <c r="W2175" s="16" t="str">
        <f t="shared" si="170"/>
        <v>EN_WON_16_c04_UGA</v>
      </c>
      <c r="X2175" s="12">
        <f t="shared" si="171"/>
        <v>1952</v>
      </c>
      <c r="Y2175" s="11">
        <f t="shared" si="172"/>
        <v>1952</v>
      </c>
    </row>
    <row r="2176" spans="2:25">
      <c r="B2176" t="s">
        <v>26</v>
      </c>
      <c r="C2176" t="s">
        <v>8683</v>
      </c>
      <c r="D2176" t="s">
        <v>8684</v>
      </c>
      <c r="E2176" t="s">
        <v>29</v>
      </c>
      <c r="F2176" t="s">
        <v>30</v>
      </c>
      <c r="G2176" t="s">
        <v>31</v>
      </c>
      <c r="J2176" t="s">
        <v>8683</v>
      </c>
      <c r="K2176" t="s">
        <v>1967</v>
      </c>
      <c r="L2176" t="s">
        <v>8676</v>
      </c>
      <c r="M2176" s="8">
        <v>0.1665</v>
      </c>
      <c r="N2176">
        <v>145.23264029167</v>
      </c>
      <c r="O2176">
        <v>1952</v>
      </c>
      <c r="P2176" s="9">
        <v>0.171</v>
      </c>
      <c r="Q2176" t="s">
        <v>1791</v>
      </c>
      <c r="T2176" s="15" t="s">
        <v>54</v>
      </c>
      <c r="W2176" s="16" t="str">
        <f t="shared" si="170"/>
        <v>EN_WON_17_c04_UGA</v>
      </c>
      <c r="X2176" s="12">
        <f t="shared" si="171"/>
        <v>1952</v>
      </c>
      <c r="Y2176" s="11">
        <f t="shared" si="172"/>
        <v>1952</v>
      </c>
    </row>
    <row r="2177" spans="2:25">
      <c r="B2177" t="s">
        <v>26</v>
      </c>
      <c r="C2177" t="s">
        <v>8685</v>
      </c>
      <c r="D2177" t="s">
        <v>8686</v>
      </c>
      <c r="E2177" t="s">
        <v>29</v>
      </c>
      <c r="F2177" t="s">
        <v>30</v>
      </c>
      <c r="G2177" t="s">
        <v>31</v>
      </c>
      <c r="J2177" t="s">
        <v>8685</v>
      </c>
      <c r="K2177" t="s">
        <v>1967</v>
      </c>
      <c r="L2177" t="s">
        <v>8676</v>
      </c>
      <c r="M2177" s="8">
        <v>0.588</v>
      </c>
      <c r="N2177">
        <v>105.747516212372</v>
      </c>
      <c r="O2177">
        <v>1952</v>
      </c>
      <c r="P2177" s="9">
        <v>0.177</v>
      </c>
      <c r="Q2177" t="s">
        <v>1791</v>
      </c>
      <c r="T2177" s="15" t="s">
        <v>54</v>
      </c>
      <c r="W2177" s="16" t="str">
        <f t="shared" si="170"/>
        <v>EN_WON_18_c03_UGA</v>
      </c>
      <c r="X2177" s="12">
        <f t="shared" si="171"/>
        <v>1952</v>
      </c>
      <c r="Y2177" s="11">
        <f t="shared" si="172"/>
        <v>1952</v>
      </c>
    </row>
    <row r="2178" spans="2:25">
      <c r="B2178" t="s">
        <v>26</v>
      </c>
      <c r="C2178" t="s">
        <v>8687</v>
      </c>
      <c r="D2178" t="s">
        <v>8688</v>
      </c>
      <c r="E2178" t="s">
        <v>29</v>
      </c>
      <c r="F2178" t="s">
        <v>30</v>
      </c>
      <c r="G2178" t="s">
        <v>31</v>
      </c>
      <c r="J2178" t="s">
        <v>8687</v>
      </c>
      <c r="K2178" t="s">
        <v>1967</v>
      </c>
      <c r="L2178" t="s">
        <v>8676</v>
      </c>
      <c r="M2178" s="8">
        <v>1.047</v>
      </c>
      <c r="N2178">
        <v>145.23264029167</v>
      </c>
      <c r="O2178">
        <v>1952</v>
      </c>
      <c r="P2178" s="9">
        <v>0.185158309455587</v>
      </c>
      <c r="Q2178" t="s">
        <v>1791</v>
      </c>
      <c r="T2178" s="15" t="s">
        <v>54</v>
      </c>
      <c r="W2178" s="16" t="str">
        <f t="shared" si="170"/>
        <v>EN_WON_19_c04_UGA</v>
      </c>
      <c r="X2178" s="12">
        <f t="shared" si="171"/>
        <v>1952</v>
      </c>
      <c r="Y2178" s="11">
        <f t="shared" si="172"/>
        <v>1952</v>
      </c>
    </row>
    <row r="2179" spans="2:25">
      <c r="B2179" t="s">
        <v>26</v>
      </c>
      <c r="C2179" t="s">
        <v>8689</v>
      </c>
      <c r="D2179" t="s">
        <v>8690</v>
      </c>
      <c r="E2179" t="s">
        <v>29</v>
      </c>
      <c r="F2179" t="s">
        <v>30</v>
      </c>
      <c r="G2179" t="s">
        <v>31</v>
      </c>
      <c r="J2179" t="s">
        <v>8689</v>
      </c>
      <c r="K2179" t="s">
        <v>1967</v>
      </c>
      <c r="L2179" t="s">
        <v>8676</v>
      </c>
      <c r="M2179" s="8">
        <v>0.66375</v>
      </c>
      <c r="N2179">
        <v>145.23264029167</v>
      </c>
      <c r="O2179">
        <v>1952</v>
      </c>
      <c r="P2179" s="9">
        <v>0.205</v>
      </c>
      <c r="Q2179" t="s">
        <v>1791</v>
      </c>
      <c r="T2179" s="15" t="s">
        <v>54</v>
      </c>
      <c r="W2179" s="16" t="str">
        <f t="shared" si="170"/>
        <v>EN_WON_21_c04_UGA</v>
      </c>
      <c r="X2179" s="12">
        <f t="shared" si="171"/>
        <v>1952</v>
      </c>
      <c r="Y2179" s="11">
        <f t="shared" si="172"/>
        <v>1952</v>
      </c>
    </row>
    <row r="2180" spans="2:25">
      <c r="B2180" t="s">
        <v>26</v>
      </c>
      <c r="C2180" t="s">
        <v>8691</v>
      </c>
      <c r="D2180" t="s">
        <v>8692</v>
      </c>
      <c r="E2180" t="s">
        <v>29</v>
      </c>
      <c r="F2180" t="s">
        <v>30</v>
      </c>
      <c r="G2180" t="s">
        <v>31</v>
      </c>
      <c r="J2180" t="s">
        <v>8691</v>
      </c>
      <c r="K2180" t="s">
        <v>1967</v>
      </c>
      <c r="L2180" t="s">
        <v>5953</v>
      </c>
      <c r="M2180" s="8">
        <v>96.033</v>
      </c>
      <c r="N2180">
        <v>0</v>
      </c>
      <c r="O2180">
        <v>2086</v>
      </c>
      <c r="P2180" s="9">
        <v>0.328293695917029</v>
      </c>
      <c r="Q2180" t="s">
        <v>1799</v>
      </c>
      <c r="T2180" s="15" t="s">
        <v>112</v>
      </c>
      <c r="W2180" s="16" t="str">
        <f t="shared" si="170"/>
        <v>EN_WON_33_c01_UKR</v>
      </c>
      <c r="X2180" s="12">
        <f t="shared" si="171"/>
        <v>2086</v>
      </c>
      <c r="Y2180" s="11">
        <f t="shared" si="172"/>
        <v>2086</v>
      </c>
    </row>
    <row r="2181" spans="2:25">
      <c r="B2181" t="s">
        <v>26</v>
      </c>
      <c r="C2181" t="s">
        <v>8693</v>
      </c>
      <c r="D2181" t="s">
        <v>8694</v>
      </c>
      <c r="E2181" t="s">
        <v>29</v>
      </c>
      <c r="F2181" t="s">
        <v>30</v>
      </c>
      <c r="G2181" t="s">
        <v>31</v>
      </c>
      <c r="J2181" t="s">
        <v>8693</v>
      </c>
      <c r="K2181" t="s">
        <v>1967</v>
      </c>
      <c r="L2181" t="s">
        <v>5953</v>
      </c>
      <c r="M2181" s="8">
        <v>27.08025</v>
      </c>
      <c r="N2181">
        <v>0</v>
      </c>
      <c r="O2181">
        <v>2086</v>
      </c>
      <c r="P2181" s="9">
        <v>0.337066995319467</v>
      </c>
      <c r="Q2181" t="s">
        <v>1799</v>
      </c>
      <c r="T2181" s="15" t="s">
        <v>112</v>
      </c>
      <c r="W2181" s="16" t="str">
        <f t="shared" si="170"/>
        <v>EN_WON_34_c01_UKR</v>
      </c>
      <c r="X2181" s="12">
        <f t="shared" si="171"/>
        <v>2086</v>
      </c>
      <c r="Y2181" s="11">
        <f t="shared" si="172"/>
        <v>2086</v>
      </c>
    </row>
    <row r="2182" spans="2:25">
      <c r="B2182" t="s">
        <v>26</v>
      </c>
      <c r="C2182" t="s">
        <v>8695</v>
      </c>
      <c r="D2182" t="s">
        <v>8696</v>
      </c>
      <c r="E2182" t="s">
        <v>29</v>
      </c>
      <c r="F2182" t="s">
        <v>30</v>
      </c>
      <c r="G2182" t="s">
        <v>31</v>
      </c>
      <c r="J2182" t="s">
        <v>8695</v>
      </c>
      <c r="K2182" t="s">
        <v>1967</v>
      </c>
      <c r="L2182" t="s">
        <v>5953</v>
      </c>
      <c r="M2182" s="8">
        <v>3.23175</v>
      </c>
      <c r="N2182">
        <v>0</v>
      </c>
      <c r="O2182">
        <v>2086</v>
      </c>
      <c r="P2182" s="9">
        <v>0.348029009050824</v>
      </c>
      <c r="Q2182" t="s">
        <v>1799</v>
      </c>
      <c r="T2182" s="15" t="s">
        <v>112</v>
      </c>
      <c r="W2182" s="16" t="str">
        <f t="shared" ref="W2182:W2245" si="173">J2182</f>
        <v>EN_WON_35_c01_UKR</v>
      </c>
      <c r="X2182" s="12">
        <f t="shared" ref="X2182:X2245" si="174">O2182</f>
        <v>2086</v>
      </c>
      <c r="Y2182" s="11">
        <f t="shared" ref="Y2182:Y2245" si="175">X2182</f>
        <v>2086</v>
      </c>
    </row>
    <row r="2183" spans="2:25">
      <c r="B2183" t="s">
        <v>26</v>
      </c>
      <c r="C2183" t="s">
        <v>8697</v>
      </c>
      <c r="D2183" t="s">
        <v>8698</v>
      </c>
      <c r="E2183" t="s">
        <v>29</v>
      </c>
      <c r="F2183" t="s">
        <v>30</v>
      </c>
      <c r="G2183" t="s">
        <v>31</v>
      </c>
      <c r="J2183" t="s">
        <v>8697</v>
      </c>
      <c r="K2183" t="s">
        <v>1967</v>
      </c>
      <c r="L2183" t="s">
        <v>5974</v>
      </c>
      <c r="M2183" s="8">
        <v>25.14975</v>
      </c>
      <c r="N2183">
        <v>0</v>
      </c>
      <c r="O2183">
        <v>1575</v>
      </c>
      <c r="P2183" s="9">
        <v>0.368007067664689</v>
      </c>
      <c r="Q2183" t="s">
        <v>1805</v>
      </c>
      <c r="T2183" s="15" t="s">
        <v>89</v>
      </c>
      <c r="W2183" s="16" t="str">
        <f t="shared" si="173"/>
        <v>EN_WON_37_c01_URY</v>
      </c>
      <c r="X2183" s="12">
        <f t="shared" si="174"/>
        <v>1575</v>
      </c>
      <c r="Y2183" s="11">
        <f t="shared" si="175"/>
        <v>1575</v>
      </c>
    </row>
    <row r="2184" spans="2:25">
      <c r="B2184" t="s">
        <v>26</v>
      </c>
      <c r="C2184" t="s">
        <v>8699</v>
      </c>
      <c r="D2184" t="s">
        <v>8700</v>
      </c>
      <c r="E2184" t="s">
        <v>29</v>
      </c>
      <c r="F2184" t="s">
        <v>30</v>
      </c>
      <c r="G2184" t="s">
        <v>31</v>
      </c>
      <c r="J2184" t="s">
        <v>8699</v>
      </c>
      <c r="K2184" t="s">
        <v>1967</v>
      </c>
      <c r="L2184" t="s">
        <v>5974</v>
      </c>
      <c r="M2184" s="8">
        <v>5.19975</v>
      </c>
      <c r="N2184">
        <v>0</v>
      </c>
      <c r="O2184">
        <v>1575</v>
      </c>
      <c r="P2184" s="9">
        <v>0.379</v>
      </c>
      <c r="Q2184" t="s">
        <v>1805</v>
      </c>
      <c r="T2184" s="15" t="s">
        <v>89</v>
      </c>
      <c r="W2184" s="16" t="str">
        <f t="shared" si="173"/>
        <v>EN_WON_38_c01_URY</v>
      </c>
      <c r="X2184" s="12">
        <f t="shared" si="174"/>
        <v>1575</v>
      </c>
      <c r="Y2184" s="11">
        <f t="shared" si="175"/>
        <v>1575</v>
      </c>
    </row>
    <row r="2185" spans="2:25">
      <c r="B2185" t="s">
        <v>26</v>
      </c>
      <c r="C2185" t="s">
        <v>8701</v>
      </c>
      <c r="D2185" t="s">
        <v>8702</v>
      </c>
      <c r="E2185" t="s">
        <v>29</v>
      </c>
      <c r="F2185" t="s">
        <v>30</v>
      </c>
      <c r="G2185" t="s">
        <v>31</v>
      </c>
      <c r="J2185" t="s">
        <v>8701</v>
      </c>
      <c r="K2185" t="s">
        <v>1967</v>
      </c>
      <c r="L2185" t="s">
        <v>5974</v>
      </c>
      <c r="M2185" s="8">
        <v>0.02625</v>
      </c>
      <c r="N2185">
        <v>0</v>
      </c>
      <c r="O2185">
        <v>1575</v>
      </c>
      <c r="P2185" s="9">
        <v>0.4</v>
      </c>
      <c r="Q2185" t="s">
        <v>1805</v>
      </c>
      <c r="T2185" s="15" t="s">
        <v>89</v>
      </c>
      <c r="W2185" s="16" t="str">
        <f t="shared" si="173"/>
        <v>EN_WON_40_c01_URY</v>
      </c>
      <c r="X2185" s="12">
        <f t="shared" si="174"/>
        <v>1575</v>
      </c>
      <c r="Y2185" s="11">
        <f t="shared" si="175"/>
        <v>1575</v>
      </c>
    </row>
    <row r="2186" spans="2:25">
      <c r="B2186" t="s">
        <v>26</v>
      </c>
      <c r="C2186" t="s">
        <v>8703</v>
      </c>
      <c r="D2186" t="s">
        <v>8704</v>
      </c>
      <c r="E2186" t="s">
        <v>29</v>
      </c>
      <c r="F2186" t="s">
        <v>30</v>
      </c>
      <c r="G2186" t="s">
        <v>31</v>
      </c>
      <c r="J2186" t="s">
        <v>8703</v>
      </c>
      <c r="K2186" t="s">
        <v>1967</v>
      </c>
      <c r="L2186" t="s">
        <v>6016</v>
      </c>
      <c r="M2186" s="8">
        <v>102.71775</v>
      </c>
      <c r="N2186">
        <v>80.7856561622413</v>
      </c>
      <c r="O2186">
        <v>1553</v>
      </c>
      <c r="P2186" s="9">
        <v>0.20862218798601</v>
      </c>
      <c r="Q2186" t="s">
        <v>119</v>
      </c>
      <c r="T2186" s="15" t="s">
        <v>119</v>
      </c>
      <c r="W2186" s="16" t="str">
        <f t="shared" si="173"/>
        <v>EN_WON_21_c02_USA</v>
      </c>
      <c r="X2186" s="12">
        <f t="shared" si="174"/>
        <v>1553</v>
      </c>
      <c r="Y2186" s="11">
        <f t="shared" si="175"/>
        <v>1553</v>
      </c>
    </row>
    <row r="2187" spans="2:25">
      <c r="B2187" t="s">
        <v>26</v>
      </c>
      <c r="C2187" t="s">
        <v>8705</v>
      </c>
      <c r="D2187" t="s">
        <v>8706</v>
      </c>
      <c r="E2187" t="s">
        <v>29</v>
      </c>
      <c r="F2187" t="s">
        <v>30</v>
      </c>
      <c r="G2187" t="s">
        <v>31</v>
      </c>
      <c r="J2187" t="s">
        <v>8705</v>
      </c>
      <c r="K2187" t="s">
        <v>1967</v>
      </c>
      <c r="L2187" t="s">
        <v>6016</v>
      </c>
      <c r="M2187" s="8">
        <v>207.5715</v>
      </c>
      <c r="N2187">
        <v>105.747516212372</v>
      </c>
      <c r="O2187">
        <v>1553</v>
      </c>
      <c r="P2187" s="9">
        <v>0.20946704027287</v>
      </c>
      <c r="Q2187" t="s">
        <v>119</v>
      </c>
      <c r="T2187" s="15" t="s">
        <v>119</v>
      </c>
      <c r="W2187" s="16" t="str">
        <f t="shared" si="173"/>
        <v>EN_WON_21_c03_USA</v>
      </c>
      <c r="X2187" s="12">
        <f t="shared" si="174"/>
        <v>1553</v>
      </c>
      <c r="Y2187" s="11">
        <f t="shared" si="175"/>
        <v>1553</v>
      </c>
    </row>
    <row r="2188" spans="2:25">
      <c r="B2188" t="s">
        <v>26</v>
      </c>
      <c r="C2188" t="s">
        <v>8707</v>
      </c>
      <c r="D2188" t="s">
        <v>8708</v>
      </c>
      <c r="E2188" t="s">
        <v>29</v>
      </c>
      <c r="F2188" t="s">
        <v>30</v>
      </c>
      <c r="G2188" t="s">
        <v>31</v>
      </c>
      <c r="J2188" t="s">
        <v>8707</v>
      </c>
      <c r="K2188" t="s">
        <v>1967</v>
      </c>
      <c r="L2188" t="s">
        <v>6016</v>
      </c>
      <c r="M2188" s="8">
        <v>3.8895</v>
      </c>
      <c r="N2188">
        <v>0</v>
      </c>
      <c r="O2188">
        <v>1553</v>
      </c>
      <c r="P2188" s="9">
        <v>0.222250674893945</v>
      </c>
      <c r="Q2188" t="s">
        <v>119</v>
      </c>
      <c r="T2188" s="15" t="s">
        <v>119</v>
      </c>
      <c r="W2188" s="16" t="str">
        <f t="shared" si="173"/>
        <v>EN_WON_22_c01_USA</v>
      </c>
      <c r="X2188" s="12">
        <f t="shared" si="174"/>
        <v>1553</v>
      </c>
      <c r="Y2188" s="11">
        <f t="shared" si="175"/>
        <v>1553</v>
      </c>
    </row>
    <row r="2189" spans="2:25">
      <c r="B2189" t="s">
        <v>26</v>
      </c>
      <c r="C2189" t="s">
        <v>8709</v>
      </c>
      <c r="D2189" t="s">
        <v>8710</v>
      </c>
      <c r="E2189" t="s">
        <v>29</v>
      </c>
      <c r="F2189" t="s">
        <v>30</v>
      </c>
      <c r="G2189" t="s">
        <v>31</v>
      </c>
      <c r="J2189" t="s">
        <v>8709</v>
      </c>
      <c r="K2189" t="s">
        <v>1967</v>
      </c>
      <c r="L2189" t="s">
        <v>6016</v>
      </c>
      <c r="M2189" s="8">
        <v>96.49725</v>
      </c>
      <c r="N2189">
        <v>80.7856561622413</v>
      </c>
      <c r="O2189">
        <v>1553</v>
      </c>
      <c r="P2189" s="9">
        <v>0.21984874439427</v>
      </c>
      <c r="Q2189" t="s">
        <v>119</v>
      </c>
      <c r="T2189" s="15" t="s">
        <v>119</v>
      </c>
      <c r="W2189" s="16" t="str">
        <f t="shared" si="173"/>
        <v>EN_WON_22_c02_USA</v>
      </c>
      <c r="X2189" s="12">
        <f t="shared" si="174"/>
        <v>1553</v>
      </c>
      <c r="Y2189" s="11">
        <f t="shared" si="175"/>
        <v>1553</v>
      </c>
    </row>
    <row r="2190" spans="2:25">
      <c r="B2190" t="s">
        <v>26</v>
      </c>
      <c r="C2190" t="s">
        <v>8711</v>
      </c>
      <c r="D2190" t="s">
        <v>8712</v>
      </c>
      <c r="E2190" t="s">
        <v>29</v>
      </c>
      <c r="F2190" t="s">
        <v>30</v>
      </c>
      <c r="G2190" t="s">
        <v>31</v>
      </c>
      <c r="J2190" t="s">
        <v>8711</v>
      </c>
      <c r="K2190" t="s">
        <v>1967</v>
      </c>
      <c r="L2190" t="s">
        <v>6016</v>
      </c>
      <c r="M2190" s="8">
        <v>165.372</v>
      </c>
      <c r="N2190">
        <v>105.747516212372</v>
      </c>
      <c r="O2190">
        <v>1553</v>
      </c>
      <c r="P2190" s="9">
        <v>0.218639118169944</v>
      </c>
      <c r="Q2190" t="s">
        <v>119</v>
      </c>
      <c r="T2190" s="15" t="s">
        <v>119</v>
      </c>
      <c r="W2190" s="16" t="str">
        <f t="shared" si="173"/>
        <v>EN_WON_22_c03_USA</v>
      </c>
      <c r="X2190" s="12">
        <f t="shared" si="174"/>
        <v>1553</v>
      </c>
      <c r="Y2190" s="11">
        <f t="shared" si="175"/>
        <v>1553</v>
      </c>
    </row>
    <row r="2191" spans="2:25">
      <c r="B2191" t="s">
        <v>26</v>
      </c>
      <c r="C2191" t="s">
        <v>8713</v>
      </c>
      <c r="D2191" t="s">
        <v>8714</v>
      </c>
      <c r="E2191" t="s">
        <v>29</v>
      </c>
      <c r="F2191" t="s">
        <v>30</v>
      </c>
      <c r="G2191" t="s">
        <v>31</v>
      </c>
      <c r="J2191" t="s">
        <v>8713</v>
      </c>
      <c r="K2191" t="s">
        <v>1967</v>
      </c>
      <c r="L2191" t="s">
        <v>6016</v>
      </c>
      <c r="M2191" s="8">
        <v>6.93225</v>
      </c>
      <c r="N2191">
        <v>145.23264029167</v>
      </c>
      <c r="O2191">
        <v>1553</v>
      </c>
      <c r="P2191" s="9">
        <v>0.221144758195391</v>
      </c>
      <c r="Q2191" t="s">
        <v>119</v>
      </c>
      <c r="T2191" s="15" t="s">
        <v>119</v>
      </c>
      <c r="W2191" s="16" t="str">
        <f t="shared" si="173"/>
        <v>EN_WON_22_c04_USA</v>
      </c>
      <c r="X2191" s="12">
        <f t="shared" si="174"/>
        <v>1553</v>
      </c>
      <c r="Y2191" s="11">
        <f t="shared" si="175"/>
        <v>1553</v>
      </c>
    </row>
    <row r="2192" spans="2:25">
      <c r="B2192" t="s">
        <v>26</v>
      </c>
      <c r="C2192" t="s">
        <v>8715</v>
      </c>
      <c r="D2192" t="s">
        <v>8716</v>
      </c>
      <c r="E2192" t="s">
        <v>29</v>
      </c>
      <c r="F2192" t="s">
        <v>30</v>
      </c>
      <c r="G2192" t="s">
        <v>31</v>
      </c>
      <c r="J2192" t="s">
        <v>8715</v>
      </c>
      <c r="K2192" t="s">
        <v>1967</v>
      </c>
      <c r="L2192" t="s">
        <v>6016</v>
      </c>
      <c r="M2192" s="8">
        <v>7.67025</v>
      </c>
      <c r="N2192">
        <v>0</v>
      </c>
      <c r="O2192">
        <v>1553</v>
      </c>
      <c r="P2192" s="9">
        <v>0.229386330302141</v>
      </c>
      <c r="Q2192" t="s">
        <v>119</v>
      </c>
      <c r="T2192" s="15" t="s">
        <v>119</v>
      </c>
      <c r="W2192" s="16" t="str">
        <f t="shared" si="173"/>
        <v>EN_WON_23_c01_USA</v>
      </c>
      <c r="X2192" s="12">
        <f t="shared" si="174"/>
        <v>1553</v>
      </c>
      <c r="Y2192" s="11">
        <f t="shared" si="175"/>
        <v>1553</v>
      </c>
    </row>
    <row r="2193" spans="2:25">
      <c r="B2193" t="s">
        <v>26</v>
      </c>
      <c r="C2193" t="s">
        <v>8717</v>
      </c>
      <c r="D2193" t="s">
        <v>8718</v>
      </c>
      <c r="E2193" t="s">
        <v>29</v>
      </c>
      <c r="F2193" t="s">
        <v>30</v>
      </c>
      <c r="G2193" t="s">
        <v>31</v>
      </c>
      <c r="J2193" t="s">
        <v>8717</v>
      </c>
      <c r="K2193" t="s">
        <v>1967</v>
      </c>
      <c r="L2193" t="s">
        <v>6016</v>
      </c>
      <c r="M2193" s="8">
        <v>93.94275</v>
      </c>
      <c r="N2193">
        <v>80.7856561622413</v>
      </c>
      <c r="O2193">
        <v>1553</v>
      </c>
      <c r="P2193" s="9">
        <v>0.230128671451496</v>
      </c>
      <c r="Q2193" t="s">
        <v>119</v>
      </c>
      <c r="T2193" s="15" t="s">
        <v>119</v>
      </c>
      <c r="W2193" s="16" t="str">
        <f t="shared" si="173"/>
        <v>EN_WON_23_c02_USA</v>
      </c>
      <c r="X2193" s="12">
        <f t="shared" si="174"/>
        <v>1553</v>
      </c>
      <c r="Y2193" s="11">
        <f t="shared" si="175"/>
        <v>1553</v>
      </c>
    </row>
    <row r="2194" spans="2:25">
      <c r="B2194" t="s">
        <v>26</v>
      </c>
      <c r="C2194" t="s">
        <v>8719</v>
      </c>
      <c r="D2194" t="s">
        <v>8720</v>
      </c>
      <c r="E2194" t="s">
        <v>29</v>
      </c>
      <c r="F2194" t="s">
        <v>30</v>
      </c>
      <c r="G2194" t="s">
        <v>31</v>
      </c>
      <c r="J2194" t="s">
        <v>8719</v>
      </c>
      <c r="K2194" t="s">
        <v>1967</v>
      </c>
      <c r="L2194" t="s">
        <v>6016</v>
      </c>
      <c r="M2194" s="8">
        <v>121.4625</v>
      </c>
      <c r="N2194">
        <v>105.747516212372</v>
      </c>
      <c r="O2194">
        <v>1553</v>
      </c>
      <c r="P2194" s="9">
        <v>0.228220561901822</v>
      </c>
      <c r="Q2194" t="s">
        <v>119</v>
      </c>
      <c r="T2194" s="15" t="s">
        <v>119</v>
      </c>
      <c r="W2194" s="16" t="str">
        <f t="shared" si="173"/>
        <v>EN_WON_23_c03_USA</v>
      </c>
      <c r="X2194" s="12">
        <f t="shared" si="174"/>
        <v>1553</v>
      </c>
      <c r="Y2194" s="11">
        <f t="shared" si="175"/>
        <v>1553</v>
      </c>
    </row>
    <row r="2195" spans="2:25">
      <c r="B2195" t="s">
        <v>26</v>
      </c>
      <c r="C2195" t="s">
        <v>8721</v>
      </c>
      <c r="D2195" t="s">
        <v>8722</v>
      </c>
      <c r="E2195" t="s">
        <v>29</v>
      </c>
      <c r="F2195" t="s">
        <v>30</v>
      </c>
      <c r="G2195" t="s">
        <v>31</v>
      </c>
      <c r="J2195" t="s">
        <v>8721</v>
      </c>
      <c r="K2195" t="s">
        <v>1967</v>
      </c>
      <c r="L2195" t="s">
        <v>6016</v>
      </c>
      <c r="M2195" s="8">
        <v>4.254</v>
      </c>
      <c r="N2195">
        <v>145.23264029167</v>
      </c>
      <c r="O2195">
        <v>1553</v>
      </c>
      <c r="P2195" s="9">
        <v>0.231203631875882</v>
      </c>
      <c r="Q2195" t="s">
        <v>119</v>
      </c>
      <c r="T2195" s="15" t="s">
        <v>119</v>
      </c>
      <c r="W2195" s="16" t="str">
        <f t="shared" si="173"/>
        <v>EN_WON_23_c04_USA</v>
      </c>
      <c r="X2195" s="12">
        <f t="shared" si="174"/>
        <v>1553</v>
      </c>
      <c r="Y2195" s="11">
        <f t="shared" si="175"/>
        <v>1553</v>
      </c>
    </row>
    <row r="2196" spans="2:25">
      <c r="B2196" t="s">
        <v>26</v>
      </c>
      <c r="C2196" t="s">
        <v>8723</v>
      </c>
      <c r="D2196" t="s">
        <v>8724</v>
      </c>
      <c r="E2196" t="s">
        <v>29</v>
      </c>
      <c r="F2196" t="s">
        <v>30</v>
      </c>
      <c r="G2196" t="s">
        <v>31</v>
      </c>
      <c r="J2196" t="s">
        <v>8723</v>
      </c>
      <c r="K2196" t="s">
        <v>1967</v>
      </c>
      <c r="L2196" t="s">
        <v>6016</v>
      </c>
      <c r="M2196" s="8">
        <v>29.48625</v>
      </c>
      <c r="N2196">
        <v>0</v>
      </c>
      <c r="O2196">
        <v>1553</v>
      </c>
      <c r="P2196" s="9">
        <v>0.241106753147654</v>
      </c>
      <c r="Q2196" t="s">
        <v>119</v>
      </c>
      <c r="T2196" s="15" t="s">
        <v>119</v>
      </c>
      <c r="W2196" s="16" t="str">
        <f t="shared" si="173"/>
        <v>EN_WON_24_c01_USA</v>
      </c>
      <c r="X2196" s="12">
        <f t="shared" si="174"/>
        <v>1553</v>
      </c>
      <c r="Y2196" s="11">
        <f t="shared" si="175"/>
        <v>1553</v>
      </c>
    </row>
    <row r="2197" spans="2:25">
      <c r="B2197" t="s">
        <v>26</v>
      </c>
      <c r="C2197" t="s">
        <v>8725</v>
      </c>
      <c r="D2197" t="s">
        <v>8726</v>
      </c>
      <c r="E2197" t="s">
        <v>29</v>
      </c>
      <c r="F2197" t="s">
        <v>30</v>
      </c>
      <c r="G2197" t="s">
        <v>31</v>
      </c>
      <c r="J2197" t="s">
        <v>8725</v>
      </c>
      <c r="K2197" t="s">
        <v>1967</v>
      </c>
      <c r="L2197" t="s">
        <v>6016</v>
      </c>
      <c r="M2197" s="8">
        <v>109.3485</v>
      </c>
      <c r="N2197">
        <v>80.7856561622413</v>
      </c>
      <c r="O2197">
        <v>1553</v>
      </c>
      <c r="P2197" s="9">
        <v>0.239143678239756</v>
      </c>
      <c r="Q2197" t="s">
        <v>119</v>
      </c>
      <c r="T2197" s="15" t="s">
        <v>119</v>
      </c>
      <c r="W2197" s="16" t="str">
        <f t="shared" si="173"/>
        <v>EN_WON_24_c02_USA</v>
      </c>
      <c r="X2197" s="12">
        <f t="shared" si="174"/>
        <v>1553</v>
      </c>
      <c r="Y2197" s="11">
        <f t="shared" si="175"/>
        <v>1553</v>
      </c>
    </row>
    <row r="2198" spans="2:25">
      <c r="B2198" t="s">
        <v>26</v>
      </c>
      <c r="C2198" t="s">
        <v>8727</v>
      </c>
      <c r="D2198" t="s">
        <v>8728</v>
      </c>
      <c r="E2198" t="s">
        <v>29</v>
      </c>
      <c r="F2198" t="s">
        <v>30</v>
      </c>
      <c r="G2198" t="s">
        <v>31</v>
      </c>
      <c r="J2198" t="s">
        <v>8727</v>
      </c>
      <c r="K2198" t="s">
        <v>1967</v>
      </c>
      <c r="L2198" t="s">
        <v>6016</v>
      </c>
      <c r="M2198" s="8">
        <v>79.98225</v>
      </c>
      <c r="N2198">
        <v>105.747516212372</v>
      </c>
      <c r="O2198">
        <v>1553</v>
      </c>
      <c r="P2198" s="9">
        <v>0.239466256575678</v>
      </c>
      <c r="Q2198" t="s">
        <v>119</v>
      </c>
      <c r="T2198" s="15" t="s">
        <v>119</v>
      </c>
      <c r="W2198" s="16" t="str">
        <f t="shared" si="173"/>
        <v>EN_WON_24_c03_USA</v>
      </c>
      <c r="X2198" s="12">
        <f t="shared" si="174"/>
        <v>1553</v>
      </c>
      <c r="Y2198" s="11">
        <f t="shared" si="175"/>
        <v>1553</v>
      </c>
    </row>
    <row r="2199" spans="2:25">
      <c r="B2199" t="s">
        <v>26</v>
      </c>
      <c r="C2199" t="s">
        <v>8729</v>
      </c>
      <c r="D2199" t="s">
        <v>8730</v>
      </c>
      <c r="E2199" t="s">
        <v>29</v>
      </c>
      <c r="F2199" t="s">
        <v>30</v>
      </c>
      <c r="G2199" t="s">
        <v>31</v>
      </c>
      <c r="J2199" t="s">
        <v>8729</v>
      </c>
      <c r="K2199" t="s">
        <v>1967</v>
      </c>
      <c r="L2199" t="s">
        <v>6016</v>
      </c>
      <c r="M2199" s="8">
        <v>4.359</v>
      </c>
      <c r="N2199">
        <v>145.23264029167</v>
      </c>
      <c r="O2199">
        <v>1553</v>
      </c>
      <c r="P2199" s="9">
        <v>0.241672401927047</v>
      </c>
      <c r="Q2199" t="s">
        <v>119</v>
      </c>
      <c r="T2199" s="15" t="s">
        <v>119</v>
      </c>
      <c r="W2199" s="16" t="str">
        <f t="shared" si="173"/>
        <v>EN_WON_24_c04_USA</v>
      </c>
      <c r="X2199" s="12">
        <f t="shared" si="174"/>
        <v>1553</v>
      </c>
      <c r="Y2199" s="11">
        <f t="shared" si="175"/>
        <v>1553</v>
      </c>
    </row>
    <row r="2200" spans="2:25">
      <c r="B2200" t="s">
        <v>26</v>
      </c>
      <c r="C2200" t="s">
        <v>8731</v>
      </c>
      <c r="D2200" t="s">
        <v>8732</v>
      </c>
      <c r="E2200" t="s">
        <v>29</v>
      </c>
      <c r="F2200" t="s">
        <v>30</v>
      </c>
      <c r="G2200" t="s">
        <v>31</v>
      </c>
      <c r="J2200" t="s">
        <v>8731</v>
      </c>
      <c r="K2200" t="s">
        <v>1967</v>
      </c>
      <c r="L2200" t="s">
        <v>6016</v>
      </c>
      <c r="M2200" s="8">
        <v>28.3995</v>
      </c>
      <c r="N2200">
        <v>0</v>
      </c>
      <c r="O2200">
        <v>1553</v>
      </c>
      <c r="P2200" s="9">
        <v>0.250438836951355</v>
      </c>
      <c r="Q2200" t="s">
        <v>119</v>
      </c>
      <c r="T2200" s="15" t="s">
        <v>119</v>
      </c>
      <c r="W2200" s="16" t="str">
        <f t="shared" si="173"/>
        <v>EN_WON_25_c01_USA</v>
      </c>
      <c r="X2200" s="12">
        <f t="shared" si="174"/>
        <v>1553</v>
      </c>
      <c r="Y2200" s="11">
        <f t="shared" si="175"/>
        <v>1553</v>
      </c>
    </row>
    <row r="2201" spans="2:25">
      <c r="B2201" t="s">
        <v>26</v>
      </c>
      <c r="C2201" t="s">
        <v>8733</v>
      </c>
      <c r="D2201" t="s">
        <v>8734</v>
      </c>
      <c r="E2201" t="s">
        <v>29</v>
      </c>
      <c r="F2201" t="s">
        <v>30</v>
      </c>
      <c r="G2201" t="s">
        <v>31</v>
      </c>
      <c r="J2201" t="s">
        <v>8733</v>
      </c>
      <c r="K2201" t="s">
        <v>1967</v>
      </c>
      <c r="L2201" t="s">
        <v>6016</v>
      </c>
      <c r="M2201" s="8">
        <v>88.1535</v>
      </c>
      <c r="N2201">
        <v>80.7856561622413</v>
      </c>
      <c r="O2201">
        <v>1553</v>
      </c>
      <c r="P2201" s="9">
        <v>0.249148003198965</v>
      </c>
      <c r="Q2201" t="s">
        <v>119</v>
      </c>
      <c r="T2201" s="15" t="s">
        <v>119</v>
      </c>
      <c r="W2201" s="16" t="str">
        <f t="shared" si="173"/>
        <v>EN_WON_25_c02_USA</v>
      </c>
      <c r="X2201" s="12">
        <f t="shared" si="174"/>
        <v>1553</v>
      </c>
      <c r="Y2201" s="11">
        <f t="shared" si="175"/>
        <v>1553</v>
      </c>
    </row>
    <row r="2202" spans="2:25">
      <c r="B2202" t="s">
        <v>26</v>
      </c>
      <c r="C2202" t="s">
        <v>8735</v>
      </c>
      <c r="D2202" t="s">
        <v>8736</v>
      </c>
      <c r="E2202" t="s">
        <v>29</v>
      </c>
      <c r="F2202" t="s">
        <v>30</v>
      </c>
      <c r="G2202" t="s">
        <v>31</v>
      </c>
      <c r="J2202" t="s">
        <v>8735</v>
      </c>
      <c r="K2202" t="s">
        <v>1967</v>
      </c>
      <c r="L2202" t="s">
        <v>6016</v>
      </c>
      <c r="M2202" s="8">
        <v>31.13925</v>
      </c>
      <c r="N2202">
        <v>105.747516212372</v>
      </c>
      <c r="O2202">
        <v>1553</v>
      </c>
      <c r="P2202" s="9">
        <v>0.249781112261856</v>
      </c>
      <c r="Q2202" t="s">
        <v>119</v>
      </c>
      <c r="T2202" s="15" t="s">
        <v>119</v>
      </c>
      <c r="W2202" s="16" t="str">
        <f t="shared" si="173"/>
        <v>EN_WON_25_c03_USA</v>
      </c>
      <c r="X2202" s="12">
        <f t="shared" si="174"/>
        <v>1553</v>
      </c>
      <c r="Y2202" s="11">
        <f t="shared" si="175"/>
        <v>1553</v>
      </c>
    </row>
    <row r="2203" spans="2:25">
      <c r="B2203" t="s">
        <v>26</v>
      </c>
      <c r="C2203" t="s">
        <v>8737</v>
      </c>
      <c r="D2203" t="s">
        <v>8738</v>
      </c>
      <c r="E2203" t="s">
        <v>29</v>
      </c>
      <c r="F2203" t="s">
        <v>30</v>
      </c>
      <c r="G2203" t="s">
        <v>31</v>
      </c>
      <c r="J2203" t="s">
        <v>8737</v>
      </c>
      <c r="K2203" t="s">
        <v>1967</v>
      </c>
      <c r="L2203" t="s">
        <v>6016</v>
      </c>
      <c r="M2203" s="8">
        <v>1.57725</v>
      </c>
      <c r="N2203">
        <v>145.23264029167</v>
      </c>
      <c r="O2203">
        <v>1553</v>
      </c>
      <c r="P2203" s="9">
        <v>0.251062291963861</v>
      </c>
      <c r="Q2203" t="s">
        <v>119</v>
      </c>
      <c r="T2203" s="15" t="s">
        <v>119</v>
      </c>
      <c r="W2203" s="16" t="str">
        <f t="shared" si="173"/>
        <v>EN_WON_25_c04_USA</v>
      </c>
      <c r="X2203" s="12">
        <f t="shared" si="174"/>
        <v>1553</v>
      </c>
      <c r="Y2203" s="11">
        <f t="shared" si="175"/>
        <v>1553</v>
      </c>
    </row>
    <row r="2204" spans="2:25">
      <c r="B2204" t="s">
        <v>26</v>
      </c>
      <c r="C2204" t="s">
        <v>8739</v>
      </c>
      <c r="D2204" t="s">
        <v>8740</v>
      </c>
      <c r="E2204" t="s">
        <v>29</v>
      </c>
      <c r="F2204" t="s">
        <v>30</v>
      </c>
      <c r="G2204" t="s">
        <v>31</v>
      </c>
      <c r="J2204" t="s">
        <v>8739</v>
      </c>
      <c r="K2204" t="s">
        <v>1967</v>
      </c>
      <c r="L2204" t="s">
        <v>6016</v>
      </c>
      <c r="M2204" s="8">
        <v>42.74325</v>
      </c>
      <c r="N2204">
        <v>0</v>
      </c>
      <c r="O2204">
        <v>1553</v>
      </c>
      <c r="P2204" s="9">
        <v>0.260716709655911</v>
      </c>
      <c r="Q2204" t="s">
        <v>119</v>
      </c>
      <c r="T2204" s="15" t="s">
        <v>119</v>
      </c>
      <c r="W2204" s="16" t="str">
        <f t="shared" si="173"/>
        <v>EN_WON_26_c01_USA</v>
      </c>
      <c r="X2204" s="12">
        <f t="shared" si="174"/>
        <v>1553</v>
      </c>
      <c r="Y2204" s="11">
        <f t="shared" si="175"/>
        <v>1553</v>
      </c>
    </row>
    <row r="2205" spans="2:25">
      <c r="B2205" t="s">
        <v>26</v>
      </c>
      <c r="C2205" t="s">
        <v>8741</v>
      </c>
      <c r="D2205" t="s">
        <v>8742</v>
      </c>
      <c r="E2205" t="s">
        <v>29</v>
      </c>
      <c r="F2205" t="s">
        <v>30</v>
      </c>
      <c r="G2205" t="s">
        <v>31</v>
      </c>
      <c r="J2205" t="s">
        <v>8741</v>
      </c>
      <c r="K2205" t="s">
        <v>1967</v>
      </c>
      <c r="L2205" t="s">
        <v>6016</v>
      </c>
      <c r="M2205" s="8">
        <v>75.0405</v>
      </c>
      <c r="N2205">
        <v>80.7856561622413</v>
      </c>
      <c r="O2205">
        <v>1553</v>
      </c>
      <c r="P2205" s="9">
        <v>0.260669938233354</v>
      </c>
      <c r="Q2205" t="s">
        <v>119</v>
      </c>
      <c r="T2205" s="15" t="s">
        <v>119</v>
      </c>
      <c r="W2205" s="16" t="str">
        <f t="shared" si="173"/>
        <v>EN_WON_26_c02_USA</v>
      </c>
      <c r="X2205" s="12">
        <f t="shared" si="174"/>
        <v>1553</v>
      </c>
      <c r="Y2205" s="11">
        <f t="shared" si="175"/>
        <v>1553</v>
      </c>
    </row>
    <row r="2206" spans="2:25">
      <c r="B2206" t="s">
        <v>26</v>
      </c>
      <c r="C2206" t="s">
        <v>8743</v>
      </c>
      <c r="D2206" t="s">
        <v>8744</v>
      </c>
      <c r="E2206" t="s">
        <v>29</v>
      </c>
      <c r="F2206" t="s">
        <v>30</v>
      </c>
      <c r="G2206" t="s">
        <v>31</v>
      </c>
      <c r="J2206" t="s">
        <v>8743</v>
      </c>
      <c r="K2206" t="s">
        <v>1967</v>
      </c>
      <c r="L2206" t="s">
        <v>6016</v>
      </c>
      <c r="M2206" s="8">
        <v>35.8755</v>
      </c>
      <c r="N2206">
        <v>105.747516212372</v>
      </c>
      <c r="O2206">
        <v>1553</v>
      </c>
      <c r="P2206" s="9">
        <v>0.260405088430823</v>
      </c>
      <c r="Q2206" t="s">
        <v>119</v>
      </c>
      <c r="T2206" s="15" t="s">
        <v>119</v>
      </c>
      <c r="W2206" s="16" t="str">
        <f t="shared" si="173"/>
        <v>EN_WON_26_c03_USA</v>
      </c>
      <c r="X2206" s="12">
        <f t="shared" si="174"/>
        <v>1553</v>
      </c>
      <c r="Y2206" s="11">
        <f t="shared" si="175"/>
        <v>1553</v>
      </c>
    </row>
    <row r="2207" spans="2:25">
      <c r="B2207" t="s">
        <v>26</v>
      </c>
      <c r="C2207" t="s">
        <v>8745</v>
      </c>
      <c r="D2207" t="s">
        <v>8746</v>
      </c>
      <c r="E2207" t="s">
        <v>29</v>
      </c>
      <c r="F2207" t="s">
        <v>30</v>
      </c>
      <c r="G2207" t="s">
        <v>31</v>
      </c>
      <c r="J2207" t="s">
        <v>8745</v>
      </c>
      <c r="K2207" t="s">
        <v>1967</v>
      </c>
      <c r="L2207" t="s">
        <v>6016</v>
      </c>
      <c r="M2207" s="8">
        <v>1.05525</v>
      </c>
      <c r="N2207">
        <v>145.23264029167</v>
      </c>
      <c r="O2207">
        <v>1553</v>
      </c>
      <c r="P2207" s="9">
        <v>0.26209026297086</v>
      </c>
      <c r="Q2207" t="s">
        <v>119</v>
      </c>
      <c r="T2207" s="15" t="s">
        <v>119</v>
      </c>
      <c r="W2207" s="16" t="str">
        <f t="shared" si="173"/>
        <v>EN_WON_26_c04_USA</v>
      </c>
      <c r="X2207" s="12">
        <f t="shared" si="174"/>
        <v>1553</v>
      </c>
      <c r="Y2207" s="11">
        <f t="shared" si="175"/>
        <v>1553</v>
      </c>
    </row>
    <row r="2208" spans="2:25">
      <c r="B2208" t="s">
        <v>26</v>
      </c>
      <c r="C2208" t="s">
        <v>8747</v>
      </c>
      <c r="D2208" t="s">
        <v>8748</v>
      </c>
      <c r="E2208" t="s">
        <v>29</v>
      </c>
      <c r="F2208" t="s">
        <v>30</v>
      </c>
      <c r="G2208" t="s">
        <v>31</v>
      </c>
      <c r="J2208" t="s">
        <v>8747</v>
      </c>
      <c r="K2208" t="s">
        <v>1967</v>
      </c>
      <c r="L2208" t="s">
        <v>6016</v>
      </c>
      <c r="M2208" s="8">
        <v>52.131</v>
      </c>
      <c r="N2208">
        <v>0</v>
      </c>
      <c r="O2208">
        <v>1553</v>
      </c>
      <c r="P2208" s="9">
        <v>0.268555173505208</v>
      </c>
      <c r="Q2208" t="s">
        <v>119</v>
      </c>
      <c r="T2208" s="15" t="s">
        <v>119</v>
      </c>
      <c r="W2208" s="16" t="str">
        <f t="shared" si="173"/>
        <v>EN_WON_27_c01_USA</v>
      </c>
      <c r="X2208" s="12">
        <f t="shared" si="174"/>
        <v>1553</v>
      </c>
      <c r="Y2208" s="11">
        <f t="shared" si="175"/>
        <v>1553</v>
      </c>
    </row>
    <row r="2209" spans="2:25">
      <c r="B2209" t="s">
        <v>26</v>
      </c>
      <c r="C2209" t="s">
        <v>8749</v>
      </c>
      <c r="D2209" t="s">
        <v>8750</v>
      </c>
      <c r="E2209" t="s">
        <v>29</v>
      </c>
      <c r="F2209" t="s">
        <v>30</v>
      </c>
      <c r="G2209" t="s">
        <v>31</v>
      </c>
      <c r="J2209" t="s">
        <v>8749</v>
      </c>
      <c r="K2209" t="s">
        <v>1967</v>
      </c>
      <c r="L2209" t="s">
        <v>6016</v>
      </c>
      <c r="M2209" s="8">
        <v>99.65175</v>
      </c>
      <c r="N2209">
        <v>80.7856561622413</v>
      </c>
      <c r="O2209">
        <v>1553</v>
      </c>
      <c r="P2209" s="9">
        <v>0.269405399303073</v>
      </c>
      <c r="Q2209" t="s">
        <v>119</v>
      </c>
      <c r="T2209" s="15" t="s">
        <v>119</v>
      </c>
      <c r="W2209" s="16" t="str">
        <f t="shared" si="173"/>
        <v>EN_WON_27_c02_USA</v>
      </c>
      <c r="X2209" s="12">
        <f t="shared" si="174"/>
        <v>1553</v>
      </c>
      <c r="Y2209" s="11">
        <f t="shared" si="175"/>
        <v>1553</v>
      </c>
    </row>
    <row r="2210" spans="2:25">
      <c r="B2210" t="s">
        <v>26</v>
      </c>
      <c r="C2210" t="s">
        <v>8751</v>
      </c>
      <c r="D2210" t="s">
        <v>8752</v>
      </c>
      <c r="E2210" t="s">
        <v>29</v>
      </c>
      <c r="F2210" t="s">
        <v>30</v>
      </c>
      <c r="G2210" t="s">
        <v>31</v>
      </c>
      <c r="J2210" t="s">
        <v>8751</v>
      </c>
      <c r="K2210" t="s">
        <v>1967</v>
      </c>
      <c r="L2210" t="s">
        <v>6016</v>
      </c>
      <c r="M2210" s="8">
        <v>17.976</v>
      </c>
      <c r="N2210">
        <v>105.747516212372</v>
      </c>
      <c r="O2210">
        <v>1553</v>
      </c>
      <c r="P2210" s="9">
        <v>0.270624874833111</v>
      </c>
      <c r="Q2210" t="s">
        <v>119</v>
      </c>
      <c r="T2210" s="15" t="s">
        <v>119</v>
      </c>
      <c r="W2210" s="16" t="str">
        <f t="shared" si="173"/>
        <v>EN_WON_27_c03_USA</v>
      </c>
      <c r="X2210" s="12">
        <f t="shared" si="174"/>
        <v>1553</v>
      </c>
      <c r="Y2210" s="11">
        <f t="shared" si="175"/>
        <v>1553</v>
      </c>
    </row>
    <row r="2211" spans="2:25">
      <c r="B2211" t="s">
        <v>26</v>
      </c>
      <c r="C2211" t="s">
        <v>8753</v>
      </c>
      <c r="D2211" t="s">
        <v>8754</v>
      </c>
      <c r="E2211" t="s">
        <v>29</v>
      </c>
      <c r="F2211" t="s">
        <v>30</v>
      </c>
      <c r="G2211" t="s">
        <v>31</v>
      </c>
      <c r="J2211" t="s">
        <v>8753</v>
      </c>
      <c r="K2211" t="s">
        <v>1967</v>
      </c>
      <c r="L2211" t="s">
        <v>6016</v>
      </c>
      <c r="M2211" s="8">
        <v>2.058</v>
      </c>
      <c r="N2211">
        <v>145.23264029167</v>
      </c>
      <c r="O2211">
        <v>1553</v>
      </c>
      <c r="P2211" s="9">
        <v>0.269689504373178</v>
      </c>
      <c r="Q2211" t="s">
        <v>119</v>
      </c>
      <c r="T2211" s="15" t="s">
        <v>119</v>
      </c>
      <c r="W2211" s="16" t="str">
        <f t="shared" si="173"/>
        <v>EN_WON_27_c04_USA</v>
      </c>
      <c r="X2211" s="12">
        <f t="shared" si="174"/>
        <v>1553</v>
      </c>
      <c r="Y2211" s="11">
        <f t="shared" si="175"/>
        <v>1553</v>
      </c>
    </row>
    <row r="2212" spans="2:25">
      <c r="B2212" t="s">
        <v>26</v>
      </c>
      <c r="C2212" t="s">
        <v>8755</v>
      </c>
      <c r="D2212" t="s">
        <v>8756</v>
      </c>
      <c r="E2212" t="s">
        <v>29</v>
      </c>
      <c r="F2212" t="s">
        <v>30</v>
      </c>
      <c r="G2212" t="s">
        <v>31</v>
      </c>
      <c r="J2212" t="s">
        <v>8755</v>
      </c>
      <c r="K2212" t="s">
        <v>1967</v>
      </c>
      <c r="L2212" t="s">
        <v>6016</v>
      </c>
      <c r="M2212" s="8">
        <v>58.7565</v>
      </c>
      <c r="N2212">
        <v>0</v>
      </c>
      <c r="O2212">
        <v>1553</v>
      </c>
      <c r="P2212" s="9">
        <v>0.279911158765413</v>
      </c>
      <c r="Q2212" t="s">
        <v>119</v>
      </c>
      <c r="T2212" s="15" t="s">
        <v>119</v>
      </c>
      <c r="W2212" s="16" t="str">
        <f t="shared" si="173"/>
        <v>EN_WON_28_c01_USA</v>
      </c>
      <c r="X2212" s="12">
        <f t="shared" si="174"/>
        <v>1553</v>
      </c>
      <c r="Y2212" s="11">
        <f t="shared" si="175"/>
        <v>1553</v>
      </c>
    </row>
    <row r="2213" spans="2:25">
      <c r="B2213" t="s">
        <v>26</v>
      </c>
      <c r="C2213" t="s">
        <v>8757</v>
      </c>
      <c r="D2213" t="s">
        <v>8758</v>
      </c>
      <c r="E2213" t="s">
        <v>29</v>
      </c>
      <c r="F2213" t="s">
        <v>30</v>
      </c>
      <c r="G2213" t="s">
        <v>31</v>
      </c>
      <c r="J2213" t="s">
        <v>8757</v>
      </c>
      <c r="K2213" t="s">
        <v>1967</v>
      </c>
      <c r="L2213" t="s">
        <v>6016</v>
      </c>
      <c r="M2213" s="8">
        <v>90.159</v>
      </c>
      <c r="N2213">
        <v>80.7856561622413</v>
      </c>
      <c r="O2213">
        <v>1553</v>
      </c>
      <c r="P2213" s="9">
        <v>0.279936653578678</v>
      </c>
      <c r="Q2213" t="s">
        <v>119</v>
      </c>
      <c r="T2213" s="15" t="s">
        <v>119</v>
      </c>
      <c r="W2213" s="16" t="str">
        <f t="shared" si="173"/>
        <v>EN_WON_28_c02_USA</v>
      </c>
      <c r="X2213" s="12">
        <f t="shared" si="174"/>
        <v>1553</v>
      </c>
      <c r="Y2213" s="11">
        <f t="shared" si="175"/>
        <v>1553</v>
      </c>
    </row>
    <row r="2214" spans="2:25">
      <c r="B2214" t="s">
        <v>26</v>
      </c>
      <c r="C2214" t="s">
        <v>8759</v>
      </c>
      <c r="D2214" t="s">
        <v>8760</v>
      </c>
      <c r="E2214" t="s">
        <v>29</v>
      </c>
      <c r="F2214" t="s">
        <v>30</v>
      </c>
      <c r="G2214" t="s">
        <v>31</v>
      </c>
      <c r="J2214" t="s">
        <v>8759</v>
      </c>
      <c r="K2214" t="s">
        <v>1967</v>
      </c>
      <c r="L2214" t="s">
        <v>6016</v>
      </c>
      <c r="M2214" s="8">
        <v>14.4615</v>
      </c>
      <c r="N2214">
        <v>105.747516212372</v>
      </c>
      <c r="O2214">
        <v>1553</v>
      </c>
      <c r="P2214" s="9">
        <v>0.278177886111399</v>
      </c>
      <c r="Q2214" t="s">
        <v>119</v>
      </c>
      <c r="T2214" s="15" t="s">
        <v>119</v>
      </c>
      <c r="W2214" s="16" t="str">
        <f t="shared" si="173"/>
        <v>EN_WON_28_c03_USA</v>
      </c>
      <c r="X2214" s="12">
        <f t="shared" si="174"/>
        <v>1553</v>
      </c>
      <c r="Y2214" s="11">
        <f t="shared" si="175"/>
        <v>1553</v>
      </c>
    </row>
    <row r="2215" spans="2:25">
      <c r="B2215" t="s">
        <v>26</v>
      </c>
      <c r="C2215" t="s">
        <v>8761</v>
      </c>
      <c r="D2215" t="s">
        <v>8762</v>
      </c>
      <c r="E2215" t="s">
        <v>29</v>
      </c>
      <c r="F2215" t="s">
        <v>30</v>
      </c>
      <c r="G2215" t="s">
        <v>31</v>
      </c>
      <c r="J2215" t="s">
        <v>8761</v>
      </c>
      <c r="K2215" t="s">
        <v>1967</v>
      </c>
      <c r="L2215" t="s">
        <v>6016</v>
      </c>
      <c r="M2215" s="8">
        <v>6.1785</v>
      </c>
      <c r="N2215">
        <v>145.23264029167</v>
      </c>
      <c r="O2215">
        <v>1553</v>
      </c>
      <c r="P2215" s="9">
        <v>0.27869737800437</v>
      </c>
      <c r="Q2215" t="s">
        <v>119</v>
      </c>
      <c r="T2215" s="15" t="s">
        <v>119</v>
      </c>
      <c r="W2215" s="16" t="str">
        <f t="shared" si="173"/>
        <v>EN_WON_28_c04_USA</v>
      </c>
      <c r="X2215" s="12">
        <f t="shared" si="174"/>
        <v>1553</v>
      </c>
      <c r="Y2215" s="11">
        <f t="shared" si="175"/>
        <v>1553</v>
      </c>
    </row>
    <row r="2216" spans="2:25">
      <c r="B2216" t="s">
        <v>26</v>
      </c>
      <c r="C2216" t="s">
        <v>8763</v>
      </c>
      <c r="D2216" t="s">
        <v>8764</v>
      </c>
      <c r="E2216" t="s">
        <v>29</v>
      </c>
      <c r="F2216" t="s">
        <v>30</v>
      </c>
      <c r="G2216" t="s">
        <v>31</v>
      </c>
      <c r="J2216" t="s">
        <v>8763</v>
      </c>
      <c r="K2216" t="s">
        <v>1967</v>
      </c>
      <c r="L2216" t="s">
        <v>6016</v>
      </c>
      <c r="M2216" s="8">
        <v>66.459</v>
      </c>
      <c r="N2216">
        <v>0</v>
      </c>
      <c r="O2216">
        <v>1553</v>
      </c>
      <c r="P2216" s="9">
        <v>0.289498453934004</v>
      </c>
      <c r="Q2216" t="s">
        <v>119</v>
      </c>
      <c r="T2216" s="15" t="s">
        <v>119</v>
      </c>
      <c r="W2216" s="16" t="str">
        <f t="shared" si="173"/>
        <v>EN_WON_29_c01_USA</v>
      </c>
      <c r="X2216" s="12">
        <f t="shared" si="174"/>
        <v>1553</v>
      </c>
      <c r="Y2216" s="11">
        <f t="shared" si="175"/>
        <v>1553</v>
      </c>
    </row>
    <row r="2217" spans="2:25">
      <c r="B2217" t="s">
        <v>26</v>
      </c>
      <c r="C2217" t="s">
        <v>8765</v>
      </c>
      <c r="D2217" t="s">
        <v>8766</v>
      </c>
      <c r="E2217" t="s">
        <v>29</v>
      </c>
      <c r="F2217" t="s">
        <v>30</v>
      </c>
      <c r="G2217" t="s">
        <v>31</v>
      </c>
      <c r="J2217" t="s">
        <v>8765</v>
      </c>
      <c r="K2217" t="s">
        <v>1967</v>
      </c>
      <c r="L2217" t="s">
        <v>6016</v>
      </c>
      <c r="M2217" s="8">
        <v>69.09225</v>
      </c>
      <c r="N2217">
        <v>80.7856561622413</v>
      </c>
      <c r="O2217">
        <v>1553</v>
      </c>
      <c r="P2217" s="9">
        <v>0.289759093820219</v>
      </c>
      <c r="Q2217" t="s">
        <v>119</v>
      </c>
      <c r="T2217" s="15" t="s">
        <v>119</v>
      </c>
      <c r="W2217" s="16" t="str">
        <f t="shared" si="173"/>
        <v>EN_WON_29_c02_USA</v>
      </c>
      <c r="X2217" s="12">
        <f t="shared" si="174"/>
        <v>1553</v>
      </c>
      <c r="Y2217" s="11">
        <f t="shared" si="175"/>
        <v>1553</v>
      </c>
    </row>
    <row r="2218" spans="2:25">
      <c r="B2218" t="s">
        <v>26</v>
      </c>
      <c r="C2218" t="s">
        <v>8767</v>
      </c>
      <c r="D2218" t="s">
        <v>8768</v>
      </c>
      <c r="E2218" t="s">
        <v>29</v>
      </c>
      <c r="F2218" t="s">
        <v>30</v>
      </c>
      <c r="G2218" t="s">
        <v>31</v>
      </c>
      <c r="J2218" t="s">
        <v>8767</v>
      </c>
      <c r="K2218" t="s">
        <v>1967</v>
      </c>
      <c r="L2218" t="s">
        <v>6016</v>
      </c>
      <c r="M2218" s="8">
        <v>21.5835</v>
      </c>
      <c r="N2218">
        <v>105.747516212372</v>
      </c>
      <c r="O2218">
        <v>1553</v>
      </c>
      <c r="P2218" s="9">
        <v>0.288838105497255</v>
      </c>
      <c r="Q2218" t="s">
        <v>119</v>
      </c>
      <c r="T2218" s="15" t="s">
        <v>119</v>
      </c>
      <c r="W2218" s="16" t="str">
        <f t="shared" si="173"/>
        <v>EN_WON_29_c03_USA</v>
      </c>
      <c r="X2218" s="12">
        <f t="shared" si="174"/>
        <v>1553</v>
      </c>
      <c r="Y2218" s="11">
        <f t="shared" si="175"/>
        <v>1553</v>
      </c>
    </row>
    <row r="2219" spans="2:25">
      <c r="B2219" t="s">
        <v>26</v>
      </c>
      <c r="C2219" t="s">
        <v>8769</v>
      </c>
      <c r="D2219" t="s">
        <v>8770</v>
      </c>
      <c r="E2219" t="s">
        <v>29</v>
      </c>
      <c r="F2219" t="s">
        <v>30</v>
      </c>
      <c r="G2219" t="s">
        <v>31</v>
      </c>
      <c r="J2219" t="s">
        <v>8769</v>
      </c>
      <c r="K2219" t="s">
        <v>1967</v>
      </c>
      <c r="L2219" t="s">
        <v>6016</v>
      </c>
      <c r="M2219" s="8">
        <v>13.10925</v>
      </c>
      <c r="N2219">
        <v>145.23264029167</v>
      </c>
      <c r="O2219">
        <v>1553</v>
      </c>
      <c r="P2219" s="9">
        <v>0.291539733394359</v>
      </c>
      <c r="Q2219" t="s">
        <v>119</v>
      </c>
      <c r="T2219" s="15" t="s">
        <v>119</v>
      </c>
      <c r="W2219" s="16" t="str">
        <f t="shared" si="173"/>
        <v>EN_WON_29_c04_USA</v>
      </c>
      <c r="X2219" s="12">
        <f t="shared" si="174"/>
        <v>1553</v>
      </c>
      <c r="Y2219" s="11">
        <f t="shared" si="175"/>
        <v>1553</v>
      </c>
    </row>
    <row r="2220" spans="2:25">
      <c r="B2220" t="s">
        <v>26</v>
      </c>
      <c r="C2220" t="s">
        <v>8771</v>
      </c>
      <c r="D2220" t="s">
        <v>8772</v>
      </c>
      <c r="E2220" t="s">
        <v>29</v>
      </c>
      <c r="F2220" t="s">
        <v>30</v>
      </c>
      <c r="G2220" t="s">
        <v>31</v>
      </c>
      <c r="J2220" t="s">
        <v>8771</v>
      </c>
      <c r="K2220" t="s">
        <v>1967</v>
      </c>
      <c r="L2220" t="s">
        <v>6016</v>
      </c>
      <c r="M2220" s="8">
        <v>93.327</v>
      </c>
      <c r="N2220">
        <v>0</v>
      </c>
      <c r="O2220">
        <v>1553</v>
      </c>
      <c r="P2220" s="9">
        <v>0.299348773666785</v>
      </c>
      <c r="Q2220" t="s">
        <v>119</v>
      </c>
      <c r="T2220" s="15" t="s">
        <v>119</v>
      </c>
      <c r="W2220" s="16" t="str">
        <f t="shared" si="173"/>
        <v>EN_WON_30_c01_USA</v>
      </c>
      <c r="X2220" s="12">
        <f t="shared" si="174"/>
        <v>1553</v>
      </c>
      <c r="Y2220" s="11">
        <f t="shared" si="175"/>
        <v>1553</v>
      </c>
    </row>
    <row r="2221" spans="2:25">
      <c r="B2221" t="s">
        <v>26</v>
      </c>
      <c r="C2221" t="s">
        <v>8773</v>
      </c>
      <c r="D2221" t="s">
        <v>8774</v>
      </c>
      <c r="E2221" t="s">
        <v>29</v>
      </c>
      <c r="F2221" t="s">
        <v>30</v>
      </c>
      <c r="G2221" t="s">
        <v>31</v>
      </c>
      <c r="J2221" t="s">
        <v>8773</v>
      </c>
      <c r="K2221" t="s">
        <v>1967</v>
      </c>
      <c r="L2221" t="s">
        <v>6016</v>
      </c>
      <c r="M2221" s="8">
        <v>59.85675</v>
      </c>
      <c r="N2221">
        <v>80.7856561622413</v>
      </c>
      <c r="O2221">
        <v>1553</v>
      </c>
      <c r="P2221" s="9">
        <v>0.299318510443684</v>
      </c>
      <c r="Q2221" t="s">
        <v>119</v>
      </c>
      <c r="T2221" s="15" t="s">
        <v>119</v>
      </c>
      <c r="W2221" s="16" t="str">
        <f t="shared" si="173"/>
        <v>EN_WON_30_c02_USA</v>
      </c>
      <c r="X2221" s="12">
        <f t="shared" si="174"/>
        <v>1553</v>
      </c>
      <c r="Y2221" s="11">
        <f t="shared" si="175"/>
        <v>1553</v>
      </c>
    </row>
    <row r="2222" spans="2:25">
      <c r="B2222" t="s">
        <v>26</v>
      </c>
      <c r="C2222" t="s">
        <v>8775</v>
      </c>
      <c r="D2222" t="s">
        <v>8776</v>
      </c>
      <c r="E2222" t="s">
        <v>29</v>
      </c>
      <c r="F2222" t="s">
        <v>30</v>
      </c>
      <c r="G2222" t="s">
        <v>31</v>
      </c>
      <c r="J2222" t="s">
        <v>8775</v>
      </c>
      <c r="K2222" t="s">
        <v>1967</v>
      </c>
      <c r="L2222" t="s">
        <v>6016</v>
      </c>
      <c r="M2222" s="8">
        <v>11.02725</v>
      </c>
      <c r="N2222">
        <v>105.747516212372</v>
      </c>
      <c r="O2222">
        <v>1553</v>
      </c>
      <c r="P2222" s="9">
        <v>0.296992586546963</v>
      </c>
      <c r="Q2222" t="s">
        <v>119</v>
      </c>
      <c r="T2222" s="15" t="s">
        <v>119</v>
      </c>
      <c r="W2222" s="16" t="str">
        <f t="shared" si="173"/>
        <v>EN_WON_30_c03_USA</v>
      </c>
      <c r="X2222" s="12">
        <f t="shared" si="174"/>
        <v>1553</v>
      </c>
      <c r="Y2222" s="11">
        <f t="shared" si="175"/>
        <v>1553</v>
      </c>
    </row>
    <row r="2223" spans="2:25">
      <c r="B2223" t="s">
        <v>26</v>
      </c>
      <c r="C2223" t="s">
        <v>8777</v>
      </c>
      <c r="D2223" t="s">
        <v>8778</v>
      </c>
      <c r="E2223" t="s">
        <v>29</v>
      </c>
      <c r="F2223" t="s">
        <v>30</v>
      </c>
      <c r="G2223" t="s">
        <v>31</v>
      </c>
      <c r="J2223" t="s">
        <v>8777</v>
      </c>
      <c r="K2223" t="s">
        <v>1967</v>
      </c>
      <c r="L2223" t="s">
        <v>6016</v>
      </c>
      <c r="M2223" s="8">
        <v>8.18625</v>
      </c>
      <c r="N2223">
        <v>145.23264029167</v>
      </c>
      <c r="O2223">
        <v>1553</v>
      </c>
      <c r="P2223" s="9">
        <v>0.300933852496564</v>
      </c>
      <c r="Q2223" t="s">
        <v>119</v>
      </c>
      <c r="T2223" s="15" t="s">
        <v>119</v>
      </c>
      <c r="W2223" s="16" t="str">
        <f t="shared" si="173"/>
        <v>EN_WON_30_c04_USA</v>
      </c>
      <c r="X2223" s="12">
        <f t="shared" si="174"/>
        <v>1553</v>
      </c>
      <c r="Y2223" s="11">
        <f t="shared" si="175"/>
        <v>1553</v>
      </c>
    </row>
    <row r="2224" spans="2:25">
      <c r="B2224" t="s">
        <v>26</v>
      </c>
      <c r="C2224" t="s">
        <v>8779</v>
      </c>
      <c r="D2224" t="s">
        <v>8780</v>
      </c>
      <c r="E2224" t="s">
        <v>29</v>
      </c>
      <c r="F2224" t="s">
        <v>30</v>
      </c>
      <c r="G2224" t="s">
        <v>31</v>
      </c>
      <c r="J2224" t="s">
        <v>8779</v>
      </c>
      <c r="K2224" t="s">
        <v>1967</v>
      </c>
      <c r="L2224" t="s">
        <v>6016</v>
      </c>
      <c r="M2224" s="8">
        <v>143.8965</v>
      </c>
      <c r="N2224">
        <v>0</v>
      </c>
      <c r="O2224">
        <v>1553</v>
      </c>
      <c r="P2224" s="9">
        <v>0.309860837476936</v>
      </c>
      <c r="Q2224" t="s">
        <v>119</v>
      </c>
      <c r="T2224" s="15" t="s">
        <v>119</v>
      </c>
      <c r="W2224" s="16" t="str">
        <f t="shared" si="173"/>
        <v>EN_WON_31_c01_USA</v>
      </c>
      <c r="X2224" s="12">
        <f t="shared" si="174"/>
        <v>1553</v>
      </c>
      <c r="Y2224" s="11">
        <f t="shared" si="175"/>
        <v>1553</v>
      </c>
    </row>
    <row r="2225" spans="2:25">
      <c r="B2225" t="s">
        <v>26</v>
      </c>
      <c r="C2225" t="s">
        <v>8781</v>
      </c>
      <c r="D2225" t="s">
        <v>8782</v>
      </c>
      <c r="E2225" t="s">
        <v>29</v>
      </c>
      <c r="F2225" t="s">
        <v>30</v>
      </c>
      <c r="G2225" t="s">
        <v>31</v>
      </c>
      <c r="J2225" t="s">
        <v>8781</v>
      </c>
      <c r="K2225" t="s">
        <v>1967</v>
      </c>
      <c r="L2225" t="s">
        <v>6016</v>
      </c>
      <c r="M2225" s="8">
        <v>30.246</v>
      </c>
      <c r="N2225">
        <v>80.7856561622413</v>
      </c>
      <c r="O2225">
        <v>1553</v>
      </c>
      <c r="P2225" s="9">
        <v>0.310021077167229</v>
      </c>
      <c r="Q2225" t="s">
        <v>119</v>
      </c>
      <c r="T2225" s="15" t="s">
        <v>119</v>
      </c>
      <c r="W2225" s="16" t="str">
        <f t="shared" si="173"/>
        <v>EN_WON_31_c02_USA</v>
      </c>
      <c r="X2225" s="12">
        <f t="shared" si="174"/>
        <v>1553</v>
      </c>
      <c r="Y2225" s="11">
        <f t="shared" si="175"/>
        <v>1553</v>
      </c>
    </row>
    <row r="2226" spans="2:25">
      <c r="B2226" t="s">
        <v>26</v>
      </c>
      <c r="C2226" t="s">
        <v>8783</v>
      </c>
      <c r="D2226" t="s">
        <v>8784</v>
      </c>
      <c r="E2226" t="s">
        <v>29</v>
      </c>
      <c r="F2226" t="s">
        <v>30</v>
      </c>
      <c r="G2226" t="s">
        <v>31</v>
      </c>
      <c r="J2226" t="s">
        <v>8783</v>
      </c>
      <c r="K2226" t="s">
        <v>1967</v>
      </c>
      <c r="L2226" t="s">
        <v>6016</v>
      </c>
      <c r="M2226" s="8">
        <v>6.01275</v>
      </c>
      <c r="N2226">
        <v>105.747516212372</v>
      </c>
      <c r="O2226">
        <v>1553</v>
      </c>
      <c r="P2226" s="9">
        <v>0.310588624173631</v>
      </c>
      <c r="Q2226" t="s">
        <v>119</v>
      </c>
      <c r="T2226" s="15" t="s">
        <v>119</v>
      </c>
      <c r="W2226" s="16" t="str">
        <f t="shared" si="173"/>
        <v>EN_WON_31_c03_USA</v>
      </c>
      <c r="X2226" s="12">
        <f t="shared" si="174"/>
        <v>1553</v>
      </c>
      <c r="Y2226" s="11">
        <f t="shared" si="175"/>
        <v>1553</v>
      </c>
    </row>
    <row r="2227" spans="2:25">
      <c r="B2227" t="s">
        <v>26</v>
      </c>
      <c r="C2227" t="s">
        <v>8785</v>
      </c>
      <c r="D2227" t="s">
        <v>8786</v>
      </c>
      <c r="E2227" t="s">
        <v>29</v>
      </c>
      <c r="F2227" t="s">
        <v>30</v>
      </c>
      <c r="G2227" t="s">
        <v>31</v>
      </c>
      <c r="J2227" t="s">
        <v>8785</v>
      </c>
      <c r="K2227" t="s">
        <v>1967</v>
      </c>
      <c r="L2227" t="s">
        <v>6016</v>
      </c>
      <c r="M2227" s="8">
        <v>4.6545</v>
      </c>
      <c r="N2227">
        <v>145.23264029167</v>
      </c>
      <c r="O2227">
        <v>1553</v>
      </c>
      <c r="P2227" s="9">
        <v>0.308130841121495</v>
      </c>
      <c r="Q2227" t="s">
        <v>119</v>
      </c>
      <c r="T2227" s="15" t="s">
        <v>119</v>
      </c>
      <c r="W2227" s="16" t="str">
        <f t="shared" si="173"/>
        <v>EN_WON_31_c04_USA</v>
      </c>
      <c r="X2227" s="12">
        <f t="shared" si="174"/>
        <v>1553</v>
      </c>
      <c r="Y2227" s="11">
        <f t="shared" si="175"/>
        <v>1553</v>
      </c>
    </row>
    <row r="2228" spans="2:25">
      <c r="B2228" t="s">
        <v>26</v>
      </c>
      <c r="C2228" t="s">
        <v>8787</v>
      </c>
      <c r="D2228" t="s">
        <v>8788</v>
      </c>
      <c r="E2228" t="s">
        <v>29</v>
      </c>
      <c r="F2228" t="s">
        <v>30</v>
      </c>
      <c r="G2228" t="s">
        <v>31</v>
      </c>
      <c r="J2228" t="s">
        <v>8787</v>
      </c>
      <c r="K2228" t="s">
        <v>1967</v>
      </c>
      <c r="L2228" t="s">
        <v>6016</v>
      </c>
      <c r="M2228" s="8">
        <v>154.75725</v>
      </c>
      <c r="N2228">
        <v>0</v>
      </c>
      <c r="O2228">
        <v>1553</v>
      </c>
      <c r="P2228" s="9">
        <v>0.31989690466844</v>
      </c>
      <c r="Q2228" t="s">
        <v>119</v>
      </c>
      <c r="T2228" s="15" t="s">
        <v>119</v>
      </c>
      <c r="W2228" s="16" t="str">
        <f t="shared" si="173"/>
        <v>EN_WON_32_c01_USA</v>
      </c>
      <c r="X2228" s="12">
        <f t="shared" si="174"/>
        <v>1553</v>
      </c>
      <c r="Y2228" s="11">
        <f t="shared" si="175"/>
        <v>1553</v>
      </c>
    </row>
    <row r="2229" spans="2:25">
      <c r="B2229" t="s">
        <v>26</v>
      </c>
      <c r="C2229" t="s">
        <v>8789</v>
      </c>
      <c r="D2229" t="s">
        <v>8790</v>
      </c>
      <c r="E2229" t="s">
        <v>29</v>
      </c>
      <c r="F2229" t="s">
        <v>30</v>
      </c>
      <c r="G2229" t="s">
        <v>31</v>
      </c>
      <c r="J2229" t="s">
        <v>8789</v>
      </c>
      <c r="K2229" t="s">
        <v>1967</v>
      </c>
      <c r="L2229" t="s">
        <v>6016</v>
      </c>
      <c r="M2229" s="8">
        <v>73.0125</v>
      </c>
      <c r="N2229">
        <v>80.7856561622413</v>
      </c>
      <c r="O2229">
        <v>1553</v>
      </c>
      <c r="P2229" s="9">
        <v>0.320658274268105</v>
      </c>
      <c r="Q2229" t="s">
        <v>119</v>
      </c>
      <c r="T2229" s="15" t="s">
        <v>119</v>
      </c>
      <c r="W2229" s="16" t="str">
        <f t="shared" si="173"/>
        <v>EN_WON_32_c02_USA</v>
      </c>
      <c r="X2229" s="12">
        <f t="shared" si="174"/>
        <v>1553</v>
      </c>
      <c r="Y2229" s="11">
        <f t="shared" si="175"/>
        <v>1553</v>
      </c>
    </row>
    <row r="2230" spans="2:25">
      <c r="B2230" t="s">
        <v>26</v>
      </c>
      <c r="C2230" t="s">
        <v>8791</v>
      </c>
      <c r="D2230" t="s">
        <v>8792</v>
      </c>
      <c r="E2230" t="s">
        <v>29</v>
      </c>
      <c r="F2230" t="s">
        <v>30</v>
      </c>
      <c r="G2230" t="s">
        <v>31</v>
      </c>
      <c r="J2230" t="s">
        <v>8791</v>
      </c>
      <c r="K2230" t="s">
        <v>1967</v>
      </c>
      <c r="L2230" t="s">
        <v>6016</v>
      </c>
      <c r="M2230" s="8">
        <v>10.23375</v>
      </c>
      <c r="N2230">
        <v>105.747516212372</v>
      </c>
      <c r="O2230">
        <v>1553</v>
      </c>
      <c r="P2230" s="9">
        <v>0.317434811286186</v>
      </c>
      <c r="Q2230" t="s">
        <v>119</v>
      </c>
      <c r="T2230" s="15" t="s">
        <v>119</v>
      </c>
      <c r="W2230" s="16" t="str">
        <f t="shared" si="173"/>
        <v>EN_WON_32_c03_USA</v>
      </c>
      <c r="X2230" s="12">
        <f t="shared" si="174"/>
        <v>1553</v>
      </c>
      <c r="Y2230" s="11">
        <f t="shared" si="175"/>
        <v>1553</v>
      </c>
    </row>
    <row r="2231" spans="2:25">
      <c r="B2231" t="s">
        <v>26</v>
      </c>
      <c r="C2231" t="s">
        <v>8793</v>
      </c>
      <c r="D2231" t="s">
        <v>8794</v>
      </c>
      <c r="E2231" t="s">
        <v>29</v>
      </c>
      <c r="F2231" t="s">
        <v>30</v>
      </c>
      <c r="G2231" t="s">
        <v>31</v>
      </c>
      <c r="J2231" t="s">
        <v>8793</v>
      </c>
      <c r="K2231" t="s">
        <v>1967</v>
      </c>
      <c r="L2231" t="s">
        <v>6016</v>
      </c>
      <c r="M2231" s="8">
        <v>7.659</v>
      </c>
      <c r="N2231">
        <v>145.23264029167</v>
      </c>
      <c r="O2231">
        <v>1553</v>
      </c>
      <c r="P2231" s="9">
        <v>0.32139571092832</v>
      </c>
      <c r="Q2231" t="s">
        <v>119</v>
      </c>
      <c r="T2231" s="15" t="s">
        <v>119</v>
      </c>
      <c r="W2231" s="16" t="str">
        <f t="shared" si="173"/>
        <v>EN_WON_32_c04_USA</v>
      </c>
      <c r="X2231" s="12">
        <f t="shared" si="174"/>
        <v>1553</v>
      </c>
      <c r="Y2231" s="11">
        <f t="shared" si="175"/>
        <v>1553</v>
      </c>
    </row>
    <row r="2232" spans="2:25">
      <c r="B2232" t="s">
        <v>26</v>
      </c>
      <c r="C2232" t="s">
        <v>8795</v>
      </c>
      <c r="D2232" t="s">
        <v>8796</v>
      </c>
      <c r="E2232" t="s">
        <v>29</v>
      </c>
      <c r="F2232" t="s">
        <v>30</v>
      </c>
      <c r="G2232" t="s">
        <v>31</v>
      </c>
      <c r="J2232" t="s">
        <v>8795</v>
      </c>
      <c r="K2232" t="s">
        <v>1967</v>
      </c>
      <c r="L2232" t="s">
        <v>6016</v>
      </c>
      <c r="M2232" s="8">
        <v>165.9855</v>
      </c>
      <c r="N2232">
        <v>0</v>
      </c>
      <c r="O2232">
        <v>1553</v>
      </c>
      <c r="P2232" s="9">
        <v>0.330073230794256</v>
      </c>
      <c r="Q2232" t="s">
        <v>119</v>
      </c>
      <c r="T2232" s="15" t="s">
        <v>119</v>
      </c>
      <c r="W2232" s="16" t="str">
        <f t="shared" si="173"/>
        <v>EN_WON_33_c01_USA</v>
      </c>
      <c r="X2232" s="12">
        <f t="shared" si="174"/>
        <v>1553</v>
      </c>
      <c r="Y2232" s="11">
        <f t="shared" si="175"/>
        <v>1553</v>
      </c>
    </row>
    <row r="2233" spans="2:25">
      <c r="B2233" t="s">
        <v>26</v>
      </c>
      <c r="C2233" t="s">
        <v>8797</v>
      </c>
      <c r="D2233" t="s">
        <v>8798</v>
      </c>
      <c r="E2233" t="s">
        <v>29</v>
      </c>
      <c r="F2233" t="s">
        <v>30</v>
      </c>
      <c r="G2233" t="s">
        <v>31</v>
      </c>
      <c r="J2233" t="s">
        <v>8797</v>
      </c>
      <c r="K2233" t="s">
        <v>1967</v>
      </c>
      <c r="L2233" t="s">
        <v>6016</v>
      </c>
      <c r="M2233" s="8">
        <v>17.92125</v>
      </c>
      <c r="N2233">
        <v>80.7856561622413</v>
      </c>
      <c r="O2233">
        <v>1553</v>
      </c>
      <c r="P2233" s="9">
        <v>0.327310357815443</v>
      </c>
      <c r="Q2233" t="s">
        <v>119</v>
      </c>
      <c r="T2233" s="15" t="s">
        <v>119</v>
      </c>
      <c r="W2233" s="16" t="str">
        <f t="shared" si="173"/>
        <v>EN_WON_33_c02_USA</v>
      </c>
      <c r="X2233" s="12">
        <f t="shared" si="174"/>
        <v>1553</v>
      </c>
      <c r="Y2233" s="11">
        <f t="shared" si="175"/>
        <v>1553</v>
      </c>
    </row>
    <row r="2234" spans="2:25">
      <c r="B2234" t="s">
        <v>26</v>
      </c>
      <c r="C2234" t="s">
        <v>8799</v>
      </c>
      <c r="D2234" t="s">
        <v>8800</v>
      </c>
      <c r="E2234" t="s">
        <v>29</v>
      </c>
      <c r="F2234" t="s">
        <v>30</v>
      </c>
      <c r="G2234" t="s">
        <v>31</v>
      </c>
      <c r="J2234" t="s">
        <v>8799</v>
      </c>
      <c r="K2234" t="s">
        <v>1967</v>
      </c>
      <c r="L2234" t="s">
        <v>6016</v>
      </c>
      <c r="M2234" s="8">
        <v>2.625</v>
      </c>
      <c r="N2234">
        <v>105.747516212372</v>
      </c>
      <c r="O2234">
        <v>1553</v>
      </c>
      <c r="P2234" s="9">
        <v>0.334</v>
      </c>
      <c r="Q2234" t="s">
        <v>119</v>
      </c>
      <c r="T2234" s="15" t="s">
        <v>119</v>
      </c>
      <c r="W2234" s="16" t="str">
        <f t="shared" si="173"/>
        <v>EN_WON_33_c03_USA</v>
      </c>
      <c r="X2234" s="12">
        <f t="shared" si="174"/>
        <v>1553</v>
      </c>
      <c r="Y2234" s="11">
        <f t="shared" si="175"/>
        <v>1553</v>
      </c>
    </row>
    <row r="2235" spans="2:25">
      <c r="B2235" t="s">
        <v>26</v>
      </c>
      <c r="C2235" t="s">
        <v>8801</v>
      </c>
      <c r="D2235" t="s">
        <v>8802</v>
      </c>
      <c r="E2235" t="s">
        <v>29</v>
      </c>
      <c r="F2235" t="s">
        <v>30</v>
      </c>
      <c r="G2235" t="s">
        <v>31</v>
      </c>
      <c r="J2235" t="s">
        <v>8801</v>
      </c>
      <c r="K2235" t="s">
        <v>1967</v>
      </c>
      <c r="L2235" t="s">
        <v>6016</v>
      </c>
      <c r="M2235" s="8">
        <v>12.7605</v>
      </c>
      <c r="N2235">
        <v>145.23264029167</v>
      </c>
      <c r="O2235">
        <v>1553</v>
      </c>
      <c r="P2235" s="9">
        <v>0.329328317855883</v>
      </c>
      <c r="Q2235" t="s">
        <v>119</v>
      </c>
      <c r="T2235" s="15" t="s">
        <v>119</v>
      </c>
      <c r="W2235" s="16" t="str">
        <f t="shared" si="173"/>
        <v>EN_WON_33_c04_USA</v>
      </c>
      <c r="X2235" s="12">
        <f t="shared" si="174"/>
        <v>1553</v>
      </c>
      <c r="Y2235" s="11">
        <f t="shared" si="175"/>
        <v>1553</v>
      </c>
    </row>
    <row r="2236" spans="2:25">
      <c r="B2236" t="s">
        <v>26</v>
      </c>
      <c r="C2236" t="s">
        <v>8803</v>
      </c>
      <c r="D2236" t="s">
        <v>8804</v>
      </c>
      <c r="E2236" t="s">
        <v>29</v>
      </c>
      <c r="F2236" t="s">
        <v>30</v>
      </c>
      <c r="G2236" t="s">
        <v>31</v>
      </c>
      <c r="J2236" t="s">
        <v>8803</v>
      </c>
      <c r="K2236" t="s">
        <v>1967</v>
      </c>
      <c r="L2236" t="s">
        <v>6016</v>
      </c>
      <c r="M2236" s="8">
        <v>191.0685</v>
      </c>
      <c r="N2236">
        <v>0</v>
      </c>
      <c r="O2236">
        <v>1553</v>
      </c>
      <c r="P2236" s="9">
        <v>0.339284776140494</v>
      </c>
      <c r="Q2236" t="s">
        <v>119</v>
      </c>
      <c r="T2236" s="15" t="s">
        <v>119</v>
      </c>
      <c r="W2236" s="16" t="str">
        <f t="shared" si="173"/>
        <v>EN_WON_34_c01_USA</v>
      </c>
      <c r="X2236" s="12">
        <f t="shared" si="174"/>
        <v>1553</v>
      </c>
      <c r="Y2236" s="11">
        <f t="shared" si="175"/>
        <v>1553</v>
      </c>
    </row>
    <row r="2237" spans="2:25">
      <c r="B2237" t="s">
        <v>26</v>
      </c>
      <c r="C2237" t="s">
        <v>8805</v>
      </c>
      <c r="D2237" t="s">
        <v>8806</v>
      </c>
      <c r="E2237" t="s">
        <v>29</v>
      </c>
      <c r="F2237" t="s">
        <v>30</v>
      </c>
      <c r="G2237" t="s">
        <v>31</v>
      </c>
      <c r="J2237" t="s">
        <v>8805</v>
      </c>
      <c r="K2237" t="s">
        <v>1967</v>
      </c>
      <c r="L2237" t="s">
        <v>6016</v>
      </c>
      <c r="M2237" s="8">
        <v>16.4565</v>
      </c>
      <c r="N2237">
        <v>80.7856561622413</v>
      </c>
      <c r="O2237">
        <v>1553</v>
      </c>
      <c r="P2237" s="9">
        <v>0.338614119041108</v>
      </c>
      <c r="Q2237" t="s">
        <v>119</v>
      </c>
      <c r="T2237" s="15" t="s">
        <v>119</v>
      </c>
      <c r="W2237" s="16" t="str">
        <f t="shared" si="173"/>
        <v>EN_WON_34_c02_USA</v>
      </c>
      <c r="X2237" s="12">
        <f t="shared" si="174"/>
        <v>1553</v>
      </c>
      <c r="Y2237" s="11">
        <f t="shared" si="175"/>
        <v>1553</v>
      </c>
    </row>
    <row r="2238" spans="2:25">
      <c r="B2238" t="s">
        <v>26</v>
      </c>
      <c r="C2238" t="s">
        <v>8807</v>
      </c>
      <c r="D2238" t="s">
        <v>8808</v>
      </c>
      <c r="E2238" t="s">
        <v>29</v>
      </c>
      <c r="F2238" t="s">
        <v>30</v>
      </c>
      <c r="G2238" t="s">
        <v>31</v>
      </c>
      <c r="J2238" t="s">
        <v>8807</v>
      </c>
      <c r="K2238" t="s">
        <v>1967</v>
      </c>
      <c r="L2238" t="s">
        <v>6016</v>
      </c>
      <c r="M2238" s="8">
        <v>5.40375</v>
      </c>
      <c r="N2238">
        <v>105.747516212372</v>
      </c>
      <c r="O2238">
        <v>1553</v>
      </c>
      <c r="P2238" s="9">
        <v>0.339815683553088</v>
      </c>
      <c r="Q2238" t="s">
        <v>119</v>
      </c>
      <c r="T2238" s="15" t="s">
        <v>119</v>
      </c>
      <c r="W2238" s="16" t="str">
        <f t="shared" si="173"/>
        <v>EN_WON_34_c03_USA</v>
      </c>
      <c r="X2238" s="12">
        <f t="shared" si="174"/>
        <v>1553</v>
      </c>
      <c r="Y2238" s="11">
        <f t="shared" si="175"/>
        <v>1553</v>
      </c>
    </row>
    <row r="2239" spans="2:25">
      <c r="B2239" t="s">
        <v>26</v>
      </c>
      <c r="C2239" t="s">
        <v>8809</v>
      </c>
      <c r="D2239" t="s">
        <v>8810</v>
      </c>
      <c r="E2239" t="s">
        <v>29</v>
      </c>
      <c r="F2239" t="s">
        <v>30</v>
      </c>
      <c r="G2239" t="s">
        <v>31</v>
      </c>
      <c r="J2239" t="s">
        <v>8809</v>
      </c>
      <c r="K2239" t="s">
        <v>1967</v>
      </c>
      <c r="L2239" t="s">
        <v>6016</v>
      </c>
      <c r="M2239" s="8">
        <v>9.555</v>
      </c>
      <c r="N2239">
        <v>145.23264029167</v>
      </c>
      <c r="O2239">
        <v>1553</v>
      </c>
      <c r="P2239" s="9">
        <v>0.341017739403454</v>
      </c>
      <c r="Q2239" t="s">
        <v>119</v>
      </c>
      <c r="T2239" s="15" t="s">
        <v>119</v>
      </c>
      <c r="W2239" s="16" t="str">
        <f t="shared" si="173"/>
        <v>EN_WON_34_c04_USA</v>
      </c>
      <c r="X2239" s="12">
        <f t="shared" si="174"/>
        <v>1553</v>
      </c>
      <c r="Y2239" s="11">
        <f t="shared" si="175"/>
        <v>1553</v>
      </c>
    </row>
    <row r="2240" spans="2:25">
      <c r="B2240" t="s">
        <v>26</v>
      </c>
      <c r="C2240" t="s">
        <v>8811</v>
      </c>
      <c r="D2240" t="s">
        <v>8812</v>
      </c>
      <c r="E2240" t="s">
        <v>29</v>
      </c>
      <c r="F2240" t="s">
        <v>30</v>
      </c>
      <c r="G2240" t="s">
        <v>31</v>
      </c>
      <c r="J2240" t="s">
        <v>8811</v>
      </c>
      <c r="K2240" t="s">
        <v>1967</v>
      </c>
      <c r="L2240" t="s">
        <v>6016</v>
      </c>
      <c r="M2240" s="8">
        <v>170.529</v>
      </c>
      <c r="N2240">
        <v>0</v>
      </c>
      <c r="O2240">
        <v>1553</v>
      </c>
      <c r="P2240" s="9">
        <v>0.350364750277079</v>
      </c>
      <c r="Q2240" t="s">
        <v>119</v>
      </c>
      <c r="T2240" s="15" t="s">
        <v>119</v>
      </c>
      <c r="W2240" s="16" t="str">
        <f t="shared" si="173"/>
        <v>EN_WON_35_c01_USA</v>
      </c>
      <c r="X2240" s="12">
        <f t="shared" si="174"/>
        <v>1553</v>
      </c>
      <c r="Y2240" s="11">
        <f t="shared" si="175"/>
        <v>1553</v>
      </c>
    </row>
    <row r="2241" spans="2:25">
      <c r="B2241" t="s">
        <v>26</v>
      </c>
      <c r="C2241" t="s">
        <v>8813</v>
      </c>
      <c r="D2241" t="s">
        <v>8814</v>
      </c>
      <c r="E2241" t="s">
        <v>29</v>
      </c>
      <c r="F2241" t="s">
        <v>30</v>
      </c>
      <c r="G2241" t="s">
        <v>31</v>
      </c>
      <c r="J2241" t="s">
        <v>8813</v>
      </c>
      <c r="K2241" t="s">
        <v>1967</v>
      </c>
      <c r="L2241" t="s">
        <v>6016</v>
      </c>
      <c r="M2241" s="8">
        <v>30.01725</v>
      </c>
      <c r="N2241">
        <v>80.7856561622413</v>
      </c>
      <c r="O2241">
        <v>1553</v>
      </c>
      <c r="P2241" s="9">
        <v>0.350310746320866</v>
      </c>
      <c r="Q2241" t="s">
        <v>119</v>
      </c>
      <c r="T2241" s="15" t="s">
        <v>119</v>
      </c>
      <c r="W2241" s="16" t="str">
        <f t="shared" si="173"/>
        <v>EN_WON_35_c02_USA</v>
      </c>
      <c r="X2241" s="12">
        <f t="shared" si="174"/>
        <v>1553</v>
      </c>
      <c r="Y2241" s="11">
        <f t="shared" si="175"/>
        <v>1553</v>
      </c>
    </row>
    <row r="2242" spans="2:25">
      <c r="B2242" t="s">
        <v>26</v>
      </c>
      <c r="C2242" t="s">
        <v>8815</v>
      </c>
      <c r="D2242" t="s">
        <v>8816</v>
      </c>
      <c r="E2242" t="s">
        <v>29</v>
      </c>
      <c r="F2242" t="s">
        <v>30</v>
      </c>
      <c r="G2242" t="s">
        <v>31</v>
      </c>
      <c r="J2242" t="s">
        <v>8815</v>
      </c>
      <c r="K2242" t="s">
        <v>1967</v>
      </c>
      <c r="L2242" t="s">
        <v>6016</v>
      </c>
      <c r="M2242" s="8">
        <v>2.98125</v>
      </c>
      <c r="N2242">
        <v>105.747516212372</v>
      </c>
      <c r="O2242">
        <v>1553</v>
      </c>
      <c r="P2242" s="9">
        <v>0.34531144654088</v>
      </c>
      <c r="Q2242" t="s">
        <v>119</v>
      </c>
      <c r="T2242" s="15" t="s">
        <v>119</v>
      </c>
      <c r="W2242" s="16" t="str">
        <f t="shared" si="173"/>
        <v>EN_WON_35_c03_USA</v>
      </c>
      <c r="X2242" s="12">
        <f t="shared" si="174"/>
        <v>1553</v>
      </c>
      <c r="Y2242" s="11">
        <f t="shared" si="175"/>
        <v>1553</v>
      </c>
    </row>
    <row r="2243" spans="2:25">
      <c r="B2243" t="s">
        <v>26</v>
      </c>
      <c r="C2243" t="s">
        <v>8817</v>
      </c>
      <c r="D2243" t="s">
        <v>8818</v>
      </c>
      <c r="E2243" t="s">
        <v>29</v>
      </c>
      <c r="F2243" t="s">
        <v>30</v>
      </c>
      <c r="G2243" t="s">
        <v>31</v>
      </c>
      <c r="J2243" t="s">
        <v>8817</v>
      </c>
      <c r="K2243" t="s">
        <v>1967</v>
      </c>
      <c r="L2243" t="s">
        <v>6016</v>
      </c>
      <c r="M2243" s="8">
        <v>5.27025</v>
      </c>
      <c r="N2243">
        <v>145.23264029167</v>
      </c>
      <c r="O2243">
        <v>1553</v>
      </c>
      <c r="P2243" s="9">
        <v>0.347874484132631</v>
      </c>
      <c r="Q2243" t="s">
        <v>119</v>
      </c>
      <c r="T2243" s="15" t="s">
        <v>119</v>
      </c>
      <c r="W2243" s="16" t="str">
        <f t="shared" si="173"/>
        <v>EN_WON_35_c04_USA</v>
      </c>
      <c r="X2243" s="12">
        <f t="shared" si="174"/>
        <v>1553</v>
      </c>
      <c r="Y2243" s="11">
        <f t="shared" si="175"/>
        <v>1553</v>
      </c>
    </row>
    <row r="2244" spans="2:25">
      <c r="B2244" t="s">
        <v>26</v>
      </c>
      <c r="C2244" t="s">
        <v>8819</v>
      </c>
      <c r="D2244" t="s">
        <v>8820</v>
      </c>
      <c r="E2244" t="s">
        <v>29</v>
      </c>
      <c r="F2244" t="s">
        <v>30</v>
      </c>
      <c r="G2244" t="s">
        <v>31</v>
      </c>
      <c r="J2244" t="s">
        <v>8819</v>
      </c>
      <c r="K2244" t="s">
        <v>1967</v>
      </c>
      <c r="L2244" t="s">
        <v>6016</v>
      </c>
      <c r="M2244" s="8">
        <v>159.78975</v>
      </c>
      <c r="N2244">
        <v>0</v>
      </c>
      <c r="O2244">
        <v>1553</v>
      </c>
      <c r="P2244" s="9">
        <v>0.358887624206183</v>
      </c>
      <c r="Q2244" t="s">
        <v>119</v>
      </c>
      <c r="T2244" s="15" t="s">
        <v>119</v>
      </c>
      <c r="W2244" s="16" t="str">
        <f t="shared" si="173"/>
        <v>EN_WON_36_c01_USA</v>
      </c>
      <c r="X2244" s="12">
        <f t="shared" si="174"/>
        <v>1553</v>
      </c>
      <c r="Y2244" s="11">
        <f t="shared" si="175"/>
        <v>1553</v>
      </c>
    </row>
    <row r="2245" spans="2:25">
      <c r="B2245" t="s">
        <v>26</v>
      </c>
      <c r="C2245" t="s">
        <v>8821</v>
      </c>
      <c r="D2245" t="s">
        <v>8822</v>
      </c>
      <c r="E2245" t="s">
        <v>29</v>
      </c>
      <c r="F2245" t="s">
        <v>30</v>
      </c>
      <c r="G2245" t="s">
        <v>31</v>
      </c>
      <c r="J2245" t="s">
        <v>8821</v>
      </c>
      <c r="K2245" t="s">
        <v>1967</v>
      </c>
      <c r="L2245" t="s">
        <v>6016</v>
      </c>
      <c r="M2245" s="8">
        <v>9.096</v>
      </c>
      <c r="N2245">
        <v>80.7856561622413</v>
      </c>
      <c r="O2245">
        <v>1553</v>
      </c>
      <c r="P2245" s="9">
        <v>0.360975593667546</v>
      </c>
      <c r="Q2245" t="s">
        <v>119</v>
      </c>
      <c r="T2245" s="15" t="s">
        <v>119</v>
      </c>
      <c r="W2245" s="16" t="str">
        <f t="shared" si="173"/>
        <v>EN_WON_36_c02_USA</v>
      </c>
      <c r="X2245" s="12">
        <f t="shared" si="174"/>
        <v>1553</v>
      </c>
      <c r="Y2245" s="11">
        <f t="shared" si="175"/>
        <v>1553</v>
      </c>
    </row>
    <row r="2246" spans="2:25">
      <c r="B2246" t="s">
        <v>26</v>
      </c>
      <c r="C2246" t="s">
        <v>8823</v>
      </c>
      <c r="D2246" t="s">
        <v>8824</v>
      </c>
      <c r="E2246" t="s">
        <v>29</v>
      </c>
      <c r="F2246" t="s">
        <v>30</v>
      </c>
      <c r="G2246" t="s">
        <v>31</v>
      </c>
      <c r="J2246" t="s">
        <v>8823</v>
      </c>
      <c r="K2246" t="s">
        <v>1967</v>
      </c>
      <c r="L2246" t="s">
        <v>6016</v>
      </c>
      <c r="M2246" s="8">
        <v>4.65225</v>
      </c>
      <c r="N2246">
        <v>105.747516212372</v>
      </c>
      <c r="O2246">
        <v>1553</v>
      </c>
      <c r="P2246" s="9">
        <v>0.35863549895212</v>
      </c>
      <c r="Q2246" t="s">
        <v>119</v>
      </c>
      <c r="T2246" s="15" t="s">
        <v>119</v>
      </c>
      <c r="W2246" s="16" t="str">
        <f t="shared" ref="W2246:W2309" si="176">J2246</f>
        <v>EN_WON_36_c03_USA</v>
      </c>
      <c r="X2246" s="12">
        <f t="shared" ref="X2246:X2309" si="177">O2246</f>
        <v>1553</v>
      </c>
      <c r="Y2246" s="11">
        <f t="shared" ref="Y2246:Y2309" si="178">X2246</f>
        <v>1553</v>
      </c>
    </row>
    <row r="2247" spans="2:25">
      <c r="B2247" t="s">
        <v>26</v>
      </c>
      <c r="C2247" t="s">
        <v>8825</v>
      </c>
      <c r="D2247" t="s">
        <v>8826</v>
      </c>
      <c r="E2247" t="s">
        <v>29</v>
      </c>
      <c r="F2247" t="s">
        <v>30</v>
      </c>
      <c r="G2247" t="s">
        <v>31</v>
      </c>
      <c r="J2247" t="s">
        <v>8825</v>
      </c>
      <c r="K2247" t="s">
        <v>1967</v>
      </c>
      <c r="L2247" t="s">
        <v>6016</v>
      </c>
      <c r="M2247" s="8">
        <v>12.072</v>
      </c>
      <c r="N2247">
        <v>145.23264029167</v>
      </c>
      <c r="O2247">
        <v>1553</v>
      </c>
      <c r="P2247" s="9">
        <v>0.358319644632207</v>
      </c>
      <c r="Q2247" t="s">
        <v>119</v>
      </c>
      <c r="T2247" s="15" t="s">
        <v>119</v>
      </c>
      <c r="W2247" s="16" t="str">
        <f t="shared" si="176"/>
        <v>EN_WON_36_c04_USA</v>
      </c>
      <c r="X2247" s="12">
        <f t="shared" si="177"/>
        <v>1553</v>
      </c>
      <c r="Y2247" s="11">
        <f t="shared" si="178"/>
        <v>1553</v>
      </c>
    </row>
    <row r="2248" spans="2:25">
      <c r="B2248" t="s">
        <v>26</v>
      </c>
      <c r="C2248" t="s">
        <v>8827</v>
      </c>
      <c r="D2248" t="s">
        <v>8828</v>
      </c>
      <c r="E2248" t="s">
        <v>29</v>
      </c>
      <c r="F2248" t="s">
        <v>30</v>
      </c>
      <c r="G2248" t="s">
        <v>31</v>
      </c>
      <c r="J2248" t="s">
        <v>8827</v>
      </c>
      <c r="K2248" t="s">
        <v>1967</v>
      </c>
      <c r="L2248" t="s">
        <v>6016</v>
      </c>
      <c r="M2248" s="8">
        <v>176.613</v>
      </c>
      <c r="N2248">
        <v>0</v>
      </c>
      <c r="O2248">
        <v>1553</v>
      </c>
      <c r="P2248" s="9">
        <v>0.370200671807851</v>
      </c>
      <c r="Q2248" t="s">
        <v>119</v>
      </c>
      <c r="T2248" s="15" t="s">
        <v>119</v>
      </c>
      <c r="W2248" s="16" t="str">
        <f t="shared" si="176"/>
        <v>EN_WON_37_c01_USA</v>
      </c>
      <c r="X2248" s="12">
        <f t="shared" si="177"/>
        <v>1553</v>
      </c>
      <c r="Y2248" s="11">
        <f t="shared" si="178"/>
        <v>1553</v>
      </c>
    </row>
    <row r="2249" spans="2:25">
      <c r="B2249" t="s">
        <v>26</v>
      </c>
      <c r="C2249" t="s">
        <v>8829</v>
      </c>
      <c r="D2249" t="s">
        <v>8830</v>
      </c>
      <c r="E2249" t="s">
        <v>29</v>
      </c>
      <c r="F2249" t="s">
        <v>30</v>
      </c>
      <c r="G2249" t="s">
        <v>31</v>
      </c>
      <c r="J2249" t="s">
        <v>8829</v>
      </c>
      <c r="K2249" t="s">
        <v>1967</v>
      </c>
      <c r="L2249" t="s">
        <v>6016</v>
      </c>
      <c r="M2249" s="8">
        <v>6.71025</v>
      </c>
      <c r="N2249">
        <v>80.7856561622413</v>
      </c>
      <c r="O2249">
        <v>1553</v>
      </c>
      <c r="P2249" s="9">
        <v>0.368711858723595</v>
      </c>
      <c r="Q2249" t="s">
        <v>119</v>
      </c>
      <c r="T2249" s="15" t="s">
        <v>119</v>
      </c>
      <c r="W2249" s="16" t="str">
        <f t="shared" si="176"/>
        <v>EN_WON_37_c02_USA</v>
      </c>
      <c r="X2249" s="12">
        <f t="shared" si="177"/>
        <v>1553</v>
      </c>
      <c r="Y2249" s="11">
        <f t="shared" si="178"/>
        <v>1553</v>
      </c>
    </row>
    <row r="2250" spans="2:25">
      <c r="B2250" t="s">
        <v>26</v>
      </c>
      <c r="C2250" t="s">
        <v>8831</v>
      </c>
      <c r="D2250" t="s">
        <v>8832</v>
      </c>
      <c r="E2250" t="s">
        <v>29</v>
      </c>
      <c r="F2250" t="s">
        <v>30</v>
      </c>
      <c r="G2250" t="s">
        <v>31</v>
      </c>
      <c r="J2250" t="s">
        <v>8831</v>
      </c>
      <c r="K2250" t="s">
        <v>1967</v>
      </c>
      <c r="L2250" t="s">
        <v>6016</v>
      </c>
      <c r="M2250" s="8">
        <v>0.2895</v>
      </c>
      <c r="N2250">
        <v>105.747516212372</v>
      </c>
      <c r="O2250">
        <v>1553</v>
      </c>
      <c r="P2250" s="9">
        <v>0.371</v>
      </c>
      <c r="Q2250" t="s">
        <v>119</v>
      </c>
      <c r="T2250" s="15" t="s">
        <v>119</v>
      </c>
      <c r="W2250" s="16" t="str">
        <f t="shared" si="176"/>
        <v>EN_WON_37_c03_USA</v>
      </c>
      <c r="X2250" s="12">
        <f t="shared" si="177"/>
        <v>1553</v>
      </c>
      <c r="Y2250" s="11">
        <f t="shared" si="178"/>
        <v>1553</v>
      </c>
    </row>
    <row r="2251" spans="2:25">
      <c r="B2251" t="s">
        <v>26</v>
      </c>
      <c r="C2251" t="s">
        <v>8833</v>
      </c>
      <c r="D2251" t="s">
        <v>8834</v>
      </c>
      <c r="E2251" t="s">
        <v>29</v>
      </c>
      <c r="F2251" t="s">
        <v>30</v>
      </c>
      <c r="G2251" t="s">
        <v>31</v>
      </c>
      <c r="J2251" t="s">
        <v>8833</v>
      </c>
      <c r="K2251" t="s">
        <v>1967</v>
      </c>
      <c r="L2251" t="s">
        <v>6016</v>
      </c>
      <c r="M2251" s="8">
        <v>5.76825</v>
      </c>
      <c r="N2251">
        <v>145.23264029167</v>
      </c>
      <c r="O2251">
        <v>1553</v>
      </c>
      <c r="P2251" s="9">
        <v>0.372419841373033</v>
      </c>
      <c r="Q2251" t="s">
        <v>119</v>
      </c>
      <c r="T2251" s="15" t="s">
        <v>119</v>
      </c>
      <c r="W2251" s="16" t="str">
        <f t="shared" si="176"/>
        <v>EN_WON_37_c04_USA</v>
      </c>
      <c r="X2251" s="12">
        <f t="shared" si="177"/>
        <v>1553</v>
      </c>
      <c r="Y2251" s="11">
        <f t="shared" si="178"/>
        <v>1553</v>
      </c>
    </row>
    <row r="2252" spans="2:25">
      <c r="B2252" t="s">
        <v>26</v>
      </c>
      <c r="C2252" t="s">
        <v>8835</v>
      </c>
      <c r="D2252" t="s">
        <v>8836</v>
      </c>
      <c r="E2252" t="s">
        <v>29</v>
      </c>
      <c r="F2252" t="s">
        <v>30</v>
      </c>
      <c r="G2252" t="s">
        <v>31</v>
      </c>
      <c r="J2252" t="s">
        <v>8835</v>
      </c>
      <c r="K2252" t="s">
        <v>1967</v>
      </c>
      <c r="L2252" t="s">
        <v>6016</v>
      </c>
      <c r="M2252" s="8">
        <v>313.73025</v>
      </c>
      <c r="N2252">
        <v>0</v>
      </c>
      <c r="O2252">
        <v>1553</v>
      </c>
      <c r="P2252" s="9">
        <v>0.379252843007648</v>
      </c>
      <c r="Q2252" t="s">
        <v>119</v>
      </c>
      <c r="T2252" s="15" t="s">
        <v>119</v>
      </c>
      <c r="W2252" s="16" t="str">
        <f t="shared" si="176"/>
        <v>EN_WON_38_c01_USA</v>
      </c>
      <c r="X2252" s="12">
        <f t="shared" si="177"/>
        <v>1553</v>
      </c>
      <c r="Y2252" s="11">
        <f t="shared" si="178"/>
        <v>1553</v>
      </c>
    </row>
    <row r="2253" spans="2:25">
      <c r="B2253" t="s">
        <v>26</v>
      </c>
      <c r="C2253" t="s">
        <v>8837</v>
      </c>
      <c r="D2253" t="s">
        <v>8838</v>
      </c>
      <c r="E2253" t="s">
        <v>29</v>
      </c>
      <c r="F2253" t="s">
        <v>30</v>
      </c>
      <c r="G2253" t="s">
        <v>31</v>
      </c>
      <c r="J2253" t="s">
        <v>8837</v>
      </c>
      <c r="K2253" t="s">
        <v>1967</v>
      </c>
      <c r="L2253" t="s">
        <v>6016</v>
      </c>
      <c r="M2253" s="8">
        <v>3.24225</v>
      </c>
      <c r="N2253">
        <v>80.7856561622413</v>
      </c>
      <c r="O2253">
        <v>1553</v>
      </c>
      <c r="P2253" s="9">
        <v>0.381598889659958</v>
      </c>
      <c r="Q2253" t="s">
        <v>119</v>
      </c>
      <c r="T2253" s="15" t="s">
        <v>119</v>
      </c>
      <c r="W2253" s="16" t="str">
        <f t="shared" si="176"/>
        <v>EN_WON_38_c02_USA</v>
      </c>
      <c r="X2253" s="12">
        <f t="shared" si="177"/>
        <v>1553</v>
      </c>
      <c r="Y2253" s="11">
        <f t="shared" si="178"/>
        <v>1553</v>
      </c>
    </row>
    <row r="2254" spans="2:25">
      <c r="B2254" t="s">
        <v>26</v>
      </c>
      <c r="C2254" t="s">
        <v>8839</v>
      </c>
      <c r="D2254" t="s">
        <v>8840</v>
      </c>
      <c r="E2254" t="s">
        <v>29</v>
      </c>
      <c r="F2254" t="s">
        <v>30</v>
      </c>
      <c r="G2254" t="s">
        <v>31</v>
      </c>
      <c r="J2254" t="s">
        <v>8839</v>
      </c>
      <c r="K2254" t="s">
        <v>1967</v>
      </c>
      <c r="L2254" t="s">
        <v>6016</v>
      </c>
      <c r="M2254" s="8">
        <v>6.87825</v>
      </c>
      <c r="N2254">
        <v>105.747516212372</v>
      </c>
      <c r="O2254">
        <v>1553</v>
      </c>
      <c r="P2254" s="9">
        <v>0.380331370624796</v>
      </c>
      <c r="Q2254" t="s">
        <v>119</v>
      </c>
      <c r="T2254" s="15" t="s">
        <v>119</v>
      </c>
      <c r="W2254" s="16" t="str">
        <f t="shared" si="176"/>
        <v>EN_WON_38_c03_USA</v>
      </c>
      <c r="X2254" s="12">
        <f t="shared" si="177"/>
        <v>1553</v>
      </c>
      <c r="Y2254" s="11">
        <f t="shared" si="178"/>
        <v>1553</v>
      </c>
    </row>
    <row r="2255" spans="2:25">
      <c r="B2255" t="s">
        <v>26</v>
      </c>
      <c r="C2255" t="s">
        <v>8841</v>
      </c>
      <c r="D2255" t="s">
        <v>8842</v>
      </c>
      <c r="E2255" t="s">
        <v>29</v>
      </c>
      <c r="F2255" t="s">
        <v>30</v>
      </c>
      <c r="G2255" t="s">
        <v>31</v>
      </c>
      <c r="J2255" t="s">
        <v>8841</v>
      </c>
      <c r="K2255" t="s">
        <v>1967</v>
      </c>
      <c r="L2255" t="s">
        <v>6016</v>
      </c>
      <c r="M2255" s="8">
        <v>4.08675</v>
      </c>
      <c r="N2255">
        <v>145.23264029167</v>
      </c>
      <c r="O2255">
        <v>1553</v>
      </c>
      <c r="P2255" s="9">
        <v>0.382107542668379</v>
      </c>
      <c r="Q2255" t="s">
        <v>119</v>
      </c>
      <c r="T2255" s="15" t="s">
        <v>119</v>
      </c>
      <c r="W2255" s="16" t="str">
        <f t="shared" si="176"/>
        <v>EN_WON_38_c04_USA</v>
      </c>
      <c r="X2255" s="12">
        <f t="shared" si="177"/>
        <v>1553</v>
      </c>
      <c r="Y2255" s="11">
        <f t="shared" si="178"/>
        <v>1553</v>
      </c>
    </row>
    <row r="2256" spans="2:25">
      <c r="B2256" t="s">
        <v>26</v>
      </c>
      <c r="C2256" t="s">
        <v>8843</v>
      </c>
      <c r="D2256" t="s">
        <v>8844</v>
      </c>
      <c r="E2256" t="s">
        <v>29</v>
      </c>
      <c r="F2256" t="s">
        <v>30</v>
      </c>
      <c r="G2256" t="s">
        <v>31</v>
      </c>
      <c r="J2256" t="s">
        <v>8843</v>
      </c>
      <c r="K2256" t="s">
        <v>1967</v>
      </c>
      <c r="L2256" t="s">
        <v>6016</v>
      </c>
      <c r="M2256" s="8">
        <v>229.32075</v>
      </c>
      <c r="N2256">
        <v>0</v>
      </c>
      <c r="O2256">
        <v>1553</v>
      </c>
      <c r="P2256" s="9">
        <v>0.389421587449021</v>
      </c>
      <c r="Q2256" t="s">
        <v>119</v>
      </c>
      <c r="T2256" s="15" t="s">
        <v>119</v>
      </c>
      <c r="W2256" s="16" t="str">
        <f t="shared" si="176"/>
        <v>EN_WON_39_c01_USA</v>
      </c>
      <c r="X2256" s="12">
        <f t="shared" si="177"/>
        <v>1553</v>
      </c>
      <c r="Y2256" s="11">
        <f t="shared" si="178"/>
        <v>1553</v>
      </c>
    </row>
    <row r="2257" spans="2:25">
      <c r="B2257" t="s">
        <v>26</v>
      </c>
      <c r="C2257" t="s">
        <v>8845</v>
      </c>
      <c r="D2257" t="s">
        <v>8846</v>
      </c>
      <c r="E2257" t="s">
        <v>29</v>
      </c>
      <c r="F2257" t="s">
        <v>30</v>
      </c>
      <c r="G2257" t="s">
        <v>31</v>
      </c>
      <c r="J2257" t="s">
        <v>8845</v>
      </c>
      <c r="K2257" t="s">
        <v>1967</v>
      </c>
      <c r="L2257" t="s">
        <v>6016</v>
      </c>
      <c r="M2257" s="8">
        <v>4.50675</v>
      </c>
      <c r="N2257">
        <v>80.7856561622413</v>
      </c>
      <c r="O2257">
        <v>1553</v>
      </c>
      <c r="P2257" s="9">
        <v>0.386604593110335</v>
      </c>
      <c r="Q2257" t="s">
        <v>119</v>
      </c>
      <c r="T2257" s="15" t="s">
        <v>119</v>
      </c>
      <c r="W2257" s="16" t="str">
        <f t="shared" si="176"/>
        <v>EN_WON_39_c02_USA</v>
      </c>
      <c r="X2257" s="12">
        <f t="shared" si="177"/>
        <v>1553</v>
      </c>
      <c r="Y2257" s="11">
        <f t="shared" si="178"/>
        <v>1553</v>
      </c>
    </row>
    <row r="2258" spans="2:25">
      <c r="B2258" t="s">
        <v>26</v>
      </c>
      <c r="C2258" t="s">
        <v>8847</v>
      </c>
      <c r="D2258" t="s">
        <v>8848</v>
      </c>
      <c r="E2258" t="s">
        <v>29</v>
      </c>
      <c r="F2258" t="s">
        <v>30</v>
      </c>
      <c r="G2258" t="s">
        <v>31</v>
      </c>
      <c r="J2258" t="s">
        <v>8847</v>
      </c>
      <c r="K2258" t="s">
        <v>1967</v>
      </c>
      <c r="L2258" t="s">
        <v>6016</v>
      </c>
      <c r="M2258" s="8">
        <v>0.609</v>
      </c>
      <c r="N2258">
        <v>105.747516212372</v>
      </c>
      <c r="O2258">
        <v>1553</v>
      </c>
      <c r="P2258" s="9">
        <v>0.38990763546798</v>
      </c>
      <c r="Q2258" t="s">
        <v>119</v>
      </c>
      <c r="T2258" s="15" t="s">
        <v>119</v>
      </c>
      <c r="W2258" s="16" t="str">
        <f t="shared" si="176"/>
        <v>EN_WON_39_c03_USA</v>
      </c>
      <c r="X2258" s="12">
        <f t="shared" si="177"/>
        <v>1553</v>
      </c>
      <c r="Y2258" s="11">
        <f t="shared" si="178"/>
        <v>1553</v>
      </c>
    </row>
    <row r="2259" spans="2:25">
      <c r="B2259" t="s">
        <v>26</v>
      </c>
      <c r="C2259" t="s">
        <v>8849</v>
      </c>
      <c r="D2259" t="s">
        <v>8850</v>
      </c>
      <c r="E2259" t="s">
        <v>29</v>
      </c>
      <c r="F2259" t="s">
        <v>30</v>
      </c>
      <c r="G2259" t="s">
        <v>31</v>
      </c>
      <c r="J2259" t="s">
        <v>8849</v>
      </c>
      <c r="K2259" t="s">
        <v>1967</v>
      </c>
      <c r="L2259" t="s">
        <v>6016</v>
      </c>
      <c r="M2259" s="8">
        <v>13.38525</v>
      </c>
      <c r="N2259">
        <v>145.23264029167</v>
      </c>
      <c r="O2259">
        <v>1553</v>
      </c>
      <c r="P2259" s="9">
        <v>0.390050540707122</v>
      </c>
      <c r="Q2259" t="s">
        <v>119</v>
      </c>
      <c r="T2259" s="15" t="s">
        <v>119</v>
      </c>
      <c r="W2259" s="16" t="str">
        <f t="shared" si="176"/>
        <v>EN_WON_39_c04_USA</v>
      </c>
      <c r="X2259" s="12">
        <f t="shared" si="177"/>
        <v>1553</v>
      </c>
      <c r="Y2259" s="11">
        <f t="shared" si="178"/>
        <v>1553</v>
      </c>
    </row>
    <row r="2260" spans="2:25">
      <c r="B2260" t="s">
        <v>26</v>
      </c>
      <c r="C2260" t="s">
        <v>8851</v>
      </c>
      <c r="D2260" t="s">
        <v>8852</v>
      </c>
      <c r="E2260" t="s">
        <v>29</v>
      </c>
      <c r="F2260" t="s">
        <v>30</v>
      </c>
      <c r="G2260" t="s">
        <v>31</v>
      </c>
      <c r="J2260" t="s">
        <v>8851</v>
      </c>
      <c r="K2260" t="s">
        <v>1967</v>
      </c>
      <c r="L2260" t="s">
        <v>6016</v>
      </c>
      <c r="M2260" s="8">
        <v>141.996</v>
      </c>
      <c r="N2260">
        <v>0</v>
      </c>
      <c r="O2260">
        <v>1553</v>
      </c>
      <c r="P2260" s="9">
        <v>0.399191545888617</v>
      </c>
      <c r="Q2260" t="s">
        <v>119</v>
      </c>
      <c r="T2260" s="15" t="s">
        <v>119</v>
      </c>
      <c r="W2260" s="16" t="str">
        <f t="shared" si="176"/>
        <v>EN_WON_40_c01_USA</v>
      </c>
      <c r="X2260" s="12">
        <f t="shared" si="177"/>
        <v>1553</v>
      </c>
      <c r="Y2260" s="11">
        <f t="shared" si="178"/>
        <v>1553</v>
      </c>
    </row>
    <row r="2261" spans="2:25">
      <c r="B2261" t="s">
        <v>26</v>
      </c>
      <c r="C2261" t="s">
        <v>8853</v>
      </c>
      <c r="D2261" t="s">
        <v>8854</v>
      </c>
      <c r="E2261" t="s">
        <v>29</v>
      </c>
      <c r="F2261" t="s">
        <v>30</v>
      </c>
      <c r="G2261" t="s">
        <v>31</v>
      </c>
      <c r="J2261" t="s">
        <v>8853</v>
      </c>
      <c r="K2261" t="s">
        <v>1967</v>
      </c>
      <c r="L2261" t="s">
        <v>6016</v>
      </c>
      <c r="M2261" s="8">
        <v>13.4895</v>
      </c>
      <c r="N2261">
        <v>145.23264029167</v>
      </c>
      <c r="O2261">
        <v>1553</v>
      </c>
      <c r="P2261" s="9">
        <v>0.400321805848994</v>
      </c>
      <c r="Q2261" t="s">
        <v>119</v>
      </c>
      <c r="T2261" s="15" t="s">
        <v>119</v>
      </c>
      <c r="W2261" s="16" t="str">
        <f t="shared" si="176"/>
        <v>EN_WON_40_c04_USA</v>
      </c>
      <c r="X2261" s="12">
        <f t="shared" si="177"/>
        <v>1553</v>
      </c>
      <c r="Y2261" s="11">
        <f t="shared" si="178"/>
        <v>1553</v>
      </c>
    </row>
    <row r="2262" spans="2:25">
      <c r="B2262" t="s">
        <v>26</v>
      </c>
      <c r="C2262" t="s">
        <v>8855</v>
      </c>
      <c r="D2262" t="s">
        <v>8856</v>
      </c>
      <c r="E2262" t="s">
        <v>29</v>
      </c>
      <c r="F2262" t="s">
        <v>30</v>
      </c>
      <c r="G2262" t="s">
        <v>31</v>
      </c>
      <c r="J2262" t="s">
        <v>8855</v>
      </c>
      <c r="K2262" t="s">
        <v>1967</v>
      </c>
      <c r="L2262" t="s">
        <v>6016</v>
      </c>
      <c r="M2262" s="8">
        <v>166.4295</v>
      </c>
      <c r="N2262">
        <v>0</v>
      </c>
      <c r="O2262">
        <v>1553</v>
      </c>
      <c r="P2262" s="9">
        <v>0.409179080331311</v>
      </c>
      <c r="Q2262" t="s">
        <v>119</v>
      </c>
      <c r="T2262" s="15" t="s">
        <v>119</v>
      </c>
      <c r="W2262" s="16" t="str">
        <f t="shared" si="176"/>
        <v>EN_WON_41_c01_USA</v>
      </c>
      <c r="X2262" s="12">
        <f t="shared" si="177"/>
        <v>1553</v>
      </c>
      <c r="Y2262" s="11">
        <f t="shared" si="178"/>
        <v>1553</v>
      </c>
    </row>
    <row r="2263" spans="2:25">
      <c r="B2263" t="s">
        <v>26</v>
      </c>
      <c r="C2263" t="s">
        <v>8857</v>
      </c>
      <c r="D2263" t="s">
        <v>8858</v>
      </c>
      <c r="E2263" t="s">
        <v>29</v>
      </c>
      <c r="F2263" t="s">
        <v>30</v>
      </c>
      <c r="G2263" t="s">
        <v>31</v>
      </c>
      <c r="J2263" t="s">
        <v>8857</v>
      </c>
      <c r="K2263" t="s">
        <v>1967</v>
      </c>
      <c r="L2263" t="s">
        <v>6016</v>
      </c>
      <c r="M2263" s="8">
        <v>1.67325</v>
      </c>
      <c r="N2263">
        <v>80.7856561622413</v>
      </c>
      <c r="O2263">
        <v>1553</v>
      </c>
      <c r="P2263" s="9">
        <v>0.414</v>
      </c>
      <c r="Q2263" t="s">
        <v>119</v>
      </c>
      <c r="T2263" s="15" t="s">
        <v>119</v>
      </c>
      <c r="W2263" s="16" t="str">
        <f t="shared" si="176"/>
        <v>EN_WON_41_c02_USA</v>
      </c>
      <c r="X2263" s="12">
        <f t="shared" si="177"/>
        <v>1553</v>
      </c>
      <c r="Y2263" s="11">
        <f t="shared" si="178"/>
        <v>1553</v>
      </c>
    </row>
    <row r="2264" spans="2:25">
      <c r="B2264" t="s">
        <v>26</v>
      </c>
      <c r="C2264" t="s">
        <v>8859</v>
      </c>
      <c r="D2264" t="s">
        <v>8860</v>
      </c>
      <c r="E2264" t="s">
        <v>29</v>
      </c>
      <c r="F2264" t="s">
        <v>30</v>
      </c>
      <c r="G2264" t="s">
        <v>31</v>
      </c>
      <c r="J2264" t="s">
        <v>8859</v>
      </c>
      <c r="K2264" t="s">
        <v>1967</v>
      </c>
      <c r="L2264" t="s">
        <v>6016</v>
      </c>
      <c r="M2264" s="8">
        <v>0.53775</v>
      </c>
      <c r="N2264">
        <v>105.747516212372</v>
      </c>
      <c r="O2264">
        <v>1553</v>
      </c>
      <c r="P2264" s="9">
        <v>0.41</v>
      </c>
      <c r="Q2264" t="s">
        <v>119</v>
      </c>
      <c r="T2264" s="15" t="s">
        <v>119</v>
      </c>
      <c r="W2264" s="16" t="str">
        <f t="shared" si="176"/>
        <v>EN_WON_41_c03_USA</v>
      </c>
      <c r="X2264" s="12">
        <f t="shared" si="177"/>
        <v>1553</v>
      </c>
      <c r="Y2264" s="11">
        <f t="shared" si="178"/>
        <v>1553</v>
      </c>
    </row>
    <row r="2265" spans="2:25">
      <c r="B2265" t="s">
        <v>26</v>
      </c>
      <c r="C2265" t="s">
        <v>8861</v>
      </c>
      <c r="D2265" t="s">
        <v>8862</v>
      </c>
      <c r="E2265" t="s">
        <v>29</v>
      </c>
      <c r="F2265" t="s">
        <v>30</v>
      </c>
      <c r="G2265" t="s">
        <v>31</v>
      </c>
      <c r="J2265" t="s">
        <v>8861</v>
      </c>
      <c r="K2265" t="s">
        <v>1967</v>
      </c>
      <c r="L2265" t="s">
        <v>6016</v>
      </c>
      <c r="M2265" s="8">
        <v>6.78825</v>
      </c>
      <c r="N2265">
        <v>145.23264029167</v>
      </c>
      <c r="O2265">
        <v>1553</v>
      </c>
      <c r="P2265" s="9">
        <v>0.41152369903878</v>
      </c>
      <c r="Q2265" t="s">
        <v>119</v>
      </c>
      <c r="T2265" s="15" t="s">
        <v>119</v>
      </c>
      <c r="W2265" s="16" t="str">
        <f t="shared" si="176"/>
        <v>EN_WON_41_c04_USA</v>
      </c>
      <c r="X2265" s="12">
        <f t="shared" si="177"/>
        <v>1553</v>
      </c>
      <c r="Y2265" s="11">
        <f t="shared" si="178"/>
        <v>1553</v>
      </c>
    </row>
    <row r="2266" spans="2:25">
      <c r="B2266" t="s">
        <v>26</v>
      </c>
      <c r="C2266" t="s">
        <v>8863</v>
      </c>
      <c r="D2266" t="s">
        <v>8864</v>
      </c>
      <c r="E2266" t="s">
        <v>29</v>
      </c>
      <c r="F2266" t="s">
        <v>30</v>
      </c>
      <c r="G2266" t="s">
        <v>31</v>
      </c>
      <c r="J2266" t="s">
        <v>8863</v>
      </c>
      <c r="K2266" t="s">
        <v>1967</v>
      </c>
      <c r="L2266" t="s">
        <v>6016</v>
      </c>
      <c r="M2266" s="8">
        <v>147.83475</v>
      </c>
      <c r="N2266">
        <v>0</v>
      </c>
      <c r="O2266">
        <v>1553</v>
      </c>
      <c r="P2266" s="9">
        <v>0.419842947953712</v>
      </c>
      <c r="Q2266" t="s">
        <v>119</v>
      </c>
      <c r="T2266" s="15" t="s">
        <v>119</v>
      </c>
      <c r="W2266" s="16" t="str">
        <f t="shared" si="176"/>
        <v>EN_WON_42_c01_USA</v>
      </c>
      <c r="X2266" s="12">
        <f t="shared" si="177"/>
        <v>1553</v>
      </c>
      <c r="Y2266" s="11">
        <f t="shared" si="178"/>
        <v>1553</v>
      </c>
    </row>
    <row r="2267" spans="2:25">
      <c r="B2267" t="s">
        <v>26</v>
      </c>
      <c r="C2267" t="s">
        <v>8865</v>
      </c>
      <c r="D2267" t="s">
        <v>8866</v>
      </c>
      <c r="E2267" t="s">
        <v>29</v>
      </c>
      <c r="F2267" t="s">
        <v>30</v>
      </c>
      <c r="G2267" t="s">
        <v>31</v>
      </c>
      <c r="J2267" t="s">
        <v>8865</v>
      </c>
      <c r="K2267" t="s">
        <v>1967</v>
      </c>
      <c r="L2267" t="s">
        <v>6016</v>
      </c>
      <c r="M2267" s="8">
        <v>1.014</v>
      </c>
      <c r="N2267">
        <v>80.7856561622413</v>
      </c>
      <c r="O2267">
        <v>1553</v>
      </c>
      <c r="P2267" s="9">
        <v>0.423</v>
      </c>
      <c r="Q2267" t="s">
        <v>119</v>
      </c>
      <c r="T2267" s="15" t="s">
        <v>119</v>
      </c>
      <c r="W2267" s="16" t="str">
        <f t="shared" si="176"/>
        <v>EN_WON_42_c02_USA</v>
      </c>
      <c r="X2267" s="12">
        <f t="shared" si="177"/>
        <v>1553</v>
      </c>
      <c r="Y2267" s="11">
        <f t="shared" si="178"/>
        <v>1553</v>
      </c>
    </row>
    <row r="2268" spans="2:25">
      <c r="B2268" t="s">
        <v>26</v>
      </c>
      <c r="C2268" t="s">
        <v>8867</v>
      </c>
      <c r="D2268" t="s">
        <v>8868</v>
      </c>
      <c r="E2268" t="s">
        <v>29</v>
      </c>
      <c r="F2268" t="s">
        <v>30</v>
      </c>
      <c r="G2268" t="s">
        <v>31</v>
      </c>
      <c r="J2268" t="s">
        <v>8867</v>
      </c>
      <c r="K2268" t="s">
        <v>1967</v>
      </c>
      <c r="L2268" t="s">
        <v>6016</v>
      </c>
      <c r="M2268" s="8">
        <v>1.10925</v>
      </c>
      <c r="N2268">
        <v>105.747516212372</v>
      </c>
      <c r="O2268">
        <v>1553</v>
      </c>
      <c r="P2268" s="9">
        <v>0.422</v>
      </c>
      <c r="Q2268" t="s">
        <v>119</v>
      </c>
      <c r="T2268" s="15" t="s">
        <v>119</v>
      </c>
      <c r="W2268" s="16" t="str">
        <f t="shared" si="176"/>
        <v>EN_WON_42_c03_USA</v>
      </c>
      <c r="X2268" s="12">
        <f t="shared" si="177"/>
        <v>1553</v>
      </c>
      <c r="Y2268" s="11">
        <f t="shared" si="178"/>
        <v>1553</v>
      </c>
    </row>
    <row r="2269" spans="2:25">
      <c r="B2269" t="s">
        <v>26</v>
      </c>
      <c r="C2269" t="s">
        <v>8869</v>
      </c>
      <c r="D2269" t="s">
        <v>8870</v>
      </c>
      <c r="E2269" t="s">
        <v>29</v>
      </c>
      <c r="F2269" t="s">
        <v>30</v>
      </c>
      <c r="G2269" t="s">
        <v>31</v>
      </c>
      <c r="J2269" t="s">
        <v>8869</v>
      </c>
      <c r="K2269" t="s">
        <v>1967</v>
      </c>
      <c r="L2269" t="s">
        <v>6016</v>
      </c>
      <c r="M2269" s="8">
        <v>7.6365</v>
      </c>
      <c r="N2269">
        <v>145.23264029167</v>
      </c>
      <c r="O2269">
        <v>1553</v>
      </c>
      <c r="P2269" s="9">
        <v>0.416943331369083</v>
      </c>
      <c r="Q2269" t="s">
        <v>119</v>
      </c>
      <c r="T2269" s="15" t="s">
        <v>119</v>
      </c>
      <c r="W2269" s="16" t="str">
        <f t="shared" si="176"/>
        <v>EN_WON_42_c04_USA</v>
      </c>
      <c r="X2269" s="12">
        <f t="shared" si="177"/>
        <v>1553</v>
      </c>
      <c r="Y2269" s="11">
        <f t="shared" si="178"/>
        <v>1553</v>
      </c>
    </row>
    <row r="2270" spans="2:25">
      <c r="B2270" t="s">
        <v>26</v>
      </c>
      <c r="C2270" t="s">
        <v>8871</v>
      </c>
      <c r="D2270" t="s">
        <v>8872</v>
      </c>
      <c r="E2270" t="s">
        <v>29</v>
      </c>
      <c r="F2270" t="s">
        <v>30</v>
      </c>
      <c r="G2270" t="s">
        <v>31</v>
      </c>
      <c r="J2270" t="s">
        <v>8871</v>
      </c>
      <c r="K2270" t="s">
        <v>1967</v>
      </c>
      <c r="L2270" t="s">
        <v>6016</v>
      </c>
      <c r="M2270" s="8">
        <v>91.80825</v>
      </c>
      <c r="N2270">
        <v>0</v>
      </c>
      <c r="O2270">
        <v>1553</v>
      </c>
      <c r="P2270" s="9">
        <v>0.429266422135266</v>
      </c>
      <c r="Q2270" t="s">
        <v>119</v>
      </c>
      <c r="T2270" s="15" t="s">
        <v>119</v>
      </c>
      <c r="W2270" s="16" t="str">
        <f t="shared" si="176"/>
        <v>EN_WON_43_c01_USA</v>
      </c>
      <c r="X2270" s="12">
        <f t="shared" si="177"/>
        <v>1553</v>
      </c>
      <c r="Y2270" s="11">
        <f t="shared" si="178"/>
        <v>1553</v>
      </c>
    </row>
    <row r="2271" spans="2:25">
      <c r="B2271" t="s">
        <v>26</v>
      </c>
      <c r="C2271" t="s">
        <v>8873</v>
      </c>
      <c r="D2271" t="s">
        <v>8874</v>
      </c>
      <c r="E2271" t="s">
        <v>29</v>
      </c>
      <c r="F2271" t="s">
        <v>30</v>
      </c>
      <c r="G2271" t="s">
        <v>31</v>
      </c>
      <c r="J2271" t="s">
        <v>8873</v>
      </c>
      <c r="K2271" t="s">
        <v>1967</v>
      </c>
      <c r="L2271" t="s">
        <v>6016</v>
      </c>
      <c r="M2271" s="8">
        <v>1.34775</v>
      </c>
      <c r="N2271">
        <v>80.7856561622413</v>
      </c>
      <c r="O2271">
        <v>1553</v>
      </c>
      <c r="P2271" s="9">
        <v>0.433</v>
      </c>
      <c r="Q2271" t="s">
        <v>119</v>
      </c>
      <c r="T2271" s="15" t="s">
        <v>119</v>
      </c>
      <c r="W2271" s="16" t="str">
        <f t="shared" si="176"/>
        <v>EN_WON_43_c02_USA</v>
      </c>
      <c r="X2271" s="12">
        <f t="shared" si="177"/>
        <v>1553</v>
      </c>
      <c r="Y2271" s="11">
        <f t="shared" si="178"/>
        <v>1553</v>
      </c>
    </row>
    <row r="2272" spans="2:25">
      <c r="B2272" t="s">
        <v>26</v>
      </c>
      <c r="C2272" t="s">
        <v>8875</v>
      </c>
      <c r="D2272" t="s">
        <v>8876</v>
      </c>
      <c r="E2272" t="s">
        <v>29</v>
      </c>
      <c r="F2272" t="s">
        <v>30</v>
      </c>
      <c r="G2272" t="s">
        <v>31</v>
      </c>
      <c r="J2272" t="s">
        <v>8875</v>
      </c>
      <c r="K2272" t="s">
        <v>1967</v>
      </c>
      <c r="L2272" t="s">
        <v>6016</v>
      </c>
      <c r="M2272" s="8">
        <v>4.76625</v>
      </c>
      <c r="N2272">
        <v>145.23264029167</v>
      </c>
      <c r="O2272">
        <v>1553</v>
      </c>
      <c r="P2272" s="9">
        <v>0.427756726986625</v>
      </c>
      <c r="Q2272" t="s">
        <v>119</v>
      </c>
      <c r="T2272" s="15" t="s">
        <v>119</v>
      </c>
      <c r="W2272" s="16" t="str">
        <f t="shared" si="176"/>
        <v>EN_WON_43_c04_USA</v>
      </c>
      <c r="X2272" s="12">
        <f t="shared" si="177"/>
        <v>1553</v>
      </c>
      <c r="Y2272" s="11">
        <f t="shared" si="178"/>
        <v>1553</v>
      </c>
    </row>
    <row r="2273" spans="2:25">
      <c r="B2273" t="s">
        <v>26</v>
      </c>
      <c r="C2273" t="s">
        <v>8877</v>
      </c>
      <c r="D2273" t="s">
        <v>8878</v>
      </c>
      <c r="E2273" t="s">
        <v>29</v>
      </c>
      <c r="F2273" t="s">
        <v>30</v>
      </c>
      <c r="G2273" t="s">
        <v>31</v>
      </c>
      <c r="J2273" t="s">
        <v>8877</v>
      </c>
      <c r="K2273" t="s">
        <v>1967</v>
      </c>
      <c r="L2273" t="s">
        <v>6016</v>
      </c>
      <c r="M2273" s="8">
        <v>58.5465</v>
      </c>
      <c r="N2273">
        <v>0</v>
      </c>
      <c r="O2273">
        <v>1553</v>
      </c>
      <c r="P2273" s="9">
        <v>0.439947900386872</v>
      </c>
      <c r="Q2273" t="s">
        <v>119</v>
      </c>
      <c r="T2273" s="15" t="s">
        <v>119</v>
      </c>
      <c r="W2273" s="16" t="str">
        <f t="shared" si="176"/>
        <v>EN_WON_44_c01_USA</v>
      </c>
      <c r="X2273" s="12">
        <f t="shared" si="177"/>
        <v>1553</v>
      </c>
      <c r="Y2273" s="11">
        <f t="shared" si="178"/>
        <v>1553</v>
      </c>
    </row>
    <row r="2274" spans="2:25">
      <c r="B2274" t="s">
        <v>26</v>
      </c>
      <c r="C2274" t="s">
        <v>8879</v>
      </c>
      <c r="D2274" t="s">
        <v>8880</v>
      </c>
      <c r="E2274" t="s">
        <v>29</v>
      </c>
      <c r="F2274" t="s">
        <v>30</v>
      </c>
      <c r="G2274" t="s">
        <v>31</v>
      </c>
      <c r="J2274" t="s">
        <v>8879</v>
      </c>
      <c r="K2274" t="s">
        <v>1967</v>
      </c>
      <c r="L2274" t="s">
        <v>6016</v>
      </c>
      <c r="M2274" s="8">
        <v>1.7265</v>
      </c>
      <c r="N2274">
        <v>80.7856561622413</v>
      </c>
      <c r="O2274">
        <v>1553</v>
      </c>
      <c r="P2274" s="9">
        <v>0.437489139878367</v>
      </c>
      <c r="Q2274" t="s">
        <v>119</v>
      </c>
      <c r="T2274" s="15" t="s">
        <v>119</v>
      </c>
      <c r="W2274" s="16" t="str">
        <f t="shared" si="176"/>
        <v>EN_WON_44_c02_USA</v>
      </c>
      <c r="X2274" s="12">
        <f t="shared" si="177"/>
        <v>1553</v>
      </c>
      <c r="Y2274" s="11">
        <f t="shared" si="178"/>
        <v>1553</v>
      </c>
    </row>
    <row r="2275" spans="2:25">
      <c r="B2275" t="s">
        <v>26</v>
      </c>
      <c r="C2275" t="s">
        <v>8881</v>
      </c>
      <c r="D2275" t="s">
        <v>8882</v>
      </c>
      <c r="E2275" t="s">
        <v>29</v>
      </c>
      <c r="F2275" t="s">
        <v>30</v>
      </c>
      <c r="G2275" t="s">
        <v>31</v>
      </c>
      <c r="J2275" t="s">
        <v>8881</v>
      </c>
      <c r="K2275" t="s">
        <v>1967</v>
      </c>
      <c r="L2275" t="s">
        <v>6016</v>
      </c>
      <c r="M2275" s="8">
        <v>31.12275</v>
      </c>
      <c r="N2275">
        <v>0</v>
      </c>
      <c r="O2275">
        <v>1553</v>
      </c>
      <c r="P2275" s="9">
        <v>0.448693736896643</v>
      </c>
      <c r="Q2275" t="s">
        <v>119</v>
      </c>
      <c r="T2275" s="15" t="s">
        <v>119</v>
      </c>
      <c r="W2275" s="16" t="str">
        <f t="shared" si="176"/>
        <v>EN_WON_45_c01_USA</v>
      </c>
      <c r="X2275" s="12">
        <f t="shared" si="177"/>
        <v>1553</v>
      </c>
      <c r="Y2275" s="11">
        <f t="shared" si="178"/>
        <v>1553</v>
      </c>
    </row>
    <row r="2276" spans="2:25">
      <c r="B2276" t="s">
        <v>26</v>
      </c>
      <c r="C2276" t="s">
        <v>8883</v>
      </c>
      <c r="D2276" t="s">
        <v>8884</v>
      </c>
      <c r="E2276" t="s">
        <v>29</v>
      </c>
      <c r="F2276" t="s">
        <v>30</v>
      </c>
      <c r="G2276" t="s">
        <v>31</v>
      </c>
      <c r="J2276" t="s">
        <v>8883</v>
      </c>
      <c r="K2276" t="s">
        <v>1967</v>
      </c>
      <c r="L2276" t="s">
        <v>6016</v>
      </c>
      <c r="M2276" s="8">
        <v>0.033</v>
      </c>
      <c r="N2276">
        <v>80.7856561622413</v>
      </c>
      <c r="O2276">
        <v>1553</v>
      </c>
      <c r="P2276" s="9">
        <v>0.448</v>
      </c>
      <c r="Q2276" t="s">
        <v>119</v>
      </c>
      <c r="T2276" s="15" t="s">
        <v>119</v>
      </c>
      <c r="W2276" s="16" t="str">
        <f t="shared" si="176"/>
        <v>EN_WON_45_c02_USA</v>
      </c>
      <c r="X2276" s="12">
        <f t="shared" si="177"/>
        <v>1553</v>
      </c>
      <c r="Y2276" s="11">
        <f t="shared" si="178"/>
        <v>1553</v>
      </c>
    </row>
    <row r="2277" spans="2:25">
      <c r="B2277" t="s">
        <v>26</v>
      </c>
      <c r="C2277" t="s">
        <v>8885</v>
      </c>
      <c r="D2277" t="s">
        <v>8886</v>
      </c>
      <c r="E2277" t="s">
        <v>29</v>
      </c>
      <c r="F2277" t="s">
        <v>30</v>
      </c>
      <c r="G2277" t="s">
        <v>31</v>
      </c>
      <c r="J2277" t="s">
        <v>8885</v>
      </c>
      <c r="K2277" t="s">
        <v>1967</v>
      </c>
      <c r="L2277" t="s">
        <v>6016</v>
      </c>
      <c r="M2277" s="8">
        <v>10.50375</v>
      </c>
      <c r="N2277">
        <v>0</v>
      </c>
      <c r="O2277">
        <v>1553</v>
      </c>
      <c r="P2277" s="9">
        <v>0.455693038200643</v>
      </c>
      <c r="Q2277" t="s">
        <v>119</v>
      </c>
      <c r="T2277" s="15" t="s">
        <v>119</v>
      </c>
      <c r="W2277" s="16" t="str">
        <f t="shared" si="176"/>
        <v>EN_WON_46_c01_USA</v>
      </c>
      <c r="X2277" s="12">
        <f t="shared" si="177"/>
        <v>1553</v>
      </c>
      <c r="Y2277" s="11">
        <f t="shared" si="178"/>
        <v>1553</v>
      </c>
    </row>
    <row r="2278" spans="2:25">
      <c r="B2278" t="s">
        <v>26</v>
      </c>
      <c r="C2278" t="s">
        <v>8887</v>
      </c>
      <c r="D2278" t="s">
        <v>8888</v>
      </c>
      <c r="E2278" t="s">
        <v>29</v>
      </c>
      <c r="F2278" t="s">
        <v>30</v>
      </c>
      <c r="G2278" t="s">
        <v>31</v>
      </c>
      <c r="J2278" t="s">
        <v>8887</v>
      </c>
      <c r="K2278" t="s">
        <v>1967</v>
      </c>
      <c r="L2278" t="s">
        <v>6016</v>
      </c>
      <c r="M2278" s="8">
        <v>0.3675</v>
      </c>
      <c r="N2278">
        <v>80.7856561622413</v>
      </c>
      <c r="O2278">
        <v>1553</v>
      </c>
      <c r="P2278" s="9">
        <v>0.460851020408163</v>
      </c>
      <c r="Q2278" t="s">
        <v>119</v>
      </c>
      <c r="T2278" s="15" t="s">
        <v>119</v>
      </c>
      <c r="W2278" s="16" t="str">
        <f t="shared" si="176"/>
        <v>EN_WON_46_c02_USA</v>
      </c>
      <c r="X2278" s="12">
        <f t="shared" si="177"/>
        <v>1553</v>
      </c>
      <c r="Y2278" s="11">
        <f t="shared" si="178"/>
        <v>1553</v>
      </c>
    </row>
    <row r="2279" spans="2:25">
      <c r="B2279" t="s">
        <v>26</v>
      </c>
      <c r="C2279" t="s">
        <v>8889</v>
      </c>
      <c r="D2279" t="s">
        <v>8890</v>
      </c>
      <c r="E2279" t="s">
        <v>29</v>
      </c>
      <c r="F2279" t="s">
        <v>30</v>
      </c>
      <c r="G2279" t="s">
        <v>31</v>
      </c>
      <c r="J2279" t="s">
        <v>8889</v>
      </c>
      <c r="K2279" t="s">
        <v>1967</v>
      </c>
      <c r="L2279" t="s">
        <v>6016</v>
      </c>
      <c r="M2279" s="8">
        <v>2.23425</v>
      </c>
      <c r="N2279">
        <v>145.23264029167</v>
      </c>
      <c r="O2279">
        <v>1553</v>
      </c>
      <c r="P2279" s="9">
        <v>0.456</v>
      </c>
      <c r="Q2279" t="s">
        <v>119</v>
      </c>
      <c r="T2279" s="15" t="s">
        <v>119</v>
      </c>
      <c r="W2279" s="16" t="str">
        <f t="shared" si="176"/>
        <v>EN_WON_46_c04_USA</v>
      </c>
      <c r="X2279" s="12">
        <f t="shared" si="177"/>
        <v>1553</v>
      </c>
      <c r="Y2279" s="11">
        <f t="shared" si="178"/>
        <v>1553</v>
      </c>
    </row>
    <row r="2280" spans="2:25">
      <c r="B2280" t="s">
        <v>26</v>
      </c>
      <c r="C2280" t="s">
        <v>8891</v>
      </c>
      <c r="D2280" t="s">
        <v>8892</v>
      </c>
      <c r="E2280" t="s">
        <v>29</v>
      </c>
      <c r="F2280" t="s">
        <v>30</v>
      </c>
      <c r="G2280" t="s">
        <v>31</v>
      </c>
      <c r="J2280" t="s">
        <v>8891</v>
      </c>
      <c r="K2280" t="s">
        <v>1967</v>
      </c>
      <c r="L2280" t="s">
        <v>6016</v>
      </c>
      <c r="M2280" s="8">
        <v>0.67875</v>
      </c>
      <c r="N2280">
        <v>145.23264029167</v>
      </c>
      <c r="O2280">
        <v>1553</v>
      </c>
      <c r="P2280" s="9">
        <v>0.471</v>
      </c>
      <c r="Q2280" t="s">
        <v>119</v>
      </c>
      <c r="T2280" s="15" t="s">
        <v>119</v>
      </c>
      <c r="W2280" s="16" t="str">
        <f t="shared" si="176"/>
        <v>EN_WON_47_c04_USA</v>
      </c>
      <c r="X2280" s="12">
        <f t="shared" si="177"/>
        <v>1553</v>
      </c>
      <c r="Y2280" s="11">
        <f t="shared" si="178"/>
        <v>1553</v>
      </c>
    </row>
    <row r="2281" spans="2:25">
      <c r="B2281" t="s">
        <v>26</v>
      </c>
      <c r="C2281" t="s">
        <v>8893</v>
      </c>
      <c r="D2281" t="s">
        <v>8894</v>
      </c>
      <c r="E2281" t="s">
        <v>29</v>
      </c>
      <c r="F2281" t="s">
        <v>30</v>
      </c>
      <c r="G2281" t="s">
        <v>31</v>
      </c>
      <c r="J2281" t="s">
        <v>8893</v>
      </c>
      <c r="K2281" t="s">
        <v>1967</v>
      </c>
      <c r="L2281" t="s">
        <v>6016</v>
      </c>
      <c r="M2281" s="8">
        <v>0.312</v>
      </c>
      <c r="N2281">
        <v>80.7856561622413</v>
      </c>
      <c r="O2281">
        <v>1553</v>
      </c>
      <c r="P2281" s="9">
        <v>0.475</v>
      </c>
      <c r="Q2281" t="s">
        <v>119</v>
      </c>
      <c r="T2281" s="15" t="s">
        <v>119</v>
      </c>
      <c r="W2281" s="16" t="str">
        <f t="shared" si="176"/>
        <v>EN_WON_48_c02_USA</v>
      </c>
      <c r="X2281" s="12">
        <f t="shared" si="177"/>
        <v>1553</v>
      </c>
      <c r="Y2281" s="11">
        <f t="shared" si="178"/>
        <v>1553</v>
      </c>
    </row>
    <row r="2282" spans="2:25">
      <c r="B2282" t="s">
        <v>26</v>
      </c>
      <c r="C2282" t="s">
        <v>8895</v>
      </c>
      <c r="D2282" t="s">
        <v>8896</v>
      </c>
      <c r="E2282" t="s">
        <v>29</v>
      </c>
      <c r="F2282" t="s">
        <v>30</v>
      </c>
      <c r="G2282" t="s">
        <v>31</v>
      </c>
      <c r="J2282" t="s">
        <v>8895</v>
      </c>
      <c r="K2282" t="s">
        <v>1967</v>
      </c>
      <c r="L2282" t="s">
        <v>6016</v>
      </c>
      <c r="M2282" s="8">
        <v>0.006</v>
      </c>
      <c r="N2282">
        <v>0</v>
      </c>
      <c r="O2282">
        <v>1553</v>
      </c>
      <c r="P2282" s="9">
        <v>0.503</v>
      </c>
      <c r="Q2282" t="s">
        <v>119</v>
      </c>
      <c r="T2282" s="15" t="s">
        <v>119</v>
      </c>
      <c r="W2282" s="16" t="str">
        <f t="shared" si="176"/>
        <v>EN_WON_50_c01_USA</v>
      </c>
      <c r="X2282" s="12">
        <f t="shared" si="177"/>
        <v>1553</v>
      </c>
      <c r="Y2282" s="11">
        <f t="shared" si="178"/>
        <v>1553</v>
      </c>
    </row>
    <row r="2283" spans="2:25">
      <c r="B2283" t="s">
        <v>26</v>
      </c>
      <c r="C2283" t="s">
        <v>8897</v>
      </c>
      <c r="D2283" t="s">
        <v>8898</v>
      </c>
      <c r="E2283" t="s">
        <v>29</v>
      </c>
      <c r="F2283" t="s">
        <v>30</v>
      </c>
      <c r="G2283" t="s">
        <v>31</v>
      </c>
      <c r="J2283" t="s">
        <v>8897</v>
      </c>
      <c r="K2283" t="s">
        <v>1967</v>
      </c>
      <c r="L2283" t="s">
        <v>6016</v>
      </c>
      <c r="M2283" s="8">
        <v>1.08975</v>
      </c>
      <c r="N2283">
        <v>80.7856561622413</v>
      </c>
      <c r="O2283">
        <v>1553</v>
      </c>
      <c r="P2283" s="9">
        <v>0.512</v>
      </c>
      <c r="Q2283" t="s">
        <v>119</v>
      </c>
      <c r="T2283" s="15" t="s">
        <v>119</v>
      </c>
      <c r="W2283" s="16" t="str">
        <f t="shared" si="176"/>
        <v>EN_WON_51_c02_USA</v>
      </c>
      <c r="X2283" s="12">
        <f t="shared" si="177"/>
        <v>1553</v>
      </c>
      <c r="Y2283" s="11">
        <f t="shared" si="178"/>
        <v>1553</v>
      </c>
    </row>
    <row r="2284" spans="2:25">
      <c r="B2284" t="s">
        <v>26</v>
      </c>
      <c r="C2284" t="s">
        <v>8899</v>
      </c>
      <c r="D2284" t="s">
        <v>8900</v>
      </c>
      <c r="E2284" t="s">
        <v>29</v>
      </c>
      <c r="F2284" t="s">
        <v>30</v>
      </c>
      <c r="G2284" t="s">
        <v>31</v>
      </c>
      <c r="J2284" t="s">
        <v>8899</v>
      </c>
      <c r="K2284" t="s">
        <v>1967</v>
      </c>
      <c r="L2284" t="s">
        <v>8901</v>
      </c>
      <c r="M2284" s="8">
        <v>26.74875</v>
      </c>
      <c r="N2284">
        <v>0</v>
      </c>
      <c r="O2284">
        <v>2809</v>
      </c>
      <c r="P2284" s="9">
        <v>0.431465274078228</v>
      </c>
      <c r="Q2284" t="s">
        <v>1868</v>
      </c>
      <c r="T2284" s="15" t="s">
        <v>112</v>
      </c>
      <c r="W2284" s="16" t="str">
        <f t="shared" si="176"/>
        <v>EN_WON_43_c01_UZB</v>
      </c>
      <c r="X2284" s="12">
        <f t="shared" si="177"/>
        <v>2809</v>
      </c>
      <c r="Y2284" s="11">
        <f t="shared" si="178"/>
        <v>2809</v>
      </c>
    </row>
    <row r="2285" spans="2:25">
      <c r="B2285" t="s">
        <v>26</v>
      </c>
      <c r="C2285" t="s">
        <v>8902</v>
      </c>
      <c r="D2285" t="s">
        <v>8903</v>
      </c>
      <c r="E2285" t="s">
        <v>29</v>
      </c>
      <c r="F2285" t="s">
        <v>30</v>
      </c>
      <c r="G2285" t="s">
        <v>31</v>
      </c>
      <c r="J2285" t="s">
        <v>8902</v>
      </c>
      <c r="K2285" t="s">
        <v>1967</v>
      </c>
      <c r="L2285" t="s">
        <v>8901</v>
      </c>
      <c r="M2285" s="8">
        <v>32.79</v>
      </c>
      <c r="N2285">
        <v>0</v>
      </c>
      <c r="O2285">
        <v>2809</v>
      </c>
      <c r="P2285" s="9">
        <v>0.440172758462946</v>
      </c>
      <c r="Q2285" t="s">
        <v>1868</v>
      </c>
      <c r="T2285" s="15" t="s">
        <v>112</v>
      </c>
      <c r="W2285" s="16" t="str">
        <f t="shared" si="176"/>
        <v>EN_WON_44_c01_UZB</v>
      </c>
      <c r="X2285" s="12">
        <f t="shared" si="177"/>
        <v>2809</v>
      </c>
      <c r="Y2285" s="11">
        <f t="shared" si="178"/>
        <v>2809</v>
      </c>
    </row>
    <row r="2286" spans="2:25">
      <c r="B2286" t="s">
        <v>26</v>
      </c>
      <c r="C2286" t="s">
        <v>8904</v>
      </c>
      <c r="D2286" t="s">
        <v>8905</v>
      </c>
      <c r="E2286" t="s">
        <v>29</v>
      </c>
      <c r="F2286" t="s">
        <v>30</v>
      </c>
      <c r="G2286" t="s">
        <v>31</v>
      </c>
      <c r="J2286" t="s">
        <v>8904</v>
      </c>
      <c r="K2286" t="s">
        <v>1967</v>
      </c>
      <c r="L2286" t="s">
        <v>8901</v>
      </c>
      <c r="M2286" s="8">
        <v>28.5645</v>
      </c>
      <c r="N2286">
        <v>0</v>
      </c>
      <c r="O2286">
        <v>2809</v>
      </c>
      <c r="P2286" s="9">
        <v>0.449390510948905</v>
      </c>
      <c r="Q2286" t="s">
        <v>1868</v>
      </c>
      <c r="T2286" s="15" t="s">
        <v>112</v>
      </c>
      <c r="W2286" s="16" t="str">
        <f t="shared" si="176"/>
        <v>EN_WON_45_c01_UZB</v>
      </c>
      <c r="X2286" s="12">
        <f t="shared" si="177"/>
        <v>2809</v>
      </c>
      <c r="Y2286" s="11">
        <f t="shared" si="178"/>
        <v>2809</v>
      </c>
    </row>
    <row r="2287" spans="2:25">
      <c r="B2287" t="s">
        <v>26</v>
      </c>
      <c r="C2287" t="s">
        <v>8906</v>
      </c>
      <c r="D2287" t="s">
        <v>8907</v>
      </c>
      <c r="E2287" t="s">
        <v>29</v>
      </c>
      <c r="F2287" t="s">
        <v>30</v>
      </c>
      <c r="G2287" t="s">
        <v>31</v>
      </c>
      <c r="J2287" t="s">
        <v>8906</v>
      </c>
      <c r="K2287" t="s">
        <v>1967</v>
      </c>
      <c r="L2287" t="s">
        <v>8901</v>
      </c>
      <c r="M2287" s="8">
        <v>13.491</v>
      </c>
      <c r="N2287">
        <v>0</v>
      </c>
      <c r="O2287">
        <v>2809</v>
      </c>
      <c r="P2287" s="9">
        <v>0.46</v>
      </c>
      <c r="Q2287" t="s">
        <v>1868</v>
      </c>
      <c r="T2287" s="15" t="s">
        <v>112</v>
      </c>
      <c r="W2287" s="16" t="str">
        <f t="shared" si="176"/>
        <v>EN_WON_46_c01_UZB</v>
      </c>
      <c r="X2287" s="12">
        <f t="shared" si="177"/>
        <v>2809</v>
      </c>
      <c r="Y2287" s="11">
        <f t="shared" si="178"/>
        <v>2809</v>
      </c>
    </row>
    <row r="2288" spans="2:25">
      <c r="B2288" t="s">
        <v>26</v>
      </c>
      <c r="C2288" t="s">
        <v>8908</v>
      </c>
      <c r="D2288" t="s">
        <v>8909</v>
      </c>
      <c r="E2288" t="s">
        <v>29</v>
      </c>
      <c r="F2288" t="s">
        <v>30</v>
      </c>
      <c r="G2288" t="s">
        <v>31</v>
      </c>
      <c r="J2288" t="s">
        <v>8908</v>
      </c>
      <c r="K2288" t="s">
        <v>1967</v>
      </c>
      <c r="L2288" t="s">
        <v>6083</v>
      </c>
      <c r="M2288" s="8">
        <v>8.814</v>
      </c>
      <c r="N2288">
        <v>105.747516212372</v>
      </c>
      <c r="O2288">
        <v>1575</v>
      </c>
      <c r="P2288" s="9">
        <v>0.197180054458816</v>
      </c>
      <c r="Q2288" t="s">
        <v>1874</v>
      </c>
      <c r="T2288" s="15" t="s">
        <v>89</v>
      </c>
      <c r="W2288" s="16" t="str">
        <f t="shared" si="176"/>
        <v>EN_WON_20_c03_VEN</v>
      </c>
      <c r="X2288" s="12">
        <f t="shared" si="177"/>
        <v>1575</v>
      </c>
      <c r="Y2288" s="11">
        <f t="shared" si="178"/>
        <v>1575</v>
      </c>
    </row>
    <row r="2289" spans="2:25">
      <c r="B2289" t="s">
        <v>26</v>
      </c>
      <c r="C2289" t="s">
        <v>8910</v>
      </c>
      <c r="D2289" t="s">
        <v>8911</v>
      </c>
      <c r="E2289" t="s">
        <v>29</v>
      </c>
      <c r="F2289" t="s">
        <v>30</v>
      </c>
      <c r="G2289" t="s">
        <v>31</v>
      </c>
      <c r="J2289" t="s">
        <v>8910</v>
      </c>
      <c r="K2289" t="s">
        <v>1967</v>
      </c>
      <c r="L2289" t="s">
        <v>6083</v>
      </c>
      <c r="M2289" s="8">
        <v>0.72825</v>
      </c>
      <c r="N2289">
        <v>145.23264029167</v>
      </c>
      <c r="O2289">
        <v>1575</v>
      </c>
      <c r="P2289" s="9">
        <v>0.200286302780639</v>
      </c>
      <c r="Q2289" t="s">
        <v>1874</v>
      </c>
      <c r="T2289" s="15" t="s">
        <v>89</v>
      </c>
      <c r="W2289" s="16" t="str">
        <f t="shared" si="176"/>
        <v>EN_WON_20_c04_VEN</v>
      </c>
      <c r="X2289" s="12">
        <f t="shared" si="177"/>
        <v>1575</v>
      </c>
      <c r="Y2289" s="11">
        <f t="shared" si="178"/>
        <v>1575</v>
      </c>
    </row>
    <row r="2290" spans="2:25">
      <c r="B2290" t="s">
        <v>26</v>
      </c>
      <c r="C2290" t="s">
        <v>8912</v>
      </c>
      <c r="D2290" t="s">
        <v>8913</v>
      </c>
      <c r="E2290" t="s">
        <v>29</v>
      </c>
      <c r="F2290" t="s">
        <v>30</v>
      </c>
      <c r="G2290" t="s">
        <v>31</v>
      </c>
      <c r="J2290" t="s">
        <v>8912</v>
      </c>
      <c r="K2290" t="s">
        <v>1967</v>
      </c>
      <c r="L2290" t="s">
        <v>6083</v>
      </c>
      <c r="M2290" s="8">
        <v>6.84075</v>
      </c>
      <c r="N2290">
        <v>80.7856561622413</v>
      </c>
      <c r="O2290">
        <v>1575</v>
      </c>
      <c r="P2290" s="9">
        <v>0.206821510799254</v>
      </c>
      <c r="Q2290" t="s">
        <v>1874</v>
      </c>
      <c r="T2290" s="15" t="s">
        <v>89</v>
      </c>
      <c r="W2290" s="16" t="str">
        <f t="shared" si="176"/>
        <v>EN_WON_21_c02_VEN</v>
      </c>
      <c r="X2290" s="12">
        <f t="shared" si="177"/>
        <v>1575</v>
      </c>
      <c r="Y2290" s="11">
        <f t="shared" si="178"/>
        <v>1575</v>
      </c>
    </row>
    <row r="2291" spans="2:25">
      <c r="B2291" t="s">
        <v>26</v>
      </c>
      <c r="C2291" t="s">
        <v>8914</v>
      </c>
      <c r="D2291" t="s">
        <v>8915</v>
      </c>
      <c r="E2291" t="s">
        <v>29</v>
      </c>
      <c r="F2291" t="s">
        <v>30</v>
      </c>
      <c r="G2291" t="s">
        <v>31</v>
      </c>
      <c r="J2291" t="s">
        <v>8914</v>
      </c>
      <c r="K2291" t="s">
        <v>1967</v>
      </c>
      <c r="L2291" t="s">
        <v>6083</v>
      </c>
      <c r="M2291" s="8">
        <v>3.4155</v>
      </c>
      <c r="N2291">
        <v>105.747516212372</v>
      </c>
      <c r="O2291">
        <v>1575</v>
      </c>
      <c r="P2291" s="9">
        <v>0.206998462889767</v>
      </c>
      <c r="Q2291" t="s">
        <v>1874</v>
      </c>
      <c r="T2291" s="15" t="s">
        <v>89</v>
      </c>
      <c r="W2291" s="16" t="str">
        <f t="shared" si="176"/>
        <v>EN_WON_21_c03_VEN</v>
      </c>
      <c r="X2291" s="12">
        <f t="shared" si="177"/>
        <v>1575</v>
      </c>
      <c r="Y2291" s="11">
        <f t="shared" si="178"/>
        <v>1575</v>
      </c>
    </row>
    <row r="2292" spans="2:25">
      <c r="B2292" t="s">
        <v>26</v>
      </c>
      <c r="C2292" t="s">
        <v>8916</v>
      </c>
      <c r="D2292" t="s">
        <v>8917</v>
      </c>
      <c r="E2292" t="s">
        <v>29</v>
      </c>
      <c r="F2292" t="s">
        <v>30</v>
      </c>
      <c r="G2292" t="s">
        <v>31</v>
      </c>
      <c r="J2292" t="s">
        <v>8916</v>
      </c>
      <c r="K2292" t="s">
        <v>1967</v>
      </c>
      <c r="L2292" t="s">
        <v>6083</v>
      </c>
      <c r="M2292" s="8">
        <v>0.6</v>
      </c>
      <c r="N2292">
        <v>145.23264029167</v>
      </c>
      <c r="O2292">
        <v>1575</v>
      </c>
      <c r="P2292" s="9">
        <v>0.214</v>
      </c>
      <c r="Q2292" t="s">
        <v>1874</v>
      </c>
      <c r="T2292" s="15" t="s">
        <v>89</v>
      </c>
      <c r="W2292" s="16" t="str">
        <f t="shared" si="176"/>
        <v>EN_WON_21_c04_VEN</v>
      </c>
      <c r="X2292" s="12">
        <f t="shared" si="177"/>
        <v>1575</v>
      </c>
      <c r="Y2292" s="11">
        <f t="shared" si="178"/>
        <v>1575</v>
      </c>
    </row>
    <row r="2293" spans="2:25">
      <c r="B2293" t="s">
        <v>26</v>
      </c>
      <c r="C2293" t="s">
        <v>8918</v>
      </c>
      <c r="D2293" t="s">
        <v>8919</v>
      </c>
      <c r="E2293" t="s">
        <v>29</v>
      </c>
      <c r="F2293" t="s">
        <v>30</v>
      </c>
      <c r="G2293" t="s">
        <v>31</v>
      </c>
      <c r="J2293" t="s">
        <v>8918</v>
      </c>
      <c r="K2293" t="s">
        <v>1967</v>
      </c>
      <c r="L2293" t="s">
        <v>6083</v>
      </c>
      <c r="M2293" s="8">
        <v>0.01875</v>
      </c>
      <c r="N2293">
        <v>80.7856561622413</v>
      </c>
      <c r="O2293">
        <v>1575</v>
      </c>
      <c r="P2293" s="9">
        <v>0.21672</v>
      </c>
      <c r="Q2293" t="s">
        <v>1874</v>
      </c>
      <c r="T2293" s="15" t="s">
        <v>89</v>
      </c>
      <c r="W2293" s="16" t="str">
        <f t="shared" si="176"/>
        <v>EN_WON_22_c02_VEN</v>
      </c>
      <c r="X2293" s="12">
        <f t="shared" si="177"/>
        <v>1575</v>
      </c>
      <c r="Y2293" s="11">
        <f t="shared" si="178"/>
        <v>1575</v>
      </c>
    </row>
    <row r="2294" spans="2:25">
      <c r="B2294" t="s">
        <v>26</v>
      </c>
      <c r="C2294" t="s">
        <v>8920</v>
      </c>
      <c r="D2294" t="s">
        <v>8921</v>
      </c>
      <c r="E2294" t="s">
        <v>29</v>
      </c>
      <c r="F2294" t="s">
        <v>30</v>
      </c>
      <c r="G2294" t="s">
        <v>31</v>
      </c>
      <c r="J2294" t="s">
        <v>8920</v>
      </c>
      <c r="K2294" t="s">
        <v>1967</v>
      </c>
      <c r="L2294" t="s">
        <v>6083</v>
      </c>
      <c r="M2294" s="8">
        <v>6.756</v>
      </c>
      <c r="N2294">
        <v>105.747516212372</v>
      </c>
      <c r="O2294">
        <v>1575</v>
      </c>
      <c r="P2294" s="9">
        <v>0.2207509991119</v>
      </c>
      <c r="Q2294" t="s">
        <v>1874</v>
      </c>
      <c r="T2294" s="15" t="s">
        <v>89</v>
      </c>
      <c r="W2294" s="16" t="str">
        <f t="shared" si="176"/>
        <v>EN_WON_22_c03_VEN</v>
      </c>
      <c r="X2294" s="12">
        <f t="shared" si="177"/>
        <v>1575</v>
      </c>
      <c r="Y2294" s="11">
        <f t="shared" si="178"/>
        <v>1575</v>
      </c>
    </row>
    <row r="2295" spans="2:25">
      <c r="B2295" t="s">
        <v>26</v>
      </c>
      <c r="C2295" t="s">
        <v>8922</v>
      </c>
      <c r="D2295" t="s">
        <v>8923</v>
      </c>
      <c r="E2295" t="s">
        <v>29</v>
      </c>
      <c r="F2295" t="s">
        <v>30</v>
      </c>
      <c r="G2295" t="s">
        <v>31</v>
      </c>
      <c r="J2295" t="s">
        <v>8922</v>
      </c>
      <c r="K2295" t="s">
        <v>1967</v>
      </c>
      <c r="L2295" t="s">
        <v>6083</v>
      </c>
      <c r="M2295" s="8">
        <v>4.3365</v>
      </c>
      <c r="N2295">
        <v>145.23264029167</v>
      </c>
      <c r="O2295">
        <v>1575</v>
      </c>
      <c r="P2295" s="9">
        <v>0.217315807679004</v>
      </c>
      <c r="Q2295" t="s">
        <v>1874</v>
      </c>
      <c r="T2295" s="15" t="s">
        <v>89</v>
      </c>
      <c r="W2295" s="16" t="str">
        <f t="shared" si="176"/>
        <v>EN_WON_22_c04_VEN</v>
      </c>
      <c r="X2295" s="12">
        <f t="shared" si="177"/>
        <v>1575</v>
      </c>
      <c r="Y2295" s="11">
        <f t="shared" si="178"/>
        <v>1575</v>
      </c>
    </row>
    <row r="2296" spans="2:25">
      <c r="B2296" t="s">
        <v>26</v>
      </c>
      <c r="C2296" t="s">
        <v>8924</v>
      </c>
      <c r="D2296" t="s">
        <v>8925</v>
      </c>
      <c r="E2296" t="s">
        <v>29</v>
      </c>
      <c r="F2296" t="s">
        <v>30</v>
      </c>
      <c r="G2296" t="s">
        <v>31</v>
      </c>
      <c r="J2296" t="s">
        <v>8924</v>
      </c>
      <c r="K2296" t="s">
        <v>1967</v>
      </c>
      <c r="L2296" t="s">
        <v>6083</v>
      </c>
      <c r="M2296" s="8">
        <v>6.0795</v>
      </c>
      <c r="N2296">
        <v>80.7856561622413</v>
      </c>
      <c r="O2296">
        <v>1575</v>
      </c>
      <c r="P2296" s="9">
        <v>0.232749938317296</v>
      </c>
      <c r="Q2296" t="s">
        <v>1874</v>
      </c>
      <c r="T2296" s="15" t="s">
        <v>89</v>
      </c>
      <c r="W2296" s="16" t="str">
        <f t="shared" si="176"/>
        <v>EN_WON_23_c02_VEN</v>
      </c>
      <c r="X2296" s="12">
        <f t="shared" si="177"/>
        <v>1575</v>
      </c>
      <c r="Y2296" s="11">
        <f t="shared" si="178"/>
        <v>1575</v>
      </c>
    </row>
    <row r="2297" spans="2:25">
      <c r="B2297" t="s">
        <v>26</v>
      </c>
      <c r="C2297" t="s">
        <v>8926</v>
      </c>
      <c r="D2297" t="s">
        <v>8927</v>
      </c>
      <c r="E2297" t="s">
        <v>29</v>
      </c>
      <c r="F2297" t="s">
        <v>30</v>
      </c>
      <c r="G2297" t="s">
        <v>31</v>
      </c>
      <c r="J2297" t="s">
        <v>8926</v>
      </c>
      <c r="K2297" t="s">
        <v>1967</v>
      </c>
      <c r="L2297" t="s">
        <v>6083</v>
      </c>
      <c r="M2297" s="8">
        <v>3.717</v>
      </c>
      <c r="N2297">
        <v>105.747516212372</v>
      </c>
      <c r="O2297">
        <v>1575</v>
      </c>
      <c r="P2297" s="9">
        <v>0.231298224374496</v>
      </c>
      <c r="Q2297" t="s">
        <v>1874</v>
      </c>
      <c r="T2297" s="15" t="s">
        <v>89</v>
      </c>
      <c r="W2297" s="16" t="str">
        <f t="shared" si="176"/>
        <v>EN_WON_23_c03_VEN</v>
      </c>
      <c r="X2297" s="12">
        <f t="shared" si="177"/>
        <v>1575</v>
      </c>
      <c r="Y2297" s="11">
        <f t="shared" si="178"/>
        <v>1575</v>
      </c>
    </row>
    <row r="2298" spans="2:25">
      <c r="B2298" t="s">
        <v>26</v>
      </c>
      <c r="C2298" t="s">
        <v>8928</v>
      </c>
      <c r="D2298" t="s">
        <v>8929</v>
      </c>
      <c r="E2298" t="s">
        <v>29</v>
      </c>
      <c r="F2298" t="s">
        <v>30</v>
      </c>
      <c r="G2298" t="s">
        <v>31</v>
      </c>
      <c r="J2298" t="s">
        <v>8928</v>
      </c>
      <c r="K2298" t="s">
        <v>1967</v>
      </c>
      <c r="L2298" t="s">
        <v>6083</v>
      </c>
      <c r="M2298" s="8">
        <v>1.3275</v>
      </c>
      <c r="N2298">
        <v>145.23264029167</v>
      </c>
      <c r="O2298">
        <v>1575</v>
      </c>
      <c r="P2298" s="9">
        <v>0.227013559322034</v>
      </c>
      <c r="Q2298" t="s">
        <v>1874</v>
      </c>
      <c r="T2298" s="15" t="s">
        <v>89</v>
      </c>
      <c r="W2298" s="16" t="str">
        <f t="shared" si="176"/>
        <v>EN_WON_23_c04_VEN</v>
      </c>
      <c r="X2298" s="12">
        <f t="shared" si="177"/>
        <v>1575</v>
      </c>
      <c r="Y2298" s="11">
        <f t="shared" si="178"/>
        <v>1575</v>
      </c>
    </row>
    <row r="2299" spans="2:25">
      <c r="B2299" t="s">
        <v>26</v>
      </c>
      <c r="C2299" t="s">
        <v>8930</v>
      </c>
      <c r="D2299" t="s">
        <v>8931</v>
      </c>
      <c r="E2299" t="s">
        <v>29</v>
      </c>
      <c r="F2299" t="s">
        <v>30</v>
      </c>
      <c r="G2299" t="s">
        <v>31</v>
      </c>
      <c r="J2299" t="s">
        <v>8930</v>
      </c>
      <c r="K2299" t="s">
        <v>1967</v>
      </c>
      <c r="L2299" t="s">
        <v>6083</v>
      </c>
      <c r="M2299" s="8">
        <v>4.70475</v>
      </c>
      <c r="N2299">
        <v>80.7856561622413</v>
      </c>
      <c r="O2299">
        <v>1575</v>
      </c>
      <c r="P2299" s="9">
        <v>0.238014347202296</v>
      </c>
      <c r="Q2299" t="s">
        <v>1874</v>
      </c>
      <c r="T2299" s="15" t="s">
        <v>89</v>
      </c>
      <c r="W2299" s="16" t="str">
        <f t="shared" si="176"/>
        <v>EN_WON_24_c02_VEN</v>
      </c>
      <c r="X2299" s="12">
        <f t="shared" si="177"/>
        <v>1575</v>
      </c>
      <c r="Y2299" s="11">
        <f t="shared" si="178"/>
        <v>1575</v>
      </c>
    </row>
    <row r="2300" spans="2:25">
      <c r="B2300" t="s">
        <v>26</v>
      </c>
      <c r="C2300" t="s">
        <v>8932</v>
      </c>
      <c r="D2300" t="s">
        <v>8933</v>
      </c>
      <c r="E2300" t="s">
        <v>29</v>
      </c>
      <c r="F2300" t="s">
        <v>30</v>
      </c>
      <c r="G2300" t="s">
        <v>31</v>
      </c>
      <c r="J2300" t="s">
        <v>8932</v>
      </c>
      <c r="K2300" t="s">
        <v>1967</v>
      </c>
      <c r="L2300" t="s">
        <v>6083</v>
      </c>
      <c r="M2300" s="8">
        <v>4.2765</v>
      </c>
      <c r="N2300">
        <v>105.747516212372</v>
      </c>
      <c r="O2300">
        <v>1575</v>
      </c>
      <c r="P2300" s="9">
        <v>0.238</v>
      </c>
      <c r="Q2300" t="s">
        <v>1874</v>
      </c>
      <c r="T2300" s="15" t="s">
        <v>89</v>
      </c>
      <c r="W2300" s="16" t="str">
        <f t="shared" si="176"/>
        <v>EN_WON_24_c03_VEN</v>
      </c>
      <c r="X2300" s="12">
        <f t="shared" si="177"/>
        <v>1575</v>
      </c>
      <c r="Y2300" s="11">
        <f t="shared" si="178"/>
        <v>1575</v>
      </c>
    </row>
    <row r="2301" spans="2:25">
      <c r="B2301" t="s">
        <v>26</v>
      </c>
      <c r="C2301" t="s">
        <v>8934</v>
      </c>
      <c r="D2301" t="s">
        <v>8935</v>
      </c>
      <c r="E2301" t="s">
        <v>29</v>
      </c>
      <c r="F2301" t="s">
        <v>30</v>
      </c>
      <c r="G2301" t="s">
        <v>31</v>
      </c>
      <c r="J2301" t="s">
        <v>8934</v>
      </c>
      <c r="K2301" t="s">
        <v>1967</v>
      </c>
      <c r="L2301" t="s">
        <v>6083</v>
      </c>
      <c r="M2301" s="8">
        <v>0.65025</v>
      </c>
      <c r="N2301">
        <v>145.23264029167</v>
      </c>
      <c r="O2301">
        <v>1575</v>
      </c>
      <c r="P2301" s="9">
        <v>0.244</v>
      </c>
      <c r="Q2301" t="s">
        <v>1874</v>
      </c>
      <c r="T2301" s="15" t="s">
        <v>89</v>
      </c>
      <c r="W2301" s="16" t="str">
        <f t="shared" si="176"/>
        <v>EN_WON_24_c04_VEN</v>
      </c>
      <c r="X2301" s="12">
        <f t="shared" si="177"/>
        <v>1575</v>
      </c>
      <c r="Y2301" s="11">
        <f t="shared" si="178"/>
        <v>1575</v>
      </c>
    </row>
    <row r="2302" spans="2:25">
      <c r="B2302" t="s">
        <v>26</v>
      </c>
      <c r="C2302" t="s">
        <v>8936</v>
      </c>
      <c r="D2302" t="s">
        <v>8937</v>
      </c>
      <c r="E2302" t="s">
        <v>29</v>
      </c>
      <c r="F2302" t="s">
        <v>30</v>
      </c>
      <c r="G2302" t="s">
        <v>31</v>
      </c>
      <c r="J2302" t="s">
        <v>8936</v>
      </c>
      <c r="K2302" t="s">
        <v>1967</v>
      </c>
      <c r="L2302" t="s">
        <v>6083</v>
      </c>
      <c r="M2302" s="8">
        <v>2.56875</v>
      </c>
      <c r="N2302">
        <v>80.7856561622413</v>
      </c>
      <c r="O2302">
        <v>1575</v>
      </c>
      <c r="P2302" s="9">
        <v>0.245</v>
      </c>
      <c r="Q2302" t="s">
        <v>1874</v>
      </c>
      <c r="T2302" s="15" t="s">
        <v>89</v>
      </c>
      <c r="W2302" s="16" t="str">
        <f t="shared" si="176"/>
        <v>EN_WON_25_c02_VEN</v>
      </c>
      <c r="X2302" s="12">
        <f t="shared" si="177"/>
        <v>1575</v>
      </c>
      <c r="Y2302" s="11">
        <f t="shared" si="178"/>
        <v>1575</v>
      </c>
    </row>
    <row r="2303" spans="2:25">
      <c r="B2303" t="s">
        <v>26</v>
      </c>
      <c r="C2303" t="s">
        <v>8938</v>
      </c>
      <c r="D2303" t="s">
        <v>8939</v>
      </c>
      <c r="E2303" t="s">
        <v>29</v>
      </c>
      <c r="F2303" t="s">
        <v>30</v>
      </c>
      <c r="G2303" t="s">
        <v>31</v>
      </c>
      <c r="J2303" t="s">
        <v>8938</v>
      </c>
      <c r="K2303" t="s">
        <v>1967</v>
      </c>
      <c r="L2303" t="s">
        <v>6083</v>
      </c>
      <c r="M2303" s="8">
        <v>2.661</v>
      </c>
      <c r="N2303">
        <v>105.747516212372</v>
      </c>
      <c r="O2303">
        <v>1575</v>
      </c>
      <c r="P2303" s="9">
        <v>0.246886133032694</v>
      </c>
      <c r="Q2303" t="s">
        <v>1874</v>
      </c>
      <c r="T2303" s="15" t="s">
        <v>89</v>
      </c>
      <c r="W2303" s="16" t="str">
        <f t="shared" si="176"/>
        <v>EN_WON_25_c03_VEN</v>
      </c>
      <c r="X2303" s="12">
        <f t="shared" si="177"/>
        <v>1575</v>
      </c>
      <c r="Y2303" s="11">
        <f t="shared" si="178"/>
        <v>1575</v>
      </c>
    </row>
    <row r="2304" spans="2:25">
      <c r="B2304" t="s">
        <v>26</v>
      </c>
      <c r="C2304" t="s">
        <v>8940</v>
      </c>
      <c r="D2304" t="s">
        <v>8941</v>
      </c>
      <c r="E2304" t="s">
        <v>29</v>
      </c>
      <c r="F2304" t="s">
        <v>30</v>
      </c>
      <c r="G2304" t="s">
        <v>31</v>
      </c>
      <c r="J2304" t="s">
        <v>8940</v>
      </c>
      <c r="K2304" t="s">
        <v>1967</v>
      </c>
      <c r="L2304" t="s">
        <v>6083</v>
      </c>
      <c r="M2304" s="8">
        <v>0.01425</v>
      </c>
      <c r="N2304">
        <v>0</v>
      </c>
      <c r="O2304">
        <v>1575</v>
      </c>
      <c r="P2304" s="9">
        <v>0.255</v>
      </c>
      <c r="Q2304" t="s">
        <v>1874</v>
      </c>
      <c r="T2304" s="15" t="s">
        <v>89</v>
      </c>
      <c r="W2304" s="16" t="str">
        <f t="shared" si="176"/>
        <v>EN_WON_26_c01_VEN</v>
      </c>
      <c r="X2304" s="12">
        <f t="shared" si="177"/>
        <v>1575</v>
      </c>
      <c r="Y2304" s="11">
        <f t="shared" si="178"/>
        <v>1575</v>
      </c>
    </row>
    <row r="2305" spans="2:25">
      <c r="B2305" t="s">
        <v>26</v>
      </c>
      <c r="C2305" t="s">
        <v>8942</v>
      </c>
      <c r="D2305" t="s">
        <v>8943</v>
      </c>
      <c r="E2305" t="s">
        <v>29</v>
      </c>
      <c r="F2305" t="s">
        <v>30</v>
      </c>
      <c r="G2305" t="s">
        <v>31</v>
      </c>
      <c r="J2305" t="s">
        <v>8942</v>
      </c>
      <c r="K2305" t="s">
        <v>1967</v>
      </c>
      <c r="L2305" t="s">
        <v>6083</v>
      </c>
      <c r="M2305" s="8">
        <v>2.84025</v>
      </c>
      <c r="N2305">
        <v>80.7856561622413</v>
      </c>
      <c r="O2305">
        <v>1575</v>
      </c>
      <c r="P2305" s="9">
        <v>0.259827832057037</v>
      </c>
      <c r="Q2305" t="s">
        <v>1874</v>
      </c>
      <c r="T2305" s="15" t="s">
        <v>89</v>
      </c>
      <c r="W2305" s="16" t="str">
        <f t="shared" si="176"/>
        <v>EN_WON_26_c02_VEN</v>
      </c>
      <c r="X2305" s="12">
        <f t="shared" si="177"/>
        <v>1575</v>
      </c>
      <c r="Y2305" s="11">
        <f t="shared" si="178"/>
        <v>1575</v>
      </c>
    </row>
    <row r="2306" spans="2:25">
      <c r="B2306" t="s">
        <v>26</v>
      </c>
      <c r="C2306" t="s">
        <v>8944</v>
      </c>
      <c r="D2306" t="s">
        <v>8945</v>
      </c>
      <c r="E2306" t="s">
        <v>29</v>
      </c>
      <c r="F2306" t="s">
        <v>30</v>
      </c>
      <c r="G2306" t="s">
        <v>31</v>
      </c>
      <c r="J2306" t="s">
        <v>8944</v>
      </c>
      <c r="K2306" t="s">
        <v>1967</v>
      </c>
      <c r="L2306" t="s">
        <v>6083</v>
      </c>
      <c r="M2306" s="8">
        <v>0.02025</v>
      </c>
      <c r="N2306">
        <v>105.747516212372</v>
      </c>
      <c r="O2306">
        <v>1575</v>
      </c>
      <c r="P2306" s="9">
        <v>0.264</v>
      </c>
      <c r="Q2306" t="s">
        <v>1874</v>
      </c>
      <c r="T2306" s="15" t="s">
        <v>89</v>
      </c>
      <c r="W2306" s="16" t="str">
        <f t="shared" si="176"/>
        <v>EN_WON_26_c03_VEN</v>
      </c>
      <c r="X2306" s="12">
        <f t="shared" si="177"/>
        <v>1575</v>
      </c>
      <c r="Y2306" s="11">
        <f t="shared" si="178"/>
        <v>1575</v>
      </c>
    </row>
    <row r="2307" spans="2:25">
      <c r="B2307" t="s">
        <v>26</v>
      </c>
      <c r="C2307" t="s">
        <v>8946</v>
      </c>
      <c r="D2307" t="s">
        <v>8947</v>
      </c>
      <c r="E2307" t="s">
        <v>29</v>
      </c>
      <c r="F2307" t="s">
        <v>30</v>
      </c>
      <c r="G2307" t="s">
        <v>31</v>
      </c>
      <c r="J2307" t="s">
        <v>8946</v>
      </c>
      <c r="K2307" t="s">
        <v>1967</v>
      </c>
      <c r="L2307" t="s">
        <v>6083</v>
      </c>
      <c r="M2307" s="8">
        <v>0.10275</v>
      </c>
      <c r="N2307">
        <v>145.23264029167</v>
      </c>
      <c r="O2307">
        <v>1575</v>
      </c>
      <c r="P2307" s="9">
        <v>0.262</v>
      </c>
      <c r="Q2307" t="s">
        <v>1874</v>
      </c>
      <c r="T2307" s="15" t="s">
        <v>89</v>
      </c>
      <c r="W2307" s="16" t="str">
        <f t="shared" si="176"/>
        <v>EN_WON_26_c04_VEN</v>
      </c>
      <c r="X2307" s="12">
        <f t="shared" si="177"/>
        <v>1575</v>
      </c>
      <c r="Y2307" s="11">
        <f t="shared" si="178"/>
        <v>1575</v>
      </c>
    </row>
    <row r="2308" spans="2:25">
      <c r="B2308" t="s">
        <v>26</v>
      </c>
      <c r="C2308" t="s">
        <v>8948</v>
      </c>
      <c r="D2308" t="s">
        <v>8949</v>
      </c>
      <c r="E2308" t="s">
        <v>29</v>
      </c>
      <c r="F2308" t="s">
        <v>30</v>
      </c>
      <c r="G2308" t="s">
        <v>31</v>
      </c>
      <c r="J2308" t="s">
        <v>8948</v>
      </c>
      <c r="K2308" t="s">
        <v>1967</v>
      </c>
      <c r="L2308" t="s">
        <v>6083</v>
      </c>
      <c r="M2308" s="8">
        <v>1.053</v>
      </c>
      <c r="N2308">
        <v>80.7856561622413</v>
      </c>
      <c r="O2308">
        <v>1575</v>
      </c>
      <c r="P2308" s="9">
        <v>0.27</v>
      </c>
      <c r="Q2308" t="s">
        <v>1874</v>
      </c>
      <c r="T2308" s="15" t="s">
        <v>89</v>
      </c>
      <c r="W2308" s="16" t="str">
        <f t="shared" si="176"/>
        <v>EN_WON_27_c02_VEN</v>
      </c>
      <c r="X2308" s="12">
        <f t="shared" si="177"/>
        <v>1575</v>
      </c>
      <c r="Y2308" s="11">
        <f t="shared" si="178"/>
        <v>1575</v>
      </c>
    </row>
    <row r="2309" spans="2:25">
      <c r="B2309" t="s">
        <v>26</v>
      </c>
      <c r="C2309" t="s">
        <v>8950</v>
      </c>
      <c r="D2309" t="s">
        <v>8951</v>
      </c>
      <c r="E2309" t="s">
        <v>29</v>
      </c>
      <c r="F2309" t="s">
        <v>30</v>
      </c>
      <c r="G2309" t="s">
        <v>31</v>
      </c>
      <c r="J2309" t="s">
        <v>8950</v>
      </c>
      <c r="K2309" t="s">
        <v>1967</v>
      </c>
      <c r="L2309" t="s">
        <v>6083</v>
      </c>
      <c r="M2309" s="8">
        <v>1.8855</v>
      </c>
      <c r="N2309">
        <v>105.747516212372</v>
      </c>
      <c r="O2309">
        <v>1575</v>
      </c>
      <c r="P2309" s="9">
        <v>0.273</v>
      </c>
      <c r="Q2309" t="s">
        <v>1874</v>
      </c>
      <c r="T2309" s="15" t="s">
        <v>89</v>
      </c>
      <c r="W2309" s="16" t="str">
        <f t="shared" si="176"/>
        <v>EN_WON_27_c03_VEN</v>
      </c>
      <c r="X2309" s="12">
        <f t="shared" si="177"/>
        <v>1575</v>
      </c>
      <c r="Y2309" s="11">
        <f t="shared" si="178"/>
        <v>1575</v>
      </c>
    </row>
    <row r="2310" spans="2:25">
      <c r="B2310" t="s">
        <v>26</v>
      </c>
      <c r="C2310" t="s">
        <v>8952</v>
      </c>
      <c r="D2310" t="s">
        <v>8953</v>
      </c>
      <c r="E2310" t="s">
        <v>29</v>
      </c>
      <c r="F2310" t="s">
        <v>30</v>
      </c>
      <c r="G2310" t="s">
        <v>31</v>
      </c>
      <c r="J2310" t="s">
        <v>8952</v>
      </c>
      <c r="K2310" t="s">
        <v>1967</v>
      </c>
      <c r="L2310" t="s">
        <v>6083</v>
      </c>
      <c r="M2310" s="8">
        <v>1.11</v>
      </c>
      <c r="N2310">
        <v>145.23264029167</v>
      </c>
      <c r="O2310">
        <v>1575</v>
      </c>
      <c r="P2310" s="9">
        <v>0.267</v>
      </c>
      <c r="Q2310" t="s">
        <v>1874</v>
      </c>
      <c r="T2310" s="15" t="s">
        <v>89</v>
      </c>
      <c r="W2310" s="16" t="str">
        <f t="shared" ref="W2310:W2373" si="179">J2310</f>
        <v>EN_WON_27_c04_VEN</v>
      </c>
      <c r="X2310" s="12">
        <f t="shared" ref="X2310:X2373" si="180">O2310</f>
        <v>1575</v>
      </c>
      <c r="Y2310" s="11">
        <f t="shared" ref="Y2310:Y2373" si="181">X2310</f>
        <v>1575</v>
      </c>
    </row>
    <row r="2311" spans="2:25">
      <c r="B2311" t="s">
        <v>26</v>
      </c>
      <c r="C2311" t="s">
        <v>8954</v>
      </c>
      <c r="D2311" t="s">
        <v>8955</v>
      </c>
      <c r="E2311" t="s">
        <v>29</v>
      </c>
      <c r="F2311" t="s">
        <v>30</v>
      </c>
      <c r="G2311" t="s">
        <v>31</v>
      </c>
      <c r="J2311" t="s">
        <v>8954</v>
      </c>
      <c r="K2311" t="s">
        <v>1967</v>
      </c>
      <c r="L2311" t="s">
        <v>6083</v>
      </c>
      <c r="M2311" s="8">
        <v>7.30275</v>
      </c>
      <c r="N2311">
        <v>80.7856561622413</v>
      </c>
      <c r="O2311">
        <v>1575</v>
      </c>
      <c r="P2311" s="9">
        <v>0.280012734928623</v>
      </c>
      <c r="Q2311" t="s">
        <v>1874</v>
      </c>
      <c r="T2311" s="15" t="s">
        <v>89</v>
      </c>
      <c r="W2311" s="16" t="str">
        <f t="shared" si="179"/>
        <v>EN_WON_28_c02_VEN</v>
      </c>
      <c r="X2311" s="12">
        <f t="shared" si="180"/>
        <v>1575</v>
      </c>
      <c r="Y2311" s="11">
        <f t="shared" si="181"/>
        <v>1575</v>
      </c>
    </row>
    <row r="2312" spans="2:25">
      <c r="B2312" t="s">
        <v>26</v>
      </c>
      <c r="C2312" t="s">
        <v>8956</v>
      </c>
      <c r="D2312" t="s">
        <v>8957</v>
      </c>
      <c r="E2312" t="s">
        <v>29</v>
      </c>
      <c r="F2312" t="s">
        <v>30</v>
      </c>
      <c r="G2312" t="s">
        <v>31</v>
      </c>
      <c r="J2312" t="s">
        <v>8956</v>
      </c>
      <c r="K2312" t="s">
        <v>1967</v>
      </c>
      <c r="L2312" t="s">
        <v>6083</v>
      </c>
      <c r="M2312" s="8">
        <v>1.23675</v>
      </c>
      <c r="N2312">
        <v>80.7856561622413</v>
      </c>
      <c r="O2312">
        <v>1575</v>
      </c>
      <c r="P2312" s="9">
        <v>0.286</v>
      </c>
      <c r="Q2312" t="s">
        <v>1874</v>
      </c>
      <c r="T2312" s="15" t="s">
        <v>89</v>
      </c>
      <c r="W2312" s="16" t="str">
        <f t="shared" si="179"/>
        <v>EN_WON_29_c02_VEN</v>
      </c>
      <c r="X2312" s="12">
        <f t="shared" si="180"/>
        <v>1575</v>
      </c>
      <c r="Y2312" s="11">
        <f t="shared" si="181"/>
        <v>1575</v>
      </c>
    </row>
    <row r="2313" spans="2:25">
      <c r="B2313" t="s">
        <v>26</v>
      </c>
      <c r="C2313" t="s">
        <v>8958</v>
      </c>
      <c r="D2313" t="s">
        <v>8959</v>
      </c>
      <c r="E2313" t="s">
        <v>29</v>
      </c>
      <c r="F2313" t="s">
        <v>30</v>
      </c>
      <c r="G2313" t="s">
        <v>31</v>
      </c>
      <c r="J2313" t="s">
        <v>8958</v>
      </c>
      <c r="K2313" t="s">
        <v>1967</v>
      </c>
      <c r="L2313" t="s">
        <v>6083</v>
      </c>
      <c r="M2313" s="8">
        <v>2.87925</v>
      </c>
      <c r="N2313">
        <v>80.7856561622413</v>
      </c>
      <c r="O2313">
        <v>1575</v>
      </c>
      <c r="P2313" s="9">
        <v>0.296</v>
      </c>
      <c r="Q2313" t="s">
        <v>1874</v>
      </c>
      <c r="T2313" s="15" t="s">
        <v>89</v>
      </c>
      <c r="W2313" s="16" t="str">
        <f t="shared" si="179"/>
        <v>EN_WON_30_c02_VEN</v>
      </c>
      <c r="X2313" s="12">
        <f t="shared" si="180"/>
        <v>1575</v>
      </c>
      <c r="Y2313" s="11">
        <f t="shared" si="181"/>
        <v>1575</v>
      </c>
    </row>
    <row r="2314" spans="2:25">
      <c r="B2314" t="s">
        <v>26</v>
      </c>
      <c r="C2314" t="s">
        <v>8960</v>
      </c>
      <c r="D2314" t="s">
        <v>8961</v>
      </c>
      <c r="E2314" t="s">
        <v>29</v>
      </c>
      <c r="F2314" t="s">
        <v>30</v>
      </c>
      <c r="G2314" t="s">
        <v>31</v>
      </c>
      <c r="J2314" t="s">
        <v>8960</v>
      </c>
      <c r="K2314" t="s">
        <v>1967</v>
      </c>
      <c r="L2314" t="s">
        <v>6083</v>
      </c>
      <c r="M2314" s="8">
        <v>0.01425</v>
      </c>
      <c r="N2314">
        <v>0</v>
      </c>
      <c r="O2314">
        <v>1575</v>
      </c>
      <c r="P2314" s="9">
        <v>0.313</v>
      </c>
      <c r="Q2314" t="s">
        <v>1874</v>
      </c>
      <c r="T2314" s="15" t="s">
        <v>89</v>
      </c>
      <c r="W2314" s="16" t="str">
        <f t="shared" si="179"/>
        <v>EN_WON_31_c01_VEN</v>
      </c>
      <c r="X2314" s="12">
        <f t="shared" si="180"/>
        <v>1575</v>
      </c>
      <c r="Y2314" s="11">
        <f t="shared" si="181"/>
        <v>1575</v>
      </c>
    </row>
    <row r="2315" spans="2:25">
      <c r="B2315" t="s">
        <v>26</v>
      </c>
      <c r="C2315" t="s">
        <v>8962</v>
      </c>
      <c r="D2315" t="s">
        <v>8963</v>
      </c>
      <c r="E2315" t="s">
        <v>29</v>
      </c>
      <c r="F2315" t="s">
        <v>30</v>
      </c>
      <c r="G2315" t="s">
        <v>31</v>
      </c>
      <c r="J2315" t="s">
        <v>8962</v>
      </c>
      <c r="K2315" t="s">
        <v>1967</v>
      </c>
      <c r="L2315" t="s">
        <v>6083</v>
      </c>
      <c r="M2315" s="8">
        <v>3.3615</v>
      </c>
      <c r="N2315">
        <v>105.747516212372</v>
      </c>
      <c r="O2315">
        <v>1575</v>
      </c>
      <c r="P2315" s="9">
        <v>0.309434181169121</v>
      </c>
      <c r="Q2315" t="s">
        <v>1874</v>
      </c>
      <c r="T2315" s="15" t="s">
        <v>89</v>
      </c>
      <c r="W2315" s="16" t="str">
        <f t="shared" si="179"/>
        <v>EN_WON_31_c03_VEN</v>
      </c>
      <c r="X2315" s="12">
        <f t="shared" si="180"/>
        <v>1575</v>
      </c>
      <c r="Y2315" s="11">
        <f t="shared" si="181"/>
        <v>1575</v>
      </c>
    </row>
    <row r="2316" spans="2:25">
      <c r="B2316" t="s">
        <v>26</v>
      </c>
      <c r="C2316" t="s">
        <v>8964</v>
      </c>
      <c r="D2316" t="s">
        <v>8965</v>
      </c>
      <c r="E2316" t="s">
        <v>29</v>
      </c>
      <c r="F2316" t="s">
        <v>30</v>
      </c>
      <c r="G2316" t="s">
        <v>31</v>
      </c>
      <c r="J2316" t="s">
        <v>8964</v>
      </c>
      <c r="K2316" t="s">
        <v>1967</v>
      </c>
      <c r="L2316" t="s">
        <v>6083</v>
      </c>
      <c r="M2316" s="8">
        <v>2.08275</v>
      </c>
      <c r="N2316">
        <v>145.23264029167</v>
      </c>
      <c r="O2316">
        <v>1575</v>
      </c>
      <c r="P2316" s="9">
        <v>0.308</v>
      </c>
      <c r="Q2316" t="s">
        <v>1874</v>
      </c>
      <c r="T2316" s="15" t="s">
        <v>89</v>
      </c>
      <c r="W2316" s="16" t="str">
        <f t="shared" si="179"/>
        <v>EN_WON_31_c04_VEN</v>
      </c>
      <c r="X2316" s="12">
        <f t="shared" si="180"/>
        <v>1575</v>
      </c>
      <c r="Y2316" s="11">
        <f t="shared" si="181"/>
        <v>1575</v>
      </c>
    </row>
    <row r="2317" spans="2:25">
      <c r="B2317" t="s">
        <v>26</v>
      </c>
      <c r="C2317" t="s">
        <v>8966</v>
      </c>
      <c r="D2317" t="s">
        <v>8967</v>
      </c>
      <c r="E2317" t="s">
        <v>29</v>
      </c>
      <c r="F2317" t="s">
        <v>30</v>
      </c>
      <c r="G2317" t="s">
        <v>31</v>
      </c>
      <c r="J2317" t="s">
        <v>8966</v>
      </c>
      <c r="K2317" t="s">
        <v>1967</v>
      </c>
      <c r="L2317" t="s">
        <v>6083</v>
      </c>
      <c r="M2317" s="8">
        <v>2.04375</v>
      </c>
      <c r="N2317">
        <v>80.7856561622413</v>
      </c>
      <c r="O2317">
        <v>1575</v>
      </c>
      <c r="P2317" s="9">
        <v>0.322</v>
      </c>
      <c r="Q2317" t="s">
        <v>1874</v>
      </c>
      <c r="T2317" s="15" t="s">
        <v>89</v>
      </c>
      <c r="W2317" s="16" t="str">
        <f t="shared" si="179"/>
        <v>EN_WON_32_c02_VEN</v>
      </c>
      <c r="X2317" s="12">
        <f t="shared" si="180"/>
        <v>1575</v>
      </c>
      <c r="Y2317" s="11">
        <f t="shared" si="181"/>
        <v>1575</v>
      </c>
    </row>
    <row r="2318" spans="2:25">
      <c r="B2318" t="s">
        <v>26</v>
      </c>
      <c r="C2318" t="s">
        <v>8968</v>
      </c>
      <c r="D2318" t="s">
        <v>8969</v>
      </c>
      <c r="E2318" t="s">
        <v>29</v>
      </c>
      <c r="F2318" t="s">
        <v>30</v>
      </c>
      <c r="G2318" t="s">
        <v>31</v>
      </c>
      <c r="J2318" t="s">
        <v>8968</v>
      </c>
      <c r="K2318" t="s">
        <v>1967</v>
      </c>
      <c r="L2318" t="s">
        <v>6083</v>
      </c>
      <c r="M2318" s="8">
        <v>1.0125</v>
      </c>
      <c r="N2318">
        <v>105.747516212372</v>
      </c>
      <c r="O2318">
        <v>1575</v>
      </c>
      <c r="P2318" s="9">
        <v>0.322</v>
      </c>
      <c r="Q2318" t="s">
        <v>1874</v>
      </c>
      <c r="T2318" s="15" t="s">
        <v>89</v>
      </c>
      <c r="W2318" s="16" t="str">
        <f t="shared" si="179"/>
        <v>EN_WON_32_c03_VEN</v>
      </c>
      <c r="X2318" s="12">
        <f t="shared" si="180"/>
        <v>1575</v>
      </c>
      <c r="Y2318" s="11">
        <f t="shared" si="181"/>
        <v>1575</v>
      </c>
    </row>
    <row r="2319" spans="2:25">
      <c r="B2319" t="s">
        <v>26</v>
      </c>
      <c r="C2319" t="s">
        <v>8970</v>
      </c>
      <c r="D2319" t="s">
        <v>8971</v>
      </c>
      <c r="E2319" t="s">
        <v>29</v>
      </c>
      <c r="F2319" t="s">
        <v>30</v>
      </c>
      <c r="G2319" t="s">
        <v>31</v>
      </c>
      <c r="J2319" t="s">
        <v>8970</v>
      </c>
      <c r="K2319" t="s">
        <v>1967</v>
      </c>
      <c r="L2319" t="s">
        <v>6083</v>
      </c>
      <c r="M2319" s="8">
        <v>3.1815</v>
      </c>
      <c r="N2319">
        <v>145.23264029167</v>
      </c>
      <c r="O2319">
        <v>1575</v>
      </c>
      <c r="P2319" s="9">
        <v>0.321472418670439</v>
      </c>
      <c r="Q2319" t="s">
        <v>1874</v>
      </c>
      <c r="T2319" s="15" t="s">
        <v>89</v>
      </c>
      <c r="W2319" s="16" t="str">
        <f t="shared" si="179"/>
        <v>EN_WON_32_c04_VEN</v>
      </c>
      <c r="X2319" s="12">
        <f t="shared" si="180"/>
        <v>1575</v>
      </c>
      <c r="Y2319" s="11">
        <f t="shared" si="181"/>
        <v>1575</v>
      </c>
    </row>
    <row r="2320" spans="2:25">
      <c r="B2320" t="s">
        <v>26</v>
      </c>
      <c r="C2320" t="s">
        <v>8972</v>
      </c>
      <c r="D2320" t="s">
        <v>8973</v>
      </c>
      <c r="E2320" t="s">
        <v>29</v>
      </c>
      <c r="F2320" t="s">
        <v>30</v>
      </c>
      <c r="G2320" t="s">
        <v>31</v>
      </c>
      <c r="J2320" t="s">
        <v>8972</v>
      </c>
      <c r="K2320" t="s">
        <v>1967</v>
      </c>
      <c r="L2320" t="s">
        <v>6083</v>
      </c>
      <c r="M2320" s="8">
        <v>0.56175</v>
      </c>
      <c r="N2320">
        <v>105.747516212372</v>
      </c>
      <c r="O2320">
        <v>1575</v>
      </c>
      <c r="P2320" s="9">
        <v>0.328</v>
      </c>
      <c r="Q2320" t="s">
        <v>1874</v>
      </c>
      <c r="T2320" s="15" t="s">
        <v>89</v>
      </c>
      <c r="W2320" s="16" t="str">
        <f t="shared" si="179"/>
        <v>EN_WON_33_c03_VEN</v>
      </c>
      <c r="X2320" s="12">
        <f t="shared" si="180"/>
        <v>1575</v>
      </c>
      <c r="Y2320" s="11">
        <f t="shared" si="181"/>
        <v>1575</v>
      </c>
    </row>
    <row r="2321" spans="2:25">
      <c r="B2321" t="s">
        <v>26</v>
      </c>
      <c r="C2321" t="s">
        <v>8974</v>
      </c>
      <c r="D2321" t="s">
        <v>8975</v>
      </c>
      <c r="E2321" t="s">
        <v>29</v>
      </c>
      <c r="F2321" t="s">
        <v>30</v>
      </c>
      <c r="G2321" t="s">
        <v>31</v>
      </c>
      <c r="J2321" t="s">
        <v>8974</v>
      </c>
      <c r="K2321" t="s">
        <v>1967</v>
      </c>
      <c r="L2321" t="s">
        <v>6083</v>
      </c>
      <c r="M2321" s="8">
        <v>0.10875</v>
      </c>
      <c r="N2321">
        <v>105.747516212372</v>
      </c>
      <c r="O2321">
        <v>1575</v>
      </c>
      <c r="P2321" s="9">
        <v>0.338</v>
      </c>
      <c r="Q2321" t="s">
        <v>1874</v>
      </c>
      <c r="T2321" s="15" t="s">
        <v>89</v>
      </c>
      <c r="W2321" s="16" t="str">
        <f t="shared" si="179"/>
        <v>EN_WON_34_c03_VEN</v>
      </c>
      <c r="X2321" s="12">
        <f t="shared" si="180"/>
        <v>1575</v>
      </c>
      <c r="Y2321" s="11">
        <f t="shared" si="181"/>
        <v>1575</v>
      </c>
    </row>
    <row r="2322" spans="2:25">
      <c r="B2322" t="s">
        <v>26</v>
      </c>
      <c r="C2322" t="s">
        <v>8976</v>
      </c>
      <c r="D2322" t="s">
        <v>8977</v>
      </c>
      <c r="E2322" t="s">
        <v>29</v>
      </c>
      <c r="F2322" t="s">
        <v>30</v>
      </c>
      <c r="G2322" t="s">
        <v>31</v>
      </c>
      <c r="J2322" t="s">
        <v>8976</v>
      </c>
      <c r="K2322" t="s">
        <v>1967</v>
      </c>
      <c r="L2322" t="s">
        <v>6083</v>
      </c>
      <c r="M2322" s="8">
        <v>0.80175</v>
      </c>
      <c r="N2322">
        <v>145.23264029167</v>
      </c>
      <c r="O2322">
        <v>1575</v>
      </c>
      <c r="P2322" s="9">
        <v>0.339</v>
      </c>
      <c r="Q2322" t="s">
        <v>1874</v>
      </c>
      <c r="T2322" s="15" t="s">
        <v>89</v>
      </c>
      <c r="W2322" s="16" t="str">
        <f t="shared" si="179"/>
        <v>EN_WON_34_c04_VEN</v>
      </c>
      <c r="X2322" s="12">
        <f t="shared" si="180"/>
        <v>1575</v>
      </c>
      <c r="Y2322" s="11">
        <f t="shared" si="181"/>
        <v>1575</v>
      </c>
    </row>
    <row r="2323" spans="2:25">
      <c r="B2323" t="s">
        <v>26</v>
      </c>
      <c r="C2323" t="s">
        <v>8978</v>
      </c>
      <c r="D2323" t="s">
        <v>8979</v>
      </c>
      <c r="E2323" t="s">
        <v>29</v>
      </c>
      <c r="F2323" t="s">
        <v>30</v>
      </c>
      <c r="G2323" t="s">
        <v>31</v>
      </c>
      <c r="J2323" t="s">
        <v>8978</v>
      </c>
      <c r="K2323" t="s">
        <v>1967</v>
      </c>
      <c r="L2323" t="s">
        <v>6083</v>
      </c>
      <c r="M2323" s="8">
        <v>3.273</v>
      </c>
      <c r="N2323">
        <v>0</v>
      </c>
      <c r="O2323">
        <v>1575</v>
      </c>
      <c r="P2323" s="9">
        <v>0.348</v>
      </c>
      <c r="Q2323" t="s">
        <v>1874</v>
      </c>
      <c r="T2323" s="15" t="s">
        <v>89</v>
      </c>
      <c r="W2323" s="16" t="str">
        <f t="shared" si="179"/>
        <v>EN_WON_35_c01_VEN</v>
      </c>
      <c r="X2323" s="12">
        <f t="shared" si="180"/>
        <v>1575</v>
      </c>
      <c r="Y2323" s="11">
        <f t="shared" si="181"/>
        <v>1575</v>
      </c>
    </row>
    <row r="2324" spans="2:25">
      <c r="B2324" t="s">
        <v>26</v>
      </c>
      <c r="C2324" t="s">
        <v>8980</v>
      </c>
      <c r="D2324" t="s">
        <v>8981</v>
      </c>
      <c r="E2324" t="s">
        <v>29</v>
      </c>
      <c r="F2324" t="s">
        <v>30</v>
      </c>
      <c r="G2324" t="s">
        <v>31</v>
      </c>
      <c r="J2324" t="s">
        <v>8980</v>
      </c>
      <c r="K2324" t="s">
        <v>1967</v>
      </c>
      <c r="L2324" t="s">
        <v>6083</v>
      </c>
      <c r="M2324" s="8">
        <v>0.50925</v>
      </c>
      <c r="N2324">
        <v>80.7856561622413</v>
      </c>
      <c r="O2324">
        <v>1575</v>
      </c>
      <c r="P2324" s="9">
        <v>0.352</v>
      </c>
      <c r="Q2324" t="s">
        <v>1874</v>
      </c>
      <c r="T2324" s="15" t="s">
        <v>89</v>
      </c>
      <c r="W2324" s="16" t="str">
        <f t="shared" si="179"/>
        <v>EN_WON_35_c02_VEN</v>
      </c>
      <c r="X2324" s="12">
        <f t="shared" si="180"/>
        <v>1575</v>
      </c>
      <c r="Y2324" s="11">
        <f t="shared" si="181"/>
        <v>1575</v>
      </c>
    </row>
    <row r="2325" spans="2:25">
      <c r="B2325" t="s">
        <v>26</v>
      </c>
      <c r="C2325" t="s">
        <v>8982</v>
      </c>
      <c r="D2325" t="s">
        <v>8983</v>
      </c>
      <c r="E2325" t="s">
        <v>29</v>
      </c>
      <c r="F2325" t="s">
        <v>30</v>
      </c>
      <c r="G2325" t="s">
        <v>31</v>
      </c>
      <c r="J2325" t="s">
        <v>8982</v>
      </c>
      <c r="K2325" t="s">
        <v>1967</v>
      </c>
      <c r="L2325" t="s">
        <v>6083</v>
      </c>
      <c r="M2325" s="8">
        <v>0.19875</v>
      </c>
      <c r="N2325">
        <v>105.747516212372</v>
      </c>
      <c r="O2325">
        <v>1575</v>
      </c>
      <c r="P2325" s="9">
        <v>0.352</v>
      </c>
      <c r="Q2325" t="s">
        <v>1874</v>
      </c>
      <c r="T2325" s="15" t="s">
        <v>89</v>
      </c>
      <c r="W2325" s="16" t="str">
        <f t="shared" si="179"/>
        <v>EN_WON_35_c03_VEN</v>
      </c>
      <c r="X2325" s="12">
        <f t="shared" si="180"/>
        <v>1575</v>
      </c>
      <c r="Y2325" s="11">
        <f t="shared" si="181"/>
        <v>1575</v>
      </c>
    </row>
    <row r="2326" spans="2:25">
      <c r="B2326" t="s">
        <v>26</v>
      </c>
      <c r="C2326" t="s">
        <v>8984</v>
      </c>
      <c r="D2326" t="s">
        <v>8985</v>
      </c>
      <c r="E2326" t="s">
        <v>29</v>
      </c>
      <c r="F2326" t="s">
        <v>30</v>
      </c>
      <c r="G2326" t="s">
        <v>31</v>
      </c>
      <c r="J2326" t="s">
        <v>8984</v>
      </c>
      <c r="K2326" t="s">
        <v>1967</v>
      </c>
      <c r="L2326" t="s">
        <v>6083</v>
      </c>
      <c r="M2326" s="8">
        <v>0.015</v>
      </c>
      <c r="N2326">
        <v>0</v>
      </c>
      <c r="O2326">
        <v>1575</v>
      </c>
      <c r="P2326" s="9">
        <v>0.379</v>
      </c>
      <c r="Q2326" t="s">
        <v>1874</v>
      </c>
      <c r="T2326" s="15" t="s">
        <v>89</v>
      </c>
      <c r="W2326" s="16" t="str">
        <f t="shared" si="179"/>
        <v>EN_WON_38_c01_VEN</v>
      </c>
      <c r="X2326" s="12">
        <f t="shared" si="180"/>
        <v>1575</v>
      </c>
      <c r="Y2326" s="11">
        <f t="shared" si="181"/>
        <v>1575</v>
      </c>
    </row>
    <row r="2327" spans="2:25">
      <c r="B2327" t="s">
        <v>26</v>
      </c>
      <c r="C2327" t="s">
        <v>8986</v>
      </c>
      <c r="D2327" t="s">
        <v>8987</v>
      </c>
      <c r="E2327" t="s">
        <v>29</v>
      </c>
      <c r="F2327" t="s">
        <v>30</v>
      </c>
      <c r="G2327" t="s">
        <v>31</v>
      </c>
      <c r="J2327" t="s">
        <v>8986</v>
      </c>
      <c r="K2327" t="s">
        <v>1967</v>
      </c>
      <c r="L2327" t="s">
        <v>6083</v>
      </c>
      <c r="M2327" s="8">
        <v>1.49625</v>
      </c>
      <c r="N2327">
        <v>0</v>
      </c>
      <c r="O2327">
        <v>1575</v>
      </c>
      <c r="P2327" s="9">
        <v>0.388</v>
      </c>
      <c r="Q2327" t="s">
        <v>1874</v>
      </c>
      <c r="T2327" s="15" t="s">
        <v>89</v>
      </c>
      <c r="W2327" s="16" t="str">
        <f t="shared" si="179"/>
        <v>EN_WON_39_c01_VEN</v>
      </c>
      <c r="X2327" s="12">
        <f t="shared" si="180"/>
        <v>1575</v>
      </c>
      <c r="Y2327" s="11">
        <f t="shared" si="181"/>
        <v>1575</v>
      </c>
    </row>
    <row r="2328" spans="2:25">
      <c r="B2328" t="s">
        <v>26</v>
      </c>
      <c r="C2328" t="s">
        <v>8988</v>
      </c>
      <c r="D2328" t="s">
        <v>8989</v>
      </c>
      <c r="E2328" t="s">
        <v>29</v>
      </c>
      <c r="F2328" t="s">
        <v>30</v>
      </c>
      <c r="G2328" t="s">
        <v>31</v>
      </c>
      <c r="J2328" t="s">
        <v>8988</v>
      </c>
      <c r="K2328" t="s">
        <v>1967</v>
      </c>
      <c r="L2328" t="s">
        <v>6083</v>
      </c>
      <c r="M2328" s="8">
        <v>0.01575</v>
      </c>
      <c r="N2328">
        <v>80.7856561622413</v>
      </c>
      <c r="O2328">
        <v>1575</v>
      </c>
      <c r="P2328" s="9">
        <v>0.385</v>
      </c>
      <c r="Q2328" t="s">
        <v>1874</v>
      </c>
      <c r="T2328" s="15" t="s">
        <v>89</v>
      </c>
      <c r="W2328" s="16" t="str">
        <f t="shared" si="179"/>
        <v>EN_WON_39_c02_VEN</v>
      </c>
      <c r="X2328" s="12">
        <f t="shared" si="180"/>
        <v>1575</v>
      </c>
      <c r="Y2328" s="11">
        <f t="shared" si="181"/>
        <v>1575</v>
      </c>
    </row>
    <row r="2329" spans="2:25">
      <c r="B2329" t="s">
        <v>26</v>
      </c>
      <c r="C2329" t="s">
        <v>8990</v>
      </c>
      <c r="D2329" t="s">
        <v>8991</v>
      </c>
      <c r="E2329" t="s">
        <v>29</v>
      </c>
      <c r="F2329" t="s">
        <v>30</v>
      </c>
      <c r="G2329" t="s">
        <v>31</v>
      </c>
      <c r="J2329" t="s">
        <v>8990</v>
      </c>
      <c r="K2329" t="s">
        <v>1967</v>
      </c>
      <c r="L2329" t="s">
        <v>6083</v>
      </c>
      <c r="M2329" s="8">
        <v>4.2315</v>
      </c>
      <c r="N2329">
        <v>105.747516212372</v>
      </c>
      <c r="O2329">
        <v>1575</v>
      </c>
      <c r="P2329" s="9">
        <v>0.393873094647288</v>
      </c>
      <c r="Q2329" t="s">
        <v>1874</v>
      </c>
      <c r="T2329" s="15" t="s">
        <v>89</v>
      </c>
      <c r="W2329" s="16" t="str">
        <f t="shared" si="179"/>
        <v>EN_WON_39_c03_VEN</v>
      </c>
      <c r="X2329" s="12">
        <f t="shared" si="180"/>
        <v>1575</v>
      </c>
      <c r="Y2329" s="11">
        <f t="shared" si="181"/>
        <v>1575</v>
      </c>
    </row>
    <row r="2330" spans="2:25">
      <c r="B2330" t="s">
        <v>26</v>
      </c>
      <c r="C2330" t="s">
        <v>8992</v>
      </c>
      <c r="D2330" t="s">
        <v>8993</v>
      </c>
      <c r="E2330" t="s">
        <v>29</v>
      </c>
      <c r="F2330" t="s">
        <v>30</v>
      </c>
      <c r="G2330" t="s">
        <v>31</v>
      </c>
      <c r="J2330" t="s">
        <v>8992</v>
      </c>
      <c r="K2330" t="s">
        <v>1967</v>
      </c>
      <c r="L2330" t="s">
        <v>6083</v>
      </c>
      <c r="M2330" s="8">
        <v>1.65</v>
      </c>
      <c r="N2330">
        <v>0</v>
      </c>
      <c r="O2330">
        <v>1575</v>
      </c>
      <c r="P2330" s="9">
        <v>0.401</v>
      </c>
      <c r="Q2330" t="s">
        <v>1874</v>
      </c>
      <c r="T2330" s="15" t="s">
        <v>89</v>
      </c>
      <c r="W2330" s="16" t="str">
        <f t="shared" si="179"/>
        <v>EN_WON_40_c01_VEN</v>
      </c>
      <c r="X2330" s="12">
        <f t="shared" si="180"/>
        <v>1575</v>
      </c>
      <c r="Y2330" s="11">
        <f t="shared" si="181"/>
        <v>1575</v>
      </c>
    </row>
    <row r="2331" spans="2:25">
      <c r="B2331" t="s">
        <v>26</v>
      </c>
      <c r="C2331" t="s">
        <v>8994</v>
      </c>
      <c r="D2331" t="s">
        <v>8995</v>
      </c>
      <c r="E2331" t="s">
        <v>29</v>
      </c>
      <c r="F2331" t="s">
        <v>30</v>
      </c>
      <c r="G2331" t="s">
        <v>31</v>
      </c>
      <c r="J2331" t="s">
        <v>8994</v>
      </c>
      <c r="K2331" t="s">
        <v>1967</v>
      </c>
      <c r="L2331" t="s">
        <v>6083</v>
      </c>
      <c r="M2331" s="8">
        <v>2.90925</v>
      </c>
      <c r="N2331">
        <v>80.7856561622413</v>
      </c>
      <c r="O2331">
        <v>1575</v>
      </c>
      <c r="P2331" s="9">
        <v>0.396000515596803</v>
      </c>
      <c r="Q2331" t="s">
        <v>1874</v>
      </c>
      <c r="T2331" s="15" t="s">
        <v>89</v>
      </c>
      <c r="W2331" s="16" t="str">
        <f t="shared" si="179"/>
        <v>EN_WON_40_c02_VEN</v>
      </c>
      <c r="X2331" s="12">
        <f t="shared" si="180"/>
        <v>1575</v>
      </c>
      <c r="Y2331" s="11">
        <f t="shared" si="181"/>
        <v>1575</v>
      </c>
    </row>
    <row r="2332" spans="2:25">
      <c r="B2332" t="s">
        <v>26</v>
      </c>
      <c r="C2332" t="s">
        <v>8996</v>
      </c>
      <c r="D2332" t="s">
        <v>8997</v>
      </c>
      <c r="E2332" t="s">
        <v>29</v>
      </c>
      <c r="F2332" t="s">
        <v>30</v>
      </c>
      <c r="G2332" t="s">
        <v>31</v>
      </c>
      <c r="J2332" t="s">
        <v>8996</v>
      </c>
      <c r="K2332" t="s">
        <v>1967</v>
      </c>
      <c r="L2332" t="s">
        <v>6083</v>
      </c>
      <c r="M2332" s="8">
        <v>0.4755</v>
      </c>
      <c r="N2332">
        <v>145.23264029167</v>
      </c>
      <c r="O2332">
        <v>1575</v>
      </c>
      <c r="P2332" s="9">
        <v>0.413</v>
      </c>
      <c r="Q2332" t="s">
        <v>1874</v>
      </c>
      <c r="T2332" s="15" t="s">
        <v>89</v>
      </c>
      <c r="W2332" s="16" t="str">
        <f t="shared" si="179"/>
        <v>EN_WON_41_c04_VEN</v>
      </c>
      <c r="X2332" s="12">
        <f t="shared" si="180"/>
        <v>1575</v>
      </c>
      <c r="Y2332" s="11">
        <f t="shared" si="181"/>
        <v>1575</v>
      </c>
    </row>
    <row r="2333" spans="2:25">
      <c r="B2333" t="s">
        <v>26</v>
      </c>
      <c r="C2333" t="s">
        <v>8998</v>
      </c>
      <c r="D2333" t="s">
        <v>8999</v>
      </c>
      <c r="E2333" t="s">
        <v>29</v>
      </c>
      <c r="F2333" t="s">
        <v>30</v>
      </c>
      <c r="G2333" t="s">
        <v>31</v>
      </c>
      <c r="J2333" t="s">
        <v>8998</v>
      </c>
      <c r="K2333" t="s">
        <v>1967</v>
      </c>
      <c r="L2333" t="s">
        <v>6083</v>
      </c>
      <c r="M2333" s="8">
        <v>0.05475</v>
      </c>
      <c r="N2333">
        <v>0</v>
      </c>
      <c r="O2333">
        <v>1575</v>
      </c>
      <c r="P2333" s="9">
        <v>0.419</v>
      </c>
      <c r="Q2333" t="s">
        <v>1874</v>
      </c>
      <c r="T2333" s="15" t="s">
        <v>89</v>
      </c>
      <c r="W2333" s="16" t="str">
        <f t="shared" si="179"/>
        <v>EN_WON_42_c01_VEN</v>
      </c>
      <c r="X2333" s="12">
        <f t="shared" si="180"/>
        <v>1575</v>
      </c>
      <c r="Y2333" s="11">
        <f t="shared" si="181"/>
        <v>1575</v>
      </c>
    </row>
    <row r="2334" spans="2:25">
      <c r="B2334" t="s">
        <v>26</v>
      </c>
      <c r="C2334" t="s">
        <v>9000</v>
      </c>
      <c r="D2334" t="s">
        <v>9001</v>
      </c>
      <c r="E2334" t="s">
        <v>29</v>
      </c>
      <c r="F2334" t="s">
        <v>30</v>
      </c>
      <c r="G2334" t="s">
        <v>31</v>
      </c>
      <c r="J2334" t="s">
        <v>9000</v>
      </c>
      <c r="K2334" t="s">
        <v>1967</v>
      </c>
      <c r="L2334" t="s">
        <v>6083</v>
      </c>
      <c r="M2334" s="8">
        <v>0.789</v>
      </c>
      <c r="N2334">
        <v>80.7856561622413</v>
      </c>
      <c r="O2334">
        <v>1575</v>
      </c>
      <c r="P2334" s="9">
        <v>0.416</v>
      </c>
      <c r="Q2334" t="s">
        <v>1874</v>
      </c>
      <c r="T2334" s="15" t="s">
        <v>89</v>
      </c>
      <c r="W2334" s="16" t="str">
        <f t="shared" si="179"/>
        <v>EN_WON_42_c02_VEN</v>
      </c>
      <c r="X2334" s="12">
        <f t="shared" si="180"/>
        <v>1575</v>
      </c>
      <c r="Y2334" s="11">
        <f t="shared" si="181"/>
        <v>1575</v>
      </c>
    </row>
    <row r="2335" spans="2:25">
      <c r="B2335" t="s">
        <v>26</v>
      </c>
      <c r="C2335" t="s">
        <v>9002</v>
      </c>
      <c r="D2335" t="s">
        <v>9003</v>
      </c>
      <c r="E2335" t="s">
        <v>29</v>
      </c>
      <c r="F2335" t="s">
        <v>30</v>
      </c>
      <c r="G2335" t="s">
        <v>31</v>
      </c>
      <c r="J2335" t="s">
        <v>9002</v>
      </c>
      <c r="K2335" t="s">
        <v>1967</v>
      </c>
      <c r="L2335" t="s">
        <v>6083</v>
      </c>
      <c r="M2335" s="8">
        <v>2.5395</v>
      </c>
      <c r="N2335">
        <v>105.747516212372</v>
      </c>
      <c r="O2335">
        <v>1575</v>
      </c>
      <c r="P2335" s="9">
        <v>0.43</v>
      </c>
      <c r="Q2335" t="s">
        <v>1874</v>
      </c>
      <c r="T2335" s="15" t="s">
        <v>89</v>
      </c>
      <c r="W2335" s="16" t="str">
        <f t="shared" si="179"/>
        <v>EN_WON_43_c03_VEN</v>
      </c>
      <c r="X2335" s="12">
        <f t="shared" si="180"/>
        <v>1575</v>
      </c>
      <c r="Y2335" s="11">
        <f t="shared" si="181"/>
        <v>1575</v>
      </c>
    </row>
    <row r="2336" spans="2:25">
      <c r="B2336" t="s">
        <v>26</v>
      </c>
      <c r="C2336" t="s">
        <v>9004</v>
      </c>
      <c r="D2336" t="s">
        <v>9005</v>
      </c>
      <c r="E2336" t="s">
        <v>29</v>
      </c>
      <c r="F2336" t="s">
        <v>30</v>
      </c>
      <c r="G2336" t="s">
        <v>31</v>
      </c>
      <c r="J2336" t="s">
        <v>9004</v>
      </c>
      <c r="K2336" t="s">
        <v>1967</v>
      </c>
      <c r="L2336" t="s">
        <v>6083</v>
      </c>
      <c r="M2336" s="8">
        <v>0.91125</v>
      </c>
      <c r="N2336">
        <v>0</v>
      </c>
      <c r="O2336">
        <v>1575</v>
      </c>
      <c r="P2336" s="9">
        <v>0.509455144032922</v>
      </c>
      <c r="Q2336" t="s">
        <v>1874</v>
      </c>
      <c r="T2336" s="15" t="s">
        <v>89</v>
      </c>
      <c r="W2336" s="16" t="str">
        <f t="shared" si="179"/>
        <v>EN_WON_51_c01_VEN</v>
      </c>
      <c r="X2336" s="12">
        <f t="shared" si="180"/>
        <v>1575</v>
      </c>
      <c r="Y2336" s="11">
        <f t="shared" si="181"/>
        <v>1575</v>
      </c>
    </row>
    <row r="2337" spans="2:25">
      <c r="B2337" t="s">
        <v>26</v>
      </c>
      <c r="C2337" t="s">
        <v>9006</v>
      </c>
      <c r="D2337" t="s">
        <v>9007</v>
      </c>
      <c r="E2337" t="s">
        <v>29</v>
      </c>
      <c r="F2337" t="s">
        <v>30</v>
      </c>
      <c r="G2337" t="s">
        <v>31</v>
      </c>
      <c r="J2337" t="s">
        <v>9006</v>
      </c>
      <c r="K2337" t="s">
        <v>1967</v>
      </c>
      <c r="L2337" t="s">
        <v>6083</v>
      </c>
      <c r="M2337" s="8">
        <v>2.3445</v>
      </c>
      <c r="N2337">
        <v>0</v>
      </c>
      <c r="O2337">
        <v>1575</v>
      </c>
      <c r="P2337" s="9">
        <v>0.541</v>
      </c>
      <c r="Q2337" t="s">
        <v>1874</v>
      </c>
      <c r="T2337" s="15" t="s">
        <v>89</v>
      </c>
      <c r="W2337" s="16" t="str">
        <f t="shared" si="179"/>
        <v>EN_WON_54_c01_VEN</v>
      </c>
      <c r="X2337" s="12">
        <f t="shared" si="180"/>
        <v>1575</v>
      </c>
      <c r="Y2337" s="11">
        <f t="shared" si="181"/>
        <v>1575</v>
      </c>
    </row>
    <row r="2338" spans="2:25">
      <c r="B2338" t="s">
        <v>26</v>
      </c>
      <c r="C2338" t="s">
        <v>9008</v>
      </c>
      <c r="D2338" t="s">
        <v>9009</v>
      </c>
      <c r="E2338" t="s">
        <v>29</v>
      </c>
      <c r="F2338" t="s">
        <v>30</v>
      </c>
      <c r="G2338" t="s">
        <v>31</v>
      </c>
      <c r="J2338" t="s">
        <v>9008</v>
      </c>
      <c r="K2338" t="s">
        <v>1967</v>
      </c>
      <c r="L2338" t="s">
        <v>6083</v>
      </c>
      <c r="M2338" s="8">
        <v>0.027</v>
      </c>
      <c r="N2338">
        <v>0</v>
      </c>
      <c r="O2338">
        <v>1575</v>
      </c>
      <c r="P2338" s="9">
        <v>0.558</v>
      </c>
      <c r="Q2338" t="s">
        <v>1874</v>
      </c>
      <c r="T2338" s="15" t="s">
        <v>89</v>
      </c>
      <c r="W2338" s="16" t="str">
        <f t="shared" si="179"/>
        <v>EN_WON_56_c01_VEN</v>
      </c>
      <c r="X2338" s="12">
        <f t="shared" si="180"/>
        <v>1575</v>
      </c>
      <c r="Y2338" s="11">
        <f t="shared" si="181"/>
        <v>1575</v>
      </c>
    </row>
    <row r="2339" spans="2:25">
      <c r="B2339" t="s">
        <v>26</v>
      </c>
      <c r="C2339" t="s">
        <v>9010</v>
      </c>
      <c r="D2339" t="s">
        <v>9011</v>
      </c>
      <c r="E2339" t="s">
        <v>29</v>
      </c>
      <c r="F2339" t="s">
        <v>30</v>
      </c>
      <c r="G2339" t="s">
        <v>31</v>
      </c>
      <c r="J2339" t="s">
        <v>9010</v>
      </c>
      <c r="K2339" t="s">
        <v>1967</v>
      </c>
      <c r="L2339" t="s">
        <v>6083</v>
      </c>
      <c r="M2339" s="8">
        <v>1.09875</v>
      </c>
      <c r="N2339">
        <v>0</v>
      </c>
      <c r="O2339">
        <v>1575</v>
      </c>
      <c r="P2339" s="9">
        <v>0.572526279863481</v>
      </c>
      <c r="Q2339" t="s">
        <v>1874</v>
      </c>
      <c r="T2339" s="15" t="s">
        <v>89</v>
      </c>
      <c r="W2339" s="16" t="str">
        <f t="shared" si="179"/>
        <v>EN_WON_57_c01_VEN</v>
      </c>
      <c r="X2339" s="12">
        <f t="shared" si="180"/>
        <v>1575</v>
      </c>
      <c r="Y2339" s="11">
        <f t="shared" si="181"/>
        <v>1575</v>
      </c>
    </row>
    <row r="2340" spans="2:25">
      <c r="B2340" t="s">
        <v>26</v>
      </c>
      <c r="C2340" t="s">
        <v>9012</v>
      </c>
      <c r="D2340" t="s">
        <v>9013</v>
      </c>
      <c r="E2340" t="s">
        <v>29</v>
      </c>
      <c r="F2340" t="s">
        <v>30</v>
      </c>
      <c r="G2340" t="s">
        <v>31</v>
      </c>
      <c r="J2340" t="s">
        <v>9012</v>
      </c>
      <c r="K2340" t="s">
        <v>1967</v>
      </c>
      <c r="L2340" t="s">
        <v>6083</v>
      </c>
      <c r="M2340" s="8">
        <v>1.27425</v>
      </c>
      <c r="N2340">
        <v>0</v>
      </c>
      <c r="O2340">
        <v>1575</v>
      </c>
      <c r="P2340" s="9">
        <v>0.578</v>
      </c>
      <c r="Q2340" t="s">
        <v>1874</v>
      </c>
      <c r="T2340" s="15" t="s">
        <v>89</v>
      </c>
      <c r="W2340" s="16" t="str">
        <f t="shared" si="179"/>
        <v>EN_WON_58_c01_VEN</v>
      </c>
      <c r="X2340" s="12">
        <f t="shared" si="180"/>
        <v>1575</v>
      </c>
      <c r="Y2340" s="11">
        <f t="shared" si="181"/>
        <v>1575</v>
      </c>
    </row>
    <row r="2341" spans="2:25">
      <c r="B2341" t="s">
        <v>26</v>
      </c>
      <c r="C2341" t="s">
        <v>9014</v>
      </c>
      <c r="D2341" t="s">
        <v>9015</v>
      </c>
      <c r="E2341" t="s">
        <v>29</v>
      </c>
      <c r="F2341" t="s">
        <v>30</v>
      </c>
      <c r="G2341" t="s">
        <v>31</v>
      </c>
      <c r="J2341" t="s">
        <v>9014</v>
      </c>
      <c r="K2341" t="s">
        <v>1967</v>
      </c>
      <c r="L2341" t="s">
        <v>6192</v>
      </c>
      <c r="M2341" s="8">
        <v>16.81125</v>
      </c>
      <c r="N2341">
        <v>145.23264029167</v>
      </c>
      <c r="O2341">
        <v>2213</v>
      </c>
      <c r="P2341" s="9">
        <v>0.152298951594914</v>
      </c>
      <c r="Q2341" t="s">
        <v>1900</v>
      </c>
      <c r="T2341" s="15" t="s">
        <v>290</v>
      </c>
      <c r="W2341" s="16" t="str">
        <f t="shared" si="179"/>
        <v>EN_WON_15_c04_VNM</v>
      </c>
      <c r="X2341" s="12">
        <f t="shared" si="180"/>
        <v>2213</v>
      </c>
      <c r="Y2341" s="11">
        <f t="shared" si="181"/>
        <v>2213</v>
      </c>
    </row>
    <row r="2342" spans="2:25">
      <c r="B2342" t="s">
        <v>26</v>
      </c>
      <c r="C2342" t="s">
        <v>9016</v>
      </c>
      <c r="D2342" t="s">
        <v>9017</v>
      </c>
      <c r="E2342" t="s">
        <v>29</v>
      </c>
      <c r="F2342" t="s">
        <v>30</v>
      </c>
      <c r="G2342" t="s">
        <v>31</v>
      </c>
      <c r="J2342" t="s">
        <v>9016</v>
      </c>
      <c r="K2342" t="s">
        <v>1967</v>
      </c>
      <c r="L2342" t="s">
        <v>6192</v>
      </c>
      <c r="M2342" s="8">
        <v>5.47275</v>
      </c>
      <c r="N2342">
        <v>80.7856561622413</v>
      </c>
      <c r="O2342">
        <v>2213</v>
      </c>
      <c r="P2342" s="9">
        <v>0.157002740852405</v>
      </c>
      <c r="Q2342" t="s">
        <v>1900</v>
      </c>
      <c r="T2342" s="15" t="s">
        <v>290</v>
      </c>
      <c r="W2342" s="16" t="str">
        <f t="shared" si="179"/>
        <v>EN_WON_16_c02_VNM</v>
      </c>
      <c r="X2342" s="12">
        <f t="shared" si="180"/>
        <v>2213</v>
      </c>
      <c r="Y2342" s="11">
        <f t="shared" si="181"/>
        <v>2213</v>
      </c>
    </row>
    <row r="2343" spans="2:25">
      <c r="B2343" t="s">
        <v>26</v>
      </c>
      <c r="C2343" t="s">
        <v>9018</v>
      </c>
      <c r="D2343" t="s">
        <v>9019</v>
      </c>
      <c r="E2343" t="s">
        <v>29</v>
      </c>
      <c r="F2343" t="s">
        <v>30</v>
      </c>
      <c r="G2343" t="s">
        <v>31</v>
      </c>
      <c r="J2343" t="s">
        <v>9018</v>
      </c>
      <c r="K2343" t="s">
        <v>1967</v>
      </c>
      <c r="L2343" t="s">
        <v>6192</v>
      </c>
      <c r="M2343" s="8">
        <v>3.876</v>
      </c>
      <c r="N2343">
        <v>105.747516212372</v>
      </c>
      <c r="O2343">
        <v>2213</v>
      </c>
      <c r="P2343" s="9">
        <v>0.162</v>
      </c>
      <c r="Q2343" t="s">
        <v>1900</v>
      </c>
      <c r="T2343" s="15" t="s">
        <v>290</v>
      </c>
      <c r="W2343" s="16" t="str">
        <f t="shared" si="179"/>
        <v>EN_WON_16_c03_VNM</v>
      </c>
      <c r="X2343" s="12">
        <f t="shared" si="180"/>
        <v>2213</v>
      </c>
      <c r="Y2343" s="11">
        <f t="shared" si="181"/>
        <v>2213</v>
      </c>
    </row>
    <row r="2344" spans="2:25">
      <c r="B2344" t="s">
        <v>26</v>
      </c>
      <c r="C2344" t="s">
        <v>9020</v>
      </c>
      <c r="D2344" t="s">
        <v>9021</v>
      </c>
      <c r="E2344" t="s">
        <v>29</v>
      </c>
      <c r="F2344" t="s">
        <v>30</v>
      </c>
      <c r="G2344" t="s">
        <v>31</v>
      </c>
      <c r="J2344" t="s">
        <v>9020</v>
      </c>
      <c r="K2344" t="s">
        <v>1967</v>
      </c>
      <c r="L2344" t="s">
        <v>6192</v>
      </c>
      <c r="M2344" s="8">
        <v>50.34075</v>
      </c>
      <c r="N2344">
        <v>145.23264029167</v>
      </c>
      <c r="O2344">
        <v>2213</v>
      </c>
      <c r="P2344" s="9">
        <v>0.16060584615843</v>
      </c>
      <c r="Q2344" t="s">
        <v>1900</v>
      </c>
      <c r="T2344" s="15" t="s">
        <v>290</v>
      </c>
      <c r="W2344" s="16" t="str">
        <f t="shared" si="179"/>
        <v>EN_WON_16_c04_VNM</v>
      </c>
      <c r="X2344" s="12">
        <f t="shared" si="180"/>
        <v>2213</v>
      </c>
      <c r="Y2344" s="11">
        <f t="shared" si="181"/>
        <v>2213</v>
      </c>
    </row>
    <row r="2345" spans="2:25">
      <c r="B2345" t="s">
        <v>26</v>
      </c>
      <c r="C2345" t="s">
        <v>9022</v>
      </c>
      <c r="D2345" t="s">
        <v>9023</v>
      </c>
      <c r="E2345" t="s">
        <v>29</v>
      </c>
      <c r="F2345" t="s">
        <v>30</v>
      </c>
      <c r="G2345" t="s">
        <v>31</v>
      </c>
      <c r="J2345" t="s">
        <v>9022</v>
      </c>
      <c r="K2345" t="s">
        <v>1967</v>
      </c>
      <c r="L2345" t="s">
        <v>6192</v>
      </c>
      <c r="M2345" s="8">
        <v>8.47875</v>
      </c>
      <c r="N2345">
        <v>80.7856561622413</v>
      </c>
      <c r="O2345">
        <v>2213</v>
      </c>
      <c r="P2345" s="9">
        <v>0.172747633790358</v>
      </c>
      <c r="Q2345" t="s">
        <v>1900</v>
      </c>
      <c r="T2345" s="15" t="s">
        <v>290</v>
      </c>
      <c r="W2345" s="16" t="str">
        <f t="shared" si="179"/>
        <v>EN_WON_17_c02_VNM</v>
      </c>
      <c r="X2345" s="12">
        <f t="shared" si="180"/>
        <v>2213</v>
      </c>
      <c r="Y2345" s="11">
        <f t="shared" si="181"/>
        <v>2213</v>
      </c>
    </row>
    <row r="2346" spans="2:25">
      <c r="B2346" t="s">
        <v>26</v>
      </c>
      <c r="C2346" t="s">
        <v>9024</v>
      </c>
      <c r="D2346" t="s">
        <v>9025</v>
      </c>
      <c r="E2346" t="s">
        <v>29</v>
      </c>
      <c r="F2346" t="s">
        <v>30</v>
      </c>
      <c r="G2346" t="s">
        <v>31</v>
      </c>
      <c r="J2346" t="s">
        <v>9024</v>
      </c>
      <c r="K2346" t="s">
        <v>1967</v>
      </c>
      <c r="L2346" t="s">
        <v>6192</v>
      </c>
      <c r="M2346" s="8">
        <v>3.4125</v>
      </c>
      <c r="N2346">
        <v>105.747516212372</v>
      </c>
      <c r="O2346">
        <v>2213</v>
      </c>
      <c r="P2346" s="9">
        <v>0.172</v>
      </c>
      <c r="Q2346" t="s">
        <v>1900</v>
      </c>
      <c r="T2346" s="15" t="s">
        <v>290</v>
      </c>
      <c r="W2346" s="16" t="str">
        <f t="shared" si="179"/>
        <v>EN_WON_17_c03_VNM</v>
      </c>
      <c r="X2346" s="12">
        <f t="shared" si="180"/>
        <v>2213</v>
      </c>
      <c r="Y2346" s="11">
        <f t="shared" si="181"/>
        <v>2213</v>
      </c>
    </row>
    <row r="2347" spans="2:25">
      <c r="B2347" t="s">
        <v>26</v>
      </c>
      <c r="C2347" t="s">
        <v>9026</v>
      </c>
      <c r="D2347" t="s">
        <v>9027</v>
      </c>
      <c r="E2347" t="s">
        <v>29</v>
      </c>
      <c r="F2347" t="s">
        <v>30</v>
      </c>
      <c r="G2347" t="s">
        <v>31</v>
      </c>
      <c r="J2347" t="s">
        <v>9026</v>
      </c>
      <c r="K2347" t="s">
        <v>1967</v>
      </c>
      <c r="L2347" t="s">
        <v>6192</v>
      </c>
      <c r="M2347" s="8">
        <v>29.52</v>
      </c>
      <c r="N2347">
        <v>145.23264029167</v>
      </c>
      <c r="O2347">
        <v>2213</v>
      </c>
      <c r="P2347" s="9">
        <v>0.170377388211382</v>
      </c>
      <c r="Q2347" t="s">
        <v>1900</v>
      </c>
      <c r="T2347" s="15" t="s">
        <v>290</v>
      </c>
      <c r="W2347" s="16" t="str">
        <f t="shared" si="179"/>
        <v>EN_WON_17_c04_VNM</v>
      </c>
      <c r="X2347" s="12">
        <f t="shared" si="180"/>
        <v>2213</v>
      </c>
      <c r="Y2347" s="11">
        <f t="shared" si="181"/>
        <v>2213</v>
      </c>
    </row>
    <row r="2348" spans="2:25">
      <c r="B2348" t="s">
        <v>26</v>
      </c>
      <c r="C2348" t="s">
        <v>9028</v>
      </c>
      <c r="D2348" t="s">
        <v>9029</v>
      </c>
      <c r="E2348" t="s">
        <v>29</v>
      </c>
      <c r="F2348" t="s">
        <v>30</v>
      </c>
      <c r="G2348" t="s">
        <v>31</v>
      </c>
      <c r="J2348" t="s">
        <v>9028</v>
      </c>
      <c r="K2348" t="s">
        <v>1967</v>
      </c>
      <c r="L2348" t="s">
        <v>6192</v>
      </c>
      <c r="M2348" s="8">
        <v>44.88675</v>
      </c>
      <c r="N2348">
        <v>145.23264029167</v>
      </c>
      <c r="O2348">
        <v>2213</v>
      </c>
      <c r="P2348" s="9">
        <v>0.179012481411552</v>
      </c>
      <c r="Q2348" t="s">
        <v>1900</v>
      </c>
      <c r="T2348" s="15" t="s">
        <v>290</v>
      </c>
      <c r="W2348" s="16" t="str">
        <f t="shared" si="179"/>
        <v>EN_WON_18_c04_VNM</v>
      </c>
      <c r="X2348" s="12">
        <f t="shared" si="180"/>
        <v>2213</v>
      </c>
      <c r="Y2348" s="11">
        <f t="shared" si="181"/>
        <v>2213</v>
      </c>
    </row>
    <row r="2349" spans="2:25">
      <c r="B2349" t="s">
        <v>26</v>
      </c>
      <c r="C2349" t="s">
        <v>9030</v>
      </c>
      <c r="D2349" t="s">
        <v>9031</v>
      </c>
      <c r="E2349" t="s">
        <v>29</v>
      </c>
      <c r="F2349" t="s">
        <v>30</v>
      </c>
      <c r="G2349" t="s">
        <v>31</v>
      </c>
      <c r="J2349" t="s">
        <v>9030</v>
      </c>
      <c r="K2349" t="s">
        <v>1967</v>
      </c>
      <c r="L2349" t="s">
        <v>6192</v>
      </c>
      <c r="M2349" s="8">
        <v>2.74725</v>
      </c>
      <c r="N2349">
        <v>80.7856561622413</v>
      </c>
      <c r="O2349">
        <v>2213</v>
      </c>
      <c r="P2349" s="9">
        <v>0.188784875784876</v>
      </c>
      <c r="Q2349" t="s">
        <v>1900</v>
      </c>
      <c r="T2349" s="15" t="s">
        <v>290</v>
      </c>
      <c r="W2349" s="16" t="str">
        <f t="shared" si="179"/>
        <v>EN_WON_19_c02_VNM</v>
      </c>
      <c r="X2349" s="12">
        <f t="shared" si="180"/>
        <v>2213</v>
      </c>
      <c r="Y2349" s="11">
        <f t="shared" si="181"/>
        <v>2213</v>
      </c>
    </row>
    <row r="2350" spans="2:25">
      <c r="B2350" t="s">
        <v>26</v>
      </c>
      <c r="C2350" t="s">
        <v>9032</v>
      </c>
      <c r="D2350" t="s">
        <v>9033</v>
      </c>
      <c r="E2350" t="s">
        <v>29</v>
      </c>
      <c r="F2350" t="s">
        <v>30</v>
      </c>
      <c r="G2350" t="s">
        <v>31</v>
      </c>
      <c r="J2350" t="s">
        <v>9032</v>
      </c>
      <c r="K2350" t="s">
        <v>1967</v>
      </c>
      <c r="L2350" t="s">
        <v>6192</v>
      </c>
      <c r="M2350" s="8">
        <v>16.989</v>
      </c>
      <c r="N2350">
        <v>145.23264029167</v>
      </c>
      <c r="O2350">
        <v>2213</v>
      </c>
      <c r="P2350" s="9">
        <v>0.189672567543705</v>
      </c>
      <c r="Q2350" t="s">
        <v>1900</v>
      </c>
      <c r="T2350" s="15" t="s">
        <v>290</v>
      </c>
      <c r="W2350" s="16" t="str">
        <f t="shared" si="179"/>
        <v>EN_WON_19_c04_VNM</v>
      </c>
      <c r="X2350" s="12">
        <f t="shared" si="180"/>
        <v>2213</v>
      </c>
      <c r="Y2350" s="11">
        <f t="shared" si="181"/>
        <v>2213</v>
      </c>
    </row>
    <row r="2351" spans="2:25">
      <c r="B2351" t="s">
        <v>26</v>
      </c>
      <c r="C2351" t="s">
        <v>9034</v>
      </c>
      <c r="D2351" t="s">
        <v>9035</v>
      </c>
      <c r="E2351" t="s">
        <v>29</v>
      </c>
      <c r="F2351" t="s">
        <v>30</v>
      </c>
      <c r="G2351" t="s">
        <v>31</v>
      </c>
      <c r="J2351" t="s">
        <v>9034</v>
      </c>
      <c r="K2351" t="s">
        <v>1967</v>
      </c>
      <c r="L2351" t="s">
        <v>6192</v>
      </c>
      <c r="M2351" s="8">
        <v>0.432</v>
      </c>
      <c r="N2351">
        <v>80.7856561622413</v>
      </c>
      <c r="O2351">
        <v>2213</v>
      </c>
      <c r="P2351" s="9">
        <v>0.203</v>
      </c>
      <c r="Q2351" t="s">
        <v>1900</v>
      </c>
      <c r="T2351" s="15" t="s">
        <v>290</v>
      </c>
      <c r="W2351" s="16" t="str">
        <f t="shared" si="179"/>
        <v>EN_WON_20_c02_VNM</v>
      </c>
      <c r="X2351" s="12">
        <f t="shared" si="180"/>
        <v>2213</v>
      </c>
      <c r="Y2351" s="11">
        <f t="shared" si="181"/>
        <v>2213</v>
      </c>
    </row>
    <row r="2352" spans="2:25">
      <c r="B2352" t="s">
        <v>26</v>
      </c>
      <c r="C2352" t="s">
        <v>9036</v>
      </c>
      <c r="D2352" t="s">
        <v>9037</v>
      </c>
      <c r="E2352" t="s">
        <v>29</v>
      </c>
      <c r="F2352" t="s">
        <v>30</v>
      </c>
      <c r="G2352" t="s">
        <v>31</v>
      </c>
      <c r="J2352" t="s">
        <v>9036</v>
      </c>
      <c r="K2352" t="s">
        <v>1967</v>
      </c>
      <c r="L2352" t="s">
        <v>6192</v>
      </c>
      <c r="M2352" s="8">
        <v>30.0375</v>
      </c>
      <c r="N2352">
        <v>145.23264029167</v>
      </c>
      <c r="O2352">
        <v>2213</v>
      </c>
      <c r="P2352" s="9">
        <v>0.199263470661673</v>
      </c>
      <c r="Q2352" t="s">
        <v>1900</v>
      </c>
      <c r="T2352" s="15" t="s">
        <v>290</v>
      </c>
      <c r="W2352" s="16" t="str">
        <f t="shared" si="179"/>
        <v>EN_WON_20_c04_VNM</v>
      </c>
      <c r="X2352" s="12">
        <f t="shared" si="180"/>
        <v>2213</v>
      </c>
      <c r="Y2352" s="11">
        <f t="shared" si="181"/>
        <v>2213</v>
      </c>
    </row>
    <row r="2353" spans="2:25">
      <c r="B2353" t="s">
        <v>26</v>
      </c>
      <c r="C2353" t="s">
        <v>9038</v>
      </c>
      <c r="D2353" t="s">
        <v>9039</v>
      </c>
      <c r="E2353" t="s">
        <v>29</v>
      </c>
      <c r="F2353" t="s">
        <v>30</v>
      </c>
      <c r="G2353" t="s">
        <v>31</v>
      </c>
      <c r="J2353" t="s">
        <v>9038</v>
      </c>
      <c r="K2353" t="s">
        <v>1967</v>
      </c>
      <c r="L2353" t="s">
        <v>6192</v>
      </c>
      <c r="M2353" s="8">
        <v>13.1715</v>
      </c>
      <c r="N2353">
        <v>145.23264029167</v>
      </c>
      <c r="O2353">
        <v>2213</v>
      </c>
      <c r="P2353" s="9">
        <v>0.209347739437422</v>
      </c>
      <c r="Q2353" t="s">
        <v>1900</v>
      </c>
      <c r="T2353" s="15" t="s">
        <v>290</v>
      </c>
      <c r="W2353" s="16" t="str">
        <f t="shared" si="179"/>
        <v>EN_WON_21_c04_VNM</v>
      </c>
      <c r="X2353" s="12">
        <f t="shared" si="180"/>
        <v>2213</v>
      </c>
      <c r="Y2353" s="11">
        <f t="shared" si="181"/>
        <v>2213</v>
      </c>
    </row>
    <row r="2354" spans="2:25">
      <c r="B2354" t="s">
        <v>26</v>
      </c>
      <c r="C2354" t="s">
        <v>9040</v>
      </c>
      <c r="D2354" t="s">
        <v>9041</v>
      </c>
      <c r="E2354" t="s">
        <v>29</v>
      </c>
      <c r="F2354" t="s">
        <v>30</v>
      </c>
      <c r="G2354" t="s">
        <v>31</v>
      </c>
      <c r="J2354" t="s">
        <v>9040</v>
      </c>
      <c r="K2354" t="s">
        <v>1967</v>
      </c>
      <c r="L2354" t="s">
        <v>6192</v>
      </c>
      <c r="M2354" s="8">
        <v>0.14025</v>
      </c>
      <c r="N2354">
        <v>80.7856561622413</v>
      </c>
      <c r="O2354">
        <v>2213</v>
      </c>
      <c r="P2354" s="9">
        <v>0.217085561497326</v>
      </c>
      <c r="Q2354" t="s">
        <v>1900</v>
      </c>
      <c r="T2354" s="15" t="s">
        <v>290</v>
      </c>
      <c r="W2354" s="16" t="str">
        <f t="shared" si="179"/>
        <v>EN_WON_22_c02_VNM</v>
      </c>
      <c r="X2354" s="12">
        <f t="shared" si="180"/>
        <v>2213</v>
      </c>
      <c r="Y2354" s="11">
        <f t="shared" si="181"/>
        <v>2213</v>
      </c>
    </row>
    <row r="2355" spans="2:25">
      <c r="B2355" t="s">
        <v>26</v>
      </c>
      <c r="C2355" t="s">
        <v>9042</v>
      </c>
      <c r="D2355" t="s">
        <v>9043</v>
      </c>
      <c r="E2355" t="s">
        <v>29</v>
      </c>
      <c r="F2355" t="s">
        <v>30</v>
      </c>
      <c r="G2355" t="s">
        <v>31</v>
      </c>
      <c r="J2355" t="s">
        <v>9042</v>
      </c>
      <c r="K2355" t="s">
        <v>1967</v>
      </c>
      <c r="L2355" t="s">
        <v>6192</v>
      </c>
      <c r="M2355" s="8">
        <v>19.86</v>
      </c>
      <c r="N2355">
        <v>145.23264029167</v>
      </c>
      <c r="O2355">
        <v>2213</v>
      </c>
      <c r="P2355" s="9">
        <v>0.21961329305136</v>
      </c>
      <c r="Q2355" t="s">
        <v>1900</v>
      </c>
      <c r="T2355" s="15" t="s">
        <v>290</v>
      </c>
      <c r="W2355" s="16" t="str">
        <f t="shared" si="179"/>
        <v>EN_WON_22_c04_VNM</v>
      </c>
      <c r="X2355" s="12">
        <f t="shared" si="180"/>
        <v>2213</v>
      </c>
      <c r="Y2355" s="11">
        <f t="shared" si="181"/>
        <v>2213</v>
      </c>
    </row>
    <row r="2356" spans="2:25">
      <c r="B2356" t="s">
        <v>26</v>
      </c>
      <c r="C2356" t="s">
        <v>9044</v>
      </c>
      <c r="D2356" t="s">
        <v>9045</v>
      </c>
      <c r="E2356" t="s">
        <v>29</v>
      </c>
      <c r="F2356" t="s">
        <v>30</v>
      </c>
      <c r="G2356" t="s">
        <v>31</v>
      </c>
      <c r="J2356" t="s">
        <v>9044</v>
      </c>
      <c r="K2356" t="s">
        <v>1967</v>
      </c>
      <c r="L2356" t="s">
        <v>6192</v>
      </c>
      <c r="M2356" s="8">
        <v>0.072</v>
      </c>
      <c r="N2356">
        <v>80.7856561622413</v>
      </c>
      <c r="O2356">
        <v>2213</v>
      </c>
      <c r="P2356" s="9">
        <v>0.230677083333333</v>
      </c>
      <c r="Q2356" t="s">
        <v>1900</v>
      </c>
      <c r="T2356" s="15" t="s">
        <v>290</v>
      </c>
      <c r="W2356" s="16" t="str">
        <f t="shared" si="179"/>
        <v>EN_WON_23_c02_VNM</v>
      </c>
      <c r="X2356" s="12">
        <f t="shared" si="180"/>
        <v>2213</v>
      </c>
      <c r="Y2356" s="11">
        <f t="shared" si="181"/>
        <v>2213</v>
      </c>
    </row>
    <row r="2357" spans="2:25">
      <c r="B2357" t="s">
        <v>26</v>
      </c>
      <c r="C2357" t="s">
        <v>9046</v>
      </c>
      <c r="D2357" t="s">
        <v>9047</v>
      </c>
      <c r="E2357" t="s">
        <v>29</v>
      </c>
      <c r="F2357" t="s">
        <v>30</v>
      </c>
      <c r="G2357" t="s">
        <v>31</v>
      </c>
      <c r="J2357" t="s">
        <v>9046</v>
      </c>
      <c r="K2357" t="s">
        <v>1967</v>
      </c>
      <c r="L2357" t="s">
        <v>6192</v>
      </c>
      <c r="M2357" s="8">
        <v>2.91675</v>
      </c>
      <c r="N2357">
        <v>105.747516212372</v>
      </c>
      <c r="O2357">
        <v>2213</v>
      </c>
      <c r="P2357" s="9">
        <v>0.227</v>
      </c>
      <c r="Q2357" t="s">
        <v>1900</v>
      </c>
      <c r="T2357" s="15" t="s">
        <v>290</v>
      </c>
      <c r="W2357" s="16" t="str">
        <f t="shared" si="179"/>
        <v>EN_WON_23_c03_VNM</v>
      </c>
      <c r="X2357" s="12">
        <f t="shared" si="180"/>
        <v>2213</v>
      </c>
      <c r="Y2357" s="11">
        <f t="shared" si="181"/>
        <v>2213</v>
      </c>
    </row>
    <row r="2358" spans="2:25">
      <c r="B2358" t="s">
        <v>26</v>
      </c>
      <c r="C2358" t="s">
        <v>9048</v>
      </c>
      <c r="D2358" t="s">
        <v>9049</v>
      </c>
      <c r="E2358" t="s">
        <v>29</v>
      </c>
      <c r="F2358" t="s">
        <v>30</v>
      </c>
      <c r="G2358" t="s">
        <v>31</v>
      </c>
      <c r="J2358" t="s">
        <v>9048</v>
      </c>
      <c r="K2358" t="s">
        <v>1967</v>
      </c>
      <c r="L2358" t="s">
        <v>6192</v>
      </c>
      <c r="M2358" s="8">
        <v>13.64475</v>
      </c>
      <c r="N2358">
        <v>145.23264029167</v>
      </c>
      <c r="O2358">
        <v>2213</v>
      </c>
      <c r="P2358" s="9">
        <v>0.228527015885231</v>
      </c>
      <c r="Q2358" t="s">
        <v>1900</v>
      </c>
      <c r="T2358" s="15" t="s">
        <v>290</v>
      </c>
      <c r="W2358" s="16" t="str">
        <f t="shared" si="179"/>
        <v>EN_WON_23_c04_VNM</v>
      </c>
      <c r="X2358" s="12">
        <f t="shared" si="180"/>
        <v>2213</v>
      </c>
      <c r="Y2358" s="11">
        <f t="shared" si="181"/>
        <v>2213</v>
      </c>
    </row>
    <row r="2359" spans="2:25">
      <c r="B2359" t="s">
        <v>26</v>
      </c>
      <c r="C2359" t="s">
        <v>9050</v>
      </c>
      <c r="D2359" t="s">
        <v>9051</v>
      </c>
      <c r="E2359" t="s">
        <v>29</v>
      </c>
      <c r="F2359" t="s">
        <v>30</v>
      </c>
      <c r="G2359" t="s">
        <v>31</v>
      </c>
      <c r="J2359" t="s">
        <v>9050</v>
      </c>
      <c r="K2359" t="s">
        <v>1967</v>
      </c>
      <c r="L2359" t="s">
        <v>6192</v>
      </c>
      <c r="M2359" s="8">
        <v>11.532</v>
      </c>
      <c r="N2359">
        <v>145.23264029167</v>
      </c>
      <c r="O2359">
        <v>2213</v>
      </c>
      <c r="P2359" s="9">
        <v>0.23968255723205</v>
      </c>
      <c r="Q2359" t="s">
        <v>1900</v>
      </c>
      <c r="T2359" s="15" t="s">
        <v>290</v>
      </c>
      <c r="W2359" s="16" t="str">
        <f t="shared" si="179"/>
        <v>EN_WON_24_c04_VNM</v>
      </c>
      <c r="X2359" s="12">
        <f t="shared" si="180"/>
        <v>2213</v>
      </c>
      <c r="Y2359" s="11">
        <f t="shared" si="181"/>
        <v>2213</v>
      </c>
    </row>
    <row r="2360" spans="2:25">
      <c r="B2360" t="s">
        <v>26</v>
      </c>
      <c r="C2360" t="s">
        <v>9052</v>
      </c>
      <c r="D2360" t="s">
        <v>9053</v>
      </c>
      <c r="E2360" t="s">
        <v>29</v>
      </c>
      <c r="F2360" t="s">
        <v>30</v>
      </c>
      <c r="G2360" t="s">
        <v>31</v>
      </c>
      <c r="J2360" t="s">
        <v>9052</v>
      </c>
      <c r="K2360" t="s">
        <v>1967</v>
      </c>
      <c r="L2360" t="s">
        <v>6192</v>
      </c>
      <c r="M2360" s="8">
        <v>4.725</v>
      </c>
      <c r="N2360">
        <v>145.23264029167</v>
      </c>
      <c r="O2360">
        <v>2213</v>
      </c>
      <c r="P2360" s="9">
        <v>0.245</v>
      </c>
      <c r="Q2360" t="s">
        <v>1900</v>
      </c>
      <c r="T2360" s="15" t="s">
        <v>290</v>
      </c>
      <c r="W2360" s="16" t="str">
        <f t="shared" si="179"/>
        <v>EN_WON_25_c04_VNM</v>
      </c>
      <c r="X2360" s="12">
        <f t="shared" si="180"/>
        <v>2213</v>
      </c>
      <c r="Y2360" s="11">
        <f t="shared" si="181"/>
        <v>2213</v>
      </c>
    </row>
    <row r="2361" spans="2:25">
      <c r="B2361" t="s">
        <v>26</v>
      </c>
      <c r="C2361" t="s">
        <v>9054</v>
      </c>
      <c r="D2361" t="s">
        <v>9055</v>
      </c>
      <c r="E2361" t="s">
        <v>29</v>
      </c>
      <c r="F2361" t="s">
        <v>30</v>
      </c>
      <c r="G2361" t="s">
        <v>31</v>
      </c>
      <c r="J2361" t="s">
        <v>9054</v>
      </c>
      <c r="K2361" t="s">
        <v>1967</v>
      </c>
      <c r="L2361" t="s">
        <v>6192</v>
      </c>
      <c r="M2361" s="8">
        <v>11.4525</v>
      </c>
      <c r="N2361">
        <v>145.23264029167</v>
      </c>
      <c r="O2361">
        <v>2213</v>
      </c>
      <c r="P2361" s="9">
        <v>0.26179502292076</v>
      </c>
      <c r="Q2361" t="s">
        <v>1900</v>
      </c>
      <c r="T2361" s="15" t="s">
        <v>290</v>
      </c>
      <c r="W2361" s="16" t="str">
        <f t="shared" si="179"/>
        <v>EN_WON_26_c04_VNM</v>
      </c>
      <c r="X2361" s="12">
        <f t="shared" si="180"/>
        <v>2213</v>
      </c>
      <c r="Y2361" s="11">
        <f t="shared" si="181"/>
        <v>2213</v>
      </c>
    </row>
    <row r="2362" spans="2:25">
      <c r="B2362" t="s">
        <v>26</v>
      </c>
      <c r="C2362" t="s">
        <v>9056</v>
      </c>
      <c r="D2362" t="s">
        <v>9057</v>
      </c>
      <c r="E2362" t="s">
        <v>29</v>
      </c>
      <c r="F2362" t="s">
        <v>30</v>
      </c>
      <c r="G2362" t="s">
        <v>31</v>
      </c>
      <c r="J2362" t="s">
        <v>9056</v>
      </c>
      <c r="K2362" t="s">
        <v>1967</v>
      </c>
      <c r="L2362" t="s">
        <v>6192</v>
      </c>
      <c r="M2362" s="8">
        <v>15.255</v>
      </c>
      <c r="N2362">
        <v>145.23264029167</v>
      </c>
      <c r="O2362">
        <v>2213</v>
      </c>
      <c r="P2362" s="9">
        <v>0.271676696165192</v>
      </c>
      <c r="Q2362" t="s">
        <v>1900</v>
      </c>
      <c r="T2362" s="15" t="s">
        <v>290</v>
      </c>
      <c r="W2362" s="16" t="str">
        <f t="shared" si="179"/>
        <v>EN_WON_27_c04_VNM</v>
      </c>
      <c r="X2362" s="12">
        <f t="shared" si="180"/>
        <v>2213</v>
      </c>
      <c r="Y2362" s="11">
        <f t="shared" si="181"/>
        <v>2213</v>
      </c>
    </row>
    <row r="2363" spans="2:25">
      <c r="B2363" t="s">
        <v>26</v>
      </c>
      <c r="C2363" t="s">
        <v>9058</v>
      </c>
      <c r="D2363" t="s">
        <v>9059</v>
      </c>
      <c r="E2363" t="s">
        <v>29</v>
      </c>
      <c r="F2363" t="s">
        <v>30</v>
      </c>
      <c r="G2363" t="s">
        <v>31</v>
      </c>
      <c r="J2363" t="s">
        <v>9058</v>
      </c>
      <c r="K2363" t="s">
        <v>1967</v>
      </c>
      <c r="L2363" t="s">
        <v>6192</v>
      </c>
      <c r="M2363" s="8">
        <v>0.00825</v>
      </c>
      <c r="N2363">
        <v>80.7856561622413</v>
      </c>
      <c r="O2363">
        <v>2213</v>
      </c>
      <c r="P2363" s="9">
        <v>0.28</v>
      </c>
      <c r="Q2363" t="s">
        <v>1900</v>
      </c>
      <c r="T2363" s="15" t="s">
        <v>290</v>
      </c>
      <c r="W2363" s="16" t="str">
        <f t="shared" si="179"/>
        <v>EN_WON_28_c02_VNM</v>
      </c>
      <c r="X2363" s="12">
        <f t="shared" si="180"/>
        <v>2213</v>
      </c>
      <c r="Y2363" s="11">
        <f t="shared" si="181"/>
        <v>2213</v>
      </c>
    </row>
    <row r="2364" spans="2:25">
      <c r="B2364" t="s">
        <v>26</v>
      </c>
      <c r="C2364" t="s">
        <v>9060</v>
      </c>
      <c r="D2364" t="s">
        <v>9061</v>
      </c>
      <c r="E2364" t="s">
        <v>29</v>
      </c>
      <c r="F2364" t="s">
        <v>30</v>
      </c>
      <c r="G2364" t="s">
        <v>31</v>
      </c>
      <c r="J2364" t="s">
        <v>9060</v>
      </c>
      <c r="K2364" t="s">
        <v>1967</v>
      </c>
      <c r="L2364" t="s">
        <v>6192</v>
      </c>
      <c r="M2364" s="8">
        <v>7.46025</v>
      </c>
      <c r="N2364">
        <v>145.23264029167</v>
      </c>
      <c r="O2364">
        <v>2213</v>
      </c>
      <c r="P2364" s="9">
        <v>0.278</v>
      </c>
      <c r="Q2364" t="s">
        <v>1900</v>
      </c>
      <c r="T2364" s="15" t="s">
        <v>290</v>
      </c>
      <c r="W2364" s="16" t="str">
        <f t="shared" si="179"/>
        <v>EN_WON_28_c04_VNM</v>
      </c>
      <c r="X2364" s="12">
        <f t="shared" si="180"/>
        <v>2213</v>
      </c>
      <c r="Y2364" s="11">
        <f t="shared" si="181"/>
        <v>2213</v>
      </c>
    </row>
    <row r="2365" spans="2:25">
      <c r="B2365" t="s">
        <v>26</v>
      </c>
      <c r="C2365" t="s">
        <v>9062</v>
      </c>
      <c r="D2365" t="s">
        <v>9063</v>
      </c>
      <c r="E2365" t="s">
        <v>29</v>
      </c>
      <c r="F2365" t="s">
        <v>30</v>
      </c>
      <c r="G2365" t="s">
        <v>31</v>
      </c>
      <c r="J2365" t="s">
        <v>9062</v>
      </c>
      <c r="K2365" t="s">
        <v>1967</v>
      </c>
      <c r="L2365" t="s">
        <v>6192</v>
      </c>
      <c r="M2365" s="8">
        <v>5.76375</v>
      </c>
      <c r="N2365">
        <v>80.7856561622413</v>
      </c>
      <c r="O2365">
        <v>2213</v>
      </c>
      <c r="P2365" s="9">
        <v>0.296966428106701</v>
      </c>
      <c r="Q2365" t="s">
        <v>1900</v>
      </c>
      <c r="T2365" s="15" t="s">
        <v>290</v>
      </c>
      <c r="W2365" s="16" t="str">
        <f t="shared" si="179"/>
        <v>EN_WON_30_c02_VNM</v>
      </c>
      <c r="X2365" s="12">
        <f t="shared" si="180"/>
        <v>2213</v>
      </c>
      <c r="Y2365" s="11">
        <f t="shared" si="181"/>
        <v>2213</v>
      </c>
    </row>
    <row r="2366" spans="2:25">
      <c r="B2366" t="s">
        <v>26</v>
      </c>
      <c r="C2366" t="s">
        <v>9064</v>
      </c>
      <c r="D2366" t="s">
        <v>9065</v>
      </c>
      <c r="E2366" t="s">
        <v>29</v>
      </c>
      <c r="F2366" t="s">
        <v>30</v>
      </c>
      <c r="G2366" t="s">
        <v>31</v>
      </c>
      <c r="J2366" t="s">
        <v>9064</v>
      </c>
      <c r="K2366" t="s">
        <v>1967</v>
      </c>
      <c r="L2366" t="s">
        <v>6192</v>
      </c>
      <c r="M2366" s="8">
        <v>8.988</v>
      </c>
      <c r="N2366">
        <v>145.23264029167</v>
      </c>
      <c r="O2366">
        <v>2213</v>
      </c>
      <c r="P2366" s="9">
        <v>0.299778037383178</v>
      </c>
      <c r="Q2366" t="s">
        <v>1900</v>
      </c>
      <c r="T2366" s="15" t="s">
        <v>290</v>
      </c>
      <c r="W2366" s="16" t="str">
        <f t="shared" si="179"/>
        <v>EN_WON_30_c04_VNM</v>
      </c>
      <c r="X2366" s="12">
        <f t="shared" si="180"/>
        <v>2213</v>
      </c>
      <c r="Y2366" s="11">
        <f t="shared" si="181"/>
        <v>2213</v>
      </c>
    </row>
    <row r="2367" spans="2:25">
      <c r="B2367" t="s">
        <v>26</v>
      </c>
      <c r="C2367" t="s">
        <v>9066</v>
      </c>
      <c r="D2367" t="s">
        <v>9067</v>
      </c>
      <c r="E2367" t="s">
        <v>29</v>
      </c>
      <c r="F2367" t="s">
        <v>30</v>
      </c>
      <c r="G2367" t="s">
        <v>31</v>
      </c>
      <c r="J2367" t="s">
        <v>9066</v>
      </c>
      <c r="K2367" t="s">
        <v>1967</v>
      </c>
      <c r="L2367" t="s">
        <v>6192</v>
      </c>
      <c r="M2367" s="8">
        <v>0.00525</v>
      </c>
      <c r="N2367">
        <v>105.747516212372</v>
      </c>
      <c r="O2367">
        <v>2213</v>
      </c>
      <c r="P2367" s="9">
        <v>0.379</v>
      </c>
      <c r="Q2367" t="s">
        <v>1900</v>
      </c>
      <c r="T2367" s="15" t="s">
        <v>290</v>
      </c>
      <c r="W2367" s="16" t="str">
        <f t="shared" si="179"/>
        <v>EN_WON_38_c03_VNM</v>
      </c>
      <c r="X2367" s="12">
        <f t="shared" si="180"/>
        <v>2213</v>
      </c>
      <c r="Y2367" s="11">
        <f t="shared" si="181"/>
        <v>2213</v>
      </c>
    </row>
    <row r="2368" spans="2:25">
      <c r="B2368" t="s">
        <v>26</v>
      </c>
      <c r="C2368" t="s">
        <v>9068</v>
      </c>
      <c r="D2368" t="s">
        <v>9069</v>
      </c>
      <c r="E2368" t="s">
        <v>29</v>
      </c>
      <c r="F2368" t="s">
        <v>30</v>
      </c>
      <c r="G2368" t="s">
        <v>31</v>
      </c>
      <c r="J2368" t="s">
        <v>9068</v>
      </c>
      <c r="K2368" t="s">
        <v>1967</v>
      </c>
      <c r="L2368" t="s">
        <v>6192</v>
      </c>
      <c r="M2368" s="8">
        <v>0.32025</v>
      </c>
      <c r="N2368">
        <v>0</v>
      </c>
      <c r="O2368">
        <v>2213</v>
      </c>
      <c r="P2368" s="9">
        <v>0.397</v>
      </c>
      <c r="Q2368" t="s">
        <v>1900</v>
      </c>
      <c r="T2368" s="15" t="s">
        <v>290</v>
      </c>
      <c r="W2368" s="16" t="str">
        <f t="shared" si="179"/>
        <v>EN_WON_40_c01_VNM</v>
      </c>
      <c r="X2368" s="12">
        <f t="shared" si="180"/>
        <v>2213</v>
      </c>
      <c r="Y2368" s="11">
        <f t="shared" si="181"/>
        <v>2213</v>
      </c>
    </row>
    <row r="2369" spans="2:25">
      <c r="B2369" t="s">
        <v>26</v>
      </c>
      <c r="C2369" t="s">
        <v>9070</v>
      </c>
      <c r="D2369" t="s">
        <v>9071</v>
      </c>
      <c r="E2369" t="s">
        <v>29</v>
      </c>
      <c r="F2369" t="s">
        <v>30</v>
      </c>
      <c r="G2369" t="s">
        <v>31</v>
      </c>
      <c r="J2369" t="s">
        <v>9070</v>
      </c>
      <c r="K2369" t="s">
        <v>1967</v>
      </c>
      <c r="L2369" t="s">
        <v>6192</v>
      </c>
      <c r="M2369" s="8">
        <v>0.04725</v>
      </c>
      <c r="N2369">
        <v>80.7856561622413</v>
      </c>
      <c r="O2369">
        <v>2213</v>
      </c>
      <c r="P2369" s="9">
        <v>0.5</v>
      </c>
      <c r="Q2369" t="s">
        <v>1900</v>
      </c>
      <c r="T2369" s="15" t="s">
        <v>290</v>
      </c>
      <c r="W2369" s="16" t="str">
        <f t="shared" si="179"/>
        <v>EN_WON_50_c02_VNM</v>
      </c>
      <c r="X2369" s="12">
        <f t="shared" si="180"/>
        <v>2213</v>
      </c>
      <c r="Y2369" s="11">
        <f t="shared" si="181"/>
        <v>2213</v>
      </c>
    </row>
    <row r="2370" spans="2:25">
      <c r="B2370" t="s">
        <v>26</v>
      </c>
      <c r="C2370" t="s">
        <v>9072</v>
      </c>
      <c r="D2370" t="s">
        <v>9073</v>
      </c>
      <c r="E2370" t="s">
        <v>29</v>
      </c>
      <c r="F2370" t="s">
        <v>30</v>
      </c>
      <c r="G2370" t="s">
        <v>31</v>
      </c>
      <c r="J2370" t="s">
        <v>9072</v>
      </c>
      <c r="K2370" t="s">
        <v>1967</v>
      </c>
      <c r="L2370" t="s">
        <v>6317</v>
      </c>
      <c r="M2370" s="8">
        <v>0.09</v>
      </c>
      <c r="N2370">
        <v>145.23264029167</v>
      </c>
      <c r="O2370">
        <v>1554</v>
      </c>
      <c r="P2370" s="9">
        <v>0.17</v>
      </c>
      <c r="Q2370" t="s">
        <v>1924</v>
      </c>
      <c r="T2370" s="15" t="s">
        <v>290</v>
      </c>
      <c r="W2370" s="16" t="str">
        <f t="shared" si="179"/>
        <v>EN_WON_17_c04_VUT</v>
      </c>
      <c r="X2370" s="12">
        <f t="shared" si="180"/>
        <v>1554</v>
      </c>
      <c r="Y2370" s="11">
        <f t="shared" si="181"/>
        <v>1554</v>
      </c>
    </row>
    <row r="2371" spans="2:25">
      <c r="B2371" t="s">
        <v>26</v>
      </c>
      <c r="C2371" t="s">
        <v>9074</v>
      </c>
      <c r="D2371" t="s">
        <v>9075</v>
      </c>
      <c r="E2371" t="s">
        <v>29</v>
      </c>
      <c r="F2371" t="s">
        <v>30</v>
      </c>
      <c r="G2371" t="s">
        <v>31</v>
      </c>
      <c r="J2371" t="s">
        <v>9074</v>
      </c>
      <c r="K2371" t="s">
        <v>1967</v>
      </c>
      <c r="L2371" t="s">
        <v>6317</v>
      </c>
      <c r="M2371" s="8">
        <v>0.02175</v>
      </c>
      <c r="N2371">
        <v>145.23264029167</v>
      </c>
      <c r="O2371">
        <v>1554</v>
      </c>
      <c r="P2371" s="9">
        <v>0.25</v>
      </c>
      <c r="Q2371" t="s">
        <v>1924</v>
      </c>
      <c r="T2371" s="15" t="s">
        <v>290</v>
      </c>
      <c r="W2371" s="16" t="str">
        <f t="shared" si="179"/>
        <v>EN_WON_25_c04_VUT</v>
      </c>
      <c r="X2371" s="12">
        <f t="shared" si="180"/>
        <v>1554</v>
      </c>
      <c r="Y2371" s="11">
        <f t="shared" si="181"/>
        <v>1554</v>
      </c>
    </row>
    <row r="2372" spans="2:25">
      <c r="B2372" t="s">
        <v>26</v>
      </c>
      <c r="C2372" t="s">
        <v>9076</v>
      </c>
      <c r="D2372" t="s">
        <v>9077</v>
      </c>
      <c r="E2372" t="s">
        <v>29</v>
      </c>
      <c r="F2372" t="s">
        <v>30</v>
      </c>
      <c r="G2372" t="s">
        <v>31</v>
      </c>
      <c r="J2372" t="s">
        <v>9076</v>
      </c>
      <c r="K2372" t="s">
        <v>1967</v>
      </c>
      <c r="L2372" t="s">
        <v>6350</v>
      </c>
      <c r="M2372" s="8">
        <v>8.85375</v>
      </c>
      <c r="N2372">
        <v>80.7856561622413</v>
      </c>
      <c r="O2372">
        <v>1756</v>
      </c>
      <c r="P2372" s="9">
        <v>0.400720457433291</v>
      </c>
      <c r="Q2372" t="s">
        <v>1928</v>
      </c>
      <c r="T2372" s="15" t="s">
        <v>80</v>
      </c>
      <c r="W2372" s="16" t="str">
        <f t="shared" si="179"/>
        <v>EN_WON_40_c02_YEM</v>
      </c>
      <c r="X2372" s="12">
        <f t="shared" si="180"/>
        <v>1756</v>
      </c>
      <c r="Y2372" s="11">
        <f t="shared" si="181"/>
        <v>1756</v>
      </c>
    </row>
    <row r="2373" spans="2:25">
      <c r="B2373" t="s">
        <v>26</v>
      </c>
      <c r="C2373" t="s">
        <v>9078</v>
      </c>
      <c r="D2373" t="s">
        <v>9079</v>
      </c>
      <c r="E2373" t="s">
        <v>29</v>
      </c>
      <c r="F2373" t="s">
        <v>30</v>
      </c>
      <c r="G2373" t="s">
        <v>31</v>
      </c>
      <c r="J2373" t="s">
        <v>9078</v>
      </c>
      <c r="K2373" t="s">
        <v>1967</v>
      </c>
      <c r="L2373" t="s">
        <v>6350</v>
      </c>
      <c r="M2373" s="8">
        <v>0.126</v>
      </c>
      <c r="N2373">
        <v>0</v>
      </c>
      <c r="O2373">
        <v>1756</v>
      </c>
      <c r="P2373" s="9">
        <v>0.43</v>
      </c>
      <c r="Q2373" t="s">
        <v>1928</v>
      </c>
      <c r="T2373" s="15" t="s">
        <v>80</v>
      </c>
      <c r="W2373" s="16" t="str">
        <f t="shared" si="179"/>
        <v>EN_WON_43_c01_YEM</v>
      </c>
      <c r="X2373" s="12">
        <f t="shared" si="180"/>
        <v>1756</v>
      </c>
      <c r="Y2373" s="11">
        <f t="shared" si="181"/>
        <v>1756</v>
      </c>
    </row>
    <row r="2374" spans="2:25">
      <c r="B2374" t="s">
        <v>26</v>
      </c>
      <c r="C2374" t="s">
        <v>9080</v>
      </c>
      <c r="D2374" t="s">
        <v>9081</v>
      </c>
      <c r="E2374" t="s">
        <v>29</v>
      </c>
      <c r="F2374" t="s">
        <v>30</v>
      </c>
      <c r="G2374" t="s">
        <v>31</v>
      </c>
      <c r="J2374" t="s">
        <v>9080</v>
      </c>
      <c r="K2374" t="s">
        <v>1967</v>
      </c>
      <c r="L2374" t="s">
        <v>6350</v>
      </c>
      <c r="M2374" s="8">
        <v>0.12675</v>
      </c>
      <c r="N2374">
        <v>0</v>
      </c>
      <c r="O2374">
        <v>1756</v>
      </c>
      <c r="P2374" s="9">
        <v>0.44</v>
      </c>
      <c r="Q2374" t="s">
        <v>1928</v>
      </c>
      <c r="T2374" s="15" t="s">
        <v>80</v>
      </c>
      <c r="W2374" s="16" t="str">
        <f t="shared" ref="W2374:W2437" si="182">J2374</f>
        <v>EN_WON_44_c01_YEM</v>
      </c>
      <c r="X2374" s="12">
        <f t="shared" ref="X2374:X2437" si="183">O2374</f>
        <v>1756</v>
      </c>
      <c r="Y2374" s="11">
        <f t="shared" ref="Y2374:Y2437" si="184">X2374</f>
        <v>1756</v>
      </c>
    </row>
    <row r="2375" spans="2:25">
      <c r="B2375" t="s">
        <v>26</v>
      </c>
      <c r="C2375" t="s">
        <v>9082</v>
      </c>
      <c r="D2375" t="s">
        <v>9083</v>
      </c>
      <c r="E2375" t="s">
        <v>29</v>
      </c>
      <c r="F2375" t="s">
        <v>30</v>
      </c>
      <c r="G2375" t="s">
        <v>31</v>
      </c>
      <c r="J2375" t="s">
        <v>9082</v>
      </c>
      <c r="K2375" t="s">
        <v>1967</v>
      </c>
      <c r="L2375" t="s">
        <v>6350</v>
      </c>
      <c r="M2375" s="8">
        <v>2.06325</v>
      </c>
      <c r="N2375">
        <v>80.7856561622413</v>
      </c>
      <c r="O2375">
        <v>1756</v>
      </c>
      <c r="P2375" s="9">
        <v>0.439</v>
      </c>
      <c r="Q2375" t="s">
        <v>1928</v>
      </c>
      <c r="T2375" s="15" t="s">
        <v>80</v>
      </c>
      <c r="W2375" s="16" t="str">
        <f t="shared" si="182"/>
        <v>EN_WON_44_c02_YEM</v>
      </c>
      <c r="X2375" s="12">
        <f t="shared" si="183"/>
        <v>1756</v>
      </c>
      <c r="Y2375" s="11">
        <f t="shared" si="184"/>
        <v>1756</v>
      </c>
    </row>
    <row r="2376" spans="2:25">
      <c r="B2376" t="s">
        <v>26</v>
      </c>
      <c r="C2376" t="s">
        <v>9084</v>
      </c>
      <c r="D2376" t="s">
        <v>9085</v>
      </c>
      <c r="E2376" t="s">
        <v>29</v>
      </c>
      <c r="F2376" t="s">
        <v>30</v>
      </c>
      <c r="G2376" t="s">
        <v>31</v>
      </c>
      <c r="J2376" t="s">
        <v>9084</v>
      </c>
      <c r="K2376" t="s">
        <v>1967</v>
      </c>
      <c r="L2376" t="s">
        <v>6350</v>
      </c>
      <c r="M2376" s="8">
        <v>0.09525</v>
      </c>
      <c r="N2376">
        <v>145.23264029167</v>
      </c>
      <c r="O2376">
        <v>1756</v>
      </c>
      <c r="P2376" s="9">
        <v>0.44</v>
      </c>
      <c r="Q2376" t="s">
        <v>1928</v>
      </c>
      <c r="T2376" s="15" t="s">
        <v>80</v>
      </c>
      <c r="W2376" s="16" t="str">
        <f t="shared" si="182"/>
        <v>EN_WON_44_c04_YEM</v>
      </c>
      <c r="X2376" s="12">
        <f t="shared" si="183"/>
        <v>1756</v>
      </c>
      <c r="Y2376" s="11">
        <f t="shared" si="184"/>
        <v>1756</v>
      </c>
    </row>
    <row r="2377" spans="2:25">
      <c r="B2377" t="s">
        <v>26</v>
      </c>
      <c r="C2377" t="s">
        <v>9086</v>
      </c>
      <c r="D2377" t="s">
        <v>9087</v>
      </c>
      <c r="E2377" t="s">
        <v>29</v>
      </c>
      <c r="F2377" t="s">
        <v>30</v>
      </c>
      <c r="G2377" t="s">
        <v>31</v>
      </c>
      <c r="J2377" t="s">
        <v>9086</v>
      </c>
      <c r="K2377" t="s">
        <v>1967</v>
      </c>
      <c r="L2377" t="s">
        <v>6350</v>
      </c>
      <c r="M2377" s="8">
        <v>0.1545</v>
      </c>
      <c r="N2377">
        <v>0</v>
      </c>
      <c r="O2377">
        <v>1756</v>
      </c>
      <c r="P2377" s="9">
        <v>0.46</v>
      </c>
      <c r="Q2377" t="s">
        <v>1928</v>
      </c>
      <c r="T2377" s="15" t="s">
        <v>80</v>
      </c>
      <c r="W2377" s="16" t="str">
        <f t="shared" si="182"/>
        <v>EN_WON_46_c01_YEM</v>
      </c>
      <c r="X2377" s="12">
        <f t="shared" si="183"/>
        <v>1756</v>
      </c>
      <c r="Y2377" s="11">
        <f t="shared" si="184"/>
        <v>1756</v>
      </c>
    </row>
    <row r="2378" spans="2:25">
      <c r="B2378" t="s">
        <v>26</v>
      </c>
      <c r="C2378" t="s">
        <v>9088</v>
      </c>
      <c r="D2378" t="s">
        <v>9089</v>
      </c>
      <c r="E2378" t="s">
        <v>29</v>
      </c>
      <c r="F2378" t="s">
        <v>30</v>
      </c>
      <c r="G2378" t="s">
        <v>31</v>
      </c>
      <c r="J2378" t="s">
        <v>9088</v>
      </c>
      <c r="K2378" t="s">
        <v>1967</v>
      </c>
      <c r="L2378" t="s">
        <v>6350</v>
      </c>
      <c r="M2378" s="8">
        <v>0.02775</v>
      </c>
      <c r="N2378">
        <v>145.23264029167</v>
      </c>
      <c r="O2378">
        <v>1756</v>
      </c>
      <c r="P2378" s="9">
        <v>0.472</v>
      </c>
      <c r="Q2378" t="s">
        <v>1928</v>
      </c>
      <c r="T2378" s="15" t="s">
        <v>80</v>
      </c>
      <c r="W2378" s="16" t="str">
        <f t="shared" si="182"/>
        <v>EN_WON_47_c04_YEM</v>
      </c>
      <c r="X2378" s="12">
        <f t="shared" si="183"/>
        <v>1756</v>
      </c>
      <c r="Y2378" s="11">
        <f t="shared" si="184"/>
        <v>1756</v>
      </c>
    </row>
    <row r="2379" spans="2:25">
      <c r="B2379" t="s">
        <v>26</v>
      </c>
      <c r="C2379" t="s">
        <v>9090</v>
      </c>
      <c r="D2379" t="s">
        <v>9091</v>
      </c>
      <c r="E2379" t="s">
        <v>29</v>
      </c>
      <c r="F2379" t="s">
        <v>30</v>
      </c>
      <c r="G2379" t="s">
        <v>31</v>
      </c>
      <c r="J2379" t="s">
        <v>9090</v>
      </c>
      <c r="K2379" t="s">
        <v>1967</v>
      </c>
      <c r="L2379" t="s">
        <v>6350</v>
      </c>
      <c r="M2379" s="8">
        <v>0.55875</v>
      </c>
      <c r="N2379">
        <v>0</v>
      </c>
      <c r="O2379">
        <v>1756</v>
      </c>
      <c r="P2379" s="9">
        <v>0.48</v>
      </c>
      <c r="Q2379" t="s">
        <v>1928</v>
      </c>
      <c r="T2379" s="15" t="s">
        <v>80</v>
      </c>
      <c r="W2379" s="16" t="str">
        <f t="shared" si="182"/>
        <v>EN_WON_48_c01_YEM</v>
      </c>
      <c r="X2379" s="12">
        <f t="shared" si="183"/>
        <v>1756</v>
      </c>
      <c r="Y2379" s="11">
        <f t="shared" si="184"/>
        <v>1756</v>
      </c>
    </row>
    <row r="2380" spans="2:25">
      <c r="B2380" t="s">
        <v>26</v>
      </c>
      <c r="C2380" t="s">
        <v>9092</v>
      </c>
      <c r="D2380" t="s">
        <v>9093</v>
      </c>
      <c r="E2380" t="s">
        <v>29</v>
      </c>
      <c r="F2380" t="s">
        <v>30</v>
      </c>
      <c r="G2380" t="s">
        <v>31</v>
      </c>
      <c r="J2380" t="s">
        <v>9092</v>
      </c>
      <c r="K2380" t="s">
        <v>1967</v>
      </c>
      <c r="L2380" t="s">
        <v>6350</v>
      </c>
      <c r="M2380" s="8">
        <v>0.55575</v>
      </c>
      <c r="N2380">
        <v>0</v>
      </c>
      <c r="O2380">
        <v>1756</v>
      </c>
      <c r="P2380" s="9">
        <v>0.512</v>
      </c>
      <c r="Q2380" t="s">
        <v>1928</v>
      </c>
      <c r="T2380" s="15" t="s">
        <v>80</v>
      </c>
      <c r="W2380" s="16" t="str">
        <f t="shared" si="182"/>
        <v>EN_WON_51_c01_YEM</v>
      </c>
      <c r="X2380" s="12">
        <f t="shared" si="183"/>
        <v>1756</v>
      </c>
      <c r="Y2380" s="11">
        <f t="shared" si="184"/>
        <v>1756</v>
      </c>
    </row>
    <row r="2381" spans="2:25">
      <c r="B2381" t="s">
        <v>26</v>
      </c>
      <c r="C2381" t="s">
        <v>9094</v>
      </c>
      <c r="D2381" t="s">
        <v>9095</v>
      </c>
      <c r="E2381" t="s">
        <v>29</v>
      </c>
      <c r="F2381" t="s">
        <v>30</v>
      </c>
      <c r="G2381" t="s">
        <v>31</v>
      </c>
      <c r="J2381" t="s">
        <v>9094</v>
      </c>
      <c r="K2381" t="s">
        <v>1967</v>
      </c>
      <c r="L2381" t="s">
        <v>6350</v>
      </c>
      <c r="M2381" s="8">
        <v>1.1475</v>
      </c>
      <c r="N2381">
        <v>0</v>
      </c>
      <c r="O2381">
        <v>1756</v>
      </c>
      <c r="P2381" s="9">
        <v>0.536</v>
      </c>
      <c r="Q2381" t="s">
        <v>1928</v>
      </c>
      <c r="T2381" s="15" t="s">
        <v>80</v>
      </c>
      <c r="W2381" s="16" t="str">
        <f t="shared" si="182"/>
        <v>EN_WON_54_c01_YEM</v>
      </c>
      <c r="X2381" s="12">
        <f t="shared" si="183"/>
        <v>1756</v>
      </c>
      <c r="Y2381" s="11">
        <f t="shared" si="184"/>
        <v>1756</v>
      </c>
    </row>
    <row r="2382" spans="2:25">
      <c r="B2382" t="s">
        <v>26</v>
      </c>
      <c r="C2382" t="s">
        <v>9096</v>
      </c>
      <c r="D2382" t="s">
        <v>9097</v>
      </c>
      <c r="E2382" t="s">
        <v>29</v>
      </c>
      <c r="F2382" t="s">
        <v>30</v>
      </c>
      <c r="G2382" t="s">
        <v>31</v>
      </c>
      <c r="J2382" t="s">
        <v>9096</v>
      </c>
      <c r="K2382" t="s">
        <v>1967</v>
      </c>
      <c r="L2382" t="s">
        <v>6350</v>
      </c>
      <c r="M2382" s="8">
        <v>3.12675</v>
      </c>
      <c r="N2382">
        <v>0</v>
      </c>
      <c r="O2382">
        <v>1756</v>
      </c>
      <c r="P2382" s="9">
        <v>0.557</v>
      </c>
      <c r="Q2382" t="s">
        <v>1928</v>
      </c>
      <c r="T2382" s="15" t="s">
        <v>80</v>
      </c>
      <c r="W2382" s="16" t="str">
        <f t="shared" si="182"/>
        <v>EN_WON_56_c01_YEM</v>
      </c>
      <c r="X2382" s="12">
        <f t="shared" si="183"/>
        <v>1756</v>
      </c>
      <c r="Y2382" s="11">
        <f t="shared" si="184"/>
        <v>1756</v>
      </c>
    </row>
    <row r="2383" spans="2:25">
      <c r="B2383" t="s">
        <v>26</v>
      </c>
      <c r="C2383" t="s">
        <v>9098</v>
      </c>
      <c r="D2383" t="s">
        <v>9099</v>
      </c>
      <c r="E2383" t="s">
        <v>29</v>
      </c>
      <c r="F2383" t="s">
        <v>30</v>
      </c>
      <c r="G2383" t="s">
        <v>31</v>
      </c>
      <c r="J2383" t="s">
        <v>9098</v>
      </c>
      <c r="K2383" t="s">
        <v>1967</v>
      </c>
      <c r="L2383" t="s">
        <v>6420</v>
      </c>
      <c r="M2383" s="8">
        <v>0.01125</v>
      </c>
      <c r="N2383">
        <v>0</v>
      </c>
      <c r="O2383">
        <v>1952</v>
      </c>
      <c r="P2383" s="9">
        <v>0.242</v>
      </c>
      <c r="Q2383" t="s">
        <v>1932</v>
      </c>
      <c r="T2383" s="15" t="s">
        <v>54</v>
      </c>
      <c r="W2383" s="16" t="str">
        <f t="shared" si="182"/>
        <v>EN_WON_24_c01_ZAF</v>
      </c>
      <c r="X2383" s="12">
        <f t="shared" si="183"/>
        <v>1952</v>
      </c>
      <c r="Y2383" s="11">
        <f t="shared" si="184"/>
        <v>1952</v>
      </c>
    </row>
    <row r="2384" spans="2:25">
      <c r="B2384" t="s">
        <v>26</v>
      </c>
      <c r="C2384" t="s">
        <v>9100</v>
      </c>
      <c r="D2384" t="s">
        <v>9101</v>
      </c>
      <c r="E2384" t="s">
        <v>29</v>
      </c>
      <c r="F2384" t="s">
        <v>30</v>
      </c>
      <c r="G2384" t="s">
        <v>31</v>
      </c>
      <c r="J2384" t="s">
        <v>9100</v>
      </c>
      <c r="K2384" t="s">
        <v>1967</v>
      </c>
      <c r="L2384" t="s">
        <v>6420</v>
      </c>
      <c r="M2384" s="8">
        <v>38.21625</v>
      </c>
      <c r="N2384">
        <v>105.747516212372</v>
      </c>
      <c r="O2384">
        <v>1952</v>
      </c>
      <c r="P2384" s="9">
        <v>0.240060680993033</v>
      </c>
      <c r="Q2384" t="s">
        <v>1932</v>
      </c>
      <c r="T2384" s="15" t="s">
        <v>54</v>
      </c>
      <c r="W2384" s="16" t="str">
        <f t="shared" si="182"/>
        <v>EN_WON_24_c03_ZAF</v>
      </c>
      <c r="X2384" s="12">
        <f t="shared" si="183"/>
        <v>1952</v>
      </c>
      <c r="Y2384" s="11">
        <f t="shared" si="184"/>
        <v>1952</v>
      </c>
    </row>
    <row r="2385" spans="2:25">
      <c r="B2385" t="s">
        <v>26</v>
      </c>
      <c r="C2385" t="s">
        <v>9102</v>
      </c>
      <c r="D2385" t="s">
        <v>9103</v>
      </c>
      <c r="E2385" t="s">
        <v>29</v>
      </c>
      <c r="F2385" t="s">
        <v>30</v>
      </c>
      <c r="G2385" t="s">
        <v>31</v>
      </c>
      <c r="J2385" t="s">
        <v>9102</v>
      </c>
      <c r="K2385" t="s">
        <v>1967</v>
      </c>
      <c r="L2385" t="s">
        <v>6420</v>
      </c>
      <c r="M2385" s="8">
        <v>37.311</v>
      </c>
      <c r="N2385">
        <v>80.7856561622413</v>
      </c>
      <c r="O2385">
        <v>1952</v>
      </c>
      <c r="P2385" s="9">
        <v>0.249322485326043</v>
      </c>
      <c r="Q2385" t="s">
        <v>1932</v>
      </c>
      <c r="T2385" s="15" t="s">
        <v>54</v>
      </c>
      <c r="W2385" s="16" t="str">
        <f t="shared" si="182"/>
        <v>EN_WON_25_c02_ZAF</v>
      </c>
      <c r="X2385" s="12">
        <f t="shared" si="183"/>
        <v>1952</v>
      </c>
      <c r="Y2385" s="11">
        <f t="shared" si="184"/>
        <v>1952</v>
      </c>
    </row>
    <row r="2386" spans="2:25">
      <c r="B2386" t="s">
        <v>26</v>
      </c>
      <c r="C2386" t="s">
        <v>9104</v>
      </c>
      <c r="D2386" t="s">
        <v>9105</v>
      </c>
      <c r="E2386" t="s">
        <v>29</v>
      </c>
      <c r="F2386" t="s">
        <v>30</v>
      </c>
      <c r="G2386" t="s">
        <v>31</v>
      </c>
      <c r="J2386" t="s">
        <v>9104</v>
      </c>
      <c r="K2386" t="s">
        <v>1967</v>
      </c>
      <c r="L2386" t="s">
        <v>6420</v>
      </c>
      <c r="M2386" s="8">
        <v>84.53475</v>
      </c>
      <c r="N2386">
        <v>105.747516212372</v>
      </c>
      <c r="O2386">
        <v>1952</v>
      </c>
      <c r="P2386" s="9">
        <v>0.249272044928269</v>
      </c>
      <c r="Q2386" t="s">
        <v>1932</v>
      </c>
      <c r="T2386" s="15" t="s">
        <v>54</v>
      </c>
      <c r="W2386" s="16" t="str">
        <f t="shared" si="182"/>
        <v>EN_WON_25_c03_ZAF</v>
      </c>
      <c r="X2386" s="12">
        <f t="shared" si="183"/>
        <v>1952</v>
      </c>
      <c r="Y2386" s="11">
        <f t="shared" si="184"/>
        <v>1952</v>
      </c>
    </row>
    <row r="2387" spans="2:25">
      <c r="B2387" t="s">
        <v>26</v>
      </c>
      <c r="C2387" t="s">
        <v>9106</v>
      </c>
      <c r="D2387" t="s">
        <v>9107</v>
      </c>
      <c r="E2387" t="s">
        <v>29</v>
      </c>
      <c r="F2387" t="s">
        <v>30</v>
      </c>
      <c r="G2387" t="s">
        <v>31</v>
      </c>
      <c r="J2387" t="s">
        <v>9106</v>
      </c>
      <c r="K2387" t="s">
        <v>1967</v>
      </c>
      <c r="L2387" t="s">
        <v>6420</v>
      </c>
      <c r="M2387" s="8">
        <v>1.155</v>
      </c>
      <c r="N2387">
        <v>0</v>
      </c>
      <c r="O2387">
        <v>1952</v>
      </c>
      <c r="P2387" s="9">
        <v>0.264</v>
      </c>
      <c r="Q2387" t="s">
        <v>1932</v>
      </c>
      <c r="T2387" s="15" t="s">
        <v>54</v>
      </c>
      <c r="W2387" s="16" t="str">
        <f t="shared" si="182"/>
        <v>EN_WON_26_c01_ZAF</v>
      </c>
      <c r="X2387" s="12">
        <f t="shared" si="183"/>
        <v>1952</v>
      </c>
      <c r="Y2387" s="11">
        <f t="shared" si="184"/>
        <v>1952</v>
      </c>
    </row>
    <row r="2388" spans="2:25">
      <c r="B2388" t="s">
        <v>26</v>
      </c>
      <c r="C2388" t="s">
        <v>9108</v>
      </c>
      <c r="D2388" t="s">
        <v>9109</v>
      </c>
      <c r="E2388" t="s">
        <v>29</v>
      </c>
      <c r="F2388" t="s">
        <v>30</v>
      </c>
      <c r="G2388" t="s">
        <v>31</v>
      </c>
      <c r="J2388" t="s">
        <v>9108</v>
      </c>
      <c r="K2388" t="s">
        <v>1967</v>
      </c>
      <c r="L2388" t="s">
        <v>6420</v>
      </c>
      <c r="M2388" s="8">
        <v>16.146</v>
      </c>
      <c r="N2388">
        <v>80.7856561622413</v>
      </c>
      <c r="O2388">
        <v>1952</v>
      </c>
      <c r="P2388" s="9">
        <v>0.259690774804905</v>
      </c>
      <c r="Q2388" t="s">
        <v>1932</v>
      </c>
      <c r="T2388" s="15" t="s">
        <v>54</v>
      </c>
      <c r="W2388" s="16" t="str">
        <f t="shared" si="182"/>
        <v>EN_WON_26_c02_ZAF</v>
      </c>
      <c r="X2388" s="12">
        <f t="shared" si="183"/>
        <v>1952</v>
      </c>
      <c r="Y2388" s="11">
        <f t="shared" si="184"/>
        <v>1952</v>
      </c>
    </row>
    <row r="2389" spans="2:25">
      <c r="B2389" t="s">
        <v>26</v>
      </c>
      <c r="C2389" t="s">
        <v>9110</v>
      </c>
      <c r="D2389" t="s">
        <v>9111</v>
      </c>
      <c r="E2389" t="s">
        <v>29</v>
      </c>
      <c r="F2389" t="s">
        <v>30</v>
      </c>
      <c r="G2389" t="s">
        <v>31</v>
      </c>
      <c r="J2389" t="s">
        <v>9110</v>
      </c>
      <c r="K2389" t="s">
        <v>1967</v>
      </c>
      <c r="L2389" t="s">
        <v>6420</v>
      </c>
      <c r="M2389" s="8">
        <v>29.50425</v>
      </c>
      <c r="N2389">
        <v>105.747516212372</v>
      </c>
      <c r="O2389">
        <v>1952</v>
      </c>
      <c r="P2389" s="9">
        <v>0.25981791606294</v>
      </c>
      <c r="Q2389" t="s">
        <v>1932</v>
      </c>
      <c r="T2389" s="15" t="s">
        <v>54</v>
      </c>
      <c r="W2389" s="16" t="str">
        <f t="shared" si="182"/>
        <v>EN_WON_26_c03_ZAF</v>
      </c>
      <c r="X2389" s="12">
        <f t="shared" si="183"/>
        <v>1952</v>
      </c>
      <c r="Y2389" s="11">
        <f t="shared" si="184"/>
        <v>1952</v>
      </c>
    </row>
    <row r="2390" spans="2:25">
      <c r="B2390" t="s">
        <v>26</v>
      </c>
      <c r="C2390" t="s">
        <v>9112</v>
      </c>
      <c r="D2390" t="s">
        <v>9113</v>
      </c>
      <c r="E2390" t="s">
        <v>29</v>
      </c>
      <c r="F2390" t="s">
        <v>30</v>
      </c>
      <c r="G2390" t="s">
        <v>31</v>
      </c>
      <c r="J2390" t="s">
        <v>9112</v>
      </c>
      <c r="K2390" t="s">
        <v>1967</v>
      </c>
      <c r="L2390" t="s">
        <v>6420</v>
      </c>
      <c r="M2390" s="8">
        <v>1.21725</v>
      </c>
      <c r="N2390">
        <v>145.23264029167</v>
      </c>
      <c r="O2390">
        <v>1952</v>
      </c>
      <c r="P2390" s="9">
        <v>0.258</v>
      </c>
      <c r="Q2390" t="s">
        <v>1932</v>
      </c>
      <c r="T2390" s="15" t="s">
        <v>54</v>
      </c>
      <c r="W2390" s="16" t="str">
        <f t="shared" si="182"/>
        <v>EN_WON_26_c04_ZAF</v>
      </c>
      <c r="X2390" s="12">
        <f t="shared" si="183"/>
        <v>1952</v>
      </c>
      <c r="Y2390" s="11">
        <f t="shared" si="184"/>
        <v>1952</v>
      </c>
    </row>
    <row r="2391" spans="2:25">
      <c r="B2391" t="s">
        <v>26</v>
      </c>
      <c r="C2391" t="s">
        <v>9114</v>
      </c>
      <c r="D2391" t="s">
        <v>9115</v>
      </c>
      <c r="E2391" t="s">
        <v>29</v>
      </c>
      <c r="F2391" t="s">
        <v>30</v>
      </c>
      <c r="G2391" t="s">
        <v>31</v>
      </c>
      <c r="J2391" t="s">
        <v>9114</v>
      </c>
      <c r="K2391" t="s">
        <v>1967</v>
      </c>
      <c r="L2391" t="s">
        <v>6420</v>
      </c>
      <c r="M2391" s="8">
        <v>10.33725</v>
      </c>
      <c r="N2391">
        <v>0</v>
      </c>
      <c r="O2391">
        <v>1952</v>
      </c>
      <c r="P2391" s="9">
        <v>0.267978669375317</v>
      </c>
      <c r="Q2391" t="s">
        <v>1932</v>
      </c>
      <c r="T2391" s="15" t="s">
        <v>54</v>
      </c>
      <c r="W2391" s="16" t="str">
        <f t="shared" si="182"/>
        <v>EN_WON_27_c01_ZAF</v>
      </c>
      <c r="X2391" s="12">
        <f t="shared" si="183"/>
        <v>1952</v>
      </c>
      <c r="Y2391" s="11">
        <f t="shared" si="184"/>
        <v>1952</v>
      </c>
    </row>
    <row r="2392" spans="2:25">
      <c r="B2392" t="s">
        <v>26</v>
      </c>
      <c r="C2392" t="s">
        <v>9116</v>
      </c>
      <c r="D2392" t="s">
        <v>9117</v>
      </c>
      <c r="E2392" t="s">
        <v>29</v>
      </c>
      <c r="F2392" t="s">
        <v>30</v>
      </c>
      <c r="G2392" t="s">
        <v>31</v>
      </c>
      <c r="J2392" t="s">
        <v>9116</v>
      </c>
      <c r="K2392" t="s">
        <v>1967</v>
      </c>
      <c r="L2392" t="s">
        <v>6420</v>
      </c>
      <c r="M2392" s="8">
        <v>39.42525</v>
      </c>
      <c r="N2392">
        <v>80.7856561622413</v>
      </c>
      <c r="O2392">
        <v>1952</v>
      </c>
      <c r="P2392" s="9">
        <v>0.269344569787129</v>
      </c>
      <c r="Q2392" t="s">
        <v>1932</v>
      </c>
      <c r="T2392" s="15" t="s">
        <v>54</v>
      </c>
      <c r="W2392" s="16" t="str">
        <f t="shared" si="182"/>
        <v>EN_WON_27_c02_ZAF</v>
      </c>
      <c r="X2392" s="12">
        <f t="shared" si="183"/>
        <v>1952</v>
      </c>
      <c r="Y2392" s="11">
        <f t="shared" si="184"/>
        <v>1952</v>
      </c>
    </row>
    <row r="2393" spans="2:25">
      <c r="B2393" t="s">
        <v>26</v>
      </c>
      <c r="C2393" t="s">
        <v>9118</v>
      </c>
      <c r="D2393" t="s">
        <v>9119</v>
      </c>
      <c r="E2393" t="s">
        <v>29</v>
      </c>
      <c r="F2393" t="s">
        <v>30</v>
      </c>
      <c r="G2393" t="s">
        <v>31</v>
      </c>
      <c r="J2393" t="s">
        <v>9118</v>
      </c>
      <c r="K2393" t="s">
        <v>1967</v>
      </c>
      <c r="L2393" t="s">
        <v>6420</v>
      </c>
      <c r="M2393" s="8">
        <v>14.6025</v>
      </c>
      <c r="N2393">
        <v>105.747516212372</v>
      </c>
      <c r="O2393">
        <v>1952</v>
      </c>
      <c r="P2393" s="9">
        <v>0.266750385208012</v>
      </c>
      <c r="Q2393" t="s">
        <v>1932</v>
      </c>
      <c r="T2393" s="15" t="s">
        <v>54</v>
      </c>
      <c r="W2393" s="16" t="str">
        <f t="shared" si="182"/>
        <v>EN_WON_27_c03_ZAF</v>
      </c>
      <c r="X2393" s="12">
        <f t="shared" si="183"/>
        <v>1952</v>
      </c>
      <c r="Y2393" s="11">
        <f t="shared" si="184"/>
        <v>1952</v>
      </c>
    </row>
    <row r="2394" spans="2:25">
      <c r="B2394" t="s">
        <v>26</v>
      </c>
      <c r="C2394" t="s">
        <v>9120</v>
      </c>
      <c r="D2394" t="s">
        <v>9121</v>
      </c>
      <c r="E2394" t="s">
        <v>29</v>
      </c>
      <c r="F2394" t="s">
        <v>30</v>
      </c>
      <c r="G2394" t="s">
        <v>31</v>
      </c>
      <c r="J2394" t="s">
        <v>9120</v>
      </c>
      <c r="K2394" t="s">
        <v>1967</v>
      </c>
      <c r="L2394" t="s">
        <v>6420</v>
      </c>
      <c r="M2394" s="8">
        <v>6.618</v>
      </c>
      <c r="N2394">
        <v>0</v>
      </c>
      <c r="O2394">
        <v>1952</v>
      </c>
      <c r="P2394" s="9">
        <v>0.279996826835902</v>
      </c>
      <c r="Q2394" t="s">
        <v>1932</v>
      </c>
      <c r="T2394" s="15" t="s">
        <v>54</v>
      </c>
      <c r="W2394" s="16" t="str">
        <f t="shared" si="182"/>
        <v>EN_WON_28_c01_ZAF</v>
      </c>
      <c r="X2394" s="12">
        <f t="shared" si="183"/>
        <v>1952</v>
      </c>
      <c r="Y2394" s="11">
        <f t="shared" si="184"/>
        <v>1952</v>
      </c>
    </row>
    <row r="2395" spans="2:25">
      <c r="B2395" t="s">
        <v>26</v>
      </c>
      <c r="C2395" t="s">
        <v>9122</v>
      </c>
      <c r="D2395" t="s">
        <v>9123</v>
      </c>
      <c r="E2395" t="s">
        <v>29</v>
      </c>
      <c r="F2395" t="s">
        <v>30</v>
      </c>
      <c r="G2395" t="s">
        <v>31</v>
      </c>
      <c r="J2395" t="s">
        <v>9122</v>
      </c>
      <c r="K2395" t="s">
        <v>1967</v>
      </c>
      <c r="L2395" t="s">
        <v>6420</v>
      </c>
      <c r="M2395" s="8">
        <v>20.59425</v>
      </c>
      <c r="N2395">
        <v>80.7856561622413</v>
      </c>
      <c r="O2395">
        <v>1952</v>
      </c>
      <c r="P2395" s="9">
        <v>0.278791252412688</v>
      </c>
      <c r="Q2395" t="s">
        <v>1932</v>
      </c>
      <c r="T2395" s="15" t="s">
        <v>54</v>
      </c>
      <c r="W2395" s="16" t="str">
        <f t="shared" si="182"/>
        <v>EN_WON_28_c02_ZAF</v>
      </c>
      <c r="X2395" s="12">
        <f t="shared" si="183"/>
        <v>1952</v>
      </c>
      <c r="Y2395" s="11">
        <f t="shared" si="184"/>
        <v>1952</v>
      </c>
    </row>
    <row r="2396" spans="2:25">
      <c r="B2396" t="s">
        <v>26</v>
      </c>
      <c r="C2396" t="s">
        <v>9124</v>
      </c>
      <c r="D2396" t="s">
        <v>9125</v>
      </c>
      <c r="E2396" t="s">
        <v>29</v>
      </c>
      <c r="F2396" t="s">
        <v>30</v>
      </c>
      <c r="G2396" t="s">
        <v>31</v>
      </c>
      <c r="J2396" t="s">
        <v>9124</v>
      </c>
      <c r="K2396" t="s">
        <v>1967</v>
      </c>
      <c r="L2396" t="s">
        <v>6420</v>
      </c>
      <c r="M2396" s="8">
        <v>8.64525</v>
      </c>
      <c r="N2396">
        <v>105.747516212372</v>
      </c>
      <c r="O2396">
        <v>1952</v>
      </c>
      <c r="P2396" s="9">
        <v>0.281962175761256</v>
      </c>
      <c r="Q2396" t="s">
        <v>1932</v>
      </c>
      <c r="T2396" s="15" t="s">
        <v>54</v>
      </c>
      <c r="W2396" s="16" t="str">
        <f t="shared" si="182"/>
        <v>EN_WON_28_c03_ZAF</v>
      </c>
      <c r="X2396" s="12">
        <f t="shared" si="183"/>
        <v>1952</v>
      </c>
      <c r="Y2396" s="11">
        <f t="shared" si="184"/>
        <v>1952</v>
      </c>
    </row>
    <row r="2397" spans="2:25">
      <c r="B2397" t="s">
        <v>26</v>
      </c>
      <c r="C2397" t="s">
        <v>9126</v>
      </c>
      <c r="D2397" t="s">
        <v>9127</v>
      </c>
      <c r="E2397" t="s">
        <v>29</v>
      </c>
      <c r="F2397" t="s">
        <v>30</v>
      </c>
      <c r="G2397" t="s">
        <v>31</v>
      </c>
      <c r="J2397" t="s">
        <v>9126</v>
      </c>
      <c r="K2397" t="s">
        <v>1967</v>
      </c>
      <c r="L2397" t="s">
        <v>6420</v>
      </c>
      <c r="M2397" s="8">
        <v>2.1585</v>
      </c>
      <c r="N2397">
        <v>145.23264029167</v>
      </c>
      <c r="O2397">
        <v>1952</v>
      </c>
      <c r="P2397" s="9">
        <v>0.278</v>
      </c>
      <c r="Q2397" t="s">
        <v>1932</v>
      </c>
      <c r="T2397" s="15" t="s">
        <v>54</v>
      </c>
      <c r="W2397" s="16" t="str">
        <f t="shared" si="182"/>
        <v>EN_WON_28_c04_ZAF</v>
      </c>
      <c r="X2397" s="12">
        <f t="shared" si="183"/>
        <v>1952</v>
      </c>
      <c r="Y2397" s="11">
        <f t="shared" si="184"/>
        <v>1952</v>
      </c>
    </row>
    <row r="2398" spans="2:25">
      <c r="B2398" t="s">
        <v>26</v>
      </c>
      <c r="C2398" t="s">
        <v>9128</v>
      </c>
      <c r="D2398" t="s">
        <v>9129</v>
      </c>
      <c r="E2398" t="s">
        <v>29</v>
      </c>
      <c r="F2398" t="s">
        <v>30</v>
      </c>
      <c r="G2398" t="s">
        <v>31</v>
      </c>
      <c r="J2398" t="s">
        <v>9128</v>
      </c>
      <c r="K2398" t="s">
        <v>1967</v>
      </c>
      <c r="L2398" t="s">
        <v>6420</v>
      </c>
      <c r="M2398" s="8">
        <v>7.8465</v>
      </c>
      <c r="N2398">
        <v>80.7856561622413</v>
      </c>
      <c r="O2398">
        <v>1952</v>
      </c>
      <c r="P2398" s="9">
        <v>0.288680653794685</v>
      </c>
      <c r="Q2398" t="s">
        <v>1932</v>
      </c>
      <c r="T2398" s="15" t="s">
        <v>54</v>
      </c>
      <c r="W2398" s="16" t="str">
        <f t="shared" si="182"/>
        <v>EN_WON_29_c02_ZAF</v>
      </c>
      <c r="X2398" s="12">
        <f t="shared" si="183"/>
        <v>1952</v>
      </c>
      <c r="Y2398" s="11">
        <f t="shared" si="184"/>
        <v>1952</v>
      </c>
    </row>
    <row r="2399" spans="2:25">
      <c r="B2399" t="s">
        <v>26</v>
      </c>
      <c r="C2399" t="s">
        <v>9130</v>
      </c>
      <c r="D2399" t="s">
        <v>9131</v>
      </c>
      <c r="E2399" t="s">
        <v>29</v>
      </c>
      <c r="F2399" t="s">
        <v>30</v>
      </c>
      <c r="G2399" t="s">
        <v>31</v>
      </c>
      <c r="J2399" t="s">
        <v>9130</v>
      </c>
      <c r="K2399" t="s">
        <v>1967</v>
      </c>
      <c r="L2399" t="s">
        <v>6420</v>
      </c>
      <c r="M2399" s="8">
        <v>12.156</v>
      </c>
      <c r="N2399">
        <v>105.747516212372</v>
      </c>
      <c r="O2399">
        <v>1952</v>
      </c>
      <c r="P2399" s="9">
        <v>0.290182749259625</v>
      </c>
      <c r="Q2399" t="s">
        <v>1932</v>
      </c>
      <c r="T2399" s="15" t="s">
        <v>54</v>
      </c>
      <c r="W2399" s="16" t="str">
        <f t="shared" si="182"/>
        <v>EN_WON_29_c03_ZAF</v>
      </c>
      <c r="X2399" s="12">
        <f t="shared" si="183"/>
        <v>1952</v>
      </c>
      <c r="Y2399" s="11">
        <f t="shared" si="184"/>
        <v>1952</v>
      </c>
    </row>
    <row r="2400" spans="2:25">
      <c r="B2400" t="s">
        <v>26</v>
      </c>
      <c r="C2400" t="s">
        <v>9132</v>
      </c>
      <c r="D2400" t="s">
        <v>9133</v>
      </c>
      <c r="E2400" t="s">
        <v>29</v>
      </c>
      <c r="F2400" t="s">
        <v>30</v>
      </c>
      <c r="G2400" t="s">
        <v>31</v>
      </c>
      <c r="J2400" t="s">
        <v>9132</v>
      </c>
      <c r="K2400" t="s">
        <v>1967</v>
      </c>
      <c r="L2400" t="s">
        <v>6420</v>
      </c>
      <c r="M2400" s="8">
        <v>0.69675</v>
      </c>
      <c r="N2400">
        <v>145.23264029167</v>
      </c>
      <c r="O2400">
        <v>1952</v>
      </c>
      <c r="P2400" s="9">
        <v>0.288</v>
      </c>
      <c r="Q2400" t="s">
        <v>1932</v>
      </c>
      <c r="T2400" s="15" t="s">
        <v>54</v>
      </c>
      <c r="W2400" s="16" t="str">
        <f t="shared" si="182"/>
        <v>EN_WON_29_c04_ZAF</v>
      </c>
      <c r="X2400" s="12">
        <f t="shared" si="183"/>
        <v>1952</v>
      </c>
      <c r="Y2400" s="11">
        <f t="shared" si="184"/>
        <v>1952</v>
      </c>
    </row>
    <row r="2401" spans="2:25">
      <c r="B2401" t="s">
        <v>26</v>
      </c>
      <c r="C2401" t="s">
        <v>9134</v>
      </c>
      <c r="D2401" t="s">
        <v>9135</v>
      </c>
      <c r="E2401" t="s">
        <v>29</v>
      </c>
      <c r="F2401" t="s">
        <v>30</v>
      </c>
      <c r="G2401" t="s">
        <v>31</v>
      </c>
      <c r="J2401" t="s">
        <v>9134</v>
      </c>
      <c r="K2401" t="s">
        <v>1967</v>
      </c>
      <c r="L2401" t="s">
        <v>6420</v>
      </c>
      <c r="M2401" s="8">
        <v>10.1985</v>
      </c>
      <c r="N2401">
        <v>0</v>
      </c>
      <c r="O2401">
        <v>1952</v>
      </c>
      <c r="P2401" s="9">
        <v>0.297230475069863</v>
      </c>
      <c r="Q2401" t="s">
        <v>1932</v>
      </c>
      <c r="T2401" s="15" t="s">
        <v>54</v>
      </c>
      <c r="W2401" s="16" t="str">
        <f t="shared" si="182"/>
        <v>EN_WON_30_c01_ZAF</v>
      </c>
      <c r="X2401" s="12">
        <f t="shared" si="183"/>
        <v>1952</v>
      </c>
      <c r="Y2401" s="11">
        <f t="shared" si="184"/>
        <v>1952</v>
      </c>
    </row>
    <row r="2402" spans="2:25">
      <c r="B2402" t="s">
        <v>26</v>
      </c>
      <c r="C2402" t="s">
        <v>9136</v>
      </c>
      <c r="D2402" t="s">
        <v>9137</v>
      </c>
      <c r="E2402" t="s">
        <v>29</v>
      </c>
      <c r="F2402" t="s">
        <v>30</v>
      </c>
      <c r="G2402" t="s">
        <v>31</v>
      </c>
      <c r="J2402" t="s">
        <v>9136</v>
      </c>
      <c r="K2402" t="s">
        <v>1967</v>
      </c>
      <c r="L2402" t="s">
        <v>6420</v>
      </c>
      <c r="M2402" s="8">
        <v>3.48375</v>
      </c>
      <c r="N2402">
        <v>80.7856561622413</v>
      </c>
      <c r="O2402">
        <v>1952</v>
      </c>
      <c r="P2402" s="9">
        <v>0.295160172228202</v>
      </c>
      <c r="Q2402" t="s">
        <v>1932</v>
      </c>
      <c r="T2402" s="15" t="s">
        <v>54</v>
      </c>
      <c r="W2402" s="16" t="str">
        <f t="shared" si="182"/>
        <v>EN_WON_30_c02_ZAF</v>
      </c>
      <c r="X2402" s="12">
        <f t="shared" si="183"/>
        <v>1952</v>
      </c>
      <c r="Y2402" s="11">
        <f t="shared" si="184"/>
        <v>1952</v>
      </c>
    </row>
    <row r="2403" spans="2:25">
      <c r="B2403" t="s">
        <v>26</v>
      </c>
      <c r="C2403" t="s">
        <v>9138</v>
      </c>
      <c r="D2403" t="s">
        <v>9139</v>
      </c>
      <c r="E2403" t="s">
        <v>29</v>
      </c>
      <c r="F2403" t="s">
        <v>30</v>
      </c>
      <c r="G2403" t="s">
        <v>31</v>
      </c>
      <c r="J2403" t="s">
        <v>9138</v>
      </c>
      <c r="K2403" t="s">
        <v>1967</v>
      </c>
      <c r="L2403" t="s">
        <v>6420</v>
      </c>
      <c r="M2403" s="8">
        <v>2.53125</v>
      </c>
      <c r="N2403">
        <v>105.747516212372</v>
      </c>
      <c r="O2403">
        <v>1952</v>
      </c>
      <c r="P2403" s="9">
        <v>0.299</v>
      </c>
      <c r="Q2403" t="s">
        <v>1932</v>
      </c>
      <c r="T2403" s="15" t="s">
        <v>54</v>
      </c>
      <c r="W2403" s="16" t="str">
        <f t="shared" si="182"/>
        <v>EN_WON_30_c03_ZAF</v>
      </c>
      <c r="X2403" s="12">
        <f t="shared" si="183"/>
        <v>1952</v>
      </c>
      <c r="Y2403" s="11">
        <f t="shared" si="184"/>
        <v>1952</v>
      </c>
    </row>
    <row r="2404" spans="2:25">
      <c r="B2404" t="s">
        <v>26</v>
      </c>
      <c r="C2404" t="s">
        <v>9140</v>
      </c>
      <c r="D2404" t="s">
        <v>9141</v>
      </c>
      <c r="E2404" t="s">
        <v>29</v>
      </c>
      <c r="F2404" t="s">
        <v>30</v>
      </c>
      <c r="G2404" t="s">
        <v>31</v>
      </c>
      <c r="J2404" t="s">
        <v>9140</v>
      </c>
      <c r="K2404" t="s">
        <v>1967</v>
      </c>
      <c r="L2404" t="s">
        <v>6420</v>
      </c>
      <c r="M2404" s="8">
        <v>1.0875</v>
      </c>
      <c r="N2404">
        <v>145.23264029167</v>
      </c>
      <c r="O2404">
        <v>1952</v>
      </c>
      <c r="P2404" s="9">
        <v>0.299</v>
      </c>
      <c r="Q2404" t="s">
        <v>1932</v>
      </c>
      <c r="T2404" s="15" t="s">
        <v>54</v>
      </c>
      <c r="W2404" s="16" t="str">
        <f t="shared" si="182"/>
        <v>EN_WON_30_c04_ZAF</v>
      </c>
      <c r="X2404" s="12">
        <f t="shared" si="183"/>
        <v>1952</v>
      </c>
      <c r="Y2404" s="11">
        <f t="shared" si="184"/>
        <v>1952</v>
      </c>
    </row>
    <row r="2405" spans="2:25">
      <c r="B2405" t="s">
        <v>26</v>
      </c>
      <c r="C2405" t="s">
        <v>9142</v>
      </c>
      <c r="D2405" t="s">
        <v>9143</v>
      </c>
      <c r="E2405" t="s">
        <v>29</v>
      </c>
      <c r="F2405" t="s">
        <v>30</v>
      </c>
      <c r="G2405" t="s">
        <v>31</v>
      </c>
      <c r="J2405" t="s">
        <v>9142</v>
      </c>
      <c r="K2405" t="s">
        <v>1967</v>
      </c>
      <c r="L2405" t="s">
        <v>6420</v>
      </c>
      <c r="M2405" s="8">
        <v>4.977</v>
      </c>
      <c r="N2405">
        <v>0</v>
      </c>
      <c r="O2405">
        <v>1952</v>
      </c>
      <c r="P2405" s="9">
        <v>0.311848101265823</v>
      </c>
      <c r="Q2405" t="s">
        <v>1932</v>
      </c>
      <c r="T2405" s="15" t="s">
        <v>54</v>
      </c>
      <c r="W2405" s="16" t="str">
        <f t="shared" si="182"/>
        <v>EN_WON_31_c01_ZAF</v>
      </c>
      <c r="X2405" s="12">
        <f t="shared" si="183"/>
        <v>1952</v>
      </c>
      <c r="Y2405" s="11">
        <f t="shared" si="184"/>
        <v>1952</v>
      </c>
    </row>
    <row r="2406" spans="2:25">
      <c r="B2406" t="s">
        <v>26</v>
      </c>
      <c r="C2406" t="s">
        <v>9144</v>
      </c>
      <c r="D2406" t="s">
        <v>9145</v>
      </c>
      <c r="E2406" t="s">
        <v>29</v>
      </c>
      <c r="F2406" t="s">
        <v>30</v>
      </c>
      <c r="G2406" t="s">
        <v>31</v>
      </c>
      <c r="J2406" t="s">
        <v>9144</v>
      </c>
      <c r="K2406" t="s">
        <v>1967</v>
      </c>
      <c r="L2406" t="s">
        <v>6420</v>
      </c>
      <c r="M2406" s="8">
        <v>1.29525</v>
      </c>
      <c r="N2406">
        <v>80.7856561622413</v>
      </c>
      <c r="O2406">
        <v>1952</v>
      </c>
      <c r="P2406" s="9">
        <v>0.309</v>
      </c>
      <c r="Q2406" t="s">
        <v>1932</v>
      </c>
      <c r="T2406" s="15" t="s">
        <v>54</v>
      </c>
      <c r="W2406" s="16" t="str">
        <f t="shared" si="182"/>
        <v>EN_WON_31_c02_ZAF</v>
      </c>
      <c r="X2406" s="12">
        <f t="shared" si="183"/>
        <v>1952</v>
      </c>
      <c r="Y2406" s="11">
        <f t="shared" si="184"/>
        <v>1952</v>
      </c>
    </row>
    <row r="2407" spans="2:25">
      <c r="B2407" t="s">
        <v>26</v>
      </c>
      <c r="C2407" t="s">
        <v>9146</v>
      </c>
      <c r="D2407" t="s">
        <v>9147</v>
      </c>
      <c r="E2407" t="s">
        <v>29</v>
      </c>
      <c r="F2407" t="s">
        <v>30</v>
      </c>
      <c r="G2407" t="s">
        <v>31</v>
      </c>
      <c r="J2407" t="s">
        <v>9146</v>
      </c>
      <c r="K2407" t="s">
        <v>1967</v>
      </c>
      <c r="L2407" t="s">
        <v>6420</v>
      </c>
      <c r="M2407" s="8">
        <v>1.49025</v>
      </c>
      <c r="N2407">
        <v>105.747516212372</v>
      </c>
      <c r="O2407">
        <v>1952</v>
      </c>
      <c r="P2407" s="9">
        <v>0.311</v>
      </c>
      <c r="Q2407" t="s">
        <v>1932</v>
      </c>
      <c r="T2407" s="15" t="s">
        <v>54</v>
      </c>
      <c r="W2407" s="16" t="str">
        <f t="shared" si="182"/>
        <v>EN_WON_31_c03_ZAF</v>
      </c>
      <c r="X2407" s="12">
        <f t="shared" si="183"/>
        <v>1952</v>
      </c>
      <c r="Y2407" s="11">
        <f t="shared" si="184"/>
        <v>1952</v>
      </c>
    </row>
    <row r="2408" spans="2:25">
      <c r="B2408" t="s">
        <v>26</v>
      </c>
      <c r="C2408" t="s">
        <v>9148</v>
      </c>
      <c r="D2408" t="s">
        <v>9149</v>
      </c>
      <c r="E2408" t="s">
        <v>29</v>
      </c>
      <c r="F2408" t="s">
        <v>30</v>
      </c>
      <c r="G2408" t="s">
        <v>31</v>
      </c>
      <c r="J2408" t="s">
        <v>9148</v>
      </c>
      <c r="K2408" t="s">
        <v>1967</v>
      </c>
      <c r="L2408" t="s">
        <v>6420</v>
      </c>
      <c r="M2408" s="8">
        <v>0.7515</v>
      </c>
      <c r="N2408">
        <v>0</v>
      </c>
      <c r="O2408">
        <v>1952</v>
      </c>
      <c r="P2408" s="9">
        <v>0.315039920159681</v>
      </c>
      <c r="Q2408" t="s">
        <v>1932</v>
      </c>
      <c r="T2408" s="15" t="s">
        <v>54</v>
      </c>
      <c r="W2408" s="16" t="str">
        <f t="shared" si="182"/>
        <v>EN_WON_32_c01_ZAF</v>
      </c>
      <c r="X2408" s="12">
        <f t="shared" si="183"/>
        <v>1952</v>
      </c>
      <c r="Y2408" s="11">
        <f t="shared" si="184"/>
        <v>1952</v>
      </c>
    </row>
    <row r="2409" spans="2:25">
      <c r="B2409" t="s">
        <v>26</v>
      </c>
      <c r="C2409" t="s">
        <v>9150</v>
      </c>
      <c r="D2409" t="s">
        <v>9151</v>
      </c>
      <c r="E2409" t="s">
        <v>29</v>
      </c>
      <c r="F2409" t="s">
        <v>30</v>
      </c>
      <c r="G2409" t="s">
        <v>31</v>
      </c>
      <c r="J2409" t="s">
        <v>9150</v>
      </c>
      <c r="K2409" t="s">
        <v>1967</v>
      </c>
      <c r="L2409" t="s">
        <v>6420</v>
      </c>
      <c r="M2409" s="8">
        <v>9.225</v>
      </c>
      <c r="N2409">
        <v>80.7856561622413</v>
      </c>
      <c r="O2409">
        <v>1952</v>
      </c>
      <c r="P2409" s="9">
        <v>0.31771512195122</v>
      </c>
      <c r="Q2409" t="s">
        <v>1932</v>
      </c>
      <c r="T2409" s="15" t="s">
        <v>54</v>
      </c>
      <c r="W2409" s="16" t="str">
        <f t="shared" si="182"/>
        <v>EN_WON_32_c02_ZAF</v>
      </c>
      <c r="X2409" s="12">
        <f t="shared" si="183"/>
        <v>1952</v>
      </c>
      <c r="Y2409" s="11">
        <f t="shared" si="184"/>
        <v>1952</v>
      </c>
    </row>
    <row r="2410" spans="2:25">
      <c r="B2410" t="s">
        <v>26</v>
      </c>
      <c r="C2410" t="s">
        <v>9152</v>
      </c>
      <c r="D2410" t="s">
        <v>9153</v>
      </c>
      <c r="E2410" t="s">
        <v>29</v>
      </c>
      <c r="F2410" t="s">
        <v>30</v>
      </c>
      <c r="G2410" t="s">
        <v>31</v>
      </c>
      <c r="J2410" t="s">
        <v>9152</v>
      </c>
      <c r="K2410" t="s">
        <v>1967</v>
      </c>
      <c r="L2410" t="s">
        <v>6420</v>
      </c>
      <c r="M2410" s="8">
        <v>5.10975</v>
      </c>
      <c r="N2410">
        <v>105.747516212372</v>
      </c>
      <c r="O2410">
        <v>1952</v>
      </c>
      <c r="P2410" s="9">
        <v>0.31817965653897</v>
      </c>
      <c r="Q2410" t="s">
        <v>1932</v>
      </c>
      <c r="T2410" s="15" t="s">
        <v>54</v>
      </c>
      <c r="W2410" s="16" t="str">
        <f t="shared" si="182"/>
        <v>EN_WON_32_c03_ZAF</v>
      </c>
      <c r="X2410" s="12">
        <f t="shared" si="183"/>
        <v>1952</v>
      </c>
      <c r="Y2410" s="11">
        <f t="shared" si="184"/>
        <v>1952</v>
      </c>
    </row>
    <row r="2411" spans="2:25">
      <c r="B2411" t="s">
        <v>26</v>
      </c>
      <c r="C2411" t="s">
        <v>9154</v>
      </c>
      <c r="D2411" t="s">
        <v>9155</v>
      </c>
      <c r="E2411" t="s">
        <v>29</v>
      </c>
      <c r="F2411" t="s">
        <v>30</v>
      </c>
      <c r="G2411" t="s">
        <v>31</v>
      </c>
      <c r="J2411" t="s">
        <v>9154</v>
      </c>
      <c r="K2411" t="s">
        <v>1967</v>
      </c>
      <c r="L2411" t="s">
        <v>6420</v>
      </c>
      <c r="M2411" s="8">
        <v>0.231</v>
      </c>
      <c r="N2411">
        <v>0</v>
      </c>
      <c r="O2411">
        <v>1952</v>
      </c>
      <c r="P2411" s="9">
        <v>0.327233766233766</v>
      </c>
      <c r="Q2411" t="s">
        <v>1932</v>
      </c>
      <c r="T2411" s="15" t="s">
        <v>54</v>
      </c>
      <c r="W2411" s="16" t="str">
        <f t="shared" si="182"/>
        <v>EN_WON_33_c01_ZAF</v>
      </c>
      <c r="X2411" s="12">
        <f t="shared" si="183"/>
        <v>1952</v>
      </c>
      <c r="Y2411" s="11">
        <f t="shared" si="184"/>
        <v>1952</v>
      </c>
    </row>
    <row r="2412" spans="2:25">
      <c r="B2412" t="s">
        <v>26</v>
      </c>
      <c r="C2412" t="s">
        <v>9156</v>
      </c>
      <c r="D2412" t="s">
        <v>9157</v>
      </c>
      <c r="E2412" t="s">
        <v>29</v>
      </c>
      <c r="F2412" t="s">
        <v>30</v>
      </c>
      <c r="G2412" t="s">
        <v>31</v>
      </c>
      <c r="J2412" t="s">
        <v>9156</v>
      </c>
      <c r="K2412" t="s">
        <v>1967</v>
      </c>
      <c r="L2412" t="s">
        <v>6420</v>
      </c>
      <c r="M2412" s="8">
        <v>0.80475</v>
      </c>
      <c r="N2412">
        <v>105.747516212372</v>
      </c>
      <c r="O2412">
        <v>1952</v>
      </c>
      <c r="P2412" s="9">
        <v>0.325</v>
      </c>
      <c r="Q2412" t="s">
        <v>1932</v>
      </c>
      <c r="T2412" s="15" t="s">
        <v>54</v>
      </c>
      <c r="W2412" s="16" t="str">
        <f t="shared" si="182"/>
        <v>EN_WON_33_c03_ZAF</v>
      </c>
      <c r="X2412" s="12">
        <f t="shared" si="183"/>
        <v>1952</v>
      </c>
      <c r="Y2412" s="11">
        <f t="shared" si="184"/>
        <v>1952</v>
      </c>
    </row>
    <row r="2413" spans="2:25">
      <c r="B2413" t="s">
        <v>26</v>
      </c>
      <c r="C2413" t="s">
        <v>9158</v>
      </c>
      <c r="D2413" t="s">
        <v>9159</v>
      </c>
      <c r="E2413" t="s">
        <v>29</v>
      </c>
      <c r="F2413" t="s">
        <v>30</v>
      </c>
      <c r="G2413" t="s">
        <v>31</v>
      </c>
      <c r="J2413" t="s">
        <v>9158</v>
      </c>
      <c r="K2413" t="s">
        <v>1967</v>
      </c>
      <c r="L2413" t="s">
        <v>6420</v>
      </c>
      <c r="M2413" s="8">
        <v>0.80475</v>
      </c>
      <c r="N2413">
        <v>0</v>
      </c>
      <c r="O2413">
        <v>1952</v>
      </c>
      <c r="P2413" s="9">
        <v>0.338997204100652</v>
      </c>
      <c r="Q2413" t="s">
        <v>1932</v>
      </c>
      <c r="T2413" s="15" t="s">
        <v>54</v>
      </c>
      <c r="W2413" s="16" t="str">
        <f t="shared" si="182"/>
        <v>EN_WON_34_c01_ZAF</v>
      </c>
      <c r="X2413" s="12">
        <f t="shared" si="183"/>
        <v>1952</v>
      </c>
      <c r="Y2413" s="11">
        <f t="shared" si="184"/>
        <v>1952</v>
      </c>
    </row>
    <row r="2414" spans="2:25">
      <c r="B2414" t="s">
        <v>26</v>
      </c>
      <c r="C2414" t="s">
        <v>9160</v>
      </c>
      <c r="D2414" t="s">
        <v>9161</v>
      </c>
      <c r="E2414" t="s">
        <v>29</v>
      </c>
      <c r="F2414" t="s">
        <v>30</v>
      </c>
      <c r="G2414" t="s">
        <v>31</v>
      </c>
      <c r="J2414" t="s">
        <v>9160</v>
      </c>
      <c r="K2414" t="s">
        <v>1967</v>
      </c>
      <c r="L2414" t="s">
        <v>6420</v>
      </c>
      <c r="M2414" s="8">
        <v>2.53125</v>
      </c>
      <c r="N2414">
        <v>80.7856561622413</v>
      </c>
      <c r="O2414">
        <v>1952</v>
      </c>
      <c r="P2414" s="9">
        <v>0.344</v>
      </c>
      <c r="Q2414" t="s">
        <v>1932</v>
      </c>
      <c r="T2414" s="15" t="s">
        <v>54</v>
      </c>
      <c r="W2414" s="16" t="str">
        <f t="shared" si="182"/>
        <v>EN_WON_34_c02_ZAF</v>
      </c>
      <c r="X2414" s="12">
        <f t="shared" si="183"/>
        <v>1952</v>
      </c>
      <c r="Y2414" s="11">
        <f t="shared" si="184"/>
        <v>1952</v>
      </c>
    </row>
    <row r="2415" spans="2:25">
      <c r="B2415" t="s">
        <v>26</v>
      </c>
      <c r="C2415" t="s">
        <v>9162</v>
      </c>
      <c r="D2415" t="s">
        <v>9163</v>
      </c>
      <c r="E2415" t="s">
        <v>29</v>
      </c>
      <c r="F2415" t="s">
        <v>30</v>
      </c>
      <c r="G2415" t="s">
        <v>31</v>
      </c>
      <c r="J2415" t="s">
        <v>9162</v>
      </c>
      <c r="K2415" t="s">
        <v>1967</v>
      </c>
      <c r="L2415" t="s">
        <v>6420</v>
      </c>
      <c r="M2415" s="8">
        <v>1.71</v>
      </c>
      <c r="N2415">
        <v>0</v>
      </c>
      <c r="O2415">
        <v>1952</v>
      </c>
      <c r="P2415" s="9">
        <v>0.348</v>
      </c>
      <c r="Q2415" t="s">
        <v>1932</v>
      </c>
      <c r="T2415" s="15" t="s">
        <v>54</v>
      </c>
      <c r="W2415" s="16" t="str">
        <f t="shared" si="182"/>
        <v>EN_WON_35_c01_ZAF</v>
      </c>
      <c r="X2415" s="12">
        <f t="shared" si="183"/>
        <v>1952</v>
      </c>
      <c r="Y2415" s="11">
        <f t="shared" si="184"/>
        <v>1952</v>
      </c>
    </row>
    <row r="2416" spans="2:25">
      <c r="B2416" t="s">
        <v>26</v>
      </c>
      <c r="C2416" t="s">
        <v>9164</v>
      </c>
      <c r="D2416" t="s">
        <v>9165</v>
      </c>
      <c r="E2416" t="s">
        <v>29</v>
      </c>
      <c r="F2416" t="s">
        <v>30</v>
      </c>
      <c r="G2416" t="s">
        <v>31</v>
      </c>
      <c r="J2416" t="s">
        <v>9164</v>
      </c>
      <c r="K2416" t="s">
        <v>1967</v>
      </c>
      <c r="L2416" t="s">
        <v>6420</v>
      </c>
      <c r="M2416" s="8">
        <v>4.29675</v>
      </c>
      <c r="N2416">
        <v>80.7856561622413</v>
      </c>
      <c r="O2416">
        <v>1952</v>
      </c>
      <c r="P2416" s="9">
        <v>0.345</v>
      </c>
      <c r="Q2416" t="s">
        <v>1932</v>
      </c>
      <c r="T2416" s="15" t="s">
        <v>54</v>
      </c>
      <c r="W2416" s="16" t="str">
        <f t="shared" si="182"/>
        <v>EN_WON_35_c02_ZAF</v>
      </c>
      <c r="X2416" s="12">
        <f t="shared" si="183"/>
        <v>1952</v>
      </c>
      <c r="Y2416" s="11">
        <f t="shared" si="184"/>
        <v>1952</v>
      </c>
    </row>
    <row r="2417" spans="2:25">
      <c r="B2417" t="s">
        <v>26</v>
      </c>
      <c r="C2417" t="s">
        <v>9166</v>
      </c>
      <c r="D2417" t="s">
        <v>9167</v>
      </c>
      <c r="E2417" t="s">
        <v>29</v>
      </c>
      <c r="F2417" t="s">
        <v>30</v>
      </c>
      <c r="G2417" t="s">
        <v>31</v>
      </c>
      <c r="J2417" t="s">
        <v>9166</v>
      </c>
      <c r="K2417" t="s">
        <v>1967</v>
      </c>
      <c r="L2417" t="s">
        <v>6420</v>
      </c>
      <c r="M2417" s="8">
        <v>0.2265</v>
      </c>
      <c r="N2417">
        <v>80.7856561622413</v>
      </c>
      <c r="O2417">
        <v>1952</v>
      </c>
      <c r="P2417" s="9">
        <v>0.357</v>
      </c>
      <c r="Q2417" t="s">
        <v>1932</v>
      </c>
      <c r="T2417" s="15" t="s">
        <v>54</v>
      </c>
      <c r="W2417" s="16" t="str">
        <f t="shared" si="182"/>
        <v>EN_WON_36_c02_ZAF</v>
      </c>
      <c r="X2417" s="12">
        <f t="shared" si="183"/>
        <v>1952</v>
      </c>
      <c r="Y2417" s="11">
        <f t="shared" si="184"/>
        <v>1952</v>
      </c>
    </row>
    <row r="2418" spans="2:25">
      <c r="B2418" t="s">
        <v>26</v>
      </c>
      <c r="C2418" t="s">
        <v>9168</v>
      </c>
      <c r="D2418" t="s">
        <v>9169</v>
      </c>
      <c r="E2418" t="s">
        <v>29</v>
      </c>
      <c r="F2418" t="s">
        <v>30</v>
      </c>
      <c r="G2418" t="s">
        <v>31</v>
      </c>
      <c r="J2418" t="s">
        <v>9168</v>
      </c>
      <c r="K2418" t="s">
        <v>1967</v>
      </c>
      <c r="L2418" t="s">
        <v>6420</v>
      </c>
      <c r="M2418" s="8">
        <v>0.36675</v>
      </c>
      <c r="N2418">
        <v>80.7856561622413</v>
      </c>
      <c r="O2418">
        <v>1952</v>
      </c>
      <c r="P2418" s="9">
        <v>0.429</v>
      </c>
      <c r="Q2418" t="s">
        <v>1932</v>
      </c>
      <c r="T2418" s="15" t="s">
        <v>54</v>
      </c>
      <c r="W2418" s="16" t="str">
        <f t="shared" si="182"/>
        <v>EN_WON_43_c02_ZAF</v>
      </c>
      <c r="X2418" s="12">
        <f t="shared" si="183"/>
        <v>1952</v>
      </c>
      <c r="Y2418" s="11">
        <f t="shared" si="184"/>
        <v>1952</v>
      </c>
    </row>
    <row r="2419" spans="2:25">
      <c r="B2419" t="s">
        <v>26</v>
      </c>
      <c r="C2419" t="s">
        <v>9170</v>
      </c>
      <c r="D2419" t="s">
        <v>9171</v>
      </c>
      <c r="E2419" t="s">
        <v>29</v>
      </c>
      <c r="F2419" t="s">
        <v>30</v>
      </c>
      <c r="G2419" t="s">
        <v>31</v>
      </c>
      <c r="J2419" t="s">
        <v>9170</v>
      </c>
      <c r="K2419" t="s">
        <v>1967</v>
      </c>
      <c r="L2419" t="s">
        <v>6420</v>
      </c>
      <c r="M2419" s="8">
        <v>0.006</v>
      </c>
      <c r="N2419">
        <v>0</v>
      </c>
      <c r="O2419">
        <v>1952</v>
      </c>
      <c r="P2419" s="9">
        <v>0.463</v>
      </c>
      <c r="Q2419" t="s">
        <v>1932</v>
      </c>
      <c r="T2419" s="15" t="s">
        <v>54</v>
      </c>
      <c r="W2419" s="16" t="str">
        <f t="shared" si="182"/>
        <v>EN_WON_46_c01_ZAF</v>
      </c>
      <c r="X2419" s="12">
        <f t="shared" si="183"/>
        <v>1952</v>
      </c>
      <c r="Y2419" s="11">
        <f t="shared" si="184"/>
        <v>1952</v>
      </c>
    </row>
    <row r="2420" spans="2:25">
      <c r="B2420" t="s">
        <v>26</v>
      </c>
      <c r="C2420" t="s">
        <v>9172</v>
      </c>
      <c r="D2420" t="s">
        <v>9173</v>
      </c>
      <c r="E2420" t="s">
        <v>29</v>
      </c>
      <c r="F2420" t="s">
        <v>30</v>
      </c>
      <c r="G2420" t="s">
        <v>31</v>
      </c>
      <c r="J2420" t="s">
        <v>9172</v>
      </c>
      <c r="K2420" t="s">
        <v>1967</v>
      </c>
      <c r="L2420" t="s">
        <v>6420</v>
      </c>
      <c r="M2420" s="8">
        <v>0.02175</v>
      </c>
      <c r="N2420">
        <v>0</v>
      </c>
      <c r="O2420">
        <v>1952</v>
      </c>
      <c r="P2420" s="9">
        <v>0.49</v>
      </c>
      <c r="Q2420" t="s">
        <v>1932</v>
      </c>
      <c r="T2420" s="15" t="s">
        <v>54</v>
      </c>
      <c r="W2420" s="16" t="str">
        <f t="shared" si="182"/>
        <v>EN_WON_49_c01_ZAF</v>
      </c>
      <c r="X2420" s="12">
        <f t="shared" si="183"/>
        <v>1952</v>
      </c>
      <c r="Y2420" s="11">
        <f t="shared" si="184"/>
        <v>1952</v>
      </c>
    </row>
    <row r="2421" spans="2:25">
      <c r="B2421" t="s">
        <v>26</v>
      </c>
      <c r="C2421" t="s">
        <v>9174</v>
      </c>
      <c r="D2421" t="s">
        <v>9175</v>
      </c>
      <c r="E2421" t="s">
        <v>29</v>
      </c>
      <c r="F2421" t="s">
        <v>30</v>
      </c>
      <c r="G2421" t="s">
        <v>31</v>
      </c>
      <c r="J2421" t="s">
        <v>9174</v>
      </c>
      <c r="K2421" t="s">
        <v>1967</v>
      </c>
      <c r="L2421" t="s">
        <v>9176</v>
      </c>
      <c r="M2421" s="8">
        <v>9.61275</v>
      </c>
      <c r="N2421">
        <v>105.747516212372</v>
      </c>
      <c r="O2421">
        <v>1952</v>
      </c>
      <c r="P2421" s="9">
        <v>0.15211398923305</v>
      </c>
      <c r="Q2421" t="s">
        <v>1946</v>
      </c>
      <c r="T2421" s="15" t="s">
        <v>54</v>
      </c>
      <c r="W2421" s="16" t="str">
        <f t="shared" si="182"/>
        <v>EN_WON_15_c03_ZMB</v>
      </c>
      <c r="X2421" s="12">
        <f t="shared" si="183"/>
        <v>1952</v>
      </c>
      <c r="Y2421" s="11">
        <f t="shared" si="184"/>
        <v>1952</v>
      </c>
    </row>
    <row r="2422" spans="2:25">
      <c r="B2422" t="s">
        <v>26</v>
      </c>
      <c r="C2422" t="s">
        <v>9177</v>
      </c>
      <c r="D2422" t="s">
        <v>9178</v>
      </c>
      <c r="E2422" t="s">
        <v>29</v>
      </c>
      <c r="F2422" t="s">
        <v>30</v>
      </c>
      <c r="G2422" t="s">
        <v>31</v>
      </c>
      <c r="J2422" t="s">
        <v>9177</v>
      </c>
      <c r="K2422" t="s">
        <v>1967</v>
      </c>
      <c r="L2422" t="s">
        <v>9176</v>
      </c>
      <c r="M2422" s="8">
        <v>0.021</v>
      </c>
      <c r="N2422">
        <v>80.7856561622413</v>
      </c>
      <c r="O2422">
        <v>1952</v>
      </c>
      <c r="P2422" s="9">
        <v>0.156071428571429</v>
      </c>
      <c r="Q2422" t="s">
        <v>1946</v>
      </c>
      <c r="T2422" s="15" t="s">
        <v>54</v>
      </c>
      <c r="W2422" s="16" t="str">
        <f t="shared" si="182"/>
        <v>EN_WON_16_c02_ZMB</v>
      </c>
      <c r="X2422" s="12">
        <f t="shared" si="183"/>
        <v>1952</v>
      </c>
      <c r="Y2422" s="11">
        <f t="shared" si="184"/>
        <v>1952</v>
      </c>
    </row>
    <row r="2423" spans="2:25">
      <c r="B2423" t="s">
        <v>26</v>
      </c>
      <c r="C2423" t="s">
        <v>9179</v>
      </c>
      <c r="D2423" t="s">
        <v>9180</v>
      </c>
      <c r="E2423" t="s">
        <v>29</v>
      </c>
      <c r="F2423" t="s">
        <v>30</v>
      </c>
      <c r="G2423" t="s">
        <v>31</v>
      </c>
      <c r="J2423" t="s">
        <v>9179</v>
      </c>
      <c r="K2423" t="s">
        <v>1967</v>
      </c>
      <c r="L2423" t="s">
        <v>9176</v>
      </c>
      <c r="M2423" s="8">
        <v>18.72225</v>
      </c>
      <c r="N2423">
        <v>105.747516212372</v>
      </c>
      <c r="O2423">
        <v>1952</v>
      </c>
      <c r="P2423" s="9">
        <v>0.157892560990266</v>
      </c>
      <c r="Q2423" t="s">
        <v>1946</v>
      </c>
      <c r="T2423" s="15" t="s">
        <v>54</v>
      </c>
      <c r="W2423" s="16" t="str">
        <f t="shared" si="182"/>
        <v>EN_WON_16_c03_ZMB</v>
      </c>
      <c r="X2423" s="12">
        <f t="shared" si="183"/>
        <v>1952</v>
      </c>
      <c r="Y2423" s="11">
        <f t="shared" si="184"/>
        <v>1952</v>
      </c>
    </row>
    <row r="2424" spans="2:25">
      <c r="B2424" t="s">
        <v>26</v>
      </c>
      <c r="C2424" t="s">
        <v>9181</v>
      </c>
      <c r="D2424" t="s">
        <v>9182</v>
      </c>
      <c r="E2424" t="s">
        <v>29</v>
      </c>
      <c r="F2424" t="s">
        <v>30</v>
      </c>
      <c r="G2424" t="s">
        <v>31</v>
      </c>
      <c r="J2424" t="s">
        <v>9181</v>
      </c>
      <c r="K2424" t="s">
        <v>1967</v>
      </c>
      <c r="L2424" t="s">
        <v>9176</v>
      </c>
      <c r="M2424" s="8">
        <v>6.288</v>
      </c>
      <c r="N2424">
        <v>145.23264029167</v>
      </c>
      <c r="O2424">
        <v>1952</v>
      </c>
      <c r="P2424" s="9">
        <v>0.160112118320611</v>
      </c>
      <c r="Q2424" t="s">
        <v>1946</v>
      </c>
      <c r="T2424" s="15" t="s">
        <v>54</v>
      </c>
      <c r="W2424" s="16" t="str">
        <f t="shared" si="182"/>
        <v>EN_WON_16_c04_ZMB</v>
      </c>
      <c r="X2424" s="12">
        <f t="shared" si="183"/>
        <v>1952</v>
      </c>
      <c r="Y2424" s="11">
        <f t="shared" si="184"/>
        <v>1952</v>
      </c>
    </row>
    <row r="2425" spans="2:25">
      <c r="B2425" t="s">
        <v>26</v>
      </c>
      <c r="C2425" t="s">
        <v>9183</v>
      </c>
      <c r="D2425" t="s">
        <v>9184</v>
      </c>
      <c r="E2425" t="s">
        <v>29</v>
      </c>
      <c r="F2425" t="s">
        <v>30</v>
      </c>
      <c r="G2425" t="s">
        <v>31</v>
      </c>
      <c r="J2425" t="s">
        <v>9183</v>
      </c>
      <c r="K2425" t="s">
        <v>1967</v>
      </c>
      <c r="L2425" t="s">
        <v>9176</v>
      </c>
      <c r="M2425" s="8">
        <v>0.00675</v>
      </c>
      <c r="N2425">
        <v>80.7856561622413</v>
      </c>
      <c r="O2425">
        <v>1952</v>
      </c>
      <c r="P2425" s="9">
        <v>0.17</v>
      </c>
      <c r="Q2425" t="s">
        <v>1946</v>
      </c>
      <c r="T2425" s="15" t="s">
        <v>54</v>
      </c>
      <c r="W2425" s="16" t="str">
        <f t="shared" si="182"/>
        <v>EN_WON_17_c02_ZMB</v>
      </c>
      <c r="X2425" s="12">
        <f t="shared" si="183"/>
        <v>1952</v>
      </c>
      <c r="Y2425" s="11">
        <f t="shared" si="184"/>
        <v>1952</v>
      </c>
    </row>
    <row r="2426" spans="2:25">
      <c r="B2426" t="s">
        <v>26</v>
      </c>
      <c r="C2426" t="s">
        <v>9185</v>
      </c>
      <c r="D2426" t="s">
        <v>9186</v>
      </c>
      <c r="E2426" t="s">
        <v>29</v>
      </c>
      <c r="F2426" t="s">
        <v>30</v>
      </c>
      <c r="G2426" t="s">
        <v>31</v>
      </c>
      <c r="J2426" t="s">
        <v>9185</v>
      </c>
      <c r="K2426" t="s">
        <v>1967</v>
      </c>
      <c r="L2426" t="s">
        <v>9176</v>
      </c>
      <c r="M2426" s="8">
        <v>9.0825</v>
      </c>
      <c r="N2426">
        <v>105.747516212372</v>
      </c>
      <c r="O2426">
        <v>1952</v>
      </c>
      <c r="P2426" s="9">
        <v>0.169867217175888</v>
      </c>
      <c r="Q2426" t="s">
        <v>1946</v>
      </c>
      <c r="T2426" s="15" t="s">
        <v>54</v>
      </c>
      <c r="W2426" s="16" t="str">
        <f t="shared" si="182"/>
        <v>EN_WON_17_c03_ZMB</v>
      </c>
      <c r="X2426" s="12">
        <f t="shared" si="183"/>
        <v>1952</v>
      </c>
      <c r="Y2426" s="11">
        <f t="shared" si="184"/>
        <v>1952</v>
      </c>
    </row>
    <row r="2427" spans="2:25">
      <c r="B2427" t="s">
        <v>26</v>
      </c>
      <c r="C2427" t="s">
        <v>9187</v>
      </c>
      <c r="D2427" t="s">
        <v>9188</v>
      </c>
      <c r="E2427" t="s">
        <v>29</v>
      </c>
      <c r="F2427" t="s">
        <v>30</v>
      </c>
      <c r="G2427" t="s">
        <v>31</v>
      </c>
      <c r="J2427" t="s">
        <v>9187</v>
      </c>
      <c r="K2427" t="s">
        <v>1967</v>
      </c>
      <c r="L2427" t="s">
        <v>9176</v>
      </c>
      <c r="M2427" s="8">
        <v>6.1335</v>
      </c>
      <c r="N2427">
        <v>145.23264029167</v>
      </c>
      <c r="O2427">
        <v>1952</v>
      </c>
      <c r="P2427" s="9">
        <v>0.170640254340915</v>
      </c>
      <c r="Q2427" t="s">
        <v>1946</v>
      </c>
      <c r="T2427" s="15" t="s">
        <v>54</v>
      </c>
      <c r="W2427" s="16" t="str">
        <f t="shared" si="182"/>
        <v>EN_WON_17_c04_ZMB</v>
      </c>
      <c r="X2427" s="12">
        <f t="shared" si="183"/>
        <v>1952</v>
      </c>
      <c r="Y2427" s="11">
        <f t="shared" si="184"/>
        <v>1952</v>
      </c>
    </row>
    <row r="2428" spans="2:25">
      <c r="B2428" t="s">
        <v>26</v>
      </c>
      <c r="C2428" t="s">
        <v>9189</v>
      </c>
      <c r="D2428" t="s">
        <v>9190</v>
      </c>
      <c r="E2428" t="s">
        <v>29</v>
      </c>
      <c r="F2428" t="s">
        <v>30</v>
      </c>
      <c r="G2428" t="s">
        <v>31</v>
      </c>
      <c r="J2428" t="s">
        <v>9189</v>
      </c>
      <c r="K2428" t="s">
        <v>1967</v>
      </c>
      <c r="L2428" t="s">
        <v>9176</v>
      </c>
      <c r="M2428" s="8">
        <v>2.316</v>
      </c>
      <c r="N2428">
        <v>80.7856561622413</v>
      </c>
      <c r="O2428">
        <v>1952</v>
      </c>
      <c r="P2428" s="9">
        <v>0.181992227979275</v>
      </c>
      <c r="Q2428" t="s">
        <v>1946</v>
      </c>
      <c r="T2428" s="15" t="s">
        <v>54</v>
      </c>
      <c r="W2428" s="16" t="str">
        <f t="shared" si="182"/>
        <v>EN_WON_18_c02_ZMB</v>
      </c>
      <c r="X2428" s="12">
        <f t="shared" si="183"/>
        <v>1952</v>
      </c>
      <c r="Y2428" s="11">
        <f t="shared" si="184"/>
        <v>1952</v>
      </c>
    </row>
    <row r="2429" spans="2:25">
      <c r="B2429" t="s">
        <v>26</v>
      </c>
      <c r="C2429" t="s">
        <v>9191</v>
      </c>
      <c r="D2429" t="s">
        <v>9192</v>
      </c>
      <c r="E2429" t="s">
        <v>29</v>
      </c>
      <c r="F2429" t="s">
        <v>30</v>
      </c>
      <c r="G2429" t="s">
        <v>31</v>
      </c>
      <c r="J2429" t="s">
        <v>9191</v>
      </c>
      <c r="K2429" t="s">
        <v>1967</v>
      </c>
      <c r="L2429" t="s">
        <v>9176</v>
      </c>
      <c r="M2429" s="8">
        <v>1.377</v>
      </c>
      <c r="N2429">
        <v>105.747516212372</v>
      </c>
      <c r="O2429">
        <v>1952</v>
      </c>
      <c r="P2429" s="9">
        <v>0.18247440087146</v>
      </c>
      <c r="Q2429" t="s">
        <v>1946</v>
      </c>
      <c r="T2429" s="15" t="s">
        <v>54</v>
      </c>
      <c r="W2429" s="16" t="str">
        <f t="shared" si="182"/>
        <v>EN_WON_18_c03_ZMB</v>
      </c>
      <c r="X2429" s="12">
        <f t="shared" si="183"/>
        <v>1952</v>
      </c>
      <c r="Y2429" s="11">
        <f t="shared" si="184"/>
        <v>1952</v>
      </c>
    </row>
    <row r="2430" spans="2:25">
      <c r="B2430" t="s">
        <v>26</v>
      </c>
      <c r="C2430" t="s">
        <v>9193</v>
      </c>
      <c r="D2430" t="s">
        <v>9194</v>
      </c>
      <c r="E2430" t="s">
        <v>29</v>
      </c>
      <c r="F2430" t="s">
        <v>30</v>
      </c>
      <c r="G2430" t="s">
        <v>31</v>
      </c>
      <c r="J2430" t="s">
        <v>9193</v>
      </c>
      <c r="K2430" t="s">
        <v>1967</v>
      </c>
      <c r="L2430" t="s">
        <v>9176</v>
      </c>
      <c r="M2430" s="8">
        <v>2.18775</v>
      </c>
      <c r="N2430">
        <v>145.23264029167</v>
      </c>
      <c r="O2430">
        <v>1952</v>
      </c>
      <c r="P2430" s="9">
        <v>0.180995886184436</v>
      </c>
      <c r="Q2430" t="s">
        <v>1946</v>
      </c>
      <c r="T2430" s="15" t="s">
        <v>54</v>
      </c>
      <c r="W2430" s="16" t="str">
        <f t="shared" si="182"/>
        <v>EN_WON_18_c04_ZMB</v>
      </c>
      <c r="X2430" s="12">
        <f t="shared" si="183"/>
        <v>1952</v>
      </c>
      <c r="Y2430" s="11">
        <f t="shared" si="184"/>
        <v>1952</v>
      </c>
    </row>
    <row r="2431" spans="2:25">
      <c r="B2431" t="s">
        <v>26</v>
      </c>
      <c r="C2431" t="s">
        <v>9195</v>
      </c>
      <c r="D2431" t="s">
        <v>9196</v>
      </c>
      <c r="E2431" t="s">
        <v>29</v>
      </c>
      <c r="F2431" t="s">
        <v>30</v>
      </c>
      <c r="G2431" t="s">
        <v>31</v>
      </c>
      <c r="J2431" t="s">
        <v>9195</v>
      </c>
      <c r="K2431" t="s">
        <v>1967</v>
      </c>
      <c r="L2431" t="s">
        <v>9176</v>
      </c>
      <c r="M2431" s="8">
        <v>2.10825</v>
      </c>
      <c r="N2431">
        <v>105.747516212372</v>
      </c>
      <c r="O2431">
        <v>1952</v>
      </c>
      <c r="P2431" s="9">
        <v>0.189214514407684</v>
      </c>
      <c r="Q2431" t="s">
        <v>1946</v>
      </c>
      <c r="T2431" s="15" t="s">
        <v>54</v>
      </c>
      <c r="W2431" s="16" t="str">
        <f t="shared" si="182"/>
        <v>EN_WON_19_c03_ZMB</v>
      </c>
      <c r="X2431" s="12">
        <f t="shared" si="183"/>
        <v>1952</v>
      </c>
      <c r="Y2431" s="11">
        <f t="shared" si="184"/>
        <v>1952</v>
      </c>
    </row>
    <row r="2432" spans="2:25">
      <c r="B2432" t="s">
        <v>26</v>
      </c>
      <c r="C2432" t="s">
        <v>9197</v>
      </c>
      <c r="D2432" t="s">
        <v>9198</v>
      </c>
      <c r="E2432" t="s">
        <v>29</v>
      </c>
      <c r="F2432" t="s">
        <v>30</v>
      </c>
      <c r="G2432" t="s">
        <v>31</v>
      </c>
      <c r="J2432" t="s">
        <v>9197</v>
      </c>
      <c r="K2432" t="s">
        <v>1967</v>
      </c>
      <c r="L2432" t="s">
        <v>9176</v>
      </c>
      <c r="M2432" s="8">
        <v>0.693</v>
      </c>
      <c r="N2432">
        <v>145.23264029167</v>
      </c>
      <c r="O2432">
        <v>1952</v>
      </c>
      <c r="P2432" s="9">
        <v>0.188344155844156</v>
      </c>
      <c r="Q2432" t="s">
        <v>1946</v>
      </c>
      <c r="T2432" s="15" t="s">
        <v>54</v>
      </c>
      <c r="W2432" s="16" t="str">
        <f t="shared" si="182"/>
        <v>EN_WON_19_c04_ZMB</v>
      </c>
      <c r="X2432" s="12">
        <f t="shared" si="183"/>
        <v>1952</v>
      </c>
      <c r="Y2432" s="11">
        <f t="shared" si="184"/>
        <v>1952</v>
      </c>
    </row>
    <row r="2433" spans="2:25">
      <c r="B2433" t="s">
        <v>26</v>
      </c>
      <c r="C2433" t="s">
        <v>9199</v>
      </c>
      <c r="D2433" t="s">
        <v>9200</v>
      </c>
      <c r="E2433" t="s">
        <v>29</v>
      </c>
      <c r="F2433" t="s">
        <v>30</v>
      </c>
      <c r="G2433" t="s">
        <v>31</v>
      </c>
      <c r="J2433" t="s">
        <v>9199</v>
      </c>
      <c r="K2433" t="s">
        <v>1967</v>
      </c>
      <c r="L2433" t="s">
        <v>9176</v>
      </c>
      <c r="M2433" s="8">
        <v>0.6975</v>
      </c>
      <c r="N2433">
        <v>80.7856561622413</v>
      </c>
      <c r="O2433">
        <v>1952</v>
      </c>
      <c r="P2433" s="9">
        <v>0.1972</v>
      </c>
      <c r="Q2433" t="s">
        <v>1946</v>
      </c>
      <c r="T2433" s="15" t="s">
        <v>54</v>
      </c>
      <c r="W2433" s="16" t="str">
        <f t="shared" si="182"/>
        <v>EN_WON_20_c02_ZMB</v>
      </c>
      <c r="X2433" s="12">
        <f t="shared" si="183"/>
        <v>1952</v>
      </c>
      <c r="Y2433" s="11">
        <f t="shared" si="184"/>
        <v>1952</v>
      </c>
    </row>
    <row r="2434" spans="2:25">
      <c r="B2434" t="s">
        <v>26</v>
      </c>
      <c r="C2434" t="s">
        <v>9201</v>
      </c>
      <c r="D2434" t="s">
        <v>9202</v>
      </c>
      <c r="E2434" t="s">
        <v>29</v>
      </c>
      <c r="F2434" t="s">
        <v>30</v>
      </c>
      <c r="G2434" t="s">
        <v>31</v>
      </c>
      <c r="J2434" t="s">
        <v>9201</v>
      </c>
      <c r="K2434" t="s">
        <v>1967</v>
      </c>
      <c r="L2434" t="s">
        <v>9176</v>
      </c>
      <c r="M2434" s="8">
        <v>7.70625</v>
      </c>
      <c r="N2434">
        <v>105.747516212372</v>
      </c>
      <c r="O2434">
        <v>1952</v>
      </c>
      <c r="P2434" s="9">
        <v>0.196501605839416</v>
      </c>
      <c r="Q2434" t="s">
        <v>1946</v>
      </c>
      <c r="T2434" s="15" t="s">
        <v>54</v>
      </c>
      <c r="W2434" s="16" t="str">
        <f t="shared" si="182"/>
        <v>EN_WON_20_c03_ZMB</v>
      </c>
      <c r="X2434" s="12">
        <f t="shared" si="183"/>
        <v>1952</v>
      </c>
      <c r="Y2434" s="11">
        <f t="shared" si="184"/>
        <v>1952</v>
      </c>
    </row>
    <row r="2435" spans="2:25">
      <c r="B2435" t="s">
        <v>26</v>
      </c>
      <c r="C2435" t="s">
        <v>9203</v>
      </c>
      <c r="D2435" t="s">
        <v>9204</v>
      </c>
      <c r="E2435" t="s">
        <v>29</v>
      </c>
      <c r="F2435" t="s">
        <v>30</v>
      </c>
      <c r="G2435" t="s">
        <v>31</v>
      </c>
      <c r="J2435" t="s">
        <v>9203</v>
      </c>
      <c r="K2435" t="s">
        <v>1967</v>
      </c>
      <c r="L2435" t="s">
        <v>9176</v>
      </c>
      <c r="M2435" s="8">
        <v>0.30225</v>
      </c>
      <c r="N2435">
        <v>145.23264029167</v>
      </c>
      <c r="O2435">
        <v>1952</v>
      </c>
      <c r="P2435" s="9">
        <v>0.198151364764268</v>
      </c>
      <c r="Q2435" t="s">
        <v>1946</v>
      </c>
      <c r="T2435" s="15" t="s">
        <v>54</v>
      </c>
      <c r="W2435" s="16" t="str">
        <f t="shared" si="182"/>
        <v>EN_WON_20_c04_ZMB</v>
      </c>
      <c r="X2435" s="12">
        <f t="shared" si="183"/>
        <v>1952</v>
      </c>
      <c r="Y2435" s="11">
        <f t="shared" si="184"/>
        <v>1952</v>
      </c>
    </row>
    <row r="2436" spans="2:25">
      <c r="B2436" t="s">
        <v>26</v>
      </c>
      <c r="C2436" t="s">
        <v>9205</v>
      </c>
      <c r="D2436" t="s">
        <v>9206</v>
      </c>
      <c r="E2436" t="s">
        <v>29</v>
      </c>
      <c r="F2436" t="s">
        <v>30</v>
      </c>
      <c r="G2436" t="s">
        <v>31</v>
      </c>
      <c r="J2436" t="s">
        <v>9205</v>
      </c>
      <c r="K2436" t="s">
        <v>1967</v>
      </c>
      <c r="L2436" t="s">
        <v>9176</v>
      </c>
      <c r="M2436" s="8">
        <v>0.01875</v>
      </c>
      <c r="N2436">
        <v>80.7856561622413</v>
      </c>
      <c r="O2436">
        <v>1952</v>
      </c>
      <c r="P2436" s="9">
        <v>0.20948</v>
      </c>
      <c r="Q2436" t="s">
        <v>1946</v>
      </c>
      <c r="T2436" s="15" t="s">
        <v>54</v>
      </c>
      <c r="W2436" s="16" t="str">
        <f t="shared" si="182"/>
        <v>EN_WON_21_c02_ZMB</v>
      </c>
      <c r="X2436" s="12">
        <f t="shared" si="183"/>
        <v>1952</v>
      </c>
      <c r="Y2436" s="11">
        <f t="shared" si="184"/>
        <v>1952</v>
      </c>
    </row>
    <row r="2437" spans="2:25">
      <c r="B2437" t="s">
        <v>26</v>
      </c>
      <c r="C2437" t="s">
        <v>9207</v>
      </c>
      <c r="D2437" t="s">
        <v>9208</v>
      </c>
      <c r="E2437" t="s">
        <v>29</v>
      </c>
      <c r="F2437" t="s">
        <v>30</v>
      </c>
      <c r="G2437" t="s">
        <v>31</v>
      </c>
      <c r="J2437" t="s">
        <v>9207</v>
      </c>
      <c r="K2437" t="s">
        <v>1967</v>
      </c>
      <c r="L2437" t="s">
        <v>9176</v>
      </c>
      <c r="M2437" s="8">
        <v>1.1595</v>
      </c>
      <c r="N2437">
        <v>105.747516212372</v>
      </c>
      <c r="O2437">
        <v>1952</v>
      </c>
      <c r="P2437" s="9">
        <v>0.208265200517464</v>
      </c>
      <c r="Q2437" t="s">
        <v>1946</v>
      </c>
      <c r="T2437" s="15" t="s">
        <v>54</v>
      </c>
      <c r="W2437" s="16" t="str">
        <f t="shared" si="182"/>
        <v>EN_WON_21_c03_ZMB</v>
      </c>
      <c r="X2437" s="12">
        <f t="shared" si="183"/>
        <v>1952</v>
      </c>
      <c r="Y2437" s="11">
        <f t="shared" si="184"/>
        <v>1952</v>
      </c>
    </row>
    <row r="2438" spans="2:25">
      <c r="B2438" t="s">
        <v>26</v>
      </c>
      <c r="C2438" t="s">
        <v>9209</v>
      </c>
      <c r="D2438" t="s">
        <v>9210</v>
      </c>
      <c r="E2438" t="s">
        <v>29</v>
      </c>
      <c r="F2438" t="s">
        <v>30</v>
      </c>
      <c r="G2438" t="s">
        <v>31</v>
      </c>
      <c r="J2438" t="s">
        <v>9209</v>
      </c>
      <c r="K2438" t="s">
        <v>1967</v>
      </c>
      <c r="L2438" t="s">
        <v>9176</v>
      </c>
      <c r="M2438" s="8">
        <v>1.6935</v>
      </c>
      <c r="N2438">
        <v>145.23264029167</v>
      </c>
      <c r="O2438">
        <v>1952</v>
      </c>
      <c r="P2438" s="9">
        <v>0.207547829937998</v>
      </c>
      <c r="Q2438" t="s">
        <v>1946</v>
      </c>
      <c r="T2438" s="15" t="s">
        <v>54</v>
      </c>
      <c r="W2438" s="16" t="str">
        <f t="shared" ref="W2438:W2461" si="185">J2438</f>
        <v>EN_WON_21_c04_ZMB</v>
      </c>
      <c r="X2438" s="12">
        <f t="shared" ref="X2438:X2461" si="186">O2438</f>
        <v>1952</v>
      </c>
      <c r="Y2438" s="11">
        <f t="shared" ref="Y2438:Y2461" si="187">X2438</f>
        <v>1952</v>
      </c>
    </row>
    <row r="2439" spans="2:25">
      <c r="B2439" t="s">
        <v>26</v>
      </c>
      <c r="C2439" t="s">
        <v>9211</v>
      </c>
      <c r="D2439" t="s">
        <v>9212</v>
      </c>
      <c r="E2439" t="s">
        <v>29</v>
      </c>
      <c r="F2439" t="s">
        <v>30</v>
      </c>
      <c r="G2439" t="s">
        <v>31</v>
      </c>
      <c r="J2439" t="s">
        <v>9211</v>
      </c>
      <c r="K2439" t="s">
        <v>1967</v>
      </c>
      <c r="L2439" t="s">
        <v>9176</v>
      </c>
      <c r="M2439" s="8">
        <v>2.67975</v>
      </c>
      <c r="N2439">
        <v>80.7856561622413</v>
      </c>
      <c r="O2439">
        <v>1952</v>
      </c>
      <c r="P2439" s="9">
        <v>0.21835516372796</v>
      </c>
      <c r="Q2439" t="s">
        <v>1946</v>
      </c>
      <c r="T2439" s="15" t="s">
        <v>54</v>
      </c>
      <c r="W2439" s="16" t="str">
        <f t="shared" si="185"/>
        <v>EN_WON_22_c02_ZMB</v>
      </c>
      <c r="X2439" s="12">
        <f t="shared" si="186"/>
        <v>1952</v>
      </c>
      <c r="Y2439" s="11">
        <f t="shared" si="187"/>
        <v>1952</v>
      </c>
    </row>
    <row r="2440" spans="2:25">
      <c r="B2440" t="s">
        <v>26</v>
      </c>
      <c r="C2440" t="s">
        <v>9213</v>
      </c>
      <c r="D2440" t="s">
        <v>9214</v>
      </c>
      <c r="E2440" t="s">
        <v>29</v>
      </c>
      <c r="F2440" t="s">
        <v>30</v>
      </c>
      <c r="G2440" t="s">
        <v>31</v>
      </c>
      <c r="J2440" t="s">
        <v>9213</v>
      </c>
      <c r="K2440" t="s">
        <v>1967</v>
      </c>
      <c r="L2440" t="s">
        <v>9176</v>
      </c>
      <c r="M2440" s="8">
        <v>2.067</v>
      </c>
      <c r="N2440">
        <v>105.747516212372</v>
      </c>
      <c r="O2440">
        <v>1952</v>
      </c>
      <c r="P2440" s="9">
        <v>0.223191582002903</v>
      </c>
      <c r="Q2440" t="s">
        <v>1946</v>
      </c>
      <c r="T2440" s="15" t="s">
        <v>54</v>
      </c>
      <c r="W2440" s="16" t="str">
        <f t="shared" si="185"/>
        <v>EN_WON_22_c03_ZMB</v>
      </c>
      <c r="X2440" s="12">
        <f t="shared" si="186"/>
        <v>1952</v>
      </c>
      <c r="Y2440" s="11">
        <f t="shared" si="187"/>
        <v>1952</v>
      </c>
    </row>
    <row r="2441" spans="2:25">
      <c r="B2441" t="s">
        <v>26</v>
      </c>
      <c r="C2441" t="s">
        <v>9215</v>
      </c>
      <c r="D2441" t="s">
        <v>9216</v>
      </c>
      <c r="E2441" t="s">
        <v>29</v>
      </c>
      <c r="F2441" t="s">
        <v>30</v>
      </c>
      <c r="G2441" t="s">
        <v>31</v>
      </c>
      <c r="J2441" t="s">
        <v>9215</v>
      </c>
      <c r="K2441" t="s">
        <v>1967</v>
      </c>
      <c r="L2441" t="s">
        <v>9176</v>
      </c>
      <c r="M2441" s="8">
        <v>1.15725</v>
      </c>
      <c r="N2441">
        <v>145.23264029167</v>
      </c>
      <c r="O2441">
        <v>1952</v>
      </c>
      <c r="P2441" s="9">
        <v>0.217768632534025</v>
      </c>
      <c r="Q2441" t="s">
        <v>1946</v>
      </c>
      <c r="T2441" s="15" t="s">
        <v>54</v>
      </c>
      <c r="W2441" s="16" t="str">
        <f t="shared" si="185"/>
        <v>EN_WON_22_c04_ZMB</v>
      </c>
      <c r="X2441" s="12">
        <f t="shared" si="186"/>
        <v>1952</v>
      </c>
      <c r="Y2441" s="11">
        <f t="shared" si="187"/>
        <v>1952</v>
      </c>
    </row>
    <row r="2442" spans="2:25">
      <c r="B2442" t="s">
        <v>26</v>
      </c>
      <c r="C2442" t="s">
        <v>9217</v>
      </c>
      <c r="D2442" t="s">
        <v>9218</v>
      </c>
      <c r="E2442" t="s">
        <v>29</v>
      </c>
      <c r="F2442" t="s">
        <v>30</v>
      </c>
      <c r="G2442" t="s">
        <v>31</v>
      </c>
      <c r="J2442" t="s">
        <v>9217</v>
      </c>
      <c r="K2442" t="s">
        <v>1967</v>
      </c>
      <c r="L2442" t="s">
        <v>9176</v>
      </c>
      <c r="M2442" s="8">
        <v>0.09</v>
      </c>
      <c r="N2442">
        <v>80.7856561622413</v>
      </c>
      <c r="O2442">
        <v>1952</v>
      </c>
      <c r="P2442" s="9">
        <v>0.232</v>
      </c>
      <c r="Q2442" t="s">
        <v>1946</v>
      </c>
      <c r="T2442" s="15" t="s">
        <v>54</v>
      </c>
      <c r="W2442" s="16" t="str">
        <f t="shared" si="185"/>
        <v>EN_WON_23_c02_ZMB</v>
      </c>
      <c r="X2442" s="12">
        <f t="shared" si="186"/>
        <v>1952</v>
      </c>
      <c r="Y2442" s="11">
        <f t="shared" si="187"/>
        <v>1952</v>
      </c>
    </row>
    <row r="2443" spans="2:25">
      <c r="B2443" t="s">
        <v>26</v>
      </c>
      <c r="C2443" t="s">
        <v>9219</v>
      </c>
      <c r="D2443" t="s">
        <v>9220</v>
      </c>
      <c r="E2443" t="s">
        <v>29</v>
      </c>
      <c r="F2443" t="s">
        <v>30</v>
      </c>
      <c r="G2443" t="s">
        <v>31</v>
      </c>
      <c r="J2443" t="s">
        <v>9219</v>
      </c>
      <c r="K2443" t="s">
        <v>1967</v>
      </c>
      <c r="L2443" t="s">
        <v>9176</v>
      </c>
      <c r="M2443" s="8">
        <v>0.9465</v>
      </c>
      <c r="N2443">
        <v>105.747516212372</v>
      </c>
      <c r="O2443">
        <v>1952</v>
      </c>
      <c r="P2443" s="9">
        <v>0.225544374009509</v>
      </c>
      <c r="Q2443" t="s">
        <v>1946</v>
      </c>
      <c r="T2443" s="15" t="s">
        <v>54</v>
      </c>
      <c r="W2443" s="16" t="str">
        <f t="shared" si="185"/>
        <v>EN_WON_23_c03_ZMB</v>
      </c>
      <c r="X2443" s="12">
        <f t="shared" si="186"/>
        <v>1952</v>
      </c>
      <c r="Y2443" s="11">
        <f t="shared" si="187"/>
        <v>1952</v>
      </c>
    </row>
    <row r="2444" spans="2:25">
      <c r="B2444" t="s">
        <v>26</v>
      </c>
      <c r="C2444" t="s">
        <v>9221</v>
      </c>
      <c r="D2444" t="s">
        <v>9222</v>
      </c>
      <c r="E2444" t="s">
        <v>29</v>
      </c>
      <c r="F2444" t="s">
        <v>30</v>
      </c>
      <c r="G2444" t="s">
        <v>31</v>
      </c>
      <c r="J2444" t="s">
        <v>9221</v>
      </c>
      <c r="K2444" t="s">
        <v>1967</v>
      </c>
      <c r="L2444" t="s">
        <v>9176</v>
      </c>
      <c r="M2444" s="8">
        <v>0.47175</v>
      </c>
      <c r="N2444">
        <v>105.747516212372</v>
      </c>
      <c r="O2444">
        <v>1952</v>
      </c>
      <c r="P2444" s="9">
        <v>0.238701112877583</v>
      </c>
      <c r="Q2444" t="s">
        <v>1946</v>
      </c>
      <c r="T2444" s="15" t="s">
        <v>54</v>
      </c>
      <c r="W2444" s="16" t="str">
        <f t="shared" si="185"/>
        <v>EN_WON_24_c03_ZMB</v>
      </c>
      <c r="X2444" s="12">
        <f t="shared" si="186"/>
        <v>1952</v>
      </c>
      <c r="Y2444" s="11">
        <f t="shared" si="187"/>
        <v>1952</v>
      </c>
    </row>
    <row r="2445" spans="2:25">
      <c r="B2445" t="s">
        <v>26</v>
      </c>
      <c r="C2445" t="s">
        <v>9223</v>
      </c>
      <c r="D2445" t="s">
        <v>9224</v>
      </c>
      <c r="E2445" t="s">
        <v>29</v>
      </c>
      <c r="F2445" t="s">
        <v>30</v>
      </c>
      <c r="G2445" t="s">
        <v>31</v>
      </c>
      <c r="J2445" t="s">
        <v>9223</v>
      </c>
      <c r="K2445" t="s">
        <v>1967</v>
      </c>
      <c r="L2445" t="s">
        <v>9176</v>
      </c>
      <c r="M2445" s="8">
        <v>0.17325</v>
      </c>
      <c r="N2445">
        <v>145.23264029167</v>
      </c>
      <c r="O2445">
        <v>1952</v>
      </c>
      <c r="P2445" s="9">
        <v>0.24</v>
      </c>
      <c r="Q2445" t="s">
        <v>1946</v>
      </c>
      <c r="T2445" s="15" t="s">
        <v>54</v>
      </c>
      <c r="W2445" s="16" t="str">
        <f t="shared" si="185"/>
        <v>EN_WON_24_c04_ZMB</v>
      </c>
      <c r="X2445" s="12">
        <f t="shared" si="186"/>
        <v>1952</v>
      </c>
      <c r="Y2445" s="11">
        <f t="shared" si="187"/>
        <v>1952</v>
      </c>
    </row>
    <row r="2446" spans="2:25">
      <c r="B2446" t="s">
        <v>26</v>
      </c>
      <c r="C2446" t="s">
        <v>9225</v>
      </c>
      <c r="D2446" t="s">
        <v>9226</v>
      </c>
      <c r="E2446" t="s">
        <v>29</v>
      </c>
      <c r="F2446" t="s">
        <v>30</v>
      </c>
      <c r="G2446" t="s">
        <v>31</v>
      </c>
      <c r="J2446" t="s">
        <v>9225</v>
      </c>
      <c r="K2446" t="s">
        <v>1967</v>
      </c>
      <c r="L2446" t="s">
        <v>9176</v>
      </c>
      <c r="M2446" s="8">
        <v>0.02625</v>
      </c>
      <c r="N2446">
        <v>80.7856561622413</v>
      </c>
      <c r="O2446">
        <v>1952</v>
      </c>
      <c r="P2446" s="9">
        <v>0.248</v>
      </c>
      <c r="Q2446" t="s">
        <v>1946</v>
      </c>
      <c r="T2446" s="15" t="s">
        <v>54</v>
      </c>
      <c r="W2446" s="16" t="str">
        <f t="shared" si="185"/>
        <v>EN_WON_25_c02_ZMB</v>
      </c>
      <c r="X2446" s="12">
        <f t="shared" si="186"/>
        <v>1952</v>
      </c>
      <c r="Y2446" s="11">
        <f t="shared" si="187"/>
        <v>1952</v>
      </c>
    </row>
    <row r="2447" spans="2:25">
      <c r="B2447" t="s">
        <v>26</v>
      </c>
      <c r="C2447" t="s">
        <v>9227</v>
      </c>
      <c r="D2447" t="s">
        <v>9228</v>
      </c>
      <c r="E2447" t="s">
        <v>29</v>
      </c>
      <c r="F2447" t="s">
        <v>30</v>
      </c>
      <c r="G2447" t="s">
        <v>31</v>
      </c>
      <c r="J2447" t="s">
        <v>9227</v>
      </c>
      <c r="K2447" t="s">
        <v>1967</v>
      </c>
      <c r="L2447" t="s">
        <v>9176</v>
      </c>
      <c r="M2447" s="8">
        <v>0.06975</v>
      </c>
      <c r="N2447">
        <v>145.23264029167</v>
      </c>
      <c r="O2447">
        <v>1952</v>
      </c>
      <c r="P2447" s="9">
        <v>0.245</v>
      </c>
      <c r="Q2447" t="s">
        <v>1946</v>
      </c>
      <c r="T2447" s="15" t="s">
        <v>54</v>
      </c>
      <c r="W2447" s="16" t="str">
        <f t="shared" si="185"/>
        <v>EN_WON_25_c04_ZMB</v>
      </c>
      <c r="X2447" s="12">
        <f t="shared" si="186"/>
        <v>1952</v>
      </c>
      <c r="Y2447" s="11">
        <f t="shared" si="187"/>
        <v>1952</v>
      </c>
    </row>
    <row r="2448" spans="2:25">
      <c r="B2448" t="s">
        <v>26</v>
      </c>
      <c r="C2448" t="s">
        <v>9229</v>
      </c>
      <c r="D2448" t="s">
        <v>9230</v>
      </c>
      <c r="E2448" t="s">
        <v>29</v>
      </c>
      <c r="F2448" t="s">
        <v>30</v>
      </c>
      <c r="G2448" t="s">
        <v>31</v>
      </c>
      <c r="J2448" t="s">
        <v>9229</v>
      </c>
      <c r="K2448" t="s">
        <v>1967</v>
      </c>
      <c r="L2448" t="s">
        <v>9176</v>
      </c>
      <c r="M2448" s="8">
        <v>1.22775</v>
      </c>
      <c r="N2448">
        <v>105.747516212372</v>
      </c>
      <c r="O2448">
        <v>1952</v>
      </c>
      <c r="P2448" s="9">
        <v>0.265870494807575</v>
      </c>
      <c r="Q2448" t="s">
        <v>1946</v>
      </c>
      <c r="T2448" s="15" t="s">
        <v>54</v>
      </c>
      <c r="W2448" s="16" t="str">
        <f t="shared" si="185"/>
        <v>EN_WON_27_c03_ZMB</v>
      </c>
      <c r="X2448" s="12">
        <f t="shared" si="186"/>
        <v>1952</v>
      </c>
      <c r="Y2448" s="11">
        <f t="shared" si="187"/>
        <v>1952</v>
      </c>
    </row>
    <row r="2449" spans="2:25">
      <c r="B2449" t="s">
        <v>26</v>
      </c>
      <c r="C2449" t="s">
        <v>9231</v>
      </c>
      <c r="D2449" t="s">
        <v>9232</v>
      </c>
      <c r="E2449" t="s">
        <v>29</v>
      </c>
      <c r="F2449" t="s">
        <v>30</v>
      </c>
      <c r="G2449" t="s">
        <v>31</v>
      </c>
      <c r="J2449" t="s">
        <v>9231</v>
      </c>
      <c r="K2449" t="s">
        <v>1967</v>
      </c>
      <c r="L2449" t="s">
        <v>9176</v>
      </c>
      <c r="M2449" s="8">
        <v>0.063</v>
      </c>
      <c r="N2449">
        <v>145.23264029167</v>
      </c>
      <c r="O2449">
        <v>1952</v>
      </c>
      <c r="P2449" s="9">
        <v>0.274</v>
      </c>
      <c r="Q2449" t="s">
        <v>1946</v>
      </c>
      <c r="T2449" s="15" t="s">
        <v>54</v>
      </c>
      <c r="W2449" s="16" t="str">
        <f t="shared" si="185"/>
        <v>EN_WON_27_c04_ZMB</v>
      </c>
      <c r="X2449" s="12">
        <f t="shared" si="186"/>
        <v>1952</v>
      </c>
      <c r="Y2449" s="11">
        <f t="shared" si="187"/>
        <v>1952</v>
      </c>
    </row>
    <row r="2450" spans="2:25">
      <c r="B2450" t="s">
        <v>26</v>
      </c>
      <c r="C2450" t="s">
        <v>9233</v>
      </c>
      <c r="D2450" t="s">
        <v>9234</v>
      </c>
      <c r="E2450" t="s">
        <v>29</v>
      </c>
      <c r="F2450" t="s">
        <v>30</v>
      </c>
      <c r="G2450" t="s">
        <v>31</v>
      </c>
      <c r="J2450" t="s">
        <v>9233</v>
      </c>
      <c r="K2450" t="s">
        <v>1967</v>
      </c>
      <c r="L2450" t="s">
        <v>9176</v>
      </c>
      <c r="M2450" s="8">
        <v>0.69675</v>
      </c>
      <c r="N2450">
        <v>80.7856561622413</v>
      </c>
      <c r="O2450">
        <v>1952</v>
      </c>
      <c r="P2450" s="9">
        <v>0.27678471474704</v>
      </c>
      <c r="Q2450" t="s">
        <v>1946</v>
      </c>
      <c r="T2450" s="15" t="s">
        <v>54</v>
      </c>
      <c r="W2450" s="16" t="str">
        <f t="shared" si="185"/>
        <v>EN_WON_28_c02_ZMB</v>
      </c>
      <c r="X2450" s="12">
        <f t="shared" si="186"/>
        <v>1952</v>
      </c>
      <c r="Y2450" s="11">
        <f t="shared" si="187"/>
        <v>1952</v>
      </c>
    </row>
    <row r="2451" spans="2:25">
      <c r="B2451" t="s">
        <v>26</v>
      </c>
      <c r="C2451" t="s">
        <v>9235</v>
      </c>
      <c r="D2451" t="s">
        <v>9236</v>
      </c>
      <c r="E2451" t="s">
        <v>29</v>
      </c>
      <c r="F2451" t="s">
        <v>30</v>
      </c>
      <c r="G2451" t="s">
        <v>31</v>
      </c>
      <c r="J2451" t="s">
        <v>9235</v>
      </c>
      <c r="K2451" t="s">
        <v>1967</v>
      </c>
      <c r="L2451" t="s">
        <v>9176</v>
      </c>
      <c r="M2451" s="8">
        <v>1.1205</v>
      </c>
      <c r="N2451">
        <v>105.747516212372</v>
      </c>
      <c r="O2451">
        <v>1952</v>
      </c>
      <c r="P2451" s="9">
        <v>0.283</v>
      </c>
      <c r="Q2451" t="s">
        <v>1946</v>
      </c>
      <c r="T2451" s="15" t="s">
        <v>54</v>
      </c>
      <c r="W2451" s="16" t="str">
        <f t="shared" si="185"/>
        <v>EN_WON_28_c03_ZMB</v>
      </c>
      <c r="X2451" s="12">
        <f t="shared" si="186"/>
        <v>1952</v>
      </c>
      <c r="Y2451" s="11">
        <f t="shared" si="187"/>
        <v>1952</v>
      </c>
    </row>
    <row r="2452" spans="2:25">
      <c r="B2452" t="s">
        <v>26</v>
      </c>
      <c r="C2452" t="s">
        <v>9237</v>
      </c>
      <c r="D2452" t="s">
        <v>9238</v>
      </c>
      <c r="E2452" t="s">
        <v>29</v>
      </c>
      <c r="F2452" t="s">
        <v>30</v>
      </c>
      <c r="G2452" t="s">
        <v>31</v>
      </c>
      <c r="J2452" t="s">
        <v>9237</v>
      </c>
      <c r="K2452" t="s">
        <v>1967</v>
      </c>
      <c r="L2452" t="s">
        <v>9176</v>
      </c>
      <c r="M2452" s="8">
        <v>0.447</v>
      </c>
      <c r="N2452">
        <v>80.7856561622413</v>
      </c>
      <c r="O2452">
        <v>1952</v>
      </c>
      <c r="P2452" s="9">
        <v>0.289038590604027</v>
      </c>
      <c r="Q2452" t="s">
        <v>1946</v>
      </c>
      <c r="T2452" s="15" t="s">
        <v>54</v>
      </c>
      <c r="W2452" s="16" t="str">
        <f t="shared" si="185"/>
        <v>EN_WON_29_c02_ZMB</v>
      </c>
      <c r="X2452" s="12">
        <f t="shared" si="186"/>
        <v>1952</v>
      </c>
      <c r="Y2452" s="11">
        <f t="shared" si="187"/>
        <v>1952</v>
      </c>
    </row>
    <row r="2453" spans="2:25">
      <c r="B2453" t="s">
        <v>26</v>
      </c>
      <c r="C2453" t="s">
        <v>9239</v>
      </c>
      <c r="D2453" t="s">
        <v>9240</v>
      </c>
      <c r="E2453" t="s">
        <v>29</v>
      </c>
      <c r="F2453" t="s">
        <v>30</v>
      </c>
      <c r="G2453" t="s">
        <v>31</v>
      </c>
      <c r="J2453" t="s">
        <v>9239</v>
      </c>
      <c r="K2453" t="s">
        <v>1967</v>
      </c>
      <c r="L2453" t="s">
        <v>9241</v>
      </c>
      <c r="M2453" s="8">
        <v>2.76825</v>
      </c>
      <c r="N2453">
        <v>145.23264029167</v>
      </c>
      <c r="O2453">
        <v>1952</v>
      </c>
      <c r="P2453" s="9">
        <v>0.214</v>
      </c>
      <c r="Q2453" t="s">
        <v>1956</v>
      </c>
      <c r="T2453" s="15" t="s">
        <v>54</v>
      </c>
      <c r="W2453" s="16" t="str">
        <f t="shared" si="185"/>
        <v>EN_WON_21_c04_ZWE</v>
      </c>
      <c r="X2453" s="12">
        <f t="shared" si="186"/>
        <v>1952</v>
      </c>
      <c r="Y2453" s="11">
        <f t="shared" si="187"/>
        <v>1952</v>
      </c>
    </row>
    <row r="2454" spans="2:25">
      <c r="B2454" t="s">
        <v>26</v>
      </c>
      <c r="C2454" t="s">
        <v>9242</v>
      </c>
      <c r="D2454" t="s">
        <v>9243</v>
      </c>
      <c r="E2454" t="s">
        <v>29</v>
      </c>
      <c r="F2454" t="s">
        <v>30</v>
      </c>
      <c r="G2454" t="s">
        <v>31</v>
      </c>
      <c r="J2454" t="s">
        <v>9242</v>
      </c>
      <c r="K2454" t="s">
        <v>1967</v>
      </c>
      <c r="L2454" t="s">
        <v>9241</v>
      </c>
      <c r="M2454" s="8">
        <v>13.236</v>
      </c>
      <c r="N2454">
        <v>105.747516212372</v>
      </c>
      <c r="O2454">
        <v>1952</v>
      </c>
      <c r="P2454" s="9">
        <v>0.221041591115141</v>
      </c>
      <c r="Q2454" t="s">
        <v>1956</v>
      </c>
      <c r="T2454" s="15" t="s">
        <v>54</v>
      </c>
      <c r="W2454" s="16" t="str">
        <f t="shared" si="185"/>
        <v>EN_WON_22_c03_ZWE</v>
      </c>
      <c r="X2454" s="12">
        <f t="shared" si="186"/>
        <v>1952</v>
      </c>
      <c r="Y2454" s="11">
        <f t="shared" si="187"/>
        <v>1952</v>
      </c>
    </row>
    <row r="2455" spans="2:25">
      <c r="B2455" t="s">
        <v>26</v>
      </c>
      <c r="C2455" t="s">
        <v>9244</v>
      </c>
      <c r="D2455" t="s">
        <v>9245</v>
      </c>
      <c r="E2455" t="s">
        <v>29</v>
      </c>
      <c r="F2455" t="s">
        <v>30</v>
      </c>
      <c r="G2455" t="s">
        <v>31</v>
      </c>
      <c r="J2455" t="s">
        <v>9244</v>
      </c>
      <c r="K2455" t="s">
        <v>1967</v>
      </c>
      <c r="L2455" t="s">
        <v>9241</v>
      </c>
      <c r="M2455" s="8">
        <v>3.6765</v>
      </c>
      <c r="N2455">
        <v>145.23264029167</v>
      </c>
      <c r="O2455">
        <v>1952</v>
      </c>
      <c r="P2455" s="9">
        <v>0.217</v>
      </c>
      <c r="Q2455" t="s">
        <v>1956</v>
      </c>
      <c r="T2455" s="15" t="s">
        <v>54</v>
      </c>
      <c r="W2455" s="16" t="str">
        <f t="shared" si="185"/>
        <v>EN_WON_22_c04_ZWE</v>
      </c>
      <c r="X2455" s="12">
        <f t="shared" si="186"/>
        <v>1952</v>
      </c>
      <c r="Y2455" s="11">
        <f t="shared" si="187"/>
        <v>1952</v>
      </c>
    </row>
    <row r="2456" spans="2:25">
      <c r="B2456" t="s">
        <v>26</v>
      </c>
      <c r="C2456" t="s">
        <v>9246</v>
      </c>
      <c r="D2456" t="s">
        <v>9247</v>
      </c>
      <c r="E2456" t="s">
        <v>29</v>
      </c>
      <c r="F2456" t="s">
        <v>30</v>
      </c>
      <c r="G2456" t="s">
        <v>31</v>
      </c>
      <c r="J2456" t="s">
        <v>9246</v>
      </c>
      <c r="K2456" t="s">
        <v>1967</v>
      </c>
      <c r="L2456" t="s">
        <v>9241</v>
      </c>
      <c r="M2456" s="8">
        <v>1.49475</v>
      </c>
      <c r="N2456">
        <v>80.7856561622413</v>
      </c>
      <c r="O2456">
        <v>1952</v>
      </c>
      <c r="P2456" s="9">
        <v>0.225</v>
      </c>
      <c r="Q2456" t="s">
        <v>1956</v>
      </c>
      <c r="T2456" s="15" t="s">
        <v>54</v>
      </c>
      <c r="W2456" s="16" t="str">
        <f t="shared" si="185"/>
        <v>EN_WON_23_c02_ZWE</v>
      </c>
      <c r="X2456" s="12">
        <f t="shared" si="186"/>
        <v>1952</v>
      </c>
      <c r="Y2456" s="11">
        <f t="shared" si="187"/>
        <v>1952</v>
      </c>
    </row>
    <row r="2457" spans="2:25">
      <c r="B2457" t="s">
        <v>26</v>
      </c>
      <c r="C2457" t="s">
        <v>9248</v>
      </c>
      <c r="D2457" t="s">
        <v>9249</v>
      </c>
      <c r="E2457" t="s">
        <v>29</v>
      </c>
      <c r="F2457" t="s">
        <v>30</v>
      </c>
      <c r="G2457" t="s">
        <v>31</v>
      </c>
      <c r="J2457" t="s">
        <v>9248</v>
      </c>
      <c r="K2457" t="s">
        <v>1967</v>
      </c>
      <c r="L2457" t="s">
        <v>9241</v>
      </c>
      <c r="M2457" s="8">
        <v>0.5625</v>
      </c>
      <c r="N2457">
        <v>145.23264029167</v>
      </c>
      <c r="O2457">
        <v>1952</v>
      </c>
      <c r="P2457" s="9">
        <v>0.233</v>
      </c>
      <c r="Q2457" t="s">
        <v>1956</v>
      </c>
      <c r="T2457" s="15" t="s">
        <v>54</v>
      </c>
      <c r="W2457" s="16" t="str">
        <f t="shared" si="185"/>
        <v>EN_WON_23_c04_ZWE</v>
      </c>
      <c r="X2457" s="12">
        <f t="shared" si="186"/>
        <v>1952</v>
      </c>
      <c r="Y2457" s="11">
        <f t="shared" si="187"/>
        <v>1952</v>
      </c>
    </row>
    <row r="2458" spans="2:25">
      <c r="B2458" t="s">
        <v>26</v>
      </c>
      <c r="C2458" t="s">
        <v>9250</v>
      </c>
      <c r="D2458" t="s">
        <v>9251</v>
      </c>
      <c r="E2458" t="s">
        <v>29</v>
      </c>
      <c r="F2458" t="s">
        <v>30</v>
      </c>
      <c r="G2458" t="s">
        <v>31</v>
      </c>
      <c r="J2458" t="s">
        <v>9250</v>
      </c>
      <c r="K2458" t="s">
        <v>1967</v>
      </c>
      <c r="L2458" t="s">
        <v>9241</v>
      </c>
      <c r="M2458" s="8">
        <v>3.5595</v>
      </c>
      <c r="N2458">
        <v>80.7856561622413</v>
      </c>
      <c r="O2458">
        <v>1952</v>
      </c>
      <c r="P2458" s="9">
        <v>0.238584913611462</v>
      </c>
      <c r="Q2458" t="s">
        <v>1956</v>
      </c>
      <c r="T2458" s="15" t="s">
        <v>54</v>
      </c>
      <c r="W2458" s="16" t="str">
        <f t="shared" si="185"/>
        <v>EN_WON_24_c02_ZWE</v>
      </c>
      <c r="X2458" s="12">
        <f t="shared" si="186"/>
        <v>1952</v>
      </c>
      <c r="Y2458" s="11">
        <f t="shared" si="187"/>
        <v>1952</v>
      </c>
    </row>
    <row r="2459" spans="2:25">
      <c r="B2459" t="s">
        <v>26</v>
      </c>
      <c r="C2459" t="s">
        <v>9252</v>
      </c>
      <c r="D2459" t="s">
        <v>9253</v>
      </c>
      <c r="E2459" t="s">
        <v>29</v>
      </c>
      <c r="F2459" t="s">
        <v>30</v>
      </c>
      <c r="G2459" t="s">
        <v>31</v>
      </c>
      <c r="J2459" t="s">
        <v>9252</v>
      </c>
      <c r="K2459" t="s">
        <v>1967</v>
      </c>
      <c r="L2459" t="s">
        <v>9241</v>
      </c>
      <c r="M2459" s="8">
        <v>0.28725</v>
      </c>
      <c r="N2459">
        <v>145.23264029167</v>
      </c>
      <c r="O2459">
        <v>1952</v>
      </c>
      <c r="P2459" s="9">
        <v>0.24</v>
      </c>
      <c r="Q2459" t="s">
        <v>1956</v>
      </c>
      <c r="T2459" s="15" t="s">
        <v>54</v>
      </c>
      <c r="W2459" s="16" t="str">
        <f t="shared" si="185"/>
        <v>EN_WON_24_c04_ZWE</v>
      </c>
      <c r="X2459" s="12">
        <f t="shared" si="186"/>
        <v>1952</v>
      </c>
      <c r="Y2459" s="11">
        <f t="shared" si="187"/>
        <v>1952</v>
      </c>
    </row>
    <row r="2460" spans="2:25">
      <c r="B2460" t="s">
        <v>26</v>
      </c>
      <c r="C2460" t="s">
        <v>9254</v>
      </c>
      <c r="D2460" t="s">
        <v>9255</v>
      </c>
      <c r="E2460" t="s">
        <v>29</v>
      </c>
      <c r="F2460" t="s">
        <v>30</v>
      </c>
      <c r="G2460" t="s">
        <v>31</v>
      </c>
      <c r="J2460" t="s">
        <v>9254</v>
      </c>
      <c r="K2460" t="s">
        <v>1967</v>
      </c>
      <c r="L2460" t="s">
        <v>9241</v>
      </c>
      <c r="M2460" s="8">
        <v>2.871</v>
      </c>
      <c r="N2460">
        <v>0</v>
      </c>
      <c r="O2460">
        <v>1952</v>
      </c>
      <c r="P2460" s="9">
        <v>0.251</v>
      </c>
      <c r="Q2460" t="s">
        <v>1956</v>
      </c>
      <c r="T2460" s="15" t="s">
        <v>54</v>
      </c>
      <c r="W2460" s="16" t="str">
        <f t="shared" si="185"/>
        <v>EN_WON_25_c01_ZWE</v>
      </c>
      <c r="X2460" s="12">
        <f t="shared" si="186"/>
        <v>1952</v>
      </c>
      <c r="Y2460" s="11">
        <f t="shared" si="187"/>
        <v>1952</v>
      </c>
    </row>
    <row r="2461" spans="2:25">
      <c r="B2461" t="s">
        <v>26</v>
      </c>
      <c r="C2461" t="s">
        <v>9256</v>
      </c>
      <c r="D2461" t="s">
        <v>9257</v>
      </c>
      <c r="E2461" t="s">
        <v>29</v>
      </c>
      <c r="F2461" t="s">
        <v>30</v>
      </c>
      <c r="G2461" t="s">
        <v>31</v>
      </c>
      <c r="J2461" t="s">
        <v>9256</v>
      </c>
      <c r="K2461" t="s">
        <v>1967</v>
      </c>
      <c r="L2461" t="s">
        <v>9241</v>
      </c>
      <c r="M2461" s="8">
        <v>1.15725</v>
      </c>
      <c r="N2461">
        <v>105.747516212372</v>
      </c>
      <c r="O2461">
        <v>1952</v>
      </c>
      <c r="P2461" s="9">
        <v>0.263</v>
      </c>
      <c r="Q2461" t="s">
        <v>1956</v>
      </c>
      <c r="T2461" s="15" t="s">
        <v>54</v>
      </c>
      <c r="W2461" s="16" t="str">
        <f t="shared" si="185"/>
        <v>EN_WON_26_c03_ZWE</v>
      </c>
      <c r="X2461" s="12">
        <f t="shared" si="186"/>
        <v>1952</v>
      </c>
      <c r="Y2461" s="11">
        <f t="shared" si="187"/>
        <v>1952</v>
      </c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3"/>
  <sheetViews>
    <sheetView zoomScale="81" zoomScaleNormal="81" workbookViewId="0">
      <selection activeCell="R22" sqref="R22"/>
    </sheetView>
  </sheetViews>
  <sheetFormatPr defaultColWidth="9" defaultRowHeight="14.5"/>
  <cols>
    <col min="2" max="2" width="27.1363636363636" customWidth="1"/>
    <col min="3" max="3" width="9.4" customWidth="1"/>
    <col min="4" max="4" width="11.2636363636364" customWidth="1"/>
    <col min="5" max="5" width="7" customWidth="1"/>
    <col min="6" max="6" width="4.4" customWidth="1"/>
    <col min="7" max="7" width="12.8636363636364" customWidth="1"/>
    <col min="8" max="8" width="6" customWidth="1"/>
    <col min="9" max="9" width="8.72727272727273" customWidth="1"/>
    <col min="10" max="10" width="5" customWidth="1"/>
    <col min="11" max="11" width="2" customWidth="1"/>
    <col min="12" max="12" width="13.1363636363636" customWidth="1"/>
    <col min="13" max="13" width="27.1363636363636" customWidth="1"/>
    <col min="14" max="14" width="59" customWidth="1"/>
    <col min="15" max="15" width="5.6" customWidth="1"/>
    <col min="16" max="16" width="4.86363636363636" customWidth="1"/>
    <col min="17" max="17" width="8.13636363636364" customWidth="1"/>
    <col min="18" max="18" width="12.2636363636364" customWidth="1"/>
    <col min="19" max="19" width="13.7272727272727" customWidth="1"/>
  </cols>
  <sheetData>
    <row r="1" spans="1:17">
      <c r="A1" t="s">
        <v>9258</v>
      </c>
    </row>
    <row r="2" spans="1:17">
      <c r="A2" t="s">
        <v>9259</v>
      </c>
    </row>
    <row r="4" ht="17.75" spans="1:17">
      <c r="D4" s="5" t="s">
        <v>4</v>
      </c>
      <c r="L4" s="5" t="s">
        <v>2</v>
      </c>
    </row>
    <row r="5" ht="16" spans="1:17">
      <c r="B5" s="6" t="s">
        <v>6</v>
      </c>
      <c r="C5" s="6" t="s">
        <v>12</v>
      </c>
      <c r="D5" s="6" t="s">
        <v>13</v>
      </c>
      <c r="E5" s="6" t="s">
        <v>24</v>
      </c>
      <c r="F5" s="6" t="s">
        <v>9260</v>
      </c>
      <c r="G5" s="6" t="s">
        <v>9261</v>
      </c>
      <c r="H5" s="6" t="s">
        <v>9262</v>
      </c>
      <c r="I5" s="6" t="s">
        <v>25</v>
      </c>
      <c r="J5" s="6" t="s">
        <v>9263</v>
      </c>
      <c r="L5" s="6" t="s">
        <v>5</v>
      </c>
      <c r="M5" s="6" t="s">
        <v>6</v>
      </c>
      <c r="N5" s="6" t="s">
        <v>7</v>
      </c>
      <c r="O5" s="6" t="s">
        <v>9</v>
      </c>
      <c r="P5" s="6" t="s">
        <v>8</v>
      </c>
      <c r="Q5" s="6" t="s">
        <v>9264</v>
      </c>
    </row>
    <row r="6" spans="1:17">
      <c r="B6" t="s">
        <v>9265</v>
      </c>
      <c r="C6" t="s">
        <v>9266</v>
      </c>
      <c r="D6" t="s">
        <v>9267</v>
      </c>
      <c r="E6">
        <v>0.9</v>
      </c>
      <c r="F6">
        <v>200</v>
      </c>
      <c r="G6">
        <v>2</v>
      </c>
      <c r="H6" s="7">
        <v>3.6</v>
      </c>
      <c r="I6">
        <v>54</v>
      </c>
      <c r="J6">
        <v>2019</v>
      </c>
      <c r="L6" t="s">
        <v>9268</v>
      </c>
      <c r="M6" t="s">
        <v>9265</v>
      </c>
      <c r="N6" t="s">
        <v>9269</v>
      </c>
      <c r="O6" t="s">
        <v>9270</v>
      </c>
      <c r="P6" t="s">
        <v>29</v>
      </c>
    </row>
    <row r="7" spans="1:17">
      <c r="B7" t="s">
        <v>9271</v>
      </c>
      <c r="C7" t="s">
        <v>9266</v>
      </c>
      <c r="D7" t="s">
        <v>9267</v>
      </c>
      <c r="E7">
        <v>0.9</v>
      </c>
      <c r="F7">
        <v>200</v>
      </c>
      <c r="G7">
        <v>2</v>
      </c>
      <c r="H7" s="7">
        <v>2.4</v>
      </c>
      <c r="I7">
        <v>54</v>
      </c>
      <c r="J7">
        <v>2018</v>
      </c>
      <c r="L7" t="s">
        <v>9268</v>
      </c>
      <c r="M7" t="s">
        <v>9271</v>
      </c>
      <c r="N7" t="s">
        <v>9272</v>
      </c>
      <c r="O7" t="s">
        <v>9270</v>
      </c>
      <c r="P7" t="s">
        <v>29</v>
      </c>
    </row>
    <row r="8" spans="1:17">
      <c r="B8" t="s">
        <v>9273</v>
      </c>
      <c r="C8" t="s">
        <v>9266</v>
      </c>
      <c r="D8" t="s">
        <v>9267</v>
      </c>
      <c r="E8">
        <v>0.9</v>
      </c>
      <c r="F8">
        <v>200</v>
      </c>
      <c r="G8">
        <v>2</v>
      </c>
      <c r="H8" s="7">
        <v>3</v>
      </c>
      <c r="I8">
        <v>54</v>
      </c>
      <c r="J8">
        <v>2023</v>
      </c>
      <c r="L8" t="s">
        <v>9268</v>
      </c>
      <c r="M8" t="s">
        <v>9273</v>
      </c>
      <c r="N8" t="s">
        <v>9274</v>
      </c>
      <c r="O8" t="s">
        <v>9270</v>
      </c>
      <c r="P8" t="s">
        <v>29</v>
      </c>
    </row>
    <row r="9" spans="1:17">
      <c r="B9" t="s">
        <v>9275</v>
      </c>
      <c r="C9" t="s">
        <v>9266</v>
      </c>
      <c r="D9" t="s">
        <v>9267</v>
      </c>
      <c r="E9">
        <v>0.9</v>
      </c>
      <c r="F9">
        <v>200</v>
      </c>
      <c r="G9">
        <v>2</v>
      </c>
      <c r="H9" s="7">
        <v>0.7</v>
      </c>
      <c r="I9">
        <v>54</v>
      </c>
      <c r="J9">
        <v>2026</v>
      </c>
      <c r="L9" t="s">
        <v>9268</v>
      </c>
      <c r="M9" t="s">
        <v>9275</v>
      </c>
      <c r="N9" t="s">
        <v>9276</v>
      </c>
      <c r="O9" t="s">
        <v>9270</v>
      </c>
      <c r="P9" t="s">
        <v>29</v>
      </c>
    </row>
    <row r="10" spans="1:17">
      <c r="B10" t="s">
        <v>9277</v>
      </c>
      <c r="C10" t="s">
        <v>9266</v>
      </c>
      <c r="D10" t="s">
        <v>9267</v>
      </c>
      <c r="E10">
        <v>0.9</v>
      </c>
      <c r="F10">
        <v>200</v>
      </c>
      <c r="G10">
        <v>2</v>
      </c>
      <c r="H10" s="7">
        <v>3.4</v>
      </c>
      <c r="I10">
        <v>54</v>
      </c>
      <c r="J10">
        <v>2022</v>
      </c>
      <c r="L10" t="s">
        <v>9268</v>
      </c>
      <c r="M10" t="s">
        <v>9277</v>
      </c>
      <c r="N10" t="s">
        <v>9278</v>
      </c>
      <c r="O10" t="s">
        <v>9270</v>
      </c>
      <c r="P10" t="s">
        <v>29</v>
      </c>
    </row>
    <row r="11" spans="1:17">
      <c r="B11" t="s">
        <v>9279</v>
      </c>
      <c r="C11" t="s">
        <v>9266</v>
      </c>
      <c r="D11" t="s">
        <v>9267</v>
      </c>
      <c r="E11">
        <v>0.9</v>
      </c>
      <c r="F11">
        <v>200</v>
      </c>
      <c r="G11">
        <v>2</v>
      </c>
      <c r="H11" s="7">
        <v>1.2</v>
      </c>
      <c r="I11">
        <v>54</v>
      </c>
      <c r="J11">
        <v>2017</v>
      </c>
      <c r="L11" t="s">
        <v>9268</v>
      </c>
      <c r="M11" t="s">
        <v>9279</v>
      </c>
      <c r="N11" t="s">
        <v>9280</v>
      </c>
      <c r="O11" t="s">
        <v>9270</v>
      </c>
      <c r="P11" t="s">
        <v>29</v>
      </c>
    </row>
    <row r="12" spans="1:17">
      <c r="B12" t="s">
        <v>9279</v>
      </c>
      <c r="C12" t="s">
        <v>9266</v>
      </c>
      <c r="D12" t="s">
        <v>9267</v>
      </c>
      <c r="E12">
        <v>0.9</v>
      </c>
      <c r="F12">
        <v>200</v>
      </c>
      <c r="G12">
        <v>2</v>
      </c>
      <c r="H12" s="7">
        <v>1.5</v>
      </c>
      <c r="I12">
        <v>54</v>
      </c>
      <c r="J12">
        <v>2020</v>
      </c>
      <c r="L12" t="s">
        <v>9268</v>
      </c>
      <c r="M12" t="s">
        <v>9279</v>
      </c>
      <c r="N12" t="s">
        <v>9280</v>
      </c>
      <c r="O12" t="s">
        <v>9270</v>
      </c>
      <c r="P12" t="s">
        <v>29</v>
      </c>
    </row>
    <row r="13" spans="1:17">
      <c r="B13" t="s">
        <v>9279</v>
      </c>
      <c r="C13" t="s">
        <v>9266</v>
      </c>
      <c r="D13" t="s">
        <v>9267</v>
      </c>
      <c r="E13">
        <v>0.9</v>
      </c>
      <c r="F13">
        <v>200</v>
      </c>
      <c r="G13">
        <v>2</v>
      </c>
      <c r="H13" s="7">
        <v>2</v>
      </c>
      <c r="I13">
        <v>54</v>
      </c>
      <c r="J13">
        <v>2027</v>
      </c>
      <c r="L13" t="s">
        <v>9268</v>
      </c>
      <c r="M13" t="s">
        <v>9279</v>
      </c>
      <c r="N13" t="s">
        <v>9280</v>
      </c>
      <c r="O13" t="s">
        <v>9270</v>
      </c>
      <c r="P13" t="s">
        <v>29</v>
      </c>
    </row>
    <row r="14" spans="1:17">
      <c r="B14" t="s">
        <v>9281</v>
      </c>
      <c r="C14" t="s">
        <v>9266</v>
      </c>
      <c r="D14" t="s">
        <v>9267</v>
      </c>
      <c r="E14">
        <v>0.9</v>
      </c>
      <c r="F14">
        <v>200</v>
      </c>
      <c r="G14">
        <v>2</v>
      </c>
      <c r="H14" s="7">
        <v>2.5</v>
      </c>
      <c r="I14">
        <v>54</v>
      </c>
      <c r="J14">
        <v>2023</v>
      </c>
      <c r="L14" t="s">
        <v>9268</v>
      </c>
      <c r="M14" t="s">
        <v>9281</v>
      </c>
      <c r="N14" t="s">
        <v>9282</v>
      </c>
      <c r="O14" t="s">
        <v>9270</v>
      </c>
      <c r="P14" t="s">
        <v>29</v>
      </c>
    </row>
    <row r="15" spans="1:17">
      <c r="B15" t="s">
        <v>9283</v>
      </c>
      <c r="C15" t="s">
        <v>9266</v>
      </c>
      <c r="D15" t="s">
        <v>9267</v>
      </c>
      <c r="E15">
        <v>0.9</v>
      </c>
      <c r="F15">
        <v>200</v>
      </c>
      <c r="G15">
        <v>2</v>
      </c>
      <c r="H15" s="7">
        <v>5.2</v>
      </c>
      <c r="I15">
        <v>54</v>
      </c>
      <c r="J15">
        <v>2013</v>
      </c>
      <c r="L15" t="s">
        <v>9268</v>
      </c>
      <c r="M15" t="s">
        <v>9283</v>
      </c>
      <c r="N15" t="s">
        <v>9284</v>
      </c>
      <c r="O15" t="s">
        <v>9270</v>
      </c>
      <c r="P15" t="s">
        <v>29</v>
      </c>
    </row>
    <row r="16" spans="1:17">
      <c r="B16" t="s">
        <v>9285</v>
      </c>
      <c r="C16" t="s">
        <v>9266</v>
      </c>
      <c r="D16" t="s">
        <v>9267</v>
      </c>
      <c r="E16">
        <v>0.9</v>
      </c>
      <c r="F16">
        <v>200</v>
      </c>
      <c r="G16">
        <v>2</v>
      </c>
      <c r="H16" s="7">
        <v>2.6</v>
      </c>
      <c r="I16">
        <v>54</v>
      </c>
      <c r="J16">
        <v>1977</v>
      </c>
      <c r="L16" t="s">
        <v>9268</v>
      </c>
      <c r="M16" t="s">
        <v>9285</v>
      </c>
      <c r="N16" t="s">
        <v>9286</v>
      </c>
      <c r="O16" t="s">
        <v>9270</v>
      </c>
      <c r="P16" t="s">
        <v>29</v>
      </c>
    </row>
    <row r="17" spans="2:16">
      <c r="B17" t="s">
        <v>9285</v>
      </c>
      <c r="C17" t="s">
        <v>9266</v>
      </c>
      <c r="D17" t="s">
        <v>9267</v>
      </c>
      <c r="E17">
        <v>0.9</v>
      </c>
      <c r="F17">
        <v>200</v>
      </c>
      <c r="G17">
        <v>2</v>
      </c>
      <c r="H17" s="7">
        <v>3.2</v>
      </c>
      <c r="I17">
        <v>54</v>
      </c>
      <c r="J17">
        <v>1994</v>
      </c>
      <c r="L17" t="s">
        <v>9268</v>
      </c>
      <c r="M17" t="s">
        <v>9285</v>
      </c>
      <c r="N17" t="s">
        <v>9286</v>
      </c>
      <c r="O17" t="s">
        <v>9270</v>
      </c>
      <c r="P17" t="s">
        <v>29</v>
      </c>
    </row>
    <row r="18" spans="2:16">
      <c r="B18" t="s">
        <v>9287</v>
      </c>
      <c r="C18" t="s">
        <v>9266</v>
      </c>
      <c r="D18" t="s">
        <v>9267</v>
      </c>
      <c r="E18">
        <v>0.9</v>
      </c>
      <c r="F18">
        <v>200</v>
      </c>
      <c r="G18">
        <v>2</v>
      </c>
      <c r="H18" s="7">
        <v>2.5</v>
      </c>
      <c r="I18">
        <v>54</v>
      </c>
      <c r="J18">
        <v>1992</v>
      </c>
      <c r="L18" t="s">
        <v>9268</v>
      </c>
      <c r="M18" t="s">
        <v>9287</v>
      </c>
      <c r="N18" t="s">
        <v>9288</v>
      </c>
      <c r="O18" t="s">
        <v>9270</v>
      </c>
      <c r="P18" t="s">
        <v>29</v>
      </c>
    </row>
    <row r="19" spans="2:16">
      <c r="B19" t="s">
        <v>9287</v>
      </c>
      <c r="C19" t="s">
        <v>9266</v>
      </c>
      <c r="D19" t="s">
        <v>9267</v>
      </c>
      <c r="E19">
        <v>0.9</v>
      </c>
      <c r="F19">
        <v>200</v>
      </c>
      <c r="G19">
        <v>2</v>
      </c>
      <c r="H19" s="7">
        <v>3.7</v>
      </c>
      <c r="I19">
        <v>54</v>
      </c>
      <c r="J19">
        <v>2006</v>
      </c>
      <c r="L19" t="s">
        <v>9268</v>
      </c>
      <c r="M19" t="s">
        <v>9287</v>
      </c>
      <c r="N19" t="s">
        <v>9288</v>
      </c>
      <c r="O19" t="s">
        <v>9270</v>
      </c>
      <c r="P19" t="s">
        <v>29</v>
      </c>
    </row>
    <row r="20" spans="2:16">
      <c r="B20" t="s">
        <v>9287</v>
      </c>
      <c r="C20" t="s">
        <v>9266</v>
      </c>
      <c r="D20" t="s">
        <v>9267</v>
      </c>
      <c r="E20">
        <v>0.9</v>
      </c>
      <c r="F20">
        <v>200</v>
      </c>
      <c r="G20">
        <v>2</v>
      </c>
      <c r="H20" s="7">
        <v>4.4</v>
      </c>
      <c r="I20">
        <v>54</v>
      </c>
      <c r="J20">
        <v>2004</v>
      </c>
      <c r="L20" t="s">
        <v>9268</v>
      </c>
      <c r="M20" t="s">
        <v>9287</v>
      </c>
      <c r="N20" t="s">
        <v>9288</v>
      </c>
      <c r="O20" t="s">
        <v>9270</v>
      </c>
      <c r="P20" t="s">
        <v>29</v>
      </c>
    </row>
    <row r="21" spans="2:16">
      <c r="B21" t="s">
        <v>9287</v>
      </c>
      <c r="C21" t="s">
        <v>9266</v>
      </c>
      <c r="D21" t="s">
        <v>9267</v>
      </c>
      <c r="E21">
        <v>0.9</v>
      </c>
      <c r="F21">
        <v>200</v>
      </c>
      <c r="G21">
        <v>2</v>
      </c>
      <c r="H21" s="7">
        <v>4.4</v>
      </c>
      <c r="I21">
        <v>54</v>
      </c>
      <c r="J21">
        <v>2008</v>
      </c>
      <c r="L21" t="s">
        <v>9268</v>
      </c>
      <c r="M21" t="s">
        <v>9287</v>
      </c>
      <c r="N21" t="s">
        <v>9288</v>
      </c>
      <c r="O21" t="s">
        <v>9270</v>
      </c>
      <c r="P21" t="s">
        <v>29</v>
      </c>
    </row>
    <row r="22" spans="2:16">
      <c r="B22" t="s">
        <v>9287</v>
      </c>
      <c r="C22" t="s">
        <v>9266</v>
      </c>
      <c r="D22" t="s">
        <v>9267</v>
      </c>
      <c r="E22">
        <v>0.9</v>
      </c>
      <c r="F22">
        <v>200</v>
      </c>
      <c r="G22">
        <v>2</v>
      </c>
      <c r="H22" s="7">
        <v>4.9</v>
      </c>
      <c r="I22">
        <v>54</v>
      </c>
      <c r="J22">
        <v>2012</v>
      </c>
      <c r="L22" t="s">
        <v>9268</v>
      </c>
      <c r="M22" t="s">
        <v>9287</v>
      </c>
      <c r="N22" t="s">
        <v>9288</v>
      </c>
      <c r="O22" t="s">
        <v>9270</v>
      </c>
      <c r="P22" t="s">
        <v>29</v>
      </c>
    </row>
    <row r="23" spans="2:16">
      <c r="B23" t="s">
        <v>9287</v>
      </c>
      <c r="C23" t="s">
        <v>9266</v>
      </c>
      <c r="D23" t="s">
        <v>9267</v>
      </c>
      <c r="E23">
        <v>0.9</v>
      </c>
      <c r="F23">
        <v>200</v>
      </c>
      <c r="G23">
        <v>2</v>
      </c>
      <c r="H23" s="7">
        <v>5</v>
      </c>
      <c r="I23">
        <v>54</v>
      </c>
      <c r="J23">
        <v>1989</v>
      </c>
      <c r="L23" t="s">
        <v>9268</v>
      </c>
      <c r="M23" t="s">
        <v>9287</v>
      </c>
      <c r="N23" t="s">
        <v>9288</v>
      </c>
      <c r="O23" t="s">
        <v>9270</v>
      </c>
      <c r="P23" t="s">
        <v>29</v>
      </c>
    </row>
    <row r="24" spans="2:16">
      <c r="B24" t="s">
        <v>9287</v>
      </c>
      <c r="C24" t="s">
        <v>9266</v>
      </c>
      <c r="D24" t="s">
        <v>9267</v>
      </c>
      <c r="E24">
        <v>0.9</v>
      </c>
      <c r="F24">
        <v>200</v>
      </c>
      <c r="G24">
        <v>2</v>
      </c>
      <c r="H24" s="7">
        <v>8.15</v>
      </c>
      <c r="I24">
        <v>54</v>
      </c>
      <c r="J24">
        <v>2015</v>
      </c>
      <c r="L24" t="s">
        <v>9268</v>
      </c>
      <c r="M24" t="s">
        <v>9287</v>
      </c>
      <c r="N24" t="s">
        <v>9288</v>
      </c>
      <c r="O24" t="s">
        <v>9270</v>
      </c>
      <c r="P24" t="s">
        <v>29</v>
      </c>
    </row>
    <row r="25" spans="2:16">
      <c r="B25" t="s">
        <v>9287</v>
      </c>
      <c r="C25" t="s">
        <v>9266</v>
      </c>
      <c r="D25" t="s">
        <v>9267</v>
      </c>
      <c r="E25">
        <v>0.9</v>
      </c>
      <c r="F25">
        <v>200</v>
      </c>
      <c r="G25">
        <v>2</v>
      </c>
      <c r="H25" s="7">
        <v>9.65</v>
      </c>
      <c r="I25">
        <v>54</v>
      </c>
      <c r="J25">
        <v>2017</v>
      </c>
      <c r="L25" t="s">
        <v>9268</v>
      </c>
      <c r="M25" t="s">
        <v>9287</v>
      </c>
      <c r="N25" t="s">
        <v>9288</v>
      </c>
      <c r="O25" t="s">
        <v>9270</v>
      </c>
      <c r="P25" t="s">
        <v>29</v>
      </c>
    </row>
    <row r="26" spans="2:16">
      <c r="B26" t="s">
        <v>9287</v>
      </c>
      <c r="C26" t="s">
        <v>9266</v>
      </c>
      <c r="D26" t="s">
        <v>9267</v>
      </c>
      <c r="E26">
        <v>0.9</v>
      </c>
      <c r="F26">
        <v>200</v>
      </c>
      <c r="G26">
        <v>2</v>
      </c>
      <c r="H26" s="7">
        <v>13.35</v>
      </c>
      <c r="I26">
        <v>54</v>
      </c>
      <c r="J26">
        <v>2018</v>
      </c>
      <c r="L26" t="s">
        <v>9268</v>
      </c>
      <c r="M26" t="s">
        <v>9287</v>
      </c>
      <c r="N26" t="s">
        <v>9288</v>
      </c>
      <c r="O26" t="s">
        <v>9270</v>
      </c>
      <c r="P26" t="s">
        <v>29</v>
      </c>
    </row>
    <row r="27" spans="2:16">
      <c r="B27" t="s">
        <v>9287</v>
      </c>
      <c r="C27" t="s">
        <v>9266</v>
      </c>
      <c r="D27" t="s">
        <v>9267</v>
      </c>
      <c r="E27">
        <v>0.9</v>
      </c>
      <c r="F27">
        <v>200</v>
      </c>
      <c r="G27">
        <v>2</v>
      </c>
      <c r="H27" s="7">
        <v>27.55</v>
      </c>
      <c r="I27">
        <v>54</v>
      </c>
      <c r="J27">
        <v>2016</v>
      </c>
      <c r="L27" t="s">
        <v>9268</v>
      </c>
      <c r="M27" t="s">
        <v>9287</v>
      </c>
      <c r="N27" t="s">
        <v>9288</v>
      </c>
      <c r="O27" t="s">
        <v>9270</v>
      </c>
      <c r="P27" t="s">
        <v>29</v>
      </c>
    </row>
    <row r="28" spans="2:16">
      <c r="B28" t="s">
        <v>9289</v>
      </c>
      <c r="C28" t="s">
        <v>9266</v>
      </c>
      <c r="D28" t="s">
        <v>9267</v>
      </c>
      <c r="E28">
        <v>0.9</v>
      </c>
      <c r="F28">
        <v>200</v>
      </c>
      <c r="G28">
        <v>2</v>
      </c>
      <c r="H28" s="7">
        <v>7.2</v>
      </c>
      <c r="I28">
        <v>54</v>
      </c>
      <c r="J28">
        <v>1972</v>
      </c>
      <c r="L28" t="s">
        <v>9268</v>
      </c>
      <c r="M28" t="s">
        <v>9289</v>
      </c>
      <c r="N28" t="s">
        <v>9290</v>
      </c>
      <c r="O28" t="s">
        <v>9270</v>
      </c>
      <c r="P28" t="s">
        <v>29</v>
      </c>
    </row>
    <row r="29" spans="2:16">
      <c r="B29" t="s">
        <v>9291</v>
      </c>
      <c r="C29" t="s">
        <v>9266</v>
      </c>
      <c r="D29" t="s">
        <v>9267</v>
      </c>
      <c r="E29">
        <v>0.9</v>
      </c>
      <c r="F29">
        <v>200</v>
      </c>
      <c r="G29">
        <v>2</v>
      </c>
      <c r="H29" s="7">
        <v>7</v>
      </c>
      <c r="I29">
        <v>54</v>
      </c>
      <c r="J29">
        <v>2024</v>
      </c>
      <c r="L29" t="s">
        <v>9268</v>
      </c>
      <c r="M29" t="s">
        <v>9291</v>
      </c>
      <c r="N29" t="s">
        <v>9292</v>
      </c>
      <c r="O29" t="s">
        <v>9270</v>
      </c>
      <c r="P29" t="s">
        <v>29</v>
      </c>
    </row>
    <row r="30" spans="2:16">
      <c r="B30" t="s">
        <v>9291</v>
      </c>
      <c r="C30" t="s">
        <v>9266</v>
      </c>
      <c r="D30" t="s">
        <v>9267</v>
      </c>
      <c r="E30">
        <v>0.9</v>
      </c>
      <c r="F30">
        <v>200</v>
      </c>
      <c r="G30">
        <v>2</v>
      </c>
      <c r="H30" s="7">
        <v>7</v>
      </c>
      <c r="I30">
        <v>54</v>
      </c>
      <c r="J30">
        <v>2025</v>
      </c>
      <c r="L30" t="s">
        <v>9268</v>
      </c>
      <c r="M30" t="s">
        <v>9291</v>
      </c>
      <c r="N30" t="s">
        <v>9292</v>
      </c>
      <c r="O30" t="s">
        <v>9270</v>
      </c>
      <c r="P30" t="s">
        <v>29</v>
      </c>
    </row>
    <row r="31" spans="2:16">
      <c r="B31" t="s">
        <v>9293</v>
      </c>
      <c r="C31" t="s">
        <v>9266</v>
      </c>
      <c r="D31" t="s">
        <v>9267</v>
      </c>
      <c r="E31">
        <v>0.9</v>
      </c>
      <c r="F31">
        <v>200</v>
      </c>
      <c r="G31">
        <v>2</v>
      </c>
      <c r="H31" s="7">
        <v>4.5</v>
      </c>
      <c r="I31">
        <v>54</v>
      </c>
      <c r="J31">
        <v>2013</v>
      </c>
      <c r="L31" t="s">
        <v>9268</v>
      </c>
      <c r="M31" t="s">
        <v>9293</v>
      </c>
      <c r="N31" t="s">
        <v>9294</v>
      </c>
      <c r="O31" t="s">
        <v>9270</v>
      </c>
      <c r="P31" t="s">
        <v>29</v>
      </c>
    </row>
    <row r="32" spans="2:16">
      <c r="B32" t="s">
        <v>9293</v>
      </c>
      <c r="C32" t="s">
        <v>9266</v>
      </c>
      <c r="D32" t="s">
        <v>9267</v>
      </c>
      <c r="E32">
        <v>0.9</v>
      </c>
      <c r="F32">
        <v>200</v>
      </c>
      <c r="G32">
        <v>2</v>
      </c>
      <c r="H32" s="7">
        <v>4.7</v>
      </c>
      <c r="I32">
        <v>54</v>
      </c>
      <c r="J32">
        <v>2014</v>
      </c>
      <c r="L32" t="s">
        <v>9268</v>
      </c>
      <c r="M32" t="s">
        <v>9293</v>
      </c>
      <c r="N32" t="s">
        <v>9294</v>
      </c>
      <c r="O32" t="s">
        <v>9270</v>
      </c>
      <c r="P32" t="s">
        <v>29</v>
      </c>
    </row>
    <row r="33" spans="2:16">
      <c r="B33" t="s">
        <v>9293</v>
      </c>
      <c r="C33" t="s">
        <v>9266</v>
      </c>
      <c r="D33" t="s">
        <v>9267</v>
      </c>
      <c r="E33">
        <v>0.9</v>
      </c>
      <c r="F33">
        <v>200</v>
      </c>
      <c r="G33">
        <v>2</v>
      </c>
      <c r="H33" s="7">
        <v>7.86764705882353</v>
      </c>
      <c r="I33">
        <v>54</v>
      </c>
      <c r="J33">
        <v>1978</v>
      </c>
      <c r="L33" t="s">
        <v>9268</v>
      </c>
      <c r="M33" t="s">
        <v>9293</v>
      </c>
      <c r="N33" t="s">
        <v>9294</v>
      </c>
      <c r="O33" t="s">
        <v>9270</v>
      </c>
      <c r="P33" t="s">
        <v>29</v>
      </c>
    </row>
    <row r="34" spans="2:16">
      <c r="B34" t="s">
        <v>9293</v>
      </c>
      <c r="C34" t="s">
        <v>9266</v>
      </c>
      <c r="D34" t="s">
        <v>9267</v>
      </c>
      <c r="E34">
        <v>0.9</v>
      </c>
      <c r="F34">
        <v>200</v>
      </c>
      <c r="G34">
        <v>2</v>
      </c>
      <c r="H34" s="7">
        <v>8.2</v>
      </c>
      <c r="I34">
        <v>54</v>
      </c>
      <c r="J34">
        <v>1981</v>
      </c>
      <c r="L34" t="s">
        <v>9268</v>
      </c>
      <c r="M34" t="s">
        <v>9293</v>
      </c>
      <c r="N34" t="s">
        <v>9294</v>
      </c>
      <c r="O34" t="s">
        <v>9270</v>
      </c>
      <c r="P34" t="s">
        <v>29</v>
      </c>
    </row>
    <row r="35" spans="2:16">
      <c r="B35" t="s">
        <v>9295</v>
      </c>
      <c r="C35" t="s">
        <v>9266</v>
      </c>
      <c r="D35" t="s">
        <v>9267</v>
      </c>
      <c r="E35">
        <v>0.9</v>
      </c>
      <c r="F35">
        <v>200</v>
      </c>
      <c r="G35">
        <v>2</v>
      </c>
      <c r="H35" s="7">
        <v>12.2</v>
      </c>
      <c r="I35">
        <v>54</v>
      </c>
      <c r="J35">
        <v>2005</v>
      </c>
      <c r="L35" t="s">
        <v>9268</v>
      </c>
      <c r="M35" t="s">
        <v>9295</v>
      </c>
      <c r="N35" t="s">
        <v>9296</v>
      </c>
      <c r="O35" t="s">
        <v>9270</v>
      </c>
      <c r="P35" t="s">
        <v>29</v>
      </c>
    </row>
    <row r="36" spans="2:16">
      <c r="B36" t="s">
        <v>9297</v>
      </c>
      <c r="C36" t="s">
        <v>9266</v>
      </c>
      <c r="D36" t="s">
        <v>9267</v>
      </c>
      <c r="E36">
        <v>0.9</v>
      </c>
      <c r="F36">
        <v>200</v>
      </c>
      <c r="G36">
        <v>2</v>
      </c>
      <c r="H36" s="7">
        <v>3.7</v>
      </c>
      <c r="I36">
        <v>54</v>
      </c>
      <c r="J36">
        <v>2007</v>
      </c>
      <c r="L36" t="s">
        <v>9268</v>
      </c>
      <c r="M36" t="s">
        <v>9297</v>
      </c>
      <c r="N36" t="s">
        <v>9298</v>
      </c>
      <c r="O36" t="s">
        <v>9270</v>
      </c>
      <c r="P36" t="s">
        <v>29</v>
      </c>
    </row>
    <row r="37" spans="2:16">
      <c r="B37" t="s">
        <v>9299</v>
      </c>
      <c r="C37" t="s">
        <v>9266</v>
      </c>
      <c r="D37" t="s">
        <v>9267</v>
      </c>
      <c r="E37">
        <v>0.9</v>
      </c>
      <c r="F37">
        <v>200</v>
      </c>
      <c r="G37">
        <v>2</v>
      </c>
      <c r="H37" s="7">
        <v>0.5</v>
      </c>
      <c r="I37">
        <v>54</v>
      </c>
      <c r="J37">
        <v>2025</v>
      </c>
      <c r="L37" t="s">
        <v>9268</v>
      </c>
      <c r="M37" t="s">
        <v>9299</v>
      </c>
      <c r="N37" t="s">
        <v>9300</v>
      </c>
      <c r="O37" t="s">
        <v>9270</v>
      </c>
      <c r="P37" t="s">
        <v>29</v>
      </c>
    </row>
    <row r="38" spans="2:16">
      <c r="B38" t="s">
        <v>9299</v>
      </c>
      <c r="C38" t="s">
        <v>9266</v>
      </c>
      <c r="D38" t="s">
        <v>9267</v>
      </c>
      <c r="E38">
        <v>0.9</v>
      </c>
      <c r="F38">
        <v>200</v>
      </c>
      <c r="G38">
        <v>2</v>
      </c>
      <c r="H38" s="7">
        <v>2</v>
      </c>
      <c r="I38">
        <v>54</v>
      </c>
      <c r="J38">
        <v>2015</v>
      </c>
      <c r="L38" t="s">
        <v>9268</v>
      </c>
      <c r="M38" t="s">
        <v>9299</v>
      </c>
      <c r="N38" t="s">
        <v>9300</v>
      </c>
      <c r="O38" t="s">
        <v>9270</v>
      </c>
      <c r="P38" t="s">
        <v>29</v>
      </c>
    </row>
    <row r="39" spans="2:16">
      <c r="B39" t="s">
        <v>9299</v>
      </c>
      <c r="C39" t="s">
        <v>9266</v>
      </c>
      <c r="D39" t="s">
        <v>9267</v>
      </c>
      <c r="E39">
        <v>0.9</v>
      </c>
      <c r="F39">
        <v>200</v>
      </c>
      <c r="G39">
        <v>2</v>
      </c>
      <c r="H39" s="7">
        <v>2.6</v>
      </c>
      <c r="I39">
        <v>54</v>
      </c>
      <c r="J39">
        <v>1990</v>
      </c>
      <c r="L39" t="s">
        <v>9268</v>
      </c>
      <c r="M39" t="s">
        <v>9299</v>
      </c>
      <c r="N39" t="s">
        <v>9300</v>
      </c>
      <c r="O39" t="s">
        <v>9270</v>
      </c>
      <c r="P39" t="s">
        <v>29</v>
      </c>
    </row>
    <row r="40" spans="2:16">
      <c r="B40" t="s">
        <v>9299</v>
      </c>
      <c r="C40" t="s">
        <v>9266</v>
      </c>
      <c r="D40" t="s">
        <v>9267</v>
      </c>
      <c r="E40">
        <v>0.9</v>
      </c>
      <c r="F40">
        <v>200</v>
      </c>
      <c r="G40">
        <v>2</v>
      </c>
      <c r="H40" s="7">
        <v>3.8</v>
      </c>
      <c r="I40">
        <v>54</v>
      </c>
      <c r="J40">
        <v>2023</v>
      </c>
      <c r="L40" t="s">
        <v>9268</v>
      </c>
      <c r="M40" t="s">
        <v>9299</v>
      </c>
      <c r="N40" t="s">
        <v>9300</v>
      </c>
      <c r="O40" t="s">
        <v>9270</v>
      </c>
      <c r="P40" t="s">
        <v>29</v>
      </c>
    </row>
    <row r="41" spans="2:16">
      <c r="B41" t="s">
        <v>9299</v>
      </c>
      <c r="C41" t="s">
        <v>9266</v>
      </c>
      <c r="D41" t="s">
        <v>9267</v>
      </c>
      <c r="E41">
        <v>0.9</v>
      </c>
      <c r="F41">
        <v>200</v>
      </c>
      <c r="G41">
        <v>2</v>
      </c>
      <c r="H41" s="7">
        <v>4.4</v>
      </c>
      <c r="I41">
        <v>54</v>
      </c>
      <c r="J41">
        <v>1994</v>
      </c>
      <c r="L41" t="s">
        <v>9268</v>
      </c>
      <c r="M41" t="s">
        <v>9299</v>
      </c>
      <c r="N41" t="s">
        <v>9300</v>
      </c>
      <c r="O41" t="s">
        <v>9270</v>
      </c>
      <c r="P41" t="s">
        <v>29</v>
      </c>
    </row>
    <row r="42" spans="2:16">
      <c r="B42" t="s">
        <v>9299</v>
      </c>
      <c r="C42" t="s">
        <v>9266</v>
      </c>
      <c r="D42" t="s">
        <v>9267</v>
      </c>
      <c r="E42">
        <v>0.9</v>
      </c>
      <c r="F42">
        <v>200</v>
      </c>
      <c r="G42">
        <v>2</v>
      </c>
      <c r="H42" s="7">
        <v>6.3</v>
      </c>
      <c r="I42">
        <v>54</v>
      </c>
      <c r="J42">
        <v>1998</v>
      </c>
      <c r="L42" t="s">
        <v>9268</v>
      </c>
      <c r="M42" t="s">
        <v>9299</v>
      </c>
      <c r="N42" t="s">
        <v>9300</v>
      </c>
      <c r="O42" t="s">
        <v>9270</v>
      </c>
      <c r="P42" t="s">
        <v>29</v>
      </c>
    </row>
    <row r="43" spans="2:16">
      <c r="B43" t="s">
        <v>9299</v>
      </c>
      <c r="C43" t="s">
        <v>9266</v>
      </c>
      <c r="D43" t="s">
        <v>9267</v>
      </c>
      <c r="E43">
        <v>0.9</v>
      </c>
      <c r="F43">
        <v>200</v>
      </c>
      <c r="G43">
        <v>2</v>
      </c>
      <c r="H43" s="7">
        <v>7.6</v>
      </c>
      <c r="I43">
        <v>54</v>
      </c>
      <c r="J43">
        <v>2009</v>
      </c>
      <c r="L43" t="s">
        <v>9268</v>
      </c>
      <c r="M43" t="s">
        <v>9299</v>
      </c>
      <c r="N43" t="s">
        <v>9300</v>
      </c>
      <c r="O43" t="s">
        <v>9270</v>
      </c>
      <c r="P43" t="s">
        <v>29</v>
      </c>
    </row>
    <row r="44" spans="2:16">
      <c r="B44" t="s">
        <v>9301</v>
      </c>
      <c r="C44" t="s">
        <v>9266</v>
      </c>
      <c r="D44" t="s">
        <v>9267</v>
      </c>
      <c r="E44">
        <v>0.9</v>
      </c>
      <c r="F44">
        <v>200</v>
      </c>
      <c r="G44">
        <v>2</v>
      </c>
      <c r="H44" s="7">
        <v>2.4</v>
      </c>
      <c r="I44">
        <v>54</v>
      </c>
      <c r="J44">
        <v>2025</v>
      </c>
      <c r="L44" t="s">
        <v>9268</v>
      </c>
      <c r="M44" t="s">
        <v>9301</v>
      </c>
      <c r="N44" t="s">
        <v>9302</v>
      </c>
      <c r="O44" t="s">
        <v>9270</v>
      </c>
      <c r="P44" t="s">
        <v>29</v>
      </c>
    </row>
    <row r="45" spans="2:16">
      <c r="B45" t="s">
        <v>9303</v>
      </c>
      <c r="C45" t="s">
        <v>9266</v>
      </c>
      <c r="D45" t="s">
        <v>9267</v>
      </c>
      <c r="E45">
        <v>0.9</v>
      </c>
      <c r="F45">
        <v>200</v>
      </c>
      <c r="G45">
        <v>2</v>
      </c>
      <c r="H45" s="7">
        <v>3.6</v>
      </c>
      <c r="I45">
        <v>54</v>
      </c>
      <c r="J45">
        <v>2017</v>
      </c>
      <c r="L45" t="s">
        <v>9268</v>
      </c>
      <c r="M45" t="s">
        <v>9303</v>
      </c>
      <c r="N45" t="s">
        <v>9304</v>
      </c>
      <c r="O45" t="s">
        <v>9270</v>
      </c>
      <c r="P45" t="s">
        <v>29</v>
      </c>
    </row>
    <row r="46" spans="2:16">
      <c r="B46" t="s">
        <v>9303</v>
      </c>
      <c r="C46" t="s">
        <v>9266</v>
      </c>
      <c r="D46" t="s">
        <v>9267</v>
      </c>
      <c r="E46">
        <v>0.9</v>
      </c>
      <c r="F46">
        <v>200</v>
      </c>
      <c r="G46">
        <v>2</v>
      </c>
      <c r="H46" s="7">
        <v>7.7</v>
      </c>
      <c r="I46">
        <v>54</v>
      </c>
      <c r="J46">
        <v>2003</v>
      </c>
      <c r="L46" t="s">
        <v>9268</v>
      </c>
      <c r="M46" t="s">
        <v>9303</v>
      </c>
      <c r="N46" t="s">
        <v>9304</v>
      </c>
      <c r="O46" t="s">
        <v>9270</v>
      </c>
      <c r="P46" t="s">
        <v>29</v>
      </c>
    </row>
    <row r="47" spans="2:16">
      <c r="B47" t="s">
        <v>9303</v>
      </c>
      <c r="C47" t="s">
        <v>9266</v>
      </c>
      <c r="D47" t="s">
        <v>9267</v>
      </c>
      <c r="E47">
        <v>0.9</v>
      </c>
      <c r="F47">
        <v>200</v>
      </c>
      <c r="G47">
        <v>2</v>
      </c>
      <c r="H47" s="7">
        <v>8.4</v>
      </c>
      <c r="I47">
        <v>54</v>
      </c>
      <c r="J47">
        <v>1983</v>
      </c>
      <c r="L47" t="s">
        <v>9268</v>
      </c>
      <c r="M47" t="s">
        <v>9303</v>
      </c>
      <c r="N47" t="s">
        <v>9304</v>
      </c>
      <c r="O47" t="s">
        <v>9270</v>
      </c>
      <c r="P47" t="s">
        <v>29</v>
      </c>
    </row>
    <row r="48" spans="2:16">
      <c r="B48" t="s">
        <v>9303</v>
      </c>
      <c r="C48" t="s">
        <v>9266</v>
      </c>
      <c r="D48" t="s">
        <v>9267</v>
      </c>
      <c r="E48">
        <v>0.9</v>
      </c>
      <c r="F48">
        <v>200</v>
      </c>
      <c r="G48">
        <v>2</v>
      </c>
      <c r="H48" s="7">
        <v>9.6</v>
      </c>
      <c r="I48">
        <v>54</v>
      </c>
      <c r="J48">
        <v>1995</v>
      </c>
      <c r="L48" t="s">
        <v>9268</v>
      </c>
      <c r="M48" t="s">
        <v>9303</v>
      </c>
      <c r="N48" t="s">
        <v>9304</v>
      </c>
      <c r="O48" t="s">
        <v>9270</v>
      </c>
      <c r="P48" t="s">
        <v>29</v>
      </c>
    </row>
    <row r="49" spans="2:16">
      <c r="B49" t="s">
        <v>9305</v>
      </c>
      <c r="C49" t="s">
        <v>9266</v>
      </c>
      <c r="D49" t="s">
        <v>9267</v>
      </c>
      <c r="E49">
        <v>0.9</v>
      </c>
      <c r="F49">
        <v>200</v>
      </c>
      <c r="G49">
        <v>2</v>
      </c>
      <c r="H49" s="7">
        <v>3.3</v>
      </c>
      <c r="I49">
        <v>54</v>
      </c>
      <c r="J49">
        <v>2002</v>
      </c>
      <c r="L49" t="s">
        <v>9268</v>
      </c>
      <c r="M49" t="s">
        <v>9305</v>
      </c>
      <c r="N49" t="s">
        <v>9306</v>
      </c>
      <c r="O49" t="s">
        <v>9270</v>
      </c>
      <c r="P49" t="s">
        <v>29</v>
      </c>
    </row>
    <row r="50" spans="2:16">
      <c r="B50" t="s">
        <v>9305</v>
      </c>
      <c r="C50" t="s">
        <v>9266</v>
      </c>
      <c r="D50" t="s">
        <v>9267</v>
      </c>
      <c r="E50">
        <v>0.9</v>
      </c>
      <c r="F50">
        <v>200</v>
      </c>
      <c r="G50">
        <v>2</v>
      </c>
      <c r="H50" s="7">
        <v>4.1</v>
      </c>
      <c r="I50">
        <v>54</v>
      </c>
      <c r="J50">
        <v>2008</v>
      </c>
      <c r="L50" t="s">
        <v>9268</v>
      </c>
      <c r="M50" t="s">
        <v>9305</v>
      </c>
      <c r="N50" t="s">
        <v>9306</v>
      </c>
      <c r="O50" t="s">
        <v>9270</v>
      </c>
      <c r="P50" t="s">
        <v>29</v>
      </c>
    </row>
    <row r="51" spans="2:16">
      <c r="B51" t="s">
        <v>9305</v>
      </c>
      <c r="C51" t="s">
        <v>9266</v>
      </c>
      <c r="D51" t="s">
        <v>9267</v>
      </c>
      <c r="E51">
        <v>0.9</v>
      </c>
      <c r="F51">
        <v>200</v>
      </c>
      <c r="G51">
        <v>2</v>
      </c>
      <c r="H51" s="7">
        <v>6.6</v>
      </c>
      <c r="I51">
        <v>54</v>
      </c>
      <c r="J51">
        <v>1999</v>
      </c>
      <c r="L51" t="s">
        <v>9268</v>
      </c>
      <c r="M51" t="s">
        <v>9305</v>
      </c>
      <c r="N51" t="s">
        <v>9306</v>
      </c>
      <c r="O51" t="s">
        <v>9270</v>
      </c>
      <c r="P51" t="s">
        <v>29</v>
      </c>
    </row>
    <row r="52" spans="2:16">
      <c r="B52" t="s">
        <v>9305</v>
      </c>
      <c r="C52" t="s">
        <v>9266</v>
      </c>
      <c r="D52" t="s">
        <v>9267</v>
      </c>
      <c r="E52">
        <v>0.9</v>
      </c>
      <c r="F52">
        <v>200</v>
      </c>
      <c r="G52">
        <v>2</v>
      </c>
      <c r="H52" s="7">
        <v>7.6</v>
      </c>
      <c r="I52">
        <v>54</v>
      </c>
      <c r="J52">
        <v>2025</v>
      </c>
      <c r="L52" t="s">
        <v>9268</v>
      </c>
      <c r="M52" t="s">
        <v>9305</v>
      </c>
      <c r="N52" t="s">
        <v>9306</v>
      </c>
      <c r="O52" t="s">
        <v>9270</v>
      </c>
      <c r="P52" t="s">
        <v>29</v>
      </c>
    </row>
    <row r="53" spans="2:16">
      <c r="B53" t="s">
        <v>9305</v>
      </c>
      <c r="C53" t="s">
        <v>9266</v>
      </c>
      <c r="D53" t="s">
        <v>9267</v>
      </c>
      <c r="E53">
        <v>0.9</v>
      </c>
      <c r="F53">
        <v>200</v>
      </c>
      <c r="G53">
        <v>2</v>
      </c>
      <c r="H53" s="7">
        <v>8.2</v>
      </c>
      <c r="I53">
        <v>54</v>
      </c>
      <c r="J53">
        <v>2006</v>
      </c>
      <c r="L53" t="s">
        <v>9268</v>
      </c>
      <c r="M53" t="s">
        <v>9305</v>
      </c>
      <c r="N53" t="s">
        <v>9306</v>
      </c>
      <c r="O53" t="s">
        <v>9270</v>
      </c>
      <c r="P53" t="s">
        <v>29</v>
      </c>
    </row>
    <row r="54" spans="2:16">
      <c r="B54" t="s">
        <v>9307</v>
      </c>
      <c r="C54" t="s">
        <v>9266</v>
      </c>
      <c r="D54" t="s">
        <v>9267</v>
      </c>
      <c r="E54">
        <v>0.9</v>
      </c>
      <c r="F54">
        <v>200</v>
      </c>
      <c r="G54">
        <v>2</v>
      </c>
      <c r="H54" s="7">
        <v>0.3</v>
      </c>
      <c r="I54">
        <v>54</v>
      </c>
      <c r="J54">
        <v>2011</v>
      </c>
      <c r="L54" t="s">
        <v>9268</v>
      </c>
      <c r="M54" t="s">
        <v>9307</v>
      </c>
      <c r="N54" t="s">
        <v>9308</v>
      </c>
      <c r="O54" t="s">
        <v>9270</v>
      </c>
      <c r="P54" t="s">
        <v>29</v>
      </c>
    </row>
    <row r="55" spans="2:16">
      <c r="B55" t="s">
        <v>9307</v>
      </c>
      <c r="C55" t="s">
        <v>9266</v>
      </c>
      <c r="D55" t="s">
        <v>9267</v>
      </c>
      <c r="E55">
        <v>0.9</v>
      </c>
      <c r="F55">
        <v>200</v>
      </c>
      <c r="G55">
        <v>2</v>
      </c>
      <c r="H55" s="7">
        <v>4.2</v>
      </c>
      <c r="I55">
        <v>54</v>
      </c>
      <c r="J55">
        <v>2007</v>
      </c>
      <c r="L55" t="s">
        <v>9268</v>
      </c>
      <c r="M55" t="s">
        <v>9307</v>
      </c>
      <c r="N55" t="s">
        <v>9308</v>
      </c>
      <c r="O55" t="s">
        <v>9270</v>
      </c>
      <c r="P55" t="s">
        <v>29</v>
      </c>
    </row>
    <row r="56" spans="2:16">
      <c r="B56" t="s">
        <v>9309</v>
      </c>
      <c r="C56" t="s">
        <v>9266</v>
      </c>
      <c r="D56" t="s">
        <v>9267</v>
      </c>
      <c r="E56">
        <v>0.9</v>
      </c>
      <c r="F56">
        <v>200</v>
      </c>
      <c r="G56">
        <v>2</v>
      </c>
      <c r="H56" s="7">
        <v>3.7</v>
      </c>
      <c r="I56">
        <v>54</v>
      </c>
      <c r="J56">
        <v>2005</v>
      </c>
      <c r="L56" t="s">
        <v>9268</v>
      </c>
      <c r="M56" t="s">
        <v>9309</v>
      </c>
      <c r="N56" t="s">
        <v>9310</v>
      </c>
      <c r="O56" t="s">
        <v>9270</v>
      </c>
      <c r="P56" t="s">
        <v>29</v>
      </c>
    </row>
    <row r="57" spans="2:16">
      <c r="B57" t="s">
        <v>9309</v>
      </c>
      <c r="C57" t="s">
        <v>9266</v>
      </c>
      <c r="D57" t="s">
        <v>9267</v>
      </c>
      <c r="E57">
        <v>0.9</v>
      </c>
      <c r="F57">
        <v>200</v>
      </c>
      <c r="G57">
        <v>2</v>
      </c>
      <c r="H57" s="7">
        <v>7.1</v>
      </c>
      <c r="I57">
        <v>54</v>
      </c>
      <c r="J57">
        <v>2000</v>
      </c>
      <c r="L57" t="s">
        <v>9268</v>
      </c>
      <c r="M57" t="s">
        <v>9309</v>
      </c>
      <c r="N57" t="s">
        <v>9310</v>
      </c>
      <c r="O57" t="s">
        <v>9270</v>
      </c>
      <c r="P57" t="s">
        <v>29</v>
      </c>
    </row>
    <row r="58" spans="2:16">
      <c r="B58" t="s">
        <v>9311</v>
      </c>
      <c r="C58" t="s">
        <v>9266</v>
      </c>
      <c r="D58" t="s">
        <v>9267</v>
      </c>
      <c r="E58">
        <v>0.9</v>
      </c>
      <c r="F58">
        <v>200</v>
      </c>
      <c r="G58">
        <v>2</v>
      </c>
      <c r="H58" s="7">
        <v>4.45</v>
      </c>
      <c r="I58">
        <v>54</v>
      </c>
      <c r="J58">
        <v>2010</v>
      </c>
      <c r="L58" t="s">
        <v>9268</v>
      </c>
      <c r="M58" t="s">
        <v>9311</v>
      </c>
      <c r="N58" t="s">
        <v>9312</v>
      </c>
      <c r="O58" t="s">
        <v>9270</v>
      </c>
      <c r="P58" t="s">
        <v>29</v>
      </c>
    </row>
    <row r="59" spans="2:16">
      <c r="B59" t="s">
        <v>9313</v>
      </c>
      <c r="C59" t="s">
        <v>9266</v>
      </c>
      <c r="D59" t="s">
        <v>9267</v>
      </c>
      <c r="E59">
        <v>0.9</v>
      </c>
      <c r="F59">
        <v>200</v>
      </c>
      <c r="G59">
        <v>2</v>
      </c>
      <c r="H59" s="7">
        <v>6.9</v>
      </c>
      <c r="I59">
        <v>54</v>
      </c>
      <c r="J59">
        <v>2014</v>
      </c>
      <c r="L59" t="s">
        <v>9268</v>
      </c>
      <c r="M59" t="s">
        <v>9313</v>
      </c>
      <c r="N59" t="s">
        <v>9314</v>
      </c>
      <c r="O59" t="s">
        <v>9270</v>
      </c>
      <c r="P59" t="s">
        <v>29</v>
      </c>
    </row>
    <row r="60" spans="2:16">
      <c r="B60" t="s">
        <v>9315</v>
      </c>
      <c r="C60" t="s">
        <v>9266</v>
      </c>
      <c r="D60" t="s">
        <v>9267</v>
      </c>
      <c r="E60">
        <v>0.9</v>
      </c>
      <c r="F60">
        <v>200</v>
      </c>
      <c r="G60">
        <v>2</v>
      </c>
      <c r="H60" s="7">
        <v>4.7</v>
      </c>
      <c r="I60">
        <v>54</v>
      </c>
      <c r="J60">
        <v>2004</v>
      </c>
      <c r="L60" t="s">
        <v>9268</v>
      </c>
      <c r="M60" t="s">
        <v>9315</v>
      </c>
      <c r="N60" t="s">
        <v>9316</v>
      </c>
      <c r="O60" t="s">
        <v>9270</v>
      </c>
      <c r="P60" t="s">
        <v>29</v>
      </c>
    </row>
    <row r="61" spans="2:16">
      <c r="B61" t="s">
        <v>9315</v>
      </c>
      <c r="C61" t="s">
        <v>9266</v>
      </c>
      <c r="D61" t="s">
        <v>9267</v>
      </c>
      <c r="E61">
        <v>0.9</v>
      </c>
      <c r="F61">
        <v>200</v>
      </c>
      <c r="G61">
        <v>2</v>
      </c>
      <c r="H61" s="7">
        <v>4.7</v>
      </c>
      <c r="I61">
        <v>54</v>
      </c>
      <c r="J61">
        <v>2005</v>
      </c>
      <c r="L61" t="s">
        <v>9268</v>
      </c>
      <c r="M61" t="s">
        <v>9315</v>
      </c>
      <c r="N61" t="s">
        <v>9316</v>
      </c>
      <c r="O61" t="s">
        <v>9270</v>
      </c>
      <c r="P61" t="s">
        <v>29</v>
      </c>
    </row>
    <row r="62" spans="2:16">
      <c r="B62" t="s">
        <v>9315</v>
      </c>
      <c r="C62" t="s">
        <v>9266</v>
      </c>
      <c r="D62" t="s">
        <v>9267</v>
      </c>
      <c r="E62">
        <v>0.9</v>
      </c>
      <c r="F62">
        <v>200</v>
      </c>
      <c r="G62">
        <v>2</v>
      </c>
      <c r="H62" s="7">
        <v>4.7</v>
      </c>
      <c r="I62">
        <v>54</v>
      </c>
      <c r="J62">
        <v>2006</v>
      </c>
      <c r="L62" t="s">
        <v>9268</v>
      </c>
      <c r="M62" t="s">
        <v>9315</v>
      </c>
      <c r="N62" t="s">
        <v>9316</v>
      </c>
      <c r="O62" t="s">
        <v>9270</v>
      </c>
      <c r="P62" t="s">
        <v>29</v>
      </c>
    </row>
    <row r="63" spans="2:16">
      <c r="B63" t="s">
        <v>9315</v>
      </c>
      <c r="C63" t="s">
        <v>9266</v>
      </c>
      <c r="D63" t="s">
        <v>9267</v>
      </c>
      <c r="E63">
        <v>0.9</v>
      </c>
      <c r="F63">
        <v>200</v>
      </c>
      <c r="G63">
        <v>2</v>
      </c>
      <c r="H63" s="7">
        <v>6.6</v>
      </c>
      <c r="I63">
        <v>54</v>
      </c>
      <c r="J63">
        <v>1999</v>
      </c>
      <c r="L63" t="s">
        <v>9268</v>
      </c>
      <c r="M63" t="s">
        <v>9315</v>
      </c>
      <c r="N63" t="s">
        <v>9316</v>
      </c>
      <c r="O63" t="s">
        <v>9270</v>
      </c>
      <c r="P63" t="s">
        <v>29</v>
      </c>
    </row>
    <row r="64" spans="2:16">
      <c r="B64" t="s">
        <v>9315</v>
      </c>
      <c r="C64" t="s">
        <v>9266</v>
      </c>
      <c r="D64" t="s">
        <v>9267</v>
      </c>
      <c r="E64">
        <v>0.9</v>
      </c>
      <c r="F64">
        <v>200</v>
      </c>
      <c r="G64">
        <v>2</v>
      </c>
      <c r="H64" s="7">
        <v>7.8</v>
      </c>
      <c r="I64">
        <v>54</v>
      </c>
      <c r="J64">
        <v>2011</v>
      </c>
      <c r="L64" t="s">
        <v>9268</v>
      </c>
      <c r="M64" t="s">
        <v>9315</v>
      </c>
      <c r="N64" t="s">
        <v>9316</v>
      </c>
      <c r="O64" t="s">
        <v>9270</v>
      </c>
      <c r="P64" t="s">
        <v>29</v>
      </c>
    </row>
    <row r="65" spans="2:16">
      <c r="B65" t="s">
        <v>9315</v>
      </c>
      <c r="C65" t="s">
        <v>9266</v>
      </c>
      <c r="D65" t="s">
        <v>9267</v>
      </c>
      <c r="E65">
        <v>0.9</v>
      </c>
      <c r="F65">
        <v>200</v>
      </c>
      <c r="G65">
        <v>2</v>
      </c>
      <c r="H65" s="7">
        <v>9.6</v>
      </c>
      <c r="I65">
        <v>54</v>
      </c>
      <c r="J65">
        <v>1996</v>
      </c>
      <c r="L65" t="s">
        <v>9268</v>
      </c>
      <c r="M65" t="s">
        <v>9315</v>
      </c>
      <c r="N65" t="s">
        <v>9316</v>
      </c>
      <c r="O65" t="s">
        <v>9270</v>
      </c>
      <c r="P65" t="s">
        <v>29</v>
      </c>
    </row>
    <row r="66" spans="2:16">
      <c r="B66" t="s">
        <v>9315</v>
      </c>
      <c r="C66" t="s">
        <v>9266</v>
      </c>
      <c r="D66" t="s">
        <v>9267</v>
      </c>
      <c r="E66">
        <v>0.9</v>
      </c>
      <c r="F66">
        <v>200</v>
      </c>
      <c r="G66">
        <v>2</v>
      </c>
      <c r="H66" s="7">
        <v>15.6</v>
      </c>
      <c r="I66">
        <v>54</v>
      </c>
      <c r="J66">
        <v>2010</v>
      </c>
      <c r="L66" t="s">
        <v>9268</v>
      </c>
      <c r="M66" t="s">
        <v>9315</v>
      </c>
      <c r="N66" t="s">
        <v>9316</v>
      </c>
      <c r="O66" t="s">
        <v>9270</v>
      </c>
      <c r="P66" t="s">
        <v>29</v>
      </c>
    </row>
    <row r="67" spans="2:16">
      <c r="B67" t="s">
        <v>9315</v>
      </c>
      <c r="C67" t="s">
        <v>9266</v>
      </c>
      <c r="D67" t="s">
        <v>9267</v>
      </c>
      <c r="E67">
        <v>0.9</v>
      </c>
      <c r="F67">
        <v>200</v>
      </c>
      <c r="G67">
        <v>2</v>
      </c>
      <c r="H67" s="7">
        <v>23.4</v>
      </c>
      <c r="I67">
        <v>54</v>
      </c>
      <c r="J67">
        <v>2009</v>
      </c>
      <c r="L67" t="s">
        <v>9268</v>
      </c>
      <c r="M67" t="s">
        <v>9315</v>
      </c>
      <c r="N67" t="s">
        <v>9316</v>
      </c>
      <c r="O67" t="s">
        <v>9270</v>
      </c>
      <c r="P67" t="s">
        <v>29</v>
      </c>
    </row>
    <row r="68" spans="2:16">
      <c r="B68" t="s">
        <v>9315</v>
      </c>
      <c r="C68" t="s">
        <v>9266</v>
      </c>
      <c r="D68" t="s">
        <v>9267</v>
      </c>
      <c r="E68">
        <v>0.9</v>
      </c>
      <c r="F68">
        <v>200</v>
      </c>
      <c r="G68">
        <v>2</v>
      </c>
      <c r="H68" s="7">
        <v>33</v>
      </c>
      <c r="I68">
        <v>54</v>
      </c>
      <c r="J68">
        <v>2025</v>
      </c>
      <c r="L68" t="s">
        <v>9268</v>
      </c>
      <c r="M68" t="s">
        <v>9315</v>
      </c>
      <c r="N68" t="s">
        <v>9316</v>
      </c>
      <c r="O68" t="s">
        <v>9270</v>
      </c>
      <c r="P68" t="s">
        <v>29</v>
      </c>
    </row>
    <row r="69" spans="2:16">
      <c r="B69" t="s">
        <v>9317</v>
      </c>
      <c r="C69" t="s">
        <v>9266</v>
      </c>
      <c r="D69" t="s">
        <v>9267</v>
      </c>
      <c r="E69">
        <v>0.9</v>
      </c>
      <c r="F69">
        <v>200</v>
      </c>
      <c r="G69">
        <v>2</v>
      </c>
      <c r="H69" s="7">
        <v>0.94</v>
      </c>
      <c r="I69">
        <v>54</v>
      </c>
      <c r="J69">
        <v>2021</v>
      </c>
      <c r="L69" t="s">
        <v>9268</v>
      </c>
      <c r="M69" t="s">
        <v>9317</v>
      </c>
      <c r="N69" t="s">
        <v>9318</v>
      </c>
      <c r="O69" t="s">
        <v>9270</v>
      </c>
      <c r="P69" t="s">
        <v>29</v>
      </c>
    </row>
    <row r="70" spans="2:16">
      <c r="B70" t="s">
        <v>9317</v>
      </c>
      <c r="C70" t="s">
        <v>9266</v>
      </c>
      <c r="D70" t="s">
        <v>9267</v>
      </c>
      <c r="E70">
        <v>0.9</v>
      </c>
      <c r="F70">
        <v>200</v>
      </c>
      <c r="G70">
        <v>2</v>
      </c>
      <c r="H70" s="7">
        <v>1.5</v>
      </c>
      <c r="I70">
        <v>54</v>
      </c>
      <c r="J70">
        <v>2022</v>
      </c>
      <c r="L70" t="s">
        <v>9268</v>
      </c>
      <c r="M70" t="s">
        <v>9317</v>
      </c>
      <c r="N70" t="s">
        <v>9318</v>
      </c>
      <c r="O70" t="s">
        <v>9270</v>
      </c>
      <c r="P70" t="s">
        <v>29</v>
      </c>
    </row>
    <row r="71" spans="2:16">
      <c r="B71" t="s">
        <v>9317</v>
      </c>
      <c r="C71" t="s">
        <v>9266</v>
      </c>
      <c r="D71" t="s">
        <v>9267</v>
      </c>
      <c r="E71">
        <v>0.9</v>
      </c>
      <c r="F71">
        <v>200</v>
      </c>
      <c r="G71">
        <v>2</v>
      </c>
      <c r="H71" s="7">
        <v>6.6</v>
      </c>
      <c r="I71">
        <v>54</v>
      </c>
      <c r="J71">
        <v>2024</v>
      </c>
      <c r="L71" t="s">
        <v>9268</v>
      </c>
      <c r="M71" t="s">
        <v>9317</v>
      </c>
      <c r="N71" t="s">
        <v>9318</v>
      </c>
      <c r="O71" t="s">
        <v>9270</v>
      </c>
      <c r="P71" t="s">
        <v>29</v>
      </c>
    </row>
    <row r="72" spans="2:16">
      <c r="B72" t="s">
        <v>9317</v>
      </c>
      <c r="C72" t="s">
        <v>9266</v>
      </c>
      <c r="D72" t="s">
        <v>9267</v>
      </c>
      <c r="E72">
        <v>0.9</v>
      </c>
      <c r="F72">
        <v>200</v>
      </c>
      <c r="G72">
        <v>2</v>
      </c>
      <c r="H72" s="7">
        <v>9.6</v>
      </c>
      <c r="I72">
        <v>54</v>
      </c>
      <c r="J72">
        <v>2009</v>
      </c>
      <c r="L72" t="s">
        <v>9268</v>
      </c>
      <c r="M72" t="s">
        <v>9317</v>
      </c>
      <c r="N72" t="s">
        <v>9318</v>
      </c>
      <c r="O72" t="s">
        <v>9270</v>
      </c>
      <c r="P72" t="s">
        <v>29</v>
      </c>
    </row>
    <row r="73" spans="2:16">
      <c r="B73" t="s">
        <v>9317</v>
      </c>
      <c r="C73" t="s">
        <v>9266</v>
      </c>
      <c r="D73" t="s">
        <v>9267</v>
      </c>
      <c r="E73">
        <v>0.9</v>
      </c>
      <c r="F73">
        <v>200</v>
      </c>
      <c r="G73">
        <v>2</v>
      </c>
      <c r="H73" s="7">
        <v>16.5</v>
      </c>
      <c r="I73">
        <v>54</v>
      </c>
      <c r="J73">
        <v>2015</v>
      </c>
      <c r="L73" t="s">
        <v>9268</v>
      </c>
      <c r="M73" t="s">
        <v>9317</v>
      </c>
      <c r="N73" t="s">
        <v>9318</v>
      </c>
      <c r="O73" t="s">
        <v>9270</v>
      </c>
      <c r="P73" t="s">
        <v>29</v>
      </c>
    </row>
    <row r="74" spans="2:16">
      <c r="B74" t="s">
        <v>9319</v>
      </c>
      <c r="C74" t="s">
        <v>9266</v>
      </c>
      <c r="D74" t="s">
        <v>9267</v>
      </c>
      <c r="E74">
        <v>0.9</v>
      </c>
      <c r="F74">
        <v>200</v>
      </c>
      <c r="G74">
        <v>2</v>
      </c>
      <c r="H74" s="7">
        <v>3.3</v>
      </c>
      <c r="I74">
        <v>54</v>
      </c>
      <c r="J74">
        <v>1999</v>
      </c>
      <c r="L74" t="s">
        <v>9268</v>
      </c>
      <c r="M74" t="s">
        <v>9319</v>
      </c>
      <c r="N74" t="s">
        <v>9320</v>
      </c>
      <c r="O74" t="s">
        <v>9270</v>
      </c>
      <c r="P74" t="s">
        <v>29</v>
      </c>
    </row>
    <row r="75" spans="2:16">
      <c r="B75" t="s">
        <v>9319</v>
      </c>
      <c r="C75" t="s">
        <v>9266</v>
      </c>
      <c r="D75" t="s">
        <v>9267</v>
      </c>
      <c r="E75">
        <v>0.9</v>
      </c>
      <c r="F75">
        <v>200</v>
      </c>
      <c r="G75">
        <v>2</v>
      </c>
      <c r="H75" s="7">
        <v>3.5</v>
      </c>
      <c r="I75">
        <v>54</v>
      </c>
      <c r="J75">
        <v>2002</v>
      </c>
      <c r="L75" t="s">
        <v>9268</v>
      </c>
      <c r="M75" t="s">
        <v>9319</v>
      </c>
      <c r="N75" t="s">
        <v>9320</v>
      </c>
      <c r="O75" t="s">
        <v>9270</v>
      </c>
      <c r="P75" t="s">
        <v>29</v>
      </c>
    </row>
    <row r="76" spans="2:16">
      <c r="B76" t="s">
        <v>9319</v>
      </c>
      <c r="C76" t="s">
        <v>9266</v>
      </c>
      <c r="D76" t="s">
        <v>9267</v>
      </c>
      <c r="E76">
        <v>0.9</v>
      </c>
      <c r="F76">
        <v>200</v>
      </c>
      <c r="G76">
        <v>2</v>
      </c>
      <c r="H76" s="7">
        <v>3.5</v>
      </c>
      <c r="I76">
        <v>54</v>
      </c>
      <c r="J76">
        <v>2003</v>
      </c>
      <c r="L76" t="s">
        <v>9268</v>
      </c>
      <c r="M76" t="s">
        <v>9319</v>
      </c>
      <c r="N76" t="s">
        <v>9320</v>
      </c>
      <c r="O76" t="s">
        <v>9270</v>
      </c>
      <c r="P76" t="s">
        <v>29</v>
      </c>
    </row>
    <row r="77" spans="2:16">
      <c r="B77" t="s">
        <v>9319</v>
      </c>
      <c r="C77" t="s">
        <v>9266</v>
      </c>
      <c r="D77" t="s">
        <v>9267</v>
      </c>
      <c r="E77">
        <v>0.9</v>
      </c>
      <c r="F77">
        <v>200</v>
      </c>
      <c r="G77">
        <v>2</v>
      </c>
      <c r="H77" s="7">
        <v>5.2</v>
      </c>
      <c r="I77">
        <v>54</v>
      </c>
      <c r="J77">
        <v>2005</v>
      </c>
      <c r="L77" t="s">
        <v>9268</v>
      </c>
      <c r="M77" t="s">
        <v>9319</v>
      </c>
      <c r="N77" t="s">
        <v>9320</v>
      </c>
      <c r="O77" t="s">
        <v>9270</v>
      </c>
      <c r="P77" t="s">
        <v>29</v>
      </c>
    </row>
    <row r="78" spans="2:16">
      <c r="B78" t="s">
        <v>9321</v>
      </c>
      <c r="C78" t="s">
        <v>9266</v>
      </c>
      <c r="D78" t="s">
        <v>9267</v>
      </c>
      <c r="E78">
        <v>0.9</v>
      </c>
      <c r="F78">
        <v>200</v>
      </c>
      <c r="G78">
        <v>2</v>
      </c>
      <c r="H78" s="7">
        <v>2.8</v>
      </c>
      <c r="I78">
        <v>54</v>
      </c>
      <c r="J78">
        <v>2023</v>
      </c>
      <c r="L78" t="s">
        <v>9268</v>
      </c>
      <c r="M78" t="s">
        <v>9321</v>
      </c>
      <c r="N78" t="s">
        <v>9322</v>
      </c>
      <c r="O78" t="s">
        <v>9270</v>
      </c>
      <c r="P78" t="s">
        <v>29</v>
      </c>
    </row>
    <row r="79" spans="2:16">
      <c r="B79" t="s">
        <v>9321</v>
      </c>
      <c r="C79" t="s">
        <v>9266</v>
      </c>
      <c r="D79" t="s">
        <v>9267</v>
      </c>
      <c r="E79">
        <v>0.9</v>
      </c>
      <c r="F79">
        <v>200</v>
      </c>
      <c r="G79">
        <v>2</v>
      </c>
      <c r="H79" s="7">
        <v>5.2</v>
      </c>
      <c r="I79">
        <v>54</v>
      </c>
      <c r="J79">
        <v>2021</v>
      </c>
      <c r="L79" t="s">
        <v>9268</v>
      </c>
      <c r="M79" t="s">
        <v>9321</v>
      </c>
      <c r="N79" t="s">
        <v>9322</v>
      </c>
      <c r="O79" t="s">
        <v>9270</v>
      </c>
      <c r="P79" t="s">
        <v>29</v>
      </c>
    </row>
    <row r="80" spans="2:16">
      <c r="B80" t="s">
        <v>9321</v>
      </c>
      <c r="C80" t="s">
        <v>9266</v>
      </c>
      <c r="D80" t="s">
        <v>9267</v>
      </c>
      <c r="E80">
        <v>0.9</v>
      </c>
      <c r="F80">
        <v>200</v>
      </c>
      <c r="G80">
        <v>2</v>
      </c>
      <c r="H80" s="7">
        <v>6</v>
      </c>
      <c r="I80">
        <v>54</v>
      </c>
      <c r="J80">
        <v>2024</v>
      </c>
      <c r="L80" t="s">
        <v>9268</v>
      </c>
      <c r="M80" t="s">
        <v>9321</v>
      </c>
      <c r="N80" t="s">
        <v>9322</v>
      </c>
      <c r="O80" t="s">
        <v>9270</v>
      </c>
      <c r="P80" t="s">
        <v>29</v>
      </c>
    </row>
    <row r="81" spans="2:17">
      <c r="B81" t="s">
        <v>9321</v>
      </c>
      <c r="C81" t="s">
        <v>9266</v>
      </c>
      <c r="D81" t="s">
        <v>9267</v>
      </c>
      <c r="E81">
        <v>0.9</v>
      </c>
      <c r="F81">
        <v>200</v>
      </c>
      <c r="G81">
        <v>2</v>
      </c>
      <c r="H81" s="7">
        <v>9</v>
      </c>
      <c r="I81">
        <v>54</v>
      </c>
      <c r="J81">
        <v>2016</v>
      </c>
      <c r="L81" t="s">
        <v>9268</v>
      </c>
      <c r="M81" t="s">
        <v>9321</v>
      </c>
      <c r="N81" t="s">
        <v>9322</v>
      </c>
      <c r="O81" t="s">
        <v>9270</v>
      </c>
      <c r="P81" t="s">
        <v>29</v>
      </c>
    </row>
    <row r="82" spans="2:17">
      <c r="B82" t="s">
        <v>9321</v>
      </c>
      <c r="C82" t="s">
        <v>9266</v>
      </c>
      <c r="D82" t="s">
        <v>9267</v>
      </c>
      <c r="E82">
        <v>0.9</v>
      </c>
      <c r="F82">
        <v>200</v>
      </c>
      <c r="G82">
        <v>2</v>
      </c>
      <c r="H82" s="7">
        <v>9</v>
      </c>
      <c r="I82">
        <v>54</v>
      </c>
      <c r="J82">
        <v>2017</v>
      </c>
      <c r="L82" t="s">
        <v>9268</v>
      </c>
      <c r="M82" t="s">
        <v>9321</v>
      </c>
      <c r="N82" t="s">
        <v>9322</v>
      </c>
      <c r="O82" t="s">
        <v>9270</v>
      </c>
      <c r="P82" t="s">
        <v>29</v>
      </c>
    </row>
    <row r="83" spans="2:17">
      <c r="B83" t="s">
        <v>9321</v>
      </c>
      <c r="C83" t="s">
        <v>9266</v>
      </c>
      <c r="D83" t="s">
        <v>9267</v>
      </c>
      <c r="E83">
        <v>0.9</v>
      </c>
      <c r="F83">
        <v>200</v>
      </c>
      <c r="G83">
        <v>2</v>
      </c>
      <c r="H83" s="7">
        <v>10</v>
      </c>
      <c r="I83">
        <v>54</v>
      </c>
      <c r="J83">
        <v>2022</v>
      </c>
      <c r="L83" t="s">
        <v>9268</v>
      </c>
      <c r="M83" t="s">
        <v>9321</v>
      </c>
      <c r="N83" t="s">
        <v>9322</v>
      </c>
      <c r="O83" t="s">
        <v>9270</v>
      </c>
      <c r="P83" t="s">
        <v>29</v>
      </c>
    </row>
    <row r="84" spans="2:17">
      <c r="B84" t="s">
        <v>9321</v>
      </c>
      <c r="C84" t="s">
        <v>9266</v>
      </c>
      <c r="D84" t="s">
        <v>9267</v>
      </c>
      <c r="E84">
        <v>0.9</v>
      </c>
      <c r="F84">
        <v>200</v>
      </c>
      <c r="G84">
        <v>2</v>
      </c>
      <c r="H84" s="7">
        <v>10</v>
      </c>
      <c r="I84">
        <v>54</v>
      </c>
      <c r="J84">
        <v>2026</v>
      </c>
      <c r="L84" t="s">
        <v>9268</v>
      </c>
      <c r="M84" t="s">
        <v>9321</v>
      </c>
      <c r="N84" t="s">
        <v>9322</v>
      </c>
      <c r="O84" t="s">
        <v>9270</v>
      </c>
      <c r="P84" t="s">
        <v>29</v>
      </c>
    </row>
    <row r="85" spans="2:17">
      <c r="B85" t="s">
        <v>9321</v>
      </c>
      <c r="C85" t="s">
        <v>9266</v>
      </c>
      <c r="D85" t="s">
        <v>9267</v>
      </c>
      <c r="E85">
        <v>0.9</v>
      </c>
      <c r="F85">
        <v>200</v>
      </c>
      <c r="G85">
        <v>2</v>
      </c>
      <c r="H85" s="7">
        <v>13</v>
      </c>
      <c r="I85">
        <v>54</v>
      </c>
      <c r="J85">
        <v>2027</v>
      </c>
      <c r="L85" t="s">
        <v>9268</v>
      </c>
      <c r="M85" t="s">
        <v>9321</v>
      </c>
      <c r="N85" t="s">
        <v>9322</v>
      </c>
      <c r="O85" t="s">
        <v>9270</v>
      </c>
      <c r="P85" t="s">
        <v>29</v>
      </c>
    </row>
    <row r="86" spans="2:17">
      <c r="B86" t="s">
        <v>9321</v>
      </c>
      <c r="C86" t="s">
        <v>9266</v>
      </c>
      <c r="D86" t="s">
        <v>9267</v>
      </c>
      <c r="E86">
        <v>0.9</v>
      </c>
      <c r="F86">
        <v>200</v>
      </c>
      <c r="G86">
        <v>2</v>
      </c>
      <c r="H86" s="7">
        <v>14.75</v>
      </c>
      <c r="I86">
        <v>54</v>
      </c>
      <c r="J86">
        <v>2018</v>
      </c>
      <c r="L86" t="s">
        <v>9268</v>
      </c>
      <c r="M86" t="s">
        <v>9321</v>
      </c>
      <c r="N86" t="s">
        <v>9322</v>
      </c>
      <c r="O86" t="s">
        <v>9270</v>
      </c>
      <c r="P86" t="s">
        <v>29</v>
      </c>
    </row>
    <row r="87" spans="2:17">
      <c r="B87" t="s">
        <v>9321</v>
      </c>
      <c r="C87" t="s">
        <v>9266</v>
      </c>
      <c r="D87" t="s">
        <v>9267</v>
      </c>
      <c r="E87">
        <v>0.9</v>
      </c>
      <c r="F87">
        <v>200</v>
      </c>
      <c r="G87">
        <v>2</v>
      </c>
      <c r="H87" s="7">
        <v>20.15</v>
      </c>
      <c r="I87">
        <v>54</v>
      </c>
      <c r="J87">
        <v>2020</v>
      </c>
      <c r="L87" t="s">
        <v>9268</v>
      </c>
      <c r="M87" t="s">
        <v>9321</v>
      </c>
      <c r="N87" t="s">
        <v>9322</v>
      </c>
      <c r="O87" t="s">
        <v>9270</v>
      </c>
      <c r="P87" t="s">
        <v>29</v>
      </c>
    </row>
    <row r="88" spans="2:17">
      <c r="B88" t="s">
        <v>9321</v>
      </c>
      <c r="C88" t="s">
        <v>9266</v>
      </c>
      <c r="D88" t="s">
        <v>9267</v>
      </c>
      <c r="E88">
        <v>0.9</v>
      </c>
      <c r="F88">
        <v>200</v>
      </c>
      <c r="G88">
        <v>2</v>
      </c>
      <c r="H88" s="7">
        <v>20.55</v>
      </c>
      <c r="I88">
        <v>54</v>
      </c>
      <c r="J88">
        <v>2019</v>
      </c>
      <c r="L88" t="s">
        <v>9268</v>
      </c>
      <c r="M88" t="s">
        <v>9321</v>
      </c>
      <c r="N88" t="s">
        <v>9322</v>
      </c>
      <c r="O88" t="s">
        <v>9270</v>
      </c>
      <c r="P88" t="s">
        <v>29</v>
      </c>
    </row>
    <row r="89" spans="2:17">
      <c r="B89" t="s">
        <v>9321</v>
      </c>
      <c r="C89" t="s">
        <v>9266</v>
      </c>
      <c r="D89" t="s">
        <v>9267</v>
      </c>
      <c r="E89">
        <v>0.9</v>
      </c>
      <c r="F89">
        <v>200</v>
      </c>
      <c r="G89">
        <v>2</v>
      </c>
      <c r="H89" s="7">
        <v>32</v>
      </c>
      <c r="I89">
        <v>54</v>
      </c>
      <c r="J89">
        <v>2025</v>
      </c>
      <c r="L89" t="s">
        <v>9268</v>
      </c>
      <c r="M89" t="s">
        <v>9321</v>
      </c>
      <c r="N89" t="s">
        <v>9322</v>
      </c>
      <c r="O89" t="s">
        <v>9270</v>
      </c>
      <c r="P89" t="s">
        <v>29</v>
      </c>
    </row>
    <row r="90" spans="2:17">
      <c r="B90" t="s">
        <v>9323</v>
      </c>
      <c r="C90" t="s">
        <v>9267</v>
      </c>
      <c r="D90" t="s">
        <v>9266</v>
      </c>
      <c r="E90">
        <v>0.9755</v>
      </c>
      <c r="F90">
        <v>200</v>
      </c>
      <c r="G90">
        <v>2</v>
      </c>
      <c r="H90" s="7">
        <v>9.82941176470588</v>
      </c>
      <c r="I90">
        <v>54</v>
      </c>
      <c r="J90">
        <v>2009</v>
      </c>
      <c r="L90" t="s">
        <v>9268</v>
      </c>
      <c r="M90" t="s">
        <v>9323</v>
      </c>
      <c r="N90" t="s">
        <v>9324</v>
      </c>
      <c r="O90" t="s">
        <v>9270</v>
      </c>
      <c r="P90" t="s">
        <v>29</v>
      </c>
      <c r="Q90" t="s">
        <v>9267</v>
      </c>
    </row>
    <row r="91" spans="2:17">
      <c r="B91" t="s">
        <v>9325</v>
      </c>
      <c r="C91" t="s">
        <v>9267</v>
      </c>
      <c r="D91" t="s">
        <v>9266</v>
      </c>
      <c r="E91">
        <v>0.9755</v>
      </c>
      <c r="F91">
        <v>200</v>
      </c>
      <c r="G91">
        <v>2</v>
      </c>
      <c r="H91" s="7">
        <v>3.8</v>
      </c>
      <c r="I91">
        <v>54</v>
      </c>
      <c r="J91">
        <v>2016</v>
      </c>
      <c r="L91" t="s">
        <v>9268</v>
      </c>
      <c r="M91" t="s">
        <v>9325</v>
      </c>
      <c r="N91" t="s">
        <v>9326</v>
      </c>
      <c r="O91" t="s">
        <v>9270</v>
      </c>
      <c r="P91" t="s">
        <v>29</v>
      </c>
      <c r="Q91" t="s">
        <v>9267</v>
      </c>
    </row>
    <row r="92" spans="2:17">
      <c r="B92" t="s">
        <v>9325</v>
      </c>
      <c r="C92" t="s">
        <v>9267</v>
      </c>
      <c r="D92" t="s">
        <v>9266</v>
      </c>
      <c r="E92">
        <v>0.9755</v>
      </c>
      <c r="F92">
        <v>200</v>
      </c>
      <c r="G92">
        <v>2</v>
      </c>
      <c r="H92" s="7">
        <v>6.02941176470588</v>
      </c>
      <c r="I92">
        <v>54</v>
      </c>
      <c r="J92">
        <v>2010</v>
      </c>
      <c r="L92" t="s">
        <v>9268</v>
      </c>
      <c r="M92" t="s">
        <v>9325</v>
      </c>
      <c r="N92" t="s">
        <v>9326</v>
      </c>
      <c r="O92" t="s">
        <v>9270</v>
      </c>
      <c r="P92" t="s">
        <v>29</v>
      </c>
      <c r="Q92" t="s">
        <v>9267</v>
      </c>
    </row>
    <row r="93" spans="2:17">
      <c r="B93" t="s">
        <v>9327</v>
      </c>
      <c r="C93" t="s">
        <v>9267</v>
      </c>
      <c r="D93" t="s">
        <v>9266</v>
      </c>
      <c r="E93">
        <v>0.9755</v>
      </c>
      <c r="F93">
        <v>200</v>
      </c>
      <c r="G93">
        <v>2</v>
      </c>
      <c r="H93" s="7">
        <v>6.1</v>
      </c>
      <c r="I93">
        <v>54</v>
      </c>
      <c r="J93">
        <v>2011</v>
      </c>
      <c r="L93" t="s">
        <v>9268</v>
      </c>
      <c r="M93" t="s">
        <v>9327</v>
      </c>
      <c r="N93" t="s">
        <v>9328</v>
      </c>
      <c r="O93" t="s">
        <v>9270</v>
      </c>
      <c r="P93" t="s">
        <v>29</v>
      </c>
      <c r="Q93" t="s">
        <v>9267</v>
      </c>
    </row>
    <row r="94" spans="2:17">
      <c r="B94" t="s">
        <v>9329</v>
      </c>
      <c r="C94" t="s">
        <v>9267</v>
      </c>
      <c r="D94" t="s">
        <v>9266</v>
      </c>
      <c r="E94">
        <v>0.9755</v>
      </c>
      <c r="F94">
        <v>200</v>
      </c>
      <c r="G94">
        <v>2</v>
      </c>
      <c r="H94" s="7">
        <v>2</v>
      </c>
      <c r="I94">
        <v>54</v>
      </c>
      <c r="J94">
        <v>2023</v>
      </c>
      <c r="L94" t="s">
        <v>9268</v>
      </c>
      <c r="M94" t="s">
        <v>9329</v>
      </c>
      <c r="N94" t="s">
        <v>9330</v>
      </c>
      <c r="O94" t="s">
        <v>9270</v>
      </c>
      <c r="P94" t="s">
        <v>29</v>
      </c>
      <c r="Q94" t="s">
        <v>9267</v>
      </c>
    </row>
    <row r="95" spans="2:17">
      <c r="B95" t="s">
        <v>9331</v>
      </c>
      <c r="C95" t="s">
        <v>9267</v>
      </c>
      <c r="D95" t="s">
        <v>9266</v>
      </c>
      <c r="E95">
        <v>0.9755</v>
      </c>
      <c r="F95">
        <v>200</v>
      </c>
      <c r="G95">
        <v>2</v>
      </c>
      <c r="H95" s="7">
        <v>3.8</v>
      </c>
      <c r="I95">
        <v>54</v>
      </c>
      <c r="J95">
        <v>2018</v>
      </c>
      <c r="L95" t="s">
        <v>9268</v>
      </c>
      <c r="M95" t="s">
        <v>9331</v>
      </c>
      <c r="N95" t="s">
        <v>9332</v>
      </c>
      <c r="O95" t="s">
        <v>9270</v>
      </c>
      <c r="P95" t="s">
        <v>29</v>
      </c>
      <c r="Q95" t="s">
        <v>9267</v>
      </c>
    </row>
    <row r="96" spans="2:17">
      <c r="B96" t="s">
        <v>9331</v>
      </c>
      <c r="C96" t="s">
        <v>9267</v>
      </c>
      <c r="D96" t="s">
        <v>9266</v>
      </c>
      <c r="E96">
        <v>0.9755</v>
      </c>
      <c r="F96">
        <v>200</v>
      </c>
      <c r="G96">
        <v>2</v>
      </c>
      <c r="H96" s="7">
        <v>3.8</v>
      </c>
      <c r="I96">
        <v>54</v>
      </c>
      <c r="J96">
        <v>2019</v>
      </c>
      <c r="L96" t="s">
        <v>9268</v>
      </c>
      <c r="M96" t="s">
        <v>9331</v>
      </c>
      <c r="N96" t="s">
        <v>9332</v>
      </c>
      <c r="O96" t="s">
        <v>9270</v>
      </c>
      <c r="P96" t="s">
        <v>29</v>
      </c>
      <c r="Q96" t="s">
        <v>9267</v>
      </c>
    </row>
    <row r="97" spans="2:17">
      <c r="B97" t="s">
        <v>9333</v>
      </c>
      <c r="C97" t="s">
        <v>9267</v>
      </c>
      <c r="D97" t="s">
        <v>9266</v>
      </c>
      <c r="E97">
        <v>0.9755</v>
      </c>
      <c r="F97">
        <v>200</v>
      </c>
      <c r="G97">
        <v>2</v>
      </c>
      <c r="H97" s="7">
        <v>5.6</v>
      </c>
      <c r="I97">
        <v>54</v>
      </c>
      <c r="J97">
        <v>2013</v>
      </c>
      <c r="L97" t="s">
        <v>9268</v>
      </c>
      <c r="M97" t="s">
        <v>9333</v>
      </c>
      <c r="N97" t="s">
        <v>9334</v>
      </c>
      <c r="O97" t="s">
        <v>9270</v>
      </c>
      <c r="P97" t="s">
        <v>29</v>
      </c>
      <c r="Q97" t="s">
        <v>9267</v>
      </c>
    </row>
    <row r="98" spans="2:17">
      <c r="B98" t="s">
        <v>9333</v>
      </c>
      <c r="C98" t="s">
        <v>9267</v>
      </c>
      <c r="D98" t="s">
        <v>9266</v>
      </c>
      <c r="E98">
        <v>0.9755</v>
      </c>
      <c r="F98">
        <v>200</v>
      </c>
      <c r="G98">
        <v>2</v>
      </c>
      <c r="H98" s="7">
        <v>11.2</v>
      </c>
      <c r="I98">
        <v>54</v>
      </c>
      <c r="J98">
        <v>2020</v>
      </c>
      <c r="L98" t="s">
        <v>9268</v>
      </c>
      <c r="M98" t="s">
        <v>9333</v>
      </c>
      <c r="N98" t="s">
        <v>9334</v>
      </c>
      <c r="O98" t="s">
        <v>9270</v>
      </c>
      <c r="P98" t="s">
        <v>29</v>
      </c>
      <c r="Q98" t="s">
        <v>9267</v>
      </c>
    </row>
    <row r="99" spans="2:17">
      <c r="B99" t="s">
        <v>9333</v>
      </c>
      <c r="C99" t="s">
        <v>9267</v>
      </c>
      <c r="D99" t="s">
        <v>9266</v>
      </c>
      <c r="E99">
        <v>0.9755</v>
      </c>
      <c r="F99">
        <v>200</v>
      </c>
      <c r="G99">
        <v>2</v>
      </c>
      <c r="H99" s="7">
        <v>11.3</v>
      </c>
      <c r="I99">
        <v>54</v>
      </c>
      <c r="J99">
        <v>2023</v>
      </c>
      <c r="L99" t="s">
        <v>9268</v>
      </c>
      <c r="M99" t="s">
        <v>9333</v>
      </c>
      <c r="N99" t="s">
        <v>9334</v>
      </c>
      <c r="O99" t="s">
        <v>9270</v>
      </c>
      <c r="P99" t="s">
        <v>29</v>
      </c>
      <c r="Q99" t="s">
        <v>9267</v>
      </c>
    </row>
    <row r="100" spans="2:17">
      <c r="B100" t="s">
        <v>9335</v>
      </c>
      <c r="C100" t="s">
        <v>9267</v>
      </c>
      <c r="D100" t="s">
        <v>9266</v>
      </c>
      <c r="E100">
        <v>0.9755</v>
      </c>
      <c r="F100">
        <v>200</v>
      </c>
      <c r="G100">
        <v>2</v>
      </c>
      <c r="H100" s="7">
        <v>6</v>
      </c>
      <c r="I100">
        <v>54</v>
      </c>
      <c r="J100">
        <v>2013</v>
      </c>
      <c r="L100" t="s">
        <v>9268</v>
      </c>
      <c r="M100" t="s">
        <v>9335</v>
      </c>
      <c r="N100" t="s">
        <v>9336</v>
      </c>
      <c r="O100" t="s">
        <v>9270</v>
      </c>
      <c r="P100" t="s">
        <v>29</v>
      </c>
      <c r="Q100" t="s">
        <v>9267</v>
      </c>
    </row>
    <row r="101" spans="2:17">
      <c r="B101" t="s">
        <v>9337</v>
      </c>
      <c r="C101" t="s">
        <v>9267</v>
      </c>
      <c r="D101" t="s">
        <v>9266</v>
      </c>
      <c r="E101">
        <v>0.9755</v>
      </c>
      <c r="F101">
        <v>200</v>
      </c>
      <c r="G101">
        <v>2</v>
      </c>
      <c r="H101" s="7">
        <v>4</v>
      </c>
      <c r="I101">
        <v>54</v>
      </c>
      <c r="J101">
        <v>2016</v>
      </c>
      <c r="L101" t="s">
        <v>9268</v>
      </c>
      <c r="M101" t="s">
        <v>9337</v>
      </c>
      <c r="N101" t="s">
        <v>9338</v>
      </c>
      <c r="O101" t="s">
        <v>9270</v>
      </c>
      <c r="P101" t="s">
        <v>29</v>
      </c>
      <c r="Q101" t="s">
        <v>9267</v>
      </c>
    </row>
    <row r="102" spans="2:17">
      <c r="B102" t="s">
        <v>9339</v>
      </c>
      <c r="C102" t="s">
        <v>9267</v>
      </c>
      <c r="D102" t="s">
        <v>9266</v>
      </c>
      <c r="E102">
        <v>0.9755</v>
      </c>
      <c r="F102">
        <v>200</v>
      </c>
      <c r="G102">
        <v>2</v>
      </c>
      <c r="H102" s="7">
        <v>1.3</v>
      </c>
      <c r="I102">
        <v>54</v>
      </c>
      <c r="J102">
        <v>2022</v>
      </c>
      <c r="L102" t="s">
        <v>9268</v>
      </c>
      <c r="M102" t="s">
        <v>9339</v>
      </c>
      <c r="N102" t="s">
        <v>9340</v>
      </c>
      <c r="O102" t="s">
        <v>9270</v>
      </c>
      <c r="P102" t="s">
        <v>29</v>
      </c>
      <c r="Q102" t="s">
        <v>9267</v>
      </c>
    </row>
    <row r="103" spans="2:17">
      <c r="B103" t="s">
        <v>9341</v>
      </c>
      <c r="C103" t="s">
        <v>9267</v>
      </c>
      <c r="D103" t="s">
        <v>9266</v>
      </c>
      <c r="E103">
        <v>0.9755</v>
      </c>
      <c r="F103">
        <v>200</v>
      </c>
      <c r="G103">
        <v>2</v>
      </c>
      <c r="H103" s="7">
        <v>5.4825</v>
      </c>
      <c r="I103">
        <v>54</v>
      </c>
      <c r="J103">
        <v>2022</v>
      </c>
      <c r="L103" t="s">
        <v>9268</v>
      </c>
      <c r="M103" t="s">
        <v>9341</v>
      </c>
      <c r="N103" t="s">
        <v>9342</v>
      </c>
      <c r="O103" t="s">
        <v>9270</v>
      </c>
      <c r="P103" t="s">
        <v>29</v>
      </c>
      <c r="Q103" t="s">
        <v>9267</v>
      </c>
    </row>
    <row r="104" spans="2:17">
      <c r="B104" t="s">
        <v>9341</v>
      </c>
      <c r="C104" t="s">
        <v>9267</v>
      </c>
      <c r="D104" t="s">
        <v>9266</v>
      </c>
      <c r="E104">
        <v>0.9755</v>
      </c>
      <c r="F104">
        <v>200</v>
      </c>
      <c r="G104">
        <v>2</v>
      </c>
      <c r="H104" s="7">
        <v>8.772</v>
      </c>
      <c r="I104">
        <v>54</v>
      </c>
      <c r="J104">
        <v>2023</v>
      </c>
      <c r="L104" t="s">
        <v>9268</v>
      </c>
      <c r="M104" t="s">
        <v>9341</v>
      </c>
      <c r="N104" t="s">
        <v>9342</v>
      </c>
      <c r="O104" t="s">
        <v>9270</v>
      </c>
      <c r="P104" t="s">
        <v>29</v>
      </c>
      <c r="Q104" t="s">
        <v>9267</v>
      </c>
    </row>
    <row r="105" spans="2:17">
      <c r="B105" t="s">
        <v>9343</v>
      </c>
      <c r="C105" t="s">
        <v>9267</v>
      </c>
      <c r="D105" t="s">
        <v>9266</v>
      </c>
      <c r="E105">
        <v>0.9755</v>
      </c>
      <c r="F105">
        <v>200</v>
      </c>
      <c r="G105">
        <v>2</v>
      </c>
      <c r="H105" s="7">
        <v>5.7</v>
      </c>
      <c r="I105">
        <v>54</v>
      </c>
      <c r="J105">
        <v>2015</v>
      </c>
      <c r="L105" t="s">
        <v>9268</v>
      </c>
      <c r="M105" t="s">
        <v>9343</v>
      </c>
      <c r="N105" t="s">
        <v>9344</v>
      </c>
      <c r="O105" t="s">
        <v>9270</v>
      </c>
      <c r="P105" t="s">
        <v>29</v>
      </c>
      <c r="Q105" t="s">
        <v>9267</v>
      </c>
    </row>
    <row r="106" spans="2:17">
      <c r="B106" t="s">
        <v>9345</v>
      </c>
      <c r="C106" t="s">
        <v>9267</v>
      </c>
      <c r="D106" t="s">
        <v>9266</v>
      </c>
      <c r="E106">
        <v>0.9755</v>
      </c>
      <c r="F106">
        <v>200</v>
      </c>
      <c r="G106">
        <v>2</v>
      </c>
      <c r="H106" s="7">
        <v>4.48529411764706</v>
      </c>
      <c r="I106">
        <v>54</v>
      </c>
      <c r="J106">
        <v>2023</v>
      </c>
      <c r="L106" t="s">
        <v>9268</v>
      </c>
      <c r="M106" t="s">
        <v>9345</v>
      </c>
      <c r="N106" t="s">
        <v>9346</v>
      </c>
      <c r="O106" t="s">
        <v>9270</v>
      </c>
      <c r="P106" t="s">
        <v>29</v>
      </c>
      <c r="Q106" t="s">
        <v>9267</v>
      </c>
    </row>
    <row r="107" spans="2:17">
      <c r="B107" t="s">
        <v>9347</v>
      </c>
      <c r="C107" t="s">
        <v>9267</v>
      </c>
      <c r="D107" t="s">
        <v>9266</v>
      </c>
      <c r="E107">
        <v>0.9755</v>
      </c>
      <c r="F107">
        <v>200</v>
      </c>
      <c r="G107">
        <v>2</v>
      </c>
      <c r="H107" s="7">
        <v>2.1199</v>
      </c>
      <c r="I107">
        <v>54</v>
      </c>
      <c r="J107">
        <v>2021</v>
      </c>
      <c r="L107" t="s">
        <v>9268</v>
      </c>
      <c r="M107" t="s">
        <v>9347</v>
      </c>
      <c r="N107" t="s">
        <v>9348</v>
      </c>
      <c r="O107" t="s">
        <v>9270</v>
      </c>
      <c r="P107" t="s">
        <v>29</v>
      </c>
      <c r="Q107" t="s">
        <v>9267</v>
      </c>
    </row>
    <row r="108" spans="2:17">
      <c r="B108" t="s">
        <v>9349</v>
      </c>
      <c r="C108" t="s">
        <v>9267</v>
      </c>
      <c r="D108" t="s">
        <v>9266</v>
      </c>
      <c r="E108">
        <v>0.9755</v>
      </c>
      <c r="F108">
        <v>200</v>
      </c>
      <c r="G108">
        <v>2</v>
      </c>
      <c r="H108" s="7">
        <v>0.3</v>
      </c>
      <c r="I108">
        <v>54</v>
      </c>
      <c r="J108">
        <v>2016</v>
      </c>
      <c r="L108" t="s">
        <v>9268</v>
      </c>
      <c r="M108" t="s">
        <v>9349</v>
      </c>
      <c r="N108" t="s">
        <v>9350</v>
      </c>
      <c r="O108" t="s">
        <v>9270</v>
      </c>
      <c r="P108" t="s">
        <v>29</v>
      </c>
      <c r="Q108" t="s">
        <v>9267</v>
      </c>
    </row>
    <row r="109" spans="2:17">
      <c r="B109" t="s">
        <v>9349</v>
      </c>
      <c r="C109" t="s">
        <v>9267</v>
      </c>
      <c r="D109" t="s">
        <v>9266</v>
      </c>
      <c r="E109">
        <v>0.9755</v>
      </c>
      <c r="F109">
        <v>200</v>
      </c>
      <c r="G109">
        <v>2</v>
      </c>
      <c r="H109" s="7">
        <v>2.1</v>
      </c>
      <c r="I109">
        <v>54</v>
      </c>
      <c r="J109">
        <v>2022</v>
      </c>
      <c r="L109" t="s">
        <v>9268</v>
      </c>
      <c r="M109" t="s">
        <v>9349</v>
      </c>
      <c r="N109" t="s">
        <v>9350</v>
      </c>
      <c r="O109" t="s">
        <v>9270</v>
      </c>
      <c r="P109" t="s">
        <v>29</v>
      </c>
      <c r="Q109" t="s">
        <v>9267</v>
      </c>
    </row>
    <row r="110" spans="2:17">
      <c r="B110" t="s">
        <v>9349</v>
      </c>
      <c r="C110" t="s">
        <v>9267</v>
      </c>
      <c r="D110" t="s">
        <v>9266</v>
      </c>
      <c r="E110">
        <v>0.9755</v>
      </c>
      <c r="F110">
        <v>200</v>
      </c>
      <c r="G110">
        <v>2</v>
      </c>
      <c r="H110" s="7">
        <v>2.9</v>
      </c>
      <c r="I110">
        <v>54</v>
      </c>
      <c r="J110">
        <v>2014</v>
      </c>
      <c r="L110" t="s">
        <v>9268</v>
      </c>
      <c r="M110" t="s">
        <v>9349</v>
      </c>
      <c r="N110" t="s">
        <v>9350</v>
      </c>
      <c r="O110" t="s">
        <v>9270</v>
      </c>
      <c r="P110" t="s">
        <v>29</v>
      </c>
      <c r="Q110" t="s">
        <v>9267</v>
      </c>
    </row>
    <row r="111" spans="2:17">
      <c r="B111" t="s">
        <v>9349</v>
      </c>
      <c r="C111" t="s">
        <v>9267</v>
      </c>
      <c r="D111" t="s">
        <v>9266</v>
      </c>
      <c r="E111">
        <v>0.9755</v>
      </c>
      <c r="F111">
        <v>200</v>
      </c>
      <c r="G111">
        <v>2</v>
      </c>
      <c r="H111" s="7">
        <v>3</v>
      </c>
      <c r="I111">
        <v>54</v>
      </c>
      <c r="J111">
        <v>2012</v>
      </c>
      <c r="L111" t="s">
        <v>9268</v>
      </c>
      <c r="M111" t="s">
        <v>9349</v>
      </c>
      <c r="N111" t="s">
        <v>9350</v>
      </c>
      <c r="O111" t="s">
        <v>9270</v>
      </c>
      <c r="P111" t="s">
        <v>29</v>
      </c>
      <c r="Q111" t="s">
        <v>9267</v>
      </c>
    </row>
    <row r="112" spans="2:17">
      <c r="B112" t="s">
        <v>9351</v>
      </c>
      <c r="C112" t="s">
        <v>9267</v>
      </c>
      <c r="D112" t="s">
        <v>9266</v>
      </c>
      <c r="E112">
        <v>0.9755</v>
      </c>
      <c r="F112">
        <v>200</v>
      </c>
      <c r="G112">
        <v>2</v>
      </c>
      <c r="H112" s="7">
        <v>11</v>
      </c>
      <c r="I112">
        <v>54</v>
      </c>
      <c r="J112">
        <v>2022</v>
      </c>
      <c r="L112" t="s">
        <v>9268</v>
      </c>
      <c r="M112" t="s">
        <v>9351</v>
      </c>
      <c r="N112" t="s">
        <v>9352</v>
      </c>
      <c r="O112" t="s">
        <v>9270</v>
      </c>
      <c r="P112" t="s">
        <v>29</v>
      </c>
      <c r="Q112" t="s">
        <v>9267</v>
      </c>
    </row>
    <row r="113" spans="2:17">
      <c r="B113" t="s">
        <v>9353</v>
      </c>
      <c r="C113" t="s">
        <v>9267</v>
      </c>
      <c r="D113" t="s">
        <v>9266</v>
      </c>
      <c r="E113">
        <v>0.9755</v>
      </c>
      <c r="F113">
        <v>200</v>
      </c>
      <c r="G113">
        <v>2</v>
      </c>
      <c r="H113" s="7">
        <v>3.5</v>
      </c>
      <c r="I113">
        <v>54</v>
      </c>
      <c r="J113">
        <v>2013</v>
      </c>
      <c r="L113" t="s">
        <v>9268</v>
      </c>
      <c r="M113" t="s">
        <v>9353</v>
      </c>
      <c r="N113" t="s">
        <v>9354</v>
      </c>
      <c r="O113" t="s">
        <v>9270</v>
      </c>
      <c r="P113" t="s">
        <v>29</v>
      </c>
      <c r="Q113" t="s">
        <v>9267</v>
      </c>
    </row>
    <row r="114" spans="2:17">
      <c r="B114" t="s">
        <v>9355</v>
      </c>
      <c r="C114" t="s">
        <v>9267</v>
      </c>
      <c r="D114" t="s">
        <v>9266</v>
      </c>
      <c r="E114">
        <v>0.9755</v>
      </c>
      <c r="F114">
        <v>200</v>
      </c>
      <c r="G114">
        <v>2</v>
      </c>
      <c r="H114" s="7">
        <v>2.79852520588235</v>
      </c>
      <c r="I114">
        <v>54</v>
      </c>
      <c r="J114">
        <v>2013</v>
      </c>
      <c r="L114" t="s">
        <v>9268</v>
      </c>
      <c r="M114" t="s">
        <v>9355</v>
      </c>
      <c r="N114" t="s">
        <v>9356</v>
      </c>
      <c r="O114" t="s">
        <v>9270</v>
      </c>
      <c r="P114" t="s">
        <v>29</v>
      </c>
      <c r="Q114" t="s">
        <v>9267</v>
      </c>
    </row>
    <row r="115" spans="2:17">
      <c r="B115" t="s">
        <v>9357</v>
      </c>
      <c r="C115" t="s">
        <v>9267</v>
      </c>
      <c r="D115" t="s">
        <v>9266</v>
      </c>
      <c r="E115">
        <v>0.9755</v>
      </c>
      <c r="F115">
        <v>200</v>
      </c>
      <c r="G115">
        <v>2</v>
      </c>
      <c r="H115" s="7">
        <v>3.60294117647059</v>
      </c>
      <c r="I115">
        <v>54</v>
      </c>
      <c r="J115">
        <v>2019</v>
      </c>
      <c r="L115" t="s">
        <v>9268</v>
      </c>
      <c r="M115" t="s">
        <v>9357</v>
      </c>
      <c r="N115" t="s">
        <v>9358</v>
      </c>
      <c r="O115" t="s">
        <v>9270</v>
      </c>
      <c r="P115" t="s">
        <v>29</v>
      </c>
      <c r="Q115" t="s">
        <v>9267</v>
      </c>
    </row>
    <row r="116" spans="2:17">
      <c r="B116" t="s">
        <v>9359</v>
      </c>
      <c r="C116" t="s">
        <v>9267</v>
      </c>
      <c r="D116" t="s">
        <v>9266</v>
      </c>
      <c r="E116">
        <v>0.9755</v>
      </c>
      <c r="F116">
        <v>200</v>
      </c>
      <c r="G116">
        <v>2</v>
      </c>
      <c r="H116" s="7">
        <v>3.8</v>
      </c>
      <c r="I116">
        <v>54</v>
      </c>
      <c r="J116">
        <v>2015</v>
      </c>
      <c r="L116" t="s">
        <v>9268</v>
      </c>
      <c r="M116" t="s">
        <v>9359</v>
      </c>
      <c r="N116" t="s">
        <v>9360</v>
      </c>
      <c r="O116" t="s">
        <v>9270</v>
      </c>
      <c r="P116" t="s">
        <v>29</v>
      </c>
      <c r="Q116" t="s">
        <v>9267</v>
      </c>
    </row>
    <row r="117" spans="2:17">
      <c r="B117" t="s">
        <v>9361</v>
      </c>
      <c r="C117" t="s">
        <v>9267</v>
      </c>
      <c r="D117" t="s">
        <v>9266</v>
      </c>
      <c r="E117">
        <v>0.9755</v>
      </c>
      <c r="F117">
        <v>200</v>
      </c>
      <c r="G117">
        <v>2</v>
      </c>
      <c r="H117" s="7">
        <v>2.94117647058824</v>
      </c>
      <c r="I117">
        <v>54</v>
      </c>
      <c r="J117">
        <v>2014</v>
      </c>
      <c r="L117" t="s">
        <v>9268</v>
      </c>
      <c r="M117" t="s">
        <v>9361</v>
      </c>
      <c r="N117" t="s">
        <v>9362</v>
      </c>
      <c r="O117" t="s">
        <v>9270</v>
      </c>
      <c r="P117" t="s">
        <v>29</v>
      </c>
      <c r="Q117" t="s">
        <v>9267</v>
      </c>
    </row>
    <row r="118" spans="2:17">
      <c r="B118" t="s">
        <v>9363</v>
      </c>
      <c r="C118" t="s">
        <v>9267</v>
      </c>
      <c r="D118" t="s">
        <v>9266</v>
      </c>
      <c r="E118">
        <v>0.9755</v>
      </c>
      <c r="F118">
        <v>200</v>
      </c>
      <c r="G118">
        <v>2</v>
      </c>
      <c r="H118" s="7">
        <v>6.70882352941176</v>
      </c>
      <c r="I118">
        <v>54</v>
      </c>
      <c r="J118">
        <v>2022</v>
      </c>
      <c r="L118" t="s">
        <v>9268</v>
      </c>
      <c r="M118" t="s">
        <v>9363</v>
      </c>
      <c r="N118" t="s">
        <v>9364</v>
      </c>
      <c r="O118" t="s">
        <v>9270</v>
      </c>
      <c r="P118" t="s">
        <v>29</v>
      </c>
      <c r="Q118" t="s">
        <v>9267</v>
      </c>
    </row>
    <row r="119" spans="2:17">
      <c r="B119" t="s">
        <v>9365</v>
      </c>
      <c r="C119" t="s">
        <v>9267</v>
      </c>
      <c r="D119" t="s">
        <v>9266</v>
      </c>
      <c r="E119">
        <v>0.9755</v>
      </c>
      <c r="F119">
        <v>200</v>
      </c>
      <c r="G119">
        <v>2</v>
      </c>
      <c r="H119" s="7">
        <v>4.8</v>
      </c>
      <c r="I119">
        <v>54</v>
      </c>
      <c r="J119">
        <v>2015</v>
      </c>
      <c r="L119" t="s">
        <v>9268</v>
      </c>
      <c r="M119" t="s">
        <v>9365</v>
      </c>
      <c r="N119" t="s">
        <v>9366</v>
      </c>
      <c r="O119" t="s">
        <v>9270</v>
      </c>
      <c r="P119" t="s">
        <v>29</v>
      </c>
      <c r="Q119" t="s">
        <v>9267</v>
      </c>
    </row>
    <row r="120" spans="2:17">
      <c r="B120" t="s">
        <v>9365</v>
      </c>
      <c r="C120" t="s">
        <v>9267</v>
      </c>
      <c r="D120" t="s">
        <v>9266</v>
      </c>
      <c r="E120">
        <v>0.9755</v>
      </c>
      <c r="F120">
        <v>200</v>
      </c>
      <c r="G120">
        <v>2</v>
      </c>
      <c r="H120" s="7">
        <v>5</v>
      </c>
      <c r="I120">
        <v>54</v>
      </c>
      <c r="J120">
        <v>2017</v>
      </c>
      <c r="L120" t="s">
        <v>9268</v>
      </c>
      <c r="M120" t="s">
        <v>9365</v>
      </c>
      <c r="N120" t="s">
        <v>9366</v>
      </c>
      <c r="O120" t="s">
        <v>9270</v>
      </c>
      <c r="P120" t="s">
        <v>29</v>
      </c>
      <c r="Q120" t="s">
        <v>9267</v>
      </c>
    </row>
    <row r="121" spans="2:17">
      <c r="B121" t="s">
        <v>9367</v>
      </c>
      <c r="C121" t="s">
        <v>9267</v>
      </c>
      <c r="D121" t="s">
        <v>9266</v>
      </c>
      <c r="E121">
        <v>0.9755</v>
      </c>
      <c r="F121">
        <v>200</v>
      </c>
      <c r="G121">
        <v>2</v>
      </c>
      <c r="H121" s="7">
        <v>5.26</v>
      </c>
      <c r="I121">
        <v>54</v>
      </c>
      <c r="J121">
        <v>2023</v>
      </c>
      <c r="L121" t="s">
        <v>9268</v>
      </c>
      <c r="M121" t="s">
        <v>9367</v>
      </c>
      <c r="N121" t="s">
        <v>9368</v>
      </c>
      <c r="O121" t="s">
        <v>9270</v>
      </c>
      <c r="P121" t="s">
        <v>29</v>
      </c>
      <c r="Q121" t="s">
        <v>9267</v>
      </c>
    </row>
    <row r="122" spans="2:17">
      <c r="B122" t="s">
        <v>9369</v>
      </c>
      <c r="C122" t="s">
        <v>9267</v>
      </c>
      <c r="D122" t="s">
        <v>9266</v>
      </c>
      <c r="E122">
        <v>0.9755</v>
      </c>
      <c r="F122">
        <v>200</v>
      </c>
      <c r="G122">
        <v>2</v>
      </c>
      <c r="H122" s="7">
        <v>0</v>
      </c>
      <c r="I122">
        <v>54</v>
      </c>
      <c r="J122">
        <v>2021</v>
      </c>
      <c r="L122" t="s">
        <v>9268</v>
      </c>
      <c r="M122" t="s">
        <v>9369</v>
      </c>
      <c r="N122" t="s">
        <v>9370</v>
      </c>
      <c r="O122" t="s">
        <v>9270</v>
      </c>
      <c r="P122" t="s">
        <v>29</v>
      </c>
      <c r="Q122" t="s">
        <v>9267</v>
      </c>
    </row>
    <row r="123" spans="2:17">
      <c r="B123" t="s">
        <v>9371</v>
      </c>
      <c r="C123" t="s">
        <v>9267</v>
      </c>
      <c r="D123" t="s">
        <v>9266</v>
      </c>
      <c r="E123">
        <v>0.9755</v>
      </c>
      <c r="F123">
        <v>200</v>
      </c>
      <c r="G123">
        <v>2</v>
      </c>
      <c r="H123" s="7">
        <v>0.5</v>
      </c>
      <c r="I123">
        <v>54</v>
      </c>
      <c r="J123">
        <v>2022</v>
      </c>
      <c r="L123" t="s">
        <v>9268</v>
      </c>
      <c r="M123" t="s">
        <v>9371</v>
      </c>
      <c r="N123" t="s">
        <v>9372</v>
      </c>
      <c r="O123" t="s">
        <v>9270</v>
      </c>
      <c r="P123" t="s">
        <v>29</v>
      </c>
      <c r="Q123" t="s">
        <v>9267</v>
      </c>
    </row>
    <row r="124" spans="2:17">
      <c r="B124" t="s">
        <v>9373</v>
      </c>
      <c r="C124" t="s">
        <v>9267</v>
      </c>
      <c r="D124" t="s">
        <v>9266</v>
      </c>
      <c r="E124">
        <v>0.9755</v>
      </c>
      <c r="F124">
        <v>200</v>
      </c>
      <c r="G124">
        <v>2</v>
      </c>
      <c r="H124" s="7">
        <v>4.1</v>
      </c>
      <c r="I124">
        <v>54</v>
      </c>
      <c r="J124">
        <v>2018</v>
      </c>
      <c r="L124" t="s">
        <v>9268</v>
      </c>
      <c r="M124" t="s">
        <v>9373</v>
      </c>
      <c r="N124" t="s">
        <v>9374</v>
      </c>
      <c r="O124" t="s">
        <v>9270</v>
      </c>
      <c r="P124" t="s">
        <v>29</v>
      </c>
      <c r="Q124" t="s">
        <v>9267</v>
      </c>
    </row>
    <row r="125" spans="2:17">
      <c r="B125" t="s">
        <v>9373</v>
      </c>
      <c r="C125" t="s">
        <v>9267</v>
      </c>
      <c r="D125" t="s">
        <v>9266</v>
      </c>
      <c r="E125">
        <v>0.9755</v>
      </c>
      <c r="F125">
        <v>200</v>
      </c>
      <c r="G125">
        <v>2</v>
      </c>
      <c r="H125" s="7">
        <v>4.85294117647059</v>
      </c>
      <c r="I125">
        <v>54</v>
      </c>
      <c r="J125">
        <v>2015</v>
      </c>
      <c r="L125" t="s">
        <v>9268</v>
      </c>
      <c r="M125" t="s">
        <v>9373</v>
      </c>
      <c r="N125" t="s">
        <v>9374</v>
      </c>
      <c r="O125" t="s">
        <v>9270</v>
      </c>
      <c r="P125" t="s">
        <v>29</v>
      </c>
      <c r="Q125" t="s">
        <v>9267</v>
      </c>
    </row>
    <row r="126" spans="2:17">
      <c r="B126" t="s">
        <v>9373</v>
      </c>
      <c r="C126" t="s">
        <v>9267</v>
      </c>
      <c r="D126" t="s">
        <v>9266</v>
      </c>
      <c r="E126">
        <v>0.9755</v>
      </c>
      <c r="F126">
        <v>200</v>
      </c>
      <c r="G126">
        <v>2</v>
      </c>
      <c r="H126" s="7">
        <v>5.7</v>
      </c>
      <c r="I126">
        <v>54</v>
      </c>
      <c r="J126">
        <v>2016</v>
      </c>
      <c r="L126" t="s">
        <v>9268</v>
      </c>
      <c r="M126" t="s">
        <v>9373</v>
      </c>
      <c r="N126" t="s">
        <v>9374</v>
      </c>
      <c r="O126" t="s">
        <v>9270</v>
      </c>
      <c r="P126" t="s">
        <v>29</v>
      </c>
      <c r="Q126" t="s">
        <v>9267</v>
      </c>
    </row>
    <row r="127" spans="2:17">
      <c r="B127" t="s">
        <v>9375</v>
      </c>
      <c r="C127" t="s">
        <v>9267</v>
      </c>
      <c r="D127" t="s">
        <v>9266</v>
      </c>
      <c r="E127">
        <v>0.9755</v>
      </c>
      <c r="F127">
        <v>200</v>
      </c>
      <c r="G127">
        <v>2</v>
      </c>
      <c r="H127" s="7">
        <v>3.01470588235294</v>
      </c>
      <c r="I127">
        <v>54</v>
      </c>
      <c r="J127">
        <v>2008</v>
      </c>
      <c r="L127" t="s">
        <v>9268</v>
      </c>
      <c r="M127" t="s">
        <v>9375</v>
      </c>
      <c r="N127" t="s">
        <v>9376</v>
      </c>
      <c r="O127" t="s">
        <v>9270</v>
      </c>
      <c r="P127" t="s">
        <v>29</v>
      </c>
      <c r="Q127" t="s">
        <v>9267</v>
      </c>
    </row>
    <row r="128" spans="2:17">
      <c r="B128" t="s">
        <v>9377</v>
      </c>
      <c r="C128" t="s">
        <v>9267</v>
      </c>
      <c r="D128" t="s">
        <v>9266</v>
      </c>
      <c r="E128">
        <v>0.9755</v>
      </c>
      <c r="F128">
        <v>200</v>
      </c>
      <c r="G128">
        <v>2</v>
      </c>
      <c r="H128" s="7">
        <v>3.4</v>
      </c>
      <c r="I128">
        <v>54</v>
      </c>
      <c r="J128">
        <v>2021</v>
      </c>
      <c r="L128" t="s">
        <v>9268</v>
      </c>
      <c r="M128" t="s">
        <v>9377</v>
      </c>
      <c r="N128" t="s">
        <v>9378</v>
      </c>
      <c r="O128" t="s">
        <v>9270</v>
      </c>
      <c r="P128" t="s">
        <v>29</v>
      </c>
      <c r="Q128" t="s">
        <v>9267</v>
      </c>
    </row>
    <row r="129" spans="2:17">
      <c r="B129" t="s">
        <v>9379</v>
      </c>
      <c r="C129" t="s">
        <v>9267</v>
      </c>
      <c r="D129" t="s">
        <v>9266</v>
      </c>
      <c r="E129">
        <v>0.9755</v>
      </c>
      <c r="F129">
        <v>200</v>
      </c>
      <c r="G129">
        <v>2</v>
      </c>
      <c r="H129" s="7">
        <v>6.1</v>
      </c>
      <c r="I129">
        <v>54</v>
      </c>
      <c r="J129">
        <v>2020</v>
      </c>
      <c r="L129" t="s">
        <v>9268</v>
      </c>
      <c r="M129" t="s">
        <v>9379</v>
      </c>
      <c r="N129" t="s">
        <v>9380</v>
      </c>
      <c r="O129" t="s">
        <v>9270</v>
      </c>
      <c r="P129" t="s">
        <v>29</v>
      </c>
      <c r="Q129" t="s">
        <v>9267</v>
      </c>
    </row>
    <row r="130" spans="2:17">
      <c r="B130" t="s">
        <v>9381</v>
      </c>
      <c r="C130" t="s">
        <v>9267</v>
      </c>
      <c r="D130" t="s">
        <v>9266</v>
      </c>
      <c r="E130">
        <v>0.9755</v>
      </c>
      <c r="F130">
        <v>200</v>
      </c>
      <c r="G130">
        <v>2</v>
      </c>
      <c r="H130" s="7">
        <v>0.5</v>
      </c>
      <c r="I130">
        <v>54</v>
      </c>
      <c r="J130">
        <v>2017</v>
      </c>
      <c r="L130" t="s">
        <v>9268</v>
      </c>
      <c r="M130" t="s">
        <v>9381</v>
      </c>
      <c r="N130" t="s">
        <v>9382</v>
      </c>
      <c r="O130" t="s">
        <v>9270</v>
      </c>
      <c r="P130" t="s">
        <v>29</v>
      </c>
      <c r="Q130" t="s">
        <v>9267</v>
      </c>
    </row>
    <row r="131" spans="2:17">
      <c r="B131" t="s">
        <v>9383</v>
      </c>
      <c r="C131" t="s">
        <v>9267</v>
      </c>
      <c r="D131" t="s">
        <v>9266</v>
      </c>
      <c r="E131">
        <v>0.9755</v>
      </c>
      <c r="F131">
        <v>200</v>
      </c>
      <c r="G131">
        <v>2</v>
      </c>
      <c r="H131" s="7">
        <v>5.8</v>
      </c>
      <c r="I131">
        <v>54</v>
      </c>
      <c r="J131">
        <v>2009</v>
      </c>
      <c r="L131" t="s">
        <v>9268</v>
      </c>
      <c r="M131" t="s">
        <v>9383</v>
      </c>
      <c r="N131" t="s">
        <v>9384</v>
      </c>
      <c r="O131" t="s">
        <v>9270</v>
      </c>
      <c r="P131" t="s">
        <v>29</v>
      </c>
      <c r="Q131" t="s">
        <v>9267</v>
      </c>
    </row>
    <row r="132" spans="2:17">
      <c r="B132" t="s">
        <v>9385</v>
      </c>
      <c r="C132" t="s">
        <v>9267</v>
      </c>
      <c r="D132" t="s">
        <v>9266</v>
      </c>
      <c r="E132">
        <v>0.9755</v>
      </c>
      <c r="F132">
        <v>200</v>
      </c>
      <c r="G132">
        <v>2</v>
      </c>
      <c r="H132" s="7">
        <v>3.8</v>
      </c>
      <c r="I132">
        <v>54</v>
      </c>
      <c r="J132">
        <v>2013</v>
      </c>
      <c r="L132" t="s">
        <v>9268</v>
      </c>
      <c r="M132" t="s">
        <v>9385</v>
      </c>
      <c r="N132" t="s">
        <v>9386</v>
      </c>
      <c r="O132" t="s">
        <v>9270</v>
      </c>
      <c r="P132" t="s">
        <v>29</v>
      </c>
      <c r="Q132" t="s">
        <v>9267</v>
      </c>
    </row>
    <row r="133" spans="2:17">
      <c r="B133" t="s">
        <v>9387</v>
      </c>
      <c r="C133" t="s">
        <v>9267</v>
      </c>
      <c r="D133" t="s">
        <v>9266</v>
      </c>
      <c r="E133">
        <v>0.9755</v>
      </c>
      <c r="F133">
        <v>200</v>
      </c>
      <c r="G133">
        <v>2</v>
      </c>
      <c r="H133" s="7">
        <v>6.6</v>
      </c>
      <c r="I133">
        <v>54</v>
      </c>
      <c r="J133">
        <v>1987</v>
      </c>
      <c r="L133" t="s">
        <v>9268</v>
      </c>
      <c r="M133" t="s">
        <v>9387</v>
      </c>
      <c r="N133" t="s">
        <v>9388</v>
      </c>
      <c r="O133" t="s">
        <v>9270</v>
      </c>
      <c r="P133" t="s">
        <v>29</v>
      </c>
      <c r="Q133" t="s">
        <v>9267</v>
      </c>
    </row>
    <row r="134" spans="2:17">
      <c r="B134" t="s">
        <v>9389</v>
      </c>
      <c r="C134" t="s">
        <v>9267</v>
      </c>
      <c r="D134" t="s">
        <v>9266</v>
      </c>
      <c r="E134">
        <v>0.9755</v>
      </c>
      <c r="F134">
        <v>200</v>
      </c>
      <c r="G134">
        <v>2</v>
      </c>
      <c r="H134" s="7">
        <v>7.4</v>
      </c>
      <c r="I134">
        <v>54</v>
      </c>
      <c r="J134">
        <v>2009</v>
      </c>
      <c r="L134" t="s">
        <v>9268</v>
      </c>
      <c r="M134" t="s">
        <v>9389</v>
      </c>
      <c r="N134" t="s">
        <v>9390</v>
      </c>
      <c r="O134" t="s">
        <v>9270</v>
      </c>
      <c r="P134" t="s">
        <v>29</v>
      </c>
      <c r="Q134" t="s">
        <v>9267</v>
      </c>
    </row>
    <row r="135" spans="2:17">
      <c r="B135" t="s">
        <v>9391</v>
      </c>
      <c r="C135" t="s">
        <v>9267</v>
      </c>
      <c r="D135" t="s">
        <v>9266</v>
      </c>
      <c r="E135">
        <v>0.9755</v>
      </c>
      <c r="F135">
        <v>200</v>
      </c>
      <c r="G135">
        <v>2</v>
      </c>
      <c r="H135" s="7">
        <v>1.5</v>
      </c>
      <c r="I135">
        <v>54</v>
      </c>
      <c r="J135">
        <v>2010</v>
      </c>
      <c r="L135" t="s">
        <v>9268</v>
      </c>
      <c r="M135" t="s">
        <v>9391</v>
      </c>
      <c r="N135" t="s">
        <v>9392</v>
      </c>
      <c r="O135" t="s">
        <v>9270</v>
      </c>
      <c r="P135" t="s">
        <v>29</v>
      </c>
      <c r="Q135" t="s">
        <v>9267</v>
      </c>
    </row>
    <row r="136" spans="2:17">
      <c r="B136" t="s">
        <v>9391</v>
      </c>
      <c r="C136" t="s">
        <v>9267</v>
      </c>
      <c r="D136" t="s">
        <v>9266</v>
      </c>
      <c r="E136">
        <v>0.9755</v>
      </c>
      <c r="F136">
        <v>200</v>
      </c>
      <c r="G136">
        <v>2</v>
      </c>
      <c r="H136" s="7">
        <v>4</v>
      </c>
      <c r="I136">
        <v>54</v>
      </c>
      <c r="J136">
        <v>2009</v>
      </c>
      <c r="L136" t="s">
        <v>9268</v>
      </c>
      <c r="M136" t="s">
        <v>9391</v>
      </c>
      <c r="N136" t="s">
        <v>9392</v>
      </c>
      <c r="O136" t="s">
        <v>9270</v>
      </c>
      <c r="P136" t="s">
        <v>29</v>
      </c>
      <c r="Q136" t="s">
        <v>9267</v>
      </c>
    </row>
    <row r="137" spans="2:17">
      <c r="B137" t="s">
        <v>9393</v>
      </c>
      <c r="C137" t="s">
        <v>9267</v>
      </c>
      <c r="D137" t="s">
        <v>9266</v>
      </c>
      <c r="E137">
        <v>0.9755</v>
      </c>
      <c r="F137">
        <v>200</v>
      </c>
      <c r="G137">
        <v>2</v>
      </c>
      <c r="H137" s="7">
        <v>2.99951019794118</v>
      </c>
      <c r="I137">
        <v>54</v>
      </c>
      <c r="J137">
        <v>2012</v>
      </c>
      <c r="L137" t="s">
        <v>9268</v>
      </c>
      <c r="M137" t="s">
        <v>9393</v>
      </c>
      <c r="N137" t="s">
        <v>9394</v>
      </c>
      <c r="O137" t="s">
        <v>9270</v>
      </c>
      <c r="P137" t="s">
        <v>29</v>
      </c>
      <c r="Q137" t="s">
        <v>9267</v>
      </c>
    </row>
    <row r="138" spans="2:17">
      <c r="B138" t="s">
        <v>9393</v>
      </c>
      <c r="C138" t="s">
        <v>9267</v>
      </c>
      <c r="D138" t="s">
        <v>9266</v>
      </c>
      <c r="E138">
        <v>0.9755</v>
      </c>
      <c r="F138">
        <v>200</v>
      </c>
      <c r="G138">
        <v>2</v>
      </c>
      <c r="H138" s="7">
        <v>3</v>
      </c>
      <c r="I138">
        <v>54</v>
      </c>
      <c r="J138">
        <v>2009</v>
      </c>
      <c r="L138" t="s">
        <v>9268</v>
      </c>
      <c r="M138" t="s">
        <v>9393</v>
      </c>
      <c r="N138" t="s">
        <v>9394</v>
      </c>
      <c r="O138" t="s">
        <v>9270</v>
      </c>
      <c r="P138" t="s">
        <v>29</v>
      </c>
      <c r="Q138" t="s">
        <v>9267</v>
      </c>
    </row>
    <row r="139" spans="2:17">
      <c r="B139" t="s">
        <v>9393</v>
      </c>
      <c r="C139" t="s">
        <v>9267</v>
      </c>
      <c r="D139" t="s">
        <v>9266</v>
      </c>
      <c r="E139">
        <v>0.9755</v>
      </c>
      <c r="F139">
        <v>200</v>
      </c>
      <c r="G139">
        <v>2</v>
      </c>
      <c r="H139" s="7">
        <v>3</v>
      </c>
      <c r="I139">
        <v>54</v>
      </c>
      <c r="J139">
        <v>2020</v>
      </c>
      <c r="L139" t="s">
        <v>9268</v>
      </c>
      <c r="M139" t="s">
        <v>9393</v>
      </c>
      <c r="N139" t="s">
        <v>9394</v>
      </c>
      <c r="O139" t="s">
        <v>9270</v>
      </c>
      <c r="P139" t="s">
        <v>29</v>
      </c>
      <c r="Q139" t="s">
        <v>9267</v>
      </c>
    </row>
    <row r="140" spans="2:17">
      <c r="B140" t="s">
        <v>9393</v>
      </c>
      <c r="C140" t="s">
        <v>9267</v>
      </c>
      <c r="D140" t="s">
        <v>9266</v>
      </c>
      <c r="E140">
        <v>0.9755</v>
      </c>
      <c r="F140">
        <v>200</v>
      </c>
      <c r="G140">
        <v>2</v>
      </c>
      <c r="H140" s="7">
        <v>3.6</v>
      </c>
      <c r="I140">
        <v>54</v>
      </c>
      <c r="J140">
        <v>2017</v>
      </c>
      <c r="L140" t="s">
        <v>9268</v>
      </c>
      <c r="M140" t="s">
        <v>9393</v>
      </c>
      <c r="N140" t="s">
        <v>9394</v>
      </c>
      <c r="O140" t="s">
        <v>9270</v>
      </c>
      <c r="P140" t="s">
        <v>29</v>
      </c>
      <c r="Q140" t="s">
        <v>9267</v>
      </c>
    </row>
    <row r="141" spans="2:17">
      <c r="B141" t="s">
        <v>9393</v>
      </c>
      <c r="C141" t="s">
        <v>9267</v>
      </c>
      <c r="D141" t="s">
        <v>9266</v>
      </c>
      <c r="E141">
        <v>0.9755</v>
      </c>
      <c r="F141">
        <v>200</v>
      </c>
      <c r="G141">
        <v>2</v>
      </c>
      <c r="H141" s="7">
        <v>3.8</v>
      </c>
      <c r="I141">
        <v>54</v>
      </c>
      <c r="J141">
        <v>2019</v>
      </c>
      <c r="L141" t="s">
        <v>9268</v>
      </c>
      <c r="M141" t="s">
        <v>9393</v>
      </c>
      <c r="N141" t="s">
        <v>9394</v>
      </c>
      <c r="O141" t="s">
        <v>9270</v>
      </c>
      <c r="P141" t="s">
        <v>29</v>
      </c>
      <c r="Q141" t="s">
        <v>9267</v>
      </c>
    </row>
    <row r="142" spans="2:17">
      <c r="B142" t="s">
        <v>9393</v>
      </c>
      <c r="C142" t="s">
        <v>9267</v>
      </c>
      <c r="D142" t="s">
        <v>9266</v>
      </c>
      <c r="E142">
        <v>0.9755</v>
      </c>
      <c r="F142">
        <v>200</v>
      </c>
      <c r="G142">
        <v>2</v>
      </c>
      <c r="H142" s="7">
        <v>4.7</v>
      </c>
      <c r="I142">
        <v>54</v>
      </c>
      <c r="J142">
        <v>2008</v>
      </c>
      <c r="L142" t="s">
        <v>9268</v>
      </c>
      <c r="M142" t="s">
        <v>9393</v>
      </c>
      <c r="N142" t="s">
        <v>9394</v>
      </c>
      <c r="O142" t="s">
        <v>9270</v>
      </c>
      <c r="P142" t="s">
        <v>29</v>
      </c>
      <c r="Q142" t="s">
        <v>9267</v>
      </c>
    </row>
    <row r="143" spans="2:17">
      <c r="B143" t="s">
        <v>9393</v>
      </c>
      <c r="C143" t="s">
        <v>9267</v>
      </c>
      <c r="D143" t="s">
        <v>9266</v>
      </c>
      <c r="E143">
        <v>0.9755</v>
      </c>
      <c r="F143">
        <v>200</v>
      </c>
      <c r="G143">
        <v>2</v>
      </c>
      <c r="H143" s="7">
        <v>5.5</v>
      </c>
      <c r="I143">
        <v>54</v>
      </c>
      <c r="J143">
        <v>2021</v>
      </c>
      <c r="L143" t="s">
        <v>9268</v>
      </c>
      <c r="M143" t="s">
        <v>9393</v>
      </c>
      <c r="N143" t="s">
        <v>9394</v>
      </c>
      <c r="O143" t="s">
        <v>9270</v>
      </c>
      <c r="P143" t="s">
        <v>29</v>
      </c>
      <c r="Q143" t="s">
        <v>9267</v>
      </c>
    </row>
    <row r="144" spans="2:17">
      <c r="B144" t="s">
        <v>9393</v>
      </c>
      <c r="C144" t="s">
        <v>9267</v>
      </c>
      <c r="D144" t="s">
        <v>9266</v>
      </c>
      <c r="E144">
        <v>0.9755</v>
      </c>
      <c r="F144">
        <v>200</v>
      </c>
      <c r="G144">
        <v>2</v>
      </c>
      <c r="H144" s="7">
        <v>5.6</v>
      </c>
      <c r="I144">
        <v>54</v>
      </c>
      <c r="J144">
        <v>2014</v>
      </c>
      <c r="L144" t="s">
        <v>9268</v>
      </c>
      <c r="M144" t="s">
        <v>9393</v>
      </c>
      <c r="N144" t="s">
        <v>9394</v>
      </c>
      <c r="O144" t="s">
        <v>9270</v>
      </c>
      <c r="P144" t="s">
        <v>29</v>
      </c>
      <c r="Q144" t="s">
        <v>9267</v>
      </c>
    </row>
    <row r="145" spans="2:17">
      <c r="B145" t="s">
        <v>9393</v>
      </c>
      <c r="C145" t="s">
        <v>9267</v>
      </c>
      <c r="D145" t="s">
        <v>9266</v>
      </c>
      <c r="E145">
        <v>0.9755</v>
      </c>
      <c r="F145">
        <v>200</v>
      </c>
      <c r="G145">
        <v>2</v>
      </c>
      <c r="H145" s="7">
        <v>6.79278390882353</v>
      </c>
      <c r="I145">
        <v>54</v>
      </c>
      <c r="J145">
        <v>2006</v>
      </c>
      <c r="L145" t="s">
        <v>9268</v>
      </c>
      <c r="M145" t="s">
        <v>9393</v>
      </c>
      <c r="N145" t="s">
        <v>9394</v>
      </c>
      <c r="O145" t="s">
        <v>9270</v>
      </c>
      <c r="P145" t="s">
        <v>29</v>
      </c>
      <c r="Q145" t="s">
        <v>9267</v>
      </c>
    </row>
    <row r="146" spans="2:17">
      <c r="B146" t="s">
        <v>9393</v>
      </c>
      <c r="C146" t="s">
        <v>9267</v>
      </c>
      <c r="D146" t="s">
        <v>9266</v>
      </c>
      <c r="E146">
        <v>0.9755</v>
      </c>
      <c r="F146">
        <v>200</v>
      </c>
      <c r="G146">
        <v>2</v>
      </c>
      <c r="H146" s="7">
        <v>9.12319217117647</v>
      </c>
      <c r="I146">
        <v>54</v>
      </c>
      <c r="J146">
        <v>2011</v>
      </c>
      <c r="L146" t="s">
        <v>9268</v>
      </c>
      <c r="M146" t="s">
        <v>9393</v>
      </c>
      <c r="N146" t="s">
        <v>9394</v>
      </c>
      <c r="O146" t="s">
        <v>9270</v>
      </c>
      <c r="P146" t="s">
        <v>29</v>
      </c>
      <c r="Q146" t="s">
        <v>9267</v>
      </c>
    </row>
    <row r="147" spans="2:17">
      <c r="B147" t="s">
        <v>9393</v>
      </c>
      <c r="C147" t="s">
        <v>9267</v>
      </c>
      <c r="D147" t="s">
        <v>9266</v>
      </c>
      <c r="E147">
        <v>0.9755</v>
      </c>
      <c r="F147">
        <v>200</v>
      </c>
      <c r="G147">
        <v>2</v>
      </c>
      <c r="H147" s="7">
        <v>10.9981565073529</v>
      </c>
      <c r="I147">
        <v>54</v>
      </c>
      <c r="J147">
        <v>2013</v>
      </c>
      <c r="L147" t="s">
        <v>9268</v>
      </c>
      <c r="M147" t="s">
        <v>9393</v>
      </c>
      <c r="N147" t="s">
        <v>9394</v>
      </c>
      <c r="O147" t="s">
        <v>9270</v>
      </c>
      <c r="P147" t="s">
        <v>29</v>
      </c>
      <c r="Q147" t="s">
        <v>9267</v>
      </c>
    </row>
    <row r="148" spans="2:17">
      <c r="B148" t="s">
        <v>9393</v>
      </c>
      <c r="C148" t="s">
        <v>9267</v>
      </c>
      <c r="D148" t="s">
        <v>9266</v>
      </c>
      <c r="E148">
        <v>0.9755</v>
      </c>
      <c r="F148">
        <v>200</v>
      </c>
      <c r="G148">
        <v>2</v>
      </c>
      <c r="H148" s="7">
        <v>11.2</v>
      </c>
      <c r="I148">
        <v>54</v>
      </c>
      <c r="J148">
        <v>2024</v>
      </c>
      <c r="L148" t="s">
        <v>9268</v>
      </c>
      <c r="M148" t="s">
        <v>9393</v>
      </c>
      <c r="N148" t="s">
        <v>9394</v>
      </c>
      <c r="O148" t="s">
        <v>9270</v>
      </c>
      <c r="P148" t="s">
        <v>29</v>
      </c>
      <c r="Q148" t="s">
        <v>9267</v>
      </c>
    </row>
    <row r="149" spans="2:17">
      <c r="B149" t="s">
        <v>9393</v>
      </c>
      <c r="C149" t="s">
        <v>9267</v>
      </c>
      <c r="D149" t="s">
        <v>9266</v>
      </c>
      <c r="E149">
        <v>0.9755</v>
      </c>
      <c r="F149">
        <v>200</v>
      </c>
      <c r="G149">
        <v>2</v>
      </c>
      <c r="H149" s="7">
        <v>11.7</v>
      </c>
      <c r="I149">
        <v>54</v>
      </c>
      <c r="J149">
        <v>2016</v>
      </c>
      <c r="L149" t="s">
        <v>9268</v>
      </c>
      <c r="M149" t="s">
        <v>9393</v>
      </c>
      <c r="N149" t="s">
        <v>9394</v>
      </c>
      <c r="O149" t="s">
        <v>9270</v>
      </c>
      <c r="P149" t="s">
        <v>29</v>
      </c>
      <c r="Q149" t="s">
        <v>9267</v>
      </c>
    </row>
    <row r="150" spans="2:17">
      <c r="B150" t="s">
        <v>9393</v>
      </c>
      <c r="C150" t="s">
        <v>9267</v>
      </c>
      <c r="D150" t="s">
        <v>9266</v>
      </c>
      <c r="E150">
        <v>0.9755</v>
      </c>
      <c r="F150">
        <v>200</v>
      </c>
      <c r="G150">
        <v>2</v>
      </c>
      <c r="H150" s="7">
        <v>13.6</v>
      </c>
      <c r="I150">
        <v>54</v>
      </c>
      <c r="J150">
        <v>2018</v>
      </c>
      <c r="L150" t="s">
        <v>9268</v>
      </c>
      <c r="M150" t="s">
        <v>9393</v>
      </c>
      <c r="N150" t="s">
        <v>9394</v>
      </c>
      <c r="O150" t="s">
        <v>9270</v>
      </c>
      <c r="P150" t="s">
        <v>29</v>
      </c>
      <c r="Q150" t="s">
        <v>9267</v>
      </c>
    </row>
    <row r="151" spans="2:17">
      <c r="B151" t="s">
        <v>9393</v>
      </c>
      <c r="C151" t="s">
        <v>9267</v>
      </c>
      <c r="D151" t="s">
        <v>9266</v>
      </c>
      <c r="E151">
        <v>0.9755</v>
      </c>
      <c r="F151">
        <v>200</v>
      </c>
      <c r="G151">
        <v>2</v>
      </c>
      <c r="H151" s="7">
        <v>14</v>
      </c>
      <c r="I151">
        <v>54</v>
      </c>
      <c r="J151">
        <v>2022</v>
      </c>
      <c r="L151" t="s">
        <v>9268</v>
      </c>
      <c r="M151" t="s">
        <v>9393</v>
      </c>
      <c r="N151" t="s">
        <v>9394</v>
      </c>
      <c r="O151" t="s">
        <v>9270</v>
      </c>
      <c r="P151" t="s">
        <v>29</v>
      </c>
      <c r="Q151" t="s">
        <v>9267</v>
      </c>
    </row>
    <row r="152" spans="2:17">
      <c r="B152" t="s">
        <v>9393</v>
      </c>
      <c r="C152" t="s">
        <v>9267</v>
      </c>
      <c r="D152" t="s">
        <v>9266</v>
      </c>
      <c r="E152">
        <v>0.9755</v>
      </c>
      <c r="F152">
        <v>200</v>
      </c>
      <c r="G152">
        <v>2</v>
      </c>
      <c r="H152" s="7">
        <v>16.9086357214706</v>
      </c>
      <c r="I152">
        <v>54</v>
      </c>
      <c r="J152">
        <v>2025</v>
      </c>
      <c r="L152" t="s">
        <v>9268</v>
      </c>
      <c r="M152" t="s">
        <v>9393</v>
      </c>
      <c r="N152" t="s">
        <v>9394</v>
      </c>
      <c r="O152" t="s">
        <v>9270</v>
      </c>
      <c r="P152" t="s">
        <v>29</v>
      </c>
      <c r="Q152" t="s">
        <v>9267</v>
      </c>
    </row>
    <row r="153" spans="2:17">
      <c r="B153" t="s">
        <v>9393</v>
      </c>
      <c r="C153" t="s">
        <v>9267</v>
      </c>
      <c r="D153" t="s">
        <v>9266</v>
      </c>
      <c r="E153">
        <v>0.9755</v>
      </c>
      <c r="F153">
        <v>200</v>
      </c>
      <c r="G153">
        <v>2</v>
      </c>
      <c r="H153" s="7">
        <v>28.3</v>
      </c>
      <c r="I153">
        <v>54</v>
      </c>
      <c r="J153">
        <v>2023</v>
      </c>
      <c r="L153" t="s">
        <v>9268</v>
      </c>
      <c r="M153" t="s">
        <v>9393</v>
      </c>
      <c r="N153" t="s">
        <v>9394</v>
      </c>
      <c r="O153" t="s">
        <v>9270</v>
      </c>
      <c r="P153" t="s">
        <v>29</v>
      </c>
      <c r="Q153" t="s">
        <v>9267</v>
      </c>
    </row>
    <row r="154" spans="2:17">
      <c r="B154" t="s">
        <v>9395</v>
      </c>
      <c r="C154" t="s">
        <v>9267</v>
      </c>
      <c r="D154" t="s">
        <v>9266</v>
      </c>
      <c r="E154">
        <v>0.9755</v>
      </c>
      <c r="F154">
        <v>200</v>
      </c>
      <c r="G154">
        <v>2</v>
      </c>
      <c r="H154" s="7">
        <v>0</v>
      </c>
      <c r="I154">
        <v>54</v>
      </c>
      <c r="J154">
        <v>2023</v>
      </c>
      <c r="L154" t="s">
        <v>9268</v>
      </c>
      <c r="M154" t="s">
        <v>9395</v>
      </c>
      <c r="N154" t="s">
        <v>9396</v>
      </c>
      <c r="O154" t="s">
        <v>9270</v>
      </c>
      <c r="P154" t="s">
        <v>29</v>
      </c>
      <c r="Q154" t="s">
        <v>9267</v>
      </c>
    </row>
    <row r="155" spans="2:17">
      <c r="B155" t="s">
        <v>9395</v>
      </c>
      <c r="C155" t="s">
        <v>9267</v>
      </c>
      <c r="D155" t="s">
        <v>9266</v>
      </c>
      <c r="E155">
        <v>0.9755</v>
      </c>
      <c r="F155">
        <v>200</v>
      </c>
      <c r="G155">
        <v>2</v>
      </c>
      <c r="H155" s="7">
        <v>1.66893866823529</v>
      </c>
      <c r="I155">
        <v>54</v>
      </c>
      <c r="J155">
        <v>2003</v>
      </c>
      <c r="L155" t="s">
        <v>9268</v>
      </c>
      <c r="M155" t="s">
        <v>9395</v>
      </c>
      <c r="N155" t="s">
        <v>9396</v>
      </c>
      <c r="O155" t="s">
        <v>9270</v>
      </c>
      <c r="P155" t="s">
        <v>29</v>
      </c>
      <c r="Q155" t="s">
        <v>9267</v>
      </c>
    </row>
    <row r="156" spans="2:17">
      <c r="B156" t="s">
        <v>9397</v>
      </c>
      <c r="C156" t="s">
        <v>9267</v>
      </c>
      <c r="D156" t="s">
        <v>9266</v>
      </c>
      <c r="E156">
        <v>0.9755</v>
      </c>
      <c r="F156">
        <v>200</v>
      </c>
      <c r="G156">
        <v>2</v>
      </c>
      <c r="H156" s="7">
        <v>2.64705882352941</v>
      </c>
      <c r="I156">
        <v>54</v>
      </c>
      <c r="J156">
        <v>2007</v>
      </c>
      <c r="L156" t="s">
        <v>9268</v>
      </c>
      <c r="M156" t="s">
        <v>9397</v>
      </c>
      <c r="N156" t="s">
        <v>9398</v>
      </c>
      <c r="O156" t="s">
        <v>9270</v>
      </c>
      <c r="P156" t="s">
        <v>29</v>
      </c>
      <c r="Q156" t="s">
        <v>9267</v>
      </c>
    </row>
    <row r="157" spans="2:17">
      <c r="B157" t="s">
        <v>9397</v>
      </c>
      <c r="C157" t="s">
        <v>9267</v>
      </c>
      <c r="D157" t="s">
        <v>9266</v>
      </c>
      <c r="E157">
        <v>0.9755</v>
      </c>
      <c r="F157">
        <v>200</v>
      </c>
      <c r="G157">
        <v>2</v>
      </c>
      <c r="H157" s="7">
        <v>6.4</v>
      </c>
      <c r="I157">
        <v>54</v>
      </c>
      <c r="J157">
        <v>2006</v>
      </c>
      <c r="L157" t="s">
        <v>9268</v>
      </c>
      <c r="M157" t="s">
        <v>9397</v>
      </c>
      <c r="N157" t="s">
        <v>9398</v>
      </c>
      <c r="O157" t="s">
        <v>9270</v>
      </c>
      <c r="P157" t="s">
        <v>29</v>
      </c>
      <c r="Q157" t="s">
        <v>9267</v>
      </c>
    </row>
    <row r="158" spans="2:17">
      <c r="B158" t="s">
        <v>9397</v>
      </c>
      <c r="C158" t="s">
        <v>9267</v>
      </c>
      <c r="D158" t="s">
        <v>9266</v>
      </c>
      <c r="E158">
        <v>0.9755</v>
      </c>
      <c r="F158">
        <v>200</v>
      </c>
      <c r="G158">
        <v>2</v>
      </c>
      <c r="H158" s="7">
        <v>7</v>
      </c>
      <c r="I158">
        <v>54</v>
      </c>
      <c r="J158">
        <v>2003</v>
      </c>
      <c r="L158" t="s">
        <v>9268</v>
      </c>
      <c r="M158" t="s">
        <v>9397</v>
      </c>
      <c r="N158" t="s">
        <v>9398</v>
      </c>
      <c r="O158" t="s">
        <v>9270</v>
      </c>
      <c r="P158" t="s">
        <v>29</v>
      </c>
      <c r="Q158" t="s">
        <v>9267</v>
      </c>
    </row>
    <row r="159" spans="2:17">
      <c r="B159" t="s">
        <v>9397</v>
      </c>
      <c r="C159" t="s">
        <v>9267</v>
      </c>
      <c r="D159" t="s">
        <v>9266</v>
      </c>
      <c r="E159">
        <v>0.9755</v>
      </c>
      <c r="F159">
        <v>200</v>
      </c>
      <c r="G159">
        <v>2</v>
      </c>
      <c r="H159" s="7">
        <v>8.67647058823529</v>
      </c>
      <c r="I159">
        <v>54</v>
      </c>
      <c r="J159">
        <v>1988</v>
      </c>
      <c r="L159" t="s">
        <v>9268</v>
      </c>
      <c r="M159" t="s">
        <v>9397</v>
      </c>
      <c r="N159" t="s">
        <v>9398</v>
      </c>
      <c r="O159" t="s">
        <v>9270</v>
      </c>
      <c r="P159" t="s">
        <v>29</v>
      </c>
      <c r="Q159" t="s">
        <v>9267</v>
      </c>
    </row>
    <row r="160" spans="2:17">
      <c r="B160" t="s">
        <v>9397</v>
      </c>
      <c r="C160" t="s">
        <v>9267</v>
      </c>
      <c r="D160" t="s">
        <v>9266</v>
      </c>
      <c r="E160">
        <v>0.9755</v>
      </c>
      <c r="F160">
        <v>200</v>
      </c>
      <c r="G160">
        <v>2</v>
      </c>
      <c r="H160" s="7">
        <v>8.67647058823529</v>
      </c>
      <c r="I160">
        <v>54</v>
      </c>
      <c r="J160">
        <v>1989</v>
      </c>
      <c r="L160" t="s">
        <v>9268</v>
      </c>
      <c r="M160" t="s">
        <v>9397</v>
      </c>
      <c r="N160" t="s">
        <v>9398</v>
      </c>
      <c r="O160" t="s">
        <v>9270</v>
      </c>
      <c r="P160" t="s">
        <v>29</v>
      </c>
      <c r="Q160" t="s">
        <v>9267</v>
      </c>
    </row>
    <row r="161" spans="2:17">
      <c r="B161" t="s">
        <v>9397</v>
      </c>
      <c r="C161" t="s">
        <v>9267</v>
      </c>
      <c r="D161" t="s">
        <v>9266</v>
      </c>
      <c r="E161">
        <v>0.9755</v>
      </c>
      <c r="F161">
        <v>200</v>
      </c>
      <c r="G161">
        <v>2</v>
      </c>
      <c r="H161" s="7">
        <v>12.5735294117647</v>
      </c>
      <c r="I161">
        <v>54</v>
      </c>
      <c r="J161">
        <v>1968</v>
      </c>
      <c r="L161" t="s">
        <v>9268</v>
      </c>
      <c r="M161" t="s">
        <v>9397</v>
      </c>
      <c r="N161" t="s">
        <v>9398</v>
      </c>
      <c r="O161" t="s">
        <v>9270</v>
      </c>
      <c r="P161" t="s">
        <v>29</v>
      </c>
      <c r="Q161" t="s">
        <v>9267</v>
      </c>
    </row>
    <row r="162" spans="2:17">
      <c r="B162" t="s">
        <v>9399</v>
      </c>
      <c r="C162" t="s">
        <v>9267</v>
      </c>
      <c r="D162" t="s">
        <v>9266</v>
      </c>
      <c r="E162">
        <v>0.9755</v>
      </c>
      <c r="F162">
        <v>200</v>
      </c>
      <c r="G162">
        <v>2</v>
      </c>
      <c r="H162" s="7">
        <v>3</v>
      </c>
      <c r="I162">
        <v>54</v>
      </c>
      <c r="J162">
        <v>2019</v>
      </c>
      <c r="L162" t="s">
        <v>9268</v>
      </c>
      <c r="M162" t="s">
        <v>9399</v>
      </c>
      <c r="N162" t="s">
        <v>9400</v>
      </c>
      <c r="O162" t="s">
        <v>9270</v>
      </c>
      <c r="P162" t="s">
        <v>29</v>
      </c>
      <c r="Q162" t="s">
        <v>9267</v>
      </c>
    </row>
    <row r="163" spans="2:17">
      <c r="B163" t="s">
        <v>9401</v>
      </c>
      <c r="C163" t="s">
        <v>9267</v>
      </c>
      <c r="D163" t="s">
        <v>9266</v>
      </c>
      <c r="E163">
        <v>0.9755</v>
      </c>
      <c r="F163">
        <v>200</v>
      </c>
      <c r="G163">
        <v>2</v>
      </c>
      <c r="H163" s="7">
        <v>0</v>
      </c>
      <c r="I163">
        <v>54</v>
      </c>
      <c r="J163">
        <v>2022</v>
      </c>
      <c r="L163" t="s">
        <v>9268</v>
      </c>
      <c r="M163" t="s">
        <v>9401</v>
      </c>
      <c r="N163" t="s">
        <v>9402</v>
      </c>
      <c r="O163" t="s">
        <v>9270</v>
      </c>
      <c r="P163" t="s">
        <v>29</v>
      </c>
      <c r="Q163" t="s">
        <v>9267</v>
      </c>
    </row>
    <row r="164" spans="2:17">
      <c r="B164" t="s">
        <v>9401</v>
      </c>
      <c r="C164" t="s">
        <v>9267</v>
      </c>
      <c r="D164" t="s">
        <v>9266</v>
      </c>
      <c r="E164">
        <v>0.9755</v>
      </c>
      <c r="F164">
        <v>200</v>
      </c>
      <c r="G164">
        <v>2</v>
      </c>
      <c r="H164" s="7">
        <v>0.075</v>
      </c>
      <c r="I164">
        <v>54</v>
      </c>
      <c r="J164">
        <v>2016</v>
      </c>
      <c r="L164" t="s">
        <v>9268</v>
      </c>
      <c r="M164" t="s">
        <v>9401</v>
      </c>
      <c r="N164" t="s">
        <v>9402</v>
      </c>
      <c r="O164" t="s">
        <v>9270</v>
      </c>
      <c r="P164" t="s">
        <v>29</v>
      </c>
      <c r="Q164" t="s">
        <v>9267</v>
      </c>
    </row>
    <row r="165" spans="2:17">
      <c r="B165" t="s">
        <v>9401</v>
      </c>
      <c r="C165" t="s">
        <v>9267</v>
      </c>
      <c r="D165" t="s">
        <v>9266</v>
      </c>
      <c r="E165">
        <v>0.9755</v>
      </c>
      <c r="F165">
        <v>200</v>
      </c>
      <c r="G165">
        <v>2</v>
      </c>
      <c r="H165" s="7">
        <v>0.4</v>
      </c>
      <c r="I165">
        <v>54</v>
      </c>
      <c r="J165">
        <v>2018</v>
      </c>
      <c r="L165" t="s">
        <v>9268</v>
      </c>
      <c r="M165" t="s">
        <v>9401</v>
      </c>
      <c r="N165" t="s">
        <v>9402</v>
      </c>
      <c r="O165" t="s">
        <v>9270</v>
      </c>
      <c r="P165" t="s">
        <v>29</v>
      </c>
      <c r="Q165" t="s">
        <v>9267</v>
      </c>
    </row>
    <row r="166" spans="2:17">
      <c r="B166" t="s">
        <v>9403</v>
      </c>
      <c r="C166" t="s">
        <v>9267</v>
      </c>
      <c r="D166" t="s">
        <v>9266</v>
      </c>
      <c r="E166">
        <v>0.9755</v>
      </c>
      <c r="F166">
        <v>200</v>
      </c>
      <c r="G166">
        <v>2</v>
      </c>
      <c r="H166" s="7">
        <v>2.4</v>
      </c>
      <c r="I166">
        <v>54</v>
      </c>
      <c r="J166">
        <v>1972</v>
      </c>
      <c r="L166" t="s">
        <v>9268</v>
      </c>
      <c r="M166" t="s">
        <v>9403</v>
      </c>
      <c r="N166" t="s">
        <v>9404</v>
      </c>
      <c r="O166" t="s">
        <v>9270</v>
      </c>
      <c r="P166" t="s">
        <v>29</v>
      </c>
      <c r="Q166" t="s">
        <v>9267</v>
      </c>
    </row>
    <row r="167" spans="2:17">
      <c r="B167" t="s">
        <v>9403</v>
      </c>
      <c r="C167" t="s">
        <v>9267</v>
      </c>
      <c r="D167" t="s">
        <v>9266</v>
      </c>
      <c r="E167">
        <v>0.9755</v>
      </c>
      <c r="F167">
        <v>200</v>
      </c>
      <c r="G167">
        <v>2</v>
      </c>
      <c r="H167" s="7">
        <v>6.6</v>
      </c>
      <c r="I167">
        <v>54</v>
      </c>
      <c r="J167">
        <v>2009</v>
      </c>
      <c r="L167" t="s">
        <v>9268</v>
      </c>
      <c r="M167" t="s">
        <v>9403</v>
      </c>
      <c r="N167" t="s">
        <v>9404</v>
      </c>
      <c r="O167" t="s">
        <v>9270</v>
      </c>
      <c r="P167" t="s">
        <v>29</v>
      </c>
      <c r="Q167" t="s">
        <v>9267</v>
      </c>
    </row>
    <row r="168" spans="2:17">
      <c r="B168" t="s">
        <v>9403</v>
      </c>
      <c r="C168" t="s">
        <v>9267</v>
      </c>
      <c r="D168" t="s">
        <v>9266</v>
      </c>
      <c r="E168">
        <v>0.9755</v>
      </c>
      <c r="F168">
        <v>200</v>
      </c>
      <c r="G168">
        <v>2</v>
      </c>
      <c r="H168" s="7">
        <v>8</v>
      </c>
      <c r="I168">
        <v>54</v>
      </c>
      <c r="J168">
        <v>1980</v>
      </c>
      <c r="L168" t="s">
        <v>9268</v>
      </c>
      <c r="M168" t="s">
        <v>9403</v>
      </c>
      <c r="N168" t="s">
        <v>9404</v>
      </c>
      <c r="O168" t="s">
        <v>9270</v>
      </c>
      <c r="P168" t="s">
        <v>29</v>
      </c>
      <c r="Q168" t="s">
        <v>9267</v>
      </c>
    </row>
    <row r="169" spans="2:17">
      <c r="B169" t="s">
        <v>9403</v>
      </c>
      <c r="C169" t="s">
        <v>9267</v>
      </c>
      <c r="D169" t="s">
        <v>9266</v>
      </c>
      <c r="E169">
        <v>0.9755</v>
      </c>
      <c r="F169">
        <v>200</v>
      </c>
      <c r="G169">
        <v>2</v>
      </c>
      <c r="H169" s="7">
        <v>9.6</v>
      </c>
      <c r="I169">
        <v>54</v>
      </c>
      <c r="J169">
        <v>2016</v>
      </c>
      <c r="L169" t="s">
        <v>9268</v>
      </c>
      <c r="M169" t="s">
        <v>9403</v>
      </c>
      <c r="N169" t="s">
        <v>9404</v>
      </c>
      <c r="O169" t="s">
        <v>9270</v>
      </c>
      <c r="P169" t="s">
        <v>29</v>
      </c>
      <c r="Q169" t="s">
        <v>9267</v>
      </c>
    </row>
    <row r="170" spans="2:17">
      <c r="B170" t="s">
        <v>9405</v>
      </c>
      <c r="C170" t="s">
        <v>9267</v>
      </c>
      <c r="D170" t="s">
        <v>9266</v>
      </c>
      <c r="E170">
        <v>0.9755</v>
      </c>
      <c r="F170">
        <v>200</v>
      </c>
      <c r="G170">
        <v>2</v>
      </c>
      <c r="H170" s="7">
        <v>14.3</v>
      </c>
      <c r="I170">
        <v>54</v>
      </c>
      <c r="J170">
        <v>2005</v>
      </c>
      <c r="L170" t="s">
        <v>9268</v>
      </c>
      <c r="M170" t="s">
        <v>9405</v>
      </c>
      <c r="N170" t="s">
        <v>9406</v>
      </c>
      <c r="O170" t="s">
        <v>9270</v>
      </c>
      <c r="P170" t="s">
        <v>29</v>
      </c>
      <c r="Q170" t="s">
        <v>9267</v>
      </c>
    </row>
    <row r="171" spans="2:17">
      <c r="B171" t="s">
        <v>9405</v>
      </c>
      <c r="C171" t="s">
        <v>9267</v>
      </c>
      <c r="D171" t="s">
        <v>9266</v>
      </c>
      <c r="E171">
        <v>0.9755</v>
      </c>
      <c r="F171">
        <v>200</v>
      </c>
      <c r="G171">
        <v>2</v>
      </c>
      <c r="H171" s="7">
        <v>20.9882352941176</v>
      </c>
      <c r="I171">
        <v>54</v>
      </c>
      <c r="J171">
        <v>2009</v>
      </c>
      <c r="L171" t="s">
        <v>9268</v>
      </c>
      <c r="M171" t="s">
        <v>9405</v>
      </c>
      <c r="N171" t="s">
        <v>9406</v>
      </c>
      <c r="O171" t="s">
        <v>9270</v>
      </c>
      <c r="P171" t="s">
        <v>29</v>
      </c>
      <c r="Q171" t="s">
        <v>9267</v>
      </c>
    </row>
    <row r="172" spans="2:17">
      <c r="B172" t="s">
        <v>9407</v>
      </c>
      <c r="C172" t="s">
        <v>9267</v>
      </c>
      <c r="D172" t="s">
        <v>9266</v>
      </c>
      <c r="E172">
        <v>0.9755</v>
      </c>
      <c r="F172">
        <v>200</v>
      </c>
      <c r="G172">
        <v>2</v>
      </c>
      <c r="H172" s="7">
        <v>0.1</v>
      </c>
      <c r="I172">
        <v>54</v>
      </c>
      <c r="J172">
        <v>2019</v>
      </c>
      <c r="L172" t="s">
        <v>9268</v>
      </c>
      <c r="M172" t="s">
        <v>9407</v>
      </c>
      <c r="N172" t="s">
        <v>9408</v>
      </c>
      <c r="O172" t="s">
        <v>9270</v>
      </c>
      <c r="P172" t="s">
        <v>29</v>
      </c>
      <c r="Q172" t="s">
        <v>9267</v>
      </c>
    </row>
    <row r="173" spans="2:17">
      <c r="B173" t="s">
        <v>9409</v>
      </c>
      <c r="C173" t="s">
        <v>9267</v>
      </c>
      <c r="D173" t="s">
        <v>9266</v>
      </c>
      <c r="E173">
        <v>0.9755</v>
      </c>
      <c r="F173">
        <v>200</v>
      </c>
      <c r="G173">
        <v>2</v>
      </c>
      <c r="H173" s="7">
        <v>5.1</v>
      </c>
      <c r="I173">
        <v>54</v>
      </c>
      <c r="J173">
        <v>2000</v>
      </c>
      <c r="L173" t="s">
        <v>9268</v>
      </c>
      <c r="M173" t="s">
        <v>9409</v>
      </c>
      <c r="N173" t="s">
        <v>9410</v>
      </c>
      <c r="O173" t="s">
        <v>9270</v>
      </c>
      <c r="P173" t="s">
        <v>29</v>
      </c>
      <c r="Q173" t="s">
        <v>9267</v>
      </c>
    </row>
    <row r="174" spans="2:17">
      <c r="B174" t="s">
        <v>9411</v>
      </c>
      <c r="C174" t="s">
        <v>9267</v>
      </c>
      <c r="D174" t="s">
        <v>9266</v>
      </c>
      <c r="E174">
        <v>0.9755</v>
      </c>
      <c r="F174">
        <v>200</v>
      </c>
      <c r="G174">
        <v>2</v>
      </c>
      <c r="H174" s="7">
        <v>0.21</v>
      </c>
      <c r="I174">
        <v>54</v>
      </c>
      <c r="J174">
        <v>2022</v>
      </c>
      <c r="L174" t="s">
        <v>9268</v>
      </c>
      <c r="M174" t="s">
        <v>9411</v>
      </c>
      <c r="N174" t="s">
        <v>9412</v>
      </c>
      <c r="O174" t="s">
        <v>9270</v>
      </c>
      <c r="P174" t="s">
        <v>29</v>
      </c>
      <c r="Q174" t="s">
        <v>9267</v>
      </c>
    </row>
    <row r="175" spans="2:17">
      <c r="B175" t="s">
        <v>9411</v>
      </c>
      <c r="C175" t="s">
        <v>9267</v>
      </c>
      <c r="D175" t="s">
        <v>9266</v>
      </c>
      <c r="E175">
        <v>0.9755</v>
      </c>
      <c r="F175">
        <v>200</v>
      </c>
      <c r="G175">
        <v>2</v>
      </c>
      <c r="H175" s="7">
        <v>3</v>
      </c>
      <c r="I175">
        <v>54</v>
      </c>
      <c r="J175">
        <v>2015</v>
      </c>
      <c r="L175" t="s">
        <v>9268</v>
      </c>
      <c r="M175" t="s">
        <v>9411</v>
      </c>
      <c r="N175" t="s">
        <v>9412</v>
      </c>
      <c r="O175" t="s">
        <v>9270</v>
      </c>
      <c r="P175" t="s">
        <v>29</v>
      </c>
      <c r="Q175" t="s">
        <v>9267</v>
      </c>
    </row>
    <row r="176" spans="2:17">
      <c r="B176" t="s">
        <v>9413</v>
      </c>
      <c r="C176" t="s">
        <v>9267</v>
      </c>
      <c r="D176" t="s">
        <v>9266</v>
      </c>
      <c r="E176">
        <v>0.9755</v>
      </c>
      <c r="F176">
        <v>200</v>
      </c>
      <c r="G176">
        <v>2</v>
      </c>
      <c r="H176" s="7">
        <v>4.9</v>
      </c>
      <c r="I176">
        <v>54</v>
      </c>
      <c r="J176">
        <v>2005</v>
      </c>
      <c r="L176" t="s">
        <v>9268</v>
      </c>
      <c r="M176" t="s">
        <v>9413</v>
      </c>
      <c r="N176" t="s">
        <v>9414</v>
      </c>
      <c r="O176" t="s">
        <v>9270</v>
      </c>
      <c r="P176" t="s">
        <v>29</v>
      </c>
      <c r="Q176" t="s">
        <v>9267</v>
      </c>
    </row>
    <row r="177" spans="2:17">
      <c r="B177" t="s">
        <v>9413</v>
      </c>
      <c r="C177" t="s">
        <v>9267</v>
      </c>
      <c r="D177" t="s">
        <v>9266</v>
      </c>
      <c r="E177">
        <v>0.9755</v>
      </c>
      <c r="F177">
        <v>200</v>
      </c>
      <c r="G177">
        <v>2</v>
      </c>
      <c r="H177" s="7">
        <v>5</v>
      </c>
      <c r="I177">
        <v>54</v>
      </c>
      <c r="J177">
        <v>2019</v>
      </c>
      <c r="L177" t="s">
        <v>9268</v>
      </c>
      <c r="M177" t="s">
        <v>9413</v>
      </c>
      <c r="N177" t="s">
        <v>9414</v>
      </c>
      <c r="O177" t="s">
        <v>9270</v>
      </c>
      <c r="P177" t="s">
        <v>29</v>
      </c>
      <c r="Q177" t="s">
        <v>9267</v>
      </c>
    </row>
    <row r="178" spans="2:17">
      <c r="B178" t="s">
        <v>9413</v>
      </c>
      <c r="C178" t="s">
        <v>9267</v>
      </c>
      <c r="D178" t="s">
        <v>9266</v>
      </c>
      <c r="E178">
        <v>0.9755</v>
      </c>
      <c r="F178">
        <v>200</v>
      </c>
      <c r="G178">
        <v>2</v>
      </c>
      <c r="H178" s="7">
        <v>5</v>
      </c>
      <c r="I178">
        <v>54</v>
      </c>
      <c r="J178">
        <v>2020</v>
      </c>
      <c r="L178" t="s">
        <v>9268</v>
      </c>
      <c r="M178" t="s">
        <v>9413</v>
      </c>
      <c r="N178" t="s">
        <v>9414</v>
      </c>
      <c r="O178" t="s">
        <v>9270</v>
      </c>
      <c r="P178" t="s">
        <v>29</v>
      </c>
      <c r="Q178" t="s">
        <v>9267</v>
      </c>
    </row>
    <row r="179" spans="2:17">
      <c r="B179" t="s">
        <v>9413</v>
      </c>
      <c r="C179" t="s">
        <v>9267</v>
      </c>
      <c r="D179" t="s">
        <v>9266</v>
      </c>
      <c r="E179">
        <v>0.9755</v>
      </c>
      <c r="F179">
        <v>200</v>
      </c>
      <c r="G179">
        <v>2</v>
      </c>
      <c r="H179" s="7">
        <v>5</v>
      </c>
      <c r="I179">
        <v>54</v>
      </c>
      <c r="J179">
        <v>2022</v>
      </c>
      <c r="L179" t="s">
        <v>9268</v>
      </c>
      <c r="M179" t="s">
        <v>9413</v>
      </c>
      <c r="N179" t="s">
        <v>9414</v>
      </c>
      <c r="O179" t="s">
        <v>9270</v>
      </c>
      <c r="P179" t="s">
        <v>29</v>
      </c>
      <c r="Q179" t="s">
        <v>9267</v>
      </c>
    </row>
    <row r="180" spans="2:17">
      <c r="B180" t="s">
        <v>9413</v>
      </c>
      <c r="C180" t="s">
        <v>9267</v>
      </c>
      <c r="D180" t="s">
        <v>9266</v>
      </c>
      <c r="E180">
        <v>0.9755</v>
      </c>
      <c r="F180">
        <v>200</v>
      </c>
      <c r="G180">
        <v>2</v>
      </c>
      <c r="H180" s="7">
        <v>6.9</v>
      </c>
      <c r="I180">
        <v>54</v>
      </c>
      <c r="J180">
        <v>2013</v>
      </c>
      <c r="L180" t="s">
        <v>9268</v>
      </c>
      <c r="M180" t="s">
        <v>9413</v>
      </c>
      <c r="N180" t="s">
        <v>9414</v>
      </c>
      <c r="O180" t="s">
        <v>9270</v>
      </c>
      <c r="P180" t="s">
        <v>29</v>
      </c>
      <c r="Q180" t="s">
        <v>9267</v>
      </c>
    </row>
    <row r="181" spans="2:17">
      <c r="B181" t="s">
        <v>9413</v>
      </c>
      <c r="C181" t="s">
        <v>9267</v>
      </c>
      <c r="D181" t="s">
        <v>9266</v>
      </c>
      <c r="E181">
        <v>0.9755</v>
      </c>
      <c r="F181">
        <v>200</v>
      </c>
      <c r="G181">
        <v>2</v>
      </c>
      <c r="H181" s="7">
        <v>17.5</v>
      </c>
      <c r="I181">
        <v>54</v>
      </c>
      <c r="J181">
        <v>2004</v>
      </c>
      <c r="L181" t="s">
        <v>9268</v>
      </c>
      <c r="M181" t="s">
        <v>9413</v>
      </c>
      <c r="N181" t="s">
        <v>9414</v>
      </c>
      <c r="O181" t="s">
        <v>9270</v>
      </c>
      <c r="P181" t="s">
        <v>29</v>
      </c>
      <c r="Q181" t="s">
        <v>9267</v>
      </c>
    </row>
    <row r="182" spans="2:17">
      <c r="B182" t="s">
        <v>9415</v>
      </c>
      <c r="C182" t="s">
        <v>9267</v>
      </c>
      <c r="D182" t="s">
        <v>9266</v>
      </c>
      <c r="E182">
        <v>0.9755</v>
      </c>
      <c r="F182">
        <v>200</v>
      </c>
      <c r="G182">
        <v>2</v>
      </c>
      <c r="H182" s="7">
        <v>2.5</v>
      </c>
      <c r="I182">
        <v>54</v>
      </c>
      <c r="J182">
        <v>1971</v>
      </c>
      <c r="L182" t="s">
        <v>9268</v>
      </c>
      <c r="M182" t="s">
        <v>9415</v>
      </c>
      <c r="N182" t="s">
        <v>9416</v>
      </c>
      <c r="O182" t="s">
        <v>9270</v>
      </c>
      <c r="P182" t="s">
        <v>29</v>
      </c>
      <c r="Q182" t="s">
        <v>9267</v>
      </c>
    </row>
    <row r="183" spans="2:17">
      <c r="B183" t="s">
        <v>9417</v>
      </c>
      <c r="C183" t="s">
        <v>9267</v>
      </c>
      <c r="D183" t="s">
        <v>9266</v>
      </c>
      <c r="E183">
        <v>0.9755</v>
      </c>
      <c r="F183">
        <v>200</v>
      </c>
      <c r="G183">
        <v>2</v>
      </c>
      <c r="H183" s="7">
        <v>0.5</v>
      </c>
      <c r="I183">
        <v>54</v>
      </c>
      <c r="J183">
        <v>2016</v>
      </c>
      <c r="L183" t="s">
        <v>9268</v>
      </c>
      <c r="M183" t="s">
        <v>9417</v>
      </c>
      <c r="N183" t="s">
        <v>9418</v>
      </c>
      <c r="O183" t="s">
        <v>9270</v>
      </c>
      <c r="P183" t="s">
        <v>29</v>
      </c>
      <c r="Q183" t="s">
        <v>9267</v>
      </c>
    </row>
    <row r="184" spans="2:17">
      <c r="B184" t="s">
        <v>9419</v>
      </c>
      <c r="C184" t="s">
        <v>9267</v>
      </c>
      <c r="D184" t="s">
        <v>9266</v>
      </c>
      <c r="E184">
        <v>0.9755</v>
      </c>
      <c r="F184">
        <v>200</v>
      </c>
      <c r="G184">
        <v>2</v>
      </c>
      <c r="H184" s="7">
        <v>0</v>
      </c>
      <c r="I184">
        <v>54</v>
      </c>
      <c r="J184">
        <v>2019</v>
      </c>
      <c r="L184" t="s">
        <v>9268</v>
      </c>
      <c r="M184" t="s">
        <v>9419</v>
      </c>
      <c r="N184" t="s">
        <v>9420</v>
      </c>
      <c r="O184" t="s">
        <v>9270</v>
      </c>
      <c r="P184" t="s">
        <v>29</v>
      </c>
      <c r="Q184" t="s">
        <v>9267</v>
      </c>
    </row>
    <row r="185" spans="2:17">
      <c r="B185" t="s">
        <v>9419</v>
      </c>
      <c r="C185" t="s">
        <v>9267</v>
      </c>
      <c r="D185" t="s">
        <v>9266</v>
      </c>
      <c r="E185">
        <v>0.9755</v>
      </c>
      <c r="F185">
        <v>200</v>
      </c>
      <c r="G185">
        <v>2</v>
      </c>
      <c r="H185" s="7">
        <v>0</v>
      </c>
      <c r="I185">
        <v>54</v>
      </c>
      <c r="J185">
        <v>2020</v>
      </c>
      <c r="L185" t="s">
        <v>9268</v>
      </c>
      <c r="M185" t="s">
        <v>9419</v>
      </c>
      <c r="N185" t="s">
        <v>9420</v>
      </c>
      <c r="O185" t="s">
        <v>9270</v>
      </c>
      <c r="P185" t="s">
        <v>29</v>
      </c>
      <c r="Q185" t="s">
        <v>9267</v>
      </c>
    </row>
    <row r="186" spans="2:17">
      <c r="B186" t="s">
        <v>9419</v>
      </c>
      <c r="C186" t="s">
        <v>9267</v>
      </c>
      <c r="D186" t="s">
        <v>9266</v>
      </c>
      <c r="E186">
        <v>0.9755</v>
      </c>
      <c r="F186">
        <v>200</v>
      </c>
      <c r="G186">
        <v>2</v>
      </c>
      <c r="H186" s="7">
        <v>0</v>
      </c>
      <c r="I186">
        <v>54</v>
      </c>
      <c r="J186">
        <v>2025</v>
      </c>
      <c r="L186" t="s">
        <v>9268</v>
      </c>
      <c r="M186" t="s">
        <v>9419</v>
      </c>
      <c r="N186" t="s">
        <v>9420</v>
      </c>
      <c r="O186" t="s">
        <v>9270</v>
      </c>
      <c r="P186" t="s">
        <v>29</v>
      </c>
      <c r="Q186" t="s">
        <v>9267</v>
      </c>
    </row>
    <row r="187" spans="2:17">
      <c r="B187" t="s">
        <v>9419</v>
      </c>
      <c r="C187" t="s">
        <v>9267</v>
      </c>
      <c r="D187" t="s">
        <v>9266</v>
      </c>
      <c r="E187">
        <v>0.9755</v>
      </c>
      <c r="F187">
        <v>200</v>
      </c>
      <c r="G187">
        <v>2</v>
      </c>
      <c r="H187" s="7">
        <v>0.1</v>
      </c>
      <c r="I187">
        <v>54</v>
      </c>
      <c r="J187">
        <v>2003</v>
      </c>
      <c r="L187" t="s">
        <v>9268</v>
      </c>
      <c r="M187" t="s">
        <v>9419</v>
      </c>
      <c r="N187" t="s">
        <v>9420</v>
      </c>
      <c r="O187" t="s">
        <v>9270</v>
      </c>
      <c r="P187" t="s">
        <v>29</v>
      </c>
      <c r="Q187" t="s">
        <v>9267</v>
      </c>
    </row>
    <row r="188" spans="2:17">
      <c r="B188" t="s">
        <v>9419</v>
      </c>
      <c r="C188" t="s">
        <v>9267</v>
      </c>
      <c r="D188" t="s">
        <v>9266</v>
      </c>
      <c r="E188">
        <v>0.9755</v>
      </c>
      <c r="F188">
        <v>200</v>
      </c>
      <c r="G188">
        <v>2</v>
      </c>
      <c r="H188" s="7">
        <v>0.763234147058823</v>
      </c>
      <c r="I188">
        <v>54</v>
      </c>
      <c r="J188">
        <v>1993</v>
      </c>
      <c r="L188" t="s">
        <v>9268</v>
      </c>
      <c r="M188" t="s">
        <v>9419</v>
      </c>
      <c r="N188" t="s">
        <v>9420</v>
      </c>
      <c r="O188" t="s">
        <v>9270</v>
      </c>
      <c r="P188" t="s">
        <v>29</v>
      </c>
      <c r="Q188" t="s">
        <v>9267</v>
      </c>
    </row>
    <row r="189" spans="2:17">
      <c r="B189" t="s">
        <v>9419</v>
      </c>
      <c r="C189" t="s">
        <v>9267</v>
      </c>
      <c r="D189" t="s">
        <v>9266</v>
      </c>
      <c r="E189">
        <v>0.9755</v>
      </c>
      <c r="F189">
        <v>200</v>
      </c>
      <c r="G189">
        <v>2</v>
      </c>
      <c r="H189" s="7">
        <v>1</v>
      </c>
      <c r="I189">
        <v>54</v>
      </c>
      <c r="J189">
        <v>2022</v>
      </c>
      <c r="L189" t="s">
        <v>9268</v>
      </c>
      <c r="M189" t="s">
        <v>9419</v>
      </c>
      <c r="N189" t="s">
        <v>9420</v>
      </c>
      <c r="O189" t="s">
        <v>9270</v>
      </c>
      <c r="P189" t="s">
        <v>29</v>
      </c>
      <c r="Q189" t="s">
        <v>9267</v>
      </c>
    </row>
    <row r="190" spans="2:17">
      <c r="B190" t="s">
        <v>9419</v>
      </c>
      <c r="C190" t="s">
        <v>9267</v>
      </c>
      <c r="D190" t="s">
        <v>9266</v>
      </c>
      <c r="E190">
        <v>0.9755</v>
      </c>
      <c r="F190">
        <v>200</v>
      </c>
      <c r="G190">
        <v>2</v>
      </c>
      <c r="H190" s="7">
        <v>1.7</v>
      </c>
      <c r="I190">
        <v>54</v>
      </c>
      <c r="J190">
        <v>2016</v>
      </c>
      <c r="L190" t="s">
        <v>9268</v>
      </c>
      <c r="M190" t="s">
        <v>9419</v>
      </c>
      <c r="N190" t="s">
        <v>9420</v>
      </c>
      <c r="O190" t="s">
        <v>9270</v>
      </c>
      <c r="P190" t="s">
        <v>29</v>
      </c>
      <c r="Q190" t="s">
        <v>9267</v>
      </c>
    </row>
    <row r="191" spans="2:17">
      <c r="B191" t="s">
        <v>9419</v>
      </c>
      <c r="C191" t="s">
        <v>9267</v>
      </c>
      <c r="D191" t="s">
        <v>9266</v>
      </c>
      <c r="E191">
        <v>0.9755</v>
      </c>
      <c r="F191">
        <v>200</v>
      </c>
      <c r="G191">
        <v>2</v>
      </c>
      <c r="H191" s="7">
        <v>2.1</v>
      </c>
      <c r="I191">
        <v>54</v>
      </c>
      <c r="J191">
        <v>2013</v>
      </c>
      <c r="L191" t="s">
        <v>9268</v>
      </c>
      <c r="M191" t="s">
        <v>9419</v>
      </c>
      <c r="N191" t="s">
        <v>9420</v>
      </c>
      <c r="O191" t="s">
        <v>9270</v>
      </c>
      <c r="P191" t="s">
        <v>29</v>
      </c>
      <c r="Q191" t="s">
        <v>9267</v>
      </c>
    </row>
    <row r="192" spans="2:17">
      <c r="B192" t="s">
        <v>9419</v>
      </c>
      <c r="C192" t="s">
        <v>9267</v>
      </c>
      <c r="D192" t="s">
        <v>9266</v>
      </c>
      <c r="E192">
        <v>0.9755</v>
      </c>
      <c r="F192">
        <v>200</v>
      </c>
      <c r="G192">
        <v>2</v>
      </c>
      <c r="H192" s="7">
        <v>2.13235294117647</v>
      </c>
      <c r="I192">
        <v>54</v>
      </c>
      <c r="J192">
        <v>1991</v>
      </c>
      <c r="L192" t="s">
        <v>9268</v>
      </c>
      <c r="M192" t="s">
        <v>9419</v>
      </c>
      <c r="N192" t="s">
        <v>9420</v>
      </c>
      <c r="O192" t="s">
        <v>9270</v>
      </c>
      <c r="P192" t="s">
        <v>29</v>
      </c>
      <c r="Q192" t="s">
        <v>9267</v>
      </c>
    </row>
    <row r="193" spans="2:17">
      <c r="B193" t="s">
        <v>9419</v>
      </c>
      <c r="C193" t="s">
        <v>9267</v>
      </c>
      <c r="D193" t="s">
        <v>9266</v>
      </c>
      <c r="E193">
        <v>0.9755</v>
      </c>
      <c r="F193">
        <v>200</v>
      </c>
      <c r="G193">
        <v>2</v>
      </c>
      <c r="H193" s="7">
        <v>2.2</v>
      </c>
      <c r="I193">
        <v>54</v>
      </c>
      <c r="J193">
        <v>1972</v>
      </c>
      <c r="L193" t="s">
        <v>9268</v>
      </c>
      <c r="M193" t="s">
        <v>9419</v>
      </c>
      <c r="N193" t="s">
        <v>9420</v>
      </c>
      <c r="O193" t="s">
        <v>9270</v>
      </c>
      <c r="P193" t="s">
        <v>29</v>
      </c>
      <c r="Q193" t="s">
        <v>9267</v>
      </c>
    </row>
    <row r="194" spans="2:17">
      <c r="B194" t="s">
        <v>9419</v>
      </c>
      <c r="C194" t="s">
        <v>9267</v>
      </c>
      <c r="D194" t="s">
        <v>9266</v>
      </c>
      <c r="E194">
        <v>0.9755</v>
      </c>
      <c r="F194">
        <v>200</v>
      </c>
      <c r="G194">
        <v>2</v>
      </c>
      <c r="H194" s="7">
        <v>2.30882352941176</v>
      </c>
      <c r="I194">
        <v>54</v>
      </c>
      <c r="J194">
        <v>2015</v>
      </c>
      <c r="L194" t="s">
        <v>9268</v>
      </c>
      <c r="M194" t="s">
        <v>9419</v>
      </c>
      <c r="N194" t="s">
        <v>9420</v>
      </c>
      <c r="O194" t="s">
        <v>9270</v>
      </c>
      <c r="P194" t="s">
        <v>29</v>
      </c>
      <c r="Q194" t="s">
        <v>9267</v>
      </c>
    </row>
    <row r="195" spans="2:17">
      <c r="B195" t="s">
        <v>9419</v>
      </c>
      <c r="C195" t="s">
        <v>9267</v>
      </c>
      <c r="D195" t="s">
        <v>9266</v>
      </c>
      <c r="E195">
        <v>0.9755</v>
      </c>
      <c r="F195">
        <v>200</v>
      </c>
      <c r="G195">
        <v>2</v>
      </c>
      <c r="H195" s="7">
        <v>2.4</v>
      </c>
      <c r="I195">
        <v>54</v>
      </c>
      <c r="J195">
        <v>2014</v>
      </c>
      <c r="L195" t="s">
        <v>9268</v>
      </c>
      <c r="M195" t="s">
        <v>9419</v>
      </c>
      <c r="N195" t="s">
        <v>9420</v>
      </c>
      <c r="O195" t="s">
        <v>9270</v>
      </c>
      <c r="P195" t="s">
        <v>29</v>
      </c>
      <c r="Q195" t="s">
        <v>9267</v>
      </c>
    </row>
    <row r="196" spans="2:17">
      <c r="B196" t="s">
        <v>9419</v>
      </c>
      <c r="C196" t="s">
        <v>9267</v>
      </c>
      <c r="D196" t="s">
        <v>9266</v>
      </c>
      <c r="E196">
        <v>0.9755</v>
      </c>
      <c r="F196">
        <v>200</v>
      </c>
      <c r="G196">
        <v>2</v>
      </c>
      <c r="H196" s="7">
        <v>2.6</v>
      </c>
      <c r="I196">
        <v>54</v>
      </c>
      <c r="J196">
        <v>2021</v>
      </c>
      <c r="L196" t="s">
        <v>9268</v>
      </c>
      <c r="M196" t="s">
        <v>9419</v>
      </c>
      <c r="N196" t="s">
        <v>9420</v>
      </c>
      <c r="O196" t="s">
        <v>9270</v>
      </c>
      <c r="P196" t="s">
        <v>29</v>
      </c>
      <c r="Q196" t="s">
        <v>9267</v>
      </c>
    </row>
    <row r="197" spans="2:17">
      <c r="B197" t="s">
        <v>9419</v>
      </c>
      <c r="C197" t="s">
        <v>9267</v>
      </c>
      <c r="D197" t="s">
        <v>9266</v>
      </c>
      <c r="E197">
        <v>0.9755</v>
      </c>
      <c r="F197">
        <v>200</v>
      </c>
      <c r="G197">
        <v>2</v>
      </c>
      <c r="H197" s="7">
        <v>3.52058823529412</v>
      </c>
      <c r="I197">
        <v>54</v>
      </c>
      <c r="J197">
        <v>2012</v>
      </c>
      <c r="L197" t="s">
        <v>9268</v>
      </c>
      <c r="M197" t="s">
        <v>9419</v>
      </c>
      <c r="N197" t="s">
        <v>9420</v>
      </c>
      <c r="O197" t="s">
        <v>9270</v>
      </c>
      <c r="P197" t="s">
        <v>29</v>
      </c>
      <c r="Q197" t="s">
        <v>9267</v>
      </c>
    </row>
    <row r="198" spans="2:17">
      <c r="B198" t="s">
        <v>9419</v>
      </c>
      <c r="C198" t="s">
        <v>9267</v>
      </c>
      <c r="D198" t="s">
        <v>9266</v>
      </c>
      <c r="E198">
        <v>0.9755</v>
      </c>
      <c r="F198">
        <v>200</v>
      </c>
      <c r="G198">
        <v>2</v>
      </c>
      <c r="H198" s="7">
        <v>3.54294117647059</v>
      </c>
      <c r="I198">
        <v>54</v>
      </c>
      <c r="J198">
        <v>2011</v>
      </c>
      <c r="L198" t="s">
        <v>9268</v>
      </c>
      <c r="M198" t="s">
        <v>9419</v>
      </c>
      <c r="N198" t="s">
        <v>9420</v>
      </c>
      <c r="O198" t="s">
        <v>9270</v>
      </c>
      <c r="P198" t="s">
        <v>29</v>
      </c>
      <c r="Q198" t="s">
        <v>9267</v>
      </c>
    </row>
    <row r="199" spans="2:17">
      <c r="B199" t="s">
        <v>9419</v>
      </c>
      <c r="C199" t="s">
        <v>9267</v>
      </c>
      <c r="D199" t="s">
        <v>9266</v>
      </c>
      <c r="E199">
        <v>0.9755</v>
      </c>
      <c r="F199">
        <v>200</v>
      </c>
      <c r="G199">
        <v>2</v>
      </c>
      <c r="H199" s="7">
        <v>3.92</v>
      </c>
      <c r="I199">
        <v>54</v>
      </c>
      <c r="J199">
        <v>1996</v>
      </c>
      <c r="L199" t="s">
        <v>9268</v>
      </c>
      <c r="M199" t="s">
        <v>9419</v>
      </c>
      <c r="N199" t="s">
        <v>9420</v>
      </c>
      <c r="O199" t="s">
        <v>9270</v>
      </c>
      <c r="P199" t="s">
        <v>29</v>
      </c>
      <c r="Q199" t="s">
        <v>9267</v>
      </c>
    </row>
    <row r="200" spans="2:17">
      <c r="B200" t="s">
        <v>9419</v>
      </c>
      <c r="C200" t="s">
        <v>9267</v>
      </c>
      <c r="D200" t="s">
        <v>9266</v>
      </c>
      <c r="E200">
        <v>0.9755</v>
      </c>
      <c r="F200">
        <v>200</v>
      </c>
      <c r="G200">
        <v>2</v>
      </c>
      <c r="H200" s="7">
        <v>5.17</v>
      </c>
      <c r="I200">
        <v>54</v>
      </c>
      <c r="J200">
        <v>1997</v>
      </c>
      <c r="L200" t="s">
        <v>9268</v>
      </c>
      <c r="M200" t="s">
        <v>9419</v>
      </c>
      <c r="N200" t="s">
        <v>9420</v>
      </c>
      <c r="O200" t="s">
        <v>9270</v>
      </c>
      <c r="P200" t="s">
        <v>29</v>
      </c>
      <c r="Q200" t="s">
        <v>9267</v>
      </c>
    </row>
    <row r="201" spans="2:17">
      <c r="B201" t="s">
        <v>9419</v>
      </c>
      <c r="C201" t="s">
        <v>9267</v>
      </c>
      <c r="D201" t="s">
        <v>9266</v>
      </c>
      <c r="E201">
        <v>0.9755</v>
      </c>
      <c r="F201">
        <v>200</v>
      </c>
      <c r="G201">
        <v>2</v>
      </c>
      <c r="H201" s="7">
        <v>6.39705882352941</v>
      </c>
      <c r="I201">
        <v>54</v>
      </c>
      <c r="J201">
        <v>1987</v>
      </c>
      <c r="L201" t="s">
        <v>9268</v>
      </c>
      <c r="M201" t="s">
        <v>9419</v>
      </c>
      <c r="N201" t="s">
        <v>9420</v>
      </c>
      <c r="O201" t="s">
        <v>9270</v>
      </c>
      <c r="P201" t="s">
        <v>29</v>
      </c>
      <c r="Q201" t="s">
        <v>9267</v>
      </c>
    </row>
    <row r="202" spans="2:17">
      <c r="B202" t="s">
        <v>9419</v>
      </c>
      <c r="C202" t="s">
        <v>9267</v>
      </c>
      <c r="D202" t="s">
        <v>9266</v>
      </c>
      <c r="E202">
        <v>0.9755</v>
      </c>
      <c r="F202">
        <v>200</v>
      </c>
      <c r="G202">
        <v>2</v>
      </c>
      <c r="H202" s="7">
        <v>6.5</v>
      </c>
      <c r="I202">
        <v>54</v>
      </c>
      <c r="J202">
        <v>2018</v>
      </c>
      <c r="L202" t="s">
        <v>9268</v>
      </c>
      <c r="M202" t="s">
        <v>9419</v>
      </c>
      <c r="N202" t="s">
        <v>9420</v>
      </c>
      <c r="O202" t="s">
        <v>9270</v>
      </c>
      <c r="P202" t="s">
        <v>29</v>
      </c>
      <c r="Q202" t="s">
        <v>9267</v>
      </c>
    </row>
    <row r="203" spans="2:17">
      <c r="B203" t="s">
        <v>9419</v>
      </c>
      <c r="C203" t="s">
        <v>9267</v>
      </c>
      <c r="D203" t="s">
        <v>9266</v>
      </c>
      <c r="E203">
        <v>0.9755</v>
      </c>
      <c r="F203">
        <v>200</v>
      </c>
      <c r="G203">
        <v>2</v>
      </c>
      <c r="H203" s="7">
        <v>7.5</v>
      </c>
      <c r="I203">
        <v>54</v>
      </c>
      <c r="J203">
        <v>1978</v>
      </c>
      <c r="L203" t="s">
        <v>9268</v>
      </c>
      <c r="M203" t="s">
        <v>9419</v>
      </c>
      <c r="N203" t="s">
        <v>9420</v>
      </c>
      <c r="O203" t="s">
        <v>9270</v>
      </c>
      <c r="P203" t="s">
        <v>29</v>
      </c>
      <c r="Q203" t="s">
        <v>9267</v>
      </c>
    </row>
    <row r="204" spans="2:17">
      <c r="B204" t="s">
        <v>9419</v>
      </c>
      <c r="C204" t="s">
        <v>9267</v>
      </c>
      <c r="D204" t="s">
        <v>9266</v>
      </c>
      <c r="E204">
        <v>0.9755</v>
      </c>
      <c r="F204">
        <v>200</v>
      </c>
      <c r="G204">
        <v>2</v>
      </c>
      <c r="H204" s="7">
        <v>7.62764705882353</v>
      </c>
      <c r="I204">
        <v>54</v>
      </c>
      <c r="J204">
        <v>1990</v>
      </c>
      <c r="L204" t="s">
        <v>9268</v>
      </c>
      <c r="M204" t="s">
        <v>9419</v>
      </c>
      <c r="N204" t="s">
        <v>9420</v>
      </c>
      <c r="O204" t="s">
        <v>9270</v>
      </c>
      <c r="P204" t="s">
        <v>29</v>
      </c>
      <c r="Q204" t="s">
        <v>9267</v>
      </c>
    </row>
    <row r="205" spans="2:17">
      <c r="B205" t="s">
        <v>9419</v>
      </c>
      <c r="C205" t="s">
        <v>9267</v>
      </c>
      <c r="D205" t="s">
        <v>9266</v>
      </c>
      <c r="E205">
        <v>0.9755</v>
      </c>
      <c r="F205">
        <v>200</v>
      </c>
      <c r="G205">
        <v>2</v>
      </c>
      <c r="H205" s="7">
        <v>7.7</v>
      </c>
      <c r="I205">
        <v>54</v>
      </c>
      <c r="J205">
        <v>2001</v>
      </c>
      <c r="L205" t="s">
        <v>9268</v>
      </c>
      <c r="M205" t="s">
        <v>9419</v>
      </c>
      <c r="N205" t="s">
        <v>9420</v>
      </c>
      <c r="O205" t="s">
        <v>9270</v>
      </c>
      <c r="P205" t="s">
        <v>29</v>
      </c>
      <c r="Q205" t="s">
        <v>9267</v>
      </c>
    </row>
    <row r="206" spans="2:17">
      <c r="B206" t="s">
        <v>9419</v>
      </c>
      <c r="C206" t="s">
        <v>9267</v>
      </c>
      <c r="D206" t="s">
        <v>9266</v>
      </c>
      <c r="E206">
        <v>0.9755</v>
      </c>
      <c r="F206">
        <v>200</v>
      </c>
      <c r="G206">
        <v>2</v>
      </c>
      <c r="H206" s="7">
        <v>10.4</v>
      </c>
      <c r="I206">
        <v>54</v>
      </c>
      <c r="J206">
        <v>1998</v>
      </c>
      <c r="L206" t="s">
        <v>9268</v>
      </c>
      <c r="M206" t="s">
        <v>9419</v>
      </c>
      <c r="N206" t="s">
        <v>9420</v>
      </c>
      <c r="O206" t="s">
        <v>9270</v>
      </c>
      <c r="P206" t="s">
        <v>29</v>
      </c>
      <c r="Q206" t="s">
        <v>9267</v>
      </c>
    </row>
    <row r="207" spans="2:17">
      <c r="B207" t="s">
        <v>9419</v>
      </c>
      <c r="C207" t="s">
        <v>9267</v>
      </c>
      <c r="D207" t="s">
        <v>9266</v>
      </c>
      <c r="E207">
        <v>0.9755</v>
      </c>
      <c r="F207">
        <v>200</v>
      </c>
      <c r="G207">
        <v>2</v>
      </c>
      <c r="H207" s="7">
        <v>10.6617647058824</v>
      </c>
      <c r="I207">
        <v>54</v>
      </c>
      <c r="J207">
        <v>2006</v>
      </c>
      <c r="L207" t="s">
        <v>9268</v>
      </c>
      <c r="M207" t="s">
        <v>9419</v>
      </c>
      <c r="N207" t="s">
        <v>9420</v>
      </c>
      <c r="O207" t="s">
        <v>9270</v>
      </c>
      <c r="P207" t="s">
        <v>29</v>
      </c>
      <c r="Q207" t="s">
        <v>9267</v>
      </c>
    </row>
    <row r="208" spans="2:17">
      <c r="B208" t="s">
        <v>9419</v>
      </c>
      <c r="C208" t="s">
        <v>9267</v>
      </c>
      <c r="D208" t="s">
        <v>9266</v>
      </c>
      <c r="E208">
        <v>0.9755</v>
      </c>
      <c r="F208">
        <v>200</v>
      </c>
      <c r="G208">
        <v>2</v>
      </c>
      <c r="H208" s="7">
        <v>10.9</v>
      </c>
      <c r="I208">
        <v>54</v>
      </c>
      <c r="J208">
        <v>1983</v>
      </c>
      <c r="L208" t="s">
        <v>9268</v>
      </c>
      <c r="M208" t="s">
        <v>9419</v>
      </c>
      <c r="N208" t="s">
        <v>9420</v>
      </c>
      <c r="O208" t="s">
        <v>9270</v>
      </c>
      <c r="P208" t="s">
        <v>29</v>
      </c>
      <c r="Q208" t="s">
        <v>9267</v>
      </c>
    </row>
    <row r="209" spans="2:17">
      <c r="B209" t="s">
        <v>9419</v>
      </c>
      <c r="C209" t="s">
        <v>9267</v>
      </c>
      <c r="D209" t="s">
        <v>9266</v>
      </c>
      <c r="E209">
        <v>0.9755</v>
      </c>
      <c r="F209">
        <v>200</v>
      </c>
      <c r="G209">
        <v>2</v>
      </c>
      <c r="H209" s="7">
        <v>12</v>
      </c>
      <c r="I209">
        <v>54</v>
      </c>
      <c r="J209">
        <v>1969</v>
      </c>
      <c r="L209" t="s">
        <v>9268</v>
      </c>
      <c r="M209" t="s">
        <v>9419</v>
      </c>
      <c r="N209" t="s">
        <v>9420</v>
      </c>
      <c r="O209" t="s">
        <v>9270</v>
      </c>
      <c r="P209" t="s">
        <v>29</v>
      </c>
      <c r="Q209" t="s">
        <v>9267</v>
      </c>
    </row>
    <row r="210" spans="2:17">
      <c r="B210" t="s">
        <v>9419</v>
      </c>
      <c r="C210" t="s">
        <v>9267</v>
      </c>
      <c r="D210" t="s">
        <v>9266</v>
      </c>
      <c r="E210">
        <v>0.9755</v>
      </c>
      <c r="F210">
        <v>200</v>
      </c>
      <c r="G210">
        <v>2</v>
      </c>
      <c r="H210" s="7">
        <v>13.9882352941176</v>
      </c>
      <c r="I210">
        <v>54</v>
      </c>
      <c r="J210">
        <v>1979</v>
      </c>
      <c r="L210" t="s">
        <v>9268</v>
      </c>
      <c r="M210" t="s">
        <v>9419</v>
      </c>
      <c r="N210" t="s">
        <v>9420</v>
      </c>
      <c r="O210" t="s">
        <v>9270</v>
      </c>
      <c r="P210" t="s">
        <v>29</v>
      </c>
      <c r="Q210" t="s">
        <v>9267</v>
      </c>
    </row>
    <row r="211" spans="2:17">
      <c r="B211" t="s">
        <v>9419</v>
      </c>
      <c r="C211" t="s">
        <v>9267</v>
      </c>
      <c r="D211" t="s">
        <v>9266</v>
      </c>
      <c r="E211">
        <v>0.9755</v>
      </c>
      <c r="F211">
        <v>200</v>
      </c>
      <c r="G211">
        <v>2</v>
      </c>
      <c r="H211" s="7">
        <v>19.1176470588235</v>
      </c>
      <c r="I211">
        <v>54</v>
      </c>
      <c r="J211">
        <v>1977</v>
      </c>
      <c r="L211" t="s">
        <v>9268</v>
      </c>
      <c r="M211" t="s">
        <v>9419</v>
      </c>
      <c r="N211" t="s">
        <v>9420</v>
      </c>
      <c r="O211" t="s">
        <v>9270</v>
      </c>
      <c r="P211" t="s">
        <v>29</v>
      </c>
      <c r="Q211" t="s">
        <v>9267</v>
      </c>
    </row>
    <row r="212" spans="2:17">
      <c r="B212" t="s">
        <v>9419</v>
      </c>
      <c r="C212" t="s">
        <v>9267</v>
      </c>
      <c r="D212" t="s">
        <v>9266</v>
      </c>
      <c r="E212">
        <v>0.9755</v>
      </c>
      <c r="F212">
        <v>200</v>
      </c>
      <c r="G212">
        <v>2</v>
      </c>
      <c r="H212" s="7">
        <v>19.1176470588235</v>
      </c>
      <c r="I212">
        <v>54</v>
      </c>
      <c r="J212">
        <v>1985</v>
      </c>
      <c r="L212" t="s">
        <v>9268</v>
      </c>
      <c r="M212" t="s">
        <v>9419</v>
      </c>
      <c r="N212" t="s">
        <v>9420</v>
      </c>
      <c r="O212" t="s">
        <v>9270</v>
      </c>
      <c r="P212" t="s">
        <v>29</v>
      </c>
      <c r="Q212" t="s">
        <v>9267</v>
      </c>
    </row>
    <row r="213" spans="2:17">
      <c r="B213" t="s">
        <v>9419</v>
      </c>
      <c r="C213" t="s">
        <v>9267</v>
      </c>
      <c r="D213" t="s">
        <v>9266</v>
      </c>
      <c r="E213">
        <v>0.9755</v>
      </c>
      <c r="F213">
        <v>200</v>
      </c>
      <c r="G213">
        <v>2</v>
      </c>
      <c r="H213" s="7">
        <v>21.7647058823529</v>
      </c>
      <c r="I213">
        <v>54</v>
      </c>
      <c r="J213">
        <v>1984</v>
      </c>
      <c r="L213" t="s">
        <v>9268</v>
      </c>
      <c r="M213" t="s">
        <v>9419</v>
      </c>
      <c r="N213" t="s">
        <v>9420</v>
      </c>
      <c r="O213" t="s">
        <v>9270</v>
      </c>
      <c r="P213" t="s">
        <v>29</v>
      </c>
      <c r="Q213" t="s">
        <v>9267</v>
      </c>
    </row>
    <row r="214" spans="2:17">
      <c r="B214" t="s">
        <v>9419</v>
      </c>
      <c r="C214" t="s">
        <v>9267</v>
      </c>
      <c r="D214" t="s">
        <v>9266</v>
      </c>
      <c r="E214">
        <v>0.9755</v>
      </c>
      <c r="F214">
        <v>200</v>
      </c>
      <c r="G214">
        <v>2</v>
      </c>
      <c r="H214" s="7">
        <v>35.5</v>
      </c>
      <c r="I214">
        <v>54</v>
      </c>
      <c r="J214">
        <v>1973</v>
      </c>
      <c r="L214" t="s">
        <v>9268</v>
      </c>
      <c r="M214" t="s">
        <v>9419</v>
      </c>
      <c r="N214" t="s">
        <v>9420</v>
      </c>
      <c r="O214" t="s">
        <v>9270</v>
      </c>
      <c r="P214" t="s">
        <v>29</v>
      </c>
      <c r="Q214" t="s">
        <v>9267</v>
      </c>
    </row>
    <row r="215" spans="2:17">
      <c r="B215" t="s">
        <v>9421</v>
      </c>
      <c r="C215" t="s">
        <v>9267</v>
      </c>
      <c r="D215" t="s">
        <v>9266</v>
      </c>
      <c r="E215">
        <v>0.9755</v>
      </c>
      <c r="F215">
        <v>200</v>
      </c>
      <c r="G215">
        <v>2</v>
      </c>
      <c r="H215" s="7">
        <v>0.4</v>
      </c>
      <c r="I215">
        <v>54</v>
      </c>
      <c r="J215">
        <v>2019</v>
      </c>
      <c r="L215" t="s">
        <v>9268</v>
      </c>
      <c r="M215" t="s">
        <v>9421</v>
      </c>
      <c r="N215" t="s">
        <v>9422</v>
      </c>
      <c r="O215" t="s">
        <v>9270</v>
      </c>
      <c r="P215" t="s">
        <v>29</v>
      </c>
      <c r="Q215" t="s">
        <v>9267</v>
      </c>
    </row>
    <row r="216" spans="2:17">
      <c r="B216" t="s">
        <v>9421</v>
      </c>
      <c r="C216" t="s">
        <v>9267</v>
      </c>
      <c r="D216" t="s">
        <v>9266</v>
      </c>
      <c r="E216">
        <v>0.9755</v>
      </c>
      <c r="F216">
        <v>200</v>
      </c>
      <c r="G216">
        <v>2</v>
      </c>
      <c r="H216" s="7">
        <v>2.3</v>
      </c>
      <c r="I216">
        <v>54</v>
      </c>
      <c r="J216">
        <v>2005</v>
      </c>
      <c r="L216" t="s">
        <v>9268</v>
      </c>
      <c r="M216" t="s">
        <v>9421</v>
      </c>
      <c r="N216" t="s">
        <v>9422</v>
      </c>
      <c r="O216" t="s">
        <v>9270</v>
      </c>
      <c r="P216" t="s">
        <v>29</v>
      </c>
      <c r="Q216" t="s">
        <v>9267</v>
      </c>
    </row>
    <row r="217" spans="2:17">
      <c r="B217" t="s">
        <v>9421</v>
      </c>
      <c r="C217" t="s">
        <v>9267</v>
      </c>
      <c r="D217" t="s">
        <v>9266</v>
      </c>
      <c r="E217">
        <v>0.9755</v>
      </c>
      <c r="F217">
        <v>200</v>
      </c>
      <c r="G217">
        <v>2</v>
      </c>
      <c r="H217" s="7">
        <v>3</v>
      </c>
      <c r="I217">
        <v>54</v>
      </c>
      <c r="J217">
        <v>2016</v>
      </c>
      <c r="L217" t="s">
        <v>9268</v>
      </c>
      <c r="M217" t="s">
        <v>9421</v>
      </c>
      <c r="N217" t="s">
        <v>9422</v>
      </c>
      <c r="O217" t="s">
        <v>9270</v>
      </c>
      <c r="P217" t="s">
        <v>29</v>
      </c>
      <c r="Q217" t="s">
        <v>9267</v>
      </c>
    </row>
    <row r="218" spans="2:17">
      <c r="B218" t="s">
        <v>9421</v>
      </c>
      <c r="C218" t="s">
        <v>9267</v>
      </c>
      <c r="D218" t="s">
        <v>9266</v>
      </c>
      <c r="E218">
        <v>0.9755</v>
      </c>
      <c r="F218">
        <v>200</v>
      </c>
      <c r="G218">
        <v>2</v>
      </c>
      <c r="H218" s="7">
        <v>4.7</v>
      </c>
      <c r="I218">
        <v>54</v>
      </c>
      <c r="J218">
        <v>2017</v>
      </c>
      <c r="L218" t="s">
        <v>9268</v>
      </c>
      <c r="M218" t="s">
        <v>9421</v>
      </c>
      <c r="N218" t="s">
        <v>9422</v>
      </c>
      <c r="O218" t="s">
        <v>9270</v>
      </c>
      <c r="P218" t="s">
        <v>29</v>
      </c>
      <c r="Q218" t="s">
        <v>9267</v>
      </c>
    </row>
    <row r="219" spans="2:17">
      <c r="B219" t="s">
        <v>9421</v>
      </c>
      <c r="C219" t="s">
        <v>9267</v>
      </c>
      <c r="D219" t="s">
        <v>9266</v>
      </c>
      <c r="E219">
        <v>0.9755</v>
      </c>
      <c r="F219">
        <v>200</v>
      </c>
      <c r="G219">
        <v>2</v>
      </c>
      <c r="H219" s="7">
        <v>6.61764705882353</v>
      </c>
      <c r="I219">
        <v>54</v>
      </c>
      <c r="J219">
        <v>2014</v>
      </c>
      <c r="L219" t="s">
        <v>9268</v>
      </c>
      <c r="M219" t="s">
        <v>9421</v>
      </c>
      <c r="N219" t="s">
        <v>9422</v>
      </c>
      <c r="O219" t="s">
        <v>9270</v>
      </c>
      <c r="P219" t="s">
        <v>29</v>
      </c>
      <c r="Q219" t="s">
        <v>9267</v>
      </c>
    </row>
    <row r="220" spans="2:17">
      <c r="B220" t="s">
        <v>9421</v>
      </c>
      <c r="C220" t="s">
        <v>9267</v>
      </c>
      <c r="D220" t="s">
        <v>9266</v>
      </c>
      <c r="E220">
        <v>0.9755</v>
      </c>
      <c r="F220">
        <v>200</v>
      </c>
      <c r="G220">
        <v>2</v>
      </c>
      <c r="H220" s="7">
        <v>24.9</v>
      </c>
      <c r="I220">
        <v>54</v>
      </c>
      <c r="J220">
        <v>2002</v>
      </c>
      <c r="L220" t="s">
        <v>9268</v>
      </c>
      <c r="M220" t="s">
        <v>9421</v>
      </c>
      <c r="N220" t="s">
        <v>9422</v>
      </c>
      <c r="O220" t="s">
        <v>9270</v>
      </c>
      <c r="P220" t="s">
        <v>29</v>
      </c>
      <c r="Q220" t="s">
        <v>9267</v>
      </c>
    </row>
    <row r="221" spans="2:17">
      <c r="B221" t="s">
        <v>9421</v>
      </c>
      <c r="C221" t="s">
        <v>9267</v>
      </c>
      <c r="D221" t="s">
        <v>9266</v>
      </c>
      <c r="E221">
        <v>0.9755</v>
      </c>
      <c r="F221">
        <v>200</v>
      </c>
      <c r="G221">
        <v>2</v>
      </c>
      <c r="H221" s="7">
        <v>38.1</v>
      </c>
      <c r="I221">
        <v>54</v>
      </c>
      <c r="J221">
        <v>1986</v>
      </c>
      <c r="L221" t="s">
        <v>9268</v>
      </c>
      <c r="M221" t="s">
        <v>9421</v>
      </c>
      <c r="N221" t="s">
        <v>9422</v>
      </c>
      <c r="O221" t="s">
        <v>9270</v>
      </c>
      <c r="P221" t="s">
        <v>29</v>
      </c>
      <c r="Q221" t="s">
        <v>9267</v>
      </c>
    </row>
    <row r="222" spans="2:17">
      <c r="B222" t="s">
        <v>9421</v>
      </c>
      <c r="C222" t="s">
        <v>9267</v>
      </c>
      <c r="D222" t="s">
        <v>9266</v>
      </c>
      <c r="E222">
        <v>0.9755</v>
      </c>
      <c r="F222">
        <v>200</v>
      </c>
      <c r="G222">
        <v>2</v>
      </c>
      <c r="H222" s="7">
        <v>41.7</v>
      </c>
      <c r="I222">
        <v>54</v>
      </c>
      <c r="J222">
        <v>1996</v>
      </c>
      <c r="L222" t="s">
        <v>9268</v>
      </c>
      <c r="M222" t="s">
        <v>9421</v>
      </c>
      <c r="N222" t="s">
        <v>9422</v>
      </c>
      <c r="O222" t="s">
        <v>9270</v>
      </c>
      <c r="P222" t="s">
        <v>29</v>
      </c>
      <c r="Q222" t="s">
        <v>9267</v>
      </c>
    </row>
    <row r="223" spans="2:17">
      <c r="B223" t="s">
        <v>9423</v>
      </c>
      <c r="C223" t="s">
        <v>9267</v>
      </c>
      <c r="D223" t="s">
        <v>9266</v>
      </c>
      <c r="E223">
        <v>0.9755</v>
      </c>
      <c r="F223">
        <v>200</v>
      </c>
      <c r="G223">
        <v>2</v>
      </c>
      <c r="H223" s="7">
        <v>5.80882352941176</v>
      </c>
      <c r="I223">
        <v>54</v>
      </c>
      <c r="J223">
        <v>2014</v>
      </c>
      <c r="L223" t="s">
        <v>9268</v>
      </c>
      <c r="M223" t="s">
        <v>9423</v>
      </c>
      <c r="N223" t="s">
        <v>9424</v>
      </c>
      <c r="O223" t="s">
        <v>9270</v>
      </c>
      <c r="P223" t="s">
        <v>29</v>
      </c>
      <c r="Q223" t="s">
        <v>9267</v>
      </c>
    </row>
    <row r="224" spans="2:17">
      <c r="B224" t="s">
        <v>9423</v>
      </c>
      <c r="C224" t="s">
        <v>9267</v>
      </c>
      <c r="D224" t="s">
        <v>9266</v>
      </c>
      <c r="E224">
        <v>0.9755</v>
      </c>
      <c r="F224">
        <v>200</v>
      </c>
      <c r="G224">
        <v>2</v>
      </c>
      <c r="H224" s="7">
        <v>22</v>
      </c>
      <c r="I224">
        <v>54</v>
      </c>
      <c r="J224">
        <v>2021</v>
      </c>
      <c r="L224" t="s">
        <v>9268</v>
      </c>
      <c r="M224" t="s">
        <v>9423</v>
      </c>
      <c r="N224" t="s">
        <v>9424</v>
      </c>
      <c r="O224" t="s">
        <v>9270</v>
      </c>
      <c r="P224" t="s">
        <v>29</v>
      </c>
      <c r="Q224" t="s">
        <v>9267</v>
      </c>
    </row>
    <row r="225" spans="2:17">
      <c r="B225" t="s">
        <v>9425</v>
      </c>
      <c r="C225" t="s">
        <v>9267</v>
      </c>
      <c r="D225" t="s">
        <v>9266</v>
      </c>
      <c r="E225">
        <v>0.9755</v>
      </c>
      <c r="F225">
        <v>200</v>
      </c>
      <c r="G225">
        <v>2</v>
      </c>
      <c r="H225" s="7">
        <v>0.8</v>
      </c>
      <c r="I225">
        <v>54</v>
      </c>
      <c r="J225">
        <v>2021</v>
      </c>
      <c r="L225" t="s">
        <v>9268</v>
      </c>
      <c r="M225" t="s">
        <v>9425</v>
      </c>
      <c r="N225" t="s">
        <v>9426</v>
      </c>
      <c r="O225" t="s">
        <v>9270</v>
      </c>
      <c r="P225" t="s">
        <v>29</v>
      </c>
      <c r="Q225" t="s">
        <v>9267</v>
      </c>
    </row>
    <row r="226" spans="2:17">
      <c r="B226" t="s">
        <v>9425</v>
      </c>
      <c r="C226" t="s">
        <v>9267</v>
      </c>
      <c r="D226" t="s">
        <v>9266</v>
      </c>
      <c r="E226">
        <v>0.9755</v>
      </c>
      <c r="F226">
        <v>200</v>
      </c>
      <c r="G226">
        <v>2</v>
      </c>
      <c r="H226" s="7">
        <v>3.8</v>
      </c>
      <c r="I226">
        <v>54</v>
      </c>
      <c r="J226">
        <v>2012</v>
      </c>
      <c r="L226" t="s">
        <v>9268</v>
      </c>
      <c r="M226" t="s">
        <v>9425</v>
      </c>
      <c r="N226" t="s">
        <v>9426</v>
      </c>
      <c r="O226" t="s">
        <v>9270</v>
      </c>
      <c r="P226" t="s">
        <v>29</v>
      </c>
      <c r="Q226" t="s">
        <v>9267</v>
      </c>
    </row>
    <row r="227" spans="2:17">
      <c r="B227" t="s">
        <v>9425</v>
      </c>
      <c r="C227" t="s">
        <v>9267</v>
      </c>
      <c r="D227" t="s">
        <v>9266</v>
      </c>
      <c r="E227">
        <v>0.9755</v>
      </c>
      <c r="F227">
        <v>200</v>
      </c>
      <c r="G227">
        <v>2</v>
      </c>
      <c r="H227" s="7">
        <v>5.44117647058824</v>
      </c>
      <c r="I227">
        <v>54</v>
      </c>
      <c r="J227">
        <v>2006</v>
      </c>
      <c r="L227" t="s">
        <v>9268</v>
      </c>
      <c r="M227" t="s">
        <v>9425</v>
      </c>
      <c r="N227" t="s">
        <v>9426</v>
      </c>
      <c r="O227" t="s">
        <v>9270</v>
      </c>
      <c r="P227" t="s">
        <v>29</v>
      </c>
      <c r="Q227" t="s">
        <v>9267</v>
      </c>
    </row>
    <row r="228" spans="2:17">
      <c r="B228" t="s">
        <v>9425</v>
      </c>
      <c r="C228" t="s">
        <v>9267</v>
      </c>
      <c r="D228" t="s">
        <v>9266</v>
      </c>
      <c r="E228">
        <v>0.9755</v>
      </c>
      <c r="F228">
        <v>200</v>
      </c>
      <c r="G228">
        <v>2</v>
      </c>
      <c r="H228" s="7">
        <v>7.5</v>
      </c>
      <c r="I228">
        <v>54</v>
      </c>
      <c r="J228">
        <v>2008</v>
      </c>
      <c r="L228" t="s">
        <v>9268</v>
      </c>
      <c r="M228" t="s">
        <v>9425</v>
      </c>
      <c r="N228" t="s">
        <v>9426</v>
      </c>
      <c r="O228" t="s">
        <v>9270</v>
      </c>
      <c r="P228" t="s">
        <v>29</v>
      </c>
      <c r="Q228" t="s">
        <v>9267</v>
      </c>
    </row>
    <row r="229" spans="2:17">
      <c r="B229" t="s">
        <v>9427</v>
      </c>
      <c r="C229" t="s">
        <v>9267</v>
      </c>
      <c r="D229" t="s">
        <v>9266</v>
      </c>
      <c r="E229">
        <v>0.9755</v>
      </c>
      <c r="F229">
        <v>200</v>
      </c>
      <c r="G229">
        <v>2</v>
      </c>
      <c r="H229" s="7">
        <v>3.5</v>
      </c>
      <c r="I229">
        <v>54</v>
      </c>
      <c r="J229">
        <v>2017</v>
      </c>
      <c r="L229" t="s">
        <v>9268</v>
      </c>
      <c r="M229" t="s">
        <v>9427</v>
      </c>
      <c r="N229" t="s">
        <v>9428</v>
      </c>
      <c r="O229" t="s">
        <v>9270</v>
      </c>
      <c r="P229" t="s">
        <v>29</v>
      </c>
      <c r="Q229" t="s">
        <v>9267</v>
      </c>
    </row>
    <row r="230" spans="2:17">
      <c r="B230" t="s">
        <v>9429</v>
      </c>
      <c r="C230" t="s">
        <v>9267</v>
      </c>
      <c r="D230" t="s">
        <v>9266</v>
      </c>
      <c r="E230">
        <v>0.9755</v>
      </c>
      <c r="F230">
        <v>200</v>
      </c>
      <c r="G230">
        <v>2</v>
      </c>
      <c r="H230" s="7">
        <v>8.82</v>
      </c>
      <c r="I230">
        <v>54</v>
      </c>
      <c r="J230">
        <v>2011</v>
      </c>
      <c r="L230" t="s">
        <v>9268</v>
      </c>
      <c r="M230" t="s">
        <v>9429</v>
      </c>
      <c r="N230" t="s">
        <v>9430</v>
      </c>
      <c r="O230" t="s">
        <v>9270</v>
      </c>
      <c r="P230" t="s">
        <v>29</v>
      </c>
      <c r="Q230" t="s">
        <v>9267</v>
      </c>
    </row>
    <row r="231" spans="2:17">
      <c r="B231" t="s">
        <v>9431</v>
      </c>
      <c r="C231" t="s">
        <v>9267</v>
      </c>
      <c r="D231" t="s">
        <v>9266</v>
      </c>
      <c r="E231">
        <v>0.9755</v>
      </c>
      <c r="F231">
        <v>200</v>
      </c>
      <c r="G231">
        <v>2</v>
      </c>
      <c r="H231" s="7">
        <v>0</v>
      </c>
      <c r="I231">
        <v>54</v>
      </c>
      <c r="J231">
        <v>2007</v>
      </c>
      <c r="L231" t="s">
        <v>9268</v>
      </c>
      <c r="M231" t="s">
        <v>9431</v>
      </c>
      <c r="N231" t="s">
        <v>9432</v>
      </c>
      <c r="O231" t="s">
        <v>9270</v>
      </c>
      <c r="P231" t="s">
        <v>29</v>
      </c>
      <c r="Q231" t="s">
        <v>9267</v>
      </c>
    </row>
    <row r="232" spans="2:17">
      <c r="B232" t="s">
        <v>9431</v>
      </c>
      <c r="C232" t="s">
        <v>9267</v>
      </c>
      <c r="D232" t="s">
        <v>9266</v>
      </c>
      <c r="E232">
        <v>0.9755</v>
      </c>
      <c r="F232">
        <v>200</v>
      </c>
      <c r="G232">
        <v>2</v>
      </c>
      <c r="H232" s="7">
        <v>0.1</v>
      </c>
      <c r="I232">
        <v>54</v>
      </c>
      <c r="J232">
        <v>2011</v>
      </c>
      <c r="L232" t="s">
        <v>9268</v>
      </c>
      <c r="M232" t="s">
        <v>9431</v>
      </c>
      <c r="N232" t="s">
        <v>9432</v>
      </c>
      <c r="O232" t="s">
        <v>9270</v>
      </c>
      <c r="P232" t="s">
        <v>29</v>
      </c>
      <c r="Q232" t="s">
        <v>9267</v>
      </c>
    </row>
    <row r="233" spans="2:17">
      <c r="B233" t="s">
        <v>9433</v>
      </c>
      <c r="C233" t="s">
        <v>9267</v>
      </c>
      <c r="D233" t="s">
        <v>9266</v>
      </c>
      <c r="E233">
        <v>0.9755</v>
      </c>
      <c r="F233">
        <v>200</v>
      </c>
      <c r="G233">
        <v>2</v>
      </c>
      <c r="H233" s="7">
        <v>1.5</v>
      </c>
      <c r="I233">
        <v>54</v>
      </c>
      <c r="J233">
        <v>2018</v>
      </c>
      <c r="L233" t="s">
        <v>9268</v>
      </c>
      <c r="M233" t="s">
        <v>9433</v>
      </c>
      <c r="N233" t="s">
        <v>9434</v>
      </c>
      <c r="O233" t="s">
        <v>9270</v>
      </c>
      <c r="P233" t="s">
        <v>29</v>
      </c>
      <c r="Q233" t="s">
        <v>9267</v>
      </c>
    </row>
    <row r="234" spans="2:17">
      <c r="B234" t="s">
        <v>9435</v>
      </c>
      <c r="C234" t="s">
        <v>9267</v>
      </c>
      <c r="D234" t="s">
        <v>9266</v>
      </c>
      <c r="E234">
        <v>0.9755</v>
      </c>
      <c r="F234">
        <v>200</v>
      </c>
      <c r="G234">
        <v>2</v>
      </c>
      <c r="H234" s="7">
        <v>8</v>
      </c>
      <c r="I234">
        <v>54</v>
      </c>
      <c r="J234">
        <v>2023</v>
      </c>
      <c r="L234" t="s">
        <v>9268</v>
      </c>
      <c r="M234" t="s">
        <v>9435</v>
      </c>
      <c r="N234" t="s">
        <v>9436</v>
      </c>
      <c r="O234" t="s">
        <v>9270</v>
      </c>
      <c r="P234" t="s">
        <v>29</v>
      </c>
      <c r="Q234" t="s">
        <v>9267</v>
      </c>
    </row>
    <row r="235" spans="2:17">
      <c r="B235" t="s">
        <v>9437</v>
      </c>
      <c r="C235" t="s">
        <v>9267</v>
      </c>
      <c r="D235" t="s">
        <v>9266</v>
      </c>
      <c r="E235">
        <v>0.9755</v>
      </c>
      <c r="F235">
        <v>200</v>
      </c>
      <c r="G235">
        <v>2</v>
      </c>
      <c r="H235" s="7">
        <v>0</v>
      </c>
      <c r="I235">
        <v>54</v>
      </c>
      <c r="J235">
        <v>2021</v>
      </c>
      <c r="L235" t="s">
        <v>9268</v>
      </c>
      <c r="M235" t="s">
        <v>9437</v>
      </c>
      <c r="N235" t="s">
        <v>9438</v>
      </c>
      <c r="O235" t="s">
        <v>9270</v>
      </c>
      <c r="P235" t="s">
        <v>29</v>
      </c>
      <c r="Q235" t="s">
        <v>9267</v>
      </c>
    </row>
    <row r="236" spans="2:17">
      <c r="B236" t="s">
        <v>9437</v>
      </c>
      <c r="C236" t="s">
        <v>9267</v>
      </c>
      <c r="D236" t="s">
        <v>9266</v>
      </c>
      <c r="E236">
        <v>0.9755</v>
      </c>
      <c r="F236">
        <v>200</v>
      </c>
      <c r="G236">
        <v>2</v>
      </c>
      <c r="H236" s="7">
        <v>3.7</v>
      </c>
      <c r="I236">
        <v>54</v>
      </c>
      <c r="J236">
        <v>2016</v>
      </c>
      <c r="L236" t="s">
        <v>9268</v>
      </c>
      <c r="M236" t="s">
        <v>9437</v>
      </c>
      <c r="N236" t="s">
        <v>9438</v>
      </c>
      <c r="O236" t="s">
        <v>9270</v>
      </c>
      <c r="P236" t="s">
        <v>29</v>
      </c>
      <c r="Q236" t="s">
        <v>9267</v>
      </c>
    </row>
    <row r="237" spans="2:17">
      <c r="B237" t="s">
        <v>9439</v>
      </c>
      <c r="C237" t="s">
        <v>9267</v>
      </c>
      <c r="D237" t="s">
        <v>9266</v>
      </c>
      <c r="E237">
        <v>0.9755</v>
      </c>
      <c r="F237">
        <v>200</v>
      </c>
      <c r="G237">
        <v>2</v>
      </c>
      <c r="H237" s="7">
        <v>1.1</v>
      </c>
      <c r="I237">
        <v>54</v>
      </c>
      <c r="J237">
        <v>2020</v>
      </c>
      <c r="L237" t="s">
        <v>9268</v>
      </c>
      <c r="M237" t="s">
        <v>9439</v>
      </c>
      <c r="N237" t="s">
        <v>9440</v>
      </c>
      <c r="O237" t="s">
        <v>9270</v>
      </c>
      <c r="P237" t="s">
        <v>29</v>
      </c>
      <c r="Q237" t="s">
        <v>9267</v>
      </c>
    </row>
    <row r="238" spans="2:17">
      <c r="B238" t="s">
        <v>9439</v>
      </c>
      <c r="C238" t="s">
        <v>9267</v>
      </c>
      <c r="D238" t="s">
        <v>9266</v>
      </c>
      <c r="E238">
        <v>0.9755</v>
      </c>
      <c r="F238">
        <v>200</v>
      </c>
      <c r="G238">
        <v>2</v>
      </c>
      <c r="H238" s="7">
        <v>1.5</v>
      </c>
      <c r="I238">
        <v>54</v>
      </c>
      <c r="J238">
        <v>2000</v>
      </c>
      <c r="L238" t="s">
        <v>9268</v>
      </c>
      <c r="M238" t="s">
        <v>9439</v>
      </c>
      <c r="N238" t="s">
        <v>9440</v>
      </c>
      <c r="O238" t="s">
        <v>9270</v>
      </c>
      <c r="P238" t="s">
        <v>29</v>
      </c>
      <c r="Q238" t="s">
        <v>9267</v>
      </c>
    </row>
    <row r="239" spans="2:17">
      <c r="B239" t="s">
        <v>9441</v>
      </c>
      <c r="C239" t="s">
        <v>9267</v>
      </c>
      <c r="D239" t="s">
        <v>9266</v>
      </c>
      <c r="E239">
        <v>0.9755</v>
      </c>
      <c r="F239">
        <v>200</v>
      </c>
      <c r="G239">
        <v>2</v>
      </c>
      <c r="H239" s="7">
        <v>5.58823529411765</v>
      </c>
      <c r="I239">
        <v>54</v>
      </c>
      <c r="J239">
        <v>2003</v>
      </c>
      <c r="L239" t="s">
        <v>9268</v>
      </c>
      <c r="M239" t="s">
        <v>9441</v>
      </c>
      <c r="N239" t="s">
        <v>9442</v>
      </c>
      <c r="O239" t="s">
        <v>9270</v>
      </c>
      <c r="P239" t="s">
        <v>29</v>
      </c>
      <c r="Q239" t="s">
        <v>9267</v>
      </c>
    </row>
    <row r="240" spans="2:17">
      <c r="B240" t="s">
        <v>9443</v>
      </c>
      <c r="C240" t="s">
        <v>9267</v>
      </c>
      <c r="D240" t="s">
        <v>9266</v>
      </c>
      <c r="E240">
        <v>0.9755</v>
      </c>
      <c r="F240">
        <v>200</v>
      </c>
      <c r="G240">
        <v>2</v>
      </c>
      <c r="H240" s="7">
        <v>5</v>
      </c>
      <c r="I240">
        <v>54</v>
      </c>
      <c r="J240">
        <v>2018</v>
      </c>
      <c r="L240" t="s">
        <v>9268</v>
      </c>
      <c r="M240" t="s">
        <v>9443</v>
      </c>
      <c r="N240" t="s">
        <v>9444</v>
      </c>
      <c r="O240" t="s">
        <v>9270</v>
      </c>
      <c r="P240" t="s">
        <v>29</v>
      </c>
      <c r="Q240" t="s">
        <v>9267</v>
      </c>
    </row>
    <row r="241" spans="2:17">
      <c r="B241" t="s">
        <v>9443</v>
      </c>
      <c r="C241" t="s">
        <v>9267</v>
      </c>
      <c r="D241" t="s">
        <v>9266</v>
      </c>
      <c r="E241">
        <v>0.9755</v>
      </c>
      <c r="F241">
        <v>200</v>
      </c>
      <c r="G241">
        <v>2</v>
      </c>
      <c r="H241" s="7">
        <v>6</v>
      </c>
      <c r="I241">
        <v>54</v>
      </c>
      <c r="J241">
        <v>2013</v>
      </c>
      <c r="L241" t="s">
        <v>9268</v>
      </c>
      <c r="M241" t="s">
        <v>9443</v>
      </c>
      <c r="N241" t="s">
        <v>9444</v>
      </c>
      <c r="O241" t="s">
        <v>9270</v>
      </c>
      <c r="P241" t="s">
        <v>29</v>
      </c>
      <c r="Q241" t="s">
        <v>9267</v>
      </c>
    </row>
    <row r="242" spans="2:17">
      <c r="B242" t="s">
        <v>9445</v>
      </c>
      <c r="C242" t="s">
        <v>9267</v>
      </c>
      <c r="D242" t="s">
        <v>9266</v>
      </c>
      <c r="E242">
        <v>0.9755</v>
      </c>
      <c r="F242">
        <v>200</v>
      </c>
      <c r="G242">
        <v>2</v>
      </c>
      <c r="H242" s="7">
        <v>0.2</v>
      </c>
      <c r="I242">
        <v>54</v>
      </c>
      <c r="J242">
        <v>2014</v>
      </c>
      <c r="L242" t="s">
        <v>9268</v>
      </c>
      <c r="M242" t="s">
        <v>9445</v>
      </c>
      <c r="N242" t="s">
        <v>9446</v>
      </c>
      <c r="O242" t="s">
        <v>9270</v>
      </c>
      <c r="P242" t="s">
        <v>29</v>
      </c>
      <c r="Q242" t="s">
        <v>9267</v>
      </c>
    </row>
    <row r="243" spans="2:17">
      <c r="B243" t="s">
        <v>9445</v>
      </c>
      <c r="C243" t="s">
        <v>9267</v>
      </c>
      <c r="D243" t="s">
        <v>9266</v>
      </c>
      <c r="E243">
        <v>0.9755</v>
      </c>
      <c r="F243">
        <v>200</v>
      </c>
      <c r="G243">
        <v>2</v>
      </c>
      <c r="H243" s="7">
        <v>0.4</v>
      </c>
      <c r="I243">
        <v>54</v>
      </c>
      <c r="J243">
        <v>2011</v>
      </c>
      <c r="L243" t="s">
        <v>9268</v>
      </c>
      <c r="M243" t="s">
        <v>9445</v>
      </c>
      <c r="N243" t="s">
        <v>9446</v>
      </c>
      <c r="O243" t="s">
        <v>9270</v>
      </c>
      <c r="P243" t="s">
        <v>29</v>
      </c>
      <c r="Q243" t="s">
        <v>9267</v>
      </c>
    </row>
    <row r="244" spans="2:17">
      <c r="B244" t="s">
        <v>9447</v>
      </c>
      <c r="C244" t="s">
        <v>9267</v>
      </c>
      <c r="D244" t="s">
        <v>9266</v>
      </c>
      <c r="E244">
        <v>0.9755</v>
      </c>
      <c r="F244">
        <v>200</v>
      </c>
      <c r="G244">
        <v>2</v>
      </c>
      <c r="H244" s="7">
        <v>1.5</v>
      </c>
      <c r="I244">
        <v>54</v>
      </c>
      <c r="J244">
        <v>2019</v>
      </c>
      <c r="L244" t="s">
        <v>9268</v>
      </c>
      <c r="M244" t="s">
        <v>9447</v>
      </c>
      <c r="N244" t="s">
        <v>9448</v>
      </c>
      <c r="O244" t="s">
        <v>9270</v>
      </c>
      <c r="P244" t="s">
        <v>29</v>
      </c>
      <c r="Q244" t="s">
        <v>9267</v>
      </c>
    </row>
    <row r="245" spans="2:17">
      <c r="B245" t="s">
        <v>9447</v>
      </c>
      <c r="C245" t="s">
        <v>9267</v>
      </c>
      <c r="D245" t="s">
        <v>9266</v>
      </c>
      <c r="E245">
        <v>0.9755</v>
      </c>
      <c r="F245">
        <v>200</v>
      </c>
      <c r="G245">
        <v>2</v>
      </c>
      <c r="H245" s="7">
        <v>5</v>
      </c>
      <c r="I245">
        <v>54</v>
      </c>
      <c r="J245">
        <v>2011</v>
      </c>
      <c r="L245" t="s">
        <v>9268</v>
      </c>
      <c r="M245" t="s">
        <v>9447</v>
      </c>
      <c r="N245" t="s">
        <v>9448</v>
      </c>
      <c r="O245" t="s">
        <v>9270</v>
      </c>
      <c r="P245" t="s">
        <v>29</v>
      </c>
      <c r="Q245" t="s">
        <v>9267</v>
      </c>
    </row>
    <row r="246" spans="2:17">
      <c r="B246" t="s">
        <v>9447</v>
      </c>
      <c r="C246" t="s">
        <v>9267</v>
      </c>
      <c r="D246" t="s">
        <v>9266</v>
      </c>
      <c r="E246">
        <v>0.9755</v>
      </c>
      <c r="F246">
        <v>200</v>
      </c>
      <c r="G246">
        <v>2</v>
      </c>
      <c r="H246" s="7">
        <v>5</v>
      </c>
      <c r="I246">
        <v>54</v>
      </c>
      <c r="J246">
        <v>2017</v>
      </c>
      <c r="L246" t="s">
        <v>9268</v>
      </c>
      <c r="M246" t="s">
        <v>9447</v>
      </c>
      <c r="N246" t="s">
        <v>9448</v>
      </c>
      <c r="O246" t="s">
        <v>9270</v>
      </c>
      <c r="P246" t="s">
        <v>29</v>
      </c>
      <c r="Q246" t="s">
        <v>9267</v>
      </c>
    </row>
    <row r="247" spans="2:17">
      <c r="B247" t="s">
        <v>9447</v>
      </c>
      <c r="C247" t="s">
        <v>9267</v>
      </c>
      <c r="D247" t="s">
        <v>9266</v>
      </c>
      <c r="E247">
        <v>0.9755</v>
      </c>
      <c r="F247">
        <v>200</v>
      </c>
      <c r="G247">
        <v>2</v>
      </c>
      <c r="H247" s="7">
        <v>7.5</v>
      </c>
      <c r="I247">
        <v>54</v>
      </c>
      <c r="J247">
        <v>2022</v>
      </c>
      <c r="L247" t="s">
        <v>9268</v>
      </c>
      <c r="M247" t="s">
        <v>9447</v>
      </c>
      <c r="N247" t="s">
        <v>9448</v>
      </c>
      <c r="O247" t="s">
        <v>9270</v>
      </c>
      <c r="P247" t="s">
        <v>29</v>
      </c>
      <c r="Q247" t="s">
        <v>9267</v>
      </c>
    </row>
    <row r="248" spans="2:17">
      <c r="B248" t="s">
        <v>9449</v>
      </c>
      <c r="C248" t="s">
        <v>9267</v>
      </c>
      <c r="D248" t="s">
        <v>9266</v>
      </c>
      <c r="E248">
        <v>0.9755</v>
      </c>
      <c r="F248">
        <v>200</v>
      </c>
      <c r="G248">
        <v>2</v>
      </c>
      <c r="H248" s="7">
        <v>4.41176470588235</v>
      </c>
      <c r="I248">
        <v>54</v>
      </c>
      <c r="J248">
        <v>2006</v>
      </c>
      <c r="L248" t="s">
        <v>9268</v>
      </c>
      <c r="M248" t="s">
        <v>9449</v>
      </c>
      <c r="N248" t="s">
        <v>9450</v>
      </c>
      <c r="O248" t="s">
        <v>9270</v>
      </c>
      <c r="P248" t="s">
        <v>29</v>
      </c>
      <c r="Q248" t="s">
        <v>9267</v>
      </c>
    </row>
    <row r="249" spans="2:17">
      <c r="B249" t="s">
        <v>9449</v>
      </c>
      <c r="C249" t="s">
        <v>9267</v>
      </c>
      <c r="D249" t="s">
        <v>9266</v>
      </c>
      <c r="E249">
        <v>0.9755</v>
      </c>
      <c r="F249">
        <v>200</v>
      </c>
      <c r="G249">
        <v>2</v>
      </c>
      <c r="H249" s="7">
        <v>4.55882352941176</v>
      </c>
      <c r="I249">
        <v>54</v>
      </c>
      <c r="J249">
        <v>1994</v>
      </c>
      <c r="L249" t="s">
        <v>9268</v>
      </c>
      <c r="M249" t="s">
        <v>9449</v>
      </c>
      <c r="N249" t="s">
        <v>9450</v>
      </c>
      <c r="O249" t="s">
        <v>9270</v>
      </c>
      <c r="P249" t="s">
        <v>29</v>
      </c>
      <c r="Q249" t="s">
        <v>9267</v>
      </c>
    </row>
    <row r="250" spans="2:17">
      <c r="B250" t="s">
        <v>9451</v>
      </c>
      <c r="C250" t="s">
        <v>9267</v>
      </c>
      <c r="D250" t="s">
        <v>9266</v>
      </c>
      <c r="E250">
        <v>0.9755</v>
      </c>
      <c r="F250">
        <v>200</v>
      </c>
      <c r="G250">
        <v>2</v>
      </c>
      <c r="H250" s="7">
        <v>3</v>
      </c>
      <c r="I250">
        <v>54</v>
      </c>
      <c r="J250">
        <v>2009</v>
      </c>
      <c r="L250" t="s">
        <v>9268</v>
      </c>
      <c r="M250" t="s">
        <v>9451</v>
      </c>
      <c r="N250" t="s">
        <v>9452</v>
      </c>
      <c r="O250" t="s">
        <v>9270</v>
      </c>
      <c r="P250" t="s">
        <v>29</v>
      </c>
      <c r="Q250" t="s">
        <v>9267</v>
      </c>
    </row>
    <row r="251" spans="2:17">
      <c r="B251" t="s">
        <v>9451</v>
      </c>
      <c r="C251" t="s">
        <v>9267</v>
      </c>
      <c r="D251" t="s">
        <v>9266</v>
      </c>
      <c r="E251">
        <v>0.9755</v>
      </c>
      <c r="F251">
        <v>200</v>
      </c>
      <c r="G251">
        <v>2</v>
      </c>
      <c r="H251" s="7">
        <v>3</v>
      </c>
      <c r="I251">
        <v>54</v>
      </c>
      <c r="J251">
        <v>2019</v>
      </c>
      <c r="L251" t="s">
        <v>9268</v>
      </c>
      <c r="M251" t="s">
        <v>9451</v>
      </c>
      <c r="N251" t="s">
        <v>9452</v>
      </c>
      <c r="O251" t="s">
        <v>9270</v>
      </c>
      <c r="P251" t="s">
        <v>29</v>
      </c>
      <c r="Q251" t="s">
        <v>9267</v>
      </c>
    </row>
    <row r="252" spans="2:17">
      <c r="B252" t="s">
        <v>9451</v>
      </c>
      <c r="C252" t="s">
        <v>9267</v>
      </c>
      <c r="D252" t="s">
        <v>9266</v>
      </c>
      <c r="E252">
        <v>0.9755</v>
      </c>
      <c r="F252">
        <v>200</v>
      </c>
      <c r="G252">
        <v>2</v>
      </c>
      <c r="H252" s="7">
        <v>3</v>
      </c>
      <c r="I252">
        <v>54</v>
      </c>
      <c r="J252">
        <v>2023</v>
      </c>
      <c r="L252" t="s">
        <v>9268</v>
      </c>
      <c r="M252" t="s">
        <v>9451</v>
      </c>
      <c r="N252" t="s">
        <v>9452</v>
      </c>
      <c r="O252" t="s">
        <v>9270</v>
      </c>
      <c r="P252" t="s">
        <v>29</v>
      </c>
      <c r="Q252" t="s">
        <v>9267</v>
      </c>
    </row>
    <row r="253" spans="2:17">
      <c r="B253" t="s">
        <v>9451</v>
      </c>
      <c r="C253" t="s">
        <v>9267</v>
      </c>
      <c r="D253" t="s">
        <v>9266</v>
      </c>
      <c r="E253">
        <v>0.9755</v>
      </c>
      <c r="F253">
        <v>200</v>
      </c>
      <c r="G253">
        <v>2</v>
      </c>
      <c r="H253" s="7">
        <v>4</v>
      </c>
      <c r="I253">
        <v>54</v>
      </c>
      <c r="J253">
        <v>2026</v>
      </c>
      <c r="L253" t="s">
        <v>9268</v>
      </c>
      <c r="M253" t="s">
        <v>9451</v>
      </c>
      <c r="N253" t="s">
        <v>9452</v>
      </c>
      <c r="O253" t="s">
        <v>9270</v>
      </c>
      <c r="P253" t="s">
        <v>29</v>
      </c>
      <c r="Q253" t="s">
        <v>9267</v>
      </c>
    </row>
    <row r="254" spans="2:17">
      <c r="B254" t="s">
        <v>9451</v>
      </c>
      <c r="C254" t="s">
        <v>9267</v>
      </c>
      <c r="D254" t="s">
        <v>9266</v>
      </c>
      <c r="E254">
        <v>0.9755</v>
      </c>
      <c r="F254">
        <v>200</v>
      </c>
      <c r="G254">
        <v>2</v>
      </c>
      <c r="H254" s="7">
        <v>10.5</v>
      </c>
      <c r="I254">
        <v>54</v>
      </c>
      <c r="J254">
        <v>1990</v>
      </c>
      <c r="L254" t="s">
        <v>9268</v>
      </c>
      <c r="M254" t="s">
        <v>9451</v>
      </c>
      <c r="N254" t="s">
        <v>9452</v>
      </c>
      <c r="O254" t="s">
        <v>9270</v>
      </c>
      <c r="P254" t="s">
        <v>29</v>
      </c>
      <c r="Q254" t="s">
        <v>9267</v>
      </c>
    </row>
    <row r="255" spans="2:17">
      <c r="B255" t="s">
        <v>9453</v>
      </c>
      <c r="C255" t="s">
        <v>9267</v>
      </c>
      <c r="D255" t="s">
        <v>9266</v>
      </c>
      <c r="E255">
        <v>0.9755</v>
      </c>
      <c r="F255">
        <v>200</v>
      </c>
      <c r="G255">
        <v>2</v>
      </c>
      <c r="H255" s="7">
        <v>5.07352941176471</v>
      </c>
      <c r="I255">
        <v>54</v>
      </c>
      <c r="J255">
        <v>1971</v>
      </c>
      <c r="L255" t="s">
        <v>9268</v>
      </c>
      <c r="M255" t="s">
        <v>9453</v>
      </c>
      <c r="N255" t="s">
        <v>9454</v>
      </c>
      <c r="O255" t="s">
        <v>9270</v>
      </c>
      <c r="P255" t="s">
        <v>29</v>
      </c>
      <c r="Q255" t="s">
        <v>9267</v>
      </c>
    </row>
    <row r="256" spans="2:17">
      <c r="B256" t="s">
        <v>9453</v>
      </c>
      <c r="C256" t="s">
        <v>9267</v>
      </c>
      <c r="D256" t="s">
        <v>9266</v>
      </c>
      <c r="E256">
        <v>0.9755</v>
      </c>
      <c r="F256">
        <v>200</v>
      </c>
      <c r="G256">
        <v>2</v>
      </c>
      <c r="H256" s="7">
        <v>7.86764705882353</v>
      </c>
      <c r="I256">
        <v>54</v>
      </c>
      <c r="J256">
        <v>2003</v>
      </c>
      <c r="L256" t="s">
        <v>9268</v>
      </c>
      <c r="M256" t="s">
        <v>9453</v>
      </c>
      <c r="N256" t="s">
        <v>9454</v>
      </c>
      <c r="O256" t="s">
        <v>9270</v>
      </c>
      <c r="P256" t="s">
        <v>29</v>
      </c>
      <c r="Q256" t="s">
        <v>9267</v>
      </c>
    </row>
    <row r="257" spans="2:17">
      <c r="B257" t="s">
        <v>9453</v>
      </c>
      <c r="C257" t="s">
        <v>9267</v>
      </c>
      <c r="D257" t="s">
        <v>9266</v>
      </c>
      <c r="E257">
        <v>0.9755</v>
      </c>
      <c r="F257">
        <v>200</v>
      </c>
      <c r="G257">
        <v>2</v>
      </c>
      <c r="H257" s="7">
        <v>8.8235294117647</v>
      </c>
      <c r="I257">
        <v>54</v>
      </c>
      <c r="J257">
        <v>2011</v>
      </c>
      <c r="L257" t="s">
        <v>9268</v>
      </c>
      <c r="M257" t="s">
        <v>9453</v>
      </c>
      <c r="N257" t="s">
        <v>9454</v>
      </c>
      <c r="O257" t="s">
        <v>9270</v>
      </c>
      <c r="P257" t="s">
        <v>29</v>
      </c>
      <c r="Q257" t="s">
        <v>9267</v>
      </c>
    </row>
    <row r="258" spans="2:17">
      <c r="B258" t="s">
        <v>9453</v>
      </c>
      <c r="C258" t="s">
        <v>9267</v>
      </c>
      <c r="D258" t="s">
        <v>9266</v>
      </c>
      <c r="E258">
        <v>0.9755</v>
      </c>
      <c r="F258">
        <v>200</v>
      </c>
      <c r="G258">
        <v>2</v>
      </c>
      <c r="H258" s="7">
        <v>11.3970588235294</v>
      </c>
      <c r="I258">
        <v>54</v>
      </c>
      <c r="J258">
        <v>2009</v>
      </c>
      <c r="L258" t="s">
        <v>9268</v>
      </c>
      <c r="M258" t="s">
        <v>9453</v>
      </c>
      <c r="N258" t="s">
        <v>9454</v>
      </c>
      <c r="O258" t="s">
        <v>9270</v>
      </c>
      <c r="P258" t="s">
        <v>29</v>
      </c>
      <c r="Q258" t="s">
        <v>9267</v>
      </c>
    </row>
    <row r="259" spans="2:17">
      <c r="B259" t="s">
        <v>9453</v>
      </c>
      <c r="C259" t="s">
        <v>9267</v>
      </c>
      <c r="D259" t="s">
        <v>9266</v>
      </c>
      <c r="E259">
        <v>0.9755</v>
      </c>
      <c r="F259">
        <v>200</v>
      </c>
      <c r="G259">
        <v>2</v>
      </c>
      <c r="H259" s="7">
        <v>11.9852941176471</v>
      </c>
      <c r="I259">
        <v>54</v>
      </c>
      <c r="J259">
        <v>1978</v>
      </c>
      <c r="L259" t="s">
        <v>9268</v>
      </c>
      <c r="M259" t="s">
        <v>9453</v>
      </c>
      <c r="N259" t="s">
        <v>9454</v>
      </c>
      <c r="O259" t="s">
        <v>9270</v>
      </c>
      <c r="P259" t="s">
        <v>29</v>
      </c>
      <c r="Q259" t="s">
        <v>9267</v>
      </c>
    </row>
    <row r="260" spans="2:17">
      <c r="B260" t="s">
        <v>9453</v>
      </c>
      <c r="C260" t="s">
        <v>9267</v>
      </c>
      <c r="D260" t="s">
        <v>9266</v>
      </c>
      <c r="E260">
        <v>0.9755</v>
      </c>
      <c r="F260">
        <v>200</v>
      </c>
      <c r="G260">
        <v>2</v>
      </c>
      <c r="H260" s="7">
        <v>14.4073165826471</v>
      </c>
      <c r="I260">
        <v>54</v>
      </c>
      <c r="J260">
        <v>2010</v>
      </c>
      <c r="L260" t="s">
        <v>9268</v>
      </c>
      <c r="M260" t="s">
        <v>9453</v>
      </c>
      <c r="N260" t="s">
        <v>9454</v>
      </c>
      <c r="O260" t="s">
        <v>9270</v>
      </c>
      <c r="P260" t="s">
        <v>29</v>
      </c>
      <c r="Q260" t="s">
        <v>9267</v>
      </c>
    </row>
    <row r="261" spans="2:17">
      <c r="B261" t="s">
        <v>9453</v>
      </c>
      <c r="C261" t="s">
        <v>9267</v>
      </c>
      <c r="D261" t="s">
        <v>9266</v>
      </c>
      <c r="E261">
        <v>0.9755</v>
      </c>
      <c r="F261">
        <v>200</v>
      </c>
      <c r="G261">
        <v>2</v>
      </c>
      <c r="H261" s="7">
        <v>17.8676470588235</v>
      </c>
      <c r="I261">
        <v>54</v>
      </c>
      <c r="J261">
        <v>1981</v>
      </c>
      <c r="L261" t="s">
        <v>9268</v>
      </c>
      <c r="M261" t="s">
        <v>9453</v>
      </c>
      <c r="N261" t="s">
        <v>9454</v>
      </c>
      <c r="O261" t="s">
        <v>9270</v>
      </c>
      <c r="P261" t="s">
        <v>29</v>
      </c>
      <c r="Q261" t="s">
        <v>9267</v>
      </c>
    </row>
    <row r="262" spans="2:17">
      <c r="B262" t="s">
        <v>9453</v>
      </c>
      <c r="C262" t="s">
        <v>9267</v>
      </c>
      <c r="D262" t="s">
        <v>9266</v>
      </c>
      <c r="E262">
        <v>0.9755</v>
      </c>
      <c r="F262">
        <v>200</v>
      </c>
      <c r="G262">
        <v>2</v>
      </c>
      <c r="H262" s="7">
        <v>49.36</v>
      </c>
      <c r="I262">
        <v>54</v>
      </c>
      <c r="J262">
        <v>2008</v>
      </c>
      <c r="L262" t="s">
        <v>9268</v>
      </c>
      <c r="M262" t="s">
        <v>9453</v>
      </c>
      <c r="N262" t="s">
        <v>9454</v>
      </c>
      <c r="O262" t="s">
        <v>9270</v>
      </c>
      <c r="P262" t="s">
        <v>29</v>
      </c>
      <c r="Q262" t="s">
        <v>9267</v>
      </c>
    </row>
    <row r="263" spans="2:17">
      <c r="B263" t="s">
        <v>9455</v>
      </c>
      <c r="C263" t="s">
        <v>9267</v>
      </c>
      <c r="D263" t="s">
        <v>9266</v>
      </c>
      <c r="E263">
        <v>0.9755</v>
      </c>
      <c r="F263">
        <v>200</v>
      </c>
      <c r="G263">
        <v>2</v>
      </c>
      <c r="H263" s="7">
        <v>5</v>
      </c>
      <c r="I263">
        <v>54</v>
      </c>
      <c r="J263">
        <v>2022</v>
      </c>
      <c r="L263" t="s">
        <v>9268</v>
      </c>
      <c r="M263" t="s">
        <v>9455</v>
      </c>
      <c r="N263" t="s">
        <v>9456</v>
      </c>
      <c r="O263" t="s">
        <v>9270</v>
      </c>
      <c r="P263" t="s">
        <v>29</v>
      </c>
      <c r="Q263" t="s">
        <v>9267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72"/>
  <sheetViews>
    <sheetView zoomScale="75" zoomScaleNormal="75" topLeftCell="BE1" workbookViewId="0">
      <selection activeCell="CB23" sqref="CB23"/>
    </sheetView>
  </sheetViews>
  <sheetFormatPr defaultColWidth="8.86363636363636" defaultRowHeight="14.5"/>
  <cols>
    <col min="1" max="1" width="10.6" customWidth="1"/>
    <col min="2" max="2" width="15.7272727272727" customWidth="1"/>
    <col min="3" max="3" width="2" customWidth="1"/>
    <col min="6" max="6" width="19.8636363636364" customWidth="1"/>
    <col min="7" max="7" width="32.8636363636364" customWidth="1"/>
    <col min="13" max="13" width="17.6" customWidth="1"/>
    <col min="14" max="14" width="23.7272727272727" customWidth="1"/>
    <col min="41" max="41" width="18.1818181818182" customWidth="1"/>
    <col min="69" max="69" width="18.6" customWidth="1"/>
    <col min="70" max="70" width="48" customWidth="1"/>
  </cols>
  <sheetData>
    <row r="1" spans="1:73">
      <c r="A1" t="s">
        <v>9457</v>
      </c>
      <c r="E1" s="1"/>
      <c r="G1">
        <v>1</v>
      </c>
      <c r="L1" s="1"/>
      <c r="N1">
        <f>G1+1</f>
        <v>2</v>
      </c>
      <c r="S1" s="1"/>
      <c r="U1">
        <f>N1+1</f>
        <v>3</v>
      </c>
      <c r="Z1" s="1"/>
      <c r="AB1">
        <f>U1+1</f>
        <v>4</v>
      </c>
      <c r="AG1" s="1"/>
      <c r="AI1">
        <f>AB1+1</f>
        <v>5</v>
      </c>
      <c r="AN1" s="1"/>
      <c r="AP1">
        <f>AI1+1</f>
        <v>6</v>
      </c>
      <c r="AU1" s="1"/>
      <c r="AW1">
        <f>AP1+1</f>
        <v>7</v>
      </c>
      <c r="BB1" s="1"/>
      <c r="BD1">
        <f>AW1+1</f>
        <v>8</v>
      </c>
      <c r="BI1" s="1"/>
      <c r="BK1">
        <f>BD1+1</f>
        <v>9</v>
      </c>
      <c r="BP1" s="1"/>
      <c r="BR1">
        <f>BK1+1</f>
        <v>10</v>
      </c>
    </row>
    <row r="3" spans="1:73">
      <c r="A3" s="2" t="s">
        <v>9458</v>
      </c>
      <c r="E3" s="3" t="s">
        <v>2</v>
      </c>
      <c r="F3" s="3"/>
      <c r="L3" s="3" t="s">
        <v>2</v>
      </c>
      <c r="M3" s="3"/>
      <c r="S3" s="3" t="s">
        <v>2</v>
      </c>
      <c r="T3" s="3"/>
      <c r="Z3" s="3" t="s">
        <v>2</v>
      </c>
      <c r="AA3" s="3"/>
      <c r="AG3" s="3" t="s">
        <v>2</v>
      </c>
      <c r="AH3" s="3"/>
      <c r="AN3" s="3" t="s">
        <v>2</v>
      </c>
      <c r="AO3" s="3"/>
      <c r="AU3" s="3" t="s">
        <v>2</v>
      </c>
      <c r="AV3" s="3"/>
      <c r="BB3" s="3" t="s">
        <v>2</v>
      </c>
      <c r="BC3" s="3"/>
      <c r="BI3" s="3" t="s">
        <v>2</v>
      </c>
      <c r="BJ3" s="3"/>
      <c r="BP3" s="3" t="s">
        <v>2</v>
      </c>
      <c r="BQ3" s="3"/>
    </row>
    <row r="4" spans="1:73">
      <c r="A4" s="4" t="s">
        <v>9459</v>
      </c>
      <c r="B4" s="4" t="s">
        <v>9460</v>
      </c>
      <c r="E4" t="s">
        <v>5</v>
      </c>
      <c r="F4" t="s">
        <v>6</v>
      </c>
      <c r="G4" t="s">
        <v>7</v>
      </c>
      <c r="H4" t="s">
        <v>9461</v>
      </c>
      <c r="I4" t="s">
        <v>9462</v>
      </c>
      <c r="J4" t="s">
        <v>9463</v>
      </c>
      <c r="L4" t="s">
        <v>5</v>
      </c>
      <c r="M4" t="s">
        <v>6</v>
      </c>
      <c r="N4" t="s">
        <v>7</v>
      </c>
      <c r="O4" t="s">
        <v>9461</v>
      </c>
      <c r="P4" t="s">
        <v>9462</v>
      </c>
      <c r="Q4" t="s">
        <v>9463</v>
      </c>
      <c r="S4" t="s">
        <v>5</v>
      </c>
      <c r="T4" t="s">
        <v>6</v>
      </c>
      <c r="U4" t="s">
        <v>7</v>
      </c>
      <c r="V4" t="s">
        <v>9461</v>
      </c>
      <c r="W4" t="s">
        <v>9462</v>
      </c>
      <c r="X4" t="s">
        <v>9463</v>
      </c>
      <c r="Z4" t="s">
        <v>5</v>
      </c>
      <c r="AA4" t="s">
        <v>6</v>
      </c>
      <c r="AB4" t="s">
        <v>7</v>
      </c>
      <c r="AC4" t="s">
        <v>9461</v>
      </c>
      <c r="AD4" t="s">
        <v>9462</v>
      </c>
      <c r="AE4" t="s">
        <v>9463</v>
      </c>
      <c r="AG4" t="s">
        <v>5</v>
      </c>
      <c r="AH4" t="s">
        <v>6</v>
      </c>
      <c r="AI4" t="s">
        <v>7</v>
      </c>
      <c r="AJ4" t="s">
        <v>9461</v>
      </c>
      <c r="AK4" t="s">
        <v>9462</v>
      </c>
      <c r="AL4" t="s">
        <v>9463</v>
      </c>
      <c r="AN4" t="s">
        <v>5</v>
      </c>
      <c r="AO4" t="s">
        <v>6</v>
      </c>
      <c r="AP4" t="s">
        <v>7</v>
      </c>
      <c r="AQ4" t="s">
        <v>9461</v>
      </c>
      <c r="AR4" t="s">
        <v>9462</v>
      </c>
      <c r="AS4" t="s">
        <v>9463</v>
      </c>
      <c r="AU4" t="s">
        <v>5</v>
      </c>
      <c r="AV4" t="s">
        <v>6</v>
      </c>
      <c r="AW4" t="s">
        <v>7</v>
      </c>
      <c r="AX4" t="s">
        <v>9461</v>
      </c>
      <c r="AY4" t="s">
        <v>9462</v>
      </c>
      <c r="AZ4" t="s">
        <v>9463</v>
      </c>
      <c r="BB4" t="s">
        <v>5</v>
      </c>
      <c r="BC4" t="s">
        <v>6</v>
      </c>
      <c r="BD4" t="s">
        <v>7</v>
      </c>
      <c r="BE4" t="s">
        <v>9461</v>
      </c>
      <c r="BF4" t="s">
        <v>9462</v>
      </c>
      <c r="BG4" t="s">
        <v>9463</v>
      </c>
      <c r="BI4" t="s">
        <v>5</v>
      </c>
      <c r="BJ4" t="s">
        <v>6</v>
      </c>
      <c r="BK4" t="s">
        <v>7</v>
      </c>
      <c r="BL4" t="s">
        <v>9461</v>
      </c>
      <c r="BM4" t="s">
        <v>9462</v>
      </c>
      <c r="BN4" t="s">
        <v>9463</v>
      </c>
      <c r="BP4" t="s">
        <v>5</v>
      </c>
      <c r="BQ4" t="s">
        <v>6</v>
      </c>
      <c r="BR4" t="s">
        <v>7</v>
      </c>
      <c r="BS4" t="s">
        <v>9461</v>
      </c>
      <c r="BT4" t="s">
        <v>9462</v>
      </c>
      <c r="BU4" t="s">
        <v>9463</v>
      </c>
    </row>
    <row r="5" spans="1:73">
      <c r="A5" s="4" t="s">
        <v>34</v>
      </c>
      <c r="B5" s="4" t="s">
        <v>9464</v>
      </c>
      <c r="E5" t="s">
        <v>9268</v>
      </c>
      <c r="F5" t="str">
        <f>"NatGrdExt_"&amp;$A5&amp;"-"&amp;G$1</f>
        <v>NatGrdExt_AFG-1</v>
      </c>
      <c r="G5" t="str">
        <f>"Grid Extension -"&amp;$B5&amp;"- Step "&amp;G$1</f>
        <v>Grid Extension -Afghanistan- Step 1</v>
      </c>
      <c r="H5" t="s">
        <v>29</v>
      </c>
      <c r="I5" t="s">
        <v>30</v>
      </c>
      <c r="J5" t="s">
        <v>9465</v>
      </c>
      <c r="L5" t="s">
        <v>9268</v>
      </c>
      <c r="M5" t="str">
        <f>"NatGrdExt_"&amp;$A5&amp;"-"&amp;N$1</f>
        <v>NatGrdExt_AFG-2</v>
      </c>
      <c r="N5" t="str">
        <f>"Grid Extension -"&amp;$B5&amp;"- Step "&amp;N$1</f>
        <v>Grid Extension -Afghanistan- Step 2</v>
      </c>
      <c r="O5" t="s">
        <v>29</v>
      </c>
      <c r="P5" t="s">
        <v>30</v>
      </c>
      <c r="Q5" t="s">
        <v>9465</v>
      </c>
      <c r="S5" t="s">
        <v>9268</v>
      </c>
      <c r="T5" t="str">
        <f>"NatGrdExt_"&amp;$A5&amp;"-"&amp;U$1</f>
        <v>NatGrdExt_AFG-3</v>
      </c>
      <c r="U5" t="str">
        <f>"Grid Extension -"&amp;$B5&amp;"- Step "&amp;U$1</f>
        <v>Grid Extension -Afghanistan- Step 3</v>
      </c>
      <c r="V5" t="s">
        <v>29</v>
      </c>
      <c r="W5" t="s">
        <v>30</v>
      </c>
      <c r="X5" t="s">
        <v>9465</v>
      </c>
      <c r="Z5" t="s">
        <v>9268</v>
      </c>
      <c r="AA5" t="str">
        <f>"NatGrdExt_"&amp;$A5&amp;"-"&amp;AB$1</f>
        <v>NatGrdExt_AFG-4</v>
      </c>
      <c r="AB5" t="str">
        <f>"Grid Extension -"&amp;$B5&amp;"- Step "&amp;AB$1</f>
        <v>Grid Extension -Afghanistan- Step 4</v>
      </c>
      <c r="AC5" t="s">
        <v>29</v>
      </c>
      <c r="AD5" t="s">
        <v>30</v>
      </c>
      <c r="AE5" t="s">
        <v>9465</v>
      </c>
      <c r="AG5" t="s">
        <v>9268</v>
      </c>
      <c r="AH5" t="str">
        <f>"NatGrdExt_"&amp;$A5&amp;"-"&amp;AI$1</f>
        <v>NatGrdExt_AFG-5</v>
      </c>
      <c r="AI5" t="str">
        <f>"Grid Extension -"&amp;$B5&amp;"- Step "&amp;AI$1</f>
        <v>Grid Extension -Afghanistan- Step 5</v>
      </c>
      <c r="AJ5" t="s">
        <v>29</v>
      </c>
      <c r="AK5" t="s">
        <v>30</v>
      </c>
      <c r="AL5" t="s">
        <v>9465</v>
      </c>
      <c r="AN5" t="s">
        <v>9268</v>
      </c>
      <c r="AO5" t="str">
        <f>"NatGrdExt_"&amp;$A5&amp;"-"&amp;AP$1</f>
        <v>NatGrdExt_AFG-6</v>
      </c>
      <c r="AP5" t="str">
        <f>"Grid Extension -"&amp;$B5&amp;"- Step "&amp;AP$1</f>
        <v>Grid Extension -Afghanistan- Step 6</v>
      </c>
      <c r="AQ5" t="s">
        <v>29</v>
      </c>
      <c r="AR5" t="s">
        <v>30</v>
      </c>
      <c r="AS5" t="s">
        <v>9465</v>
      </c>
      <c r="AU5" t="s">
        <v>9268</v>
      </c>
      <c r="AV5" t="str">
        <f>"NatGrdExt_"&amp;$A5&amp;"-"&amp;AW$1</f>
        <v>NatGrdExt_AFG-7</v>
      </c>
      <c r="AW5" t="str">
        <f>"Grid Extension -"&amp;$B5&amp;"- Step "&amp;AW$1</f>
        <v>Grid Extension -Afghanistan- Step 7</v>
      </c>
      <c r="AX5" t="s">
        <v>29</v>
      </c>
      <c r="AY5" t="s">
        <v>30</v>
      </c>
      <c r="AZ5" t="s">
        <v>9465</v>
      </c>
      <c r="BB5" t="s">
        <v>9268</v>
      </c>
      <c r="BC5" t="str">
        <f>"NatGrdExt_"&amp;$A5&amp;"-"&amp;BD$1</f>
        <v>NatGrdExt_AFG-8</v>
      </c>
      <c r="BD5" t="str">
        <f>"Grid Extension -"&amp;$B5&amp;"- Step "&amp;BD$1</f>
        <v>Grid Extension -Afghanistan- Step 8</v>
      </c>
      <c r="BE5" t="s">
        <v>29</v>
      </c>
      <c r="BF5" t="s">
        <v>30</v>
      </c>
      <c r="BG5" t="s">
        <v>9465</v>
      </c>
      <c r="BI5" t="s">
        <v>9268</v>
      </c>
      <c r="BJ5" t="str">
        <f>"NatGrdExt_"&amp;$A5&amp;"-"&amp;BK$1</f>
        <v>NatGrdExt_AFG-9</v>
      </c>
      <c r="BK5" t="str">
        <f>"Grid Extension -"&amp;$B5&amp;"- Step "&amp;BK$1</f>
        <v>Grid Extension -Afghanistan- Step 9</v>
      </c>
      <c r="BL5" t="s">
        <v>29</v>
      </c>
      <c r="BM5" t="s">
        <v>30</v>
      </c>
      <c r="BN5" t="s">
        <v>9465</v>
      </c>
      <c r="BP5" t="s">
        <v>9268</v>
      </c>
      <c r="BQ5" t="str">
        <f>"NatGrdExt_"&amp;$A5&amp;"-"&amp;BR$1</f>
        <v>NatGrdExt_AFG-10</v>
      </c>
      <c r="BR5" t="str">
        <f>"Grid Extension -"&amp;$B5&amp;"- Step "&amp;BR$1</f>
        <v>Grid Extension -Afghanistan- Step 10</v>
      </c>
      <c r="BS5" t="s">
        <v>29</v>
      </c>
      <c r="BT5" t="s">
        <v>30</v>
      </c>
      <c r="BU5" t="s">
        <v>9465</v>
      </c>
    </row>
    <row r="6" spans="1:73">
      <c r="A6" s="4" t="s">
        <v>53</v>
      </c>
      <c r="B6" s="4" t="s">
        <v>9466</v>
      </c>
      <c r="E6" t="s">
        <v>9268</v>
      </c>
      <c r="F6" t="str">
        <f t="shared" ref="F6:F69" si="0">"NatGrdExt_"&amp;$A6&amp;"-"&amp;G$1</f>
        <v>NatGrdExt_AGO-1</v>
      </c>
      <c r="G6" t="str">
        <f t="shared" ref="G6:G69" si="1">"Grid Extension -"&amp;$B6&amp;"- Step "&amp;G$1</f>
        <v>Grid Extension -Angola- Step 1</v>
      </c>
      <c r="H6" t="s">
        <v>29</v>
      </c>
      <c r="I6" t="s">
        <v>30</v>
      </c>
      <c r="J6" t="s">
        <v>9465</v>
      </c>
      <c r="L6" t="s">
        <v>9268</v>
      </c>
      <c r="M6" t="str">
        <f t="shared" ref="M6:M69" si="2">"NatGrdExt_"&amp;$A6&amp;"-"&amp;N$1</f>
        <v>NatGrdExt_AGO-2</v>
      </c>
      <c r="N6" t="str">
        <f t="shared" ref="N6:N69" si="3">"Grid Extension -"&amp;$B6&amp;"- Step "&amp;N$1</f>
        <v>Grid Extension -Angola- Step 2</v>
      </c>
      <c r="O6" t="s">
        <v>29</v>
      </c>
      <c r="P6" t="s">
        <v>30</v>
      </c>
      <c r="Q6" t="s">
        <v>9465</v>
      </c>
      <c r="S6" t="s">
        <v>9268</v>
      </c>
      <c r="T6" t="str">
        <f t="shared" ref="T6:T69" si="4">"NatGrdExt_"&amp;$A6&amp;"-"&amp;U$1</f>
        <v>NatGrdExt_AGO-3</v>
      </c>
      <c r="U6" t="str">
        <f t="shared" ref="U6:U69" si="5">"Grid Extension -"&amp;$B6&amp;"- Step "&amp;U$1</f>
        <v>Grid Extension -Angola- Step 3</v>
      </c>
      <c r="V6" t="s">
        <v>29</v>
      </c>
      <c r="W6" t="s">
        <v>30</v>
      </c>
      <c r="X6" t="s">
        <v>9465</v>
      </c>
      <c r="Z6" t="s">
        <v>9268</v>
      </c>
      <c r="AA6" t="str">
        <f t="shared" ref="AA6:AA69" si="6">"NatGrdExt_"&amp;$A6&amp;"-"&amp;AB$1</f>
        <v>NatGrdExt_AGO-4</v>
      </c>
      <c r="AB6" t="str">
        <f t="shared" ref="AB6:AB69" si="7">"Grid Extension -"&amp;$B6&amp;"- Step "&amp;AB$1</f>
        <v>Grid Extension -Angola- Step 4</v>
      </c>
      <c r="AC6" t="s">
        <v>29</v>
      </c>
      <c r="AD6" t="s">
        <v>30</v>
      </c>
      <c r="AE6" t="s">
        <v>9465</v>
      </c>
      <c r="AG6" t="s">
        <v>9268</v>
      </c>
      <c r="AH6" t="str">
        <f t="shared" ref="AH6:AH69" si="8">"NatGrdExt_"&amp;$A6&amp;"-"&amp;AI$1</f>
        <v>NatGrdExt_AGO-5</v>
      </c>
      <c r="AI6" t="str">
        <f t="shared" ref="AI6:AI69" si="9">"Grid Extension -"&amp;$B6&amp;"- Step "&amp;AI$1</f>
        <v>Grid Extension -Angola- Step 5</v>
      </c>
      <c r="AJ6" t="s">
        <v>29</v>
      </c>
      <c r="AK6" t="s">
        <v>30</v>
      </c>
      <c r="AL6" t="s">
        <v>9465</v>
      </c>
      <c r="AN6" t="s">
        <v>9268</v>
      </c>
      <c r="AO6" t="str">
        <f t="shared" ref="AO6:AO69" si="10">"NatGrdExt_"&amp;$A6&amp;"-"&amp;AP$1</f>
        <v>NatGrdExt_AGO-6</v>
      </c>
      <c r="AP6" t="str">
        <f t="shared" ref="AP6:AP69" si="11">"Grid Extension -"&amp;$B6&amp;"- Step "&amp;AP$1</f>
        <v>Grid Extension -Angola- Step 6</v>
      </c>
      <c r="AQ6" t="s">
        <v>29</v>
      </c>
      <c r="AR6" t="s">
        <v>30</v>
      </c>
      <c r="AS6" t="s">
        <v>9465</v>
      </c>
      <c r="AU6" t="s">
        <v>9268</v>
      </c>
      <c r="AV6" t="str">
        <f t="shared" ref="AV6:AV69" si="12">"NatGrdExt_"&amp;$A6&amp;"-"&amp;AW$1</f>
        <v>NatGrdExt_AGO-7</v>
      </c>
      <c r="AW6" t="str">
        <f t="shared" ref="AW6:AW69" si="13">"Grid Extension -"&amp;$B6&amp;"- Step "&amp;AW$1</f>
        <v>Grid Extension -Angola- Step 7</v>
      </c>
      <c r="AX6" t="s">
        <v>29</v>
      </c>
      <c r="AY6" t="s">
        <v>30</v>
      </c>
      <c r="AZ6" t="s">
        <v>9465</v>
      </c>
      <c r="BB6" t="s">
        <v>9268</v>
      </c>
      <c r="BC6" t="str">
        <f t="shared" ref="BC6:BC69" si="14">"NatGrdExt_"&amp;$A6&amp;"-"&amp;BD$1</f>
        <v>NatGrdExt_AGO-8</v>
      </c>
      <c r="BD6" t="str">
        <f t="shared" ref="BD6:BD69" si="15">"Grid Extension -"&amp;$B6&amp;"- Step "&amp;BD$1</f>
        <v>Grid Extension -Angola- Step 8</v>
      </c>
      <c r="BE6" t="s">
        <v>29</v>
      </c>
      <c r="BF6" t="s">
        <v>30</v>
      </c>
      <c r="BG6" t="s">
        <v>9465</v>
      </c>
      <c r="BI6" t="s">
        <v>9268</v>
      </c>
      <c r="BJ6" t="str">
        <f t="shared" ref="BJ6:BJ69" si="16">"NatGrdExt_"&amp;$A6&amp;"-"&amp;BK$1</f>
        <v>NatGrdExt_AGO-9</v>
      </c>
      <c r="BK6" t="str">
        <f t="shared" ref="BK6:BK69" si="17">"Grid Extension -"&amp;$B6&amp;"- Step "&amp;BK$1</f>
        <v>Grid Extension -Angola- Step 9</v>
      </c>
      <c r="BL6" t="s">
        <v>29</v>
      </c>
      <c r="BM6" t="s">
        <v>30</v>
      </c>
      <c r="BN6" t="s">
        <v>9465</v>
      </c>
      <c r="BP6" t="s">
        <v>9268</v>
      </c>
      <c r="BQ6" t="str">
        <f t="shared" ref="BQ6:BQ69" si="18">"NatGrdExt_"&amp;$A6&amp;"-"&amp;BR$1</f>
        <v>NatGrdExt_AGO-10</v>
      </c>
      <c r="BR6" t="str">
        <f t="shared" ref="BR6:BR69" si="19">"Grid Extension -"&amp;$B6&amp;"- Step "&amp;BR$1</f>
        <v>Grid Extension -Angola- Step 10</v>
      </c>
      <c r="BS6" t="s">
        <v>29</v>
      </c>
      <c r="BT6" t="s">
        <v>30</v>
      </c>
      <c r="BU6" t="s">
        <v>9465</v>
      </c>
    </row>
    <row r="7" spans="1:73">
      <c r="A7" s="4" t="s">
        <v>68</v>
      </c>
      <c r="B7" s="4" t="s">
        <v>9467</v>
      </c>
      <c r="E7" t="s">
        <v>9268</v>
      </c>
      <c r="F7" t="str">
        <f t="shared" si="0"/>
        <v>NatGrdExt_ALB-1</v>
      </c>
      <c r="G7" t="str">
        <f t="shared" si="1"/>
        <v>Grid Extension -Albania- Step 1</v>
      </c>
      <c r="H7" t="s">
        <v>29</v>
      </c>
      <c r="I7" t="s">
        <v>30</v>
      </c>
      <c r="J7" t="s">
        <v>9465</v>
      </c>
      <c r="L7" t="s">
        <v>9268</v>
      </c>
      <c r="M7" t="str">
        <f t="shared" si="2"/>
        <v>NatGrdExt_ALB-2</v>
      </c>
      <c r="N7" t="str">
        <f t="shared" si="3"/>
        <v>Grid Extension -Albania- Step 2</v>
      </c>
      <c r="O7" t="s">
        <v>29</v>
      </c>
      <c r="P7" t="s">
        <v>30</v>
      </c>
      <c r="Q7" t="s">
        <v>9465</v>
      </c>
      <c r="S7" t="s">
        <v>9268</v>
      </c>
      <c r="T7" t="str">
        <f t="shared" si="4"/>
        <v>NatGrdExt_ALB-3</v>
      </c>
      <c r="U7" t="str">
        <f t="shared" si="5"/>
        <v>Grid Extension -Albania- Step 3</v>
      </c>
      <c r="V7" t="s">
        <v>29</v>
      </c>
      <c r="W7" t="s">
        <v>30</v>
      </c>
      <c r="X7" t="s">
        <v>9465</v>
      </c>
      <c r="Z7" t="s">
        <v>9268</v>
      </c>
      <c r="AA7" t="str">
        <f t="shared" si="6"/>
        <v>NatGrdExt_ALB-4</v>
      </c>
      <c r="AB7" t="str">
        <f t="shared" si="7"/>
        <v>Grid Extension -Albania- Step 4</v>
      </c>
      <c r="AC7" t="s">
        <v>29</v>
      </c>
      <c r="AD7" t="s">
        <v>30</v>
      </c>
      <c r="AE7" t="s">
        <v>9465</v>
      </c>
      <c r="AG7" t="s">
        <v>9268</v>
      </c>
      <c r="AH7" t="str">
        <f t="shared" si="8"/>
        <v>NatGrdExt_ALB-5</v>
      </c>
      <c r="AI7" t="str">
        <f t="shared" si="9"/>
        <v>Grid Extension -Albania- Step 5</v>
      </c>
      <c r="AJ7" t="s">
        <v>29</v>
      </c>
      <c r="AK7" t="s">
        <v>30</v>
      </c>
      <c r="AL7" t="s">
        <v>9465</v>
      </c>
      <c r="AN7" t="s">
        <v>9268</v>
      </c>
      <c r="AO7" t="str">
        <f t="shared" si="10"/>
        <v>NatGrdExt_ALB-6</v>
      </c>
      <c r="AP7" t="str">
        <f t="shared" si="11"/>
        <v>Grid Extension -Albania- Step 6</v>
      </c>
      <c r="AQ7" t="s">
        <v>29</v>
      </c>
      <c r="AR7" t="s">
        <v>30</v>
      </c>
      <c r="AS7" t="s">
        <v>9465</v>
      </c>
      <c r="AU7" t="s">
        <v>9268</v>
      </c>
      <c r="AV7" t="str">
        <f t="shared" si="12"/>
        <v>NatGrdExt_ALB-7</v>
      </c>
      <c r="AW7" t="str">
        <f t="shared" si="13"/>
        <v>Grid Extension -Albania- Step 7</v>
      </c>
      <c r="AX7" t="s">
        <v>29</v>
      </c>
      <c r="AY7" t="s">
        <v>30</v>
      </c>
      <c r="AZ7" t="s">
        <v>9465</v>
      </c>
      <c r="BB7" t="s">
        <v>9268</v>
      </c>
      <c r="BC7" t="str">
        <f t="shared" si="14"/>
        <v>NatGrdExt_ALB-8</v>
      </c>
      <c r="BD7" t="str">
        <f t="shared" si="15"/>
        <v>Grid Extension -Albania- Step 8</v>
      </c>
      <c r="BE7" t="s">
        <v>29</v>
      </c>
      <c r="BF7" t="s">
        <v>30</v>
      </c>
      <c r="BG7" t="s">
        <v>9465</v>
      </c>
      <c r="BI7" t="s">
        <v>9268</v>
      </c>
      <c r="BJ7" t="str">
        <f t="shared" si="16"/>
        <v>NatGrdExt_ALB-9</v>
      </c>
      <c r="BK7" t="str">
        <f t="shared" si="17"/>
        <v>Grid Extension -Albania- Step 9</v>
      </c>
      <c r="BL7" t="s">
        <v>29</v>
      </c>
      <c r="BM7" t="s">
        <v>30</v>
      </c>
      <c r="BN7" t="s">
        <v>9465</v>
      </c>
      <c r="BP7" t="s">
        <v>9268</v>
      </c>
      <c r="BQ7" t="str">
        <f t="shared" si="18"/>
        <v>NatGrdExt_ALB-10</v>
      </c>
      <c r="BR7" t="str">
        <f t="shared" si="19"/>
        <v>Grid Extension -Albania- Step 10</v>
      </c>
      <c r="BS7" t="s">
        <v>29</v>
      </c>
      <c r="BT7" t="s">
        <v>30</v>
      </c>
      <c r="BU7" t="s">
        <v>9465</v>
      </c>
    </row>
    <row r="8" spans="1:73">
      <c r="A8" s="4" t="s">
        <v>79</v>
      </c>
      <c r="B8" s="4" t="s">
        <v>9468</v>
      </c>
      <c r="E8" t="s">
        <v>9268</v>
      </c>
      <c r="F8" t="str">
        <f t="shared" si="0"/>
        <v>NatGrdExt_ARE-1</v>
      </c>
      <c r="G8" t="str">
        <f t="shared" si="1"/>
        <v>Grid Extension -United Arab Emirates- Step 1</v>
      </c>
      <c r="H8" t="s">
        <v>29</v>
      </c>
      <c r="I8" t="s">
        <v>30</v>
      </c>
      <c r="J8" t="s">
        <v>9465</v>
      </c>
      <c r="L8" t="s">
        <v>9268</v>
      </c>
      <c r="M8" t="str">
        <f t="shared" si="2"/>
        <v>NatGrdExt_ARE-2</v>
      </c>
      <c r="N8" t="str">
        <f t="shared" si="3"/>
        <v>Grid Extension -United Arab Emirates- Step 2</v>
      </c>
      <c r="O8" t="s">
        <v>29</v>
      </c>
      <c r="P8" t="s">
        <v>30</v>
      </c>
      <c r="Q8" t="s">
        <v>9465</v>
      </c>
      <c r="S8" t="s">
        <v>9268</v>
      </c>
      <c r="T8" t="str">
        <f t="shared" si="4"/>
        <v>NatGrdExt_ARE-3</v>
      </c>
      <c r="U8" t="str">
        <f t="shared" si="5"/>
        <v>Grid Extension -United Arab Emirates- Step 3</v>
      </c>
      <c r="V8" t="s">
        <v>29</v>
      </c>
      <c r="W8" t="s">
        <v>30</v>
      </c>
      <c r="X8" t="s">
        <v>9465</v>
      </c>
      <c r="Z8" t="s">
        <v>9268</v>
      </c>
      <c r="AA8" t="str">
        <f t="shared" si="6"/>
        <v>NatGrdExt_ARE-4</v>
      </c>
      <c r="AB8" t="str">
        <f t="shared" si="7"/>
        <v>Grid Extension -United Arab Emirates- Step 4</v>
      </c>
      <c r="AC8" t="s">
        <v>29</v>
      </c>
      <c r="AD8" t="s">
        <v>30</v>
      </c>
      <c r="AE8" t="s">
        <v>9465</v>
      </c>
      <c r="AG8" t="s">
        <v>9268</v>
      </c>
      <c r="AH8" t="str">
        <f t="shared" si="8"/>
        <v>NatGrdExt_ARE-5</v>
      </c>
      <c r="AI8" t="str">
        <f t="shared" si="9"/>
        <v>Grid Extension -United Arab Emirates- Step 5</v>
      </c>
      <c r="AJ8" t="s">
        <v>29</v>
      </c>
      <c r="AK8" t="s">
        <v>30</v>
      </c>
      <c r="AL8" t="s">
        <v>9465</v>
      </c>
      <c r="AN8" t="s">
        <v>9268</v>
      </c>
      <c r="AO8" t="str">
        <f t="shared" si="10"/>
        <v>NatGrdExt_ARE-6</v>
      </c>
      <c r="AP8" t="str">
        <f t="shared" si="11"/>
        <v>Grid Extension -United Arab Emirates- Step 6</v>
      </c>
      <c r="AQ8" t="s">
        <v>29</v>
      </c>
      <c r="AR8" t="s">
        <v>30</v>
      </c>
      <c r="AS8" t="s">
        <v>9465</v>
      </c>
      <c r="AU8" t="s">
        <v>9268</v>
      </c>
      <c r="AV8" t="str">
        <f t="shared" si="12"/>
        <v>NatGrdExt_ARE-7</v>
      </c>
      <c r="AW8" t="str">
        <f t="shared" si="13"/>
        <v>Grid Extension -United Arab Emirates- Step 7</v>
      </c>
      <c r="AX8" t="s">
        <v>29</v>
      </c>
      <c r="AY8" t="s">
        <v>30</v>
      </c>
      <c r="AZ8" t="s">
        <v>9465</v>
      </c>
      <c r="BB8" t="s">
        <v>9268</v>
      </c>
      <c r="BC8" t="str">
        <f t="shared" si="14"/>
        <v>NatGrdExt_ARE-8</v>
      </c>
      <c r="BD8" t="str">
        <f t="shared" si="15"/>
        <v>Grid Extension -United Arab Emirates- Step 8</v>
      </c>
      <c r="BE8" t="s">
        <v>29</v>
      </c>
      <c r="BF8" t="s">
        <v>30</v>
      </c>
      <c r="BG8" t="s">
        <v>9465</v>
      </c>
      <c r="BI8" t="s">
        <v>9268</v>
      </c>
      <c r="BJ8" t="str">
        <f t="shared" si="16"/>
        <v>NatGrdExt_ARE-9</v>
      </c>
      <c r="BK8" t="str">
        <f t="shared" si="17"/>
        <v>Grid Extension -United Arab Emirates- Step 9</v>
      </c>
      <c r="BL8" t="s">
        <v>29</v>
      </c>
      <c r="BM8" t="s">
        <v>30</v>
      </c>
      <c r="BN8" t="s">
        <v>9465</v>
      </c>
      <c r="BP8" t="s">
        <v>9268</v>
      </c>
      <c r="BQ8" t="str">
        <f t="shared" si="18"/>
        <v>NatGrdExt_ARE-10</v>
      </c>
      <c r="BR8" t="str">
        <f t="shared" si="19"/>
        <v>Grid Extension -United Arab Emirates- Step 10</v>
      </c>
      <c r="BS8" t="s">
        <v>29</v>
      </c>
      <c r="BT8" t="s">
        <v>30</v>
      </c>
      <c r="BU8" t="s">
        <v>9465</v>
      </c>
    </row>
    <row r="9" spans="1:73">
      <c r="A9" s="4" t="s">
        <v>88</v>
      </c>
      <c r="B9" s="4" t="s">
        <v>9469</v>
      </c>
      <c r="E9" t="s">
        <v>9268</v>
      </c>
      <c r="F9" t="str">
        <f t="shared" si="0"/>
        <v>NatGrdExt_ARG-1</v>
      </c>
      <c r="G9" t="str">
        <f t="shared" si="1"/>
        <v>Grid Extension -Argentina- Step 1</v>
      </c>
      <c r="H9" t="s">
        <v>29</v>
      </c>
      <c r="I9" t="s">
        <v>30</v>
      </c>
      <c r="J9" t="s">
        <v>9465</v>
      </c>
      <c r="L9" t="s">
        <v>9268</v>
      </c>
      <c r="M9" t="str">
        <f t="shared" si="2"/>
        <v>NatGrdExt_ARG-2</v>
      </c>
      <c r="N9" t="str">
        <f t="shared" si="3"/>
        <v>Grid Extension -Argentina- Step 2</v>
      </c>
      <c r="O9" t="s">
        <v>29</v>
      </c>
      <c r="P9" t="s">
        <v>30</v>
      </c>
      <c r="Q9" t="s">
        <v>9465</v>
      </c>
      <c r="S9" t="s">
        <v>9268</v>
      </c>
      <c r="T9" t="str">
        <f t="shared" si="4"/>
        <v>NatGrdExt_ARG-3</v>
      </c>
      <c r="U9" t="str">
        <f t="shared" si="5"/>
        <v>Grid Extension -Argentina- Step 3</v>
      </c>
      <c r="V9" t="s">
        <v>29</v>
      </c>
      <c r="W9" t="s">
        <v>30</v>
      </c>
      <c r="X9" t="s">
        <v>9465</v>
      </c>
      <c r="Z9" t="s">
        <v>9268</v>
      </c>
      <c r="AA9" t="str">
        <f t="shared" si="6"/>
        <v>NatGrdExt_ARG-4</v>
      </c>
      <c r="AB9" t="str">
        <f t="shared" si="7"/>
        <v>Grid Extension -Argentina- Step 4</v>
      </c>
      <c r="AC9" t="s">
        <v>29</v>
      </c>
      <c r="AD9" t="s">
        <v>30</v>
      </c>
      <c r="AE9" t="s">
        <v>9465</v>
      </c>
      <c r="AG9" t="s">
        <v>9268</v>
      </c>
      <c r="AH9" t="str">
        <f t="shared" si="8"/>
        <v>NatGrdExt_ARG-5</v>
      </c>
      <c r="AI9" t="str">
        <f t="shared" si="9"/>
        <v>Grid Extension -Argentina- Step 5</v>
      </c>
      <c r="AJ9" t="s">
        <v>29</v>
      </c>
      <c r="AK9" t="s">
        <v>30</v>
      </c>
      <c r="AL9" t="s">
        <v>9465</v>
      </c>
      <c r="AN9" t="s">
        <v>9268</v>
      </c>
      <c r="AO9" t="str">
        <f t="shared" si="10"/>
        <v>NatGrdExt_ARG-6</v>
      </c>
      <c r="AP9" t="str">
        <f t="shared" si="11"/>
        <v>Grid Extension -Argentina- Step 6</v>
      </c>
      <c r="AQ9" t="s">
        <v>29</v>
      </c>
      <c r="AR9" t="s">
        <v>30</v>
      </c>
      <c r="AS9" t="s">
        <v>9465</v>
      </c>
      <c r="AU9" t="s">
        <v>9268</v>
      </c>
      <c r="AV9" t="str">
        <f t="shared" si="12"/>
        <v>NatGrdExt_ARG-7</v>
      </c>
      <c r="AW9" t="str">
        <f t="shared" si="13"/>
        <v>Grid Extension -Argentina- Step 7</v>
      </c>
      <c r="AX9" t="s">
        <v>29</v>
      </c>
      <c r="AY9" t="s">
        <v>30</v>
      </c>
      <c r="AZ9" t="s">
        <v>9465</v>
      </c>
      <c r="BB9" t="s">
        <v>9268</v>
      </c>
      <c r="BC9" t="str">
        <f t="shared" si="14"/>
        <v>NatGrdExt_ARG-8</v>
      </c>
      <c r="BD9" t="str">
        <f t="shared" si="15"/>
        <v>Grid Extension -Argentina- Step 8</v>
      </c>
      <c r="BE9" t="s">
        <v>29</v>
      </c>
      <c r="BF9" t="s">
        <v>30</v>
      </c>
      <c r="BG9" t="s">
        <v>9465</v>
      </c>
      <c r="BI9" t="s">
        <v>9268</v>
      </c>
      <c r="BJ9" t="str">
        <f t="shared" si="16"/>
        <v>NatGrdExt_ARG-9</v>
      </c>
      <c r="BK9" t="str">
        <f t="shared" si="17"/>
        <v>Grid Extension -Argentina- Step 9</v>
      </c>
      <c r="BL9" t="s">
        <v>29</v>
      </c>
      <c r="BM9" t="s">
        <v>30</v>
      </c>
      <c r="BN9" t="s">
        <v>9465</v>
      </c>
      <c r="BP9" t="s">
        <v>9268</v>
      </c>
      <c r="BQ9" t="str">
        <f t="shared" si="18"/>
        <v>NatGrdExt_ARG-10</v>
      </c>
      <c r="BR9" t="str">
        <f t="shared" si="19"/>
        <v>Grid Extension -Argentina- Step 10</v>
      </c>
      <c r="BS9" t="s">
        <v>29</v>
      </c>
      <c r="BT9" t="s">
        <v>30</v>
      </c>
      <c r="BU9" t="s">
        <v>9465</v>
      </c>
    </row>
    <row r="10" spans="1:73">
      <c r="A10" s="4" t="s">
        <v>111</v>
      </c>
      <c r="B10" s="4" t="s">
        <v>9470</v>
      </c>
      <c r="E10" t="s">
        <v>9268</v>
      </c>
      <c r="F10" t="str">
        <f t="shared" si="0"/>
        <v>NatGrdExt_ARM-1</v>
      </c>
      <c r="G10" t="str">
        <f t="shared" si="1"/>
        <v>Grid Extension -Armenia- Step 1</v>
      </c>
      <c r="H10" t="s">
        <v>29</v>
      </c>
      <c r="I10" t="s">
        <v>30</v>
      </c>
      <c r="J10" t="s">
        <v>9465</v>
      </c>
      <c r="L10" t="s">
        <v>9268</v>
      </c>
      <c r="M10" t="str">
        <f t="shared" si="2"/>
        <v>NatGrdExt_ARM-2</v>
      </c>
      <c r="N10" t="str">
        <f t="shared" si="3"/>
        <v>Grid Extension -Armenia- Step 2</v>
      </c>
      <c r="O10" t="s">
        <v>29</v>
      </c>
      <c r="P10" t="s">
        <v>30</v>
      </c>
      <c r="Q10" t="s">
        <v>9465</v>
      </c>
      <c r="S10" t="s">
        <v>9268</v>
      </c>
      <c r="T10" t="str">
        <f t="shared" si="4"/>
        <v>NatGrdExt_ARM-3</v>
      </c>
      <c r="U10" t="str">
        <f t="shared" si="5"/>
        <v>Grid Extension -Armenia- Step 3</v>
      </c>
      <c r="V10" t="s">
        <v>29</v>
      </c>
      <c r="W10" t="s">
        <v>30</v>
      </c>
      <c r="X10" t="s">
        <v>9465</v>
      </c>
      <c r="Z10" t="s">
        <v>9268</v>
      </c>
      <c r="AA10" t="str">
        <f t="shared" si="6"/>
        <v>NatGrdExt_ARM-4</v>
      </c>
      <c r="AB10" t="str">
        <f t="shared" si="7"/>
        <v>Grid Extension -Armenia- Step 4</v>
      </c>
      <c r="AC10" t="s">
        <v>29</v>
      </c>
      <c r="AD10" t="s">
        <v>30</v>
      </c>
      <c r="AE10" t="s">
        <v>9465</v>
      </c>
      <c r="AG10" t="s">
        <v>9268</v>
      </c>
      <c r="AH10" t="str">
        <f t="shared" si="8"/>
        <v>NatGrdExt_ARM-5</v>
      </c>
      <c r="AI10" t="str">
        <f t="shared" si="9"/>
        <v>Grid Extension -Armenia- Step 5</v>
      </c>
      <c r="AJ10" t="s">
        <v>29</v>
      </c>
      <c r="AK10" t="s">
        <v>30</v>
      </c>
      <c r="AL10" t="s">
        <v>9465</v>
      </c>
      <c r="AN10" t="s">
        <v>9268</v>
      </c>
      <c r="AO10" t="str">
        <f t="shared" si="10"/>
        <v>NatGrdExt_ARM-6</v>
      </c>
      <c r="AP10" t="str">
        <f t="shared" si="11"/>
        <v>Grid Extension -Armenia- Step 6</v>
      </c>
      <c r="AQ10" t="s">
        <v>29</v>
      </c>
      <c r="AR10" t="s">
        <v>30</v>
      </c>
      <c r="AS10" t="s">
        <v>9465</v>
      </c>
      <c r="AU10" t="s">
        <v>9268</v>
      </c>
      <c r="AV10" t="str">
        <f t="shared" si="12"/>
        <v>NatGrdExt_ARM-7</v>
      </c>
      <c r="AW10" t="str">
        <f t="shared" si="13"/>
        <v>Grid Extension -Armenia- Step 7</v>
      </c>
      <c r="AX10" t="s">
        <v>29</v>
      </c>
      <c r="AY10" t="s">
        <v>30</v>
      </c>
      <c r="AZ10" t="s">
        <v>9465</v>
      </c>
      <c r="BB10" t="s">
        <v>9268</v>
      </c>
      <c r="BC10" t="str">
        <f t="shared" si="14"/>
        <v>NatGrdExt_ARM-8</v>
      </c>
      <c r="BD10" t="str">
        <f t="shared" si="15"/>
        <v>Grid Extension -Armenia- Step 8</v>
      </c>
      <c r="BE10" t="s">
        <v>29</v>
      </c>
      <c r="BF10" t="s">
        <v>30</v>
      </c>
      <c r="BG10" t="s">
        <v>9465</v>
      </c>
      <c r="BI10" t="s">
        <v>9268</v>
      </c>
      <c r="BJ10" t="str">
        <f t="shared" si="16"/>
        <v>NatGrdExt_ARM-9</v>
      </c>
      <c r="BK10" t="str">
        <f t="shared" si="17"/>
        <v>Grid Extension -Armenia- Step 9</v>
      </c>
      <c r="BL10" t="s">
        <v>29</v>
      </c>
      <c r="BM10" t="s">
        <v>30</v>
      </c>
      <c r="BN10" t="s">
        <v>9465</v>
      </c>
      <c r="BP10" t="s">
        <v>9268</v>
      </c>
      <c r="BQ10" t="str">
        <f t="shared" si="18"/>
        <v>NatGrdExt_ARM-10</v>
      </c>
      <c r="BR10" t="str">
        <f t="shared" si="19"/>
        <v>Grid Extension -Armenia- Step 10</v>
      </c>
      <c r="BS10" t="s">
        <v>29</v>
      </c>
      <c r="BT10" t="s">
        <v>30</v>
      </c>
      <c r="BU10" t="s">
        <v>9465</v>
      </c>
    </row>
    <row r="11" spans="1:73">
      <c r="A11" s="4" t="s">
        <v>2087</v>
      </c>
      <c r="B11" s="4" t="s">
        <v>9471</v>
      </c>
      <c r="E11" t="s">
        <v>9268</v>
      </c>
      <c r="F11" t="str">
        <f t="shared" si="0"/>
        <v>NatGrdExt_ATG-1</v>
      </c>
      <c r="G11" t="str">
        <f t="shared" si="1"/>
        <v>Grid Extension -Antigua and Barbuda- Step 1</v>
      </c>
      <c r="H11" t="s">
        <v>29</v>
      </c>
      <c r="I11" t="s">
        <v>30</v>
      </c>
      <c r="J11" t="s">
        <v>9465</v>
      </c>
      <c r="L11" t="s">
        <v>9268</v>
      </c>
      <c r="M11" t="str">
        <f t="shared" si="2"/>
        <v>NatGrdExt_ATG-2</v>
      </c>
      <c r="N11" t="str">
        <f t="shared" si="3"/>
        <v>Grid Extension -Antigua and Barbuda- Step 2</v>
      </c>
      <c r="O11" t="s">
        <v>29</v>
      </c>
      <c r="P11" t="s">
        <v>30</v>
      </c>
      <c r="Q11" t="s">
        <v>9465</v>
      </c>
      <c r="S11" t="s">
        <v>9268</v>
      </c>
      <c r="T11" t="str">
        <f t="shared" si="4"/>
        <v>NatGrdExt_ATG-3</v>
      </c>
      <c r="U11" t="str">
        <f t="shared" si="5"/>
        <v>Grid Extension -Antigua and Barbuda- Step 3</v>
      </c>
      <c r="V11" t="s">
        <v>29</v>
      </c>
      <c r="W11" t="s">
        <v>30</v>
      </c>
      <c r="X11" t="s">
        <v>9465</v>
      </c>
      <c r="Z11" t="s">
        <v>9268</v>
      </c>
      <c r="AA11" t="str">
        <f t="shared" si="6"/>
        <v>NatGrdExt_ATG-4</v>
      </c>
      <c r="AB11" t="str">
        <f t="shared" si="7"/>
        <v>Grid Extension -Antigua and Barbuda- Step 4</v>
      </c>
      <c r="AC11" t="s">
        <v>29</v>
      </c>
      <c r="AD11" t="s">
        <v>30</v>
      </c>
      <c r="AE11" t="s">
        <v>9465</v>
      </c>
      <c r="AG11" t="s">
        <v>9268</v>
      </c>
      <c r="AH11" t="str">
        <f t="shared" si="8"/>
        <v>NatGrdExt_ATG-5</v>
      </c>
      <c r="AI11" t="str">
        <f t="shared" si="9"/>
        <v>Grid Extension -Antigua and Barbuda- Step 5</v>
      </c>
      <c r="AJ11" t="s">
        <v>29</v>
      </c>
      <c r="AK11" t="s">
        <v>30</v>
      </c>
      <c r="AL11" t="s">
        <v>9465</v>
      </c>
      <c r="AN11" t="s">
        <v>9268</v>
      </c>
      <c r="AO11" t="str">
        <f t="shared" si="10"/>
        <v>NatGrdExt_ATG-6</v>
      </c>
      <c r="AP11" t="str">
        <f t="shared" si="11"/>
        <v>Grid Extension -Antigua and Barbuda- Step 6</v>
      </c>
      <c r="AQ11" t="s">
        <v>29</v>
      </c>
      <c r="AR11" t="s">
        <v>30</v>
      </c>
      <c r="AS11" t="s">
        <v>9465</v>
      </c>
      <c r="AU11" t="s">
        <v>9268</v>
      </c>
      <c r="AV11" t="str">
        <f t="shared" si="12"/>
        <v>NatGrdExt_ATG-7</v>
      </c>
      <c r="AW11" t="str">
        <f t="shared" si="13"/>
        <v>Grid Extension -Antigua and Barbuda- Step 7</v>
      </c>
      <c r="AX11" t="s">
        <v>29</v>
      </c>
      <c r="AY11" t="s">
        <v>30</v>
      </c>
      <c r="AZ11" t="s">
        <v>9465</v>
      </c>
      <c r="BB11" t="s">
        <v>9268</v>
      </c>
      <c r="BC11" t="str">
        <f t="shared" si="14"/>
        <v>NatGrdExt_ATG-8</v>
      </c>
      <c r="BD11" t="str">
        <f t="shared" si="15"/>
        <v>Grid Extension -Antigua and Barbuda- Step 8</v>
      </c>
      <c r="BE11" t="s">
        <v>29</v>
      </c>
      <c r="BF11" t="s">
        <v>30</v>
      </c>
      <c r="BG11" t="s">
        <v>9465</v>
      </c>
      <c r="BI11" t="s">
        <v>9268</v>
      </c>
      <c r="BJ11" t="str">
        <f t="shared" si="16"/>
        <v>NatGrdExt_ATG-9</v>
      </c>
      <c r="BK11" t="str">
        <f t="shared" si="17"/>
        <v>Grid Extension -Antigua and Barbuda- Step 9</v>
      </c>
      <c r="BL11" t="s">
        <v>29</v>
      </c>
      <c r="BM11" t="s">
        <v>30</v>
      </c>
      <c r="BN11" t="s">
        <v>9465</v>
      </c>
      <c r="BP11" t="s">
        <v>9268</v>
      </c>
      <c r="BQ11" t="str">
        <f t="shared" si="18"/>
        <v>NatGrdExt_ATG-10</v>
      </c>
      <c r="BR11" t="str">
        <f t="shared" si="19"/>
        <v>Grid Extension -Antigua and Barbuda- Step 10</v>
      </c>
      <c r="BS11" t="s">
        <v>29</v>
      </c>
      <c r="BT11" t="s">
        <v>30</v>
      </c>
      <c r="BU11" t="s">
        <v>9465</v>
      </c>
    </row>
    <row r="12" spans="1:73">
      <c r="A12" s="4" t="s">
        <v>118</v>
      </c>
      <c r="B12" s="4" t="s">
        <v>9472</v>
      </c>
      <c r="E12" t="s">
        <v>9268</v>
      </c>
      <c r="F12" t="str">
        <f t="shared" si="0"/>
        <v>NatGrdExt_AUS-1</v>
      </c>
      <c r="G12" t="str">
        <f t="shared" si="1"/>
        <v>Grid Extension -Australia- Step 1</v>
      </c>
      <c r="H12" t="s">
        <v>29</v>
      </c>
      <c r="I12" t="s">
        <v>30</v>
      </c>
      <c r="J12" t="s">
        <v>9465</v>
      </c>
      <c r="L12" t="s">
        <v>9268</v>
      </c>
      <c r="M12" t="str">
        <f t="shared" si="2"/>
        <v>NatGrdExt_AUS-2</v>
      </c>
      <c r="N12" t="str">
        <f t="shared" si="3"/>
        <v>Grid Extension -Australia- Step 2</v>
      </c>
      <c r="O12" t="s">
        <v>29</v>
      </c>
      <c r="P12" t="s">
        <v>30</v>
      </c>
      <c r="Q12" t="s">
        <v>9465</v>
      </c>
      <c r="S12" t="s">
        <v>9268</v>
      </c>
      <c r="T12" t="str">
        <f t="shared" si="4"/>
        <v>NatGrdExt_AUS-3</v>
      </c>
      <c r="U12" t="str">
        <f t="shared" si="5"/>
        <v>Grid Extension -Australia- Step 3</v>
      </c>
      <c r="V12" t="s">
        <v>29</v>
      </c>
      <c r="W12" t="s">
        <v>30</v>
      </c>
      <c r="X12" t="s">
        <v>9465</v>
      </c>
      <c r="Z12" t="s">
        <v>9268</v>
      </c>
      <c r="AA12" t="str">
        <f t="shared" si="6"/>
        <v>NatGrdExt_AUS-4</v>
      </c>
      <c r="AB12" t="str">
        <f t="shared" si="7"/>
        <v>Grid Extension -Australia- Step 4</v>
      </c>
      <c r="AC12" t="s">
        <v>29</v>
      </c>
      <c r="AD12" t="s">
        <v>30</v>
      </c>
      <c r="AE12" t="s">
        <v>9465</v>
      </c>
      <c r="AG12" t="s">
        <v>9268</v>
      </c>
      <c r="AH12" t="str">
        <f t="shared" si="8"/>
        <v>NatGrdExt_AUS-5</v>
      </c>
      <c r="AI12" t="str">
        <f t="shared" si="9"/>
        <v>Grid Extension -Australia- Step 5</v>
      </c>
      <c r="AJ12" t="s">
        <v>29</v>
      </c>
      <c r="AK12" t="s">
        <v>30</v>
      </c>
      <c r="AL12" t="s">
        <v>9465</v>
      </c>
      <c r="AN12" t="s">
        <v>9268</v>
      </c>
      <c r="AO12" t="str">
        <f t="shared" si="10"/>
        <v>NatGrdExt_AUS-6</v>
      </c>
      <c r="AP12" t="str">
        <f t="shared" si="11"/>
        <v>Grid Extension -Australia- Step 6</v>
      </c>
      <c r="AQ12" t="s">
        <v>29</v>
      </c>
      <c r="AR12" t="s">
        <v>30</v>
      </c>
      <c r="AS12" t="s">
        <v>9465</v>
      </c>
      <c r="AU12" t="s">
        <v>9268</v>
      </c>
      <c r="AV12" t="str">
        <f t="shared" si="12"/>
        <v>NatGrdExt_AUS-7</v>
      </c>
      <c r="AW12" t="str">
        <f t="shared" si="13"/>
        <v>Grid Extension -Australia- Step 7</v>
      </c>
      <c r="AX12" t="s">
        <v>29</v>
      </c>
      <c r="AY12" t="s">
        <v>30</v>
      </c>
      <c r="AZ12" t="s">
        <v>9465</v>
      </c>
      <c r="BB12" t="s">
        <v>9268</v>
      </c>
      <c r="BC12" t="str">
        <f t="shared" si="14"/>
        <v>NatGrdExt_AUS-8</v>
      </c>
      <c r="BD12" t="str">
        <f t="shared" si="15"/>
        <v>Grid Extension -Australia- Step 8</v>
      </c>
      <c r="BE12" t="s">
        <v>29</v>
      </c>
      <c r="BF12" t="s">
        <v>30</v>
      </c>
      <c r="BG12" t="s">
        <v>9465</v>
      </c>
      <c r="BI12" t="s">
        <v>9268</v>
      </c>
      <c r="BJ12" t="str">
        <f t="shared" si="16"/>
        <v>NatGrdExt_AUS-9</v>
      </c>
      <c r="BK12" t="str">
        <f t="shared" si="17"/>
        <v>Grid Extension -Australia- Step 9</v>
      </c>
      <c r="BL12" t="s">
        <v>29</v>
      </c>
      <c r="BM12" t="s">
        <v>30</v>
      </c>
      <c r="BN12" t="s">
        <v>9465</v>
      </c>
      <c r="BP12" t="s">
        <v>9268</v>
      </c>
      <c r="BQ12" t="str">
        <f t="shared" si="18"/>
        <v>NatGrdExt_AUS-10</v>
      </c>
      <c r="BR12" t="str">
        <f t="shared" si="19"/>
        <v>Grid Extension -Australia- Step 10</v>
      </c>
      <c r="BS12" t="s">
        <v>29</v>
      </c>
      <c r="BT12" t="s">
        <v>30</v>
      </c>
      <c r="BU12" t="s">
        <v>9465</v>
      </c>
    </row>
    <row r="13" spans="1:73">
      <c r="A13" s="4" t="s">
        <v>123</v>
      </c>
      <c r="B13" s="4" t="s">
        <v>9473</v>
      </c>
      <c r="E13" t="s">
        <v>9268</v>
      </c>
      <c r="F13" t="str">
        <f t="shared" si="0"/>
        <v>NatGrdExt_AUT-1</v>
      </c>
      <c r="G13" t="str">
        <f t="shared" si="1"/>
        <v>Grid Extension -Austria- Step 1</v>
      </c>
      <c r="H13" t="s">
        <v>29</v>
      </c>
      <c r="I13" t="s">
        <v>30</v>
      </c>
      <c r="J13" t="s">
        <v>9465</v>
      </c>
      <c r="L13" t="s">
        <v>9268</v>
      </c>
      <c r="M13" t="str">
        <f t="shared" si="2"/>
        <v>NatGrdExt_AUT-2</v>
      </c>
      <c r="N13" t="str">
        <f t="shared" si="3"/>
        <v>Grid Extension -Austria- Step 2</v>
      </c>
      <c r="O13" t="s">
        <v>29</v>
      </c>
      <c r="P13" t="s">
        <v>30</v>
      </c>
      <c r="Q13" t="s">
        <v>9465</v>
      </c>
      <c r="S13" t="s">
        <v>9268</v>
      </c>
      <c r="T13" t="str">
        <f t="shared" si="4"/>
        <v>NatGrdExt_AUT-3</v>
      </c>
      <c r="U13" t="str">
        <f t="shared" si="5"/>
        <v>Grid Extension -Austria- Step 3</v>
      </c>
      <c r="V13" t="s">
        <v>29</v>
      </c>
      <c r="W13" t="s">
        <v>30</v>
      </c>
      <c r="X13" t="s">
        <v>9465</v>
      </c>
      <c r="Z13" t="s">
        <v>9268</v>
      </c>
      <c r="AA13" t="str">
        <f t="shared" si="6"/>
        <v>NatGrdExt_AUT-4</v>
      </c>
      <c r="AB13" t="str">
        <f t="shared" si="7"/>
        <v>Grid Extension -Austria- Step 4</v>
      </c>
      <c r="AC13" t="s">
        <v>29</v>
      </c>
      <c r="AD13" t="s">
        <v>30</v>
      </c>
      <c r="AE13" t="s">
        <v>9465</v>
      </c>
      <c r="AG13" t="s">
        <v>9268</v>
      </c>
      <c r="AH13" t="str">
        <f t="shared" si="8"/>
        <v>NatGrdExt_AUT-5</v>
      </c>
      <c r="AI13" t="str">
        <f t="shared" si="9"/>
        <v>Grid Extension -Austria- Step 5</v>
      </c>
      <c r="AJ13" t="s">
        <v>29</v>
      </c>
      <c r="AK13" t="s">
        <v>30</v>
      </c>
      <c r="AL13" t="s">
        <v>9465</v>
      </c>
      <c r="AN13" t="s">
        <v>9268</v>
      </c>
      <c r="AO13" t="str">
        <f t="shared" si="10"/>
        <v>NatGrdExt_AUT-6</v>
      </c>
      <c r="AP13" t="str">
        <f t="shared" si="11"/>
        <v>Grid Extension -Austria- Step 6</v>
      </c>
      <c r="AQ13" t="s">
        <v>29</v>
      </c>
      <c r="AR13" t="s">
        <v>30</v>
      </c>
      <c r="AS13" t="s">
        <v>9465</v>
      </c>
      <c r="AU13" t="s">
        <v>9268</v>
      </c>
      <c r="AV13" t="str">
        <f t="shared" si="12"/>
        <v>NatGrdExt_AUT-7</v>
      </c>
      <c r="AW13" t="str">
        <f t="shared" si="13"/>
        <v>Grid Extension -Austria- Step 7</v>
      </c>
      <c r="AX13" t="s">
        <v>29</v>
      </c>
      <c r="AY13" t="s">
        <v>30</v>
      </c>
      <c r="AZ13" t="s">
        <v>9465</v>
      </c>
      <c r="BB13" t="s">
        <v>9268</v>
      </c>
      <c r="BC13" t="str">
        <f t="shared" si="14"/>
        <v>NatGrdExt_AUT-8</v>
      </c>
      <c r="BD13" t="str">
        <f t="shared" si="15"/>
        <v>Grid Extension -Austria- Step 8</v>
      </c>
      <c r="BE13" t="s">
        <v>29</v>
      </c>
      <c r="BF13" t="s">
        <v>30</v>
      </c>
      <c r="BG13" t="s">
        <v>9465</v>
      </c>
      <c r="BI13" t="s">
        <v>9268</v>
      </c>
      <c r="BJ13" t="str">
        <f t="shared" si="16"/>
        <v>NatGrdExt_AUT-9</v>
      </c>
      <c r="BK13" t="str">
        <f t="shared" si="17"/>
        <v>Grid Extension -Austria- Step 9</v>
      </c>
      <c r="BL13" t="s">
        <v>29</v>
      </c>
      <c r="BM13" t="s">
        <v>30</v>
      </c>
      <c r="BN13" t="s">
        <v>9465</v>
      </c>
      <c r="BP13" t="s">
        <v>9268</v>
      </c>
      <c r="BQ13" t="str">
        <f t="shared" si="18"/>
        <v>NatGrdExt_AUT-10</v>
      </c>
      <c r="BR13" t="str">
        <f t="shared" si="19"/>
        <v>Grid Extension -Austria- Step 10</v>
      </c>
      <c r="BS13" t="s">
        <v>29</v>
      </c>
      <c r="BT13" t="s">
        <v>30</v>
      </c>
      <c r="BU13" t="s">
        <v>9465</v>
      </c>
    </row>
    <row r="14" spans="1:73">
      <c r="A14" s="4" t="s">
        <v>137</v>
      </c>
      <c r="B14" s="4" t="s">
        <v>9474</v>
      </c>
      <c r="E14" t="s">
        <v>9268</v>
      </c>
      <c r="F14" t="str">
        <f t="shared" si="0"/>
        <v>NatGrdExt_AZE-1</v>
      </c>
      <c r="G14" t="str">
        <f t="shared" si="1"/>
        <v>Grid Extension -Azerbaijan- Step 1</v>
      </c>
      <c r="H14" t="s">
        <v>29</v>
      </c>
      <c r="I14" t="s">
        <v>30</v>
      </c>
      <c r="J14" t="s">
        <v>9465</v>
      </c>
      <c r="L14" t="s">
        <v>9268</v>
      </c>
      <c r="M14" t="str">
        <f t="shared" si="2"/>
        <v>NatGrdExt_AZE-2</v>
      </c>
      <c r="N14" t="str">
        <f t="shared" si="3"/>
        <v>Grid Extension -Azerbaijan- Step 2</v>
      </c>
      <c r="O14" t="s">
        <v>29</v>
      </c>
      <c r="P14" t="s">
        <v>30</v>
      </c>
      <c r="Q14" t="s">
        <v>9465</v>
      </c>
      <c r="S14" t="s">
        <v>9268</v>
      </c>
      <c r="T14" t="str">
        <f t="shared" si="4"/>
        <v>NatGrdExt_AZE-3</v>
      </c>
      <c r="U14" t="str">
        <f t="shared" si="5"/>
        <v>Grid Extension -Azerbaijan- Step 3</v>
      </c>
      <c r="V14" t="s">
        <v>29</v>
      </c>
      <c r="W14" t="s">
        <v>30</v>
      </c>
      <c r="X14" t="s">
        <v>9465</v>
      </c>
      <c r="Z14" t="s">
        <v>9268</v>
      </c>
      <c r="AA14" t="str">
        <f t="shared" si="6"/>
        <v>NatGrdExt_AZE-4</v>
      </c>
      <c r="AB14" t="str">
        <f t="shared" si="7"/>
        <v>Grid Extension -Azerbaijan- Step 4</v>
      </c>
      <c r="AC14" t="s">
        <v>29</v>
      </c>
      <c r="AD14" t="s">
        <v>30</v>
      </c>
      <c r="AE14" t="s">
        <v>9465</v>
      </c>
      <c r="AG14" t="s">
        <v>9268</v>
      </c>
      <c r="AH14" t="str">
        <f t="shared" si="8"/>
        <v>NatGrdExt_AZE-5</v>
      </c>
      <c r="AI14" t="str">
        <f t="shared" si="9"/>
        <v>Grid Extension -Azerbaijan- Step 5</v>
      </c>
      <c r="AJ14" t="s">
        <v>29</v>
      </c>
      <c r="AK14" t="s">
        <v>30</v>
      </c>
      <c r="AL14" t="s">
        <v>9465</v>
      </c>
      <c r="AN14" t="s">
        <v>9268</v>
      </c>
      <c r="AO14" t="str">
        <f t="shared" si="10"/>
        <v>NatGrdExt_AZE-6</v>
      </c>
      <c r="AP14" t="str">
        <f t="shared" si="11"/>
        <v>Grid Extension -Azerbaijan- Step 6</v>
      </c>
      <c r="AQ14" t="s">
        <v>29</v>
      </c>
      <c r="AR14" t="s">
        <v>30</v>
      </c>
      <c r="AS14" t="s">
        <v>9465</v>
      </c>
      <c r="AU14" t="s">
        <v>9268</v>
      </c>
      <c r="AV14" t="str">
        <f t="shared" si="12"/>
        <v>NatGrdExt_AZE-7</v>
      </c>
      <c r="AW14" t="str">
        <f t="shared" si="13"/>
        <v>Grid Extension -Azerbaijan- Step 7</v>
      </c>
      <c r="AX14" t="s">
        <v>29</v>
      </c>
      <c r="AY14" t="s">
        <v>30</v>
      </c>
      <c r="AZ14" t="s">
        <v>9465</v>
      </c>
      <c r="BB14" t="s">
        <v>9268</v>
      </c>
      <c r="BC14" t="str">
        <f t="shared" si="14"/>
        <v>NatGrdExt_AZE-8</v>
      </c>
      <c r="BD14" t="str">
        <f t="shared" si="15"/>
        <v>Grid Extension -Azerbaijan- Step 8</v>
      </c>
      <c r="BE14" t="s">
        <v>29</v>
      </c>
      <c r="BF14" t="s">
        <v>30</v>
      </c>
      <c r="BG14" t="s">
        <v>9465</v>
      </c>
      <c r="BI14" t="s">
        <v>9268</v>
      </c>
      <c r="BJ14" t="str">
        <f t="shared" si="16"/>
        <v>NatGrdExt_AZE-9</v>
      </c>
      <c r="BK14" t="str">
        <f t="shared" si="17"/>
        <v>Grid Extension -Azerbaijan- Step 9</v>
      </c>
      <c r="BL14" t="s">
        <v>29</v>
      </c>
      <c r="BM14" t="s">
        <v>30</v>
      </c>
      <c r="BN14" t="s">
        <v>9465</v>
      </c>
      <c r="BP14" t="s">
        <v>9268</v>
      </c>
      <c r="BQ14" t="str">
        <f t="shared" si="18"/>
        <v>NatGrdExt_AZE-10</v>
      </c>
      <c r="BR14" t="str">
        <f t="shared" si="19"/>
        <v>Grid Extension -Azerbaijan- Step 10</v>
      </c>
      <c r="BS14" t="s">
        <v>29</v>
      </c>
      <c r="BT14" t="s">
        <v>30</v>
      </c>
      <c r="BU14" t="s">
        <v>9465</v>
      </c>
    </row>
    <row r="15" spans="1:73">
      <c r="A15" s="4" t="s">
        <v>151</v>
      </c>
      <c r="B15" s="4" t="s">
        <v>9475</v>
      </c>
      <c r="E15" t="s">
        <v>9268</v>
      </c>
      <c r="F15" t="str">
        <f t="shared" si="0"/>
        <v>NatGrdExt_BDI-1</v>
      </c>
      <c r="G15" t="str">
        <f t="shared" si="1"/>
        <v>Grid Extension -Burundi- Step 1</v>
      </c>
      <c r="H15" t="s">
        <v>29</v>
      </c>
      <c r="I15" t="s">
        <v>30</v>
      </c>
      <c r="J15" t="s">
        <v>9465</v>
      </c>
      <c r="L15" t="s">
        <v>9268</v>
      </c>
      <c r="M15" t="str">
        <f t="shared" si="2"/>
        <v>NatGrdExt_BDI-2</v>
      </c>
      <c r="N15" t="str">
        <f t="shared" si="3"/>
        <v>Grid Extension -Burundi- Step 2</v>
      </c>
      <c r="O15" t="s">
        <v>29</v>
      </c>
      <c r="P15" t="s">
        <v>30</v>
      </c>
      <c r="Q15" t="s">
        <v>9465</v>
      </c>
      <c r="S15" t="s">
        <v>9268</v>
      </c>
      <c r="T15" t="str">
        <f t="shared" si="4"/>
        <v>NatGrdExt_BDI-3</v>
      </c>
      <c r="U15" t="str">
        <f t="shared" si="5"/>
        <v>Grid Extension -Burundi- Step 3</v>
      </c>
      <c r="V15" t="s">
        <v>29</v>
      </c>
      <c r="W15" t="s">
        <v>30</v>
      </c>
      <c r="X15" t="s">
        <v>9465</v>
      </c>
      <c r="Z15" t="s">
        <v>9268</v>
      </c>
      <c r="AA15" t="str">
        <f t="shared" si="6"/>
        <v>NatGrdExt_BDI-4</v>
      </c>
      <c r="AB15" t="str">
        <f t="shared" si="7"/>
        <v>Grid Extension -Burundi- Step 4</v>
      </c>
      <c r="AC15" t="s">
        <v>29</v>
      </c>
      <c r="AD15" t="s">
        <v>30</v>
      </c>
      <c r="AE15" t="s">
        <v>9465</v>
      </c>
      <c r="AG15" t="s">
        <v>9268</v>
      </c>
      <c r="AH15" t="str">
        <f t="shared" si="8"/>
        <v>NatGrdExt_BDI-5</v>
      </c>
      <c r="AI15" t="str">
        <f t="shared" si="9"/>
        <v>Grid Extension -Burundi- Step 5</v>
      </c>
      <c r="AJ15" t="s">
        <v>29</v>
      </c>
      <c r="AK15" t="s">
        <v>30</v>
      </c>
      <c r="AL15" t="s">
        <v>9465</v>
      </c>
      <c r="AN15" t="s">
        <v>9268</v>
      </c>
      <c r="AO15" t="str">
        <f t="shared" si="10"/>
        <v>NatGrdExt_BDI-6</v>
      </c>
      <c r="AP15" t="str">
        <f t="shared" si="11"/>
        <v>Grid Extension -Burundi- Step 6</v>
      </c>
      <c r="AQ15" t="s">
        <v>29</v>
      </c>
      <c r="AR15" t="s">
        <v>30</v>
      </c>
      <c r="AS15" t="s">
        <v>9465</v>
      </c>
      <c r="AU15" t="s">
        <v>9268</v>
      </c>
      <c r="AV15" t="str">
        <f t="shared" si="12"/>
        <v>NatGrdExt_BDI-7</v>
      </c>
      <c r="AW15" t="str">
        <f t="shared" si="13"/>
        <v>Grid Extension -Burundi- Step 7</v>
      </c>
      <c r="AX15" t="s">
        <v>29</v>
      </c>
      <c r="AY15" t="s">
        <v>30</v>
      </c>
      <c r="AZ15" t="s">
        <v>9465</v>
      </c>
      <c r="BB15" t="s">
        <v>9268</v>
      </c>
      <c r="BC15" t="str">
        <f t="shared" si="14"/>
        <v>NatGrdExt_BDI-8</v>
      </c>
      <c r="BD15" t="str">
        <f t="shared" si="15"/>
        <v>Grid Extension -Burundi- Step 8</v>
      </c>
      <c r="BE15" t="s">
        <v>29</v>
      </c>
      <c r="BF15" t="s">
        <v>30</v>
      </c>
      <c r="BG15" t="s">
        <v>9465</v>
      </c>
      <c r="BI15" t="s">
        <v>9268</v>
      </c>
      <c r="BJ15" t="str">
        <f t="shared" si="16"/>
        <v>NatGrdExt_BDI-9</v>
      </c>
      <c r="BK15" t="str">
        <f t="shared" si="17"/>
        <v>Grid Extension -Burundi- Step 9</v>
      </c>
      <c r="BL15" t="s">
        <v>29</v>
      </c>
      <c r="BM15" t="s">
        <v>30</v>
      </c>
      <c r="BN15" t="s">
        <v>9465</v>
      </c>
      <c r="BP15" t="s">
        <v>9268</v>
      </c>
      <c r="BQ15" t="str">
        <f t="shared" si="18"/>
        <v>NatGrdExt_BDI-10</v>
      </c>
      <c r="BR15" t="str">
        <f t="shared" si="19"/>
        <v>Grid Extension -Burundi- Step 10</v>
      </c>
      <c r="BS15" t="s">
        <v>29</v>
      </c>
      <c r="BT15" t="s">
        <v>30</v>
      </c>
      <c r="BU15" t="s">
        <v>9465</v>
      </c>
    </row>
    <row r="16" spans="1:73">
      <c r="A16" s="4" t="s">
        <v>159</v>
      </c>
      <c r="B16" s="4" t="s">
        <v>9476</v>
      </c>
      <c r="E16" t="s">
        <v>9268</v>
      </c>
      <c r="F16" t="str">
        <f t="shared" si="0"/>
        <v>NatGrdExt_BEL-1</v>
      </c>
      <c r="G16" t="str">
        <f t="shared" si="1"/>
        <v>Grid Extension -Belgium- Step 1</v>
      </c>
      <c r="H16" t="s">
        <v>29</v>
      </c>
      <c r="I16" t="s">
        <v>30</v>
      </c>
      <c r="J16" t="s">
        <v>9465</v>
      </c>
      <c r="L16" t="s">
        <v>9268</v>
      </c>
      <c r="M16" t="str">
        <f t="shared" si="2"/>
        <v>NatGrdExt_BEL-2</v>
      </c>
      <c r="N16" t="str">
        <f t="shared" si="3"/>
        <v>Grid Extension -Belgium- Step 2</v>
      </c>
      <c r="O16" t="s">
        <v>29</v>
      </c>
      <c r="P16" t="s">
        <v>30</v>
      </c>
      <c r="Q16" t="s">
        <v>9465</v>
      </c>
      <c r="S16" t="s">
        <v>9268</v>
      </c>
      <c r="T16" t="str">
        <f t="shared" si="4"/>
        <v>NatGrdExt_BEL-3</v>
      </c>
      <c r="U16" t="str">
        <f t="shared" si="5"/>
        <v>Grid Extension -Belgium- Step 3</v>
      </c>
      <c r="V16" t="s">
        <v>29</v>
      </c>
      <c r="W16" t="s">
        <v>30</v>
      </c>
      <c r="X16" t="s">
        <v>9465</v>
      </c>
      <c r="Z16" t="s">
        <v>9268</v>
      </c>
      <c r="AA16" t="str">
        <f t="shared" si="6"/>
        <v>NatGrdExt_BEL-4</v>
      </c>
      <c r="AB16" t="str">
        <f t="shared" si="7"/>
        <v>Grid Extension -Belgium- Step 4</v>
      </c>
      <c r="AC16" t="s">
        <v>29</v>
      </c>
      <c r="AD16" t="s">
        <v>30</v>
      </c>
      <c r="AE16" t="s">
        <v>9465</v>
      </c>
      <c r="AG16" t="s">
        <v>9268</v>
      </c>
      <c r="AH16" t="str">
        <f t="shared" si="8"/>
        <v>NatGrdExt_BEL-5</v>
      </c>
      <c r="AI16" t="str">
        <f t="shared" si="9"/>
        <v>Grid Extension -Belgium- Step 5</v>
      </c>
      <c r="AJ16" t="s">
        <v>29</v>
      </c>
      <c r="AK16" t="s">
        <v>30</v>
      </c>
      <c r="AL16" t="s">
        <v>9465</v>
      </c>
      <c r="AN16" t="s">
        <v>9268</v>
      </c>
      <c r="AO16" t="str">
        <f t="shared" si="10"/>
        <v>NatGrdExt_BEL-6</v>
      </c>
      <c r="AP16" t="str">
        <f t="shared" si="11"/>
        <v>Grid Extension -Belgium- Step 6</v>
      </c>
      <c r="AQ16" t="s">
        <v>29</v>
      </c>
      <c r="AR16" t="s">
        <v>30</v>
      </c>
      <c r="AS16" t="s">
        <v>9465</v>
      </c>
      <c r="AU16" t="s">
        <v>9268</v>
      </c>
      <c r="AV16" t="str">
        <f t="shared" si="12"/>
        <v>NatGrdExt_BEL-7</v>
      </c>
      <c r="AW16" t="str">
        <f t="shared" si="13"/>
        <v>Grid Extension -Belgium- Step 7</v>
      </c>
      <c r="AX16" t="s">
        <v>29</v>
      </c>
      <c r="AY16" t="s">
        <v>30</v>
      </c>
      <c r="AZ16" t="s">
        <v>9465</v>
      </c>
      <c r="BB16" t="s">
        <v>9268</v>
      </c>
      <c r="BC16" t="str">
        <f t="shared" si="14"/>
        <v>NatGrdExt_BEL-8</v>
      </c>
      <c r="BD16" t="str">
        <f t="shared" si="15"/>
        <v>Grid Extension -Belgium- Step 8</v>
      </c>
      <c r="BE16" t="s">
        <v>29</v>
      </c>
      <c r="BF16" t="s">
        <v>30</v>
      </c>
      <c r="BG16" t="s">
        <v>9465</v>
      </c>
      <c r="BI16" t="s">
        <v>9268</v>
      </c>
      <c r="BJ16" t="str">
        <f t="shared" si="16"/>
        <v>NatGrdExt_BEL-9</v>
      </c>
      <c r="BK16" t="str">
        <f t="shared" si="17"/>
        <v>Grid Extension -Belgium- Step 9</v>
      </c>
      <c r="BL16" t="s">
        <v>29</v>
      </c>
      <c r="BM16" t="s">
        <v>30</v>
      </c>
      <c r="BN16" t="s">
        <v>9465</v>
      </c>
      <c r="BP16" t="s">
        <v>9268</v>
      </c>
      <c r="BQ16" t="str">
        <f t="shared" si="18"/>
        <v>NatGrdExt_BEL-10</v>
      </c>
      <c r="BR16" t="str">
        <f t="shared" si="19"/>
        <v>Grid Extension -Belgium- Step 10</v>
      </c>
      <c r="BS16" t="s">
        <v>29</v>
      </c>
      <c r="BT16" t="s">
        <v>30</v>
      </c>
      <c r="BU16" t="s">
        <v>9465</v>
      </c>
    </row>
    <row r="17" spans="1:73">
      <c r="A17" s="4" t="s">
        <v>165</v>
      </c>
      <c r="B17" s="4" t="s">
        <v>9477</v>
      </c>
      <c r="E17" t="s">
        <v>9268</v>
      </c>
      <c r="F17" t="str">
        <f t="shared" si="0"/>
        <v>NatGrdExt_BEN-1</v>
      </c>
      <c r="G17" t="str">
        <f t="shared" si="1"/>
        <v>Grid Extension -Benin- Step 1</v>
      </c>
      <c r="H17" t="s">
        <v>29</v>
      </c>
      <c r="I17" t="s">
        <v>30</v>
      </c>
      <c r="J17" t="s">
        <v>9465</v>
      </c>
      <c r="L17" t="s">
        <v>9268</v>
      </c>
      <c r="M17" t="str">
        <f t="shared" si="2"/>
        <v>NatGrdExt_BEN-2</v>
      </c>
      <c r="N17" t="str">
        <f t="shared" si="3"/>
        <v>Grid Extension -Benin- Step 2</v>
      </c>
      <c r="O17" t="s">
        <v>29</v>
      </c>
      <c r="P17" t="s">
        <v>30</v>
      </c>
      <c r="Q17" t="s">
        <v>9465</v>
      </c>
      <c r="S17" t="s">
        <v>9268</v>
      </c>
      <c r="T17" t="str">
        <f t="shared" si="4"/>
        <v>NatGrdExt_BEN-3</v>
      </c>
      <c r="U17" t="str">
        <f t="shared" si="5"/>
        <v>Grid Extension -Benin- Step 3</v>
      </c>
      <c r="V17" t="s">
        <v>29</v>
      </c>
      <c r="W17" t="s">
        <v>30</v>
      </c>
      <c r="X17" t="s">
        <v>9465</v>
      </c>
      <c r="Z17" t="s">
        <v>9268</v>
      </c>
      <c r="AA17" t="str">
        <f t="shared" si="6"/>
        <v>NatGrdExt_BEN-4</v>
      </c>
      <c r="AB17" t="str">
        <f t="shared" si="7"/>
        <v>Grid Extension -Benin- Step 4</v>
      </c>
      <c r="AC17" t="s">
        <v>29</v>
      </c>
      <c r="AD17" t="s">
        <v>30</v>
      </c>
      <c r="AE17" t="s">
        <v>9465</v>
      </c>
      <c r="AG17" t="s">
        <v>9268</v>
      </c>
      <c r="AH17" t="str">
        <f t="shared" si="8"/>
        <v>NatGrdExt_BEN-5</v>
      </c>
      <c r="AI17" t="str">
        <f t="shared" si="9"/>
        <v>Grid Extension -Benin- Step 5</v>
      </c>
      <c r="AJ17" t="s">
        <v>29</v>
      </c>
      <c r="AK17" t="s">
        <v>30</v>
      </c>
      <c r="AL17" t="s">
        <v>9465</v>
      </c>
      <c r="AN17" t="s">
        <v>9268</v>
      </c>
      <c r="AO17" t="str">
        <f t="shared" si="10"/>
        <v>NatGrdExt_BEN-6</v>
      </c>
      <c r="AP17" t="str">
        <f t="shared" si="11"/>
        <v>Grid Extension -Benin- Step 6</v>
      </c>
      <c r="AQ17" t="s">
        <v>29</v>
      </c>
      <c r="AR17" t="s">
        <v>30</v>
      </c>
      <c r="AS17" t="s">
        <v>9465</v>
      </c>
      <c r="AU17" t="s">
        <v>9268</v>
      </c>
      <c r="AV17" t="str">
        <f t="shared" si="12"/>
        <v>NatGrdExt_BEN-7</v>
      </c>
      <c r="AW17" t="str">
        <f t="shared" si="13"/>
        <v>Grid Extension -Benin- Step 7</v>
      </c>
      <c r="AX17" t="s">
        <v>29</v>
      </c>
      <c r="AY17" t="s">
        <v>30</v>
      </c>
      <c r="AZ17" t="s">
        <v>9465</v>
      </c>
      <c r="BB17" t="s">
        <v>9268</v>
      </c>
      <c r="BC17" t="str">
        <f t="shared" si="14"/>
        <v>NatGrdExt_BEN-8</v>
      </c>
      <c r="BD17" t="str">
        <f t="shared" si="15"/>
        <v>Grid Extension -Benin- Step 8</v>
      </c>
      <c r="BE17" t="s">
        <v>29</v>
      </c>
      <c r="BF17" t="s">
        <v>30</v>
      </c>
      <c r="BG17" t="s">
        <v>9465</v>
      </c>
      <c r="BI17" t="s">
        <v>9268</v>
      </c>
      <c r="BJ17" t="str">
        <f t="shared" si="16"/>
        <v>NatGrdExt_BEN-9</v>
      </c>
      <c r="BK17" t="str">
        <f t="shared" si="17"/>
        <v>Grid Extension -Benin- Step 9</v>
      </c>
      <c r="BL17" t="s">
        <v>29</v>
      </c>
      <c r="BM17" t="s">
        <v>30</v>
      </c>
      <c r="BN17" t="s">
        <v>9465</v>
      </c>
      <c r="BP17" t="s">
        <v>9268</v>
      </c>
      <c r="BQ17" t="str">
        <f t="shared" si="18"/>
        <v>NatGrdExt_BEN-10</v>
      </c>
      <c r="BR17" t="str">
        <f t="shared" si="19"/>
        <v>Grid Extension -Benin- Step 10</v>
      </c>
      <c r="BS17" t="s">
        <v>29</v>
      </c>
      <c r="BT17" t="s">
        <v>30</v>
      </c>
      <c r="BU17" t="s">
        <v>9465</v>
      </c>
    </row>
    <row r="18" spans="1:73">
      <c r="A18" s="4" t="s">
        <v>171</v>
      </c>
      <c r="B18" s="4" t="s">
        <v>9478</v>
      </c>
      <c r="E18" t="s">
        <v>9268</v>
      </c>
      <c r="F18" t="str">
        <f t="shared" si="0"/>
        <v>NatGrdExt_BFA-1</v>
      </c>
      <c r="G18" t="str">
        <f t="shared" si="1"/>
        <v>Grid Extension -Burkina Faso- Step 1</v>
      </c>
      <c r="H18" t="s">
        <v>29</v>
      </c>
      <c r="I18" t="s">
        <v>30</v>
      </c>
      <c r="J18" t="s">
        <v>9465</v>
      </c>
      <c r="L18" t="s">
        <v>9268</v>
      </c>
      <c r="M18" t="str">
        <f t="shared" si="2"/>
        <v>NatGrdExt_BFA-2</v>
      </c>
      <c r="N18" t="str">
        <f t="shared" si="3"/>
        <v>Grid Extension -Burkina Faso- Step 2</v>
      </c>
      <c r="O18" t="s">
        <v>29</v>
      </c>
      <c r="P18" t="s">
        <v>30</v>
      </c>
      <c r="Q18" t="s">
        <v>9465</v>
      </c>
      <c r="S18" t="s">
        <v>9268</v>
      </c>
      <c r="T18" t="str">
        <f t="shared" si="4"/>
        <v>NatGrdExt_BFA-3</v>
      </c>
      <c r="U18" t="str">
        <f t="shared" si="5"/>
        <v>Grid Extension -Burkina Faso- Step 3</v>
      </c>
      <c r="V18" t="s">
        <v>29</v>
      </c>
      <c r="W18" t="s">
        <v>30</v>
      </c>
      <c r="X18" t="s">
        <v>9465</v>
      </c>
      <c r="Z18" t="s">
        <v>9268</v>
      </c>
      <c r="AA18" t="str">
        <f t="shared" si="6"/>
        <v>NatGrdExt_BFA-4</v>
      </c>
      <c r="AB18" t="str">
        <f t="shared" si="7"/>
        <v>Grid Extension -Burkina Faso- Step 4</v>
      </c>
      <c r="AC18" t="s">
        <v>29</v>
      </c>
      <c r="AD18" t="s">
        <v>30</v>
      </c>
      <c r="AE18" t="s">
        <v>9465</v>
      </c>
      <c r="AG18" t="s">
        <v>9268</v>
      </c>
      <c r="AH18" t="str">
        <f t="shared" si="8"/>
        <v>NatGrdExt_BFA-5</v>
      </c>
      <c r="AI18" t="str">
        <f t="shared" si="9"/>
        <v>Grid Extension -Burkina Faso- Step 5</v>
      </c>
      <c r="AJ18" t="s">
        <v>29</v>
      </c>
      <c r="AK18" t="s">
        <v>30</v>
      </c>
      <c r="AL18" t="s">
        <v>9465</v>
      </c>
      <c r="AN18" t="s">
        <v>9268</v>
      </c>
      <c r="AO18" t="str">
        <f t="shared" si="10"/>
        <v>NatGrdExt_BFA-6</v>
      </c>
      <c r="AP18" t="str">
        <f t="shared" si="11"/>
        <v>Grid Extension -Burkina Faso- Step 6</v>
      </c>
      <c r="AQ18" t="s">
        <v>29</v>
      </c>
      <c r="AR18" t="s">
        <v>30</v>
      </c>
      <c r="AS18" t="s">
        <v>9465</v>
      </c>
      <c r="AU18" t="s">
        <v>9268</v>
      </c>
      <c r="AV18" t="str">
        <f t="shared" si="12"/>
        <v>NatGrdExt_BFA-7</v>
      </c>
      <c r="AW18" t="str">
        <f t="shared" si="13"/>
        <v>Grid Extension -Burkina Faso- Step 7</v>
      </c>
      <c r="AX18" t="s">
        <v>29</v>
      </c>
      <c r="AY18" t="s">
        <v>30</v>
      </c>
      <c r="AZ18" t="s">
        <v>9465</v>
      </c>
      <c r="BB18" t="s">
        <v>9268</v>
      </c>
      <c r="BC18" t="str">
        <f t="shared" si="14"/>
        <v>NatGrdExt_BFA-8</v>
      </c>
      <c r="BD18" t="str">
        <f t="shared" si="15"/>
        <v>Grid Extension -Burkina Faso- Step 8</v>
      </c>
      <c r="BE18" t="s">
        <v>29</v>
      </c>
      <c r="BF18" t="s">
        <v>30</v>
      </c>
      <c r="BG18" t="s">
        <v>9465</v>
      </c>
      <c r="BI18" t="s">
        <v>9268</v>
      </c>
      <c r="BJ18" t="str">
        <f t="shared" si="16"/>
        <v>NatGrdExt_BFA-9</v>
      </c>
      <c r="BK18" t="str">
        <f t="shared" si="17"/>
        <v>Grid Extension -Burkina Faso- Step 9</v>
      </c>
      <c r="BL18" t="s">
        <v>29</v>
      </c>
      <c r="BM18" t="s">
        <v>30</v>
      </c>
      <c r="BN18" t="s">
        <v>9465</v>
      </c>
      <c r="BP18" t="s">
        <v>9268</v>
      </c>
      <c r="BQ18" t="str">
        <f t="shared" si="18"/>
        <v>NatGrdExt_BFA-10</v>
      </c>
      <c r="BR18" t="str">
        <f t="shared" si="19"/>
        <v>Grid Extension -Burkina Faso- Step 10</v>
      </c>
      <c r="BS18" t="s">
        <v>29</v>
      </c>
      <c r="BT18" t="s">
        <v>30</v>
      </c>
      <c r="BU18" t="s">
        <v>9465</v>
      </c>
    </row>
    <row r="19" spans="1:73">
      <c r="A19" s="4" t="s">
        <v>179</v>
      </c>
      <c r="B19" s="4" t="s">
        <v>9479</v>
      </c>
      <c r="E19" t="s">
        <v>9268</v>
      </c>
      <c r="F19" t="str">
        <f t="shared" si="0"/>
        <v>NatGrdExt_BGD-1</v>
      </c>
      <c r="G19" t="str">
        <f t="shared" si="1"/>
        <v>Grid Extension -Bangladesh- Step 1</v>
      </c>
      <c r="H19" t="s">
        <v>29</v>
      </c>
      <c r="I19" t="s">
        <v>30</v>
      </c>
      <c r="J19" t="s">
        <v>9465</v>
      </c>
      <c r="L19" t="s">
        <v>9268</v>
      </c>
      <c r="M19" t="str">
        <f t="shared" si="2"/>
        <v>NatGrdExt_BGD-2</v>
      </c>
      <c r="N19" t="str">
        <f t="shared" si="3"/>
        <v>Grid Extension -Bangladesh- Step 2</v>
      </c>
      <c r="O19" t="s">
        <v>29</v>
      </c>
      <c r="P19" t="s">
        <v>30</v>
      </c>
      <c r="Q19" t="s">
        <v>9465</v>
      </c>
      <c r="S19" t="s">
        <v>9268</v>
      </c>
      <c r="T19" t="str">
        <f t="shared" si="4"/>
        <v>NatGrdExt_BGD-3</v>
      </c>
      <c r="U19" t="str">
        <f t="shared" si="5"/>
        <v>Grid Extension -Bangladesh- Step 3</v>
      </c>
      <c r="V19" t="s">
        <v>29</v>
      </c>
      <c r="W19" t="s">
        <v>30</v>
      </c>
      <c r="X19" t="s">
        <v>9465</v>
      </c>
      <c r="Z19" t="s">
        <v>9268</v>
      </c>
      <c r="AA19" t="str">
        <f t="shared" si="6"/>
        <v>NatGrdExt_BGD-4</v>
      </c>
      <c r="AB19" t="str">
        <f t="shared" si="7"/>
        <v>Grid Extension -Bangladesh- Step 4</v>
      </c>
      <c r="AC19" t="s">
        <v>29</v>
      </c>
      <c r="AD19" t="s">
        <v>30</v>
      </c>
      <c r="AE19" t="s">
        <v>9465</v>
      </c>
      <c r="AG19" t="s">
        <v>9268</v>
      </c>
      <c r="AH19" t="str">
        <f t="shared" si="8"/>
        <v>NatGrdExt_BGD-5</v>
      </c>
      <c r="AI19" t="str">
        <f t="shared" si="9"/>
        <v>Grid Extension -Bangladesh- Step 5</v>
      </c>
      <c r="AJ19" t="s">
        <v>29</v>
      </c>
      <c r="AK19" t="s">
        <v>30</v>
      </c>
      <c r="AL19" t="s">
        <v>9465</v>
      </c>
      <c r="AN19" t="s">
        <v>9268</v>
      </c>
      <c r="AO19" t="str">
        <f t="shared" si="10"/>
        <v>NatGrdExt_BGD-6</v>
      </c>
      <c r="AP19" t="str">
        <f t="shared" si="11"/>
        <v>Grid Extension -Bangladesh- Step 6</v>
      </c>
      <c r="AQ19" t="s">
        <v>29</v>
      </c>
      <c r="AR19" t="s">
        <v>30</v>
      </c>
      <c r="AS19" t="s">
        <v>9465</v>
      </c>
      <c r="AU19" t="s">
        <v>9268</v>
      </c>
      <c r="AV19" t="str">
        <f t="shared" si="12"/>
        <v>NatGrdExt_BGD-7</v>
      </c>
      <c r="AW19" t="str">
        <f t="shared" si="13"/>
        <v>Grid Extension -Bangladesh- Step 7</v>
      </c>
      <c r="AX19" t="s">
        <v>29</v>
      </c>
      <c r="AY19" t="s">
        <v>30</v>
      </c>
      <c r="AZ19" t="s">
        <v>9465</v>
      </c>
      <c r="BB19" t="s">
        <v>9268</v>
      </c>
      <c r="BC19" t="str">
        <f t="shared" si="14"/>
        <v>NatGrdExt_BGD-8</v>
      </c>
      <c r="BD19" t="str">
        <f t="shared" si="15"/>
        <v>Grid Extension -Bangladesh- Step 8</v>
      </c>
      <c r="BE19" t="s">
        <v>29</v>
      </c>
      <c r="BF19" t="s">
        <v>30</v>
      </c>
      <c r="BG19" t="s">
        <v>9465</v>
      </c>
      <c r="BI19" t="s">
        <v>9268</v>
      </c>
      <c r="BJ19" t="str">
        <f t="shared" si="16"/>
        <v>NatGrdExt_BGD-9</v>
      </c>
      <c r="BK19" t="str">
        <f t="shared" si="17"/>
        <v>Grid Extension -Bangladesh- Step 9</v>
      </c>
      <c r="BL19" t="s">
        <v>29</v>
      </c>
      <c r="BM19" t="s">
        <v>30</v>
      </c>
      <c r="BN19" t="s">
        <v>9465</v>
      </c>
      <c r="BP19" t="s">
        <v>9268</v>
      </c>
      <c r="BQ19" t="str">
        <f t="shared" si="18"/>
        <v>NatGrdExt_BGD-10</v>
      </c>
      <c r="BR19" t="str">
        <f t="shared" si="19"/>
        <v>Grid Extension -Bangladesh- Step 10</v>
      </c>
      <c r="BS19" t="s">
        <v>29</v>
      </c>
      <c r="BT19" t="s">
        <v>30</v>
      </c>
      <c r="BU19" t="s">
        <v>9465</v>
      </c>
    </row>
    <row r="20" spans="1:73">
      <c r="A20" s="4" t="s">
        <v>199</v>
      </c>
      <c r="B20" s="4" t="s">
        <v>9480</v>
      </c>
      <c r="E20" t="s">
        <v>9268</v>
      </c>
      <c r="F20" t="str">
        <f t="shared" si="0"/>
        <v>NatGrdExt_BGR-1</v>
      </c>
      <c r="G20" t="str">
        <f t="shared" si="1"/>
        <v>Grid Extension -Bulgaria- Step 1</v>
      </c>
      <c r="H20" t="s">
        <v>29</v>
      </c>
      <c r="I20" t="s">
        <v>30</v>
      </c>
      <c r="J20" t="s">
        <v>9465</v>
      </c>
      <c r="L20" t="s">
        <v>9268</v>
      </c>
      <c r="M20" t="str">
        <f t="shared" si="2"/>
        <v>NatGrdExt_BGR-2</v>
      </c>
      <c r="N20" t="str">
        <f t="shared" si="3"/>
        <v>Grid Extension -Bulgaria- Step 2</v>
      </c>
      <c r="O20" t="s">
        <v>29</v>
      </c>
      <c r="P20" t="s">
        <v>30</v>
      </c>
      <c r="Q20" t="s">
        <v>9465</v>
      </c>
      <c r="S20" t="s">
        <v>9268</v>
      </c>
      <c r="T20" t="str">
        <f t="shared" si="4"/>
        <v>NatGrdExt_BGR-3</v>
      </c>
      <c r="U20" t="str">
        <f t="shared" si="5"/>
        <v>Grid Extension -Bulgaria- Step 3</v>
      </c>
      <c r="V20" t="s">
        <v>29</v>
      </c>
      <c r="W20" t="s">
        <v>30</v>
      </c>
      <c r="X20" t="s">
        <v>9465</v>
      </c>
      <c r="Z20" t="s">
        <v>9268</v>
      </c>
      <c r="AA20" t="str">
        <f t="shared" si="6"/>
        <v>NatGrdExt_BGR-4</v>
      </c>
      <c r="AB20" t="str">
        <f t="shared" si="7"/>
        <v>Grid Extension -Bulgaria- Step 4</v>
      </c>
      <c r="AC20" t="s">
        <v>29</v>
      </c>
      <c r="AD20" t="s">
        <v>30</v>
      </c>
      <c r="AE20" t="s">
        <v>9465</v>
      </c>
      <c r="AG20" t="s">
        <v>9268</v>
      </c>
      <c r="AH20" t="str">
        <f t="shared" si="8"/>
        <v>NatGrdExt_BGR-5</v>
      </c>
      <c r="AI20" t="str">
        <f t="shared" si="9"/>
        <v>Grid Extension -Bulgaria- Step 5</v>
      </c>
      <c r="AJ20" t="s">
        <v>29</v>
      </c>
      <c r="AK20" t="s">
        <v>30</v>
      </c>
      <c r="AL20" t="s">
        <v>9465</v>
      </c>
      <c r="AN20" t="s">
        <v>9268</v>
      </c>
      <c r="AO20" t="str">
        <f t="shared" si="10"/>
        <v>NatGrdExt_BGR-6</v>
      </c>
      <c r="AP20" t="str">
        <f t="shared" si="11"/>
        <v>Grid Extension -Bulgaria- Step 6</v>
      </c>
      <c r="AQ20" t="s">
        <v>29</v>
      </c>
      <c r="AR20" t="s">
        <v>30</v>
      </c>
      <c r="AS20" t="s">
        <v>9465</v>
      </c>
      <c r="AU20" t="s">
        <v>9268</v>
      </c>
      <c r="AV20" t="str">
        <f t="shared" si="12"/>
        <v>NatGrdExt_BGR-7</v>
      </c>
      <c r="AW20" t="str">
        <f t="shared" si="13"/>
        <v>Grid Extension -Bulgaria- Step 7</v>
      </c>
      <c r="AX20" t="s">
        <v>29</v>
      </c>
      <c r="AY20" t="s">
        <v>30</v>
      </c>
      <c r="AZ20" t="s">
        <v>9465</v>
      </c>
      <c r="BB20" t="s">
        <v>9268</v>
      </c>
      <c r="BC20" t="str">
        <f t="shared" si="14"/>
        <v>NatGrdExt_BGR-8</v>
      </c>
      <c r="BD20" t="str">
        <f t="shared" si="15"/>
        <v>Grid Extension -Bulgaria- Step 8</v>
      </c>
      <c r="BE20" t="s">
        <v>29</v>
      </c>
      <c r="BF20" t="s">
        <v>30</v>
      </c>
      <c r="BG20" t="s">
        <v>9465</v>
      </c>
      <c r="BI20" t="s">
        <v>9268</v>
      </c>
      <c r="BJ20" t="str">
        <f t="shared" si="16"/>
        <v>NatGrdExt_BGR-9</v>
      </c>
      <c r="BK20" t="str">
        <f t="shared" si="17"/>
        <v>Grid Extension -Bulgaria- Step 9</v>
      </c>
      <c r="BL20" t="s">
        <v>29</v>
      </c>
      <c r="BM20" t="s">
        <v>30</v>
      </c>
      <c r="BN20" t="s">
        <v>9465</v>
      </c>
      <c r="BP20" t="s">
        <v>9268</v>
      </c>
      <c r="BQ20" t="str">
        <f t="shared" si="18"/>
        <v>NatGrdExt_BGR-10</v>
      </c>
      <c r="BR20" t="str">
        <f t="shared" si="19"/>
        <v>Grid Extension -Bulgaria- Step 10</v>
      </c>
      <c r="BS20" t="s">
        <v>29</v>
      </c>
      <c r="BT20" t="s">
        <v>30</v>
      </c>
      <c r="BU20" t="s">
        <v>9465</v>
      </c>
    </row>
    <row r="21" spans="1:73">
      <c r="A21" s="4" t="s">
        <v>207</v>
      </c>
      <c r="B21" s="4" t="s">
        <v>9481</v>
      </c>
      <c r="E21" t="s">
        <v>9268</v>
      </c>
      <c r="F21" t="str">
        <f t="shared" si="0"/>
        <v>NatGrdExt_BHR-1</v>
      </c>
      <c r="G21" t="str">
        <f t="shared" si="1"/>
        <v>Grid Extension -Bahrain- Step 1</v>
      </c>
      <c r="H21" t="s">
        <v>29</v>
      </c>
      <c r="I21" t="s">
        <v>30</v>
      </c>
      <c r="J21" t="s">
        <v>9465</v>
      </c>
      <c r="L21" t="s">
        <v>9268</v>
      </c>
      <c r="M21" t="str">
        <f t="shared" si="2"/>
        <v>NatGrdExt_BHR-2</v>
      </c>
      <c r="N21" t="str">
        <f t="shared" si="3"/>
        <v>Grid Extension -Bahrain- Step 2</v>
      </c>
      <c r="O21" t="s">
        <v>29</v>
      </c>
      <c r="P21" t="s">
        <v>30</v>
      </c>
      <c r="Q21" t="s">
        <v>9465</v>
      </c>
      <c r="S21" t="s">
        <v>9268</v>
      </c>
      <c r="T21" t="str">
        <f t="shared" si="4"/>
        <v>NatGrdExt_BHR-3</v>
      </c>
      <c r="U21" t="str">
        <f t="shared" si="5"/>
        <v>Grid Extension -Bahrain- Step 3</v>
      </c>
      <c r="V21" t="s">
        <v>29</v>
      </c>
      <c r="W21" t="s">
        <v>30</v>
      </c>
      <c r="X21" t="s">
        <v>9465</v>
      </c>
      <c r="Z21" t="s">
        <v>9268</v>
      </c>
      <c r="AA21" t="str">
        <f t="shared" si="6"/>
        <v>NatGrdExt_BHR-4</v>
      </c>
      <c r="AB21" t="str">
        <f t="shared" si="7"/>
        <v>Grid Extension -Bahrain- Step 4</v>
      </c>
      <c r="AC21" t="s">
        <v>29</v>
      </c>
      <c r="AD21" t="s">
        <v>30</v>
      </c>
      <c r="AE21" t="s">
        <v>9465</v>
      </c>
      <c r="AG21" t="s">
        <v>9268</v>
      </c>
      <c r="AH21" t="str">
        <f t="shared" si="8"/>
        <v>NatGrdExt_BHR-5</v>
      </c>
      <c r="AI21" t="str">
        <f t="shared" si="9"/>
        <v>Grid Extension -Bahrain- Step 5</v>
      </c>
      <c r="AJ21" t="s">
        <v>29</v>
      </c>
      <c r="AK21" t="s">
        <v>30</v>
      </c>
      <c r="AL21" t="s">
        <v>9465</v>
      </c>
      <c r="AN21" t="s">
        <v>9268</v>
      </c>
      <c r="AO21" t="str">
        <f t="shared" si="10"/>
        <v>NatGrdExt_BHR-6</v>
      </c>
      <c r="AP21" t="str">
        <f t="shared" si="11"/>
        <v>Grid Extension -Bahrain- Step 6</v>
      </c>
      <c r="AQ21" t="s">
        <v>29</v>
      </c>
      <c r="AR21" t="s">
        <v>30</v>
      </c>
      <c r="AS21" t="s">
        <v>9465</v>
      </c>
      <c r="AU21" t="s">
        <v>9268</v>
      </c>
      <c r="AV21" t="str">
        <f t="shared" si="12"/>
        <v>NatGrdExt_BHR-7</v>
      </c>
      <c r="AW21" t="str">
        <f t="shared" si="13"/>
        <v>Grid Extension -Bahrain- Step 7</v>
      </c>
      <c r="AX21" t="s">
        <v>29</v>
      </c>
      <c r="AY21" t="s">
        <v>30</v>
      </c>
      <c r="AZ21" t="s">
        <v>9465</v>
      </c>
      <c r="BB21" t="s">
        <v>9268</v>
      </c>
      <c r="BC21" t="str">
        <f t="shared" si="14"/>
        <v>NatGrdExt_BHR-8</v>
      </c>
      <c r="BD21" t="str">
        <f t="shared" si="15"/>
        <v>Grid Extension -Bahrain- Step 8</v>
      </c>
      <c r="BE21" t="s">
        <v>29</v>
      </c>
      <c r="BF21" t="s">
        <v>30</v>
      </c>
      <c r="BG21" t="s">
        <v>9465</v>
      </c>
      <c r="BI21" t="s">
        <v>9268</v>
      </c>
      <c r="BJ21" t="str">
        <f t="shared" si="16"/>
        <v>NatGrdExt_BHR-9</v>
      </c>
      <c r="BK21" t="str">
        <f t="shared" si="17"/>
        <v>Grid Extension -Bahrain- Step 9</v>
      </c>
      <c r="BL21" t="s">
        <v>29</v>
      </c>
      <c r="BM21" t="s">
        <v>30</v>
      </c>
      <c r="BN21" t="s">
        <v>9465</v>
      </c>
      <c r="BP21" t="s">
        <v>9268</v>
      </c>
      <c r="BQ21" t="str">
        <f t="shared" si="18"/>
        <v>NatGrdExt_BHR-10</v>
      </c>
      <c r="BR21" t="str">
        <f t="shared" si="19"/>
        <v>Grid Extension -Bahrain- Step 10</v>
      </c>
      <c r="BS21" t="s">
        <v>29</v>
      </c>
      <c r="BT21" t="s">
        <v>30</v>
      </c>
      <c r="BU21" t="s">
        <v>9465</v>
      </c>
    </row>
    <row r="22" spans="1:73">
      <c r="A22" s="4" t="s">
        <v>211</v>
      </c>
      <c r="B22" s="4" t="s">
        <v>9482</v>
      </c>
      <c r="E22" t="s">
        <v>9268</v>
      </c>
      <c r="F22" t="str">
        <f t="shared" si="0"/>
        <v>NatGrdExt_BHS-1</v>
      </c>
      <c r="G22" t="str">
        <f t="shared" si="1"/>
        <v>Grid Extension -The Bahamas- Step 1</v>
      </c>
      <c r="H22" t="s">
        <v>29</v>
      </c>
      <c r="I22" t="s">
        <v>30</v>
      </c>
      <c r="J22" t="s">
        <v>9465</v>
      </c>
      <c r="L22" t="s">
        <v>9268</v>
      </c>
      <c r="M22" t="str">
        <f t="shared" si="2"/>
        <v>NatGrdExt_BHS-2</v>
      </c>
      <c r="N22" t="str">
        <f t="shared" si="3"/>
        <v>Grid Extension -The Bahamas- Step 2</v>
      </c>
      <c r="O22" t="s">
        <v>29</v>
      </c>
      <c r="P22" t="s">
        <v>30</v>
      </c>
      <c r="Q22" t="s">
        <v>9465</v>
      </c>
      <c r="S22" t="s">
        <v>9268</v>
      </c>
      <c r="T22" t="str">
        <f t="shared" si="4"/>
        <v>NatGrdExt_BHS-3</v>
      </c>
      <c r="U22" t="str">
        <f t="shared" si="5"/>
        <v>Grid Extension -The Bahamas- Step 3</v>
      </c>
      <c r="V22" t="s">
        <v>29</v>
      </c>
      <c r="W22" t="s">
        <v>30</v>
      </c>
      <c r="X22" t="s">
        <v>9465</v>
      </c>
      <c r="Z22" t="s">
        <v>9268</v>
      </c>
      <c r="AA22" t="str">
        <f t="shared" si="6"/>
        <v>NatGrdExt_BHS-4</v>
      </c>
      <c r="AB22" t="str">
        <f t="shared" si="7"/>
        <v>Grid Extension -The Bahamas- Step 4</v>
      </c>
      <c r="AC22" t="s">
        <v>29</v>
      </c>
      <c r="AD22" t="s">
        <v>30</v>
      </c>
      <c r="AE22" t="s">
        <v>9465</v>
      </c>
      <c r="AG22" t="s">
        <v>9268</v>
      </c>
      <c r="AH22" t="str">
        <f t="shared" si="8"/>
        <v>NatGrdExt_BHS-5</v>
      </c>
      <c r="AI22" t="str">
        <f t="shared" si="9"/>
        <v>Grid Extension -The Bahamas- Step 5</v>
      </c>
      <c r="AJ22" t="s">
        <v>29</v>
      </c>
      <c r="AK22" t="s">
        <v>30</v>
      </c>
      <c r="AL22" t="s">
        <v>9465</v>
      </c>
      <c r="AN22" t="s">
        <v>9268</v>
      </c>
      <c r="AO22" t="str">
        <f t="shared" si="10"/>
        <v>NatGrdExt_BHS-6</v>
      </c>
      <c r="AP22" t="str">
        <f t="shared" si="11"/>
        <v>Grid Extension -The Bahamas- Step 6</v>
      </c>
      <c r="AQ22" t="s">
        <v>29</v>
      </c>
      <c r="AR22" t="s">
        <v>30</v>
      </c>
      <c r="AS22" t="s">
        <v>9465</v>
      </c>
      <c r="AU22" t="s">
        <v>9268</v>
      </c>
      <c r="AV22" t="str">
        <f t="shared" si="12"/>
        <v>NatGrdExt_BHS-7</v>
      </c>
      <c r="AW22" t="str">
        <f t="shared" si="13"/>
        <v>Grid Extension -The Bahamas- Step 7</v>
      </c>
      <c r="AX22" t="s">
        <v>29</v>
      </c>
      <c r="AY22" t="s">
        <v>30</v>
      </c>
      <c r="AZ22" t="s">
        <v>9465</v>
      </c>
      <c r="BB22" t="s">
        <v>9268</v>
      </c>
      <c r="BC22" t="str">
        <f t="shared" si="14"/>
        <v>NatGrdExt_BHS-8</v>
      </c>
      <c r="BD22" t="str">
        <f t="shared" si="15"/>
        <v>Grid Extension -The Bahamas- Step 8</v>
      </c>
      <c r="BE22" t="s">
        <v>29</v>
      </c>
      <c r="BF22" t="s">
        <v>30</v>
      </c>
      <c r="BG22" t="s">
        <v>9465</v>
      </c>
      <c r="BI22" t="s">
        <v>9268</v>
      </c>
      <c r="BJ22" t="str">
        <f t="shared" si="16"/>
        <v>NatGrdExt_BHS-9</v>
      </c>
      <c r="BK22" t="str">
        <f t="shared" si="17"/>
        <v>Grid Extension -The Bahamas- Step 9</v>
      </c>
      <c r="BL22" t="s">
        <v>29</v>
      </c>
      <c r="BM22" t="s">
        <v>30</v>
      </c>
      <c r="BN22" t="s">
        <v>9465</v>
      </c>
      <c r="BP22" t="s">
        <v>9268</v>
      </c>
      <c r="BQ22" t="str">
        <f t="shared" si="18"/>
        <v>NatGrdExt_BHS-10</v>
      </c>
      <c r="BR22" t="str">
        <f t="shared" si="19"/>
        <v>Grid Extension -The Bahamas- Step 10</v>
      </c>
      <c r="BS22" t="s">
        <v>29</v>
      </c>
      <c r="BT22" t="s">
        <v>30</v>
      </c>
      <c r="BU22" t="s">
        <v>9465</v>
      </c>
    </row>
    <row r="23" spans="1:73">
      <c r="A23" s="4" t="s">
        <v>227</v>
      </c>
      <c r="B23" s="4" t="s">
        <v>9483</v>
      </c>
      <c r="E23" t="s">
        <v>9268</v>
      </c>
      <c r="F23" t="str">
        <f t="shared" si="0"/>
        <v>NatGrdExt_BIH-1</v>
      </c>
      <c r="G23" t="str">
        <f t="shared" si="1"/>
        <v>Grid Extension -Bosnia and Herzegovina- Step 1</v>
      </c>
      <c r="H23" t="s">
        <v>29</v>
      </c>
      <c r="I23" t="s">
        <v>30</v>
      </c>
      <c r="J23" t="s">
        <v>9465</v>
      </c>
      <c r="L23" t="s">
        <v>9268</v>
      </c>
      <c r="M23" t="str">
        <f t="shared" si="2"/>
        <v>NatGrdExt_BIH-2</v>
      </c>
      <c r="N23" t="str">
        <f t="shared" si="3"/>
        <v>Grid Extension -Bosnia and Herzegovina- Step 2</v>
      </c>
      <c r="O23" t="s">
        <v>29</v>
      </c>
      <c r="P23" t="s">
        <v>30</v>
      </c>
      <c r="Q23" t="s">
        <v>9465</v>
      </c>
      <c r="S23" t="s">
        <v>9268</v>
      </c>
      <c r="T23" t="str">
        <f t="shared" si="4"/>
        <v>NatGrdExt_BIH-3</v>
      </c>
      <c r="U23" t="str">
        <f t="shared" si="5"/>
        <v>Grid Extension -Bosnia and Herzegovina- Step 3</v>
      </c>
      <c r="V23" t="s">
        <v>29</v>
      </c>
      <c r="W23" t="s">
        <v>30</v>
      </c>
      <c r="X23" t="s">
        <v>9465</v>
      </c>
      <c r="Z23" t="s">
        <v>9268</v>
      </c>
      <c r="AA23" t="str">
        <f t="shared" si="6"/>
        <v>NatGrdExt_BIH-4</v>
      </c>
      <c r="AB23" t="str">
        <f t="shared" si="7"/>
        <v>Grid Extension -Bosnia and Herzegovina- Step 4</v>
      </c>
      <c r="AC23" t="s">
        <v>29</v>
      </c>
      <c r="AD23" t="s">
        <v>30</v>
      </c>
      <c r="AE23" t="s">
        <v>9465</v>
      </c>
      <c r="AG23" t="s">
        <v>9268</v>
      </c>
      <c r="AH23" t="str">
        <f t="shared" si="8"/>
        <v>NatGrdExt_BIH-5</v>
      </c>
      <c r="AI23" t="str">
        <f t="shared" si="9"/>
        <v>Grid Extension -Bosnia and Herzegovina- Step 5</v>
      </c>
      <c r="AJ23" t="s">
        <v>29</v>
      </c>
      <c r="AK23" t="s">
        <v>30</v>
      </c>
      <c r="AL23" t="s">
        <v>9465</v>
      </c>
      <c r="AN23" t="s">
        <v>9268</v>
      </c>
      <c r="AO23" t="str">
        <f t="shared" si="10"/>
        <v>NatGrdExt_BIH-6</v>
      </c>
      <c r="AP23" t="str">
        <f t="shared" si="11"/>
        <v>Grid Extension -Bosnia and Herzegovina- Step 6</v>
      </c>
      <c r="AQ23" t="s">
        <v>29</v>
      </c>
      <c r="AR23" t="s">
        <v>30</v>
      </c>
      <c r="AS23" t="s">
        <v>9465</v>
      </c>
      <c r="AU23" t="s">
        <v>9268</v>
      </c>
      <c r="AV23" t="str">
        <f t="shared" si="12"/>
        <v>NatGrdExt_BIH-7</v>
      </c>
      <c r="AW23" t="str">
        <f t="shared" si="13"/>
        <v>Grid Extension -Bosnia and Herzegovina- Step 7</v>
      </c>
      <c r="AX23" t="s">
        <v>29</v>
      </c>
      <c r="AY23" t="s">
        <v>30</v>
      </c>
      <c r="AZ23" t="s">
        <v>9465</v>
      </c>
      <c r="BB23" t="s">
        <v>9268</v>
      </c>
      <c r="BC23" t="str">
        <f t="shared" si="14"/>
        <v>NatGrdExt_BIH-8</v>
      </c>
      <c r="BD23" t="str">
        <f t="shared" si="15"/>
        <v>Grid Extension -Bosnia and Herzegovina- Step 8</v>
      </c>
      <c r="BE23" t="s">
        <v>29</v>
      </c>
      <c r="BF23" t="s">
        <v>30</v>
      </c>
      <c r="BG23" t="s">
        <v>9465</v>
      </c>
      <c r="BI23" t="s">
        <v>9268</v>
      </c>
      <c r="BJ23" t="str">
        <f t="shared" si="16"/>
        <v>NatGrdExt_BIH-9</v>
      </c>
      <c r="BK23" t="str">
        <f t="shared" si="17"/>
        <v>Grid Extension -Bosnia and Herzegovina- Step 9</v>
      </c>
      <c r="BL23" t="s">
        <v>29</v>
      </c>
      <c r="BM23" t="s">
        <v>30</v>
      </c>
      <c r="BN23" t="s">
        <v>9465</v>
      </c>
      <c r="BP23" t="s">
        <v>9268</v>
      </c>
      <c r="BQ23" t="str">
        <f t="shared" si="18"/>
        <v>NatGrdExt_BIH-10</v>
      </c>
      <c r="BR23" t="str">
        <f t="shared" si="19"/>
        <v>Grid Extension -Bosnia and Herzegovina- Step 10</v>
      </c>
      <c r="BS23" t="s">
        <v>29</v>
      </c>
      <c r="BT23" t="s">
        <v>30</v>
      </c>
      <c r="BU23" t="s">
        <v>9465</v>
      </c>
    </row>
    <row r="24" spans="1:73">
      <c r="A24" s="4" t="s">
        <v>241</v>
      </c>
      <c r="B24" s="4" t="s">
        <v>9484</v>
      </c>
      <c r="E24" t="s">
        <v>9268</v>
      </c>
      <c r="F24" t="str">
        <f t="shared" si="0"/>
        <v>NatGrdExt_BLR-1</v>
      </c>
      <c r="G24" t="str">
        <f t="shared" si="1"/>
        <v>Grid Extension -Belarus- Step 1</v>
      </c>
      <c r="H24" t="s">
        <v>29</v>
      </c>
      <c r="I24" t="s">
        <v>30</v>
      </c>
      <c r="J24" t="s">
        <v>9465</v>
      </c>
      <c r="L24" t="s">
        <v>9268</v>
      </c>
      <c r="M24" t="str">
        <f t="shared" si="2"/>
        <v>NatGrdExt_BLR-2</v>
      </c>
      <c r="N24" t="str">
        <f t="shared" si="3"/>
        <v>Grid Extension -Belarus- Step 2</v>
      </c>
      <c r="O24" t="s">
        <v>29</v>
      </c>
      <c r="P24" t="s">
        <v>30</v>
      </c>
      <c r="Q24" t="s">
        <v>9465</v>
      </c>
      <c r="S24" t="s">
        <v>9268</v>
      </c>
      <c r="T24" t="str">
        <f t="shared" si="4"/>
        <v>NatGrdExt_BLR-3</v>
      </c>
      <c r="U24" t="str">
        <f t="shared" si="5"/>
        <v>Grid Extension -Belarus- Step 3</v>
      </c>
      <c r="V24" t="s">
        <v>29</v>
      </c>
      <c r="W24" t="s">
        <v>30</v>
      </c>
      <c r="X24" t="s">
        <v>9465</v>
      </c>
      <c r="Z24" t="s">
        <v>9268</v>
      </c>
      <c r="AA24" t="str">
        <f t="shared" si="6"/>
        <v>NatGrdExt_BLR-4</v>
      </c>
      <c r="AB24" t="str">
        <f t="shared" si="7"/>
        <v>Grid Extension -Belarus- Step 4</v>
      </c>
      <c r="AC24" t="s">
        <v>29</v>
      </c>
      <c r="AD24" t="s">
        <v>30</v>
      </c>
      <c r="AE24" t="s">
        <v>9465</v>
      </c>
      <c r="AG24" t="s">
        <v>9268</v>
      </c>
      <c r="AH24" t="str">
        <f t="shared" si="8"/>
        <v>NatGrdExt_BLR-5</v>
      </c>
      <c r="AI24" t="str">
        <f t="shared" si="9"/>
        <v>Grid Extension -Belarus- Step 5</v>
      </c>
      <c r="AJ24" t="s">
        <v>29</v>
      </c>
      <c r="AK24" t="s">
        <v>30</v>
      </c>
      <c r="AL24" t="s">
        <v>9465</v>
      </c>
      <c r="AN24" t="s">
        <v>9268</v>
      </c>
      <c r="AO24" t="str">
        <f t="shared" si="10"/>
        <v>NatGrdExt_BLR-6</v>
      </c>
      <c r="AP24" t="str">
        <f t="shared" si="11"/>
        <v>Grid Extension -Belarus- Step 6</v>
      </c>
      <c r="AQ24" t="s">
        <v>29</v>
      </c>
      <c r="AR24" t="s">
        <v>30</v>
      </c>
      <c r="AS24" t="s">
        <v>9465</v>
      </c>
      <c r="AU24" t="s">
        <v>9268</v>
      </c>
      <c r="AV24" t="str">
        <f t="shared" si="12"/>
        <v>NatGrdExt_BLR-7</v>
      </c>
      <c r="AW24" t="str">
        <f t="shared" si="13"/>
        <v>Grid Extension -Belarus- Step 7</v>
      </c>
      <c r="AX24" t="s">
        <v>29</v>
      </c>
      <c r="AY24" t="s">
        <v>30</v>
      </c>
      <c r="AZ24" t="s">
        <v>9465</v>
      </c>
      <c r="BB24" t="s">
        <v>9268</v>
      </c>
      <c r="BC24" t="str">
        <f t="shared" si="14"/>
        <v>NatGrdExt_BLR-8</v>
      </c>
      <c r="BD24" t="str">
        <f t="shared" si="15"/>
        <v>Grid Extension -Belarus- Step 8</v>
      </c>
      <c r="BE24" t="s">
        <v>29</v>
      </c>
      <c r="BF24" t="s">
        <v>30</v>
      </c>
      <c r="BG24" t="s">
        <v>9465</v>
      </c>
      <c r="BI24" t="s">
        <v>9268</v>
      </c>
      <c r="BJ24" t="str">
        <f t="shared" si="16"/>
        <v>NatGrdExt_BLR-9</v>
      </c>
      <c r="BK24" t="str">
        <f t="shared" si="17"/>
        <v>Grid Extension -Belarus- Step 9</v>
      </c>
      <c r="BL24" t="s">
        <v>29</v>
      </c>
      <c r="BM24" t="s">
        <v>30</v>
      </c>
      <c r="BN24" t="s">
        <v>9465</v>
      </c>
      <c r="BP24" t="s">
        <v>9268</v>
      </c>
      <c r="BQ24" t="str">
        <f t="shared" si="18"/>
        <v>NatGrdExt_BLR-10</v>
      </c>
      <c r="BR24" t="str">
        <f t="shared" si="19"/>
        <v>Grid Extension -Belarus- Step 10</v>
      </c>
      <c r="BS24" t="s">
        <v>29</v>
      </c>
      <c r="BT24" t="s">
        <v>30</v>
      </c>
      <c r="BU24" t="s">
        <v>9465</v>
      </c>
    </row>
    <row r="25" spans="1:73">
      <c r="A25" s="4" t="s">
        <v>245</v>
      </c>
      <c r="B25" s="4" t="s">
        <v>9485</v>
      </c>
      <c r="E25" t="s">
        <v>9268</v>
      </c>
      <c r="F25" t="str">
        <f t="shared" si="0"/>
        <v>NatGrdExt_BLZ-1</v>
      </c>
      <c r="G25" t="str">
        <f t="shared" si="1"/>
        <v>Grid Extension -Belize- Step 1</v>
      </c>
      <c r="H25" t="s">
        <v>29</v>
      </c>
      <c r="I25" t="s">
        <v>30</v>
      </c>
      <c r="J25" t="s">
        <v>9465</v>
      </c>
      <c r="L25" t="s">
        <v>9268</v>
      </c>
      <c r="M25" t="str">
        <f t="shared" si="2"/>
        <v>NatGrdExt_BLZ-2</v>
      </c>
      <c r="N25" t="str">
        <f t="shared" si="3"/>
        <v>Grid Extension -Belize- Step 2</v>
      </c>
      <c r="O25" t="s">
        <v>29</v>
      </c>
      <c r="P25" t="s">
        <v>30</v>
      </c>
      <c r="Q25" t="s">
        <v>9465</v>
      </c>
      <c r="S25" t="s">
        <v>9268</v>
      </c>
      <c r="T25" t="str">
        <f t="shared" si="4"/>
        <v>NatGrdExt_BLZ-3</v>
      </c>
      <c r="U25" t="str">
        <f t="shared" si="5"/>
        <v>Grid Extension -Belize- Step 3</v>
      </c>
      <c r="V25" t="s">
        <v>29</v>
      </c>
      <c r="W25" t="s">
        <v>30</v>
      </c>
      <c r="X25" t="s">
        <v>9465</v>
      </c>
      <c r="Z25" t="s">
        <v>9268</v>
      </c>
      <c r="AA25" t="str">
        <f t="shared" si="6"/>
        <v>NatGrdExt_BLZ-4</v>
      </c>
      <c r="AB25" t="str">
        <f t="shared" si="7"/>
        <v>Grid Extension -Belize- Step 4</v>
      </c>
      <c r="AC25" t="s">
        <v>29</v>
      </c>
      <c r="AD25" t="s">
        <v>30</v>
      </c>
      <c r="AE25" t="s">
        <v>9465</v>
      </c>
      <c r="AG25" t="s">
        <v>9268</v>
      </c>
      <c r="AH25" t="str">
        <f t="shared" si="8"/>
        <v>NatGrdExt_BLZ-5</v>
      </c>
      <c r="AI25" t="str">
        <f t="shared" si="9"/>
        <v>Grid Extension -Belize- Step 5</v>
      </c>
      <c r="AJ25" t="s">
        <v>29</v>
      </c>
      <c r="AK25" t="s">
        <v>30</v>
      </c>
      <c r="AL25" t="s">
        <v>9465</v>
      </c>
      <c r="AN25" t="s">
        <v>9268</v>
      </c>
      <c r="AO25" t="str">
        <f t="shared" si="10"/>
        <v>NatGrdExt_BLZ-6</v>
      </c>
      <c r="AP25" t="str">
        <f t="shared" si="11"/>
        <v>Grid Extension -Belize- Step 6</v>
      </c>
      <c r="AQ25" t="s">
        <v>29</v>
      </c>
      <c r="AR25" t="s">
        <v>30</v>
      </c>
      <c r="AS25" t="s">
        <v>9465</v>
      </c>
      <c r="AU25" t="s">
        <v>9268</v>
      </c>
      <c r="AV25" t="str">
        <f t="shared" si="12"/>
        <v>NatGrdExt_BLZ-7</v>
      </c>
      <c r="AW25" t="str">
        <f t="shared" si="13"/>
        <v>Grid Extension -Belize- Step 7</v>
      </c>
      <c r="AX25" t="s">
        <v>29</v>
      </c>
      <c r="AY25" t="s">
        <v>30</v>
      </c>
      <c r="AZ25" t="s">
        <v>9465</v>
      </c>
      <c r="BB25" t="s">
        <v>9268</v>
      </c>
      <c r="BC25" t="str">
        <f t="shared" si="14"/>
        <v>NatGrdExt_BLZ-8</v>
      </c>
      <c r="BD25" t="str">
        <f t="shared" si="15"/>
        <v>Grid Extension -Belize- Step 8</v>
      </c>
      <c r="BE25" t="s">
        <v>29</v>
      </c>
      <c r="BF25" t="s">
        <v>30</v>
      </c>
      <c r="BG25" t="s">
        <v>9465</v>
      </c>
      <c r="BI25" t="s">
        <v>9268</v>
      </c>
      <c r="BJ25" t="str">
        <f t="shared" si="16"/>
        <v>NatGrdExt_BLZ-9</v>
      </c>
      <c r="BK25" t="str">
        <f t="shared" si="17"/>
        <v>Grid Extension -Belize- Step 9</v>
      </c>
      <c r="BL25" t="s">
        <v>29</v>
      </c>
      <c r="BM25" t="s">
        <v>30</v>
      </c>
      <c r="BN25" t="s">
        <v>9465</v>
      </c>
      <c r="BP25" t="s">
        <v>9268</v>
      </c>
      <c r="BQ25" t="str">
        <f t="shared" si="18"/>
        <v>NatGrdExt_BLZ-10</v>
      </c>
      <c r="BR25" t="str">
        <f t="shared" si="19"/>
        <v>Grid Extension -Belize- Step 10</v>
      </c>
      <c r="BS25" t="s">
        <v>29</v>
      </c>
      <c r="BT25" t="s">
        <v>30</v>
      </c>
      <c r="BU25" t="s">
        <v>9465</v>
      </c>
    </row>
    <row r="26" spans="1:73">
      <c r="A26" s="4" t="s">
        <v>253</v>
      </c>
      <c r="B26" s="4" t="s">
        <v>9486</v>
      </c>
      <c r="E26" t="s">
        <v>9268</v>
      </c>
      <c r="F26" t="str">
        <f t="shared" si="0"/>
        <v>NatGrdExt_BOL-1</v>
      </c>
      <c r="G26" t="str">
        <f t="shared" si="1"/>
        <v>Grid Extension -Bolivia- Step 1</v>
      </c>
      <c r="H26" t="s">
        <v>29</v>
      </c>
      <c r="I26" t="s">
        <v>30</v>
      </c>
      <c r="J26" t="s">
        <v>9465</v>
      </c>
      <c r="L26" t="s">
        <v>9268</v>
      </c>
      <c r="M26" t="str">
        <f t="shared" si="2"/>
        <v>NatGrdExt_BOL-2</v>
      </c>
      <c r="N26" t="str">
        <f t="shared" si="3"/>
        <v>Grid Extension -Bolivia- Step 2</v>
      </c>
      <c r="O26" t="s">
        <v>29</v>
      </c>
      <c r="P26" t="s">
        <v>30</v>
      </c>
      <c r="Q26" t="s">
        <v>9465</v>
      </c>
      <c r="S26" t="s">
        <v>9268</v>
      </c>
      <c r="T26" t="str">
        <f t="shared" si="4"/>
        <v>NatGrdExt_BOL-3</v>
      </c>
      <c r="U26" t="str">
        <f t="shared" si="5"/>
        <v>Grid Extension -Bolivia- Step 3</v>
      </c>
      <c r="V26" t="s">
        <v>29</v>
      </c>
      <c r="W26" t="s">
        <v>30</v>
      </c>
      <c r="X26" t="s">
        <v>9465</v>
      </c>
      <c r="Z26" t="s">
        <v>9268</v>
      </c>
      <c r="AA26" t="str">
        <f t="shared" si="6"/>
        <v>NatGrdExt_BOL-4</v>
      </c>
      <c r="AB26" t="str">
        <f t="shared" si="7"/>
        <v>Grid Extension -Bolivia- Step 4</v>
      </c>
      <c r="AC26" t="s">
        <v>29</v>
      </c>
      <c r="AD26" t="s">
        <v>30</v>
      </c>
      <c r="AE26" t="s">
        <v>9465</v>
      </c>
      <c r="AG26" t="s">
        <v>9268</v>
      </c>
      <c r="AH26" t="str">
        <f t="shared" si="8"/>
        <v>NatGrdExt_BOL-5</v>
      </c>
      <c r="AI26" t="str">
        <f t="shared" si="9"/>
        <v>Grid Extension -Bolivia- Step 5</v>
      </c>
      <c r="AJ26" t="s">
        <v>29</v>
      </c>
      <c r="AK26" t="s">
        <v>30</v>
      </c>
      <c r="AL26" t="s">
        <v>9465</v>
      </c>
      <c r="AN26" t="s">
        <v>9268</v>
      </c>
      <c r="AO26" t="str">
        <f t="shared" si="10"/>
        <v>NatGrdExt_BOL-6</v>
      </c>
      <c r="AP26" t="str">
        <f t="shared" si="11"/>
        <v>Grid Extension -Bolivia- Step 6</v>
      </c>
      <c r="AQ26" t="s">
        <v>29</v>
      </c>
      <c r="AR26" t="s">
        <v>30</v>
      </c>
      <c r="AS26" t="s">
        <v>9465</v>
      </c>
      <c r="AU26" t="s">
        <v>9268</v>
      </c>
      <c r="AV26" t="str">
        <f t="shared" si="12"/>
        <v>NatGrdExt_BOL-7</v>
      </c>
      <c r="AW26" t="str">
        <f t="shared" si="13"/>
        <v>Grid Extension -Bolivia- Step 7</v>
      </c>
      <c r="AX26" t="s">
        <v>29</v>
      </c>
      <c r="AY26" t="s">
        <v>30</v>
      </c>
      <c r="AZ26" t="s">
        <v>9465</v>
      </c>
      <c r="BB26" t="s">
        <v>9268</v>
      </c>
      <c r="BC26" t="str">
        <f t="shared" si="14"/>
        <v>NatGrdExt_BOL-8</v>
      </c>
      <c r="BD26" t="str">
        <f t="shared" si="15"/>
        <v>Grid Extension -Bolivia- Step 8</v>
      </c>
      <c r="BE26" t="s">
        <v>29</v>
      </c>
      <c r="BF26" t="s">
        <v>30</v>
      </c>
      <c r="BG26" t="s">
        <v>9465</v>
      </c>
      <c r="BI26" t="s">
        <v>9268</v>
      </c>
      <c r="BJ26" t="str">
        <f t="shared" si="16"/>
        <v>NatGrdExt_BOL-9</v>
      </c>
      <c r="BK26" t="str">
        <f t="shared" si="17"/>
        <v>Grid Extension -Bolivia- Step 9</v>
      </c>
      <c r="BL26" t="s">
        <v>29</v>
      </c>
      <c r="BM26" t="s">
        <v>30</v>
      </c>
      <c r="BN26" t="s">
        <v>9465</v>
      </c>
      <c r="BP26" t="s">
        <v>9268</v>
      </c>
      <c r="BQ26" t="str">
        <f t="shared" si="18"/>
        <v>NatGrdExt_BOL-10</v>
      </c>
      <c r="BR26" t="str">
        <f t="shared" si="19"/>
        <v>Grid Extension -Bolivia- Step 10</v>
      </c>
      <c r="BS26" t="s">
        <v>29</v>
      </c>
      <c r="BT26" t="s">
        <v>30</v>
      </c>
      <c r="BU26" t="s">
        <v>9465</v>
      </c>
    </row>
    <row r="27" spans="1:73">
      <c r="A27" s="4" t="s">
        <v>265</v>
      </c>
      <c r="B27" s="4" t="s">
        <v>89</v>
      </c>
      <c r="E27" t="s">
        <v>9268</v>
      </c>
      <c r="F27" t="str">
        <f t="shared" si="0"/>
        <v>NatGrdExt_BRA-1</v>
      </c>
      <c r="G27" t="str">
        <f t="shared" si="1"/>
        <v>Grid Extension -Brazil- Step 1</v>
      </c>
      <c r="H27" t="s">
        <v>29</v>
      </c>
      <c r="I27" t="s">
        <v>30</v>
      </c>
      <c r="J27" t="s">
        <v>9465</v>
      </c>
      <c r="L27" t="s">
        <v>9268</v>
      </c>
      <c r="M27" t="str">
        <f t="shared" si="2"/>
        <v>NatGrdExt_BRA-2</v>
      </c>
      <c r="N27" t="str">
        <f t="shared" si="3"/>
        <v>Grid Extension -Brazil- Step 2</v>
      </c>
      <c r="O27" t="s">
        <v>29</v>
      </c>
      <c r="P27" t="s">
        <v>30</v>
      </c>
      <c r="Q27" t="s">
        <v>9465</v>
      </c>
      <c r="S27" t="s">
        <v>9268</v>
      </c>
      <c r="T27" t="str">
        <f t="shared" si="4"/>
        <v>NatGrdExt_BRA-3</v>
      </c>
      <c r="U27" t="str">
        <f t="shared" si="5"/>
        <v>Grid Extension -Brazil- Step 3</v>
      </c>
      <c r="V27" t="s">
        <v>29</v>
      </c>
      <c r="W27" t="s">
        <v>30</v>
      </c>
      <c r="X27" t="s">
        <v>9465</v>
      </c>
      <c r="Z27" t="s">
        <v>9268</v>
      </c>
      <c r="AA27" t="str">
        <f t="shared" si="6"/>
        <v>NatGrdExt_BRA-4</v>
      </c>
      <c r="AB27" t="str">
        <f t="shared" si="7"/>
        <v>Grid Extension -Brazil- Step 4</v>
      </c>
      <c r="AC27" t="s">
        <v>29</v>
      </c>
      <c r="AD27" t="s">
        <v>30</v>
      </c>
      <c r="AE27" t="s">
        <v>9465</v>
      </c>
      <c r="AG27" t="s">
        <v>9268</v>
      </c>
      <c r="AH27" t="str">
        <f t="shared" si="8"/>
        <v>NatGrdExt_BRA-5</v>
      </c>
      <c r="AI27" t="str">
        <f t="shared" si="9"/>
        <v>Grid Extension -Brazil- Step 5</v>
      </c>
      <c r="AJ27" t="s">
        <v>29</v>
      </c>
      <c r="AK27" t="s">
        <v>30</v>
      </c>
      <c r="AL27" t="s">
        <v>9465</v>
      </c>
      <c r="AN27" t="s">
        <v>9268</v>
      </c>
      <c r="AO27" t="str">
        <f t="shared" si="10"/>
        <v>NatGrdExt_BRA-6</v>
      </c>
      <c r="AP27" t="str">
        <f t="shared" si="11"/>
        <v>Grid Extension -Brazil- Step 6</v>
      </c>
      <c r="AQ27" t="s">
        <v>29</v>
      </c>
      <c r="AR27" t="s">
        <v>30</v>
      </c>
      <c r="AS27" t="s">
        <v>9465</v>
      </c>
      <c r="AU27" t="s">
        <v>9268</v>
      </c>
      <c r="AV27" t="str">
        <f t="shared" si="12"/>
        <v>NatGrdExt_BRA-7</v>
      </c>
      <c r="AW27" t="str">
        <f t="shared" si="13"/>
        <v>Grid Extension -Brazil- Step 7</v>
      </c>
      <c r="AX27" t="s">
        <v>29</v>
      </c>
      <c r="AY27" t="s">
        <v>30</v>
      </c>
      <c r="AZ27" t="s">
        <v>9465</v>
      </c>
      <c r="BB27" t="s">
        <v>9268</v>
      </c>
      <c r="BC27" t="str">
        <f t="shared" si="14"/>
        <v>NatGrdExt_BRA-8</v>
      </c>
      <c r="BD27" t="str">
        <f t="shared" si="15"/>
        <v>Grid Extension -Brazil- Step 8</v>
      </c>
      <c r="BE27" t="s">
        <v>29</v>
      </c>
      <c r="BF27" t="s">
        <v>30</v>
      </c>
      <c r="BG27" t="s">
        <v>9465</v>
      </c>
      <c r="BI27" t="s">
        <v>9268</v>
      </c>
      <c r="BJ27" t="str">
        <f t="shared" si="16"/>
        <v>NatGrdExt_BRA-9</v>
      </c>
      <c r="BK27" t="str">
        <f t="shared" si="17"/>
        <v>Grid Extension -Brazil- Step 9</v>
      </c>
      <c r="BL27" t="s">
        <v>29</v>
      </c>
      <c r="BM27" t="s">
        <v>30</v>
      </c>
      <c r="BN27" t="s">
        <v>9465</v>
      </c>
      <c r="BP27" t="s">
        <v>9268</v>
      </c>
      <c r="BQ27" t="str">
        <f t="shared" si="18"/>
        <v>NatGrdExt_BRA-10</v>
      </c>
      <c r="BR27" t="str">
        <f t="shared" si="19"/>
        <v>Grid Extension -Brazil- Step 10</v>
      </c>
      <c r="BS27" t="s">
        <v>29</v>
      </c>
      <c r="BT27" t="s">
        <v>30</v>
      </c>
      <c r="BU27" t="s">
        <v>9465</v>
      </c>
    </row>
    <row r="28" spans="1:73">
      <c r="A28" s="4" t="s">
        <v>289</v>
      </c>
      <c r="B28" s="4" t="s">
        <v>9487</v>
      </c>
      <c r="E28" t="s">
        <v>9268</v>
      </c>
      <c r="F28" t="str">
        <f t="shared" si="0"/>
        <v>NatGrdExt_BRN-1</v>
      </c>
      <c r="G28" t="str">
        <f t="shared" si="1"/>
        <v>Grid Extension -Brunei- Step 1</v>
      </c>
      <c r="H28" t="s">
        <v>29</v>
      </c>
      <c r="I28" t="s">
        <v>30</v>
      </c>
      <c r="J28" t="s">
        <v>9465</v>
      </c>
      <c r="L28" t="s">
        <v>9268</v>
      </c>
      <c r="M28" t="str">
        <f t="shared" si="2"/>
        <v>NatGrdExt_BRN-2</v>
      </c>
      <c r="N28" t="str">
        <f t="shared" si="3"/>
        <v>Grid Extension -Brunei- Step 2</v>
      </c>
      <c r="O28" t="s">
        <v>29</v>
      </c>
      <c r="P28" t="s">
        <v>30</v>
      </c>
      <c r="Q28" t="s">
        <v>9465</v>
      </c>
      <c r="S28" t="s">
        <v>9268</v>
      </c>
      <c r="T28" t="str">
        <f t="shared" si="4"/>
        <v>NatGrdExt_BRN-3</v>
      </c>
      <c r="U28" t="str">
        <f t="shared" si="5"/>
        <v>Grid Extension -Brunei- Step 3</v>
      </c>
      <c r="V28" t="s">
        <v>29</v>
      </c>
      <c r="W28" t="s">
        <v>30</v>
      </c>
      <c r="X28" t="s">
        <v>9465</v>
      </c>
      <c r="Z28" t="s">
        <v>9268</v>
      </c>
      <c r="AA28" t="str">
        <f t="shared" si="6"/>
        <v>NatGrdExt_BRN-4</v>
      </c>
      <c r="AB28" t="str">
        <f t="shared" si="7"/>
        <v>Grid Extension -Brunei- Step 4</v>
      </c>
      <c r="AC28" t="s">
        <v>29</v>
      </c>
      <c r="AD28" t="s">
        <v>30</v>
      </c>
      <c r="AE28" t="s">
        <v>9465</v>
      </c>
      <c r="AG28" t="s">
        <v>9268</v>
      </c>
      <c r="AH28" t="str">
        <f t="shared" si="8"/>
        <v>NatGrdExt_BRN-5</v>
      </c>
      <c r="AI28" t="str">
        <f t="shared" si="9"/>
        <v>Grid Extension -Brunei- Step 5</v>
      </c>
      <c r="AJ28" t="s">
        <v>29</v>
      </c>
      <c r="AK28" t="s">
        <v>30</v>
      </c>
      <c r="AL28" t="s">
        <v>9465</v>
      </c>
      <c r="AN28" t="s">
        <v>9268</v>
      </c>
      <c r="AO28" t="str">
        <f t="shared" si="10"/>
        <v>NatGrdExt_BRN-6</v>
      </c>
      <c r="AP28" t="str">
        <f t="shared" si="11"/>
        <v>Grid Extension -Brunei- Step 6</v>
      </c>
      <c r="AQ28" t="s">
        <v>29</v>
      </c>
      <c r="AR28" t="s">
        <v>30</v>
      </c>
      <c r="AS28" t="s">
        <v>9465</v>
      </c>
      <c r="AU28" t="s">
        <v>9268</v>
      </c>
      <c r="AV28" t="str">
        <f t="shared" si="12"/>
        <v>NatGrdExt_BRN-7</v>
      </c>
      <c r="AW28" t="str">
        <f t="shared" si="13"/>
        <v>Grid Extension -Brunei- Step 7</v>
      </c>
      <c r="AX28" t="s">
        <v>29</v>
      </c>
      <c r="AY28" t="s">
        <v>30</v>
      </c>
      <c r="AZ28" t="s">
        <v>9465</v>
      </c>
      <c r="BB28" t="s">
        <v>9268</v>
      </c>
      <c r="BC28" t="str">
        <f t="shared" si="14"/>
        <v>NatGrdExt_BRN-8</v>
      </c>
      <c r="BD28" t="str">
        <f t="shared" si="15"/>
        <v>Grid Extension -Brunei- Step 8</v>
      </c>
      <c r="BE28" t="s">
        <v>29</v>
      </c>
      <c r="BF28" t="s">
        <v>30</v>
      </c>
      <c r="BG28" t="s">
        <v>9465</v>
      </c>
      <c r="BI28" t="s">
        <v>9268</v>
      </c>
      <c r="BJ28" t="str">
        <f t="shared" si="16"/>
        <v>NatGrdExt_BRN-9</v>
      </c>
      <c r="BK28" t="str">
        <f t="shared" si="17"/>
        <v>Grid Extension -Brunei- Step 9</v>
      </c>
      <c r="BL28" t="s">
        <v>29</v>
      </c>
      <c r="BM28" t="s">
        <v>30</v>
      </c>
      <c r="BN28" t="s">
        <v>9465</v>
      </c>
      <c r="BP28" t="s">
        <v>9268</v>
      </c>
      <c r="BQ28" t="str">
        <f t="shared" si="18"/>
        <v>NatGrdExt_BRN-10</v>
      </c>
      <c r="BR28" t="str">
        <f t="shared" si="19"/>
        <v>Grid Extension -Brunei- Step 10</v>
      </c>
      <c r="BS28" t="s">
        <v>29</v>
      </c>
      <c r="BT28" t="s">
        <v>30</v>
      </c>
      <c r="BU28" t="s">
        <v>9465</v>
      </c>
    </row>
    <row r="29" spans="1:73">
      <c r="A29" s="4" t="s">
        <v>294</v>
      </c>
      <c r="B29" s="4" t="s">
        <v>9488</v>
      </c>
      <c r="E29" t="s">
        <v>9268</v>
      </c>
      <c r="F29" t="str">
        <f t="shared" si="0"/>
        <v>NatGrdExt_BTN-1</v>
      </c>
      <c r="G29" t="str">
        <f t="shared" si="1"/>
        <v>Grid Extension -Bhutan- Step 1</v>
      </c>
      <c r="H29" t="s">
        <v>29</v>
      </c>
      <c r="I29" t="s">
        <v>30</v>
      </c>
      <c r="J29" t="s">
        <v>9465</v>
      </c>
      <c r="L29" t="s">
        <v>9268</v>
      </c>
      <c r="M29" t="str">
        <f t="shared" si="2"/>
        <v>NatGrdExt_BTN-2</v>
      </c>
      <c r="N29" t="str">
        <f t="shared" si="3"/>
        <v>Grid Extension -Bhutan- Step 2</v>
      </c>
      <c r="O29" t="s">
        <v>29</v>
      </c>
      <c r="P29" t="s">
        <v>30</v>
      </c>
      <c r="Q29" t="s">
        <v>9465</v>
      </c>
      <c r="S29" t="s">
        <v>9268</v>
      </c>
      <c r="T29" t="str">
        <f t="shared" si="4"/>
        <v>NatGrdExt_BTN-3</v>
      </c>
      <c r="U29" t="str">
        <f t="shared" si="5"/>
        <v>Grid Extension -Bhutan- Step 3</v>
      </c>
      <c r="V29" t="s">
        <v>29</v>
      </c>
      <c r="W29" t="s">
        <v>30</v>
      </c>
      <c r="X29" t="s">
        <v>9465</v>
      </c>
      <c r="Z29" t="s">
        <v>9268</v>
      </c>
      <c r="AA29" t="str">
        <f t="shared" si="6"/>
        <v>NatGrdExt_BTN-4</v>
      </c>
      <c r="AB29" t="str">
        <f t="shared" si="7"/>
        <v>Grid Extension -Bhutan- Step 4</v>
      </c>
      <c r="AC29" t="s">
        <v>29</v>
      </c>
      <c r="AD29" t="s">
        <v>30</v>
      </c>
      <c r="AE29" t="s">
        <v>9465</v>
      </c>
      <c r="AG29" t="s">
        <v>9268</v>
      </c>
      <c r="AH29" t="str">
        <f t="shared" si="8"/>
        <v>NatGrdExt_BTN-5</v>
      </c>
      <c r="AI29" t="str">
        <f t="shared" si="9"/>
        <v>Grid Extension -Bhutan- Step 5</v>
      </c>
      <c r="AJ29" t="s">
        <v>29</v>
      </c>
      <c r="AK29" t="s">
        <v>30</v>
      </c>
      <c r="AL29" t="s">
        <v>9465</v>
      </c>
      <c r="AN29" t="s">
        <v>9268</v>
      </c>
      <c r="AO29" t="str">
        <f t="shared" si="10"/>
        <v>NatGrdExt_BTN-6</v>
      </c>
      <c r="AP29" t="str">
        <f t="shared" si="11"/>
        <v>Grid Extension -Bhutan- Step 6</v>
      </c>
      <c r="AQ29" t="s">
        <v>29</v>
      </c>
      <c r="AR29" t="s">
        <v>30</v>
      </c>
      <c r="AS29" t="s">
        <v>9465</v>
      </c>
      <c r="AU29" t="s">
        <v>9268</v>
      </c>
      <c r="AV29" t="str">
        <f t="shared" si="12"/>
        <v>NatGrdExt_BTN-7</v>
      </c>
      <c r="AW29" t="str">
        <f t="shared" si="13"/>
        <v>Grid Extension -Bhutan- Step 7</v>
      </c>
      <c r="AX29" t="s">
        <v>29</v>
      </c>
      <c r="AY29" t="s">
        <v>30</v>
      </c>
      <c r="AZ29" t="s">
        <v>9465</v>
      </c>
      <c r="BB29" t="s">
        <v>9268</v>
      </c>
      <c r="BC29" t="str">
        <f t="shared" si="14"/>
        <v>NatGrdExt_BTN-8</v>
      </c>
      <c r="BD29" t="str">
        <f t="shared" si="15"/>
        <v>Grid Extension -Bhutan- Step 8</v>
      </c>
      <c r="BE29" t="s">
        <v>29</v>
      </c>
      <c r="BF29" t="s">
        <v>30</v>
      </c>
      <c r="BG29" t="s">
        <v>9465</v>
      </c>
      <c r="BI29" t="s">
        <v>9268</v>
      </c>
      <c r="BJ29" t="str">
        <f t="shared" si="16"/>
        <v>NatGrdExt_BTN-9</v>
      </c>
      <c r="BK29" t="str">
        <f t="shared" si="17"/>
        <v>Grid Extension -Bhutan- Step 9</v>
      </c>
      <c r="BL29" t="s">
        <v>29</v>
      </c>
      <c r="BM29" t="s">
        <v>30</v>
      </c>
      <c r="BN29" t="s">
        <v>9465</v>
      </c>
      <c r="BP29" t="s">
        <v>9268</v>
      </c>
      <c r="BQ29" t="str">
        <f t="shared" si="18"/>
        <v>NatGrdExt_BTN-10</v>
      </c>
      <c r="BR29" t="str">
        <f t="shared" si="19"/>
        <v>Grid Extension -Bhutan- Step 10</v>
      </c>
      <c r="BS29" t="s">
        <v>29</v>
      </c>
      <c r="BT29" t="s">
        <v>30</v>
      </c>
      <c r="BU29" t="s">
        <v>9465</v>
      </c>
    </row>
    <row r="30" spans="1:73">
      <c r="A30" s="4" t="s">
        <v>298</v>
      </c>
      <c r="B30" s="4" t="s">
        <v>9489</v>
      </c>
      <c r="E30" t="s">
        <v>9268</v>
      </c>
      <c r="F30" t="str">
        <f t="shared" si="0"/>
        <v>NatGrdExt_BWA-1</v>
      </c>
      <c r="G30" t="str">
        <f t="shared" si="1"/>
        <v>Grid Extension -Botswana- Step 1</v>
      </c>
      <c r="H30" t="s">
        <v>29</v>
      </c>
      <c r="I30" t="s">
        <v>30</v>
      </c>
      <c r="J30" t="s">
        <v>9465</v>
      </c>
      <c r="L30" t="s">
        <v>9268</v>
      </c>
      <c r="M30" t="str">
        <f t="shared" si="2"/>
        <v>NatGrdExt_BWA-2</v>
      </c>
      <c r="N30" t="str">
        <f t="shared" si="3"/>
        <v>Grid Extension -Botswana- Step 2</v>
      </c>
      <c r="O30" t="s">
        <v>29</v>
      </c>
      <c r="P30" t="s">
        <v>30</v>
      </c>
      <c r="Q30" t="s">
        <v>9465</v>
      </c>
      <c r="S30" t="s">
        <v>9268</v>
      </c>
      <c r="T30" t="str">
        <f t="shared" si="4"/>
        <v>NatGrdExt_BWA-3</v>
      </c>
      <c r="U30" t="str">
        <f t="shared" si="5"/>
        <v>Grid Extension -Botswana- Step 3</v>
      </c>
      <c r="V30" t="s">
        <v>29</v>
      </c>
      <c r="W30" t="s">
        <v>30</v>
      </c>
      <c r="X30" t="s">
        <v>9465</v>
      </c>
      <c r="Z30" t="s">
        <v>9268</v>
      </c>
      <c r="AA30" t="str">
        <f t="shared" si="6"/>
        <v>NatGrdExt_BWA-4</v>
      </c>
      <c r="AB30" t="str">
        <f t="shared" si="7"/>
        <v>Grid Extension -Botswana- Step 4</v>
      </c>
      <c r="AC30" t="s">
        <v>29</v>
      </c>
      <c r="AD30" t="s">
        <v>30</v>
      </c>
      <c r="AE30" t="s">
        <v>9465</v>
      </c>
      <c r="AG30" t="s">
        <v>9268</v>
      </c>
      <c r="AH30" t="str">
        <f t="shared" si="8"/>
        <v>NatGrdExt_BWA-5</v>
      </c>
      <c r="AI30" t="str">
        <f t="shared" si="9"/>
        <v>Grid Extension -Botswana- Step 5</v>
      </c>
      <c r="AJ30" t="s">
        <v>29</v>
      </c>
      <c r="AK30" t="s">
        <v>30</v>
      </c>
      <c r="AL30" t="s">
        <v>9465</v>
      </c>
      <c r="AN30" t="s">
        <v>9268</v>
      </c>
      <c r="AO30" t="str">
        <f t="shared" si="10"/>
        <v>NatGrdExt_BWA-6</v>
      </c>
      <c r="AP30" t="str">
        <f t="shared" si="11"/>
        <v>Grid Extension -Botswana- Step 6</v>
      </c>
      <c r="AQ30" t="s">
        <v>29</v>
      </c>
      <c r="AR30" t="s">
        <v>30</v>
      </c>
      <c r="AS30" t="s">
        <v>9465</v>
      </c>
      <c r="AU30" t="s">
        <v>9268</v>
      </c>
      <c r="AV30" t="str">
        <f t="shared" si="12"/>
        <v>NatGrdExt_BWA-7</v>
      </c>
      <c r="AW30" t="str">
        <f t="shared" si="13"/>
        <v>Grid Extension -Botswana- Step 7</v>
      </c>
      <c r="AX30" t="s">
        <v>29</v>
      </c>
      <c r="AY30" t="s">
        <v>30</v>
      </c>
      <c r="AZ30" t="s">
        <v>9465</v>
      </c>
      <c r="BB30" t="s">
        <v>9268</v>
      </c>
      <c r="BC30" t="str">
        <f t="shared" si="14"/>
        <v>NatGrdExt_BWA-8</v>
      </c>
      <c r="BD30" t="str">
        <f t="shared" si="15"/>
        <v>Grid Extension -Botswana- Step 8</v>
      </c>
      <c r="BE30" t="s">
        <v>29</v>
      </c>
      <c r="BF30" t="s">
        <v>30</v>
      </c>
      <c r="BG30" t="s">
        <v>9465</v>
      </c>
      <c r="BI30" t="s">
        <v>9268</v>
      </c>
      <c r="BJ30" t="str">
        <f t="shared" si="16"/>
        <v>NatGrdExt_BWA-9</v>
      </c>
      <c r="BK30" t="str">
        <f t="shared" si="17"/>
        <v>Grid Extension -Botswana- Step 9</v>
      </c>
      <c r="BL30" t="s">
        <v>29</v>
      </c>
      <c r="BM30" t="s">
        <v>30</v>
      </c>
      <c r="BN30" t="s">
        <v>9465</v>
      </c>
      <c r="BP30" t="s">
        <v>9268</v>
      </c>
      <c r="BQ30" t="str">
        <f t="shared" si="18"/>
        <v>NatGrdExt_BWA-10</v>
      </c>
      <c r="BR30" t="str">
        <f t="shared" si="19"/>
        <v>Grid Extension -Botswana- Step 10</v>
      </c>
      <c r="BS30" t="s">
        <v>29</v>
      </c>
      <c r="BT30" t="s">
        <v>30</v>
      </c>
      <c r="BU30" t="s">
        <v>9465</v>
      </c>
    </row>
    <row r="31" spans="1:73">
      <c r="A31" s="4" t="s">
        <v>306</v>
      </c>
      <c r="B31" s="4" t="s">
        <v>9490</v>
      </c>
      <c r="E31" t="s">
        <v>9268</v>
      </c>
      <c r="F31" t="str">
        <f t="shared" si="0"/>
        <v>NatGrdExt_CAF-1</v>
      </c>
      <c r="G31" t="str">
        <f t="shared" si="1"/>
        <v>Grid Extension -Central African Republic- Step 1</v>
      </c>
      <c r="H31" t="s">
        <v>29</v>
      </c>
      <c r="I31" t="s">
        <v>30</v>
      </c>
      <c r="J31" t="s">
        <v>9465</v>
      </c>
      <c r="L31" t="s">
        <v>9268</v>
      </c>
      <c r="M31" t="str">
        <f t="shared" si="2"/>
        <v>NatGrdExt_CAF-2</v>
      </c>
      <c r="N31" t="str">
        <f t="shared" si="3"/>
        <v>Grid Extension -Central African Republic- Step 2</v>
      </c>
      <c r="O31" t="s">
        <v>29</v>
      </c>
      <c r="P31" t="s">
        <v>30</v>
      </c>
      <c r="Q31" t="s">
        <v>9465</v>
      </c>
      <c r="S31" t="s">
        <v>9268</v>
      </c>
      <c r="T31" t="str">
        <f t="shared" si="4"/>
        <v>NatGrdExt_CAF-3</v>
      </c>
      <c r="U31" t="str">
        <f t="shared" si="5"/>
        <v>Grid Extension -Central African Republic- Step 3</v>
      </c>
      <c r="V31" t="s">
        <v>29</v>
      </c>
      <c r="W31" t="s">
        <v>30</v>
      </c>
      <c r="X31" t="s">
        <v>9465</v>
      </c>
      <c r="Z31" t="s">
        <v>9268</v>
      </c>
      <c r="AA31" t="str">
        <f t="shared" si="6"/>
        <v>NatGrdExt_CAF-4</v>
      </c>
      <c r="AB31" t="str">
        <f t="shared" si="7"/>
        <v>Grid Extension -Central African Republic- Step 4</v>
      </c>
      <c r="AC31" t="s">
        <v>29</v>
      </c>
      <c r="AD31" t="s">
        <v>30</v>
      </c>
      <c r="AE31" t="s">
        <v>9465</v>
      </c>
      <c r="AG31" t="s">
        <v>9268</v>
      </c>
      <c r="AH31" t="str">
        <f t="shared" si="8"/>
        <v>NatGrdExt_CAF-5</v>
      </c>
      <c r="AI31" t="str">
        <f t="shared" si="9"/>
        <v>Grid Extension -Central African Republic- Step 5</v>
      </c>
      <c r="AJ31" t="s">
        <v>29</v>
      </c>
      <c r="AK31" t="s">
        <v>30</v>
      </c>
      <c r="AL31" t="s">
        <v>9465</v>
      </c>
      <c r="AN31" t="s">
        <v>9268</v>
      </c>
      <c r="AO31" t="str">
        <f t="shared" si="10"/>
        <v>NatGrdExt_CAF-6</v>
      </c>
      <c r="AP31" t="str">
        <f t="shared" si="11"/>
        <v>Grid Extension -Central African Republic- Step 6</v>
      </c>
      <c r="AQ31" t="s">
        <v>29</v>
      </c>
      <c r="AR31" t="s">
        <v>30</v>
      </c>
      <c r="AS31" t="s">
        <v>9465</v>
      </c>
      <c r="AU31" t="s">
        <v>9268</v>
      </c>
      <c r="AV31" t="str">
        <f t="shared" si="12"/>
        <v>NatGrdExt_CAF-7</v>
      </c>
      <c r="AW31" t="str">
        <f t="shared" si="13"/>
        <v>Grid Extension -Central African Republic- Step 7</v>
      </c>
      <c r="AX31" t="s">
        <v>29</v>
      </c>
      <c r="AY31" t="s">
        <v>30</v>
      </c>
      <c r="AZ31" t="s">
        <v>9465</v>
      </c>
      <c r="BB31" t="s">
        <v>9268</v>
      </c>
      <c r="BC31" t="str">
        <f t="shared" si="14"/>
        <v>NatGrdExt_CAF-8</v>
      </c>
      <c r="BD31" t="str">
        <f t="shared" si="15"/>
        <v>Grid Extension -Central African Republic- Step 8</v>
      </c>
      <c r="BE31" t="s">
        <v>29</v>
      </c>
      <c r="BF31" t="s">
        <v>30</v>
      </c>
      <c r="BG31" t="s">
        <v>9465</v>
      </c>
      <c r="BI31" t="s">
        <v>9268</v>
      </c>
      <c r="BJ31" t="str">
        <f t="shared" si="16"/>
        <v>NatGrdExt_CAF-9</v>
      </c>
      <c r="BK31" t="str">
        <f t="shared" si="17"/>
        <v>Grid Extension -Central African Republic- Step 9</v>
      </c>
      <c r="BL31" t="s">
        <v>29</v>
      </c>
      <c r="BM31" t="s">
        <v>30</v>
      </c>
      <c r="BN31" t="s">
        <v>9465</v>
      </c>
      <c r="BP31" t="s">
        <v>9268</v>
      </c>
      <c r="BQ31" t="str">
        <f t="shared" si="18"/>
        <v>NatGrdExt_CAF-10</v>
      </c>
      <c r="BR31" t="str">
        <f t="shared" si="19"/>
        <v>Grid Extension -Central African Republic- Step 10</v>
      </c>
      <c r="BS31" t="s">
        <v>29</v>
      </c>
      <c r="BT31" t="s">
        <v>30</v>
      </c>
      <c r="BU31" t="s">
        <v>9465</v>
      </c>
    </row>
    <row r="32" spans="1:73">
      <c r="A32" s="4" t="s">
        <v>310</v>
      </c>
      <c r="B32" s="4" t="s">
        <v>9491</v>
      </c>
      <c r="E32" t="s">
        <v>9268</v>
      </c>
      <c r="F32" t="str">
        <f t="shared" si="0"/>
        <v>NatGrdExt_CAN-1</v>
      </c>
      <c r="G32" t="str">
        <f t="shared" si="1"/>
        <v>Grid Extension -Canada- Step 1</v>
      </c>
      <c r="H32" t="s">
        <v>29</v>
      </c>
      <c r="I32" t="s">
        <v>30</v>
      </c>
      <c r="J32" t="s">
        <v>9465</v>
      </c>
      <c r="L32" t="s">
        <v>9268</v>
      </c>
      <c r="M32" t="str">
        <f t="shared" si="2"/>
        <v>NatGrdExt_CAN-2</v>
      </c>
      <c r="N32" t="str">
        <f t="shared" si="3"/>
        <v>Grid Extension -Canada- Step 2</v>
      </c>
      <c r="O32" t="s">
        <v>29</v>
      </c>
      <c r="P32" t="s">
        <v>30</v>
      </c>
      <c r="Q32" t="s">
        <v>9465</v>
      </c>
      <c r="S32" t="s">
        <v>9268</v>
      </c>
      <c r="T32" t="str">
        <f t="shared" si="4"/>
        <v>NatGrdExt_CAN-3</v>
      </c>
      <c r="U32" t="str">
        <f t="shared" si="5"/>
        <v>Grid Extension -Canada- Step 3</v>
      </c>
      <c r="V32" t="s">
        <v>29</v>
      </c>
      <c r="W32" t="s">
        <v>30</v>
      </c>
      <c r="X32" t="s">
        <v>9465</v>
      </c>
      <c r="Z32" t="s">
        <v>9268</v>
      </c>
      <c r="AA32" t="str">
        <f t="shared" si="6"/>
        <v>NatGrdExt_CAN-4</v>
      </c>
      <c r="AB32" t="str">
        <f t="shared" si="7"/>
        <v>Grid Extension -Canada- Step 4</v>
      </c>
      <c r="AC32" t="s">
        <v>29</v>
      </c>
      <c r="AD32" t="s">
        <v>30</v>
      </c>
      <c r="AE32" t="s">
        <v>9465</v>
      </c>
      <c r="AG32" t="s">
        <v>9268</v>
      </c>
      <c r="AH32" t="str">
        <f t="shared" si="8"/>
        <v>NatGrdExt_CAN-5</v>
      </c>
      <c r="AI32" t="str">
        <f t="shared" si="9"/>
        <v>Grid Extension -Canada- Step 5</v>
      </c>
      <c r="AJ32" t="s">
        <v>29</v>
      </c>
      <c r="AK32" t="s">
        <v>30</v>
      </c>
      <c r="AL32" t="s">
        <v>9465</v>
      </c>
      <c r="AN32" t="s">
        <v>9268</v>
      </c>
      <c r="AO32" t="str">
        <f t="shared" si="10"/>
        <v>NatGrdExt_CAN-6</v>
      </c>
      <c r="AP32" t="str">
        <f t="shared" si="11"/>
        <v>Grid Extension -Canada- Step 6</v>
      </c>
      <c r="AQ32" t="s">
        <v>29</v>
      </c>
      <c r="AR32" t="s">
        <v>30</v>
      </c>
      <c r="AS32" t="s">
        <v>9465</v>
      </c>
      <c r="AU32" t="s">
        <v>9268</v>
      </c>
      <c r="AV32" t="str">
        <f t="shared" si="12"/>
        <v>NatGrdExt_CAN-7</v>
      </c>
      <c r="AW32" t="str">
        <f t="shared" si="13"/>
        <v>Grid Extension -Canada- Step 7</v>
      </c>
      <c r="AX32" t="s">
        <v>29</v>
      </c>
      <c r="AY32" t="s">
        <v>30</v>
      </c>
      <c r="AZ32" t="s">
        <v>9465</v>
      </c>
      <c r="BB32" t="s">
        <v>9268</v>
      </c>
      <c r="BC32" t="str">
        <f t="shared" si="14"/>
        <v>NatGrdExt_CAN-8</v>
      </c>
      <c r="BD32" t="str">
        <f t="shared" si="15"/>
        <v>Grid Extension -Canada- Step 8</v>
      </c>
      <c r="BE32" t="s">
        <v>29</v>
      </c>
      <c r="BF32" t="s">
        <v>30</v>
      </c>
      <c r="BG32" t="s">
        <v>9465</v>
      </c>
      <c r="BI32" t="s">
        <v>9268</v>
      </c>
      <c r="BJ32" t="str">
        <f t="shared" si="16"/>
        <v>NatGrdExt_CAN-9</v>
      </c>
      <c r="BK32" t="str">
        <f t="shared" si="17"/>
        <v>Grid Extension -Canada- Step 9</v>
      </c>
      <c r="BL32" t="s">
        <v>29</v>
      </c>
      <c r="BM32" t="s">
        <v>30</v>
      </c>
      <c r="BN32" t="s">
        <v>9465</v>
      </c>
      <c r="BP32" t="s">
        <v>9268</v>
      </c>
      <c r="BQ32" t="str">
        <f t="shared" si="18"/>
        <v>NatGrdExt_CAN-10</v>
      </c>
      <c r="BR32" t="str">
        <f t="shared" si="19"/>
        <v>Grid Extension -Canada- Step 10</v>
      </c>
      <c r="BS32" t="s">
        <v>29</v>
      </c>
      <c r="BT32" t="s">
        <v>30</v>
      </c>
      <c r="BU32" t="s">
        <v>9465</v>
      </c>
    </row>
    <row r="33" spans="1:73">
      <c r="A33" s="4" t="s">
        <v>356</v>
      </c>
      <c r="B33" s="4" t="s">
        <v>9492</v>
      </c>
      <c r="E33" t="s">
        <v>9268</v>
      </c>
      <c r="F33" t="str">
        <f t="shared" si="0"/>
        <v>NatGrdExt_CHE-1</v>
      </c>
      <c r="G33" t="str">
        <f t="shared" si="1"/>
        <v>Grid Extension -Switzerland- Step 1</v>
      </c>
      <c r="H33" t="s">
        <v>29</v>
      </c>
      <c r="I33" t="s">
        <v>30</v>
      </c>
      <c r="J33" t="s">
        <v>9465</v>
      </c>
      <c r="L33" t="s">
        <v>9268</v>
      </c>
      <c r="M33" t="str">
        <f t="shared" si="2"/>
        <v>NatGrdExt_CHE-2</v>
      </c>
      <c r="N33" t="str">
        <f t="shared" si="3"/>
        <v>Grid Extension -Switzerland- Step 2</v>
      </c>
      <c r="O33" t="s">
        <v>29</v>
      </c>
      <c r="P33" t="s">
        <v>30</v>
      </c>
      <c r="Q33" t="s">
        <v>9465</v>
      </c>
      <c r="S33" t="s">
        <v>9268</v>
      </c>
      <c r="T33" t="str">
        <f t="shared" si="4"/>
        <v>NatGrdExt_CHE-3</v>
      </c>
      <c r="U33" t="str">
        <f t="shared" si="5"/>
        <v>Grid Extension -Switzerland- Step 3</v>
      </c>
      <c r="V33" t="s">
        <v>29</v>
      </c>
      <c r="W33" t="s">
        <v>30</v>
      </c>
      <c r="X33" t="s">
        <v>9465</v>
      </c>
      <c r="Z33" t="s">
        <v>9268</v>
      </c>
      <c r="AA33" t="str">
        <f t="shared" si="6"/>
        <v>NatGrdExt_CHE-4</v>
      </c>
      <c r="AB33" t="str">
        <f t="shared" si="7"/>
        <v>Grid Extension -Switzerland- Step 4</v>
      </c>
      <c r="AC33" t="s">
        <v>29</v>
      </c>
      <c r="AD33" t="s">
        <v>30</v>
      </c>
      <c r="AE33" t="s">
        <v>9465</v>
      </c>
      <c r="AG33" t="s">
        <v>9268</v>
      </c>
      <c r="AH33" t="str">
        <f t="shared" si="8"/>
        <v>NatGrdExt_CHE-5</v>
      </c>
      <c r="AI33" t="str">
        <f t="shared" si="9"/>
        <v>Grid Extension -Switzerland- Step 5</v>
      </c>
      <c r="AJ33" t="s">
        <v>29</v>
      </c>
      <c r="AK33" t="s">
        <v>30</v>
      </c>
      <c r="AL33" t="s">
        <v>9465</v>
      </c>
      <c r="AN33" t="s">
        <v>9268</v>
      </c>
      <c r="AO33" t="str">
        <f t="shared" si="10"/>
        <v>NatGrdExt_CHE-6</v>
      </c>
      <c r="AP33" t="str">
        <f t="shared" si="11"/>
        <v>Grid Extension -Switzerland- Step 6</v>
      </c>
      <c r="AQ33" t="s">
        <v>29</v>
      </c>
      <c r="AR33" t="s">
        <v>30</v>
      </c>
      <c r="AS33" t="s">
        <v>9465</v>
      </c>
      <c r="AU33" t="s">
        <v>9268</v>
      </c>
      <c r="AV33" t="str">
        <f t="shared" si="12"/>
        <v>NatGrdExt_CHE-7</v>
      </c>
      <c r="AW33" t="str">
        <f t="shared" si="13"/>
        <v>Grid Extension -Switzerland- Step 7</v>
      </c>
      <c r="AX33" t="s">
        <v>29</v>
      </c>
      <c r="AY33" t="s">
        <v>30</v>
      </c>
      <c r="AZ33" t="s">
        <v>9465</v>
      </c>
      <c r="BB33" t="s">
        <v>9268</v>
      </c>
      <c r="BC33" t="str">
        <f t="shared" si="14"/>
        <v>NatGrdExt_CHE-8</v>
      </c>
      <c r="BD33" t="str">
        <f t="shared" si="15"/>
        <v>Grid Extension -Switzerland- Step 8</v>
      </c>
      <c r="BE33" t="s">
        <v>29</v>
      </c>
      <c r="BF33" t="s">
        <v>30</v>
      </c>
      <c r="BG33" t="s">
        <v>9465</v>
      </c>
      <c r="BI33" t="s">
        <v>9268</v>
      </c>
      <c r="BJ33" t="str">
        <f t="shared" si="16"/>
        <v>NatGrdExt_CHE-9</v>
      </c>
      <c r="BK33" t="str">
        <f t="shared" si="17"/>
        <v>Grid Extension -Switzerland- Step 9</v>
      </c>
      <c r="BL33" t="s">
        <v>29</v>
      </c>
      <c r="BM33" t="s">
        <v>30</v>
      </c>
      <c r="BN33" t="s">
        <v>9465</v>
      </c>
      <c r="BP33" t="s">
        <v>9268</v>
      </c>
      <c r="BQ33" t="str">
        <f t="shared" si="18"/>
        <v>NatGrdExt_CHE-10</v>
      </c>
      <c r="BR33" t="str">
        <f t="shared" si="19"/>
        <v>Grid Extension -Switzerland- Step 10</v>
      </c>
      <c r="BS33" t="s">
        <v>29</v>
      </c>
      <c r="BT33" t="s">
        <v>30</v>
      </c>
      <c r="BU33" t="s">
        <v>9465</v>
      </c>
    </row>
    <row r="34" spans="1:73">
      <c r="A34" s="4" t="s">
        <v>366</v>
      </c>
      <c r="B34" s="4" t="s">
        <v>9493</v>
      </c>
      <c r="E34" t="s">
        <v>9268</v>
      </c>
      <c r="F34" t="str">
        <f t="shared" si="0"/>
        <v>NatGrdExt_CHL-1</v>
      </c>
      <c r="G34" t="str">
        <f t="shared" si="1"/>
        <v>Grid Extension -Chile- Step 1</v>
      </c>
      <c r="H34" t="s">
        <v>29</v>
      </c>
      <c r="I34" t="s">
        <v>30</v>
      </c>
      <c r="J34" t="s">
        <v>9465</v>
      </c>
      <c r="L34" t="s">
        <v>9268</v>
      </c>
      <c r="M34" t="str">
        <f t="shared" si="2"/>
        <v>NatGrdExt_CHL-2</v>
      </c>
      <c r="N34" t="str">
        <f t="shared" si="3"/>
        <v>Grid Extension -Chile- Step 2</v>
      </c>
      <c r="O34" t="s">
        <v>29</v>
      </c>
      <c r="P34" t="s">
        <v>30</v>
      </c>
      <c r="Q34" t="s">
        <v>9465</v>
      </c>
      <c r="S34" t="s">
        <v>9268</v>
      </c>
      <c r="T34" t="str">
        <f t="shared" si="4"/>
        <v>NatGrdExt_CHL-3</v>
      </c>
      <c r="U34" t="str">
        <f t="shared" si="5"/>
        <v>Grid Extension -Chile- Step 3</v>
      </c>
      <c r="V34" t="s">
        <v>29</v>
      </c>
      <c r="W34" t="s">
        <v>30</v>
      </c>
      <c r="X34" t="s">
        <v>9465</v>
      </c>
      <c r="Z34" t="s">
        <v>9268</v>
      </c>
      <c r="AA34" t="str">
        <f t="shared" si="6"/>
        <v>NatGrdExt_CHL-4</v>
      </c>
      <c r="AB34" t="str">
        <f t="shared" si="7"/>
        <v>Grid Extension -Chile- Step 4</v>
      </c>
      <c r="AC34" t="s">
        <v>29</v>
      </c>
      <c r="AD34" t="s">
        <v>30</v>
      </c>
      <c r="AE34" t="s">
        <v>9465</v>
      </c>
      <c r="AG34" t="s">
        <v>9268</v>
      </c>
      <c r="AH34" t="str">
        <f t="shared" si="8"/>
        <v>NatGrdExt_CHL-5</v>
      </c>
      <c r="AI34" t="str">
        <f t="shared" si="9"/>
        <v>Grid Extension -Chile- Step 5</v>
      </c>
      <c r="AJ34" t="s">
        <v>29</v>
      </c>
      <c r="AK34" t="s">
        <v>30</v>
      </c>
      <c r="AL34" t="s">
        <v>9465</v>
      </c>
      <c r="AN34" t="s">
        <v>9268</v>
      </c>
      <c r="AO34" t="str">
        <f t="shared" si="10"/>
        <v>NatGrdExt_CHL-6</v>
      </c>
      <c r="AP34" t="str">
        <f t="shared" si="11"/>
        <v>Grid Extension -Chile- Step 6</v>
      </c>
      <c r="AQ34" t="s">
        <v>29</v>
      </c>
      <c r="AR34" t="s">
        <v>30</v>
      </c>
      <c r="AS34" t="s">
        <v>9465</v>
      </c>
      <c r="AU34" t="s">
        <v>9268</v>
      </c>
      <c r="AV34" t="str">
        <f t="shared" si="12"/>
        <v>NatGrdExt_CHL-7</v>
      </c>
      <c r="AW34" t="str">
        <f t="shared" si="13"/>
        <v>Grid Extension -Chile- Step 7</v>
      </c>
      <c r="AX34" t="s">
        <v>29</v>
      </c>
      <c r="AY34" t="s">
        <v>30</v>
      </c>
      <c r="AZ34" t="s">
        <v>9465</v>
      </c>
      <c r="BB34" t="s">
        <v>9268</v>
      </c>
      <c r="BC34" t="str">
        <f t="shared" si="14"/>
        <v>NatGrdExt_CHL-8</v>
      </c>
      <c r="BD34" t="str">
        <f t="shared" si="15"/>
        <v>Grid Extension -Chile- Step 8</v>
      </c>
      <c r="BE34" t="s">
        <v>29</v>
      </c>
      <c r="BF34" t="s">
        <v>30</v>
      </c>
      <c r="BG34" t="s">
        <v>9465</v>
      </c>
      <c r="BI34" t="s">
        <v>9268</v>
      </c>
      <c r="BJ34" t="str">
        <f t="shared" si="16"/>
        <v>NatGrdExt_CHL-9</v>
      </c>
      <c r="BK34" t="str">
        <f t="shared" si="17"/>
        <v>Grid Extension -Chile- Step 9</v>
      </c>
      <c r="BL34" t="s">
        <v>29</v>
      </c>
      <c r="BM34" t="s">
        <v>30</v>
      </c>
      <c r="BN34" t="s">
        <v>9465</v>
      </c>
      <c r="BP34" t="s">
        <v>9268</v>
      </c>
      <c r="BQ34" t="str">
        <f t="shared" si="18"/>
        <v>NatGrdExt_CHL-10</v>
      </c>
      <c r="BR34" t="str">
        <f t="shared" si="19"/>
        <v>Grid Extension -Chile- Step 10</v>
      </c>
      <c r="BS34" t="s">
        <v>29</v>
      </c>
      <c r="BT34" t="s">
        <v>30</v>
      </c>
      <c r="BU34" t="s">
        <v>9465</v>
      </c>
    </row>
    <row r="35" spans="1:73">
      <c r="A35" s="4" t="s">
        <v>386</v>
      </c>
      <c r="B35" s="4" t="s">
        <v>290</v>
      </c>
      <c r="E35" t="s">
        <v>9268</v>
      </c>
      <c r="F35" t="str">
        <f t="shared" si="0"/>
        <v>NatGrdExt_CHN-1</v>
      </c>
      <c r="G35" t="str">
        <f t="shared" si="1"/>
        <v>Grid Extension -China- Step 1</v>
      </c>
      <c r="H35" t="s">
        <v>29</v>
      </c>
      <c r="I35" t="s">
        <v>30</v>
      </c>
      <c r="J35" t="s">
        <v>9465</v>
      </c>
      <c r="L35" t="s">
        <v>9268</v>
      </c>
      <c r="M35" t="str">
        <f t="shared" si="2"/>
        <v>NatGrdExt_CHN-2</v>
      </c>
      <c r="N35" t="str">
        <f t="shared" si="3"/>
        <v>Grid Extension -China- Step 2</v>
      </c>
      <c r="O35" t="s">
        <v>29</v>
      </c>
      <c r="P35" t="s">
        <v>30</v>
      </c>
      <c r="Q35" t="s">
        <v>9465</v>
      </c>
      <c r="S35" t="s">
        <v>9268</v>
      </c>
      <c r="T35" t="str">
        <f t="shared" si="4"/>
        <v>NatGrdExt_CHN-3</v>
      </c>
      <c r="U35" t="str">
        <f t="shared" si="5"/>
        <v>Grid Extension -China- Step 3</v>
      </c>
      <c r="V35" t="s">
        <v>29</v>
      </c>
      <c r="W35" t="s">
        <v>30</v>
      </c>
      <c r="X35" t="s">
        <v>9465</v>
      </c>
      <c r="Z35" t="s">
        <v>9268</v>
      </c>
      <c r="AA35" t="str">
        <f t="shared" si="6"/>
        <v>NatGrdExt_CHN-4</v>
      </c>
      <c r="AB35" t="str">
        <f t="shared" si="7"/>
        <v>Grid Extension -China- Step 4</v>
      </c>
      <c r="AC35" t="s">
        <v>29</v>
      </c>
      <c r="AD35" t="s">
        <v>30</v>
      </c>
      <c r="AE35" t="s">
        <v>9465</v>
      </c>
      <c r="AG35" t="s">
        <v>9268</v>
      </c>
      <c r="AH35" t="str">
        <f t="shared" si="8"/>
        <v>NatGrdExt_CHN-5</v>
      </c>
      <c r="AI35" t="str">
        <f t="shared" si="9"/>
        <v>Grid Extension -China- Step 5</v>
      </c>
      <c r="AJ35" t="s">
        <v>29</v>
      </c>
      <c r="AK35" t="s">
        <v>30</v>
      </c>
      <c r="AL35" t="s">
        <v>9465</v>
      </c>
      <c r="AN35" t="s">
        <v>9268</v>
      </c>
      <c r="AO35" t="str">
        <f t="shared" si="10"/>
        <v>NatGrdExt_CHN-6</v>
      </c>
      <c r="AP35" t="str">
        <f t="shared" si="11"/>
        <v>Grid Extension -China- Step 6</v>
      </c>
      <c r="AQ35" t="s">
        <v>29</v>
      </c>
      <c r="AR35" t="s">
        <v>30</v>
      </c>
      <c r="AS35" t="s">
        <v>9465</v>
      </c>
      <c r="AU35" t="s">
        <v>9268</v>
      </c>
      <c r="AV35" t="str">
        <f t="shared" si="12"/>
        <v>NatGrdExt_CHN-7</v>
      </c>
      <c r="AW35" t="str">
        <f t="shared" si="13"/>
        <v>Grid Extension -China- Step 7</v>
      </c>
      <c r="AX35" t="s">
        <v>29</v>
      </c>
      <c r="AY35" t="s">
        <v>30</v>
      </c>
      <c r="AZ35" t="s">
        <v>9465</v>
      </c>
      <c r="BB35" t="s">
        <v>9268</v>
      </c>
      <c r="BC35" t="str">
        <f t="shared" si="14"/>
        <v>NatGrdExt_CHN-8</v>
      </c>
      <c r="BD35" t="str">
        <f t="shared" si="15"/>
        <v>Grid Extension -China- Step 8</v>
      </c>
      <c r="BE35" t="s">
        <v>29</v>
      </c>
      <c r="BF35" t="s">
        <v>30</v>
      </c>
      <c r="BG35" t="s">
        <v>9465</v>
      </c>
      <c r="BI35" t="s">
        <v>9268</v>
      </c>
      <c r="BJ35" t="str">
        <f t="shared" si="16"/>
        <v>NatGrdExt_CHN-9</v>
      </c>
      <c r="BK35" t="str">
        <f t="shared" si="17"/>
        <v>Grid Extension -China- Step 9</v>
      </c>
      <c r="BL35" t="s">
        <v>29</v>
      </c>
      <c r="BM35" t="s">
        <v>30</v>
      </c>
      <c r="BN35" t="s">
        <v>9465</v>
      </c>
      <c r="BP35" t="s">
        <v>9268</v>
      </c>
      <c r="BQ35" t="str">
        <f t="shared" si="18"/>
        <v>NatGrdExt_CHN-10</v>
      </c>
      <c r="BR35" t="str">
        <f t="shared" si="19"/>
        <v>Grid Extension -China- Step 10</v>
      </c>
      <c r="BS35" t="s">
        <v>29</v>
      </c>
      <c r="BT35" t="s">
        <v>30</v>
      </c>
      <c r="BU35" t="s">
        <v>9465</v>
      </c>
    </row>
    <row r="36" spans="1:73">
      <c r="A36" s="4" t="s">
        <v>462</v>
      </c>
      <c r="B36" s="4" t="s">
        <v>9494</v>
      </c>
      <c r="E36" t="s">
        <v>9268</v>
      </c>
      <c r="F36" t="str">
        <f t="shared" si="0"/>
        <v>NatGrdExt_CIV-1</v>
      </c>
      <c r="G36" t="str">
        <f t="shared" si="1"/>
        <v>Grid Extension -Ivory Coast- Step 1</v>
      </c>
      <c r="H36" t="s">
        <v>29</v>
      </c>
      <c r="I36" t="s">
        <v>30</v>
      </c>
      <c r="J36" t="s">
        <v>9465</v>
      </c>
      <c r="L36" t="s">
        <v>9268</v>
      </c>
      <c r="M36" t="str">
        <f t="shared" si="2"/>
        <v>NatGrdExt_CIV-2</v>
      </c>
      <c r="N36" t="str">
        <f t="shared" si="3"/>
        <v>Grid Extension -Ivory Coast- Step 2</v>
      </c>
      <c r="O36" t="s">
        <v>29</v>
      </c>
      <c r="P36" t="s">
        <v>30</v>
      </c>
      <c r="Q36" t="s">
        <v>9465</v>
      </c>
      <c r="S36" t="s">
        <v>9268</v>
      </c>
      <c r="T36" t="str">
        <f t="shared" si="4"/>
        <v>NatGrdExt_CIV-3</v>
      </c>
      <c r="U36" t="str">
        <f t="shared" si="5"/>
        <v>Grid Extension -Ivory Coast- Step 3</v>
      </c>
      <c r="V36" t="s">
        <v>29</v>
      </c>
      <c r="W36" t="s">
        <v>30</v>
      </c>
      <c r="X36" t="s">
        <v>9465</v>
      </c>
      <c r="Z36" t="s">
        <v>9268</v>
      </c>
      <c r="AA36" t="str">
        <f t="shared" si="6"/>
        <v>NatGrdExt_CIV-4</v>
      </c>
      <c r="AB36" t="str">
        <f t="shared" si="7"/>
        <v>Grid Extension -Ivory Coast- Step 4</v>
      </c>
      <c r="AC36" t="s">
        <v>29</v>
      </c>
      <c r="AD36" t="s">
        <v>30</v>
      </c>
      <c r="AE36" t="s">
        <v>9465</v>
      </c>
      <c r="AG36" t="s">
        <v>9268</v>
      </c>
      <c r="AH36" t="str">
        <f t="shared" si="8"/>
        <v>NatGrdExt_CIV-5</v>
      </c>
      <c r="AI36" t="str">
        <f t="shared" si="9"/>
        <v>Grid Extension -Ivory Coast- Step 5</v>
      </c>
      <c r="AJ36" t="s">
        <v>29</v>
      </c>
      <c r="AK36" t="s">
        <v>30</v>
      </c>
      <c r="AL36" t="s">
        <v>9465</v>
      </c>
      <c r="AN36" t="s">
        <v>9268</v>
      </c>
      <c r="AO36" t="str">
        <f t="shared" si="10"/>
        <v>NatGrdExt_CIV-6</v>
      </c>
      <c r="AP36" t="str">
        <f t="shared" si="11"/>
        <v>Grid Extension -Ivory Coast- Step 6</v>
      </c>
      <c r="AQ36" t="s">
        <v>29</v>
      </c>
      <c r="AR36" t="s">
        <v>30</v>
      </c>
      <c r="AS36" t="s">
        <v>9465</v>
      </c>
      <c r="AU36" t="s">
        <v>9268</v>
      </c>
      <c r="AV36" t="str">
        <f t="shared" si="12"/>
        <v>NatGrdExt_CIV-7</v>
      </c>
      <c r="AW36" t="str">
        <f t="shared" si="13"/>
        <v>Grid Extension -Ivory Coast- Step 7</v>
      </c>
      <c r="AX36" t="s">
        <v>29</v>
      </c>
      <c r="AY36" t="s">
        <v>30</v>
      </c>
      <c r="AZ36" t="s">
        <v>9465</v>
      </c>
      <c r="BB36" t="s">
        <v>9268</v>
      </c>
      <c r="BC36" t="str">
        <f t="shared" si="14"/>
        <v>NatGrdExt_CIV-8</v>
      </c>
      <c r="BD36" t="str">
        <f t="shared" si="15"/>
        <v>Grid Extension -Ivory Coast- Step 8</v>
      </c>
      <c r="BE36" t="s">
        <v>29</v>
      </c>
      <c r="BF36" t="s">
        <v>30</v>
      </c>
      <c r="BG36" t="s">
        <v>9465</v>
      </c>
      <c r="BI36" t="s">
        <v>9268</v>
      </c>
      <c r="BJ36" t="str">
        <f t="shared" si="16"/>
        <v>NatGrdExt_CIV-9</v>
      </c>
      <c r="BK36" t="str">
        <f t="shared" si="17"/>
        <v>Grid Extension -Ivory Coast- Step 9</v>
      </c>
      <c r="BL36" t="s">
        <v>29</v>
      </c>
      <c r="BM36" t="s">
        <v>30</v>
      </c>
      <c r="BN36" t="s">
        <v>9465</v>
      </c>
      <c r="BP36" t="s">
        <v>9268</v>
      </c>
      <c r="BQ36" t="str">
        <f t="shared" si="18"/>
        <v>NatGrdExt_CIV-10</v>
      </c>
      <c r="BR36" t="str">
        <f t="shared" si="19"/>
        <v>Grid Extension -Ivory Coast- Step 10</v>
      </c>
      <c r="BS36" t="s">
        <v>29</v>
      </c>
      <c r="BT36" t="s">
        <v>30</v>
      </c>
      <c r="BU36" t="s">
        <v>9465</v>
      </c>
    </row>
    <row r="37" spans="1:73">
      <c r="A37" s="4" t="s">
        <v>478</v>
      </c>
      <c r="B37" s="4" t="s">
        <v>9495</v>
      </c>
      <c r="E37" t="s">
        <v>9268</v>
      </c>
      <c r="F37" t="str">
        <f t="shared" si="0"/>
        <v>NatGrdExt_CMR-1</v>
      </c>
      <c r="G37" t="str">
        <f t="shared" si="1"/>
        <v>Grid Extension -Cameroon- Step 1</v>
      </c>
      <c r="H37" t="s">
        <v>29</v>
      </c>
      <c r="I37" t="s">
        <v>30</v>
      </c>
      <c r="J37" t="s">
        <v>9465</v>
      </c>
      <c r="L37" t="s">
        <v>9268</v>
      </c>
      <c r="M37" t="str">
        <f t="shared" si="2"/>
        <v>NatGrdExt_CMR-2</v>
      </c>
      <c r="N37" t="str">
        <f t="shared" si="3"/>
        <v>Grid Extension -Cameroon- Step 2</v>
      </c>
      <c r="O37" t="s">
        <v>29</v>
      </c>
      <c r="P37" t="s">
        <v>30</v>
      </c>
      <c r="Q37" t="s">
        <v>9465</v>
      </c>
      <c r="S37" t="s">
        <v>9268</v>
      </c>
      <c r="T37" t="str">
        <f t="shared" si="4"/>
        <v>NatGrdExt_CMR-3</v>
      </c>
      <c r="U37" t="str">
        <f t="shared" si="5"/>
        <v>Grid Extension -Cameroon- Step 3</v>
      </c>
      <c r="V37" t="s">
        <v>29</v>
      </c>
      <c r="W37" t="s">
        <v>30</v>
      </c>
      <c r="X37" t="s">
        <v>9465</v>
      </c>
      <c r="Z37" t="s">
        <v>9268</v>
      </c>
      <c r="AA37" t="str">
        <f t="shared" si="6"/>
        <v>NatGrdExt_CMR-4</v>
      </c>
      <c r="AB37" t="str">
        <f t="shared" si="7"/>
        <v>Grid Extension -Cameroon- Step 4</v>
      </c>
      <c r="AC37" t="s">
        <v>29</v>
      </c>
      <c r="AD37" t="s">
        <v>30</v>
      </c>
      <c r="AE37" t="s">
        <v>9465</v>
      </c>
      <c r="AG37" t="s">
        <v>9268</v>
      </c>
      <c r="AH37" t="str">
        <f t="shared" si="8"/>
        <v>NatGrdExt_CMR-5</v>
      </c>
      <c r="AI37" t="str">
        <f t="shared" si="9"/>
        <v>Grid Extension -Cameroon- Step 5</v>
      </c>
      <c r="AJ37" t="s">
        <v>29</v>
      </c>
      <c r="AK37" t="s">
        <v>30</v>
      </c>
      <c r="AL37" t="s">
        <v>9465</v>
      </c>
      <c r="AN37" t="s">
        <v>9268</v>
      </c>
      <c r="AO37" t="str">
        <f t="shared" si="10"/>
        <v>NatGrdExt_CMR-6</v>
      </c>
      <c r="AP37" t="str">
        <f t="shared" si="11"/>
        <v>Grid Extension -Cameroon- Step 6</v>
      </c>
      <c r="AQ37" t="s">
        <v>29</v>
      </c>
      <c r="AR37" t="s">
        <v>30</v>
      </c>
      <c r="AS37" t="s">
        <v>9465</v>
      </c>
      <c r="AU37" t="s">
        <v>9268</v>
      </c>
      <c r="AV37" t="str">
        <f t="shared" si="12"/>
        <v>NatGrdExt_CMR-7</v>
      </c>
      <c r="AW37" t="str">
        <f t="shared" si="13"/>
        <v>Grid Extension -Cameroon- Step 7</v>
      </c>
      <c r="AX37" t="s">
        <v>29</v>
      </c>
      <c r="AY37" t="s">
        <v>30</v>
      </c>
      <c r="AZ37" t="s">
        <v>9465</v>
      </c>
      <c r="BB37" t="s">
        <v>9268</v>
      </c>
      <c r="BC37" t="str">
        <f t="shared" si="14"/>
        <v>NatGrdExt_CMR-8</v>
      </c>
      <c r="BD37" t="str">
        <f t="shared" si="15"/>
        <v>Grid Extension -Cameroon- Step 8</v>
      </c>
      <c r="BE37" t="s">
        <v>29</v>
      </c>
      <c r="BF37" t="s">
        <v>30</v>
      </c>
      <c r="BG37" t="s">
        <v>9465</v>
      </c>
      <c r="BI37" t="s">
        <v>9268</v>
      </c>
      <c r="BJ37" t="str">
        <f t="shared" si="16"/>
        <v>NatGrdExt_CMR-9</v>
      </c>
      <c r="BK37" t="str">
        <f t="shared" si="17"/>
        <v>Grid Extension -Cameroon- Step 9</v>
      </c>
      <c r="BL37" t="s">
        <v>29</v>
      </c>
      <c r="BM37" t="s">
        <v>30</v>
      </c>
      <c r="BN37" t="s">
        <v>9465</v>
      </c>
      <c r="BP37" t="s">
        <v>9268</v>
      </c>
      <c r="BQ37" t="str">
        <f t="shared" si="18"/>
        <v>NatGrdExt_CMR-10</v>
      </c>
      <c r="BR37" t="str">
        <f t="shared" si="19"/>
        <v>Grid Extension -Cameroon- Step 10</v>
      </c>
      <c r="BS37" t="s">
        <v>29</v>
      </c>
      <c r="BT37" t="s">
        <v>30</v>
      </c>
      <c r="BU37" t="s">
        <v>9465</v>
      </c>
    </row>
    <row r="38" spans="1:73">
      <c r="A38" s="4" t="s">
        <v>488</v>
      </c>
      <c r="B38" s="4" t="s">
        <v>9496</v>
      </c>
      <c r="E38" t="s">
        <v>9268</v>
      </c>
      <c r="F38" t="str">
        <f t="shared" si="0"/>
        <v>NatGrdExt_COD-1</v>
      </c>
      <c r="G38" t="str">
        <f t="shared" si="1"/>
        <v>Grid Extension -Democratic Republic of Congo- Step 1</v>
      </c>
      <c r="H38" t="s">
        <v>29</v>
      </c>
      <c r="I38" t="s">
        <v>30</v>
      </c>
      <c r="J38" t="s">
        <v>9465</v>
      </c>
      <c r="L38" t="s">
        <v>9268</v>
      </c>
      <c r="M38" t="str">
        <f t="shared" si="2"/>
        <v>NatGrdExt_COD-2</v>
      </c>
      <c r="N38" t="str">
        <f t="shared" si="3"/>
        <v>Grid Extension -Democratic Republic of Congo- Step 2</v>
      </c>
      <c r="O38" t="s">
        <v>29</v>
      </c>
      <c r="P38" t="s">
        <v>30</v>
      </c>
      <c r="Q38" t="s">
        <v>9465</v>
      </c>
      <c r="S38" t="s">
        <v>9268</v>
      </c>
      <c r="T38" t="str">
        <f t="shared" si="4"/>
        <v>NatGrdExt_COD-3</v>
      </c>
      <c r="U38" t="str">
        <f t="shared" si="5"/>
        <v>Grid Extension -Democratic Republic of Congo- Step 3</v>
      </c>
      <c r="V38" t="s">
        <v>29</v>
      </c>
      <c r="W38" t="s">
        <v>30</v>
      </c>
      <c r="X38" t="s">
        <v>9465</v>
      </c>
      <c r="Z38" t="s">
        <v>9268</v>
      </c>
      <c r="AA38" t="str">
        <f t="shared" si="6"/>
        <v>NatGrdExt_COD-4</v>
      </c>
      <c r="AB38" t="str">
        <f t="shared" si="7"/>
        <v>Grid Extension -Democratic Republic of Congo- Step 4</v>
      </c>
      <c r="AC38" t="s">
        <v>29</v>
      </c>
      <c r="AD38" t="s">
        <v>30</v>
      </c>
      <c r="AE38" t="s">
        <v>9465</v>
      </c>
      <c r="AG38" t="s">
        <v>9268</v>
      </c>
      <c r="AH38" t="str">
        <f t="shared" si="8"/>
        <v>NatGrdExt_COD-5</v>
      </c>
      <c r="AI38" t="str">
        <f t="shared" si="9"/>
        <v>Grid Extension -Democratic Republic of Congo- Step 5</v>
      </c>
      <c r="AJ38" t="s">
        <v>29</v>
      </c>
      <c r="AK38" t="s">
        <v>30</v>
      </c>
      <c r="AL38" t="s">
        <v>9465</v>
      </c>
      <c r="AN38" t="s">
        <v>9268</v>
      </c>
      <c r="AO38" t="str">
        <f t="shared" si="10"/>
        <v>NatGrdExt_COD-6</v>
      </c>
      <c r="AP38" t="str">
        <f t="shared" si="11"/>
        <v>Grid Extension -Democratic Republic of Congo- Step 6</v>
      </c>
      <c r="AQ38" t="s">
        <v>29</v>
      </c>
      <c r="AR38" t="s">
        <v>30</v>
      </c>
      <c r="AS38" t="s">
        <v>9465</v>
      </c>
      <c r="AU38" t="s">
        <v>9268</v>
      </c>
      <c r="AV38" t="str">
        <f t="shared" si="12"/>
        <v>NatGrdExt_COD-7</v>
      </c>
      <c r="AW38" t="str">
        <f t="shared" si="13"/>
        <v>Grid Extension -Democratic Republic of Congo- Step 7</v>
      </c>
      <c r="AX38" t="s">
        <v>29</v>
      </c>
      <c r="AY38" t="s">
        <v>30</v>
      </c>
      <c r="AZ38" t="s">
        <v>9465</v>
      </c>
      <c r="BB38" t="s">
        <v>9268</v>
      </c>
      <c r="BC38" t="str">
        <f t="shared" si="14"/>
        <v>NatGrdExt_COD-8</v>
      </c>
      <c r="BD38" t="str">
        <f t="shared" si="15"/>
        <v>Grid Extension -Democratic Republic of Congo- Step 8</v>
      </c>
      <c r="BE38" t="s">
        <v>29</v>
      </c>
      <c r="BF38" t="s">
        <v>30</v>
      </c>
      <c r="BG38" t="s">
        <v>9465</v>
      </c>
      <c r="BI38" t="s">
        <v>9268</v>
      </c>
      <c r="BJ38" t="str">
        <f t="shared" si="16"/>
        <v>NatGrdExt_COD-9</v>
      </c>
      <c r="BK38" t="str">
        <f t="shared" si="17"/>
        <v>Grid Extension -Democratic Republic of Congo- Step 9</v>
      </c>
      <c r="BL38" t="s">
        <v>29</v>
      </c>
      <c r="BM38" t="s">
        <v>30</v>
      </c>
      <c r="BN38" t="s">
        <v>9465</v>
      </c>
      <c r="BP38" t="s">
        <v>9268</v>
      </c>
      <c r="BQ38" t="str">
        <f t="shared" si="18"/>
        <v>NatGrdExt_COD-10</v>
      </c>
      <c r="BR38" t="str">
        <f t="shared" si="19"/>
        <v>Grid Extension -Democratic Republic of Congo- Step 10</v>
      </c>
      <c r="BS38" t="s">
        <v>29</v>
      </c>
      <c r="BT38" t="s">
        <v>30</v>
      </c>
      <c r="BU38" t="s">
        <v>9465</v>
      </c>
    </row>
    <row r="39" spans="1:73">
      <c r="A39" s="4" t="s">
        <v>494</v>
      </c>
      <c r="B39" s="4" t="s">
        <v>9497</v>
      </c>
      <c r="E39" t="s">
        <v>9268</v>
      </c>
      <c r="F39" t="str">
        <f t="shared" si="0"/>
        <v>NatGrdExt_COG-1</v>
      </c>
      <c r="G39" t="str">
        <f t="shared" si="1"/>
        <v>Grid Extension -Republic of Congo- Step 1</v>
      </c>
      <c r="H39" t="s">
        <v>29</v>
      </c>
      <c r="I39" t="s">
        <v>30</v>
      </c>
      <c r="J39" t="s">
        <v>9465</v>
      </c>
      <c r="L39" t="s">
        <v>9268</v>
      </c>
      <c r="M39" t="str">
        <f t="shared" si="2"/>
        <v>NatGrdExt_COG-2</v>
      </c>
      <c r="N39" t="str">
        <f t="shared" si="3"/>
        <v>Grid Extension -Republic of Congo- Step 2</v>
      </c>
      <c r="O39" t="s">
        <v>29</v>
      </c>
      <c r="P39" t="s">
        <v>30</v>
      </c>
      <c r="Q39" t="s">
        <v>9465</v>
      </c>
      <c r="S39" t="s">
        <v>9268</v>
      </c>
      <c r="T39" t="str">
        <f t="shared" si="4"/>
        <v>NatGrdExt_COG-3</v>
      </c>
      <c r="U39" t="str">
        <f t="shared" si="5"/>
        <v>Grid Extension -Republic of Congo- Step 3</v>
      </c>
      <c r="V39" t="s">
        <v>29</v>
      </c>
      <c r="W39" t="s">
        <v>30</v>
      </c>
      <c r="X39" t="s">
        <v>9465</v>
      </c>
      <c r="Z39" t="s">
        <v>9268</v>
      </c>
      <c r="AA39" t="str">
        <f t="shared" si="6"/>
        <v>NatGrdExt_COG-4</v>
      </c>
      <c r="AB39" t="str">
        <f t="shared" si="7"/>
        <v>Grid Extension -Republic of Congo- Step 4</v>
      </c>
      <c r="AC39" t="s">
        <v>29</v>
      </c>
      <c r="AD39" t="s">
        <v>30</v>
      </c>
      <c r="AE39" t="s">
        <v>9465</v>
      </c>
      <c r="AG39" t="s">
        <v>9268</v>
      </c>
      <c r="AH39" t="str">
        <f t="shared" si="8"/>
        <v>NatGrdExt_COG-5</v>
      </c>
      <c r="AI39" t="str">
        <f t="shared" si="9"/>
        <v>Grid Extension -Republic of Congo- Step 5</v>
      </c>
      <c r="AJ39" t="s">
        <v>29</v>
      </c>
      <c r="AK39" t="s">
        <v>30</v>
      </c>
      <c r="AL39" t="s">
        <v>9465</v>
      </c>
      <c r="AN39" t="s">
        <v>9268</v>
      </c>
      <c r="AO39" t="str">
        <f t="shared" si="10"/>
        <v>NatGrdExt_COG-6</v>
      </c>
      <c r="AP39" t="str">
        <f t="shared" si="11"/>
        <v>Grid Extension -Republic of Congo- Step 6</v>
      </c>
      <c r="AQ39" t="s">
        <v>29</v>
      </c>
      <c r="AR39" t="s">
        <v>30</v>
      </c>
      <c r="AS39" t="s">
        <v>9465</v>
      </c>
      <c r="AU39" t="s">
        <v>9268</v>
      </c>
      <c r="AV39" t="str">
        <f t="shared" si="12"/>
        <v>NatGrdExt_COG-7</v>
      </c>
      <c r="AW39" t="str">
        <f t="shared" si="13"/>
        <v>Grid Extension -Republic of Congo- Step 7</v>
      </c>
      <c r="AX39" t="s">
        <v>29</v>
      </c>
      <c r="AY39" t="s">
        <v>30</v>
      </c>
      <c r="AZ39" t="s">
        <v>9465</v>
      </c>
      <c r="BB39" t="s">
        <v>9268</v>
      </c>
      <c r="BC39" t="str">
        <f t="shared" si="14"/>
        <v>NatGrdExt_COG-8</v>
      </c>
      <c r="BD39" t="str">
        <f t="shared" si="15"/>
        <v>Grid Extension -Republic of Congo- Step 8</v>
      </c>
      <c r="BE39" t="s">
        <v>29</v>
      </c>
      <c r="BF39" t="s">
        <v>30</v>
      </c>
      <c r="BG39" t="s">
        <v>9465</v>
      </c>
      <c r="BI39" t="s">
        <v>9268</v>
      </c>
      <c r="BJ39" t="str">
        <f t="shared" si="16"/>
        <v>NatGrdExt_COG-9</v>
      </c>
      <c r="BK39" t="str">
        <f t="shared" si="17"/>
        <v>Grid Extension -Republic of Congo- Step 9</v>
      </c>
      <c r="BL39" t="s">
        <v>29</v>
      </c>
      <c r="BM39" t="s">
        <v>30</v>
      </c>
      <c r="BN39" t="s">
        <v>9465</v>
      </c>
      <c r="BP39" t="s">
        <v>9268</v>
      </c>
      <c r="BQ39" t="str">
        <f t="shared" si="18"/>
        <v>NatGrdExt_COG-10</v>
      </c>
      <c r="BR39" t="str">
        <f t="shared" si="19"/>
        <v>Grid Extension -Republic of Congo- Step 10</v>
      </c>
      <c r="BS39" t="s">
        <v>29</v>
      </c>
      <c r="BT39" t="s">
        <v>30</v>
      </c>
      <c r="BU39" t="s">
        <v>9465</v>
      </c>
    </row>
    <row r="40" spans="1:73">
      <c r="A40" s="4" t="s">
        <v>504</v>
      </c>
      <c r="B40" s="4" t="s">
        <v>9498</v>
      </c>
      <c r="E40" t="s">
        <v>9268</v>
      </c>
      <c r="F40" t="str">
        <f t="shared" si="0"/>
        <v>NatGrdExt_COL-1</v>
      </c>
      <c r="G40" t="str">
        <f t="shared" si="1"/>
        <v>Grid Extension -Colombia- Step 1</v>
      </c>
      <c r="H40" t="s">
        <v>29</v>
      </c>
      <c r="I40" t="s">
        <v>30</v>
      </c>
      <c r="J40" t="s">
        <v>9465</v>
      </c>
      <c r="L40" t="s">
        <v>9268</v>
      </c>
      <c r="M40" t="str">
        <f t="shared" si="2"/>
        <v>NatGrdExt_COL-2</v>
      </c>
      <c r="N40" t="str">
        <f t="shared" si="3"/>
        <v>Grid Extension -Colombia- Step 2</v>
      </c>
      <c r="O40" t="s">
        <v>29</v>
      </c>
      <c r="P40" t="s">
        <v>30</v>
      </c>
      <c r="Q40" t="s">
        <v>9465</v>
      </c>
      <c r="S40" t="s">
        <v>9268</v>
      </c>
      <c r="T40" t="str">
        <f t="shared" si="4"/>
        <v>NatGrdExt_COL-3</v>
      </c>
      <c r="U40" t="str">
        <f t="shared" si="5"/>
        <v>Grid Extension -Colombia- Step 3</v>
      </c>
      <c r="V40" t="s">
        <v>29</v>
      </c>
      <c r="W40" t="s">
        <v>30</v>
      </c>
      <c r="X40" t="s">
        <v>9465</v>
      </c>
      <c r="Z40" t="s">
        <v>9268</v>
      </c>
      <c r="AA40" t="str">
        <f t="shared" si="6"/>
        <v>NatGrdExt_COL-4</v>
      </c>
      <c r="AB40" t="str">
        <f t="shared" si="7"/>
        <v>Grid Extension -Colombia- Step 4</v>
      </c>
      <c r="AC40" t="s">
        <v>29</v>
      </c>
      <c r="AD40" t="s">
        <v>30</v>
      </c>
      <c r="AE40" t="s">
        <v>9465</v>
      </c>
      <c r="AG40" t="s">
        <v>9268</v>
      </c>
      <c r="AH40" t="str">
        <f t="shared" si="8"/>
        <v>NatGrdExt_COL-5</v>
      </c>
      <c r="AI40" t="str">
        <f t="shared" si="9"/>
        <v>Grid Extension -Colombia- Step 5</v>
      </c>
      <c r="AJ40" t="s">
        <v>29</v>
      </c>
      <c r="AK40" t="s">
        <v>30</v>
      </c>
      <c r="AL40" t="s">
        <v>9465</v>
      </c>
      <c r="AN40" t="s">
        <v>9268</v>
      </c>
      <c r="AO40" t="str">
        <f t="shared" si="10"/>
        <v>NatGrdExt_COL-6</v>
      </c>
      <c r="AP40" t="str">
        <f t="shared" si="11"/>
        <v>Grid Extension -Colombia- Step 6</v>
      </c>
      <c r="AQ40" t="s">
        <v>29</v>
      </c>
      <c r="AR40" t="s">
        <v>30</v>
      </c>
      <c r="AS40" t="s">
        <v>9465</v>
      </c>
      <c r="AU40" t="s">
        <v>9268</v>
      </c>
      <c r="AV40" t="str">
        <f t="shared" si="12"/>
        <v>NatGrdExt_COL-7</v>
      </c>
      <c r="AW40" t="str">
        <f t="shared" si="13"/>
        <v>Grid Extension -Colombia- Step 7</v>
      </c>
      <c r="AX40" t="s">
        <v>29</v>
      </c>
      <c r="AY40" t="s">
        <v>30</v>
      </c>
      <c r="AZ40" t="s">
        <v>9465</v>
      </c>
      <c r="BB40" t="s">
        <v>9268</v>
      </c>
      <c r="BC40" t="str">
        <f t="shared" si="14"/>
        <v>NatGrdExt_COL-8</v>
      </c>
      <c r="BD40" t="str">
        <f t="shared" si="15"/>
        <v>Grid Extension -Colombia- Step 8</v>
      </c>
      <c r="BE40" t="s">
        <v>29</v>
      </c>
      <c r="BF40" t="s">
        <v>30</v>
      </c>
      <c r="BG40" t="s">
        <v>9465</v>
      </c>
      <c r="BI40" t="s">
        <v>9268</v>
      </c>
      <c r="BJ40" t="str">
        <f t="shared" si="16"/>
        <v>NatGrdExt_COL-9</v>
      </c>
      <c r="BK40" t="str">
        <f t="shared" si="17"/>
        <v>Grid Extension -Colombia- Step 9</v>
      </c>
      <c r="BL40" t="s">
        <v>29</v>
      </c>
      <c r="BM40" t="s">
        <v>30</v>
      </c>
      <c r="BN40" t="s">
        <v>9465</v>
      </c>
      <c r="BP40" t="s">
        <v>9268</v>
      </c>
      <c r="BQ40" t="str">
        <f t="shared" si="18"/>
        <v>NatGrdExt_COL-10</v>
      </c>
      <c r="BR40" t="str">
        <f t="shared" si="19"/>
        <v>Grid Extension -Colombia- Step 10</v>
      </c>
      <c r="BS40" t="s">
        <v>29</v>
      </c>
      <c r="BT40" t="s">
        <v>30</v>
      </c>
      <c r="BU40" t="s">
        <v>9465</v>
      </c>
    </row>
    <row r="41" spans="1:73">
      <c r="A41" s="4" t="s">
        <v>530</v>
      </c>
      <c r="B41" s="4" t="s">
        <v>9499</v>
      </c>
      <c r="E41" t="s">
        <v>9268</v>
      </c>
      <c r="F41" t="str">
        <f t="shared" si="0"/>
        <v>NatGrdExt_CRI-1</v>
      </c>
      <c r="G41" t="str">
        <f t="shared" si="1"/>
        <v>Grid Extension -Costa Rica- Step 1</v>
      </c>
      <c r="H41" t="s">
        <v>29</v>
      </c>
      <c r="I41" t="s">
        <v>30</v>
      </c>
      <c r="J41" t="s">
        <v>9465</v>
      </c>
      <c r="L41" t="s">
        <v>9268</v>
      </c>
      <c r="M41" t="str">
        <f t="shared" si="2"/>
        <v>NatGrdExt_CRI-2</v>
      </c>
      <c r="N41" t="str">
        <f t="shared" si="3"/>
        <v>Grid Extension -Costa Rica- Step 2</v>
      </c>
      <c r="O41" t="s">
        <v>29</v>
      </c>
      <c r="P41" t="s">
        <v>30</v>
      </c>
      <c r="Q41" t="s">
        <v>9465</v>
      </c>
      <c r="S41" t="s">
        <v>9268</v>
      </c>
      <c r="T41" t="str">
        <f t="shared" si="4"/>
        <v>NatGrdExt_CRI-3</v>
      </c>
      <c r="U41" t="str">
        <f t="shared" si="5"/>
        <v>Grid Extension -Costa Rica- Step 3</v>
      </c>
      <c r="V41" t="s">
        <v>29</v>
      </c>
      <c r="W41" t="s">
        <v>30</v>
      </c>
      <c r="X41" t="s">
        <v>9465</v>
      </c>
      <c r="Z41" t="s">
        <v>9268</v>
      </c>
      <c r="AA41" t="str">
        <f t="shared" si="6"/>
        <v>NatGrdExt_CRI-4</v>
      </c>
      <c r="AB41" t="str">
        <f t="shared" si="7"/>
        <v>Grid Extension -Costa Rica- Step 4</v>
      </c>
      <c r="AC41" t="s">
        <v>29</v>
      </c>
      <c r="AD41" t="s">
        <v>30</v>
      </c>
      <c r="AE41" t="s">
        <v>9465</v>
      </c>
      <c r="AG41" t="s">
        <v>9268</v>
      </c>
      <c r="AH41" t="str">
        <f t="shared" si="8"/>
        <v>NatGrdExt_CRI-5</v>
      </c>
      <c r="AI41" t="str">
        <f t="shared" si="9"/>
        <v>Grid Extension -Costa Rica- Step 5</v>
      </c>
      <c r="AJ41" t="s">
        <v>29</v>
      </c>
      <c r="AK41" t="s">
        <v>30</v>
      </c>
      <c r="AL41" t="s">
        <v>9465</v>
      </c>
      <c r="AN41" t="s">
        <v>9268</v>
      </c>
      <c r="AO41" t="str">
        <f t="shared" si="10"/>
        <v>NatGrdExt_CRI-6</v>
      </c>
      <c r="AP41" t="str">
        <f t="shared" si="11"/>
        <v>Grid Extension -Costa Rica- Step 6</v>
      </c>
      <c r="AQ41" t="s">
        <v>29</v>
      </c>
      <c r="AR41" t="s">
        <v>30</v>
      </c>
      <c r="AS41" t="s">
        <v>9465</v>
      </c>
      <c r="AU41" t="s">
        <v>9268</v>
      </c>
      <c r="AV41" t="str">
        <f t="shared" si="12"/>
        <v>NatGrdExt_CRI-7</v>
      </c>
      <c r="AW41" t="str">
        <f t="shared" si="13"/>
        <v>Grid Extension -Costa Rica- Step 7</v>
      </c>
      <c r="AX41" t="s">
        <v>29</v>
      </c>
      <c r="AY41" t="s">
        <v>30</v>
      </c>
      <c r="AZ41" t="s">
        <v>9465</v>
      </c>
      <c r="BB41" t="s">
        <v>9268</v>
      </c>
      <c r="BC41" t="str">
        <f t="shared" si="14"/>
        <v>NatGrdExt_CRI-8</v>
      </c>
      <c r="BD41" t="str">
        <f t="shared" si="15"/>
        <v>Grid Extension -Costa Rica- Step 8</v>
      </c>
      <c r="BE41" t="s">
        <v>29</v>
      </c>
      <c r="BF41" t="s">
        <v>30</v>
      </c>
      <c r="BG41" t="s">
        <v>9465</v>
      </c>
      <c r="BI41" t="s">
        <v>9268</v>
      </c>
      <c r="BJ41" t="str">
        <f t="shared" si="16"/>
        <v>NatGrdExt_CRI-9</v>
      </c>
      <c r="BK41" t="str">
        <f t="shared" si="17"/>
        <v>Grid Extension -Costa Rica- Step 9</v>
      </c>
      <c r="BL41" t="s">
        <v>29</v>
      </c>
      <c r="BM41" t="s">
        <v>30</v>
      </c>
      <c r="BN41" t="s">
        <v>9465</v>
      </c>
      <c r="BP41" t="s">
        <v>9268</v>
      </c>
      <c r="BQ41" t="str">
        <f t="shared" si="18"/>
        <v>NatGrdExt_CRI-10</v>
      </c>
      <c r="BR41" t="str">
        <f t="shared" si="19"/>
        <v>Grid Extension -Costa Rica- Step 10</v>
      </c>
      <c r="BS41" t="s">
        <v>29</v>
      </c>
      <c r="BT41" t="s">
        <v>30</v>
      </c>
      <c r="BU41" t="s">
        <v>9465</v>
      </c>
    </row>
    <row r="42" spans="1:73">
      <c r="A42" s="4" t="s">
        <v>538</v>
      </c>
      <c r="B42" s="4" t="s">
        <v>9500</v>
      </c>
      <c r="E42" t="s">
        <v>9268</v>
      </c>
      <c r="F42" t="str">
        <f t="shared" si="0"/>
        <v>NatGrdExt_CUB-1</v>
      </c>
      <c r="G42" t="str">
        <f t="shared" si="1"/>
        <v>Grid Extension -Cuba- Step 1</v>
      </c>
      <c r="H42" t="s">
        <v>29</v>
      </c>
      <c r="I42" t="s">
        <v>30</v>
      </c>
      <c r="J42" t="s">
        <v>9465</v>
      </c>
      <c r="L42" t="s">
        <v>9268</v>
      </c>
      <c r="M42" t="str">
        <f t="shared" si="2"/>
        <v>NatGrdExt_CUB-2</v>
      </c>
      <c r="N42" t="str">
        <f t="shared" si="3"/>
        <v>Grid Extension -Cuba- Step 2</v>
      </c>
      <c r="O42" t="s">
        <v>29</v>
      </c>
      <c r="P42" t="s">
        <v>30</v>
      </c>
      <c r="Q42" t="s">
        <v>9465</v>
      </c>
      <c r="S42" t="s">
        <v>9268</v>
      </c>
      <c r="T42" t="str">
        <f t="shared" si="4"/>
        <v>NatGrdExt_CUB-3</v>
      </c>
      <c r="U42" t="str">
        <f t="shared" si="5"/>
        <v>Grid Extension -Cuba- Step 3</v>
      </c>
      <c r="V42" t="s">
        <v>29</v>
      </c>
      <c r="W42" t="s">
        <v>30</v>
      </c>
      <c r="X42" t="s">
        <v>9465</v>
      </c>
      <c r="Z42" t="s">
        <v>9268</v>
      </c>
      <c r="AA42" t="str">
        <f t="shared" si="6"/>
        <v>NatGrdExt_CUB-4</v>
      </c>
      <c r="AB42" t="str">
        <f t="shared" si="7"/>
        <v>Grid Extension -Cuba- Step 4</v>
      </c>
      <c r="AC42" t="s">
        <v>29</v>
      </c>
      <c r="AD42" t="s">
        <v>30</v>
      </c>
      <c r="AE42" t="s">
        <v>9465</v>
      </c>
      <c r="AG42" t="s">
        <v>9268</v>
      </c>
      <c r="AH42" t="str">
        <f t="shared" si="8"/>
        <v>NatGrdExt_CUB-5</v>
      </c>
      <c r="AI42" t="str">
        <f t="shared" si="9"/>
        <v>Grid Extension -Cuba- Step 5</v>
      </c>
      <c r="AJ42" t="s">
        <v>29</v>
      </c>
      <c r="AK42" t="s">
        <v>30</v>
      </c>
      <c r="AL42" t="s">
        <v>9465</v>
      </c>
      <c r="AN42" t="s">
        <v>9268</v>
      </c>
      <c r="AO42" t="str">
        <f t="shared" si="10"/>
        <v>NatGrdExt_CUB-6</v>
      </c>
      <c r="AP42" t="str">
        <f t="shared" si="11"/>
        <v>Grid Extension -Cuba- Step 6</v>
      </c>
      <c r="AQ42" t="s">
        <v>29</v>
      </c>
      <c r="AR42" t="s">
        <v>30</v>
      </c>
      <c r="AS42" t="s">
        <v>9465</v>
      </c>
      <c r="AU42" t="s">
        <v>9268</v>
      </c>
      <c r="AV42" t="str">
        <f t="shared" si="12"/>
        <v>NatGrdExt_CUB-7</v>
      </c>
      <c r="AW42" t="str">
        <f t="shared" si="13"/>
        <v>Grid Extension -Cuba- Step 7</v>
      </c>
      <c r="AX42" t="s">
        <v>29</v>
      </c>
      <c r="AY42" t="s">
        <v>30</v>
      </c>
      <c r="AZ42" t="s">
        <v>9465</v>
      </c>
      <c r="BB42" t="s">
        <v>9268</v>
      </c>
      <c r="BC42" t="str">
        <f t="shared" si="14"/>
        <v>NatGrdExt_CUB-8</v>
      </c>
      <c r="BD42" t="str">
        <f t="shared" si="15"/>
        <v>Grid Extension -Cuba- Step 8</v>
      </c>
      <c r="BE42" t="s">
        <v>29</v>
      </c>
      <c r="BF42" t="s">
        <v>30</v>
      </c>
      <c r="BG42" t="s">
        <v>9465</v>
      </c>
      <c r="BI42" t="s">
        <v>9268</v>
      </c>
      <c r="BJ42" t="str">
        <f t="shared" si="16"/>
        <v>NatGrdExt_CUB-9</v>
      </c>
      <c r="BK42" t="str">
        <f t="shared" si="17"/>
        <v>Grid Extension -Cuba- Step 9</v>
      </c>
      <c r="BL42" t="s">
        <v>29</v>
      </c>
      <c r="BM42" t="s">
        <v>30</v>
      </c>
      <c r="BN42" t="s">
        <v>9465</v>
      </c>
      <c r="BP42" t="s">
        <v>9268</v>
      </c>
      <c r="BQ42" t="str">
        <f t="shared" si="18"/>
        <v>NatGrdExt_CUB-10</v>
      </c>
      <c r="BR42" t="str">
        <f t="shared" si="19"/>
        <v>Grid Extension -Cuba- Step 10</v>
      </c>
      <c r="BS42" t="s">
        <v>29</v>
      </c>
      <c r="BT42" t="s">
        <v>30</v>
      </c>
      <c r="BU42" t="s">
        <v>9465</v>
      </c>
    </row>
    <row r="43" spans="1:73">
      <c r="A43" s="4" t="s">
        <v>548</v>
      </c>
      <c r="B43" s="4" t="s">
        <v>9501</v>
      </c>
      <c r="E43" t="s">
        <v>9268</v>
      </c>
      <c r="F43" t="str">
        <f t="shared" si="0"/>
        <v>NatGrdExt_CYP-1</v>
      </c>
      <c r="G43" t="str">
        <f t="shared" si="1"/>
        <v>Grid Extension -Cyprus- Step 1</v>
      </c>
      <c r="H43" t="s">
        <v>29</v>
      </c>
      <c r="I43" t="s">
        <v>30</v>
      </c>
      <c r="J43" t="s">
        <v>9465</v>
      </c>
      <c r="L43" t="s">
        <v>9268</v>
      </c>
      <c r="M43" t="str">
        <f t="shared" si="2"/>
        <v>NatGrdExt_CYP-2</v>
      </c>
      <c r="N43" t="str">
        <f t="shared" si="3"/>
        <v>Grid Extension -Cyprus- Step 2</v>
      </c>
      <c r="O43" t="s">
        <v>29</v>
      </c>
      <c r="P43" t="s">
        <v>30</v>
      </c>
      <c r="Q43" t="s">
        <v>9465</v>
      </c>
      <c r="S43" t="s">
        <v>9268</v>
      </c>
      <c r="T43" t="str">
        <f t="shared" si="4"/>
        <v>NatGrdExt_CYP-3</v>
      </c>
      <c r="U43" t="str">
        <f t="shared" si="5"/>
        <v>Grid Extension -Cyprus- Step 3</v>
      </c>
      <c r="V43" t="s">
        <v>29</v>
      </c>
      <c r="W43" t="s">
        <v>30</v>
      </c>
      <c r="X43" t="s">
        <v>9465</v>
      </c>
      <c r="Z43" t="s">
        <v>9268</v>
      </c>
      <c r="AA43" t="str">
        <f t="shared" si="6"/>
        <v>NatGrdExt_CYP-4</v>
      </c>
      <c r="AB43" t="str">
        <f t="shared" si="7"/>
        <v>Grid Extension -Cyprus- Step 4</v>
      </c>
      <c r="AC43" t="s">
        <v>29</v>
      </c>
      <c r="AD43" t="s">
        <v>30</v>
      </c>
      <c r="AE43" t="s">
        <v>9465</v>
      </c>
      <c r="AG43" t="s">
        <v>9268</v>
      </c>
      <c r="AH43" t="str">
        <f t="shared" si="8"/>
        <v>NatGrdExt_CYP-5</v>
      </c>
      <c r="AI43" t="str">
        <f t="shared" si="9"/>
        <v>Grid Extension -Cyprus- Step 5</v>
      </c>
      <c r="AJ43" t="s">
        <v>29</v>
      </c>
      <c r="AK43" t="s">
        <v>30</v>
      </c>
      <c r="AL43" t="s">
        <v>9465</v>
      </c>
      <c r="AN43" t="s">
        <v>9268</v>
      </c>
      <c r="AO43" t="str">
        <f t="shared" si="10"/>
        <v>NatGrdExt_CYP-6</v>
      </c>
      <c r="AP43" t="str">
        <f t="shared" si="11"/>
        <v>Grid Extension -Cyprus- Step 6</v>
      </c>
      <c r="AQ43" t="s">
        <v>29</v>
      </c>
      <c r="AR43" t="s">
        <v>30</v>
      </c>
      <c r="AS43" t="s">
        <v>9465</v>
      </c>
      <c r="AU43" t="s">
        <v>9268</v>
      </c>
      <c r="AV43" t="str">
        <f t="shared" si="12"/>
        <v>NatGrdExt_CYP-7</v>
      </c>
      <c r="AW43" t="str">
        <f t="shared" si="13"/>
        <v>Grid Extension -Cyprus- Step 7</v>
      </c>
      <c r="AX43" t="s">
        <v>29</v>
      </c>
      <c r="AY43" t="s">
        <v>30</v>
      </c>
      <c r="AZ43" t="s">
        <v>9465</v>
      </c>
      <c r="BB43" t="s">
        <v>9268</v>
      </c>
      <c r="BC43" t="str">
        <f t="shared" si="14"/>
        <v>NatGrdExt_CYP-8</v>
      </c>
      <c r="BD43" t="str">
        <f t="shared" si="15"/>
        <v>Grid Extension -Cyprus- Step 8</v>
      </c>
      <c r="BE43" t="s">
        <v>29</v>
      </c>
      <c r="BF43" t="s">
        <v>30</v>
      </c>
      <c r="BG43" t="s">
        <v>9465</v>
      </c>
      <c r="BI43" t="s">
        <v>9268</v>
      </c>
      <c r="BJ43" t="str">
        <f t="shared" si="16"/>
        <v>NatGrdExt_CYP-9</v>
      </c>
      <c r="BK43" t="str">
        <f t="shared" si="17"/>
        <v>Grid Extension -Cyprus- Step 9</v>
      </c>
      <c r="BL43" t="s">
        <v>29</v>
      </c>
      <c r="BM43" t="s">
        <v>30</v>
      </c>
      <c r="BN43" t="s">
        <v>9465</v>
      </c>
      <c r="BP43" t="s">
        <v>9268</v>
      </c>
      <c r="BQ43" t="str">
        <f t="shared" si="18"/>
        <v>NatGrdExt_CYP-10</v>
      </c>
      <c r="BR43" t="str">
        <f t="shared" si="19"/>
        <v>Grid Extension -Cyprus- Step 10</v>
      </c>
      <c r="BS43" t="s">
        <v>29</v>
      </c>
      <c r="BT43" t="s">
        <v>30</v>
      </c>
      <c r="BU43" t="s">
        <v>9465</v>
      </c>
    </row>
    <row r="44" spans="1:73">
      <c r="A44" s="4" t="s">
        <v>552</v>
      </c>
      <c r="B44" s="4" t="s">
        <v>9502</v>
      </c>
      <c r="E44" t="s">
        <v>9268</v>
      </c>
      <c r="F44" t="str">
        <f t="shared" si="0"/>
        <v>NatGrdExt_CZE-1</v>
      </c>
      <c r="G44" t="str">
        <f t="shared" si="1"/>
        <v>Grid Extension -Czech Republic- Step 1</v>
      </c>
      <c r="H44" t="s">
        <v>29</v>
      </c>
      <c r="I44" t="s">
        <v>30</v>
      </c>
      <c r="J44" t="s">
        <v>9465</v>
      </c>
      <c r="L44" t="s">
        <v>9268</v>
      </c>
      <c r="M44" t="str">
        <f t="shared" si="2"/>
        <v>NatGrdExt_CZE-2</v>
      </c>
      <c r="N44" t="str">
        <f t="shared" si="3"/>
        <v>Grid Extension -Czech Republic- Step 2</v>
      </c>
      <c r="O44" t="s">
        <v>29</v>
      </c>
      <c r="P44" t="s">
        <v>30</v>
      </c>
      <c r="Q44" t="s">
        <v>9465</v>
      </c>
      <c r="S44" t="s">
        <v>9268</v>
      </c>
      <c r="T44" t="str">
        <f t="shared" si="4"/>
        <v>NatGrdExt_CZE-3</v>
      </c>
      <c r="U44" t="str">
        <f t="shared" si="5"/>
        <v>Grid Extension -Czech Republic- Step 3</v>
      </c>
      <c r="V44" t="s">
        <v>29</v>
      </c>
      <c r="W44" t="s">
        <v>30</v>
      </c>
      <c r="X44" t="s">
        <v>9465</v>
      </c>
      <c r="Z44" t="s">
        <v>9268</v>
      </c>
      <c r="AA44" t="str">
        <f t="shared" si="6"/>
        <v>NatGrdExt_CZE-4</v>
      </c>
      <c r="AB44" t="str">
        <f t="shared" si="7"/>
        <v>Grid Extension -Czech Republic- Step 4</v>
      </c>
      <c r="AC44" t="s">
        <v>29</v>
      </c>
      <c r="AD44" t="s">
        <v>30</v>
      </c>
      <c r="AE44" t="s">
        <v>9465</v>
      </c>
      <c r="AG44" t="s">
        <v>9268</v>
      </c>
      <c r="AH44" t="str">
        <f t="shared" si="8"/>
        <v>NatGrdExt_CZE-5</v>
      </c>
      <c r="AI44" t="str">
        <f t="shared" si="9"/>
        <v>Grid Extension -Czech Republic- Step 5</v>
      </c>
      <c r="AJ44" t="s">
        <v>29</v>
      </c>
      <c r="AK44" t="s">
        <v>30</v>
      </c>
      <c r="AL44" t="s">
        <v>9465</v>
      </c>
      <c r="AN44" t="s">
        <v>9268</v>
      </c>
      <c r="AO44" t="str">
        <f t="shared" si="10"/>
        <v>NatGrdExt_CZE-6</v>
      </c>
      <c r="AP44" t="str">
        <f t="shared" si="11"/>
        <v>Grid Extension -Czech Republic- Step 6</v>
      </c>
      <c r="AQ44" t="s">
        <v>29</v>
      </c>
      <c r="AR44" t="s">
        <v>30</v>
      </c>
      <c r="AS44" t="s">
        <v>9465</v>
      </c>
      <c r="AU44" t="s">
        <v>9268</v>
      </c>
      <c r="AV44" t="str">
        <f t="shared" si="12"/>
        <v>NatGrdExt_CZE-7</v>
      </c>
      <c r="AW44" t="str">
        <f t="shared" si="13"/>
        <v>Grid Extension -Czech Republic- Step 7</v>
      </c>
      <c r="AX44" t="s">
        <v>29</v>
      </c>
      <c r="AY44" t="s">
        <v>30</v>
      </c>
      <c r="AZ44" t="s">
        <v>9465</v>
      </c>
      <c r="BB44" t="s">
        <v>9268</v>
      </c>
      <c r="BC44" t="str">
        <f t="shared" si="14"/>
        <v>NatGrdExt_CZE-8</v>
      </c>
      <c r="BD44" t="str">
        <f t="shared" si="15"/>
        <v>Grid Extension -Czech Republic- Step 8</v>
      </c>
      <c r="BE44" t="s">
        <v>29</v>
      </c>
      <c r="BF44" t="s">
        <v>30</v>
      </c>
      <c r="BG44" t="s">
        <v>9465</v>
      </c>
      <c r="BI44" t="s">
        <v>9268</v>
      </c>
      <c r="BJ44" t="str">
        <f t="shared" si="16"/>
        <v>NatGrdExt_CZE-9</v>
      </c>
      <c r="BK44" t="str">
        <f t="shared" si="17"/>
        <v>Grid Extension -Czech Republic- Step 9</v>
      </c>
      <c r="BL44" t="s">
        <v>29</v>
      </c>
      <c r="BM44" t="s">
        <v>30</v>
      </c>
      <c r="BN44" t="s">
        <v>9465</v>
      </c>
      <c r="BP44" t="s">
        <v>9268</v>
      </c>
      <c r="BQ44" t="str">
        <f t="shared" si="18"/>
        <v>NatGrdExt_CZE-10</v>
      </c>
      <c r="BR44" t="str">
        <f t="shared" si="19"/>
        <v>Grid Extension -Czech Republic- Step 10</v>
      </c>
      <c r="BS44" t="s">
        <v>29</v>
      </c>
      <c r="BT44" t="s">
        <v>30</v>
      </c>
      <c r="BU44" t="s">
        <v>9465</v>
      </c>
    </row>
    <row r="45" spans="1:73">
      <c r="A45" s="4" t="s">
        <v>562</v>
      </c>
      <c r="B45" s="4" t="s">
        <v>9503</v>
      </c>
      <c r="E45" t="s">
        <v>9268</v>
      </c>
      <c r="F45" t="str">
        <f t="shared" si="0"/>
        <v>NatGrdExt_DEU-1</v>
      </c>
      <c r="G45" t="str">
        <f t="shared" si="1"/>
        <v>Grid Extension -Germany- Step 1</v>
      </c>
      <c r="H45" t="s">
        <v>29</v>
      </c>
      <c r="I45" t="s">
        <v>30</v>
      </c>
      <c r="J45" t="s">
        <v>9465</v>
      </c>
      <c r="L45" t="s">
        <v>9268</v>
      </c>
      <c r="M45" t="str">
        <f t="shared" si="2"/>
        <v>NatGrdExt_DEU-2</v>
      </c>
      <c r="N45" t="str">
        <f t="shared" si="3"/>
        <v>Grid Extension -Germany- Step 2</v>
      </c>
      <c r="O45" t="s">
        <v>29</v>
      </c>
      <c r="P45" t="s">
        <v>30</v>
      </c>
      <c r="Q45" t="s">
        <v>9465</v>
      </c>
      <c r="S45" t="s">
        <v>9268</v>
      </c>
      <c r="T45" t="str">
        <f t="shared" si="4"/>
        <v>NatGrdExt_DEU-3</v>
      </c>
      <c r="U45" t="str">
        <f t="shared" si="5"/>
        <v>Grid Extension -Germany- Step 3</v>
      </c>
      <c r="V45" t="s">
        <v>29</v>
      </c>
      <c r="W45" t="s">
        <v>30</v>
      </c>
      <c r="X45" t="s">
        <v>9465</v>
      </c>
      <c r="Z45" t="s">
        <v>9268</v>
      </c>
      <c r="AA45" t="str">
        <f t="shared" si="6"/>
        <v>NatGrdExt_DEU-4</v>
      </c>
      <c r="AB45" t="str">
        <f t="shared" si="7"/>
        <v>Grid Extension -Germany- Step 4</v>
      </c>
      <c r="AC45" t="s">
        <v>29</v>
      </c>
      <c r="AD45" t="s">
        <v>30</v>
      </c>
      <c r="AE45" t="s">
        <v>9465</v>
      </c>
      <c r="AG45" t="s">
        <v>9268</v>
      </c>
      <c r="AH45" t="str">
        <f t="shared" si="8"/>
        <v>NatGrdExt_DEU-5</v>
      </c>
      <c r="AI45" t="str">
        <f t="shared" si="9"/>
        <v>Grid Extension -Germany- Step 5</v>
      </c>
      <c r="AJ45" t="s">
        <v>29</v>
      </c>
      <c r="AK45" t="s">
        <v>30</v>
      </c>
      <c r="AL45" t="s">
        <v>9465</v>
      </c>
      <c r="AN45" t="s">
        <v>9268</v>
      </c>
      <c r="AO45" t="str">
        <f t="shared" si="10"/>
        <v>NatGrdExt_DEU-6</v>
      </c>
      <c r="AP45" t="str">
        <f t="shared" si="11"/>
        <v>Grid Extension -Germany- Step 6</v>
      </c>
      <c r="AQ45" t="s">
        <v>29</v>
      </c>
      <c r="AR45" t="s">
        <v>30</v>
      </c>
      <c r="AS45" t="s">
        <v>9465</v>
      </c>
      <c r="AU45" t="s">
        <v>9268</v>
      </c>
      <c r="AV45" t="str">
        <f t="shared" si="12"/>
        <v>NatGrdExt_DEU-7</v>
      </c>
      <c r="AW45" t="str">
        <f t="shared" si="13"/>
        <v>Grid Extension -Germany- Step 7</v>
      </c>
      <c r="AX45" t="s">
        <v>29</v>
      </c>
      <c r="AY45" t="s">
        <v>30</v>
      </c>
      <c r="AZ45" t="s">
        <v>9465</v>
      </c>
      <c r="BB45" t="s">
        <v>9268</v>
      </c>
      <c r="BC45" t="str">
        <f t="shared" si="14"/>
        <v>NatGrdExt_DEU-8</v>
      </c>
      <c r="BD45" t="str">
        <f t="shared" si="15"/>
        <v>Grid Extension -Germany- Step 8</v>
      </c>
      <c r="BE45" t="s">
        <v>29</v>
      </c>
      <c r="BF45" t="s">
        <v>30</v>
      </c>
      <c r="BG45" t="s">
        <v>9465</v>
      </c>
      <c r="BI45" t="s">
        <v>9268</v>
      </c>
      <c r="BJ45" t="str">
        <f t="shared" si="16"/>
        <v>NatGrdExt_DEU-9</v>
      </c>
      <c r="BK45" t="str">
        <f t="shared" si="17"/>
        <v>Grid Extension -Germany- Step 9</v>
      </c>
      <c r="BL45" t="s">
        <v>29</v>
      </c>
      <c r="BM45" t="s">
        <v>30</v>
      </c>
      <c r="BN45" t="s">
        <v>9465</v>
      </c>
      <c r="BP45" t="s">
        <v>9268</v>
      </c>
      <c r="BQ45" t="str">
        <f t="shared" si="18"/>
        <v>NatGrdExt_DEU-10</v>
      </c>
      <c r="BR45" t="str">
        <f t="shared" si="19"/>
        <v>Grid Extension -Germany- Step 10</v>
      </c>
      <c r="BS45" t="s">
        <v>29</v>
      </c>
      <c r="BT45" t="s">
        <v>30</v>
      </c>
      <c r="BU45" t="s">
        <v>9465</v>
      </c>
    </row>
    <row r="46" spans="1:73">
      <c r="A46" s="4" t="s">
        <v>574</v>
      </c>
      <c r="B46" s="4" t="s">
        <v>9504</v>
      </c>
      <c r="E46" t="s">
        <v>9268</v>
      </c>
      <c r="F46" t="str">
        <f t="shared" si="0"/>
        <v>NatGrdExt_DJI-1</v>
      </c>
      <c r="G46" t="str">
        <f t="shared" si="1"/>
        <v>Grid Extension -Djibouti- Step 1</v>
      </c>
      <c r="H46" t="s">
        <v>29</v>
      </c>
      <c r="I46" t="s">
        <v>30</v>
      </c>
      <c r="J46" t="s">
        <v>9465</v>
      </c>
      <c r="L46" t="s">
        <v>9268</v>
      </c>
      <c r="M46" t="str">
        <f t="shared" si="2"/>
        <v>NatGrdExt_DJI-2</v>
      </c>
      <c r="N46" t="str">
        <f t="shared" si="3"/>
        <v>Grid Extension -Djibouti- Step 2</v>
      </c>
      <c r="O46" t="s">
        <v>29</v>
      </c>
      <c r="P46" t="s">
        <v>30</v>
      </c>
      <c r="Q46" t="s">
        <v>9465</v>
      </c>
      <c r="S46" t="s">
        <v>9268</v>
      </c>
      <c r="T46" t="str">
        <f t="shared" si="4"/>
        <v>NatGrdExt_DJI-3</v>
      </c>
      <c r="U46" t="str">
        <f t="shared" si="5"/>
        <v>Grid Extension -Djibouti- Step 3</v>
      </c>
      <c r="V46" t="s">
        <v>29</v>
      </c>
      <c r="W46" t="s">
        <v>30</v>
      </c>
      <c r="X46" t="s">
        <v>9465</v>
      </c>
      <c r="Z46" t="s">
        <v>9268</v>
      </c>
      <c r="AA46" t="str">
        <f t="shared" si="6"/>
        <v>NatGrdExt_DJI-4</v>
      </c>
      <c r="AB46" t="str">
        <f t="shared" si="7"/>
        <v>Grid Extension -Djibouti- Step 4</v>
      </c>
      <c r="AC46" t="s">
        <v>29</v>
      </c>
      <c r="AD46" t="s">
        <v>30</v>
      </c>
      <c r="AE46" t="s">
        <v>9465</v>
      </c>
      <c r="AG46" t="s">
        <v>9268</v>
      </c>
      <c r="AH46" t="str">
        <f t="shared" si="8"/>
        <v>NatGrdExt_DJI-5</v>
      </c>
      <c r="AI46" t="str">
        <f t="shared" si="9"/>
        <v>Grid Extension -Djibouti- Step 5</v>
      </c>
      <c r="AJ46" t="s">
        <v>29</v>
      </c>
      <c r="AK46" t="s">
        <v>30</v>
      </c>
      <c r="AL46" t="s">
        <v>9465</v>
      </c>
      <c r="AN46" t="s">
        <v>9268</v>
      </c>
      <c r="AO46" t="str">
        <f t="shared" si="10"/>
        <v>NatGrdExt_DJI-6</v>
      </c>
      <c r="AP46" t="str">
        <f t="shared" si="11"/>
        <v>Grid Extension -Djibouti- Step 6</v>
      </c>
      <c r="AQ46" t="s">
        <v>29</v>
      </c>
      <c r="AR46" t="s">
        <v>30</v>
      </c>
      <c r="AS46" t="s">
        <v>9465</v>
      </c>
      <c r="AU46" t="s">
        <v>9268</v>
      </c>
      <c r="AV46" t="str">
        <f t="shared" si="12"/>
        <v>NatGrdExt_DJI-7</v>
      </c>
      <c r="AW46" t="str">
        <f t="shared" si="13"/>
        <v>Grid Extension -Djibouti- Step 7</v>
      </c>
      <c r="AX46" t="s">
        <v>29</v>
      </c>
      <c r="AY46" t="s">
        <v>30</v>
      </c>
      <c r="AZ46" t="s">
        <v>9465</v>
      </c>
      <c r="BB46" t="s">
        <v>9268</v>
      </c>
      <c r="BC46" t="str">
        <f t="shared" si="14"/>
        <v>NatGrdExt_DJI-8</v>
      </c>
      <c r="BD46" t="str">
        <f t="shared" si="15"/>
        <v>Grid Extension -Djibouti- Step 8</v>
      </c>
      <c r="BE46" t="s">
        <v>29</v>
      </c>
      <c r="BF46" t="s">
        <v>30</v>
      </c>
      <c r="BG46" t="s">
        <v>9465</v>
      </c>
      <c r="BI46" t="s">
        <v>9268</v>
      </c>
      <c r="BJ46" t="str">
        <f t="shared" si="16"/>
        <v>NatGrdExt_DJI-9</v>
      </c>
      <c r="BK46" t="str">
        <f t="shared" si="17"/>
        <v>Grid Extension -Djibouti- Step 9</v>
      </c>
      <c r="BL46" t="s">
        <v>29</v>
      </c>
      <c r="BM46" t="s">
        <v>30</v>
      </c>
      <c r="BN46" t="s">
        <v>9465</v>
      </c>
      <c r="BP46" t="s">
        <v>9268</v>
      </c>
      <c r="BQ46" t="str">
        <f t="shared" si="18"/>
        <v>NatGrdExt_DJI-10</v>
      </c>
      <c r="BR46" t="str">
        <f t="shared" si="19"/>
        <v>Grid Extension -Djibouti- Step 10</v>
      </c>
      <c r="BS46" t="s">
        <v>29</v>
      </c>
      <c r="BT46" t="s">
        <v>30</v>
      </c>
      <c r="BU46" t="s">
        <v>9465</v>
      </c>
    </row>
    <row r="47" spans="1:73">
      <c r="A47" s="4" t="s">
        <v>580</v>
      </c>
      <c r="B47" s="4" t="s">
        <v>9505</v>
      </c>
      <c r="E47" t="s">
        <v>9268</v>
      </c>
      <c r="F47" t="str">
        <f t="shared" si="0"/>
        <v>NatGrdExt_DNK-1</v>
      </c>
      <c r="G47" t="str">
        <f t="shared" si="1"/>
        <v>Grid Extension -Denmark- Step 1</v>
      </c>
      <c r="H47" t="s">
        <v>29</v>
      </c>
      <c r="I47" t="s">
        <v>30</v>
      </c>
      <c r="J47" t="s">
        <v>9465</v>
      </c>
      <c r="L47" t="s">
        <v>9268</v>
      </c>
      <c r="M47" t="str">
        <f t="shared" si="2"/>
        <v>NatGrdExt_DNK-2</v>
      </c>
      <c r="N47" t="str">
        <f t="shared" si="3"/>
        <v>Grid Extension -Denmark- Step 2</v>
      </c>
      <c r="O47" t="s">
        <v>29</v>
      </c>
      <c r="P47" t="s">
        <v>30</v>
      </c>
      <c r="Q47" t="s">
        <v>9465</v>
      </c>
      <c r="S47" t="s">
        <v>9268</v>
      </c>
      <c r="T47" t="str">
        <f t="shared" si="4"/>
        <v>NatGrdExt_DNK-3</v>
      </c>
      <c r="U47" t="str">
        <f t="shared" si="5"/>
        <v>Grid Extension -Denmark- Step 3</v>
      </c>
      <c r="V47" t="s">
        <v>29</v>
      </c>
      <c r="W47" t="s">
        <v>30</v>
      </c>
      <c r="X47" t="s">
        <v>9465</v>
      </c>
      <c r="Z47" t="s">
        <v>9268</v>
      </c>
      <c r="AA47" t="str">
        <f t="shared" si="6"/>
        <v>NatGrdExt_DNK-4</v>
      </c>
      <c r="AB47" t="str">
        <f t="shared" si="7"/>
        <v>Grid Extension -Denmark- Step 4</v>
      </c>
      <c r="AC47" t="s">
        <v>29</v>
      </c>
      <c r="AD47" t="s">
        <v>30</v>
      </c>
      <c r="AE47" t="s">
        <v>9465</v>
      </c>
      <c r="AG47" t="s">
        <v>9268</v>
      </c>
      <c r="AH47" t="str">
        <f t="shared" si="8"/>
        <v>NatGrdExt_DNK-5</v>
      </c>
      <c r="AI47" t="str">
        <f t="shared" si="9"/>
        <v>Grid Extension -Denmark- Step 5</v>
      </c>
      <c r="AJ47" t="s">
        <v>29</v>
      </c>
      <c r="AK47" t="s">
        <v>30</v>
      </c>
      <c r="AL47" t="s">
        <v>9465</v>
      </c>
      <c r="AN47" t="s">
        <v>9268</v>
      </c>
      <c r="AO47" t="str">
        <f t="shared" si="10"/>
        <v>NatGrdExt_DNK-6</v>
      </c>
      <c r="AP47" t="str">
        <f t="shared" si="11"/>
        <v>Grid Extension -Denmark- Step 6</v>
      </c>
      <c r="AQ47" t="s">
        <v>29</v>
      </c>
      <c r="AR47" t="s">
        <v>30</v>
      </c>
      <c r="AS47" t="s">
        <v>9465</v>
      </c>
      <c r="AU47" t="s">
        <v>9268</v>
      </c>
      <c r="AV47" t="str">
        <f t="shared" si="12"/>
        <v>NatGrdExt_DNK-7</v>
      </c>
      <c r="AW47" t="str">
        <f t="shared" si="13"/>
        <v>Grid Extension -Denmark- Step 7</v>
      </c>
      <c r="AX47" t="s">
        <v>29</v>
      </c>
      <c r="AY47" t="s">
        <v>30</v>
      </c>
      <c r="AZ47" t="s">
        <v>9465</v>
      </c>
      <c r="BB47" t="s">
        <v>9268</v>
      </c>
      <c r="BC47" t="str">
        <f t="shared" si="14"/>
        <v>NatGrdExt_DNK-8</v>
      </c>
      <c r="BD47" t="str">
        <f t="shared" si="15"/>
        <v>Grid Extension -Denmark- Step 8</v>
      </c>
      <c r="BE47" t="s">
        <v>29</v>
      </c>
      <c r="BF47" t="s">
        <v>30</v>
      </c>
      <c r="BG47" t="s">
        <v>9465</v>
      </c>
      <c r="BI47" t="s">
        <v>9268</v>
      </c>
      <c r="BJ47" t="str">
        <f t="shared" si="16"/>
        <v>NatGrdExt_DNK-9</v>
      </c>
      <c r="BK47" t="str">
        <f t="shared" si="17"/>
        <v>Grid Extension -Denmark- Step 9</v>
      </c>
      <c r="BL47" t="s">
        <v>29</v>
      </c>
      <c r="BM47" t="s">
        <v>30</v>
      </c>
      <c r="BN47" t="s">
        <v>9465</v>
      </c>
      <c r="BP47" t="s">
        <v>9268</v>
      </c>
      <c r="BQ47" t="str">
        <f t="shared" si="18"/>
        <v>NatGrdExt_DNK-10</v>
      </c>
      <c r="BR47" t="str">
        <f t="shared" si="19"/>
        <v>Grid Extension -Denmark- Step 10</v>
      </c>
      <c r="BS47" t="s">
        <v>29</v>
      </c>
      <c r="BT47" t="s">
        <v>30</v>
      </c>
      <c r="BU47" t="s">
        <v>9465</v>
      </c>
    </row>
    <row r="48" spans="1:73">
      <c r="A48" s="4" t="s">
        <v>588</v>
      </c>
      <c r="B48" s="4" t="s">
        <v>9506</v>
      </c>
      <c r="E48" t="s">
        <v>9268</v>
      </c>
      <c r="F48" t="str">
        <f t="shared" si="0"/>
        <v>NatGrdExt_DOM-1</v>
      </c>
      <c r="G48" t="str">
        <f t="shared" si="1"/>
        <v>Grid Extension -Dominican Republic- Step 1</v>
      </c>
      <c r="H48" t="s">
        <v>29</v>
      </c>
      <c r="I48" t="s">
        <v>30</v>
      </c>
      <c r="J48" t="s">
        <v>9465</v>
      </c>
      <c r="L48" t="s">
        <v>9268</v>
      </c>
      <c r="M48" t="str">
        <f t="shared" si="2"/>
        <v>NatGrdExt_DOM-2</v>
      </c>
      <c r="N48" t="str">
        <f t="shared" si="3"/>
        <v>Grid Extension -Dominican Republic- Step 2</v>
      </c>
      <c r="O48" t="s">
        <v>29</v>
      </c>
      <c r="P48" t="s">
        <v>30</v>
      </c>
      <c r="Q48" t="s">
        <v>9465</v>
      </c>
      <c r="S48" t="s">
        <v>9268</v>
      </c>
      <c r="T48" t="str">
        <f t="shared" si="4"/>
        <v>NatGrdExt_DOM-3</v>
      </c>
      <c r="U48" t="str">
        <f t="shared" si="5"/>
        <v>Grid Extension -Dominican Republic- Step 3</v>
      </c>
      <c r="V48" t="s">
        <v>29</v>
      </c>
      <c r="W48" t="s">
        <v>30</v>
      </c>
      <c r="X48" t="s">
        <v>9465</v>
      </c>
      <c r="Z48" t="s">
        <v>9268</v>
      </c>
      <c r="AA48" t="str">
        <f t="shared" si="6"/>
        <v>NatGrdExt_DOM-4</v>
      </c>
      <c r="AB48" t="str">
        <f t="shared" si="7"/>
        <v>Grid Extension -Dominican Republic- Step 4</v>
      </c>
      <c r="AC48" t="s">
        <v>29</v>
      </c>
      <c r="AD48" t="s">
        <v>30</v>
      </c>
      <c r="AE48" t="s">
        <v>9465</v>
      </c>
      <c r="AG48" t="s">
        <v>9268</v>
      </c>
      <c r="AH48" t="str">
        <f t="shared" si="8"/>
        <v>NatGrdExt_DOM-5</v>
      </c>
      <c r="AI48" t="str">
        <f t="shared" si="9"/>
        <v>Grid Extension -Dominican Republic- Step 5</v>
      </c>
      <c r="AJ48" t="s">
        <v>29</v>
      </c>
      <c r="AK48" t="s">
        <v>30</v>
      </c>
      <c r="AL48" t="s">
        <v>9465</v>
      </c>
      <c r="AN48" t="s">
        <v>9268</v>
      </c>
      <c r="AO48" t="str">
        <f t="shared" si="10"/>
        <v>NatGrdExt_DOM-6</v>
      </c>
      <c r="AP48" t="str">
        <f t="shared" si="11"/>
        <v>Grid Extension -Dominican Republic- Step 6</v>
      </c>
      <c r="AQ48" t="s">
        <v>29</v>
      </c>
      <c r="AR48" t="s">
        <v>30</v>
      </c>
      <c r="AS48" t="s">
        <v>9465</v>
      </c>
      <c r="AU48" t="s">
        <v>9268</v>
      </c>
      <c r="AV48" t="str">
        <f t="shared" si="12"/>
        <v>NatGrdExt_DOM-7</v>
      </c>
      <c r="AW48" t="str">
        <f t="shared" si="13"/>
        <v>Grid Extension -Dominican Republic- Step 7</v>
      </c>
      <c r="AX48" t="s">
        <v>29</v>
      </c>
      <c r="AY48" t="s">
        <v>30</v>
      </c>
      <c r="AZ48" t="s">
        <v>9465</v>
      </c>
      <c r="BB48" t="s">
        <v>9268</v>
      </c>
      <c r="BC48" t="str">
        <f t="shared" si="14"/>
        <v>NatGrdExt_DOM-8</v>
      </c>
      <c r="BD48" t="str">
        <f t="shared" si="15"/>
        <v>Grid Extension -Dominican Republic- Step 8</v>
      </c>
      <c r="BE48" t="s">
        <v>29</v>
      </c>
      <c r="BF48" t="s">
        <v>30</v>
      </c>
      <c r="BG48" t="s">
        <v>9465</v>
      </c>
      <c r="BI48" t="s">
        <v>9268</v>
      </c>
      <c r="BJ48" t="str">
        <f t="shared" si="16"/>
        <v>NatGrdExt_DOM-9</v>
      </c>
      <c r="BK48" t="str">
        <f t="shared" si="17"/>
        <v>Grid Extension -Dominican Republic- Step 9</v>
      </c>
      <c r="BL48" t="s">
        <v>29</v>
      </c>
      <c r="BM48" t="s">
        <v>30</v>
      </c>
      <c r="BN48" t="s">
        <v>9465</v>
      </c>
      <c r="BP48" t="s">
        <v>9268</v>
      </c>
      <c r="BQ48" t="str">
        <f t="shared" si="18"/>
        <v>NatGrdExt_DOM-10</v>
      </c>
      <c r="BR48" t="str">
        <f t="shared" si="19"/>
        <v>Grid Extension -Dominican Republic- Step 10</v>
      </c>
      <c r="BS48" t="s">
        <v>29</v>
      </c>
      <c r="BT48" t="s">
        <v>30</v>
      </c>
      <c r="BU48" t="s">
        <v>9465</v>
      </c>
    </row>
    <row r="49" spans="1:73">
      <c r="A49" s="4" t="s">
        <v>600</v>
      </c>
      <c r="B49" s="4" t="s">
        <v>9507</v>
      </c>
      <c r="E49" t="s">
        <v>9268</v>
      </c>
      <c r="F49" t="str">
        <f t="shared" si="0"/>
        <v>NatGrdExt_DZA-1</v>
      </c>
      <c r="G49" t="str">
        <f t="shared" si="1"/>
        <v>Grid Extension -Algeria- Step 1</v>
      </c>
      <c r="H49" t="s">
        <v>29</v>
      </c>
      <c r="I49" t="s">
        <v>30</v>
      </c>
      <c r="J49" t="s">
        <v>9465</v>
      </c>
      <c r="L49" t="s">
        <v>9268</v>
      </c>
      <c r="M49" t="str">
        <f t="shared" si="2"/>
        <v>NatGrdExt_DZA-2</v>
      </c>
      <c r="N49" t="str">
        <f t="shared" si="3"/>
        <v>Grid Extension -Algeria- Step 2</v>
      </c>
      <c r="O49" t="s">
        <v>29</v>
      </c>
      <c r="P49" t="s">
        <v>30</v>
      </c>
      <c r="Q49" t="s">
        <v>9465</v>
      </c>
      <c r="S49" t="s">
        <v>9268</v>
      </c>
      <c r="T49" t="str">
        <f t="shared" si="4"/>
        <v>NatGrdExt_DZA-3</v>
      </c>
      <c r="U49" t="str">
        <f t="shared" si="5"/>
        <v>Grid Extension -Algeria- Step 3</v>
      </c>
      <c r="V49" t="s">
        <v>29</v>
      </c>
      <c r="W49" t="s">
        <v>30</v>
      </c>
      <c r="X49" t="s">
        <v>9465</v>
      </c>
      <c r="Z49" t="s">
        <v>9268</v>
      </c>
      <c r="AA49" t="str">
        <f t="shared" si="6"/>
        <v>NatGrdExt_DZA-4</v>
      </c>
      <c r="AB49" t="str">
        <f t="shared" si="7"/>
        <v>Grid Extension -Algeria- Step 4</v>
      </c>
      <c r="AC49" t="s">
        <v>29</v>
      </c>
      <c r="AD49" t="s">
        <v>30</v>
      </c>
      <c r="AE49" t="s">
        <v>9465</v>
      </c>
      <c r="AG49" t="s">
        <v>9268</v>
      </c>
      <c r="AH49" t="str">
        <f t="shared" si="8"/>
        <v>NatGrdExt_DZA-5</v>
      </c>
      <c r="AI49" t="str">
        <f t="shared" si="9"/>
        <v>Grid Extension -Algeria- Step 5</v>
      </c>
      <c r="AJ49" t="s">
        <v>29</v>
      </c>
      <c r="AK49" t="s">
        <v>30</v>
      </c>
      <c r="AL49" t="s">
        <v>9465</v>
      </c>
      <c r="AN49" t="s">
        <v>9268</v>
      </c>
      <c r="AO49" t="str">
        <f t="shared" si="10"/>
        <v>NatGrdExt_DZA-6</v>
      </c>
      <c r="AP49" t="str">
        <f t="shared" si="11"/>
        <v>Grid Extension -Algeria- Step 6</v>
      </c>
      <c r="AQ49" t="s">
        <v>29</v>
      </c>
      <c r="AR49" t="s">
        <v>30</v>
      </c>
      <c r="AS49" t="s">
        <v>9465</v>
      </c>
      <c r="AU49" t="s">
        <v>9268</v>
      </c>
      <c r="AV49" t="str">
        <f t="shared" si="12"/>
        <v>NatGrdExt_DZA-7</v>
      </c>
      <c r="AW49" t="str">
        <f t="shared" si="13"/>
        <v>Grid Extension -Algeria- Step 7</v>
      </c>
      <c r="AX49" t="s">
        <v>29</v>
      </c>
      <c r="AY49" t="s">
        <v>30</v>
      </c>
      <c r="AZ49" t="s">
        <v>9465</v>
      </c>
      <c r="BB49" t="s">
        <v>9268</v>
      </c>
      <c r="BC49" t="str">
        <f t="shared" si="14"/>
        <v>NatGrdExt_DZA-8</v>
      </c>
      <c r="BD49" t="str">
        <f t="shared" si="15"/>
        <v>Grid Extension -Algeria- Step 8</v>
      </c>
      <c r="BE49" t="s">
        <v>29</v>
      </c>
      <c r="BF49" t="s">
        <v>30</v>
      </c>
      <c r="BG49" t="s">
        <v>9465</v>
      </c>
      <c r="BI49" t="s">
        <v>9268</v>
      </c>
      <c r="BJ49" t="str">
        <f t="shared" si="16"/>
        <v>NatGrdExt_DZA-9</v>
      </c>
      <c r="BK49" t="str">
        <f t="shared" si="17"/>
        <v>Grid Extension -Algeria- Step 9</v>
      </c>
      <c r="BL49" t="s">
        <v>29</v>
      </c>
      <c r="BM49" t="s">
        <v>30</v>
      </c>
      <c r="BN49" t="s">
        <v>9465</v>
      </c>
      <c r="BP49" t="s">
        <v>9268</v>
      </c>
      <c r="BQ49" t="str">
        <f t="shared" si="18"/>
        <v>NatGrdExt_DZA-10</v>
      </c>
      <c r="BR49" t="str">
        <f t="shared" si="19"/>
        <v>Grid Extension -Algeria- Step 10</v>
      </c>
      <c r="BS49" t="s">
        <v>29</v>
      </c>
      <c r="BT49" t="s">
        <v>30</v>
      </c>
      <c r="BU49" t="s">
        <v>9465</v>
      </c>
    </row>
    <row r="50" spans="1:73">
      <c r="A50" s="4" t="s">
        <v>612</v>
      </c>
      <c r="B50" s="4" t="s">
        <v>9508</v>
      </c>
      <c r="E50" t="s">
        <v>9268</v>
      </c>
      <c r="F50" t="str">
        <f t="shared" si="0"/>
        <v>NatGrdExt_ECU-1</v>
      </c>
      <c r="G50" t="str">
        <f t="shared" si="1"/>
        <v>Grid Extension -Ecuador- Step 1</v>
      </c>
      <c r="H50" t="s">
        <v>29</v>
      </c>
      <c r="I50" t="s">
        <v>30</v>
      </c>
      <c r="J50" t="s">
        <v>9465</v>
      </c>
      <c r="L50" t="s">
        <v>9268</v>
      </c>
      <c r="M50" t="str">
        <f t="shared" si="2"/>
        <v>NatGrdExt_ECU-2</v>
      </c>
      <c r="N50" t="str">
        <f t="shared" si="3"/>
        <v>Grid Extension -Ecuador- Step 2</v>
      </c>
      <c r="O50" t="s">
        <v>29</v>
      </c>
      <c r="P50" t="s">
        <v>30</v>
      </c>
      <c r="Q50" t="s">
        <v>9465</v>
      </c>
      <c r="S50" t="s">
        <v>9268</v>
      </c>
      <c r="T50" t="str">
        <f t="shared" si="4"/>
        <v>NatGrdExt_ECU-3</v>
      </c>
      <c r="U50" t="str">
        <f t="shared" si="5"/>
        <v>Grid Extension -Ecuador- Step 3</v>
      </c>
      <c r="V50" t="s">
        <v>29</v>
      </c>
      <c r="W50" t="s">
        <v>30</v>
      </c>
      <c r="X50" t="s">
        <v>9465</v>
      </c>
      <c r="Z50" t="s">
        <v>9268</v>
      </c>
      <c r="AA50" t="str">
        <f t="shared" si="6"/>
        <v>NatGrdExt_ECU-4</v>
      </c>
      <c r="AB50" t="str">
        <f t="shared" si="7"/>
        <v>Grid Extension -Ecuador- Step 4</v>
      </c>
      <c r="AC50" t="s">
        <v>29</v>
      </c>
      <c r="AD50" t="s">
        <v>30</v>
      </c>
      <c r="AE50" t="s">
        <v>9465</v>
      </c>
      <c r="AG50" t="s">
        <v>9268</v>
      </c>
      <c r="AH50" t="str">
        <f t="shared" si="8"/>
        <v>NatGrdExt_ECU-5</v>
      </c>
      <c r="AI50" t="str">
        <f t="shared" si="9"/>
        <v>Grid Extension -Ecuador- Step 5</v>
      </c>
      <c r="AJ50" t="s">
        <v>29</v>
      </c>
      <c r="AK50" t="s">
        <v>30</v>
      </c>
      <c r="AL50" t="s">
        <v>9465</v>
      </c>
      <c r="AN50" t="s">
        <v>9268</v>
      </c>
      <c r="AO50" t="str">
        <f t="shared" si="10"/>
        <v>NatGrdExt_ECU-6</v>
      </c>
      <c r="AP50" t="str">
        <f t="shared" si="11"/>
        <v>Grid Extension -Ecuador- Step 6</v>
      </c>
      <c r="AQ50" t="s">
        <v>29</v>
      </c>
      <c r="AR50" t="s">
        <v>30</v>
      </c>
      <c r="AS50" t="s">
        <v>9465</v>
      </c>
      <c r="AU50" t="s">
        <v>9268</v>
      </c>
      <c r="AV50" t="str">
        <f t="shared" si="12"/>
        <v>NatGrdExt_ECU-7</v>
      </c>
      <c r="AW50" t="str">
        <f t="shared" si="13"/>
        <v>Grid Extension -Ecuador- Step 7</v>
      </c>
      <c r="AX50" t="s">
        <v>29</v>
      </c>
      <c r="AY50" t="s">
        <v>30</v>
      </c>
      <c r="AZ50" t="s">
        <v>9465</v>
      </c>
      <c r="BB50" t="s">
        <v>9268</v>
      </c>
      <c r="BC50" t="str">
        <f t="shared" si="14"/>
        <v>NatGrdExt_ECU-8</v>
      </c>
      <c r="BD50" t="str">
        <f t="shared" si="15"/>
        <v>Grid Extension -Ecuador- Step 8</v>
      </c>
      <c r="BE50" t="s">
        <v>29</v>
      </c>
      <c r="BF50" t="s">
        <v>30</v>
      </c>
      <c r="BG50" t="s">
        <v>9465</v>
      </c>
      <c r="BI50" t="s">
        <v>9268</v>
      </c>
      <c r="BJ50" t="str">
        <f t="shared" si="16"/>
        <v>NatGrdExt_ECU-9</v>
      </c>
      <c r="BK50" t="str">
        <f t="shared" si="17"/>
        <v>Grid Extension -Ecuador- Step 9</v>
      </c>
      <c r="BL50" t="s">
        <v>29</v>
      </c>
      <c r="BM50" t="s">
        <v>30</v>
      </c>
      <c r="BN50" t="s">
        <v>9465</v>
      </c>
      <c r="BP50" t="s">
        <v>9268</v>
      </c>
      <c r="BQ50" t="str">
        <f t="shared" si="18"/>
        <v>NatGrdExt_ECU-10</v>
      </c>
      <c r="BR50" t="str">
        <f t="shared" si="19"/>
        <v>Grid Extension -Ecuador- Step 10</v>
      </c>
      <c r="BS50" t="s">
        <v>29</v>
      </c>
      <c r="BT50" t="s">
        <v>30</v>
      </c>
      <c r="BU50" t="s">
        <v>9465</v>
      </c>
    </row>
    <row r="51" spans="1:73">
      <c r="A51" s="4" t="s">
        <v>634</v>
      </c>
      <c r="B51" s="4" t="s">
        <v>9509</v>
      </c>
      <c r="E51" t="s">
        <v>9268</v>
      </c>
      <c r="F51" t="str">
        <f t="shared" si="0"/>
        <v>NatGrdExt_EGY-1</v>
      </c>
      <c r="G51" t="str">
        <f t="shared" si="1"/>
        <v>Grid Extension -Egypt- Step 1</v>
      </c>
      <c r="H51" t="s">
        <v>29</v>
      </c>
      <c r="I51" t="s">
        <v>30</v>
      </c>
      <c r="J51" t="s">
        <v>9465</v>
      </c>
      <c r="L51" t="s">
        <v>9268</v>
      </c>
      <c r="M51" t="str">
        <f t="shared" si="2"/>
        <v>NatGrdExt_EGY-2</v>
      </c>
      <c r="N51" t="str">
        <f t="shared" si="3"/>
        <v>Grid Extension -Egypt- Step 2</v>
      </c>
      <c r="O51" t="s">
        <v>29</v>
      </c>
      <c r="P51" t="s">
        <v>30</v>
      </c>
      <c r="Q51" t="s">
        <v>9465</v>
      </c>
      <c r="S51" t="s">
        <v>9268</v>
      </c>
      <c r="T51" t="str">
        <f t="shared" si="4"/>
        <v>NatGrdExt_EGY-3</v>
      </c>
      <c r="U51" t="str">
        <f t="shared" si="5"/>
        <v>Grid Extension -Egypt- Step 3</v>
      </c>
      <c r="V51" t="s">
        <v>29</v>
      </c>
      <c r="W51" t="s">
        <v>30</v>
      </c>
      <c r="X51" t="s">
        <v>9465</v>
      </c>
      <c r="Z51" t="s">
        <v>9268</v>
      </c>
      <c r="AA51" t="str">
        <f t="shared" si="6"/>
        <v>NatGrdExt_EGY-4</v>
      </c>
      <c r="AB51" t="str">
        <f t="shared" si="7"/>
        <v>Grid Extension -Egypt- Step 4</v>
      </c>
      <c r="AC51" t="s">
        <v>29</v>
      </c>
      <c r="AD51" t="s">
        <v>30</v>
      </c>
      <c r="AE51" t="s">
        <v>9465</v>
      </c>
      <c r="AG51" t="s">
        <v>9268</v>
      </c>
      <c r="AH51" t="str">
        <f t="shared" si="8"/>
        <v>NatGrdExt_EGY-5</v>
      </c>
      <c r="AI51" t="str">
        <f t="shared" si="9"/>
        <v>Grid Extension -Egypt- Step 5</v>
      </c>
      <c r="AJ51" t="s">
        <v>29</v>
      </c>
      <c r="AK51" t="s">
        <v>30</v>
      </c>
      <c r="AL51" t="s">
        <v>9465</v>
      </c>
      <c r="AN51" t="s">
        <v>9268</v>
      </c>
      <c r="AO51" t="str">
        <f t="shared" si="10"/>
        <v>NatGrdExt_EGY-6</v>
      </c>
      <c r="AP51" t="str">
        <f t="shared" si="11"/>
        <v>Grid Extension -Egypt- Step 6</v>
      </c>
      <c r="AQ51" t="s">
        <v>29</v>
      </c>
      <c r="AR51" t="s">
        <v>30</v>
      </c>
      <c r="AS51" t="s">
        <v>9465</v>
      </c>
      <c r="AU51" t="s">
        <v>9268</v>
      </c>
      <c r="AV51" t="str">
        <f t="shared" si="12"/>
        <v>NatGrdExt_EGY-7</v>
      </c>
      <c r="AW51" t="str">
        <f t="shared" si="13"/>
        <v>Grid Extension -Egypt- Step 7</v>
      </c>
      <c r="AX51" t="s">
        <v>29</v>
      </c>
      <c r="AY51" t="s">
        <v>30</v>
      </c>
      <c r="AZ51" t="s">
        <v>9465</v>
      </c>
      <c r="BB51" t="s">
        <v>9268</v>
      </c>
      <c r="BC51" t="str">
        <f t="shared" si="14"/>
        <v>NatGrdExt_EGY-8</v>
      </c>
      <c r="BD51" t="str">
        <f t="shared" si="15"/>
        <v>Grid Extension -Egypt- Step 8</v>
      </c>
      <c r="BE51" t="s">
        <v>29</v>
      </c>
      <c r="BF51" t="s">
        <v>30</v>
      </c>
      <c r="BG51" t="s">
        <v>9465</v>
      </c>
      <c r="BI51" t="s">
        <v>9268</v>
      </c>
      <c r="BJ51" t="str">
        <f t="shared" si="16"/>
        <v>NatGrdExt_EGY-9</v>
      </c>
      <c r="BK51" t="str">
        <f t="shared" si="17"/>
        <v>Grid Extension -Egypt- Step 9</v>
      </c>
      <c r="BL51" t="s">
        <v>29</v>
      </c>
      <c r="BM51" t="s">
        <v>30</v>
      </c>
      <c r="BN51" t="s">
        <v>9465</v>
      </c>
      <c r="BP51" t="s">
        <v>9268</v>
      </c>
      <c r="BQ51" t="str">
        <f t="shared" si="18"/>
        <v>NatGrdExt_EGY-10</v>
      </c>
      <c r="BR51" t="str">
        <f t="shared" si="19"/>
        <v>Grid Extension -Egypt- Step 10</v>
      </c>
      <c r="BS51" t="s">
        <v>29</v>
      </c>
      <c r="BT51" t="s">
        <v>30</v>
      </c>
      <c r="BU51" t="s">
        <v>9465</v>
      </c>
    </row>
    <row r="52" spans="1:73">
      <c r="A52" s="4" t="s">
        <v>652</v>
      </c>
      <c r="B52" s="4" t="s">
        <v>9510</v>
      </c>
      <c r="E52" t="s">
        <v>9268</v>
      </c>
      <c r="F52" t="str">
        <f t="shared" si="0"/>
        <v>NatGrdExt_ERI-1</v>
      </c>
      <c r="G52" t="str">
        <f t="shared" si="1"/>
        <v>Grid Extension -Eritrea- Step 1</v>
      </c>
      <c r="H52" t="s">
        <v>29</v>
      </c>
      <c r="I52" t="s">
        <v>30</v>
      </c>
      <c r="J52" t="s">
        <v>9465</v>
      </c>
      <c r="L52" t="s">
        <v>9268</v>
      </c>
      <c r="M52" t="str">
        <f t="shared" si="2"/>
        <v>NatGrdExt_ERI-2</v>
      </c>
      <c r="N52" t="str">
        <f t="shared" si="3"/>
        <v>Grid Extension -Eritrea- Step 2</v>
      </c>
      <c r="O52" t="s">
        <v>29</v>
      </c>
      <c r="P52" t="s">
        <v>30</v>
      </c>
      <c r="Q52" t="s">
        <v>9465</v>
      </c>
      <c r="S52" t="s">
        <v>9268</v>
      </c>
      <c r="T52" t="str">
        <f t="shared" si="4"/>
        <v>NatGrdExt_ERI-3</v>
      </c>
      <c r="U52" t="str">
        <f t="shared" si="5"/>
        <v>Grid Extension -Eritrea- Step 3</v>
      </c>
      <c r="V52" t="s">
        <v>29</v>
      </c>
      <c r="W52" t="s">
        <v>30</v>
      </c>
      <c r="X52" t="s">
        <v>9465</v>
      </c>
      <c r="Z52" t="s">
        <v>9268</v>
      </c>
      <c r="AA52" t="str">
        <f t="shared" si="6"/>
        <v>NatGrdExt_ERI-4</v>
      </c>
      <c r="AB52" t="str">
        <f t="shared" si="7"/>
        <v>Grid Extension -Eritrea- Step 4</v>
      </c>
      <c r="AC52" t="s">
        <v>29</v>
      </c>
      <c r="AD52" t="s">
        <v>30</v>
      </c>
      <c r="AE52" t="s">
        <v>9465</v>
      </c>
      <c r="AG52" t="s">
        <v>9268</v>
      </c>
      <c r="AH52" t="str">
        <f t="shared" si="8"/>
        <v>NatGrdExt_ERI-5</v>
      </c>
      <c r="AI52" t="str">
        <f t="shared" si="9"/>
        <v>Grid Extension -Eritrea- Step 5</v>
      </c>
      <c r="AJ52" t="s">
        <v>29</v>
      </c>
      <c r="AK52" t="s">
        <v>30</v>
      </c>
      <c r="AL52" t="s">
        <v>9465</v>
      </c>
      <c r="AN52" t="s">
        <v>9268</v>
      </c>
      <c r="AO52" t="str">
        <f t="shared" si="10"/>
        <v>NatGrdExt_ERI-6</v>
      </c>
      <c r="AP52" t="str">
        <f t="shared" si="11"/>
        <v>Grid Extension -Eritrea- Step 6</v>
      </c>
      <c r="AQ52" t="s">
        <v>29</v>
      </c>
      <c r="AR52" t="s">
        <v>30</v>
      </c>
      <c r="AS52" t="s">
        <v>9465</v>
      </c>
      <c r="AU52" t="s">
        <v>9268</v>
      </c>
      <c r="AV52" t="str">
        <f t="shared" si="12"/>
        <v>NatGrdExt_ERI-7</v>
      </c>
      <c r="AW52" t="str">
        <f t="shared" si="13"/>
        <v>Grid Extension -Eritrea- Step 7</v>
      </c>
      <c r="AX52" t="s">
        <v>29</v>
      </c>
      <c r="AY52" t="s">
        <v>30</v>
      </c>
      <c r="AZ52" t="s">
        <v>9465</v>
      </c>
      <c r="BB52" t="s">
        <v>9268</v>
      </c>
      <c r="BC52" t="str">
        <f t="shared" si="14"/>
        <v>NatGrdExt_ERI-8</v>
      </c>
      <c r="BD52" t="str">
        <f t="shared" si="15"/>
        <v>Grid Extension -Eritrea- Step 8</v>
      </c>
      <c r="BE52" t="s">
        <v>29</v>
      </c>
      <c r="BF52" t="s">
        <v>30</v>
      </c>
      <c r="BG52" t="s">
        <v>9465</v>
      </c>
      <c r="BI52" t="s">
        <v>9268</v>
      </c>
      <c r="BJ52" t="str">
        <f t="shared" si="16"/>
        <v>NatGrdExt_ERI-9</v>
      </c>
      <c r="BK52" t="str">
        <f t="shared" si="17"/>
        <v>Grid Extension -Eritrea- Step 9</v>
      </c>
      <c r="BL52" t="s">
        <v>29</v>
      </c>
      <c r="BM52" t="s">
        <v>30</v>
      </c>
      <c r="BN52" t="s">
        <v>9465</v>
      </c>
      <c r="BP52" t="s">
        <v>9268</v>
      </c>
      <c r="BQ52" t="str">
        <f t="shared" si="18"/>
        <v>NatGrdExt_ERI-10</v>
      </c>
      <c r="BR52" t="str">
        <f t="shared" si="19"/>
        <v>Grid Extension -Eritrea- Step 10</v>
      </c>
      <c r="BS52" t="s">
        <v>29</v>
      </c>
      <c r="BT52" t="s">
        <v>30</v>
      </c>
      <c r="BU52" t="s">
        <v>9465</v>
      </c>
    </row>
    <row r="53" spans="1:73">
      <c r="A53" s="4" t="s">
        <v>9511</v>
      </c>
      <c r="B53" s="4" t="s">
        <v>9512</v>
      </c>
      <c r="E53" t="s">
        <v>9268</v>
      </c>
      <c r="F53" t="str">
        <f t="shared" si="0"/>
        <v>NatGrdExt_ESH-1</v>
      </c>
      <c r="G53" t="str">
        <f t="shared" si="1"/>
        <v>Grid Extension -Western Sahara- Step 1</v>
      </c>
      <c r="H53" t="s">
        <v>29</v>
      </c>
      <c r="I53" t="s">
        <v>30</v>
      </c>
      <c r="J53" t="s">
        <v>9465</v>
      </c>
      <c r="L53" t="s">
        <v>9268</v>
      </c>
      <c r="M53" t="str">
        <f t="shared" si="2"/>
        <v>NatGrdExt_ESH-2</v>
      </c>
      <c r="N53" t="str">
        <f t="shared" si="3"/>
        <v>Grid Extension -Western Sahara- Step 2</v>
      </c>
      <c r="O53" t="s">
        <v>29</v>
      </c>
      <c r="P53" t="s">
        <v>30</v>
      </c>
      <c r="Q53" t="s">
        <v>9465</v>
      </c>
      <c r="S53" t="s">
        <v>9268</v>
      </c>
      <c r="T53" t="str">
        <f t="shared" si="4"/>
        <v>NatGrdExt_ESH-3</v>
      </c>
      <c r="U53" t="str">
        <f t="shared" si="5"/>
        <v>Grid Extension -Western Sahara- Step 3</v>
      </c>
      <c r="V53" t="s">
        <v>29</v>
      </c>
      <c r="W53" t="s">
        <v>30</v>
      </c>
      <c r="X53" t="s">
        <v>9465</v>
      </c>
      <c r="Z53" t="s">
        <v>9268</v>
      </c>
      <c r="AA53" t="str">
        <f t="shared" si="6"/>
        <v>NatGrdExt_ESH-4</v>
      </c>
      <c r="AB53" t="str">
        <f t="shared" si="7"/>
        <v>Grid Extension -Western Sahara- Step 4</v>
      </c>
      <c r="AC53" t="s">
        <v>29</v>
      </c>
      <c r="AD53" t="s">
        <v>30</v>
      </c>
      <c r="AE53" t="s">
        <v>9465</v>
      </c>
      <c r="AG53" t="s">
        <v>9268</v>
      </c>
      <c r="AH53" t="str">
        <f t="shared" si="8"/>
        <v>NatGrdExt_ESH-5</v>
      </c>
      <c r="AI53" t="str">
        <f t="shared" si="9"/>
        <v>Grid Extension -Western Sahara- Step 5</v>
      </c>
      <c r="AJ53" t="s">
        <v>29</v>
      </c>
      <c r="AK53" t="s">
        <v>30</v>
      </c>
      <c r="AL53" t="s">
        <v>9465</v>
      </c>
      <c r="AN53" t="s">
        <v>9268</v>
      </c>
      <c r="AO53" t="str">
        <f t="shared" si="10"/>
        <v>NatGrdExt_ESH-6</v>
      </c>
      <c r="AP53" t="str">
        <f t="shared" si="11"/>
        <v>Grid Extension -Western Sahara- Step 6</v>
      </c>
      <c r="AQ53" t="s">
        <v>29</v>
      </c>
      <c r="AR53" t="s">
        <v>30</v>
      </c>
      <c r="AS53" t="s">
        <v>9465</v>
      </c>
      <c r="AU53" t="s">
        <v>9268</v>
      </c>
      <c r="AV53" t="str">
        <f t="shared" si="12"/>
        <v>NatGrdExt_ESH-7</v>
      </c>
      <c r="AW53" t="str">
        <f t="shared" si="13"/>
        <v>Grid Extension -Western Sahara- Step 7</v>
      </c>
      <c r="AX53" t="s">
        <v>29</v>
      </c>
      <c r="AY53" t="s">
        <v>30</v>
      </c>
      <c r="AZ53" t="s">
        <v>9465</v>
      </c>
      <c r="BB53" t="s">
        <v>9268</v>
      </c>
      <c r="BC53" t="str">
        <f t="shared" si="14"/>
        <v>NatGrdExt_ESH-8</v>
      </c>
      <c r="BD53" t="str">
        <f t="shared" si="15"/>
        <v>Grid Extension -Western Sahara- Step 8</v>
      </c>
      <c r="BE53" t="s">
        <v>29</v>
      </c>
      <c r="BF53" t="s">
        <v>30</v>
      </c>
      <c r="BG53" t="s">
        <v>9465</v>
      </c>
      <c r="BI53" t="s">
        <v>9268</v>
      </c>
      <c r="BJ53" t="str">
        <f t="shared" si="16"/>
        <v>NatGrdExt_ESH-9</v>
      </c>
      <c r="BK53" t="str">
        <f t="shared" si="17"/>
        <v>Grid Extension -Western Sahara- Step 9</v>
      </c>
      <c r="BL53" t="s">
        <v>29</v>
      </c>
      <c r="BM53" t="s">
        <v>30</v>
      </c>
      <c r="BN53" t="s">
        <v>9465</v>
      </c>
      <c r="BP53" t="s">
        <v>9268</v>
      </c>
      <c r="BQ53" t="str">
        <f t="shared" si="18"/>
        <v>NatGrdExt_ESH-10</v>
      </c>
      <c r="BR53" t="str">
        <f t="shared" si="19"/>
        <v>Grid Extension -Western Sahara- Step 10</v>
      </c>
      <c r="BS53" t="s">
        <v>29</v>
      </c>
      <c r="BT53" t="s">
        <v>30</v>
      </c>
      <c r="BU53" t="s">
        <v>9465</v>
      </c>
    </row>
    <row r="54" spans="1:73">
      <c r="A54" s="4" t="s">
        <v>656</v>
      </c>
      <c r="B54" s="4" t="s">
        <v>9513</v>
      </c>
      <c r="E54" t="s">
        <v>9268</v>
      </c>
      <c r="F54" t="str">
        <f t="shared" si="0"/>
        <v>NatGrdExt_ESP-1</v>
      </c>
      <c r="G54" t="str">
        <f t="shared" si="1"/>
        <v>Grid Extension -Spain- Step 1</v>
      </c>
      <c r="H54" t="s">
        <v>29</v>
      </c>
      <c r="I54" t="s">
        <v>30</v>
      </c>
      <c r="J54" t="s">
        <v>9465</v>
      </c>
      <c r="L54" t="s">
        <v>9268</v>
      </c>
      <c r="M54" t="str">
        <f t="shared" si="2"/>
        <v>NatGrdExt_ESP-2</v>
      </c>
      <c r="N54" t="str">
        <f t="shared" si="3"/>
        <v>Grid Extension -Spain- Step 2</v>
      </c>
      <c r="O54" t="s">
        <v>29</v>
      </c>
      <c r="P54" t="s">
        <v>30</v>
      </c>
      <c r="Q54" t="s">
        <v>9465</v>
      </c>
      <c r="S54" t="s">
        <v>9268</v>
      </c>
      <c r="T54" t="str">
        <f t="shared" si="4"/>
        <v>NatGrdExt_ESP-3</v>
      </c>
      <c r="U54" t="str">
        <f t="shared" si="5"/>
        <v>Grid Extension -Spain- Step 3</v>
      </c>
      <c r="V54" t="s">
        <v>29</v>
      </c>
      <c r="W54" t="s">
        <v>30</v>
      </c>
      <c r="X54" t="s">
        <v>9465</v>
      </c>
      <c r="Z54" t="s">
        <v>9268</v>
      </c>
      <c r="AA54" t="str">
        <f t="shared" si="6"/>
        <v>NatGrdExt_ESP-4</v>
      </c>
      <c r="AB54" t="str">
        <f t="shared" si="7"/>
        <v>Grid Extension -Spain- Step 4</v>
      </c>
      <c r="AC54" t="s">
        <v>29</v>
      </c>
      <c r="AD54" t="s">
        <v>30</v>
      </c>
      <c r="AE54" t="s">
        <v>9465</v>
      </c>
      <c r="AG54" t="s">
        <v>9268</v>
      </c>
      <c r="AH54" t="str">
        <f t="shared" si="8"/>
        <v>NatGrdExt_ESP-5</v>
      </c>
      <c r="AI54" t="str">
        <f t="shared" si="9"/>
        <v>Grid Extension -Spain- Step 5</v>
      </c>
      <c r="AJ54" t="s">
        <v>29</v>
      </c>
      <c r="AK54" t="s">
        <v>30</v>
      </c>
      <c r="AL54" t="s">
        <v>9465</v>
      </c>
      <c r="AN54" t="s">
        <v>9268</v>
      </c>
      <c r="AO54" t="str">
        <f t="shared" si="10"/>
        <v>NatGrdExt_ESP-6</v>
      </c>
      <c r="AP54" t="str">
        <f t="shared" si="11"/>
        <v>Grid Extension -Spain- Step 6</v>
      </c>
      <c r="AQ54" t="s">
        <v>29</v>
      </c>
      <c r="AR54" t="s">
        <v>30</v>
      </c>
      <c r="AS54" t="s">
        <v>9465</v>
      </c>
      <c r="AU54" t="s">
        <v>9268</v>
      </c>
      <c r="AV54" t="str">
        <f t="shared" si="12"/>
        <v>NatGrdExt_ESP-7</v>
      </c>
      <c r="AW54" t="str">
        <f t="shared" si="13"/>
        <v>Grid Extension -Spain- Step 7</v>
      </c>
      <c r="AX54" t="s">
        <v>29</v>
      </c>
      <c r="AY54" t="s">
        <v>30</v>
      </c>
      <c r="AZ54" t="s">
        <v>9465</v>
      </c>
      <c r="BB54" t="s">
        <v>9268</v>
      </c>
      <c r="BC54" t="str">
        <f t="shared" si="14"/>
        <v>NatGrdExt_ESP-8</v>
      </c>
      <c r="BD54" t="str">
        <f t="shared" si="15"/>
        <v>Grid Extension -Spain- Step 8</v>
      </c>
      <c r="BE54" t="s">
        <v>29</v>
      </c>
      <c r="BF54" t="s">
        <v>30</v>
      </c>
      <c r="BG54" t="s">
        <v>9465</v>
      </c>
      <c r="BI54" t="s">
        <v>9268</v>
      </c>
      <c r="BJ54" t="str">
        <f t="shared" si="16"/>
        <v>NatGrdExt_ESP-9</v>
      </c>
      <c r="BK54" t="str">
        <f t="shared" si="17"/>
        <v>Grid Extension -Spain- Step 9</v>
      </c>
      <c r="BL54" t="s">
        <v>29</v>
      </c>
      <c r="BM54" t="s">
        <v>30</v>
      </c>
      <c r="BN54" t="s">
        <v>9465</v>
      </c>
      <c r="BP54" t="s">
        <v>9268</v>
      </c>
      <c r="BQ54" t="str">
        <f t="shared" si="18"/>
        <v>NatGrdExt_ESP-10</v>
      </c>
      <c r="BR54" t="str">
        <f t="shared" si="19"/>
        <v>Grid Extension -Spain- Step 10</v>
      </c>
      <c r="BS54" t="s">
        <v>29</v>
      </c>
      <c r="BT54" t="s">
        <v>30</v>
      </c>
      <c r="BU54" t="s">
        <v>9465</v>
      </c>
    </row>
    <row r="55" spans="1:73">
      <c r="A55" s="4" t="s">
        <v>680</v>
      </c>
      <c r="B55" s="4" t="s">
        <v>9514</v>
      </c>
      <c r="E55" t="s">
        <v>9268</v>
      </c>
      <c r="F55" t="str">
        <f t="shared" si="0"/>
        <v>NatGrdExt_EST-1</v>
      </c>
      <c r="G55" t="str">
        <f t="shared" si="1"/>
        <v>Grid Extension -Estonia- Step 1</v>
      </c>
      <c r="H55" t="s">
        <v>29</v>
      </c>
      <c r="I55" t="s">
        <v>30</v>
      </c>
      <c r="J55" t="s">
        <v>9465</v>
      </c>
      <c r="L55" t="s">
        <v>9268</v>
      </c>
      <c r="M55" t="str">
        <f t="shared" si="2"/>
        <v>NatGrdExt_EST-2</v>
      </c>
      <c r="N55" t="str">
        <f t="shared" si="3"/>
        <v>Grid Extension -Estonia- Step 2</v>
      </c>
      <c r="O55" t="s">
        <v>29</v>
      </c>
      <c r="P55" t="s">
        <v>30</v>
      </c>
      <c r="Q55" t="s">
        <v>9465</v>
      </c>
      <c r="S55" t="s">
        <v>9268</v>
      </c>
      <c r="T55" t="str">
        <f t="shared" si="4"/>
        <v>NatGrdExt_EST-3</v>
      </c>
      <c r="U55" t="str">
        <f t="shared" si="5"/>
        <v>Grid Extension -Estonia- Step 3</v>
      </c>
      <c r="V55" t="s">
        <v>29</v>
      </c>
      <c r="W55" t="s">
        <v>30</v>
      </c>
      <c r="X55" t="s">
        <v>9465</v>
      </c>
      <c r="Z55" t="s">
        <v>9268</v>
      </c>
      <c r="AA55" t="str">
        <f t="shared" si="6"/>
        <v>NatGrdExt_EST-4</v>
      </c>
      <c r="AB55" t="str">
        <f t="shared" si="7"/>
        <v>Grid Extension -Estonia- Step 4</v>
      </c>
      <c r="AC55" t="s">
        <v>29</v>
      </c>
      <c r="AD55" t="s">
        <v>30</v>
      </c>
      <c r="AE55" t="s">
        <v>9465</v>
      </c>
      <c r="AG55" t="s">
        <v>9268</v>
      </c>
      <c r="AH55" t="str">
        <f t="shared" si="8"/>
        <v>NatGrdExt_EST-5</v>
      </c>
      <c r="AI55" t="str">
        <f t="shared" si="9"/>
        <v>Grid Extension -Estonia- Step 5</v>
      </c>
      <c r="AJ55" t="s">
        <v>29</v>
      </c>
      <c r="AK55" t="s">
        <v>30</v>
      </c>
      <c r="AL55" t="s">
        <v>9465</v>
      </c>
      <c r="AN55" t="s">
        <v>9268</v>
      </c>
      <c r="AO55" t="str">
        <f t="shared" si="10"/>
        <v>NatGrdExt_EST-6</v>
      </c>
      <c r="AP55" t="str">
        <f t="shared" si="11"/>
        <v>Grid Extension -Estonia- Step 6</v>
      </c>
      <c r="AQ55" t="s">
        <v>29</v>
      </c>
      <c r="AR55" t="s">
        <v>30</v>
      </c>
      <c r="AS55" t="s">
        <v>9465</v>
      </c>
      <c r="AU55" t="s">
        <v>9268</v>
      </c>
      <c r="AV55" t="str">
        <f t="shared" si="12"/>
        <v>NatGrdExt_EST-7</v>
      </c>
      <c r="AW55" t="str">
        <f t="shared" si="13"/>
        <v>Grid Extension -Estonia- Step 7</v>
      </c>
      <c r="AX55" t="s">
        <v>29</v>
      </c>
      <c r="AY55" t="s">
        <v>30</v>
      </c>
      <c r="AZ55" t="s">
        <v>9465</v>
      </c>
      <c r="BB55" t="s">
        <v>9268</v>
      </c>
      <c r="BC55" t="str">
        <f t="shared" si="14"/>
        <v>NatGrdExt_EST-8</v>
      </c>
      <c r="BD55" t="str">
        <f t="shared" si="15"/>
        <v>Grid Extension -Estonia- Step 8</v>
      </c>
      <c r="BE55" t="s">
        <v>29</v>
      </c>
      <c r="BF55" t="s">
        <v>30</v>
      </c>
      <c r="BG55" t="s">
        <v>9465</v>
      </c>
      <c r="BI55" t="s">
        <v>9268</v>
      </c>
      <c r="BJ55" t="str">
        <f t="shared" si="16"/>
        <v>NatGrdExt_EST-9</v>
      </c>
      <c r="BK55" t="str">
        <f t="shared" si="17"/>
        <v>Grid Extension -Estonia- Step 9</v>
      </c>
      <c r="BL55" t="s">
        <v>29</v>
      </c>
      <c r="BM55" t="s">
        <v>30</v>
      </c>
      <c r="BN55" t="s">
        <v>9465</v>
      </c>
      <c r="BP55" t="s">
        <v>9268</v>
      </c>
      <c r="BQ55" t="str">
        <f t="shared" si="18"/>
        <v>NatGrdExt_EST-10</v>
      </c>
      <c r="BR55" t="str">
        <f t="shared" si="19"/>
        <v>Grid Extension -Estonia- Step 10</v>
      </c>
      <c r="BS55" t="s">
        <v>29</v>
      </c>
      <c r="BT55" t="s">
        <v>30</v>
      </c>
      <c r="BU55" t="s">
        <v>9465</v>
      </c>
    </row>
    <row r="56" spans="1:73">
      <c r="A56" s="4" t="s">
        <v>686</v>
      </c>
      <c r="B56" s="4" t="s">
        <v>9515</v>
      </c>
      <c r="E56" t="s">
        <v>9268</v>
      </c>
      <c r="F56" t="str">
        <f t="shared" si="0"/>
        <v>NatGrdExt_ETH-1</v>
      </c>
      <c r="G56" t="str">
        <f t="shared" si="1"/>
        <v>Grid Extension -Ethiopia- Step 1</v>
      </c>
      <c r="H56" t="s">
        <v>29</v>
      </c>
      <c r="I56" t="s">
        <v>30</v>
      </c>
      <c r="J56" t="s">
        <v>9465</v>
      </c>
      <c r="L56" t="s">
        <v>9268</v>
      </c>
      <c r="M56" t="str">
        <f t="shared" si="2"/>
        <v>NatGrdExt_ETH-2</v>
      </c>
      <c r="N56" t="str">
        <f t="shared" si="3"/>
        <v>Grid Extension -Ethiopia- Step 2</v>
      </c>
      <c r="O56" t="s">
        <v>29</v>
      </c>
      <c r="P56" t="s">
        <v>30</v>
      </c>
      <c r="Q56" t="s">
        <v>9465</v>
      </c>
      <c r="S56" t="s">
        <v>9268</v>
      </c>
      <c r="T56" t="str">
        <f t="shared" si="4"/>
        <v>NatGrdExt_ETH-3</v>
      </c>
      <c r="U56" t="str">
        <f t="shared" si="5"/>
        <v>Grid Extension -Ethiopia- Step 3</v>
      </c>
      <c r="V56" t="s">
        <v>29</v>
      </c>
      <c r="W56" t="s">
        <v>30</v>
      </c>
      <c r="X56" t="s">
        <v>9465</v>
      </c>
      <c r="Z56" t="s">
        <v>9268</v>
      </c>
      <c r="AA56" t="str">
        <f t="shared" si="6"/>
        <v>NatGrdExt_ETH-4</v>
      </c>
      <c r="AB56" t="str">
        <f t="shared" si="7"/>
        <v>Grid Extension -Ethiopia- Step 4</v>
      </c>
      <c r="AC56" t="s">
        <v>29</v>
      </c>
      <c r="AD56" t="s">
        <v>30</v>
      </c>
      <c r="AE56" t="s">
        <v>9465</v>
      </c>
      <c r="AG56" t="s">
        <v>9268</v>
      </c>
      <c r="AH56" t="str">
        <f t="shared" si="8"/>
        <v>NatGrdExt_ETH-5</v>
      </c>
      <c r="AI56" t="str">
        <f t="shared" si="9"/>
        <v>Grid Extension -Ethiopia- Step 5</v>
      </c>
      <c r="AJ56" t="s">
        <v>29</v>
      </c>
      <c r="AK56" t="s">
        <v>30</v>
      </c>
      <c r="AL56" t="s">
        <v>9465</v>
      </c>
      <c r="AN56" t="s">
        <v>9268</v>
      </c>
      <c r="AO56" t="str">
        <f t="shared" si="10"/>
        <v>NatGrdExt_ETH-6</v>
      </c>
      <c r="AP56" t="str">
        <f t="shared" si="11"/>
        <v>Grid Extension -Ethiopia- Step 6</v>
      </c>
      <c r="AQ56" t="s">
        <v>29</v>
      </c>
      <c r="AR56" t="s">
        <v>30</v>
      </c>
      <c r="AS56" t="s">
        <v>9465</v>
      </c>
      <c r="AU56" t="s">
        <v>9268</v>
      </c>
      <c r="AV56" t="str">
        <f t="shared" si="12"/>
        <v>NatGrdExt_ETH-7</v>
      </c>
      <c r="AW56" t="str">
        <f t="shared" si="13"/>
        <v>Grid Extension -Ethiopia- Step 7</v>
      </c>
      <c r="AX56" t="s">
        <v>29</v>
      </c>
      <c r="AY56" t="s">
        <v>30</v>
      </c>
      <c r="AZ56" t="s">
        <v>9465</v>
      </c>
      <c r="BB56" t="s">
        <v>9268</v>
      </c>
      <c r="BC56" t="str">
        <f t="shared" si="14"/>
        <v>NatGrdExt_ETH-8</v>
      </c>
      <c r="BD56" t="str">
        <f t="shared" si="15"/>
        <v>Grid Extension -Ethiopia- Step 8</v>
      </c>
      <c r="BE56" t="s">
        <v>29</v>
      </c>
      <c r="BF56" t="s">
        <v>30</v>
      </c>
      <c r="BG56" t="s">
        <v>9465</v>
      </c>
      <c r="BI56" t="s">
        <v>9268</v>
      </c>
      <c r="BJ56" t="str">
        <f t="shared" si="16"/>
        <v>NatGrdExt_ETH-9</v>
      </c>
      <c r="BK56" t="str">
        <f t="shared" si="17"/>
        <v>Grid Extension -Ethiopia- Step 9</v>
      </c>
      <c r="BL56" t="s">
        <v>29</v>
      </c>
      <c r="BM56" t="s">
        <v>30</v>
      </c>
      <c r="BN56" t="s">
        <v>9465</v>
      </c>
      <c r="BP56" t="s">
        <v>9268</v>
      </c>
      <c r="BQ56" t="str">
        <f t="shared" si="18"/>
        <v>NatGrdExt_ETH-10</v>
      </c>
      <c r="BR56" t="str">
        <f t="shared" si="19"/>
        <v>Grid Extension -Ethiopia- Step 10</v>
      </c>
      <c r="BS56" t="s">
        <v>29</v>
      </c>
      <c r="BT56" t="s">
        <v>30</v>
      </c>
      <c r="BU56" t="s">
        <v>9465</v>
      </c>
    </row>
    <row r="57" spans="1:73">
      <c r="A57" s="4" t="s">
        <v>3503</v>
      </c>
      <c r="B57" s="4" t="s">
        <v>9516</v>
      </c>
      <c r="E57" t="s">
        <v>9268</v>
      </c>
      <c r="F57" t="str">
        <f t="shared" si="0"/>
        <v>NatGrdExt_FIN-1</v>
      </c>
      <c r="G57" t="str">
        <f t="shared" si="1"/>
        <v>Grid Extension -Finland- Step 1</v>
      </c>
      <c r="H57" t="s">
        <v>29</v>
      </c>
      <c r="I57" t="s">
        <v>30</v>
      </c>
      <c r="J57" t="s">
        <v>9465</v>
      </c>
      <c r="L57" t="s">
        <v>9268</v>
      </c>
      <c r="M57" t="str">
        <f t="shared" si="2"/>
        <v>NatGrdExt_FIN-2</v>
      </c>
      <c r="N57" t="str">
        <f t="shared" si="3"/>
        <v>Grid Extension -Finland- Step 2</v>
      </c>
      <c r="O57" t="s">
        <v>29</v>
      </c>
      <c r="P57" t="s">
        <v>30</v>
      </c>
      <c r="Q57" t="s">
        <v>9465</v>
      </c>
      <c r="S57" t="s">
        <v>9268</v>
      </c>
      <c r="T57" t="str">
        <f t="shared" si="4"/>
        <v>NatGrdExt_FIN-3</v>
      </c>
      <c r="U57" t="str">
        <f t="shared" si="5"/>
        <v>Grid Extension -Finland- Step 3</v>
      </c>
      <c r="V57" t="s">
        <v>29</v>
      </c>
      <c r="W57" t="s">
        <v>30</v>
      </c>
      <c r="X57" t="s">
        <v>9465</v>
      </c>
      <c r="Z57" t="s">
        <v>9268</v>
      </c>
      <c r="AA57" t="str">
        <f t="shared" si="6"/>
        <v>NatGrdExt_FIN-4</v>
      </c>
      <c r="AB57" t="str">
        <f t="shared" si="7"/>
        <v>Grid Extension -Finland- Step 4</v>
      </c>
      <c r="AC57" t="s">
        <v>29</v>
      </c>
      <c r="AD57" t="s">
        <v>30</v>
      </c>
      <c r="AE57" t="s">
        <v>9465</v>
      </c>
      <c r="AG57" t="s">
        <v>9268</v>
      </c>
      <c r="AH57" t="str">
        <f t="shared" si="8"/>
        <v>NatGrdExt_FIN-5</v>
      </c>
      <c r="AI57" t="str">
        <f t="shared" si="9"/>
        <v>Grid Extension -Finland- Step 5</v>
      </c>
      <c r="AJ57" t="s">
        <v>29</v>
      </c>
      <c r="AK57" t="s">
        <v>30</v>
      </c>
      <c r="AL57" t="s">
        <v>9465</v>
      </c>
      <c r="AN57" t="s">
        <v>9268</v>
      </c>
      <c r="AO57" t="str">
        <f t="shared" si="10"/>
        <v>NatGrdExt_FIN-6</v>
      </c>
      <c r="AP57" t="str">
        <f t="shared" si="11"/>
        <v>Grid Extension -Finland- Step 6</v>
      </c>
      <c r="AQ57" t="s">
        <v>29</v>
      </c>
      <c r="AR57" t="s">
        <v>30</v>
      </c>
      <c r="AS57" t="s">
        <v>9465</v>
      </c>
      <c r="AU57" t="s">
        <v>9268</v>
      </c>
      <c r="AV57" t="str">
        <f t="shared" si="12"/>
        <v>NatGrdExt_FIN-7</v>
      </c>
      <c r="AW57" t="str">
        <f t="shared" si="13"/>
        <v>Grid Extension -Finland- Step 7</v>
      </c>
      <c r="AX57" t="s">
        <v>29</v>
      </c>
      <c r="AY57" t="s">
        <v>30</v>
      </c>
      <c r="AZ57" t="s">
        <v>9465</v>
      </c>
      <c r="BB57" t="s">
        <v>9268</v>
      </c>
      <c r="BC57" t="str">
        <f t="shared" si="14"/>
        <v>NatGrdExt_FIN-8</v>
      </c>
      <c r="BD57" t="str">
        <f t="shared" si="15"/>
        <v>Grid Extension -Finland- Step 8</v>
      </c>
      <c r="BE57" t="s">
        <v>29</v>
      </c>
      <c r="BF57" t="s">
        <v>30</v>
      </c>
      <c r="BG57" t="s">
        <v>9465</v>
      </c>
      <c r="BI57" t="s">
        <v>9268</v>
      </c>
      <c r="BJ57" t="str">
        <f t="shared" si="16"/>
        <v>NatGrdExt_FIN-9</v>
      </c>
      <c r="BK57" t="str">
        <f t="shared" si="17"/>
        <v>Grid Extension -Finland- Step 9</v>
      </c>
      <c r="BL57" t="s">
        <v>29</v>
      </c>
      <c r="BM57" t="s">
        <v>30</v>
      </c>
      <c r="BN57" t="s">
        <v>9465</v>
      </c>
      <c r="BP57" t="s">
        <v>9268</v>
      </c>
      <c r="BQ57" t="str">
        <f t="shared" si="18"/>
        <v>NatGrdExt_FIN-10</v>
      </c>
      <c r="BR57" t="str">
        <f t="shared" si="19"/>
        <v>Grid Extension -Finland- Step 10</v>
      </c>
      <c r="BS57" t="s">
        <v>29</v>
      </c>
      <c r="BT57" t="s">
        <v>30</v>
      </c>
      <c r="BU57" t="s">
        <v>9465</v>
      </c>
    </row>
    <row r="58" spans="1:73">
      <c r="A58" s="4" t="s">
        <v>700</v>
      </c>
      <c r="B58" s="4" t="s">
        <v>9517</v>
      </c>
      <c r="E58" t="s">
        <v>9268</v>
      </c>
      <c r="F58" t="str">
        <f t="shared" si="0"/>
        <v>NatGrdExt_FRA-1</v>
      </c>
      <c r="G58" t="str">
        <f t="shared" si="1"/>
        <v>Grid Extension -France- Step 1</v>
      </c>
      <c r="H58" t="s">
        <v>29</v>
      </c>
      <c r="I58" t="s">
        <v>30</v>
      </c>
      <c r="J58" t="s">
        <v>9465</v>
      </c>
      <c r="L58" t="s">
        <v>9268</v>
      </c>
      <c r="M58" t="str">
        <f t="shared" si="2"/>
        <v>NatGrdExt_FRA-2</v>
      </c>
      <c r="N58" t="str">
        <f t="shared" si="3"/>
        <v>Grid Extension -France- Step 2</v>
      </c>
      <c r="O58" t="s">
        <v>29</v>
      </c>
      <c r="P58" t="s">
        <v>30</v>
      </c>
      <c r="Q58" t="s">
        <v>9465</v>
      </c>
      <c r="S58" t="s">
        <v>9268</v>
      </c>
      <c r="T58" t="str">
        <f t="shared" si="4"/>
        <v>NatGrdExt_FRA-3</v>
      </c>
      <c r="U58" t="str">
        <f t="shared" si="5"/>
        <v>Grid Extension -France- Step 3</v>
      </c>
      <c r="V58" t="s">
        <v>29</v>
      </c>
      <c r="W58" t="s">
        <v>30</v>
      </c>
      <c r="X58" t="s">
        <v>9465</v>
      </c>
      <c r="Z58" t="s">
        <v>9268</v>
      </c>
      <c r="AA58" t="str">
        <f t="shared" si="6"/>
        <v>NatGrdExt_FRA-4</v>
      </c>
      <c r="AB58" t="str">
        <f t="shared" si="7"/>
        <v>Grid Extension -France- Step 4</v>
      </c>
      <c r="AC58" t="s">
        <v>29</v>
      </c>
      <c r="AD58" t="s">
        <v>30</v>
      </c>
      <c r="AE58" t="s">
        <v>9465</v>
      </c>
      <c r="AG58" t="s">
        <v>9268</v>
      </c>
      <c r="AH58" t="str">
        <f t="shared" si="8"/>
        <v>NatGrdExt_FRA-5</v>
      </c>
      <c r="AI58" t="str">
        <f t="shared" si="9"/>
        <v>Grid Extension -France- Step 5</v>
      </c>
      <c r="AJ58" t="s">
        <v>29</v>
      </c>
      <c r="AK58" t="s">
        <v>30</v>
      </c>
      <c r="AL58" t="s">
        <v>9465</v>
      </c>
      <c r="AN58" t="s">
        <v>9268</v>
      </c>
      <c r="AO58" t="str">
        <f t="shared" si="10"/>
        <v>NatGrdExt_FRA-6</v>
      </c>
      <c r="AP58" t="str">
        <f t="shared" si="11"/>
        <v>Grid Extension -France- Step 6</v>
      </c>
      <c r="AQ58" t="s">
        <v>29</v>
      </c>
      <c r="AR58" t="s">
        <v>30</v>
      </c>
      <c r="AS58" t="s">
        <v>9465</v>
      </c>
      <c r="AU58" t="s">
        <v>9268</v>
      </c>
      <c r="AV58" t="str">
        <f t="shared" si="12"/>
        <v>NatGrdExt_FRA-7</v>
      </c>
      <c r="AW58" t="str">
        <f t="shared" si="13"/>
        <v>Grid Extension -France- Step 7</v>
      </c>
      <c r="AX58" t="s">
        <v>29</v>
      </c>
      <c r="AY58" t="s">
        <v>30</v>
      </c>
      <c r="AZ58" t="s">
        <v>9465</v>
      </c>
      <c r="BB58" t="s">
        <v>9268</v>
      </c>
      <c r="BC58" t="str">
        <f t="shared" si="14"/>
        <v>NatGrdExt_FRA-8</v>
      </c>
      <c r="BD58" t="str">
        <f t="shared" si="15"/>
        <v>Grid Extension -France- Step 8</v>
      </c>
      <c r="BE58" t="s">
        <v>29</v>
      </c>
      <c r="BF58" t="s">
        <v>30</v>
      </c>
      <c r="BG58" t="s">
        <v>9465</v>
      </c>
      <c r="BI58" t="s">
        <v>9268</v>
      </c>
      <c r="BJ58" t="str">
        <f t="shared" si="16"/>
        <v>NatGrdExt_FRA-9</v>
      </c>
      <c r="BK58" t="str">
        <f t="shared" si="17"/>
        <v>Grid Extension -France- Step 9</v>
      </c>
      <c r="BL58" t="s">
        <v>29</v>
      </c>
      <c r="BM58" t="s">
        <v>30</v>
      </c>
      <c r="BN58" t="s">
        <v>9465</v>
      </c>
      <c r="BP58" t="s">
        <v>9268</v>
      </c>
      <c r="BQ58" t="str">
        <f t="shared" si="18"/>
        <v>NatGrdExt_FRA-10</v>
      </c>
      <c r="BR58" t="str">
        <f t="shared" si="19"/>
        <v>Grid Extension -France- Step 10</v>
      </c>
      <c r="BS58" t="s">
        <v>29</v>
      </c>
      <c r="BT58" t="s">
        <v>30</v>
      </c>
      <c r="BU58" t="s">
        <v>9465</v>
      </c>
    </row>
    <row r="59" spans="1:73">
      <c r="A59" s="4" t="s">
        <v>722</v>
      </c>
      <c r="B59" s="4" t="s">
        <v>9518</v>
      </c>
      <c r="E59" t="s">
        <v>9268</v>
      </c>
      <c r="F59" t="str">
        <f t="shared" si="0"/>
        <v>NatGrdExt_GAB-1</v>
      </c>
      <c r="G59" t="str">
        <f t="shared" si="1"/>
        <v>Grid Extension -Gabon- Step 1</v>
      </c>
      <c r="H59" t="s">
        <v>29</v>
      </c>
      <c r="I59" t="s">
        <v>30</v>
      </c>
      <c r="J59" t="s">
        <v>9465</v>
      </c>
      <c r="L59" t="s">
        <v>9268</v>
      </c>
      <c r="M59" t="str">
        <f t="shared" si="2"/>
        <v>NatGrdExt_GAB-2</v>
      </c>
      <c r="N59" t="str">
        <f t="shared" si="3"/>
        <v>Grid Extension -Gabon- Step 2</v>
      </c>
      <c r="O59" t="s">
        <v>29</v>
      </c>
      <c r="P59" t="s">
        <v>30</v>
      </c>
      <c r="Q59" t="s">
        <v>9465</v>
      </c>
      <c r="S59" t="s">
        <v>9268</v>
      </c>
      <c r="T59" t="str">
        <f t="shared" si="4"/>
        <v>NatGrdExt_GAB-3</v>
      </c>
      <c r="U59" t="str">
        <f t="shared" si="5"/>
        <v>Grid Extension -Gabon- Step 3</v>
      </c>
      <c r="V59" t="s">
        <v>29</v>
      </c>
      <c r="W59" t="s">
        <v>30</v>
      </c>
      <c r="X59" t="s">
        <v>9465</v>
      </c>
      <c r="Z59" t="s">
        <v>9268</v>
      </c>
      <c r="AA59" t="str">
        <f t="shared" si="6"/>
        <v>NatGrdExt_GAB-4</v>
      </c>
      <c r="AB59" t="str">
        <f t="shared" si="7"/>
        <v>Grid Extension -Gabon- Step 4</v>
      </c>
      <c r="AC59" t="s">
        <v>29</v>
      </c>
      <c r="AD59" t="s">
        <v>30</v>
      </c>
      <c r="AE59" t="s">
        <v>9465</v>
      </c>
      <c r="AG59" t="s">
        <v>9268</v>
      </c>
      <c r="AH59" t="str">
        <f t="shared" si="8"/>
        <v>NatGrdExt_GAB-5</v>
      </c>
      <c r="AI59" t="str">
        <f t="shared" si="9"/>
        <v>Grid Extension -Gabon- Step 5</v>
      </c>
      <c r="AJ59" t="s">
        <v>29</v>
      </c>
      <c r="AK59" t="s">
        <v>30</v>
      </c>
      <c r="AL59" t="s">
        <v>9465</v>
      </c>
      <c r="AN59" t="s">
        <v>9268</v>
      </c>
      <c r="AO59" t="str">
        <f t="shared" si="10"/>
        <v>NatGrdExt_GAB-6</v>
      </c>
      <c r="AP59" t="str">
        <f t="shared" si="11"/>
        <v>Grid Extension -Gabon- Step 6</v>
      </c>
      <c r="AQ59" t="s">
        <v>29</v>
      </c>
      <c r="AR59" t="s">
        <v>30</v>
      </c>
      <c r="AS59" t="s">
        <v>9465</v>
      </c>
      <c r="AU59" t="s">
        <v>9268</v>
      </c>
      <c r="AV59" t="str">
        <f t="shared" si="12"/>
        <v>NatGrdExt_GAB-7</v>
      </c>
      <c r="AW59" t="str">
        <f t="shared" si="13"/>
        <v>Grid Extension -Gabon- Step 7</v>
      </c>
      <c r="AX59" t="s">
        <v>29</v>
      </c>
      <c r="AY59" t="s">
        <v>30</v>
      </c>
      <c r="AZ59" t="s">
        <v>9465</v>
      </c>
      <c r="BB59" t="s">
        <v>9268</v>
      </c>
      <c r="BC59" t="str">
        <f t="shared" si="14"/>
        <v>NatGrdExt_GAB-8</v>
      </c>
      <c r="BD59" t="str">
        <f t="shared" si="15"/>
        <v>Grid Extension -Gabon- Step 8</v>
      </c>
      <c r="BE59" t="s">
        <v>29</v>
      </c>
      <c r="BF59" t="s">
        <v>30</v>
      </c>
      <c r="BG59" t="s">
        <v>9465</v>
      </c>
      <c r="BI59" t="s">
        <v>9268</v>
      </c>
      <c r="BJ59" t="str">
        <f t="shared" si="16"/>
        <v>NatGrdExt_GAB-9</v>
      </c>
      <c r="BK59" t="str">
        <f t="shared" si="17"/>
        <v>Grid Extension -Gabon- Step 9</v>
      </c>
      <c r="BL59" t="s">
        <v>29</v>
      </c>
      <c r="BM59" t="s">
        <v>30</v>
      </c>
      <c r="BN59" t="s">
        <v>9465</v>
      </c>
      <c r="BP59" t="s">
        <v>9268</v>
      </c>
      <c r="BQ59" t="str">
        <f t="shared" si="18"/>
        <v>NatGrdExt_GAB-10</v>
      </c>
      <c r="BR59" t="str">
        <f t="shared" si="19"/>
        <v>Grid Extension -Gabon- Step 10</v>
      </c>
      <c r="BS59" t="s">
        <v>29</v>
      </c>
      <c r="BT59" t="s">
        <v>30</v>
      </c>
      <c r="BU59" t="s">
        <v>9465</v>
      </c>
    </row>
    <row r="60" spans="1:73">
      <c r="A60" s="4" t="s">
        <v>736</v>
      </c>
      <c r="B60" s="4" t="s">
        <v>9519</v>
      </c>
      <c r="E60" t="s">
        <v>9268</v>
      </c>
      <c r="F60" t="str">
        <f t="shared" si="0"/>
        <v>NatGrdExt_GBR-1</v>
      </c>
      <c r="G60" t="str">
        <f t="shared" si="1"/>
        <v>Grid Extension -United Kingdom- Step 1</v>
      </c>
      <c r="H60" t="s">
        <v>29</v>
      </c>
      <c r="I60" t="s">
        <v>30</v>
      </c>
      <c r="J60" t="s">
        <v>9465</v>
      </c>
      <c r="L60" t="s">
        <v>9268</v>
      </c>
      <c r="M60" t="str">
        <f t="shared" si="2"/>
        <v>NatGrdExt_GBR-2</v>
      </c>
      <c r="N60" t="str">
        <f t="shared" si="3"/>
        <v>Grid Extension -United Kingdom- Step 2</v>
      </c>
      <c r="O60" t="s">
        <v>29</v>
      </c>
      <c r="P60" t="s">
        <v>30</v>
      </c>
      <c r="Q60" t="s">
        <v>9465</v>
      </c>
      <c r="S60" t="s">
        <v>9268</v>
      </c>
      <c r="T60" t="str">
        <f t="shared" si="4"/>
        <v>NatGrdExt_GBR-3</v>
      </c>
      <c r="U60" t="str">
        <f t="shared" si="5"/>
        <v>Grid Extension -United Kingdom- Step 3</v>
      </c>
      <c r="V60" t="s">
        <v>29</v>
      </c>
      <c r="W60" t="s">
        <v>30</v>
      </c>
      <c r="X60" t="s">
        <v>9465</v>
      </c>
      <c r="Z60" t="s">
        <v>9268</v>
      </c>
      <c r="AA60" t="str">
        <f t="shared" si="6"/>
        <v>NatGrdExt_GBR-4</v>
      </c>
      <c r="AB60" t="str">
        <f t="shared" si="7"/>
        <v>Grid Extension -United Kingdom- Step 4</v>
      </c>
      <c r="AC60" t="s">
        <v>29</v>
      </c>
      <c r="AD60" t="s">
        <v>30</v>
      </c>
      <c r="AE60" t="s">
        <v>9465</v>
      </c>
      <c r="AG60" t="s">
        <v>9268</v>
      </c>
      <c r="AH60" t="str">
        <f t="shared" si="8"/>
        <v>NatGrdExt_GBR-5</v>
      </c>
      <c r="AI60" t="str">
        <f t="shared" si="9"/>
        <v>Grid Extension -United Kingdom- Step 5</v>
      </c>
      <c r="AJ60" t="s">
        <v>29</v>
      </c>
      <c r="AK60" t="s">
        <v>30</v>
      </c>
      <c r="AL60" t="s">
        <v>9465</v>
      </c>
      <c r="AN60" t="s">
        <v>9268</v>
      </c>
      <c r="AO60" t="str">
        <f t="shared" si="10"/>
        <v>NatGrdExt_GBR-6</v>
      </c>
      <c r="AP60" t="str">
        <f t="shared" si="11"/>
        <v>Grid Extension -United Kingdom- Step 6</v>
      </c>
      <c r="AQ60" t="s">
        <v>29</v>
      </c>
      <c r="AR60" t="s">
        <v>30</v>
      </c>
      <c r="AS60" t="s">
        <v>9465</v>
      </c>
      <c r="AU60" t="s">
        <v>9268</v>
      </c>
      <c r="AV60" t="str">
        <f t="shared" si="12"/>
        <v>NatGrdExt_GBR-7</v>
      </c>
      <c r="AW60" t="str">
        <f t="shared" si="13"/>
        <v>Grid Extension -United Kingdom- Step 7</v>
      </c>
      <c r="AX60" t="s">
        <v>29</v>
      </c>
      <c r="AY60" t="s">
        <v>30</v>
      </c>
      <c r="AZ60" t="s">
        <v>9465</v>
      </c>
      <c r="BB60" t="s">
        <v>9268</v>
      </c>
      <c r="BC60" t="str">
        <f t="shared" si="14"/>
        <v>NatGrdExt_GBR-8</v>
      </c>
      <c r="BD60" t="str">
        <f t="shared" si="15"/>
        <v>Grid Extension -United Kingdom- Step 8</v>
      </c>
      <c r="BE60" t="s">
        <v>29</v>
      </c>
      <c r="BF60" t="s">
        <v>30</v>
      </c>
      <c r="BG60" t="s">
        <v>9465</v>
      </c>
      <c r="BI60" t="s">
        <v>9268</v>
      </c>
      <c r="BJ60" t="str">
        <f t="shared" si="16"/>
        <v>NatGrdExt_GBR-9</v>
      </c>
      <c r="BK60" t="str">
        <f t="shared" si="17"/>
        <v>Grid Extension -United Kingdom- Step 9</v>
      </c>
      <c r="BL60" t="s">
        <v>29</v>
      </c>
      <c r="BM60" t="s">
        <v>30</v>
      </c>
      <c r="BN60" t="s">
        <v>9465</v>
      </c>
      <c r="BP60" t="s">
        <v>9268</v>
      </c>
      <c r="BQ60" t="str">
        <f t="shared" si="18"/>
        <v>NatGrdExt_GBR-10</v>
      </c>
      <c r="BR60" t="str">
        <f t="shared" si="19"/>
        <v>Grid Extension -United Kingdom- Step 10</v>
      </c>
      <c r="BS60" t="s">
        <v>29</v>
      </c>
      <c r="BT60" t="s">
        <v>30</v>
      </c>
      <c r="BU60" t="s">
        <v>9465</v>
      </c>
    </row>
    <row r="61" spans="1:73">
      <c r="A61" s="4" t="s">
        <v>750</v>
      </c>
      <c r="B61" s="4" t="s">
        <v>9520</v>
      </c>
      <c r="E61" t="s">
        <v>9268</v>
      </c>
      <c r="F61" t="str">
        <f t="shared" si="0"/>
        <v>NatGrdExt_GEO-1</v>
      </c>
      <c r="G61" t="str">
        <f t="shared" si="1"/>
        <v>Grid Extension -Georgia- Step 1</v>
      </c>
      <c r="H61" t="s">
        <v>29</v>
      </c>
      <c r="I61" t="s">
        <v>30</v>
      </c>
      <c r="J61" t="s">
        <v>9465</v>
      </c>
      <c r="L61" t="s">
        <v>9268</v>
      </c>
      <c r="M61" t="str">
        <f t="shared" si="2"/>
        <v>NatGrdExt_GEO-2</v>
      </c>
      <c r="N61" t="str">
        <f t="shared" si="3"/>
        <v>Grid Extension -Georgia- Step 2</v>
      </c>
      <c r="O61" t="s">
        <v>29</v>
      </c>
      <c r="P61" t="s">
        <v>30</v>
      </c>
      <c r="Q61" t="s">
        <v>9465</v>
      </c>
      <c r="S61" t="s">
        <v>9268</v>
      </c>
      <c r="T61" t="str">
        <f t="shared" si="4"/>
        <v>NatGrdExt_GEO-3</v>
      </c>
      <c r="U61" t="str">
        <f t="shared" si="5"/>
        <v>Grid Extension -Georgia- Step 3</v>
      </c>
      <c r="V61" t="s">
        <v>29</v>
      </c>
      <c r="W61" t="s">
        <v>30</v>
      </c>
      <c r="X61" t="s">
        <v>9465</v>
      </c>
      <c r="Z61" t="s">
        <v>9268</v>
      </c>
      <c r="AA61" t="str">
        <f t="shared" si="6"/>
        <v>NatGrdExt_GEO-4</v>
      </c>
      <c r="AB61" t="str">
        <f t="shared" si="7"/>
        <v>Grid Extension -Georgia- Step 4</v>
      </c>
      <c r="AC61" t="s">
        <v>29</v>
      </c>
      <c r="AD61" t="s">
        <v>30</v>
      </c>
      <c r="AE61" t="s">
        <v>9465</v>
      </c>
      <c r="AG61" t="s">
        <v>9268</v>
      </c>
      <c r="AH61" t="str">
        <f t="shared" si="8"/>
        <v>NatGrdExt_GEO-5</v>
      </c>
      <c r="AI61" t="str">
        <f t="shared" si="9"/>
        <v>Grid Extension -Georgia- Step 5</v>
      </c>
      <c r="AJ61" t="s">
        <v>29</v>
      </c>
      <c r="AK61" t="s">
        <v>30</v>
      </c>
      <c r="AL61" t="s">
        <v>9465</v>
      </c>
      <c r="AN61" t="s">
        <v>9268</v>
      </c>
      <c r="AO61" t="str">
        <f t="shared" si="10"/>
        <v>NatGrdExt_GEO-6</v>
      </c>
      <c r="AP61" t="str">
        <f t="shared" si="11"/>
        <v>Grid Extension -Georgia- Step 6</v>
      </c>
      <c r="AQ61" t="s">
        <v>29</v>
      </c>
      <c r="AR61" t="s">
        <v>30</v>
      </c>
      <c r="AS61" t="s">
        <v>9465</v>
      </c>
      <c r="AU61" t="s">
        <v>9268</v>
      </c>
      <c r="AV61" t="str">
        <f t="shared" si="12"/>
        <v>NatGrdExt_GEO-7</v>
      </c>
      <c r="AW61" t="str">
        <f t="shared" si="13"/>
        <v>Grid Extension -Georgia- Step 7</v>
      </c>
      <c r="AX61" t="s">
        <v>29</v>
      </c>
      <c r="AY61" t="s">
        <v>30</v>
      </c>
      <c r="AZ61" t="s">
        <v>9465</v>
      </c>
      <c r="BB61" t="s">
        <v>9268</v>
      </c>
      <c r="BC61" t="str">
        <f t="shared" si="14"/>
        <v>NatGrdExt_GEO-8</v>
      </c>
      <c r="BD61" t="str">
        <f t="shared" si="15"/>
        <v>Grid Extension -Georgia- Step 8</v>
      </c>
      <c r="BE61" t="s">
        <v>29</v>
      </c>
      <c r="BF61" t="s">
        <v>30</v>
      </c>
      <c r="BG61" t="s">
        <v>9465</v>
      </c>
      <c r="BI61" t="s">
        <v>9268</v>
      </c>
      <c r="BJ61" t="str">
        <f t="shared" si="16"/>
        <v>NatGrdExt_GEO-9</v>
      </c>
      <c r="BK61" t="str">
        <f t="shared" si="17"/>
        <v>Grid Extension -Georgia- Step 9</v>
      </c>
      <c r="BL61" t="s">
        <v>29</v>
      </c>
      <c r="BM61" t="s">
        <v>30</v>
      </c>
      <c r="BN61" t="s">
        <v>9465</v>
      </c>
      <c r="BP61" t="s">
        <v>9268</v>
      </c>
      <c r="BQ61" t="str">
        <f t="shared" si="18"/>
        <v>NatGrdExt_GEO-10</v>
      </c>
      <c r="BR61" t="str">
        <f t="shared" si="19"/>
        <v>Grid Extension -Georgia- Step 10</v>
      </c>
      <c r="BS61" t="s">
        <v>29</v>
      </c>
      <c r="BT61" t="s">
        <v>30</v>
      </c>
      <c r="BU61" t="s">
        <v>9465</v>
      </c>
    </row>
    <row r="62" spans="1:73">
      <c r="A62" s="4" t="s">
        <v>762</v>
      </c>
      <c r="B62" s="4" t="s">
        <v>9521</v>
      </c>
      <c r="E62" t="s">
        <v>9268</v>
      </c>
      <c r="F62" t="str">
        <f t="shared" si="0"/>
        <v>NatGrdExt_GHA-1</v>
      </c>
      <c r="G62" t="str">
        <f t="shared" si="1"/>
        <v>Grid Extension -Ghana- Step 1</v>
      </c>
      <c r="H62" t="s">
        <v>29</v>
      </c>
      <c r="I62" t="s">
        <v>30</v>
      </c>
      <c r="J62" t="s">
        <v>9465</v>
      </c>
      <c r="L62" t="s">
        <v>9268</v>
      </c>
      <c r="M62" t="str">
        <f t="shared" si="2"/>
        <v>NatGrdExt_GHA-2</v>
      </c>
      <c r="N62" t="str">
        <f t="shared" si="3"/>
        <v>Grid Extension -Ghana- Step 2</v>
      </c>
      <c r="O62" t="s">
        <v>29</v>
      </c>
      <c r="P62" t="s">
        <v>30</v>
      </c>
      <c r="Q62" t="s">
        <v>9465</v>
      </c>
      <c r="S62" t="s">
        <v>9268</v>
      </c>
      <c r="T62" t="str">
        <f t="shared" si="4"/>
        <v>NatGrdExt_GHA-3</v>
      </c>
      <c r="U62" t="str">
        <f t="shared" si="5"/>
        <v>Grid Extension -Ghana- Step 3</v>
      </c>
      <c r="V62" t="s">
        <v>29</v>
      </c>
      <c r="W62" t="s">
        <v>30</v>
      </c>
      <c r="X62" t="s">
        <v>9465</v>
      </c>
      <c r="Z62" t="s">
        <v>9268</v>
      </c>
      <c r="AA62" t="str">
        <f t="shared" si="6"/>
        <v>NatGrdExt_GHA-4</v>
      </c>
      <c r="AB62" t="str">
        <f t="shared" si="7"/>
        <v>Grid Extension -Ghana- Step 4</v>
      </c>
      <c r="AC62" t="s">
        <v>29</v>
      </c>
      <c r="AD62" t="s">
        <v>30</v>
      </c>
      <c r="AE62" t="s">
        <v>9465</v>
      </c>
      <c r="AG62" t="s">
        <v>9268</v>
      </c>
      <c r="AH62" t="str">
        <f t="shared" si="8"/>
        <v>NatGrdExt_GHA-5</v>
      </c>
      <c r="AI62" t="str">
        <f t="shared" si="9"/>
        <v>Grid Extension -Ghana- Step 5</v>
      </c>
      <c r="AJ62" t="s">
        <v>29</v>
      </c>
      <c r="AK62" t="s">
        <v>30</v>
      </c>
      <c r="AL62" t="s">
        <v>9465</v>
      </c>
      <c r="AN62" t="s">
        <v>9268</v>
      </c>
      <c r="AO62" t="str">
        <f t="shared" si="10"/>
        <v>NatGrdExt_GHA-6</v>
      </c>
      <c r="AP62" t="str">
        <f t="shared" si="11"/>
        <v>Grid Extension -Ghana- Step 6</v>
      </c>
      <c r="AQ62" t="s">
        <v>29</v>
      </c>
      <c r="AR62" t="s">
        <v>30</v>
      </c>
      <c r="AS62" t="s">
        <v>9465</v>
      </c>
      <c r="AU62" t="s">
        <v>9268</v>
      </c>
      <c r="AV62" t="str">
        <f t="shared" si="12"/>
        <v>NatGrdExt_GHA-7</v>
      </c>
      <c r="AW62" t="str">
        <f t="shared" si="13"/>
        <v>Grid Extension -Ghana- Step 7</v>
      </c>
      <c r="AX62" t="s">
        <v>29</v>
      </c>
      <c r="AY62" t="s">
        <v>30</v>
      </c>
      <c r="AZ62" t="s">
        <v>9465</v>
      </c>
      <c r="BB62" t="s">
        <v>9268</v>
      </c>
      <c r="BC62" t="str">
        <f t="shared" si="14"/>
        <v>NatGrdExt_GHA-8</v>
      </c>
      <c r="BD62" t="str">
        <f t="shared" si="15"/>
        <v>Grid Extension -Ghana- Step 8</v>
      </c>
      <c r="BE62" t="s">
        <v>29</v>
      </c>
      <c r="BF62" t="s">
        <v>30</v>
      </c>
      <c r="BG62" t="s">
        <v>9465</v>
      </c>
      <c r="BI62" t="s">
        <v>9268</v>
      </c>
      <c r="BJ62" t="str">
        <f t="shared" si="16"/>
        <v>NatGrdExt_GHA-9</v>
      </c>
      <c r="BK62" t="str">
        <f t="shared" si="17"/>
        <v>Grid Extension -Ghana- Step 9</v>
      </c>
      <c r="BL62" t="s">
        <v>29</v>
      </c>
      <c r="BM62" t="s">
        <v>30</v>
      </c>
      <c r="BN62" t="s">
        <v>9465</v>
      </c>
      <c r="BP62" t="s">
        <v>9268</v>
      </c>
      <c r="BQ62" t="str">
        <f t="shared" si="18"/>
        <v>NatGrdExt_GHA-10</v>
      </c>
      <c r="BR62" t="str">
        <f t="shared" si="19"/>
        <v>Grid Extension -Ghana- Step 10</v>
      </c>
      <c r="BS62" t="s">
        <v>29</v>
      </c>
      <c r="BT62" t="s">
        <v>30</v>
      </c>
      <c r="BU62" t="s">
        <v>9465</v>
      </c>
    </row>
    <row r="63" spans="1:73">
      <c r="A63" s="4" t="s">
        <v>780</v>
      </c>
      <c r="B63" s="4" t="s">
        <v>9522</v>
      </c>
      <c r="E63" t="s">
        <v>9268</v>
      </c>
      <c r="F63" t="str">
        <f t="shared" si="0"/>
        <v>NatGrdExt_GIN-1</v>
      </c>
      <c r="G63" t="str">
        <f t="shared" si="1"/>
        <v>Grid Extension -Guinea- Step 1</v>
      </c>
      <c r="H63" t="s">
        <v>29</v>
      </c>
      <c r="I63" t="s">
        <v>30</v>
      </c>
      <c r="J63" t="s">
        <v>9465</v>
      </c>
      <c r="L63" t="s">
        <v>9268</v>
      </c>
      <c r="M63" t="str">
        <f t="shared" si="2"/>
        <v>NatGrdExt_GIN-2</v>
      </c>
      <c r="N63" t="str">
        <f t="shared" si="3"/>
        <v>Grid Extension -Guinea- Step 2</v>
      </c>
      <c r="O63" t="s">
        <v>29</v>
      </c>
      <c r="P63" t="s">
        <v>30</v>
      </c>
      <c r="Q63" t="s">
        <v>9465</v>
      </c>
      <c r="S63" t="s">
        <v>9268</v>
      </c>
      <c r="T63" t="str">
        <f t="shared" si="4"/>
        <v>NatGrdExt_GIN-3</v>
      </c>
      <c r="U63" t="str">
        <f t="shared" si="5"/>
        <v>Grid Extension -Guinea- Step 3</v>
      </c>
      <c r="V63" t="s">
        <v>29</v>
      </c>
      <c r="W63" t="s">
        <v>30</v>
      </c>
      <c r="X63" t="s">
        <v>9465</v>
      </c>
      <c r="Z63" t="s">
        <v>9268</v>
      </c>
      <c r="AA63" t="str">
        <f t="shared" si="6"/>
        <v>NatGrdExt_GIN-4</v>
      </c>
      <c r="AB63" t="str">
        <f t="shared" si="7"/>
        <v>Grid Extension -Guinea- Step 4</v>
      </c>
      <c r="AC63" t="s">
        <v>29</v>
      </c>
      <c r="AD63" t="s">
        <v>30</v>
      </c>
      <c r="AE63" t="s">
        <v>9465</v>
      </c>
      <c r="AG63" t="s">
        <v>9268</v>
      </c>
      <c r="AH63" t="str">
        <f t="shared" si="8"/>
        <v>NatGrdExt_GIN-5</v>
      </c>
      <c r="AI63" t="str">
        <f t="shared" si="9"/>
        <v>Grid Extension -Guinea- Step 5</v>
      </c>
      <c r="AJ63" t="s">
        <v>29</v>
      </c>
      <c r="AK63" t="s">
        <v>30</v>
      </c>
      <c r="AL63" t="s">
        <v>9465</v>
      </c>
      <c r="AN63" t="s">
        <v>9268</v>
      </c>
      <c r="AO63" t="str">
        <f t="shared" si="10"/>
        <v>NatGrdExt_GIN-6</v>
      </c>
      <c r="AP63" t="str">
        <f t="shared" si="11"/>
        <v>Grid Extension -Guinea- Step 6</v>
      </c>
      <c r="AQ63" t="s">
        <v>29</v>
      </c>
      <c r="AR63" t="s">
        <v>30</v>
      </c>
      <c r="AS63" t="s">
        <v>9465</v>
      </c>
      <c r="AU63" t="s">
        <v>9268</v>
      </c>
      <c r="AV63" t="str">
        <f t="shared" si="12"/>
        <v>NatGrdExt_GIN-7</v>
      </c>
      <c r="AW63" t="str">
        <f t="shared" si="13"/>
        <v>Grid Extension -Guinea- Step 7</v>
      </c>
      <c r="AX63" t="s">
        <v>29</v>
      </c>
      <c r="AY63" t="s">
        <v>30</v>
      </c>
      <c r="AZ63" t="s">
        <v>9465</v>
      </c>
      <c r="BB63" t="s">
        <v>9268</v>
      </c>
      <c r="BC63" t="str">
        <f t="shared" si="14"/>
        <v>NatGrdExt_GIN-8</v>
      </c>
      <c r="BD63" t="str">
        <f t="shared" si="15"/>
        <v>Grid Extension -Guinea- Step 8</v>
      </c>
      <c r="BE63" t="s">
        <v>29</v>
      </c>
      <c r="BF63" t="s">
        <v>30</v>
      </c>
      <c r="BG63" t="s">
        <v>9465</v>
      </c>
      <c r="BI63" t="s">
        <v>9268</v>
      </c>
      <c r="BJ63" t="str">
        <f t="shared" si="16"/>
        <v>NatGrdExt_GIN-9</v>
      </c>
      <c r="BK63" t="str">
        <f t="shared" si="17"/>
        <v>Grid Extension -Guinea- Step 9</v>
      </c>
      <c r="BL63" t="s">
        <v>29</v>
      </c>
      <c r="BM63" t="s">
        <v>30</v>
      </c>
      <c r="BN63" t="s">
        <v>9465</v>
      </c>
      <c r="BP63" t="s">
        <v>9268</v>
      </c>
      <c r="BQ63" t="str">
        <f t="shared" si="18"/>
        <v>NatGrdExt_GIN-10</v>
      </c>
      <c r="BR63" t="str">
        <f t="shared" si="19"/>
        <v>Grid Extension -Guinea- Step 10</v>
      </c>
      <c r="BS63" t="s">
        <v>29</v>
      </c>
      <c r="BT63" t="s">
        <v>30</v>
      </c>
      <c r="BU63" t="s">
        <v>9465</v>
      </c>
    </row>
    <row r="64" spans="1:73">
      <c r="A64" s="4" t="s">
        <v>788</v>
      </c>
      <c r="B64" s="4" t="s">
        <v>9523</v>
      </c>
      <c r="E64" t="s">
        <v>9268</v>
      </c>
      <c r="F64" t="str">
        <f t="shared" si="0"/>
        <v>NatGrdExt_GMB-1</v>
      </c>
      <c r="G64" t="str">
        <f t="shared" si="1"/>
        <v>Grid Extension -The Gambia- Step 1</v>
      </c>
      <c r="H64" t="s">
        <v>29</v>
      </c>
      <c r="I64" t="s">
        <v>30</v>
      </c>
      <c r="J64" t="s">
        <v>9465</v>
      </c>
      <c r="L64" t="s">
        <v>9268</v>
      </c>
      <c r="M64" t="str">
        <f t="shared" si="2"/>
        <v>NatGrdExt_GMB-2</v>
      </c>
      <c r="N64" t="str">
        <f t="shared" si="3"/>
        <v>Grid Extension -The Gambia- Step 2</v>
      </c>
      <c r="O64" t="s">
        <v>29</v>
      </c>
      <c r="P64" t="s">
        <v>30</v>
      </c>
      <c r="Q64" t="s">
        <v>9465</v>
      </c>
      <c r="S64" t="s">
        <v>9268</v>
      </c>
      <c r="T64" t="str">
        <f t="shared" si="4"/>
        <v>NatGrdExt_GMB-3</v>
      </c>
      <c r="U64" t="str">
        <f t="shared" si="5"/>
        <v>Grid Extension -The Gambia- Step 3</v>
      </c>
      <c r="V64" t="s">
        <v>29</v>
      </c>
      <c r="W64" t="s">
        <v>30</v>
      </c>
      <c r="X64" t="s">
        <v>9465</v>
      </c>
      <c r="Z64" t="s">
        <v>9268</v>
      </c>
      <c r="AA64" t="str">
        <f t="shared" si="6"/>
        <v>NatGrdExt_GMB-4</v>
      </c>
      <c r="AB64" t="str">
        <f t="shared" si="7"/>
        <v>Grid Extension -The Gambia- Step 4</v>
      </c>
      <c r="AC64" t="s">
        <v>29</v>
      </c>
      <c r="AD64" t="s">
        <v>30</v>
      </c>
      <c r="AE64" t="s">
        <v>9465</v>
      </c>
      <c r="AG64" t="s">
        <v>9268</v>
      </c>
      <c r="AH64" t="str">
        <f t="shared" si="8"/>
        <v>NatGrdExt_GMB-5</v>
      </c>
      <c r="AI64" t="str">
        <f t="shared" si="9"/>
        <v>Grid Extension -The Gambia- Step 5</v>
      </c>
      <c r="AJ64" t="s">
        <v>29</v>
      </c>
      <c r="AK64" t="s">
        <v>30</v>
      </c>
      <c r="AL64" t="s">
        <v>9465</v>
      </c>
      <c r="AN64" t="s">
        <v>9268</v>
      </c>
      <c r="AO64" t="str">
        <f t="shared" si="10"/>
        <v>NatGrdExt_GMB-6</v>
      </c>
      <c r="AP64" t="str">
        <f t="shared" si="11"/>
        <v>Grid Extension -The Gambia- Step 6</v>
      </c>
      <c r="AQ64" t="s">
        <v>29</v>
      </c>
      <c r="AR64" t="s">
        <v>30</v>
      </c>
      <c r="AS64" t="s">
        <v>9465</v>
      </c>
      <c r="AU64" t="s">
        <v>9268</v>
      </c>
      <c r="AV64" t="str">
        <f t="shared" si="12"/>
        <v>NatGrdExt_GMB-7</v>
      </c>
      <c r="AW64" t="str">
        <f t="shared" si="13"/>
        <v>Grid Extension -The Gambia- Step 7</v>
      </c>
      <c r="AX64" t="s">
        <v>29</v>
      </c>
      <c r="AY64" t="s">
        <v>30</v>
      </c>
      <c r="AZ64" t="s">
        <v>9465</v>
      </c>
      <c r="BB64" t="s">
        <v>9268</v>
      </c>
      <c r="BC64" t="str">
        <f t="shared" si="14"/>
        <v>NatGrdExt_GMB-8</v>
      </c>
      <c r="BD64" t="str">
        <f t="shared" si="15"/>
        <v>Grid Extension -The Gambia- Step 8</v>
      </c>
      <c r="BE64" t="s">
        <v>29</v>
      </c>
      <c r="BF64" t="s">
        <v>30</v>
      </c>
      <c r="BG64" t="s">
        <v>9465</v>
      </c>
      <c r="BI64" t="s">
        <v>9268</v>
      </c>
      <c r="BJ64" t="str">
        <f t="shared" si="16"/>
        <v>NatGrdExt_GMB-9</v>
      </c>
      <c r="BK64" t="str">
        <f t="shared" si="17"/>
        <v>Grid Extension -The Gambia- Step 9</v>
      </c>
      <c r="BL64" t="s">
        <v>29</v>
      </c>
      <c r="BM64" t="s">
        <v>30</v>
      </c>
      <c r="BN64" t="s">
        <v>9465</v>
      </c>
      <c r="BP64" t="s">
        <v>9268</v>
      </c>
      <c r="BQ64" t="str">
        <f t="shared" si="18"/>
        <v>NatGrdExt_GMB-10</v>
      </c>
      <c r="BR64" t="str">
        <f t="shared" si="19"/>
        <v>Grid Extension -The Gambia- Step 10</v>
      </c>
      <c r="BS64" t="s">
        <v>29</v>
      </c>
      <c r="BT64" t="s">
        <v>30</v>
      </c>
      <c r="BU64" t="s">
        <v>9465</v>
      </c>
    </row>
    <row r="65" spans="1:73">
      <c r="A65" s="4" t="s">
        <v>792</v>
      </c>
      <c r="B65" s="4" t="s">
        <v>9524</v>
      </c>
      <c r="E65" t="s">
        <v>9268</v>
      </c>
      <c r="F65" t="str">
        <f t="shared" si="0"/>
        <v>NatGrdExt_GNB-1</v>
      </c>
      <c r="G65" t="str">
        <f t="shared" si="1"/>
        <v>Grid Extension -Guinea-Bissau- Step 1</v>
      </c>
      <c r="H65" t="s">
        <v>29</v>
      </c>
      <c r="I65" t="s">
        <v>30</v>
      </c>
      <c r="J65" t="s">
        <v>9465</v>
      </c>
      <c r="L65" t="s">
        <v>9268</v>
      </c>
      <c r="M65" t="str">
        <f t="shared" si="2"/>
        <v>NatGrdExt_GNB-2</v>
      </c>
      <c r="N65" t="str">
        <f t="shared" si="3"/>
        <v>Grid Extension -Guinea-Bissau- Step 2</v>
      </c>
      <c r="O65" t="s">
        <v>29</v>
      </c>
      <c r="P65" t="s">
        <v>30</v>
      </c>
      <c r="Q65" t="s">
        <v>9465</v>
      </c>
      <c r="S65" t="s">
        <v>9268</v>
      </c>
      <c r="T65" t="str">
        <f t="shared" si="4"/>
        <v>NatGrdExt_GNB-3</v>
      </c>
      <c r="U65" t="str">
        <f t="shared" si="5"/>
        <v>Grid Extension -Guinea-Bissau- Step 3</v>
      </c>
      <c r="V65" t="s">
        <v>29</v>
      </c>
      <c r="W65" t="s">
        <v>30</v>
      </c>
      <c r="X65" t="s">
        <v>9465</v>
      </c>
      <c r="Z65" t="s">
        <v>9268</v>
      </c>
      <c r="AA65" t="str">
        <f t="shared" si="6"/>
        <v>NatGrdExt_GNB-4</v>
      </c>
      <c r="AB65" t="str">
        <f t="shared" si="7"/>
        <v>Grid Extension -Guinea-Bissau- Step 4</v>
      </c>
      <c r="AC65" t="s">
        <v>29</v>
      </c>
      <c r="AD65" t="s">
        <v>30</v>
      </c>
      <c r="AE65" t="s">
        <v>9465</v>
      </c>
      <c r="AG65" t="s">
        <v>9268</v>
      </c>
      <c r="AH65" t="str">
        <f t="shared" si="8"/>
        <v>NatGrdExt_GNB-5</v>
      </c>
      <c r="AI65" t="str">
        <f t="shared" si="9"/>
        <v>Grid Extension -Guinea-Bissau- Step 5</v>
      </c>
      <c r="AJ65" t="s">
        <v>29</v>
      </c>
      <c r="AK65" t="s">
        <v>30</v>
      </c>
      <c r="AL65" t="s">
        <v>9465</v>
      </c>
      <c r="AN65" t="s">
        <v>9268</v>
      </c>
      <c r="AO65" t="str">
        <f t="shared" si="10"/>
        <v>NatGrdExt_GNB-6</v>
      </c>
      <c r="AP65" t="str">
        <f t="shared" si="11"/>
        <v>Grid Extension -Guinea-Bissau- Step 6</v>
      </c>
      <c r="AQ65" t="s">
        <v>29</v>
      </c>
      <c r="AR65" t="s">
        <v>30</v>
      </c>
      <c r="AS65" t="s">
        <v>9465</v>
      </c>
      <c r="AU65" t="s">
        <v>9268</v>
      </c>
      <c r="AV65" t="str">
        <f t="shared" si="12"/>
        <v>NatGrdExt_GNB-7</v>
      </c>
      <c r="AW65" t="str">
        <f t="shared" si="13"/>
        <v>Grid Extension -Guinea-Bissau- Step 7</v>
      </c>
      <c r="AX65" t="s">
        <v>29</v>
      </c>
      <c r="AY65" t="s">
        <v>30</v>
      </c>
      <c r="AZ65" t="s">
        <v>9465</v>
      </c>
      <c r="BB65" t="s">
        <v>9268</v>
      </c>
      <c r="BC65" t="str">
        <f t="shared" si="14"/>
        <v>NatGrdExt_GNB-8</v>
      </c>
      <c r="BD65" t="str">
        <f t="shared" si="15"/>
        <v>Grid Extension -Guinea-Bissau- Step 8</v>
      </c>
      <c r="BE65" t="s">
        <v>29</v>
      </c>
      <c r="BF65" t="s">
        <v>30</v>
      </c>
      <c r="BG65" t="s">
        <v>9465</v>
      </c>
      <c r="BI65" t="s">
        <v>9268</v>
      </c>
      <c r="BJ65" t="str">
        <f t="shared" si="16"/>
        <v>NatGrdExt_GNB-9</v>
      </c>
      <c r="BK65" t="str">
        <f t="shared" si="17"/>
        <v>Grid Extension -Guinea-Bissau- Step 9</v>
      </c>
      <c r="BL65" t="s">
        <v>29</v>
      </c>
      <c r="BM65" t="s">
        <v>30</v>
      </c>
      <c r="BN65" t="s">
        <v>9465</v>
      </c>
      <c r="BP65" t="s">
        <v>9268</v>
      </c>
      <c r="BQ65" t="str">
        <f t="shared" si="18"/>
        <v>NatGrdExt_GNB-10</v>
      </c>
      <c r="BR65" t="str">
        <f t="shared" si="19"/>
        <v>Grid Extension -Guinea-Bissau- Step 10</v>
      </c>
      <c r="BS65" t="s">
        <v>29</v>
      </c>
      <c r="BT65" t="s">
        <v>30</v>
      </c>
      <c r="BU65" t="s">
        <v>9465</v>
      </c>
    </row>
    <row r="66" spans="1:73">
      <c r="A66" s="4" t="s">
        <v>806</v>
      </c>
      <c r="B66" s="4" t="s">
        <v>9525</v>
      </c>
      <c r="E66" t="s">
        <v>9268</v>
      </c>
      <c r="F66" t="str">
        <f t="shared" si="0"/>
        <v>NatGrdExt_GNQ-1</v>
      </c>
      <c r="G66" t="str">
        <f t="shared" si="1"/>
        <v>Grid Extension -Equatorial Guinea- Step 1</v>
      </c>
      <c r="H66" t="s">
        <v>29</v>
      </c>
      <c r="I66" t="s">
        <v>30</v>
      </c>
      <c r="J66" t="s">
        <v>9465</v>
      </c>
      <c r="L66" t="s">
        <v>9268</v>
      </c>
      <c r="M66" t="str">
        <f t="shared" si="2"/>
        <v>NatGrdExt_GNQ-2</v>
      </c>
      <c r="N66" t="str">
        <f t="shared" si="3"/>
        <v>Grid Extension -Equatorial Guinea- Step 2</v>
      </c>
      <c r="O66" t="s">
        <v>29</v>
      </c>
      <c r="P66" t="s">
        <v>30</v>
      </c>
      <c r="Q66" t="s">
        <v>9465</v>
      </c>
      <c r="S66" t="s">
        <v>9268</v>
      </c>
      <c r="T66" t="str">
        <f t="shared" si="4"/>
        <v>NatGrdExt_GNQ-3</v>
      </c>
      <c r="U66" t="str">
        <f t="shared" si="5"/>
        <v>Grid Extension -Equatorial Guinea- Step 3</v>
      </c>
      <c r="V66" t="s">
        <v>29</v>
      </c>
      <c r="W66" t="s">
        <v>30</v>
      </c>
      <c r="X66" t="s">
        <v>9465</v>
      </c>
      <c r="Z66" t="s">
        <v>9268</v>
      </c>
      <c r="AA66" t="str">
        <f t="shared" si="6"/>
        <v>NatGrdExt_GNQ-4</v>
      </c>
      <c r="AB66" t="str">
        <f t="shared" si="7"/>
        <v>Grid Extension -Equatorial Guinea- Step 4</v>
      </c>
      <c r="AC66" t="s">
        <v>29</v>
      </c>
      <c r="AD66" t="s">
        <v>30</v>
      </c>
      <c r="AE66" t="s">
        <v>9465</v>
      </c>
      <c r="AG66" t="s">
        <v>9268</v>
      </c>
      <c r="AH66" t="str">
        <f t="shared" si="8"/>
        <v>NatGrdExt_GNQ-5</v>
      </c>
      <c r="AI66" t="str">
        <f t="shared" si="9"/>
        <v>Grid Extension -Equatorial Guinea- Step 5</v>
      </c>
      <c r="AJ66" t="s">
        <v>29</v>
      </c>
      <c r="AK66" t="s">
        <v>30</v>
      </c>
      <c r="AL66" t="s">
        <v>9465</v>
      </c>
      <c r="AN66" t="s">
        <v>9268</v>
      </c>
      <c r="AO66" t="str">
        <f t="shared" si="10"/>
        <v>NatGrdExt_GNQ-6</v>
      </c>
      <c r="AP66" t="str">
        <f t="shared" si="11"/>
        <v>Grid Extension -Equatorial Guinea- Step 6</v>
      </c>
      <c r="AQ66" t="s">
        <v>29</v>
      </c>
      <c r="AR66" t="s">
        <v>30</v>
      </c>
      <c r="AS66" t="s">
        <v>9465</v>
      </c>
      <c r="AU66" t="s">
        <v>9268</v>
      </c>
      <c r="AV66" t="str">
        <f t="shared" si="12"/>
        <v>NatGrdExt_GNQ-7</v>
      </c>
      <c r="AW66" t="str">
        <f t="shared" si="13"/>
        <v>Grid Extension -Equatorial Guinea- Step 7</v>
      </c>
      <c r="AX66" t="s">
        <v>29</v>
      </c>
      <c r="AY66" t="s">
        <v>30</v>
      </c>
      <c r="AZ66" t="s">
        <v>9465</v>
      </c>
      <c r="BB66" t="s">
        <v>9268</v>
      </c>
      <c r="BC66" t="str">
        <f t="shared" si="14"/>
        <v>NatGrdExt_GNQ-8</v>
      </c>
      <c r="BD66" t="str">
        <f t="shared" si="15"/>
        <v>Grid Extension -Equatorial Guinea- Step 8</v>
      </c>
      <c r="BE66" t="s">
        <v>29</v>
      </c>
      <c r="BF66" t="s">
        <v>30</v>
      </c>
      <c r="BG66" t="s">
        <v>9465</v>
      </c>
      <c r="BI66" t="s">
        <v>9268</v>
      </c>
      <c r="BJ66" t="str">
        <f t="shared" si="16"/>
        <v>NatGrdExt_GNQ-9</v>
      </c>
      <c r="BK66" t="str">
        <f t="shared" si="17"/>
        <v>Grid Extension -Equatorial Guinea- Step 9</v>
      </c>
      <c r="BL66" t="s">
        <v>29</v>
      </c>
      <c r="BM66" t="s">
        <v>30</v>
      </c>
      <c r="BN66" t="s">
        <v>9465</v>
      </c>
      <c r="BP66" t="s">
        <v>9268</v>
      </c>
      <c r="BQ66" t="str">
        <f t="shared" si="18"/>
        <v>NatGrdExt_GNQ-10</v>
      </c>
      <c r="BR66" t="str">
        <f t="shared" si="19"/>
        <v>Grid Extension -Equatorial Guinea- Step 10</v>
      </c>
      <c r="BS66" t="s">
        <v>29</v>
      </c>
      <c r="BT66" t="s">
        <v>30</v>
      </c>
      <c r="BU66" t="s">
        <v>9465</v>
      </c>
    </row>
    <row r="67" spans="1:73">
      <c r="A67" s="4" t="s">
        <v>812</v>
      </c>
      <c r="B67" s="4" t="s">
        <v>9526</v>
      </c>
      <c r="E67" t="s">
        <v>9268</v>
      </c>
      <c r="F67" t="str">
        <f t="shared" si="0"/>
        <v>NatGrdExt_GRC-1</v>
      </c>
      <c r="G67" t="str">
        <f t="shared" si="1"/>
        <v>Grid Extension -Greece- Step 1</v>
      </c>
      <c r="H67" t="s">
        <v>29</v>
      </c>
      <c r="I67" t="s">
        <v>30</v>
      </c>
      <c r="J67" t="s">
        <v>9465</v>
      </c>
      <c r="L67" t="s">
        <v>9268</v>
      </c>
      <c r="M67" t="str">
        <f t="shared" si="2"/>
        <v>NatGrdExt_GRC-2</v>
      </c>
      <c r="N67" t="str">
        <f t="shared" si="3"/>
        <v>Grid Extension -Greece- Step 2</v>
      </c>
      <c r="O67" t="s">
        <v>29</v>
      </c>
      <c r="P67" t="s">
        <v>30</v>
      </c>
      <c r="Q67" t="s">
        <v>9465</v>
      </c>
      <c r="S67" t="s">
        <v>9268</v>
      </c>
      <c r="T67" t="str">
        <f t="shared" si="4"/>
        <v>NatGrdExt_GRC-3</v>
      </c>
      <c r="U67" t="str">
        <f t="shared" si="5"/>
        <v>Grid Extension -Greece- Step 3</v>
      </c>
      <c r="V67" t="s">
        <v>29</v>
      </c>
      <c r="W67" t="s">
        <v>30</v>
      </c>
      <c r="X67" t="s">
        <v>9465</v>
      </c>
      <c r="Z67" t="s">
        <v>9268</v>
      </c>
      <c r="AA67" t="str">
        <f t="shared" si="6"/>
        <v>NatGrdExt_GRC-4</v>
      </c>
      <c r="AB67" t="str">
        <f t="shared" si="7"/>
        <v>Grid Extension -Greece- Step 4</v>
      </c>
      <c r="AC67" t="s">
        <v>29</v>
      </c>
      <c r="AD67" t="s">
        <v>30</v>
      </c>
      <c r="AE67" t="s">
        <v>9465</v>
      </c>
      <c r="AG67" t="s">
        <v>9268</v>
      </c>
      <c r="AH67" t="str">
        <f t="shared" si="8"/>
        <v>NatGrdExt_GRC-5</v>
      </c>
      <c r="AI67" t="str">
        <f t="shared" si="9"/>
        <v>Grid Extension -Greece- Step 5</v>
      </c>
      <c r="AJ67" t="s">
        <v>29</v>
      </c>
      <c r="AK67" t="s">
        <v>30</v>
      </c>
      <c r="AL67" t="s">
        <v>9465</v>
      </c>
      <c r="AN67" t="s">
        <v>9268</v>
      </c>
      <c r="AO67" t="str">
        <f t="shared" si="10"/>
        <v>NatGrdExt_GRC-6</v>
      </c>
      <c r="AP67" t="str">
        <f t="shared" si="11"/>
        <v>Grid Extension -Greece- Step 6</v>
      </c>
      <c r="AQ67" t="s">
        <v>29</v>
      </c>
      <c r="AR67" t="s">
        <v>30</v>
      </c>
      <c r="AS67" t="s">
        <v>9465</v>
      </c>
      <c r="AU67" t="s">
        <v>9268</v>
      </c>
      <c r="AV67" t="str">
        <f t="shared" si="12"/>
        <v>NatGrdExt_GRC-7</v>
      </c>
      <c r="AW67" t="str">
        <f t="shared" si="13"/>
        <v>Grid Extension -Greece- Step 7</v>
      </c>
      <c r="AX67" t="s">
        <v>29</v>
      </c>
      <c r="AY67" t="s">
        <v>30</v>
      </c>
      <c r="AZ67" t="s">
        <v>9465</v>
      </c>
      <c r="BB67" t="s">
        <v>9268</v>
      </c>
      <c r="BC67" t="str">
        <f t="shared" si="14"/>
        <v>NatGrdExt_GRC-8</v>
      </c>
      <c r="BD67" t="str">
        <f t="shared" si="15"/>
        <v>Grid Extension -Greece- Step 8</v>
      </c>
      <c r="BE67" t="s">
        <v>29</v>
      </c>
      <c r="BF67" t="s">
        <v>30</v>
      </c>
      <c r="BG67" t="s">
        <v>9465</v>
      </c>
      <c r="BI67" t="s">
        <v>9268</v>
      </c>
      <c r="BJ67" t="str">
        <f t="shared" si="16"/>
        <v>NatGrdExt_GRC-9</v>
      </c>
      <c r="BK67" t="str">
        <f t="shared" si="17"/>
        <v>Grid Extension -Greece- Step 9</v>
      </c>
      <c r="BL67" t="s">
        <v>29</v>
      </c>
      <c r="BM67" t="s">
        <v>30</v>
      </c>
      <c r="BN67" t="s">
        <v>9465</v>
      </c>
      <c r="BP67" t="s">
        <v>9268</v>
      </c>
      <c r="BQ67" t="str">
        <f t="shared" si="18"/>
        <v>NatGrdExt_GRC-10</v>
      </c>
      <c r="BR67" t="str">
        <f t="shared" si="19"/>
        <v>Grid Extension -Greece- Step 10</v>
      </c>
      <c r="BS67" t="s">
        <v>29</v>
      </c>
      <c r="BT67" t="s">
        <v>30</v>
      </c>
      <c r="BU67" t="s">
        <v>9465</v>
      </c>
    </row>
    <row r="68" spans="1:73">
      <c r="A68" s="4" t="s">
        <v>826</v>
      </c>
      <c r="B68" s="4" t="s">
        <v>9527</v>
      </c>
      <c r="E68" t="s">
        <v>9268</v>
      </c>
      <c r="F68" t="str">
        <f t="shared" si="0"/>
        <v>NatGrdExt_GTM-1</v>
      </c>
      <c r="G68" t="str">
        <f t="shared" si="1"/>
        <v>Grid Extension -Guatemala- Step 1</v>
      </c>
      <c r="H68" t="s">
        <v>29</v>
      </c>
      <c r="I68" t="s">
        <v>30</v>
      </c>
      <c r="J68" t="s">
        <v>9465</v>
      </c>
      <c r="L68" t="s">
        <v>9268</v>
      </c>
      <c r="M68" t="str">
        <f t="shared" si="2"/>
        <v>NatGrdExt_GTM-2</v>
      </c>
      <c r="N68" t="str">
        <f t="shared" si="3"/>
        <v>Grid Extension -Guatemala- Step 2</v>
      </c>
      <c r="O68" t="s">
        <v>29</v>
      </c>
      <c r="P68" t="s">
        <v>30</v>
      </c>
      <c r="Q68" t="s">
        <v>9465</v>
      </c>
      <c r="S68" t="s">
        <v>9268</v>
      </c>
      <c r="T68" t="str">
        <f t="shared" si="4"/>
        <v>NatGrdExt_GTM-3</v>
      </c>
      <c r="U68" t="str">
        <f t="shared" si="5"/>
        <v>Grid Extension -Guatemala- Step 3</v>
      </c>
      <c r="V68" t="s">
        <v>29</v>
      </c>
      <c r="W68" t="s">
        <v>30</v>
      </c>
      <c r="X68" t="s">
        <v>9465</v>
      </c>
      <c r="Z68" t="s">
        <v>9268</v>
      </c>
      <c r="AA68" t="str">
        <f t="shared" si="6"/>
        <v>NatGrdExt_GTM-4</v>
      </c>
      <c r="AB68" t="str">
        <f t="shared" si="7"/>
        <v>Grid Extension -Guatemala- Step 4</v>
      </c>
      <c r="AC68" t="s">
        <v>29</v>
      </c>
      <c r="AD68" t="s">
        <v>30</v>
      </c>
      <c r="AE68" t="s">
        <v>9465</v>
      </c>
      <c r="AG68" t="s">
        <v>9268</v>
      </c>
      <c r="AH68" t="str">
        <f t="shared" si="8"/>
        <v>NatGrdExt_GTM-5</v>
      </c>
      <c r="AI68" t="str">
        <f t="shared" si="9"/>
        <v>Grid Extension -Guatemala- Step 5</v>
      </c>
      <c r="AJ68" t="s">
        <v>29</v>
      </c>
      <c r="AK68" t="s">
        <v>30</v>
      </c>
      <c r="AL68" t="s">
        <v>9465</v>
      </c>
      <c r="AN68" t="s">
        <v>9268</v>
      </c>
      <c r="AO68" t="str">
        <f t="shared" si="10"/>
        <v>NatGrdExt_GTM-6</v>
      </c>
      <c r="AP68" t="str">
        <f t="shared" si="11"/>
        <v>Grid Extension -Guatemala- Step 6</v>
      </c>
      <c r="AQ68" t="s">
        <v>29</v>
      </c>
      <c r="AR68" t="s">
        <v>30</v>
      </c>
      <c r="AS68" t="s">
        <v>9465</v>
      </c>
      <c r="AU68" t="s">
        <v>9268</v>
      </c>
      <c r="AV68" t="str">
        <f t="shared" si="12"/>
        <v>NatGrdExt_GTM-7</v>
      </c>
      <c r="AW68" t="str">
        <f t="shared" si="13"/>
        <v>Grid Extension -Guatemala- Step 7</v>
      </c>
      <c r="AX68" t="s">
        <v>29</v>
      </c>
      <c r="AY68" t="s">
        <v>30</v>
      </c>
      <c r="AZ68" t="s">
        <v>9465</v>
      </c>
      <c r="BB68" t="s">
        <v>9268</v>
      </c>
      <c r="BC68" t="str">
        <f t="shared" si="14"/>
        <v>NatGrdExt_GTM-8</v>
      </c>
      <c r="BD68" t="str">
        <f t="shared" si="15"/>
        <v>Grid Extension -Guatemala- Step 8</v>
      </c>
      <c r="BE68" t="s">
        <v>29</v>
      </c>
      <c r="BF68" t="s">
        <v>30</v>
      </c>
      <c r="BG68" t="s">
        <v>9465</v>
      </c>
      <c r="BI68" t="s">
        <v>9268</v>
      </c>
      <c r="BJ68" t="str">
        <f t="shared" si="16"/>
        <v>NatGrdExt_GTM-9</v>
      </c>
      <c r="BK68" t="str">
        <f t="shared" si="17"/>
        <v>Grid Extension -Guatemala- Step 9</v>
      </c>
      <c r="BL68" t="s">
        <v>29</v>
      </c>
      <c r="BM68" t="s">
        <v>30</v>
      </c>
      <c r="BN68" t="s">
        <v>9465</v>
      </c>
      <c r="BP68" t="s">
        <v>9268</v>
      </c>
      <c r="BQ68" t="str">
        <f t="shared" si="18"/>
        <v>NatGrdExt_GTM-10</v>
      </c>
      <c r="BR68" t="str">
        <f t="shared" si="19"/>
        <v>Grid Extension -Guatemala- Step 10</v>
      </c>
      <c r="BS68" t="s">
        <v>29</v>
      </c>
      <c r="BT68" t="s">
        <v>30</v>
      </c>
      <c r="BU68" t="s">
        <v>9465</v>
      </c>
    </row>
    <row r="69" spans="1:73">
      <c r="A69" s="4" t="s">
        <v>9528</v>
      </c>
      <c r="B69" s="4" t="s">
        <v>9529</v>
      </c>
      <c r="E69" t="s">
        <v>9268</v>
      </c>
      <c r="F69" t="str">
        <f t="shared" si="0"/>
        <v>NatGrdExt_GUF-1</v>
      </c>
      <c r="G69" t="str">
        <f t="shared" si="1"/>
        <v>Grid Extension -French Guiana- Step 1</v>
      </c>
      <c r="H69" t="s">
        <v>29</v>
      </c>
      <c r="I69" t="s">
        <v>30</v>
      </c>
      <c r="J69" t="s">
        <v>9465</v>
      </c>
      <c r="L69" t="s">
        <v>9268</v>
      </c>
      <c r="M69" t="str">
        <f t="shared" si="2"/>
        <v>NatGrdExt_GUF-2</v>
      </c>
      <c r="N69" t="str">
        <f t="shared" si="3"/>
        <v>Grid Extension -French Guiana- Step 2</v>
      </c>
      <c r="O69" t="s">
        <v>29</v>
      </c>
      <c r="P69" t="s">
        <v>30</v>
      </c>
      <c r="Q69" t="s">
        <v>9465</v>
      </c>
      <c r="S69" t="s">
        <v>9268</v>
      </c>
      <c r="T69" t="str">
        <f t="shared" si="4"/>
        <v>NatGrdExt_GUF-3</v>
      </c>
      <c r="U69" t="str">
        <f t="shared" si="5"/>
        <v>Grid Extension -French Guiana- Step 3</v>
      </c>
      <c r="V69" t="s">
        <v>29</v>
      </c>
      <c r="W69" t="s">
        <v>30</v>
      </c>
      <c r="X69" t="s">
        <v>9465</v>
      </c>
      <c r="Z69" t="s">
        <v>9268</v>
      </c>
      <c r="AA69" t="str">
        <f t="shared" si="6"/>
        <v>NatGrdExt_GUF-4</v>
      </c>
      <c r="AB69" t="str">
        <f t="shared" si="7"/>
        <v>Grid Extension -French Guiana- Step 4</v>
      </c>
      <c r="AC69" t="s">
        <v>29</v>
      </c>
      <c r="AD69" t="s">
        <v>30</v>
      </c>
      <c r="AE69" t="s">
        <v>9465</v>
      </c>
      <c r="AG69" t="s">
        <v>9268</v>
      </c>
      <c r="AH69" t="str">
        <f t="shared" si="8"/>
        <v>NatGrdExt_GUF-5</v>
      </c>
      <c r="AI69" t="str">
        <f t="shared" si="9"/>
        <v>Grid Extension -French Guiana- Step 5</v>
      </c>
      <c r="AJ69" t="s">
        <v>29</v>
      </c>
      <c r="AK69" t="s">
        <v>30</v>
      </c>
      <c r="AL69" t="s">
        <v>9465</v>
      </c>
      <c r="AN69" t="s">
        <v>9268</v>
      </c>
      <c r="AO69" t="str">
        <f t="shared" si="10"/>
        <v>NatGrdExt_GUF-6</v>
      </c>
      <c r="AP69" t="str">
        <f t="shared" si="11"/>
        <v>Grid Extension -French Guiana- Step 6</v>
      </c>
      <c r="AQ69" t="s">
        <v>29</v>
      </c>
      <c r="AR69" t="s">
        <v>30</v>
      </c>
      <c r="AS69" t="s">
        <v>9465</v>
      </c>
      <c r="AU69" t="s">
        <v>9268</v>
      </c>
      <c r="AV69" t="str">
        <f t="shared" si="12"/>
        <v>NatGrdExt_GUF-7</v>
      </c>
      <c r="AW69" t="str">
        <f t="shared" si="13"/>
        <v>Grid Extension -French Guiana- Step 7</v>
      </c>
      <c r="AX69" t="s">
        <v>29</v>
      </c>
      <c r="AY69" t="s">
        <v>30</v>
      </c>
      <c r="AZ69" t="s">
        <v>9465</v>
      </c>
      <c r="BB69" t="s">
        <v>9268</v>
      </c>
      <c r="BC69" t="str">
        <f t="shared" si="14"/>
        <v>NatGrdExt_GUF-8</v>
      </c>
      <c r="BD69" t="str">
        <f t="shared" si="15"/>
        <v>Grid Extension -French Guiana- Step 8</v>
      </c>
      <c r="BE69" t="s">
        <v>29</v>
      </c>
      <c r="BF69" t="s">
        <v>30</v>
      </c>
      <c r="BG69" t="s">
        <v>9465</v>
      </c>
      <c r="BI69" t="s">
        <v>9268</v>
      </c>
      <c r="BJ69" t="str">
        <f t="shared" si="16"/>
        <v>NatGrdExt_GUF-9</v>
      </c>
      <c r="BK69" t="str">
        <f t="shared" si="17"/>
        <v>Grid Extension -French Guiana- Step 9</v>
      </c>
      <c r="BL69" t="s">
        <v>29</v>
      </c>
      <c r="BM69" t="s">
        <v>30</v>
      </c>
      <c r="BN69" t="s">
        <v>9465</v>
      </c>
      <c r="BP69" t="s">
        <v>9268</v>
      </c>
      <c r="BQ69" t="str">
        <f t="shared" si="18"/>
        <v>NatGrdExt_GUF-10</v>
      </c>
      <c r="BR69" t="str">
        <f t="shared" si="19"/>
        <v>Grid Extension -French Guiana- Step 10</v>
      </c>
      <c r="BS69" t="s">
        <v>29</v>
      </c>
      <c r="BT69" t="s">
        <v>30</v>
      </c>
      <c r="BU69" t="s">
        <v>9465</v>
      </c>
    </row>
    <row r="70" spans="1:73">
      <c r="A70" s="4" t="s">
        <v>832</v>
      </c>
      <c r="B70" s="4" t="s">
        <v>9530</v>
      </c>
      <c r="E70" t="s">
        <v>9268</v>
      </c>
      <c r="F70" t="str">
        <f t="shared" ref="F70:F134" si="20">"NatGrdExt_"&amp;$A70&amp;"-"&amp;G$1</f>
        <v>NatGrdExt_GUY-1</v>
      </c>
      <c r="G70" t="str">
        <f t="shared" ref="G70:G134" si="21">"Grid Extension -"&amp;$B70&amp;"- Step "&amp;G$1</f>
        <v>Grid Extension -Guyana- Step 1</v>
      </c>
      <c r="H70" t="s">
        <v>29</v>
      </c>
      <c r="I70" t="s">
        <v>30</v>
      </c>
      <c r="J70" t="s">
        <v>9465</v>
      </c>
      <c r="L70" t="s">
        <v>9268</v>
      </c>
      <c r="M70" t="str">
        <f t="shared" ref="M70:M134" si="22">"NatGrdExt_"&amp;$A70&amp;"-"&amp;N$1</f>
        <v>NatGrdExt_GUY-2</v>
      </c>
      <c r="N70" t="str">
        <f t="shared" ref="N70:N134" si="23">"Grid Extension -"&amp;$B70&amp;"- Step "&amp;N$1</f>
        <v>Grid Extension -Guyana- Step 2</v>
      </c>
      <c r="O70" t="s">
        <v>29</v>
      </c>
      <c r="P70" t="s">
        <v>30</v>
      </c>
      <c r="Q70" t="s">
        <v>9465</v>
      </c>
      <c r="S70" t="s">
        <v>9268</v>
      </c>
      <c r="T70" t="str">
        <f t="shared" ref="T70:T134" si="24">"NatGrdExt_"&amp;$A70&amp;"-"&amp;U$1</f>
        <v>NatGrdExt_GUY-3</v>
      </c>
      <c r="U70" t="str">
        <f t="shared" ref="U70:U134" si="25">"Grid Extension -"&amp;$B70&amp;"- Step "&amp;U$1</f>
        <v>Grid Extension -Guyana- Step 3</v>
      </c>
      <c r="V70" t="s">
        <v>29</v>
      </c>
      <c r="W70" t="s">
        <v>30</v>
      </c>
      <c r="X70" t="s">
        <v>9465</v>
      </c>
      <c r="Z70" t="s">
        <v>9268</v>
      </c>
      <c r="AA70" t="str">
        <f t="shared" ref="AA70:AA134" si="26">"NatGrdExt_"&amp;$A70&amp;"-"&amp;AB$1</f>
        <v>NatGrdExt_GUY-4</v>
      </c>
      <c r="AB70" t="str">
        <f t="shared" ref="AB70:AB134" si="27">"Grid Extension -"&amp;$B70&amp;"- Step "&amp;AB$1</f>
        <v>Grid Extension -Guyana- Step 4</v>
      </c>
      <c r="AC70" t="s">
        <v>29</v>
      </c>
      <c r="AD70" t="s">
        <v>30</v>
      </c>
      <c r="AE70" t="s">
        <v>9465</v>
      </c>
      <c r="AG70" t="s">
        <v>9268</v>
      </c>
      <c r="AH70" t="str">
        <f t="shared" ref="AH70:AH134" si="28">"NatGrdExt_"&amp;$A70&amp;"-"&amp;AI$1</f>
        <v>NatGrdExt_GUY-5</v>
      </c>
      <c r="AI70" t="str">
        <f t="shared" ref="AI70:AI134" si="29">"Grid Extension -"&amp;$B70&amp;"- Step "&amp;AI$1</f>
        <v>Grid Extension -Guyana- Step 5</v>
      </c>
      <c r="AJ70" t="s">
        <v>29</v>
      </c>
      <c r="AK70" t="s">
        <v>30</v>
      </c>
      <c r="AL70" t="s">
        <v>9465</v>
      </c>
      <c r="AN70" t="s">
        <v>9268</v>
      </c>
      <c r="AO70" t="str">
        <f t="shared" ref="AO70:AO134" si="30">"NatGrdExt_"&amp;$A70&amp;"-"&amp;AP$1</f>
        <v>NatGrdExt_GUY-6</v>
      </c>
      <c r="AP70" t="str">
        <f t="shared" ref="AP70:AP134" si="31">"Grid Extension -"&amp;$B70&amp;"- Step "&amp;AP$1</f>
        <v>Grid Extension -Guyana- Step 6</v>
      </c>
      <c r="AQ70" t="s">
        <v>29</v>
      </c>
      <c r="AR70" t="s">
        <v>30</v>
      </c>
      <c r="AS70" t="s">
        <v>9465</v>
      </c>
      <c r="AU70" t="s">
        <v>9268</v>
      </c>
      <c r="AV70" t="str">
        <f t="shared" ref="AV70:AV134" si="32">"NatGrdExt_"&amp;$A70&amp;"-"&amp;AW$1</f>
        <v>NatGrdExt_GUY-7</v>
      </c>
      <c r="AW70" t="str">
        <f t="shared" ref="AW70:AW134" si="33">"Grid Extension -"&amp;$B70&amp;"- Step "&amp;AW$1</f>
        <v>Grid Extension -Guyana- Step 7</v>
      </c>
      <c r="AX70" t="s">
        <v>29</v>
      </c>
      <c r="AY70" t="s">
        <v>30</v>
      </c>
      <c r="AZ70" t="s">
        <v>9465</v>
      </c>
      <c r="BB70" t="s">
        <v>9268</v>
      </c>
      <c r="BC70" t="str">
        <f t="shared" ref="BC70:BC134" si="34">"NatGrdExt_"&amp;$A70&amp;"-"&amp;BD$1</f>
        <v>NatGrdExt_GUY-8</v>
      </c>
      <c r="BD70" t="str">
        <f t="shared" ref="BD70:BD134" si="35">"Grid Extension -"&amp;$B70&amp;"- Step "&amp;BD$1</f>
        <v>Grid Extension -Guyana- Step 8</v>
      </c>
      <c r="BE70" t="s">
        <v>29</v>
      </c>
      <c r="BF70" t="s">
        <v>30</v>
      </c>
      <c r="BG70" t="s">
        <v>9465</v>
      </c>
      <c r="BI70" t="s">
        <v>9268</v>
      </c>
      <c r="BJ70" t="str">
        <f t="shared" ref="BJ70:BJ134" si="36">"NatGrdExt_"&amp;$A70&amp;"-"&amp;BK$1</f>
        <v>NatGrdExt_GUY-9</v>
      </c>
      <c r="BK70" t="str">
        <f t="shared" ref="BK70:BK134" si="37">"Grid Extension -"&amp;$B70&amp;"- Step "&amp;BK$1</f>
        <v>Grid Extension -Guyana- Step 9</v>
      </c>
      <c r="BL70" t="s">
        <v>29</v>
      </c>
      <c r="BM70" t="s">
        <v>30</v>
      </c>
      <c r="BN70" t="s">
        <v>9465</v>
      </c>
      <c r="BP70" t="s">
        <v>9268</v>
      </c>
      <c r="BQ70" t="str">
        <f t="shared" ref="BQ70:BQ134" si="38">"NatGrdExt_"&amp;$A70&amp;"-"&amp;BR$1</f>
        <v>NatGrdExt_GUY-10</v>
      </c>
      <c r="BR70" t="str">
        <f t="shared" ref="BR70:BR134" si="39">"Grid Extension -"&amp;$B70&amp;"- Step "&amp;BR$1</f>
        <v>Grid Extension -Guyana- Step 10</v>
      </c>
      <c r="BS70" t="s">
        <v>29</v>
      </c>
      <c r="BT70" t="s">
        <v>30</v>
      </c>
      <c r="BU70" t="s">
        <v>9465</v>
      </c>
    </row>
    <row r="71" spans="1:73">
      <c r="A71" s="4" t="s">
        <v>842</v>
      </c>
      <c r="B71" s="4" t="s">
        <v>9531</v>
      </c>
      <c r="E71" t="s">
        <v>9268</v>
      </c>
      <c r="F71" t="str">
        <f t="shared" si="20"/>
        <v>NatGrdExt_HND-1</v>
      </c>
      <c r="G71" t="str">
        <f t="shared" si="21"/>
        <v>Grid Extension -Honduras- Step 1</v>
      </c>
      <c r="H71" t="s">
        <v>29</v>
      </c>
      <c r="I71" t="s">
        <v>30</v>
      </c>
      <c r="J71" t="s">
        <v>9465</v>
      </c>
      <c r="L71" t="s">
        <v>9268</v>
      </c>
      <c r="M71" t="str">
        <f t="shared" si="22"/>
        <v>NatGrdExt_HND-2</v>
      </c>
      <c r="N71" t="str">
        <f t="shared" si="23"/>
        <v>Grid Extension -Honduras- Step 2</v>
      </c>
      <c r="O71" t="s">
        <v>29</v>
      </c>
      <c r="P71" t="s">
        <v>30</v>
      </c>
      <c r="Q71" t="s">
        <v>9465</v>
      </c>
      <c r="S71" t="s">
        <v>9268</v>
      </c>
      <c r="T71" t="str">
        <f t="shared" si="24"/>
        <v>NatGrdExt_HND-3</v>
      </c>
      <c r="U71" t="str">
        <f t="shared" si="25"/>
        <v>Grid Extension -Honduras- Step 3</v>
      </c>
      <c r="V71" t="s">
        <v>29</v>
      </c>
      <c r="W71" t="s">
        <v>30</v>
      </c>
      <c r="X71" t="s">
        <v>9465</v>
      </c>
      <c r="Z71" t="s">
        <v>9268</v>
      </c>
      <c r="AA71" t="str">
        <f t="shared" si="26"/>
        <v>NatGrdExt_HND-4</v>
      </c>
      <c r="AB71" t="str">
        <f t="shared" si="27"/>
        <v>Grid Extension -Honduras- Step 4</v>
      </c>
      <c r="AC71" t="s">
        <v>29</v>
      </c>
      <c r="AD71" t="s">
        <v>30</v>
      </c>
      <c r="AE71" t="s">
        <v>9465</v>
      </c>
      <c r="AG71" t="s">
        <v>9268</v>
      </c>
      <c r="AH71" t="str">
        <f t="shared" si="28"/>
        <v>NatGrdExt_HND-5</v>
      </c>
      <c r="AI71" t="str">
        <f t="shared" si="29"/>
        <v>Grid Extension -Honduras- Step 5</v>
      </c>
      <c r="AJ71" t="s">
        <v>29</v>
      </c>
      <c r="AK71" t="s">
        <v>30</v>
      </c>
      <c r="AL71" t="s">
        <v>9465</v>
      </c>
      <c r="AN71" t="s">
        <v>9268</v>
      </c>
      <c r="AO71" t="str">
        <f t="shared" si="30"/>
        <v>NatGrdExt_HND-6</v>
      </c>
      <c r="AP71" t="str">
        <f t="shared" si="31"/>
        <v>Grid Extension -Honduras- Step 6</v>
      </c>
      <c r="AQ71" t="s">
        <v>29</v>
      </c>
      <c r="AR71" t="s">
        <v>30</v>
      </c>
      <c r="AS71" t="s">
        <v>9465</v>
      </c>
      <c r="AU71" t="s">
        <v>9268</v>
      </c>
      <c r="AV71" t="str">
        <f t="shared" si="32"/>
        <v>NatGrdExt_HND-7</v>
      </c>
      <c r="AW71" t="str">
        <f t="shared" si="33"/>
        <v>Grid Extension -Honduras- Step 7</v>
      </c>
      <c r="AX71" t="s">
        <v>29</v>
      </c>
      <c r="AY71" t="s">
        <v>30</v>
      </c>
      <c r="AZ71" t="s">
        <v>9465</v>
      </c>
      <c r="BB71" t="s">
        <v>9268</v>
      </c>
      <c r="BC71" t="str">
        <f t="shared" si="34"/>
        <v>NatGrdExt_HND-8</v>
      </c>
      <c r="BD71" t="str">
        <f t="shared" si="35"/>
        <v>Grid Extension -Honduras- Step 8</v>
      </c>
      <c r="BE71" t="s">
        <v>29</v>
      </c>
      <c r="BF71" t="s">
        <v>30</v>
      </c>
      <c r="BG71" t="s">
        <v>9465</v>
      </c>
      <c r="BI71" t="s">
        <v>9268</v>
      </c>
      <c r="BJ71" t="str">
        <f t="shared" si="36"/>
        <v>NatGrdExt_HND-9</v>
      </c>
      <c r="BK71" t="str">
        <f t="shared" si="37"/>
        <v>Grid Extension -Honduras- Step 9</v>
      </c>
      <c r="BL71" t="s">
        <v>29</v>
      </c>
      <c r="BM71" t="s">
        <v>30</v>
      </c>
      <c r="BN71" t="s">
        <v>9465</v>
      </c>
      <c r="BP71" t="s">
        <v>9268</v>
      </c>
      <c r="BQ71" t="str">
        <f t="shared" si="38"/>
        <v>NatGrdExt_HND-10</v>
      </c>
      <c r="BR71" t="str">
        <f t="shared" si="39"/>
        <v>Grid Extension -Honduras- Step 10</v>
      </c>
      <c r="BS71" t="s">
        <v>29</v>
      </c>
      <c r="BT71" t="s">
        <v>30</v>
      </c>
      <c r="BU71" t="s">
        <v>9465</v>
      </c>
    </row>
    <row r="72" spans="1:73">
      <c r="A72" s="4" t="s">
        <v>852</v>
      </c>
      <c r="B72" s="4" t="s">
        <v>9532</v>
      </c>
      <c r="E72" t="s">
        <v>9268</v>
      </c>
      <c r="F72" t="str">
        <f t="shared" si="20"/>
        <v>NatGrdExt_HRV-1</v>
      </c>
      <c r="G72" t="str">
        <f t="shared" si="21"/>
        <v>Grid Extension -Croatia- Step 1</v>
      </c>
      <c r="H72" t="s">
        <v>29</v>
      </c>
      <c r="I72" t="s">
        <v>30</v>
      </c>
      <c r="J72" t="s">
        <v>9465</v>
      </c>
      <c r="L72" t="s">
        <v>9268</v>
      </c>
      <c r="M72" t="str">
        <f t="shared" si="22"/>
        <v>NatGrdExt_HRV-2</v>
      </c>
      <c r="N72" t="str">
        <f t="shared" si="23"/>
        <v>Grid Extension -Croatia- Step 2</v>
      </c>
      <c r="O72" t="s">
        <v>29</v>
      </c>
      <c r="P72" t="s">
        <v>30</v>
      </c>
      <c r="Q72" t="s">
        <v>9465</v>
      </c>
      <c r="S72" t="s">
        <v>9268</v>
      </c>
      <c r="T72" t="str">
        <f t="shared" si="24"/>
        <v>NatGrdExt_HRV-3</v>
      </c>
      <c r="U72" t="str">
        <f t="shared" si="25"/>
        <v>Grid Extension -Croatia- Step 3</v>
      </c>
      <c r="V72" t="s">
        <v>29</v>
      </c>
      <c r="W72" t="s">
        <v>30</v>
      </c>
      <c r="X72" t="s">
        <v>9465</v>
      </c>
      <c r="Z72" t="s">
        <v>9268</v>
      </c>
      <c r="AA72" t="str">
        <f t="shared" si="26"/>
        <v>NatGrdExt_HRV-4</v>
      </c>
      <c r="AB72" t="str">
        <f t="shared" si="27"/>
        <v>Grid Extension -Croatia- Step 4</v>
      </c>
      <c r="AC72" t="s">
        <v>29</v>
      </c>
      <c r="AD72" t="s">
        <v>30</v>
      </c>
      <c r="AE72" t="s">
        <v>9465</v>
      </c>
      <c r="AG72" t="s">
        <v>9268</v>
      </c>
      <c r="AH72" t="str">
        <f t="shared" si="28"/>
        <v>NatGrdExt_HRV-5</v>
      </c>
      <c r="AI72" t="str">
        <f t="shared" si="29"/>
        <v>Grid Extension -Croatia- Step 5</v>
      </c>
      <c r="AJ72" t="s">
        <v>29</v>
      </c>
      <c r="AK72" t="s">
        <v>30</v>
      </c>
      <c r="AL72" t="s">
        <v>9465</v>
      </c>
      <c r="AN72" t="s">
        <v>9268</v>
      </c>
      <c r="AO72" t="str">
        <f t="shared" si="30"/>
        <v>NatGrdExt_HRV-6</v>
      </c>
      <c r="AP72" t="str">
        <f t="shared" si="31"/>
        <v>Grid Extension -Croatia- Step 6</v>
      </c>
      <c r="AQ72" t="s">
        <v>29</v>
      </c>
      <c r="AR72" t="s">
        <v>30</v>
      </c>
      <c r="AS72" t="s">
        <v>9465</v>
      </c>
      <c r="AU72" t="s">
        <v>9268</v>
      </c>
      <c r="AV72" t="str">
        <f t="shared" si="32"/>
        <v>NatGrdExt_HRV-7</v>
      </c>
      <c r="AW72" t="str">
        <f t="shared" si="33"/>
        <v>Grid Extension -Croatia- Step 7</v>
      </c>
      <c r="AX72" t="s">
        <v>29</v>
      </c>
      <c r="AY72" t="s">
        <v>30</v>
      </c>
      <c r="AZ72" t="s">
        <v>9465</v>
      </c>
      <c r="BB72" t="s">
        <v>9268</v>
      </c>
      <c r="BC72" t="str">
        <f t="shared" si="34"/>
        <v>NatGrdExt_HRV-8</v>
      </c>
      <c r="BD72" t="str">
        <f t="shared" si="35"/>
        <v>Grid Extension -Croatia- Step 8</v>
      </c>
      <c r="BE72" t="s">
        <v>29</v>
      </c>
      <c r="BF72" t="s">
        <v>30</v>
      </c>
      <c r="BG72" t="s">
        <v>9465</v>
      </c>
      <c r="BI72" t="s">
        <v>9268</v>
      </c>
      <c r="BJ72" t="str">
        <f t="shared" si="36"/>
        <v>NatGrdExt_HRV-9</v>
      </c>
      <c r="BK72" t="str">
        <f t="shared" si="37"/>
        <v>Grid Extension -Croatia- Step 9</v>
      </c>
      <c r="BL72" t="s">
        <v>29</v>
      </c>
      <c r="BM72" t="s">
        <v>30</v>
      </c>
      <c r="BN72" t="s">
        <v>9465</v>
      </c>
      <c r="BP72" t="s">
        <v>9268</v>
      </c>
      <c r="BQ72" t="str">
        <f t="shared" si="38"/>
        <v>NatGrdExt_HRV-10</v>
      </c>
      <c r="BR72" t="str">
        <f t="shared" si="39"/>
        <v>Grid Extension -Croatia- Step 10</v>
      </c>
      <c r="BS72" t="s">
        <v>29</v>
      </c>
      <c r="BT72" t="s">
        <v>30</v>
      </c>
      <c r="BU72" t="s">
        <v>9465</v>
      </c>
    </row>
    <row r="73" spans="1:73">
      <c r="A73" s="4" t="s">
        <v>862</v>
      </c>
      <c r="B73" s="4" t="s">
        <v>9533</v>
      </c>
      <c r="E73" t="s">
        <v>9268</v>
      </c>
      <c r="F73" t="str">
        <f t="shared" si="20"/>
        <v>NatGrdExt_HTI-1</v>
      </c>
      <c r="G73" t="str">
        <f t="shared" si="21"/>
        <v>Grid Extension -Haiti- Step 1</v>
      </c>
      <c r="H73" t="s">
        <v>29</v>
      </c>
      <c r="I73" t="s">
        <v>30</v>
      </c>
      <c r="J73" t="s">
        <v>9465</v>
      </c>
      <c r="L73" t="s">
        <v>9268</v>
      </c>
      <c r="M73" t="str">
        <f t="shared" si="22"/>
        <v>NatGrdExt_HTI-2</v>
      </c>
      <c r="N73" t="str">
        <f t="shared" si="23"/>
        <v>Grid Extension -Haiti- Step 2</v>
      </c>
      <c r="O73" t="s">
        <v>29</v>
      </c>
      <c r="P73" t="s">
        <v>30</v>
      </c>
      <c r="Q73" t="s">
        <v>9465</v>
      </c>
      <c r="S73" t="s">
        <v>9268</v>
      </c>
      <c r="T73" t="str">
        <f t="shared" si="24"/>
        <v>NatGrdExt_HTI-3</v>
      </c>
      <c r="U73" t="str">
        <f t="shared" si="25"/>
        <v>Grid Extension -Haiti- Step 3</v>
      </c>
      <c r="V73" t="s">
        <v>29</v>
      </c>
      <c r="W73" t="s">
        <v>30</v>
      </c>
      <c r="X73" t="s">
        <v>9465</v>
      </c>
      <c r="Z73" t="s">
        <v>9268</v>
      </c>
      <c r="AA73" t="str">
        <f t="shared" si="26"/>
        <v>NatGrdExt_HTI-4</v>
      </c>
      <c r="AB73" t="str">
        <f t="shared" si="27"/>
        <v>Grid Extension -Haiti- Step 4</v>
      </c>
      <c r="AC73" t="s">
        <v>29</v>
      </c>
      <c r="AD73" t="s">
        <v>30</v>
      </c>
      <c r="AE73" t="s">
        <v>9465</v>
      </c>
      <c r="AG73" t="s">
        <v>9268</v>
      </c>
      <c r="AH73" t="str">
        <f t="shared" si="28"/>
        <v>NatGrdExt_HTI-5</v>
      </c>
      <c r="AI73" t="str">
        <f t="shared" si="29"/>
        <v>Grid Extension -Haiti- Step 5</v>
      </c>
      <c r="AJ73" t="s">
        <v>29</v>
      </c>
      <c r="AK73" t="s">
        <v>30</v>
      </c>
      <c r="AL73" t="s">
        <v>9465</v>
      </c>
      <c r="AN73" t="s">
        <v>9268</v>
      </c>
      <c r="AO73" t="str">
        <f t="shared" si="30"/>
        <v>NatGrdExt_HTI-6</v>
      </c>
      <c r="AP73" t="str">
        <f t="shared" si="31"/>
        <v>Grid Extension -Haiti- Step 6</v>
      </c>
      <c r="AQ73" t="s">
        <v>29</v>
      </c>
      <c r="AR73" t="s">
        <v>30</v>
      </c>
      <c r="AS73" t="s">
        <v>9465</v>
      </c>
      <c r="AU73" t="s">
        <v>9268</v>
      </c>
      <c r="AV73" t="str">
        <f t="shared" si="32"/>
        <v>NatGrdExt_HTI-7</v>
      </c>
      <c r="AW73" t="str">
        <f t="shared" si="33"/>
        <v>Grid Extension -Haiti- Step 7</v>
      </c>
      <c r="AX73" t="s">
        <v>29</v>
      </c>
      <c r="AY73" t="s">
        <v>30</v>
      </c>
      <c r="AZ73" t="s">
        <v>9465</v>
      </c>
      <c r="BB73" t="s">
        <v>9268</v>
      </c>
      <c r="BC73" t="str">
        <f t="shared" si="34"/>
        <v>NatGrdExt_HTI-8</v>
      </c>
      <c r="BD73" t="str">
        <f t="shared" si="35"/>
        <v>Grid Extension -Haiti- Step 8</v>
      </c>
      <c r="BE73" t="s">
        <v>29</v>
      </c>
      <c r="BF73" t="s">
        <v>30</v>
      </c>
      <c r="BG73" t="s">
        <v>9465</v>
      </c>
      <c r="BI73" t="s">
        <v>9268</v>
      </c>
      <c r="BJ73" t="str">
        <f t="shared" si="36"/>
        <v>NatGrdExt_HTI-9</v>
      </c>
      <c r="BK73" t="str">
        <f t="shared" si="37"/>
        <v>Grid Extension -Haiti- Step 9</v>
      </c>
      <c r="BL73" t="s">
        <v>29</v>
      </c>
      <c r="BM73" t="s">
        <v>30</v>
      </c>
      <c r="BN73" t="s">
        <v>9465</v>
      </c>
      <c r="BP73" t="s">
        <v>9268</v>
      </c>
      <c r="BQ73" t="str">
        <f t="shared" si="38"/>
        <v>NatGrdExt_HTI-10</v>
      </c>
      <c r="BR73" t="str">
        <f t="shared" si="39"/>
        <v>Grid Extension -Haiti- Step 10</v>
      </c>
      <c r="BS73" t="s">
        <v>29</v>
      </c>
      <c r="BT73" t="s">
        <v>30</v>
      </c>
      <c r="BU73" t="s">
        <v>9465</v>
      </c>
    </row>
    <row r="74" spans="1:73">
      <c r="A74" s="4" t="s">
        <v>870</v>
      </c>
      <c r="B74" s="4" t="s">
        <v>9534</v>
      </c>
      <c r="E74" t="s">
        <v>9268</v>
      </c>
      <c r="F74" t="str">
        <f t="shared" si="20"/>
        <v>NatGrdExt_HUN-1</v>
      </c>
      <c r="G74" t="str">
        <f t="shared" si="21"/>
        <v>Grid Extension -Hungary- Step 1</v>
      </c>
      <c r="H74" t="s">
        <v>29</v>
      </c>
      <c r="I74" t="s">
        <v>30</v>
      </c>
      <c r="J74" t="s">
        <v>9465</v>
      </c>
      <c r="L74" t="s">
        <v>9268</v>
      </c>
      <c r="M74" t="str">
        <f t="shared" si="22"/>
        <v>NatGrdExt_HUN-2</v>
      </c>
      <c r="N74" t="str">
        <f t="shared" si="23"/>
        <v>Grid Extension -Hungary- Step 2</v>
      </c>
      <c r="O74" t="s">
        <v>29</v>
      </c>
      <c r="P74" t="s">
        <v>30</v>
      </c>
      <c r="Q74" t="s">
        <v>9465</v>
      </c>
      <c r="S74" t="s">
        <v>9268</v>
      </c>
      <c r="T74" t="str">
        <f t="shared" si="24"/>
        <v>NatGrdExt_HUN-3</v>
      </c>
      <c r="U74" t="str">
        <f t="shared" si="25"/>
        <v>Grid Extension -Hungary- Step 3</v>
      </c>
      <c r="V74" t="s">
        <v>29</v>
      </c>
      <c r="W74" t="s">
        <v>30</v>
      </c>
      <c r="X74" t="s">
        <v>9465</v>
      </c>
      <c r="Z74" t="s">
        <v>9268</v>
      </c>
      <c r="AA74" t="str">
        <f t="shared" si="26"/>
        <v>NatGrdExt_HUN-4</v>
      </c>
      <c r="AB74" t="str">
        <f t="shared" si="27"/>
        <v>Grid Extension -Hungary- Step 4</v>
      </c>
      <c r="AC74" t="s">
        <v>29</v>
      </c>
      <c r="AD74" t="s">
        <v>30</v>
      </c>
      <c r="AE74" t="s">
        <v>9465</v>
      </c>
      <c r="AG74" t="s">
        <v>9268</v>
      </c>
      <c r="AH74" t="str">
        <f t="shared" si="28"/>
        <v>NatGrdExt_HUN-5</v>
      </c>
      <c r="AI74" t="str">
        <f t="shared" si="29"/>
        <v>Grid Extension -Hungary- Step 5</v>
      </c>
      <c r="AJ74" t="s">
        <v>29</v>
      </c>
      <c r="AK74" t="s">
        <v>30</v>
      </c>
      <c r="AL74" t="s">
        <v>9465</v>
      </c>
      <c r="AN74" t="s">
        <v>9268</v>
      </c>
      <c r="AO74" t="str">
        <f t="shared" si="30"/>
        <v>NatGrdExt_HUN-6</v>
      </c>
      <c r="AP74" t="str">
        <f t="shared" si="31"/>
        <v>Grid Extension -Hungary- Step 6</v>
      </c>
      <c r="AQ74" t="s">
        <v>29</v>
      </c>
      <c r="AR74" t="s">
        <v>30</v>
      </c>
      <c r="AS74" t="s">
        <v>9465</v>
      </c>
      <c r="AU74" t="s">
        <v>9268</v>
      </c>
      <c r="AV74" t="str">
        <f t="shared" si="32"/>
        <v>NatGrdExt_HUN-7</v>
      </c>
      <c r="AW74" t="str">
        <f t="shared" si="33"/>
        <v>Grid Extension -Hungary- Step 7</v>
      </c>
      <c r="AX74" t="s">
        <v>29</v>
      </c>
      <c r="AY74" t="s">
        <v>30</v>
      </c>
      <c r="AZ74" t="s">
        <v>9465</v>
      </c>
      <c r="BB74" t="s">
        <v>9268</v>
      </c>
      <c r="BC74" t="str">
        <f t="shared" si="34"/>
        <v>NatGrdExt_HUN-8</v>
      </c>
      <c r="BD74" t="str">
        <f t="shared" si="35"/>
        <v>Grid Extension -Hungary- Step 8</v>
      </c>
      <c r="BE74" t="s">
        <v>29</v>
      </c>
      <c r="BF74" t="s">
        <v>30</v>
      </c>
      <c r="BG74" t="s">
        <v>9465</v>
      </c>
      <c r="BI74" t="s">
        <v>9268</v>
      </c>
      <c r="BJ74" t="str">
        <f t="shared" si="36"/>
        <v>NatGrdExt_HUN-9</v>
      </c>
      <c r="BK74" t="str">
        <f t="shared" si="37"/>
        <v>Grid Extension -Hungary- Step 9</v>
      </c>
      <c r="BL74" t="s">
        <v>29</v>
      </c>
      <c r="BM74" t="s">
        <v>30</v>
      </c>
      <c r="BN74" t="s">
        <v>9465</v>
      </c>
      <c r="BP74" t="s">
        <v>9268</v>
      </c>
      <c r="BQ74" t="str">
        <f t="shared" si="38"/>
        <v>NatGrdExt_HUN-10</v>
      </c>
      <c r="BR74" t="str">
        <f t="shared" si="39"/>
        <v>Grid Extension -Hungary- Step 10</v>
      </c>
      <c r="BS74" t="s">
        <v>29</v>
      </c>
      <c r="BT74" t="s">
        <v>30</v>
      </c>
      <c r="BU74" t="s">
        <v>9465</v>
      </c>
    </row>
    <row r="75" spans="1:73">
      <c r="A75" s="4" t="s">
        <v>880</v>
      </c>
      <c r="B75" s="4" t="s">
        <v>9535</v>
      </c>
      <c r="E75" t="s">
        <v>9268</v>
      </c>
      <c r="F75" t="str">
        <f t="shared" si="20"/>
        <v>NatGrdExt_IDN-1</v>
      </c>
      <c r="G75" t="str">
        <f t="shared" si="21"/>
        <v>Grid Extension -Indonesia- Step 1</v>
      </c>
      <c r="H75" t="s">
        <v>29</v>
      </c>
      <c r="I75" t="s">
        <v>30</v>
      </c>
      <c r="J75" t="s">
        <v>9465</v>
      </c>
      <c r="L75" t="s">
        <v>9268</v>
      </c>
      <c r="M75" t="str">
        <f t="shared" si="22"/>
        <v>NatGrdExt_IDN-2</v>
      </c>
      <c r="N75" t="str">
        <f t="shared" si="23"/>
        <v>Grid Extension -Indonesia- Step 2</v>
      </c>
      <c r="O75" t="s">
        <v>29</v>
      </c>
      <c r="P75" t="s">
        <v>30</v>
      </c>
      <c r="Q75" t="s">
        <v>9465</v>
      </c>
      <c r="S75" t="s">
        <v>9268</v>
      </c>
      <c r="T75" t="str">
        <f t="shared" si="24"/>
        <v>NatGrdExt_IDN-3</v>
      </c>
      <c r="U75" t="str">
        <f t="shared" si="25"/>
        <v>Grid Extension -Indonesia- Step 3</v>
      </c>
      <c r="V75" t="s">
        <v>29</v>
      </c>
      <c r="W75" t="s">
        <v>30</v>
      </c>
      <c r="X75" t="s">
        <v>9465</v>
      </c>
      <c r="Z75" t="s">
        <v>9268</v>
      </c>
      <c r="AA75" t="str">
        <f t="shared" si="26"/>
        <v>NatGrdExt_IDN-4</v>
      </c>
      <c r="AB75" t="str">
        <f t="shared" si="27"/>
        <v>Grid Extension -Indonesia- Step 4</v>
      </c>
      <c r="AC75" t="s">
        <v>29</v>
      </c>
      <c r="AD75" t="s">
        <v>30</v>
      </c>
      <c r="AE75" t="s">
        <v>9465</v>
      </c>
      <c r="AG75" t="s">
        <v>9268</v>
      </c>
      <c r="AH75" t="str">
        <f t="shared" si="28"/>
        <v>NatGrdExt_IDN-5</v>
      </c>
      <c r="AI75" t="str">
        <f t="shared" si="29"/>
        <v>Grid Extension -Indonesia- Step 5</v>
      </c>
      <c r="AJ75" t="s">
        <v>29</v>
      </c>
      <c r="AK75" t="s">
        <v>30</v>
      </c>
      <c r="AL75" t="s">
        <v>9465</v>
      </c>
      <c r="AN75" t="s">
        <v>9268</v>
      </c>
      <c r="AO75" t="str">
        <f t="shared" si="30"/>
        <v>NatGrdExt_IDN-6</v>
      </c>
      <c r="AP75" t="str">
        <f t="shared" si="31"/>
        <v>Grid Extension -Indonesia- Step 6</v>
      </c>
      <c r="AQ75" t="s">
        <v>29</v>
      </c>
      <c r="AR75" t="s">
        <v>30</v>
      </c>
      <c r="AS75" t="s">
        <v>9465</v>
      </c>
      <c r="AU75" t="s">
        <v>9268</v>
      </c>
      <c r="AV75" t="str">
        <f t="shared" si="32"/>
        <v>NatGrdExt_IDN-7</v>
      </c>
      <c r="AW75" t="str">
        <f t="shared" si="33"/>
        <v>Grid Extension -Indonesia- Step 7</v>
      </c>
      <c r="AX75" t="s">
        <v>29</v>
      </c>
      <c r="AY75" t="s">
        <v>30</v>
      </c>
      <c r="AZ75" t="s">
        <v>9465</v>
      </c>
      <c r="BB75" t="s">
        <v>9268</v>
      </c>
      <c r="BC75" t="str">
        <f t="shared" si="34"/>
        <v>NatGrdExt_IDN-8</v>
      </c>
      <c r="BD75" t="str">
        <f t="shared" si="35"/>
        <v>Grid Extension -Indonesia- Step 8</v>
      </c>
      <c r="BE75" t="s">
        <v>29</v>
      </c>
      <c r="BF75" t="s">
        <v>30</v>
      </c>
      <c r="BG75" t="s">
        <v>9465</v>
      </c>
      <c r="BI75" t="s">
        <v>9268</v>
      </c>
      <c r="BJ75" t="str">
        <f t="shared" si="36"/>
        <v>NatGrdExt_IDN-9</v>
      </c>
      <c r="BK75" t="str">
        <f t="shared" si="37"/>
        <v>Grid Extension -Indonesia- Step 9</v>
      </c>
      <c r="BL75" t="s">
        <v>29</v>
      </c>
      <c r="BM75" t="s">
        <v>30</v>
      </c>
      <c r="BN75" t="s">
        <v>9465</v>
      </c>
      <c r="BP75" t="s">
        <v>9268</v>
      </c>
      <c r="BQ75" t="str">
        <f t="shared" si="38"/>
        <v>NatGrdExt_IDN-10</v>
      </c>
      <c r="BR75" t="str">
        <f t="shared" si="39"/>
        <v>Grid Extension -Indonesia- Step 10</v>
      </c>
      <c r="BS75" t="s">
        <v>29</v>
      </c>
      <c r="BT75" t="s">
        <v>30</v>
      </c>
      <c r="BU75" t="s">
        <v>9465</v>
      </c>
    </row>
    <row r="76" spans="1:73">
      <c r="A76" s="4" t="s">
        <v>926</v>
      </c>
      <c r="B76" s="4" t="s">
        <v>35</v>
      </c>
      <c r="E76" t="s">
        <v>9268</v>
      </c>
      <c r="F76" t="str">
        <f t="shared" si="20"/>
        <v>NatGrdExt_IND-1</v>
      </c>
      <c r="G76" t="str">
        <f t="shared" si="21"/>
        <v>Grid Extension -India- Step 1</v>
      </c>
      <c r="H76" t="s">
        <v>29</v>
      </c>
      <c r="I76" t="s">
        <v>30</v>
      </c>
      <c r="J76" t="s">
        <v>9465</v>
      </c>
      <c r="L76" t="s">
        <v>9268</v>
      </c>
      <c r="M76" t="str">
        <f t="shared" si="22"/>
        <v>NatGrdExt_IND-2</v>
      </c>
      <c r="N76" t="str">
        <f t="shared" si="23"/>
        <v>Grid Extension -India- Step 2</v>
      </c>
      <c r="O76" t="s">
        <v>29</v>
      </c>
      <c r="P76" t="s">
        <v>30</v>
      </c>
      <c r="Q76" t="s">
        <v>9465</v>
      </c>
      <c r="S76" t="s">
        <v>9268</v>
      </c>
      <c r="T76" t="str">
        <f t="shared" si="24"/>
        <v>NatGrdExt_IND-3</v>
      </c>
      <c r="U76" t="str">
        <f t="shared" si="25"/>
        <v>Grid Extension -India- Step 3</v>
      </c>
      <c r="V76" t="s">
        <v>29</v>
      </c>
      <c r="W76" t="s">
        <v>30</v>
      </c>
      <c r="X76" t="s">
        <v>9465</v>
      </c>
      <c r="Z76" t="s">
        <v>9268</v>
      </c>
      <c r="AA76" t="str">
        <f t="shared" si="26"/>
        <v>NatGrdExt_IND-4</v>
      </c>
      <c r="AB76" t="str">
        <f t="shared" si="27"/>
        <v>Grid Extension -India- Step 4</v>
      </c>
      <c r="AC76" t="s">
        <v>29</v>
      </c>
      <c r="AD76" t="s">
        <v>30</v>
      </c>
      <c r="AE76" t="s">
        <v>9465</v>
      </c>
      <c r="AG76" t="s">
        <v>9268</v>
      </c>
      <c r="AH76" t="str">
        <f t="shared" si="28"/>
        <v>NatGrdExt_IND-5</v>
      </c>
      <c r="AI76" t="str">
        <f t="shared" si="29"/>
        <v>Grid Extension -India- Step 5</v>
      </c>
      <c r="AJ76" t="s">
        <v>29</v>
      </c>
      <c r="AK76" t="s">
        <v>30</v>
      </c>
      <c r="AL76" t="s">
        <v>9465</v>
      </c>
      <c r="AN76" t="s">
        <v>9268</v>
      </c>
      <c r="AO76" t="str">
        <f t="shared" si="30"/>
        <v>NatGrdExt_IND-6</v>
      </c>
      <c r="AP76" t="str">
        <f t="shared" si="31"/>
        <v>Grid Extension -India- Step 6</v>
      </c>
      <c r="AQ76" t="s">
        <v>29</v>
      </c>
      <c r="AR76" t="s">
        <v>30</v>
      </c>
      <c r="AS76" t="s">
        <v>9465</v>
      </c>
      <c r="AU76" t="s">
        <v>9268</v>
      </c>
      <c r="AV76" t="str">
        <f t="shared" si="32"/>
        <v>NatGrdExt_IND-7</v>
      </c>
      <c r="AW76" t="str">
        <f t="shared" si="33"/>
        <v>Grid Extension -India- Step 7</v>
      </c>
      <c r="AX76" t="s">
        <v>29</v>
      </c>
      <c r="AY76" t="s">
        <v>30</v>
      </c>
      <c r="AZ76" t="s">
        <v>9465</v>
      </c>
      <c r="BB76" t="s">
        <v>9268</v>
      </c>
      <c r="BC76" t="str">
        <f t="shared" si="34"/>
        <v>NatGrdExt_IND-8</v>
      </c>
      <c r="BD76" t="str">
        <f t="shared" si="35"/>
        <v>Grid Extension -India- Step 8</v>
      </c>
      <c r="BE76" t="s">
        <v>29</v>
      </c>
      <c r="BF76" t="s">
        <v>30</v>
      </c>
      <c r="BG76" t="s">
        <v>9465</v>
      </c>
      <c r="BI76" t="s">
        <v>9268</v>
      </c>
      <c r="BJ76" t="str">
        <f t="shared" si="36"/>
        <v>NatGrdExt_IND-9</v>
      </c>
      <c r="BK76" t="str">
        <f t="shared" si="37"/>
        <v>Grid Extension -India- Step 9</v>
      </c>
      <c r="BL76" t="s">
        <v>29</v>
      </c>
      <c r="BM76" t="s">
        <v>30</v>
      </c>
      <c r="BN76" t="s">
        <v>9465</v>
      </c>
      <c r="BP76" t="s">
        <v>9268</v>
      </c>
      <c r="BQ76" t="str">
        <f t="shared" si="38"/>
        <v>NatGrdExt_IND-10</v>
      </c>
      <c r="BR76" t="str">
        <f t="shared" si="39"/>
        <v>Grid Extension -India- Step 10</v>
      </c>
      <c r="BS76" t="s">
        <v>29</v>
      </c>
      <c r="BT76" t="s">
        <v>30</v>
      </c>
      <c r="BU76" t="s">
        <v>9465</v>
      </c>
    </row>
    <row r="77" spans="1:73">
      <c r="A77" s="4" t="s">
        <v>966</v>
      </c>
      <c r="B77" s="4" t="s">
        <v>9536</v>
      </c>
      <c r="E77" t="s">
        <v>9268</v>
      </c>
      <c r="F77" t="str">
        <f t="shared" si="20"/>
        <v>NatGrdExt_IRL-1</v>
      </c>
      <c r="G77" t="str">
        <f t="shared" si="21"/>
        <v>Grid Extension -Ireland- Step 1</v>
      </c>
      <c r="H77" t="s">
        <v>29</v>
      </c>
      <c r="I77" t="s">
        <v>30</v>
      </c>
      <c r="J77" t="s">
        <v>9465</v>
      </c>
      <c r="L77" t="s">
        <v>9268</v>
      </c>
      <c r="M77" t="str">
        <f t="shared" si="22"/>
        <v>NatGrdExt_IRL-2</v>
      </c>
      <c r="N77" t="str">
        <f t="shared" si="23"/>
        <v>Grid Extension -Ireland- Step 2</v>
      </c>
      <c r="O77" t="s">
        <v>29</v>
      </c>
      <c r="P77" t="s">
        <v>30</v>
      </c>
      <c r="Q77" t="s">
        <v>9465</v>
      </c>
      <c r="S77" t="s">
        <v>9268</v>
      </c>
      <c r="T77" t="str">
        <f t="shared" si="24"/>
        <v>NatGrdExt_IRL-3</v>
      </c>
      <c r="U77" t="str">
        <f t="shared" si="25"/>
        <v>Grid Extension -Ireland- Step 3</v>
      </c>
      <c r="V77" t="s">
        <v>29</v>
      </c>
      <c r="W77" t="s">
        <v>30</v>
      </c>
      <c r="X77" t="s">
        <v>9465</v>
      </c>
      <c r="Z77" t="s">
        <v>9268</v>
      </c>
      <c r="AA77" t="str">
        <f t="shared" si="26"/>
        <v>NatGrdExt_IRL-4</v>
      </c>
      <c r="AB77" t="str">
        <f t="shared" si="27"/>
        <v>Grid Extension -Ireland- Step 4</v>
      </c>
      <c r="AC77" t="s">
        <v>29</v>
      </c>
      <c r="AD77" t="s">
        <v>30</v>
      </c>
      <c r="AE77" t="s">
        <v>9465</v>
      </c>
      <c r="AG77" t="s">
        <v>9268</v>
      </c>
      <c r="AH77" t="str">
        <f t="shared" si="28"/>
        <v>NatGrdExt_IRL-5</v>
      </c>
      <c r="AI77" t="str">
        <f t="shared" si="29"/>
        <v>Grid Extension -Ireland- Step 5</v>
      </c>
      <c r="AJ77" t="s">
        <v>29</v>
      </c>
      <c r="AK77" t="s">
        <v>30</v>
      </c>
      <c r="AL77" t="s">
        <v>9465</v>
      </c>
      <c r="AN77" t="s">
        <v>9268</v>
      </c>
      <c r="AO77" t="str">
        <f t="shared" si="30"/>
        <v>NatGrdExt_IRL-6</v>
      </c>
      <c r="AP77" t="str">
        <f t="shared" si="31"/>
        <v>Grid Extension -Ireland- Step 6</v>
      </c>
      <c r="AQ77" t="s">
        <v>29</v>
      </c>
      <c r="AR77" t="s">
        <v>30</v>
      </c>
      <c r="AS77" t="s">
        <v>9465</v>
      </c>
      <c r="AU77" t="s">
        <v>9268</v>
      </c>
      <c r="AV77" t="str">
        <f t="shared" si="32"/>
        <v>NatGrdExt_IRL-7</v>
      </c>
      <c r="AW77" t="str">
        <f t="shared" si="33"/>
        <v>Grid Extension -Ireland- Step 7</v>
      </c>
      <c r="AX77" t="s">
        <v>29</v>
      </c>
      <c r="AY77" t="s">
        <v>30</v>
      </c>
      <c r="AZ77" t="s">
        <v>9465</v>
      </c>
      <c r="BB77" t="s">
        <v>9268</v>
      </c>
      <c r="BC77" t="str">
        <f t="shared" si="34"/>
        <v>NatGrdExt_IRL-8</v>
      </c>
      <c r="BD77" t="str">
        <f t="shared" si="35"/>
        <v>Grid Extension -Ireland- Step 8</v>
      </c>
      <c r="BE77" t="s">
        <v>29</v>
      </c>
      <c r="BF77" t="s">
        <v>30</v>
      </c>
      <c r="BG77" t="s">
        <v>9465</v>
      </c>
      <c r="BI77" t="s">
        <v>9268</v>
      </c>
      <c r="BJ77" t="str">
        <f t="shared" si="36"/>
        <v>NatGrdExt_IRL-9</v>
      </c>
      <c r="BK77" t="str">
        <f t="shared" si="37"/>
        <v>Grid Extension -Ireland- Step 9</v>
      </c>
      <c r="BL77" t="s">
        <v>29</v>
      </c>
      <c r="BM77" t="s">
        <v>30</v>
      </c>
      <c r="BN77" t="s">
        <v>9465</v>
      </c>
      <c r="BP77" t="s">
        <v>9268</v>
      </c>
      <c r="BQ77" t="str">
        <f t="shared" si="38"/>
        <v>NatGrdExt_IRL-10</v>
      </c>
      <c r="BR77" t="str">
        <f t="shared" si="39"/>
        <v>Grid Extension -Ireland- Step 10</v>
      </c>
      <c r="BS77" t="s">
        <v>29</v>
      </c>
      <c r="BT77" t="s">
        <v>30</v>
      </c>
      <c r="BU77" t="s">
        <v>9465</v>
      </c>
    </row>
    <row r="78" spans="1:73">
      <c r="A78" s="4" t="s">
        <v>972</v>
      </c>
      <c r="B78" s="4" t="s">
        <v>9537</v>
      </c>
      <c r="E78" t="s">
        <v>9268</v>
      </c>
      <c r="F78" t="str">
        <f t="shared" si="20"/>
        <v>NatGrdExt_IRN-1</v>
      </c>
      <c r="G78" t="str">
        <f t="shared" si="21"/>
        <v>Grid Extension -Iran- Step 1</v>
      </c>
      <c r="H78" t="s">
        <v>29</v>
      </c>
      <c r="I78" t="s">
        <v>30</v>
      </c>
      <c r="J78" t="s">
        <v>9465</v>
      </c>
      <c r="L78" t="s">
        <v>9268</v>
      </c>
      <c r="M78" t="str">
        <f t="shared" si="22"/>
        <v>NatGrdExt_IRN-2</v>
      </c>
      <c r="N78" t="str">
        <f t="shared" si="23"/>
        <v>Grid Extension -Iran- Step 2</v>
      </c>
      <c r="O78" t="s">
        <v>29</v>
      </c>
      <c r="P78" t="s">
        <v>30</v>
      </c>
      <c r="Q78" t="s">
        <v>9465</v>
      </c>
      <c r="S78" t="s">
        <v>9268</v>
      </c>
      <c r="T78" t="str">
        <f t="shared" si="24"/>
        <v>NatGrdExt_IRN-3</v>
      </c>
      <c r="U78" t="str">
        <f t="shared" si="25"/>
        <v>Grid Extension -Iran- Step 3</v>
      </c>
      <c r="V78" t="s">
        <v>29</v>
      </c>
      <c r="W78" t="s">
        <v>30</v>
      </c>
      <c r="X78" t="s">
        <v>9465</v>
      </c>
      <c r="Z78" t="s">
        <v>9268</v>
      </c>
      <c r="AA78" t="str">
        <f t="shared" si="26"/>
        <v>NatGrdExt_IRN-4</v>
      </c>
      <c r="AB78" t="str">
        <f t="shared" si="27"/>
        <v>Grid Extension -Iran- Step 4</v>
      </c>
      <c r="AC78" t="s">
        <v>29</v>
      </c>
      <c r="AD78" t="s">
        <v>30</v>
      </c>
      <c r="AE78" t="s">
        <v>9465</v>
      </c>
      <c r="AG78" t="s">
        <v>9268</v>
      </c>
      <c r="AH78" t="str">
        <f t="shared" si="28"/>
        <v>NatGrdExt_IRN-5</v>
      </c>
      <c r="AI78" t="str">
        <f t="shared" si="29"/>
        <v>Grid Extension -Iran- Step 5</v>
      </c>
      <c r="AJ78" t="s">
        <v>29</v>
      </c>
      <c r="AK78" t="s">
        <v>30</v>
      </c>
      <c r="AL78" t="s">
        <v>9465</v>
      </c>
      <c r="AN78" t="s">
        <v>9268</v>
      </c>
      <c r="AO78" t="str">
        <f t="shared" si="30"/>
        <v>NatGrdExt_IRN-6</v>
      </c>
      <c r="AP78" t="str">
        <f t="shared" si="31"/>
        <v>Grid Extension -Iran- Step 6</v>
      </c>
      <c r="AQ78" t="s">
        <v>29</v>
      </c>
      <c r="AR78" t="s">
        <v>30</v>
      </c>
      <c r="AS78" t="s">
        <v>9465</v>
      </c>
      <c r="AU78" t="s">
        <v>9268</v>
      </c>
      <c r="AV78" t="str">
        <f t="shared" si="32"/>
        <v>NatGrdExt_IRN-7</v>
      </c>
      <c r="AW78" t="str">
        <f t="shared" si="33"/>
        <v>Grid Extension -Iran- Step 7</v>
      </c>
      <c r="AX78" t="s">
        <v>29</v>
      </c>
      <c r="AY78" t="s">
        <v>30</v>
      </c>
      <c r="AZ78" t="s">
        <v>9465</v>
      </c>
      <c r="BB78" t="s">
        <v>9268</v>
      </c>
      <c r="BC78" t="str">
        <f t="shared" si="34"/>
        <v>NatGrdExt_IRN-8</v>
      </c>
      <c r="BD78" t="str">
        <f t="shared" si="35"/>
        <v>Grid Extension -Iran- Step 8</v>
      </c>
      <c r="BE78" t="s">
        <v>29</v>
      </c>
      <c r="BF78" t="s">
        <v>30</v>
      </c>
      <c r="BG78" t="s">
        <v>9465</v>
      </c>
      <c r="BI78" t="s">
        <v>9268</v>
      </c>
      <c r="BJ78" t="str">
        <f t="shared" si="36"/>
        <v>NatGrdExt_IRN-9</v>
      </c>
      <c r="BK78" t="str">
        <f t="shared" si="37"/>
        <v>Grid Extension -Iran- Step 9</v>
      </c>
      <c r="BL78" t="s">
        <v>29</v>
      </c>
      <c r="BM78" t="s">
        <v>30</v>
      </c>
      <c r="BN78" t="s">
        <v>9465</v>
      </c>
      <c r="BP78" t="s">
        <v>9268</v>
      </c>
      <c r="BQ78" t="str">
        <f t="shared" si="38"/>
        <v>NatGrdExt_IRN-10</v>
      </c>
      <c r="BR78" t="str">
        <f t="shared" si="39"/>
        <v>Grid Extension -Iran- Step 10</v>
      </c>
      <c r="BS78" t="s">
        <v>29</v>
      </c>
      <c r="BT78" t="s">
        <v>30</v>
      </c>
      <c r="BU78" t="s">
        <v>9465</v>
      </c>
    </row>
    <row r="79" spans="1:73">
      <c r="A79" s="4" t="s">
        <v>988</v>
      </c>
      <c r="B79" s="4" t="s">
        <v>9538</v>
      </c>
      <c r="E79" t="s">
        <v>9268</v>
      </c>
      <c r="F79" t="str">
        <f t="shared" si="20"/>
        <v>NatGrdExt_IRQ-1</v>
      </c>
      <c r="G79" t="str">
        <f t="shared" si="21"/>
        <v>Grid Extension -Iraq- Step 1</v>
      </c>
      <c r="H79" t="s">
        <v>29</v>
      </c>
      <c r="I79" t="s">
        <v>30</v>
      </c>
      <c r="J79" t="s">
        <v>9465</v>
      </c>
      <c r="L79" t="s">
        <v>9268</v>
      </c>
      <c r="M79" t="str">
        <f t="shared" si="22"/>
        <v>NatGrdExt_IRQ-2</v>
      </c>
      <c r="N79" t="str">
        <f t="shared" si="23"/>
        <v>Grid Extension -Iraq- Step 2</v>
      </c>
      <c r="O79" t="s">
        <v>29</v>
      </c>
      <c r="P79" t="s">
        <v>30</v>
      </c>
      <c r="Q79" t="s">
        <v>9465</v>
      </c>
      <c r="S79" t="s">
        <v>9268</v>
      </c>
      <c r="T79" t="str">
        <f t="shared" si="24"/>
        <v>NatGrdExt_IRQ-3</v>
      </c>
      <c r="U79" t="str">
        <f t="shared" si="25"/>
        <v>Grid Extension -Iraq- Step 3</v>
      </c>
      <c r="V79" t="s">
        <v>29</v>
      </c>
      <c r="W79" t="s">
        <v>30</v>
      </c>
      <c r="X79" t="s">
        <v>9465</v>
      </c>
      <c r="Z79" t="s">
        <v>9268</v>
      </c>
      <c r="AA79" t="str">
        <f t="shared" si="26"/>
        <v>NatGrdExt_IRQ-4</v>
      </c>
      <c r="AB79" t="str">
        <f t="shared" si="27"/>
        <v>Grid Extension -Iraq- Step 4</v>
      </c>
      <c r="AC79" t="s">
        <v>29</v>
      </c>
      <c r="AD79" t="s">
        <v>30</v>
      </c>
      <c r="AE79" t="s">
        <v>9465</v>
      </c>
      <c r="AG79" t="s">
        <v>9268</v>
      </c>
      <c r="AH79" t="str">
        <f t="shared" si="28"/>
        <v>NatGrdExt_IRQ-5</v>
      </c>
      <c r="AI79" t="str">
        <f t="shared" si="29"/>
        <v>Grid Extension -Iraq- Step 5</v>
      </c>
      <c r="AJ79" t="s">
        <v>29</v>
      </c>
      <c r="AK79" t="s">
        <v>30</v>
      </c>
      <c r="AL79" t="s">
        <v>9465</v>
      </c>
      <c r="AN79" t="s">
        <v>9268</v>
      </c>
      <c r="AO79" t="str">
        <f t="shared" si="30"/>
        <v>NatGrdExt_IRQ-6</v>
      </c>
      <c r="AP79" t="str">
        <f t="shared" si="31"/>
        <v>Grid Extension -Iraq- Step 6</v>
      </c>
      <c r="AQ79" t="s">
        <v>29</v>
      </c>
      <c r="AR79" t="s">
        <v>30</v>
      </c>
      <c r="AS79" t="s">
        <v>9465</v>
      </c>
      <c r="AU79" t="s">
        <v>9268</v>
      </c>
      <c r="AV79" t="str">
        <f t="shared" si="32"/>
        <v>NatGrdExt_IRQ-7</v>
      </c>
      <c r="AW79" t="str">
        <f t="shared" si="33"/>
        <v>Grid Extension -Iraq- Step 7</v>
      </c>
      <c r="AX79" t="s">
        <v>29</v>
      </c>
      <c r="AY79" t="s">
        <v>30</v>
      </c>
      <c r="AZ79" t="s">
        <v>9465</v>
      </c>
      <c r="BB79" t="s">
        <v>9268</v>
      </c>
      <c r="BC79" t="str">
        <f t="shared" si="34"/>
        <v>NatGrdExt_IRQ-8</v>
      </c>
      <c r="BD79" t="str">
        <f t="shared" si="35"/>
        <v>Grid Extension -Iraq- Step 8</v>
      </c>
      <c r="BE79" t="s">
        <v>29</v>
      </c>
      <c r="BF79" t="s">
        <v>30</v>
      </c>
      <c r="BG79" t="s">
        <v>9465</v>
      </c>
      <c r="BI79" t="s">
        <v>9268</v>
      </c>
      <c r="BJ79" t="str">
        <f t="shared" si="36"/>
        <v>NatGrdExt_IRQ-9</v>
      </c>
      <c r="BK79" t="str">
        <f t="shared" si="37"/>
        <v>Grid Extension -Iraq- Step 9</v>
      </c>
      <c r="BL79" t="s">
        <v>29</v>
      </c>
      <c r="BM79" t="s">
        <v>30</v>
      </c>
      <c r="BN79" t="s">
        <v>9465</v>
      </c>
      <c r="BP79" t="s">
        <v>9268</v>
      </c>
      <c r="BQ79" t="str">
        <f t="shared" si="38"/>
        <v>NatGrdExt_IRQ-10</v>
      </c>
      <c r="BR79" t="str">
        <f t="shared" si="39"/>
        <v>Grid Extension -Iraq- Step 10</v>
      </c>
      <c r="BS79" t="s">
        <v>29</v>
      </c>
      <c r="BT79" t="s">
        <v>30</v>
      </c>
      <c r="BU79" t="s">
        <v>9465</v>
      </c>
    </row>
    <row r="80" spans="1:73">
      <c r="A80" s="4" t="s">
        <v>4029</v>
      </c>
      <c r="B80" s="4" t="s">
        <v>9539</v>
      </c>
      <c r="E80" t="s">
        <v>9268</v>
      </c>
      <c r="F80" t="str">
        <f t="shared" ref="F80" si="40">"NatGrdExt_"&amp;$A80&amp;"-"&amp;G$1</f>
        <v>NatGrdExt_ISL-1</v>
      </c>
      <c r="G80" t="str">
        <f t="shared" si="21"/>
        <v>Grid Extension -Iceland- Step 1</v>
      </c>
      <c r="H80" t="s">
        <v>29</v>
      </c>
      <c r="I80" t="s">
        <v>30</v>
      </c>
      <c r="J80" t="s">
        <v>9465</v>
      </c>
      <c r="L80" t="s">
        <v>9268</v>
      </c>
      <c r="M80" t="str">
        <f t="shared" ref="M80" si="41">"NatGrdExt_"&amp;$A80&amp;"-"&amp;N$1</f>
        <v>NatGrdExt_ISL-2</v>
      </c>
      <c r="N80" t="str">
        <f t="shared" si="23"/>
        <v>Grid Extension -Iceland- Step 2</v>
      </c>
      <c r="O80" t="s">
        <v>29</v>
      </c>
      <c r="P80" t="s">
        <v>30</v>
      </c>
      <c r="Q80" t="s">
        <v>9465</v>
      </c>
      <c r="S80" t="s">
        <v>9268</v>
      </c>
      <c r="T80" t="str">
        <f t="shared" ref="T80" si="42">"NatGrdExt_"&amp;$A80&amp;"-"&amp;U$1</f>
        <v>NatGrdExt_ISL-3</v>
      </c>
      <c r="U80" t="str">
        <f t="shared" si="25"/>
        <v>Grid Extension -Iceland- Step 3</v>
      </c>
      <c r="V80" t="s">
        <v>29</v>
      </c>
      <c r="W80" t="s">
        <v>30</v>
      </c>
      <c r="X80" t="s">
        <v>9465</v>
      </c>
      <c r="Z80" t="s">
        <v>9268</v>
      </c>
      <c r="AA80" t="str">
        <f t="shared" ref="AA80" si="43">"NatGrdExt_"&amp;$A80&amp;"-"&amp;AB$1</f>
        <v>NatGrdExt_ISL-4</v>
      </c>
      <c r="AB80" t="str">
        <f t="shared" si="27"/>
        <v>Grid Extension -Iceland- Step 4</v>
      </c>
      <c r="AC80" t="s">
        <v>29</v>
      </c>
      <c r="AD80" t="s">
        <v>30</v>
      </c>
      <c r="AE80" t="s">
        <v>9465</v>
      </c>
      <c r="AG80" t="s">
        <v>9268</v>
      </c>
      <c r="AH80" t="str">
        <f t="shared" ref="AH80" si="44">"NatGrdExt_"&amp;$A80&amp;"-"&amp;AI$1</f>
        <v>NatGrdExt_ISL-5</v>
      </c>
      <c r="AI80" t="str">
        <f t="shared" si="29"/>
        <v>Grid Extension -Iceland- Step 5</v>
      </c>
      <c r="AJ80" t="s">
        <v>29</v>
      </c>
      <c r="AK80" t="s">
        <v>30</v>
      </c>
      <c r="AL80" t="s">
        <v>9465</v>
      </c>
      <c r="AN80" t="s">
        <v>9268</v>
      </c>
      <c r="AO80" t="str">
        <f t="shared" ref="AO80" si="45">"NatGrdExt_"&amp;$A80&amp;"-"&amp;AP$1</f>
        <v>NatGrdExt_ISL-6</v>
      </c>
      <c r="AP80" t="str">
        <f t="shared" si="31"/>
        <v>Grid Extension -Iceland- Step 6</v>
      </c>
      <c r="AQ80" t="s">
        <v>29</v>
      </c>
      <c r="AR80" t="s">
        <v>30</v>
      </c>
      <c r="AS80" t="s">
        <v>9465</v>
      </c>
      <c r="AU80" t="s">
        <v>9268</v>
      </c>
      <c r="AV80" t="str">
        <f t="shared" ref="AV80" si="46">"NatGrdExt_"&amp;$A80&amp;"-"&amp;AW$1</f>
        <v>NatGrdExt_ISL-7</v>
      </c>
      <c r="AW80" t="str">
        <f t="shared" si="33"/>
        <v>Grid Extension -Iceland- Step 7</v>
      </c>
      <c r="AX80" t="s">
        <v>29</v>
      </c>
      <c r="AY80" t="s">
        <v>30</v>
      </c>
      <c r="AZ80" t="s">
        <v>9465</v>
      </c>
      <c r="BB80" t="s">
        <v>9268</v>
      </c>
      <c r="BC80" t="str">
        <f t="shared" ref="BC80" si="47">"NatGrdExt_"&amp;$A80&amp;"-"&amp;BD$1</f>
        <v>NatGrdExt_ISL-8</v>
      </c>
      <c r="BD80" t="str">
        <f t="shared" si="35"/>
        <v>Grid Extension -Iceland- Step 8</v>
      </c>
      <c r="BE80" t="s">
        <v>29</v>
      </c>
      <c r="BF80" t="s">
        <v>30</v>
      </c>
      <c r="BG80" t="s">
        <v>9465</v>
      </c>
      <c r="BI80" t="s">
        <v>9268</v>
      </c>
      <c r="BJ80" t="str">
        <f t="shared" ref="BJ80" si="48">"NatGrdExt_"&amp;$A80&amp;"-"&amp;BK$1</f>
        <v>NatGrdExt_ISL-9</v>
      </c>
      <c r="BK80" t="str">
        <f t="shared" si="37"/>
        <v>Grid Extension -Iceland- Step 9</v>
      </c>
      <c r="BL80" t="s">
        <v>29</v>
      </c>
      <c r="BM80" t="s">
        <v>30</v>
      </c>
      <c r="BN80" t="s">
        <v>9465</v>
      </c>
      <c r="BP80" t="s">
        <v>9268</v>
      </c>
      <c r="BQ80" t="str">
        <f t="shared" ref="BQ80" si="49">"NatGrdExt_"&amp;$A80&amp;"-"&amp;BR$1</f>
        <v>NatGrdExt_ISL-10</v>
      </c>
      <c r="BR80" t="str">
        <f t="shared" si="39"/>
        <v>Grid Extension -Iceland- Step 10</v>
      </c>
      <c r="BS80" t="s">
        <v>29</v>
      </c>
      <c r="BT80" t="s">
        <v>30</v>
      </c>
      <c r="BU80" t="s">
        <v>9465</v>
      </c>
    </row>
    <row r="81" spans="1:73">
      <c r="A81" s="4" t="s">
        <v>1002</v>
      </c>
      <c r="B81" s="4" t="s">
        <v>9540</v>
      </c>
      <c r="E81" t="s">
        <v>9268</v>
      </c>
      <c r="F81" t="str">
        <f t="shared" si="20"/>
        <v>NatGrdExt_ISR-1</v>
      </c>
      <c r="G81" t="str">
        <f t="shared" si="21"/>
        <v>Grid Extension -Israel- Step 1</v>
      </c>
      <c r="H81" t="s">
        <v>29</v>
      </c>
      <c r="I81" t="s">
        <v>30</v>
      </c>
      <c r="J81" t="s">
        <v>9465</v>
      </c>
      <c r="L81" t="s">
        <v>9268</v>
      </c>
      <c r="M81" t="str">
        <f t="shared" si="22"/>
        <v>NatGrdExt_ISR-2</v>
      </c>
      <c r="N81" t="str">
        <f t="shared" si="23"/>
        <v>Grid Extension -Israel- Step 2</v>
      </c>
      <c r="O81" t="s">
        <v>29</v>
      </c>
      <c r="P81" t="s">
        <v>30</v>
      </c>
      <c r="Q81" t="s">
        <v>9465</v>
      </c>
      <c r="S81" t="s">
        <v>9268</v>
      </c>
      <c r="T81" t="str">
        <f t="shared" si="24"/>
        <v>NatGrdExt_ISR-3</v>
      </c>
      <c r="U81" t="str">
        <f t="shared" si="25"/>
        <v>Grid Extension -Israel- Step 3</v>
      </c>
      <c r="V81" t="s">
        <v>29</v>
      </c>
      <c r="W81" t="s">
        <v>30</v>
      </c>
      <c r="X81" t="s">
        <v>9465</v>
      </c>
      <c r="Z81" t="s">
        <v>9268</v>
      </c>
      <c r="AA81" t="str">
        <f t="shared" si="26"/>
        <v>NatGrdExt_ISR-4</v>
      </c>
      <c r="AB81" t="str">
        <f t="shared" si="27"/>
        <v>Grid Extension -Israel- Step 4</v>
      </c>
      <c r="AC81" t="s">
        <v>29</v>
      </c>
      <c r="AD81" t="s">
        <v>30</v>
      </c>
      <c r="AE81" t="s">
        <v>9465</v>
      </c>
      <c r="AG81" t="s">
        <v>9268</v>
      </c>
      <c r="AH81" t="str">
        <f t="shared" si="28"/>
        <v>NatGrdExt_ISR-5</v>
      </c>
      <c r="AI81" t="str">
        <f t="shared" si="29"/>
        <v>Grid Extension -Israel- Step 5</v>
      </c>
      <c r="AJ81" t="s">
        <v>29</v>
      </c>
      <c r="AK81" t="s">
        <v>30</v>
      </c>
      <c r="AL81" t="s">
        <v>9465</v>
      </c>
      <c r="AN81" t="s">
        <v>9268</v>
      </c>
      <c r="AO81" t="str">
        <f t="shared" si="30"/>
        <v>NatGrdExt_ISR-6</v>
      </c>
      <c r="AP81" t="str">
        <f t="shared" si="31"/>
        <v>Grid Extension -Israel- Step 6</v>
      </c>
      <c r="AQ81" t="s">
        <v>29</v>
      </c>
      <c r="AR81" t="s">
        <v>30</v>
      </c>
      <c r="AS81" t="s">
        <v>9465</v>
      </c>
      <c r="AU81" t="s">
        <v>9268</v>
      </c>
      <c r="AV81" t="str">
        <f t="shared" si="32"/>
        <v>NatGrdExt_ISR-7</v>
      </c>
      <c r="AW81" t="str">
        <f t="shared" si="33"/>
        <v>Grid Extension -Israel- Step 7</v>
      </c>
      <c r="AX81" t="s">
        <v>29</v>
      </c>
      <c r="AY81" t="s">
        <v>30</v>
      </c>
      <c r="AZ81" t="s">
        <v>9465</v>
      </c>
      <c r="BB81" t="s">
        <v>9268</v>
      </c>
      <c r="BC81" t="str">
        <f t="shared" si="34"/>
        <v>NatGrdExt_ISR-8</v>
      </c>
      <c r="BD81" t="str">
        <f t="shared" si="35"/>
        <v>Grid Extension -Israel- Step 8</v>
      </c>
      <c r="BE81" t="s">
        <v>29</v>
      </c>
      <c r="BF81" t="s">
        <v>30</v>
      </c>
      <c r="BG81" t="s">
        <v>9465</v>
      </c>
      <c r="BI81" t="s">
        <v>9268</v>
      </c>
      <c r="BJ81" t="str">
        <f t="shared" si="36"/>
        <v>NatGrdExt_ISR-9</v>
      </c>
      <c r="BK81" t="str">
        <f t="shared" si="37"/>
        <v>Grid Extension -Israel- Step 9</v>
      </c>
      <c r="BL81" t="s">
        <v>29</v>
      </c>
      <c r="BM81" t="s">
        <v>30</v>
      </c>
      <c r="BN81" t="s">
        <v>9465</v>
      </c>
      <c r="BP81" t="s">
        <v>9268</v>
      </c>
      <c r="BQ81" t="str">
        <f t="shared" si="38"/>
        <v>NatGrdExt_ISR-10</v>
      </c>
      <c r="BR81" t="str">
        <f t="shared" si="39"/>
        <v>Grid Extension -Israel- Step 10</v>
      </c>
      <c r="BS81" t="s">
        <v>29</v>
      </c>
      <c r="BT81" t="s">
        <v>30</v>
      </c>
      <c r="BU81" t="s">
        <v>9465</v>
      </c>
    </row>
    <row r="82" spans="1:73">
      <c r="A82" s="4" t="s">
        <v>1010</v>
      </c>
      <c r="B82" s="4" t="s">
        <v>9541</v>
      </c>
      <c r="E82" t="s">
        <v>9268</v>
      </c>
      <c r="F82" t="str">
        <f t="shared" si="20"/>
        <v>NatGrdExt_ITA-1</v>
      </c>
      <c r="G82" t="str">
        <f t="shared" si="21"/>
        <v>Grid Extension -Italy- Step 1</v>
      </c>
      <c r="H82" t="s">
        <v>29</v>
      </c>
      <c r="I82" t="s">
        <v>30</v>
      </c>
      <c r="J82" t="s">
        <v>9465</v>
      </c>
      <c r="L82" t="s">
        <v>9268</v>
      </c>
      <c r="M82" t="str">
        <f t="shared" si="22"/>
        <v>NatGrdExt_ITA-2</v>
      </c>
      <c r="N82" t="str">
        <f t="shared" si="23"/>
        <v>Grid Extension -Italy- Step 2</v>
      </c>
      <c r="O82" t="s">
        <v>29</v>
      </c>
      <c r="P82" t="s">
        <v>30</v>
      </c>
      <c r="Q82" t="s">
        <v>9465</v>
      </c>
      <c r="S82" t="s">
        <v>9268</v>
      </c>
      <c r="T82" t="str">
        <f t="shared" si="24"/>
        <v>NatGrdExt_ITA-3</v>
      </c>
      <c r="U82" t="str">
        <f t="shared" si="25"/>
        <v>Grid Extension -Italy- Step 3</v>
      </c>
      <c r="V82" t="s">
        <v>29</v>
      </c>
      <c r="W82" t="s">
        <v>30</v>
      </c>
      <c r="X82" t="s">
        <v>9465</v>
      </c>
      <c r="Z82" t="s">
        <v>9268</v>
      </c>
      <c r="AA82" t="str">
        <f t="shared" si="26"/>
        <v>NatGrdExt_ITA-4</v>
      </c>
      <c r="AB82" t="str">
        <f t="shared" si="27"/>
        <v>Grid Extension -Italy- Step 4</v>
      </c>
      <c r="AC82" t="s">
        <v>29</v>
      </c>
      <c r="AD82" t="s">
        <v>30</v>
      </c>
      <c r="AE82" t="s">
        <v>9465</v>
      </c>
      <c r="AG82" t="s">
        <v>9268</v>
      </c>
      <c r="AH82" t="str">
        <f t="shared" si="28"/>
        <v>NatGrdExt_ITA-5</v>
      </c>
      <c r="AI82" t="str">
        <f t="shared" si="29"/>
        <v>Grid Extension -Italy- Step 5</v>
      </c>
      <c r="AJ82" t="s">
        <v>29</v>
      </c>
      <c r="AK82" t="s">
        <v>30</v>
      </c>
      <c r="AL82" t="s">
        <v>9465</v>
      </c>
      <c r="AN82" t="s">
        <v>9268</v>
      </c>
      <c r="AO82" t="str">
        <f t="shared" si="30"/>
        <v>NatGrdExt_ITA-6</v>
      </c>
      <c r="AP82" t="str">
        <f t="shared" si="31"/>
        <v>Grid Extension -Italy- Step 6</v>
      </c>
      <c r="AQ82" t="s">
        <v>29</v>
      </c>
      <c r="AR82" t="s">
        <v>30</v>
      </c>
      <c r="AS82" t="s">
        <v>9465</v>
      </c>
      <c r="AU82" t="s">
        <v>9268</v>
      </c>
      <c r="AV82" t="str">
        <f t="shared" si="32"/>
        <v>NatGrdExt_ITA-7</v>
      </c>
      <c r="AW82" t="str">
        <f t="shared" si="33"/>
        <v>Grid Extension -Italy- Step 7</v>
      </c>
      <c r="AX82" t="s">
        <v>29</v>
      </c>
      <c r="AY82" t="s">
        <v>30</v>
      </c>
      <c r="AZ82" t="s">
        <v>9465</v>
      </c>
      <c r="BB82" t="s">
        <v>9268</v>
      </c>
      <c r="BC82" t="str">
        <f t="shared" si="34"/>
        <v>NatGrdExt_ITA-8</v>
      </c>
      <c r="BD82" t="str">
        <f t="shared" si="35"/>
        <v>Grid Extension -Italy- Step 8</v>
      </c>
      <c r="BE82" t="s">
        <v>29</v>
      </c>
      <c r="BF82" t="s">
        <v>30</v>
      </c>
      <c r="BG82" t="s">
        <v>9465</v>
      </c>
      <c r="BI82" t="s">
        <v>9268</v>
      </c>
      <c r="BJ82" t="str">
        <f t="shared" si="36"/>
        <v>NatGrdExt_ITA-9</v>
      </c>
      <c r="BK82" t="str">
        <f t="shared" si="37"/>
        <v>Grid Extension -Italy- Step 9</v>
      </c>
      <c r="BL82" t="s">
        <v>29</v>
      </c>
      <c r="BM82" t="s">
        <v>30</v>
      </c>
      <c r="BN82" t="s">
        <v>9465</v>
      </c>
      <c r="BP82" t="s">
        <v>9268</v>
      </c>
      <c r="BQ82" t="str">
        <f t="shared" si="38"/>
        <v>NatGrdExt_ITA-10</v>
      </c>
      <c r="BR82" t="str">
        <f t="shared" si="39"/>
        <v>Grid Extension -Italy- Step 10</v>
      </c>
      <c r="BS82" t="s">
        <v>29</v>
      </c>
      <c r="BT82" t="s">
        <v>30</v>
      </c>
      <c r="BU82" t="s">
        <v>9465</v>
      </c>
    </row>
    <row r="83" spans="1:73">
      <c r="A83" s="4" t="s">
        <v>1030</v>
      </c>
      <c r="B83" s="4" t="s">
        <v>9542</v>
      </c>
      <c r="E83" t="s">
        <v>9268</v>
      </c>
      <c r="F83" t="str">
        <f t="shared" si="20"/>
        <v>NatGrdExt_JAM-1</v>
      </c>
      <c r="G83" t="str">
        <f t="shared" si="21"/>
        <v>Grid Extension -Jamaica- Step 1</v>
      </c>
      <c r="H83" t="s">
        <v>29</v>
      </c>
      <c r="I83" t="s">
        <v>30</v>
      </c>
      <c r="J83" t="s">
        <v>9465</v>
      </c>
      <c r="L83" t="s">
        <v>9268</v>
      </c>
      <c r="M83" t="str">
        <f t="shared" si="22"/>
        <v>NatGrdExt_JAM-2</v>
      </c>
      <c r="N83" t="str">
        <f t="shared" si="23"/>
        <v>Grid Extension -Jamaica- Step 2</v>
      </c>
      <c r="O83" t="s">
        <v>29</v>
      </c>
      <c r="P83" t="s">
        <v>30</v>
      </c>
      <c r="Q83" t="s">
        <v>9465</v>
      </c>
      <c r="S83" t="s">
        <v>9268</v>
      </c>
      <c r="T83" t="str">
        <f t="shared" si="24"/>
        <v>NatGrdExt_JAM-3</v>
      </c>
      <c r="U83" t="str">
        <f t="shared" si="25"/>
        <v>Grid Extension -Jamaica- Step 3</v>
      </c>
      <c r="V83" t="s">
        <v>29</v>
      </c>
      <c r="W83" t="s">
        <v>30</v>
      </c>
      <c r="X83" t="s">
        <v>9465</v>
      </c>
      <c r="Z83" t="s">
        <v>9268</v>
      </c>
      <c r="AA83" t="str">
        <f t="shared" si="26"/>
        <v>NatGrdExt_JAM-4</v>
      </c>
      <c r="AB83" t="str">
        <f t="shared" si="27"/>
        <v>Grid Extension -Jamaica- Step 4</v>
      </c>
      <c r="AC83" t="s">
        <v>29</v>
      </c>
      <c r="AD83" t="s">
        <v>30</v>
      </c>
      <c r="AE83" t="s">
        <v>9465</v>
      </c>
      <c r="AG83" t="s">
        <v>9268</v>
      </c>
      <c r="AH83" t="str">
        <f t="shared" si="28"/>
        <v>NatGrdExt_JAM-5</v>
      </c>
      <c r="AI83" t="str">
        <f t="shared" si="29"/>
        <v>Grid Extension -Jamaica- Step 5</v>
      </c>
      <c r="AJ83" t="s">
        <v>29</v>
      </c>
      <c r="AK83" t="s">
        <v>30</v>
      </c>
      <c r="AL83" t="s">
        <v>9465</v>
      </c>
      <c r="AN83" t="s">
        <v>9268</v>
      </c>
      <c r="AO83" t="str">
        <f t="shared" si="30"/>
        <v>NatGrdExt_JAM-6</v>
      </c>
      <c r="AP83" t="str">
        <f t="shared" si="31"/>
        <v>Grid Extension -Jamaica- Step 6</v>
      </c>
      <c r="AQ83" t="s">
        <v>29</v>
      </c>
      <c r="AR83" t="s">
        <v>30</v>
      </c>
      <c r="AS83" t="s">
        <v>9465</v>
      </c>
      <c r="AU83" t="s">
        <v>9268</v>
      </c>
      <c r="AV83" t="str">
        <f t="shared" si="32"/>
        <v>NatGrdExt_JAM-7</v>
      </c>
      <c r="AW83" t="str">
        <f t="shared" si="33"/>
        <v>Grid Extension -Jamaica- Step 7</v>
      </c>
      <c r="AX83" t="s">
        <v>29</v>
      </c>
      <c r="AY83" t="s">
        <v>30</v>
      </c>
      <c r="AZ83" t="s">
        <v>9465</v>
      </c>
      <c r="BB83" t="s">
        <v>9268</v>
      </c>
      <c r="BC83" t="str">
        <f t="shared" si="34"/>
        <v>NatGrdExt_JAM-8</v>
      </c>
      <c r="BD83" t="str">
        <f t="shared" si="35"/>
        <v>Grid Extension -Jamaica- Step 8</v>
      </c>
      <c r="BE83" t="s">
        <v>29</v>
      </c>
      <c r="BF83" t="s">
        <v>30</v>
      </c>
      <c r="BG83" t="s">
        <v>9465</v>
      </c>
      <c r="BI83" t="s">
        <v>9268</v>
      </c>
      <c r="BJ83" t="str">
        <f t="shared" si="36"/>
        <v>NatGrdExt_JAM-9</v>
      </c>
      <c r="BK83" t="str">
        <f t="shared" si="37"/>
        <v>Grid Extension -Jamaica- Step 9</v>
      </c>
      <c r="BL83" t="s">
        <v>29</v>
      </c>
      <c r="BM83" t="s">
        <v>30</v>
      </c>
      <c r="BN83" t="s">
        <v>9465</v>
      </c>
      <c r="BP83" t="s">
        <v>9268</v>
      </c>
      <c r="BQ83" t="str">
        <f t="shared" si="38"/>
        <v>NatGrdExt_JAM-10</v>
      </c>
      <c r="BR83" t="str">
        <f t="shared" si="39"/>
        <v>Grid Extension -Jamaica- Step 10</v>
      </c>
      <c r="BS83" t="s">
        <v>29</v>
      </c>
      <c r="BT83" t="s">
        <v>30</v>
      </c>
      <c r="BU83" t="s">
        <v>9465</v>
      </c>
    </row>
    <row r="84" spans="1:73">
      <c r="A84" s="4" t="s">
        <v>1036</v>
      </c>
      <c r="B84" s="4" t="s">
        <v>9543</v>
      </c>
      <c r="E84" t="s">
        <v>9268</v>
      </c>
      <c r="F84" t="str">
        <f t="shared" si="20"/>
        <v>NatGrdExt_JOR-1</v>
      </c>
      <c r="G84" t="str">
        <f t="shared" si="21"/>
        <v>Grid Extension -Jordan- Step 1</v>
      </c>
      <c r="H84" t="s">
        <v>29</v>
      </c>
      <c r="I84" t="s">
        <v>30</v>
      </c>
      <c r="J84" t="s">
        <v>9465</v>
      </c>
      <c r="L84" t="s">
        <v>9268</v>
      </c>
      <c r="M84" t="str">
        <f t="shared" si="22"/>
        <v>NatGrdExt_JOR-2</v>
      </c>
      <c r="N84" t="str">
        <f t="shared" si="23"/>
        <v>Grid Extension -Jordan- Step 2</v>
      </c>
      <c r="O84" t="s">
        <v>29</v>
      </c>
      <c r="P84" t="s">
        <v>30</v>
      </c>
      <c r="Q84" t="s">
        <v>9465</v>
      </c>
      <c r="S84" t="s">
        <v>9268</v>
      </c>
      <c r="T84" t="str">
        <f t="shared" si="24"/>
        <v>NatGrdExt_JOR-3</v>
      </c>
      <c r="U84" t="str">
        <f t="shared" si="25"/>
        <v>Grid Extension -Jordan- Step 3</v>
      </c>
      <c r="V84" t="s">
        <v>29</v>
      </c>
      <c r="W84" t="s">
        <v>30</v>
      </c>
      <c r="X84" t="s">
        <v>9465</v>
      </c>
      <c r="Z84" t="s">
        <v>9268</v>
      </c>
      <c r="AA84" t="str">
        <f t="shared" si="26"/>
        <v>NatGrdExt_JOR-4</v>
      </c>
      <c r="AB84" t="str">
        <f t="shared" si="27"/>
        <v>Grid Extension -Jordan- Step 4</v>
      </c>
      <c r="AC84" t="s">
        <v>29</v>
      </c>
      <c r="AD84" t="s">
        <v>30</v>
      </c>
      <c r="AE84" t="s">
        <v>9465</v>
      </c>
      <c r="AG84" t="s">
        <v>9268</v>
      </c>
      <c r="AH84" t="str">
        <f t="shared" si="28"/>
        <v>NatGrdExt_JOR-5</v>
      </c>
      <c r="AI84" t="str">
        <f t="shared" si="29"/>
        <v>Grid Extension -Jordan- Step 5</v>
      </c>
      <c r="AJ84" t="s">
        <v>29</v>
      </c>
      <c r="AK84" t="s">
        <v>30</v>
      </c>
      <c r="AL84" t="s">
        <v>9465</v>
      </c>
      <c r="AN84" t="s">
        <v>9268</v>
      </c>
      <c r="AO84" t="str">
        <f t="shared" si="30"/>
        <v>NatGrdExt_JOR-6</v>
      </c>
      <c r="AP84" t="str">
        <f t="shared" si="31"/>
        <v>Grid Extension -Jordan- Step 6</v>
      </c>
      <c r="AQ84" t="s">
        <v>29</v>
      </c>
      <c r="AR84" t="s">
        <v>30</v>
      </c>
      <c r="AS84" t="s">
        <v>9465</v>
      </c>
      <c r="AU84" t="s">
        <v>9268</v>
      </c>
      <c r="AV84" t="str">
        <f t="shared" si="32"/>
        <v>NatGrdExt_JOR-7</v>
      </c>
      <c r="AW84" t="str">
        <f t="shared" si="33"/>
        <v>Grid Extension -Jordan- Step 7</v>
      </c>
      <c r="AX84" t="s">
        <v>29</v>
      </c>
      <c r="AY84" t="s">
        <v>30</v>
      </c>
      <c r="AZ84" t="s">
        <v>9465</v>
      </c>
      <c r="BB84" t="s">
        <v>9268</v>
      </c>
      <c r="BC84" t="str">
        <f t="shared" si="34"/>
        <v>NatGrdExt_JOR-8</v>
      </c>
      <c r="BD84" t="str">
        <f t="shared" si="35"/>
        <v>Grid Extension -Jordan- Step 8</v>
      </c>
      <c r="BE84" t="s">
        <v>29</v>
      </c>
      <c r="BF84" t="s">
        <v>30</v>
      </c>
      <c r="BG84" t="s">
        <v>9465</v>
      </c>
      <c r="BI84" t="s">
        <v>9268</v>
      </c>
      <c r="BJ84" t="str">
        <f t="shared" si="36"/>
        <v>NatGrdExt_JOR-9</v>
      </c>
      <c r="BK84" t="str">
        <f t="shared" si="37"/>
        <v>Grid Extension -Jordan- Step 9</v>
      </c>
      <c r="BL84" t="s">
        <v>29</v>
      </c>
      <c r="BM84" t="s">
        <v>30</v>
      </c>
      <c r="BN84" t="s">
        <v>9465</v>
      </c>
      <c r="BP84" t="s">
        <v>9268</v>
      </c>
      <c r="BQ84" t="str">
        <f t="shared" si="38"/>
        <v>NatGrdExt_JOR-10</v>
      </c>
      <c r="BR84" t="str">
        <f t="shared" si="39"/>
        <v>Grid Extension -Jordan- Step 10</v>
      </c>
      <c r="BS84" t="s">
        <v>29</v>
      </c>
      <c r="BT84" t="s">
        <v>30</v>
      </c>
      <c r="BU84" t="s">
        <v>9465</v>
      </c>
    </row>
    <row r="85" spans="1:73">
      <c r="A85" s="4" t="s">
        <v>1042</v>
      </c>
      <c r="B85" s="4" t="s">
        <v>1043</v>
      </c>
      <c r="E85" t="s">
        <v>9268</v>
      </c>
      <c r="F85" t="str">
        <f t="shared" si="20"/>
        <v>NatGrdExt_JPN-1</v>
      </c>
      <c r="G85" t="str">
        <f t="shared" si="21"/>
        <v>Grid Extension -Japan- Step 1</v>
      </c>
      <c r="H85" t="s">
        <v>29</v>
      </c>
      <c r="I85" t="s">
        <v>30</v>
      </c>
      <c r="J85" t="s">
        <v>9465</v>
      </c>
      <c r="L85" t="s">
        <v>9268</v>
      </c>
      <c r="M85" t="str">
        <f t="shared" si="22"/>
        <v>NatGrdExt_JPN-2</v>
      </c>
      <c r="N85" t="str">
        <f t="shared" si="23"/>
        <v>Grid Extension -Japan- Step 2</v>
      </c>
      <c r="O85" t="s">
        <v>29</v>
      </c>
      <c r="P85" t="s">
        <v>30</v>
      </c>
      <c r="Q85" t="s">
        <v>9465</v>
      </c>
      <c r="S85" t="s">
        <v>9268</v>
      </c>
      <c r="T85" t="str">
        <f t="shared" si="24"/>
        <v>NatGrdExt_JPN-3</v>
      </c>
      <c r="U85" t="str">
        <f t="shared" si="25"/>
        <v>Grid Extension -Japan- Step 3</v>
      </c>
      <c r="V85" t="s">
        <v>29</v>
      </c>
      <c r="W85" t="s">
        <v>30</v>
      </c>
      <c r="X85" t="s">
        <v>9465</v>
      </c>
      <c r="Z85" t="s">
        <v>9268</v>
      </c>
      <c r="AA85" t="str">
        <f t="shared" si="26"/>
        <v>NatGrdExt_JPN-4</v>
      </c>
      <c r="AB85" t="str">
        <f t="shared" si="27"/>
        <v>Grid Extension -Japan- Step 4</v>
      </c>
      <c r="AC85" t="s">
        <v>29</v>
      </c>
      <c r="AD85" t="s">
        <v>30</v>
      </c>
      <c r="AE85" t="s">
        <v>9465</v>
      </c>
      <c r="AG85" t="s">
        <v>9268</v>
      </c>
      <c r="AH85" t="str">
        <f t="shared" si="28"/>
        <v>NatGrdExt_JPN-5</v>
      </c>
      <c r="AI85" t="str">
        <f t="shared" si="29"/>
        <v>Grid Extension -Japan- Step 5</v>
      </c>
      <c r="AJ85" t="s">
        <v>29</v>
      </c>
      <c r="AK85" t="s">
        <v>30</v>
      </c>
      <c r="AL85" t="s">
        <v>9465</v>
      </c>
      <c r="AN85" t="s">
        <v>9268</v>
      </c>
      <c r="AO85" t="str">
        <f t="shared" si="30"/>
        <v>NatGrdExt_JPN-6</v>
      </c>
      <c r="AP85" t="str">
        <f t="shared" si="31"/>
        <v>Grid Extension -Japan- Step 6</v>
      </c>
      <c r="AQ85" t="s">
        <v>29</v>
      </c>
      <c r="AR85" t="s">
        <v>30</v>
      </c>
      <c r="AS85" t="s">
        <v>9465</v>
      </c>
      <c r="AU85" t="s">
        <v>9268</v>
      </c>
      <c r="AV85" t="str">
        <f t="shared" si="32"/>
        <v>NatGrdExt_JPN-7</v>
      </c>
      <c r="AW85" t="str">
        <f t="shared" si="33"/>
        <v>Grid Extension -Japan- Step 7</v>
      </c>
      <c r="AX85" t="s">
        <v>29</v>
      </c>
      <c r="AY85" t="s">
        <v>30</v>
      </c>
      <c r="AZ85" t="s">
        <v>9465</v>
      </c>
      <c r="BB85" t="s">
        <v>9268</v>
      </c>
      <c r="BC85" t="str">
        <f t="shared" si="34"/>
        <v>NatGrdExt_JPN-8</v>
      </c>
      <c r="BD85" t="str">
        <f t="shared" si="35"/>
        <v>Grid Extension -Japan- Step 8</v>
      </c>
      <c r="BE85" t="s">
        <v>29</v>
      </c>
      <c r="BF85" t="s">
        <v>30</v>
      </c>
      <c r="BG85" t="s">
        <v>9465</v>
      </c>
      <c r="BI85" t="s">
        <v>9268</v>
      </c>
      <c r="BJ85" t="str">
        <f t="shared" si="36"/>
        <v>NatGrdExt_JPN-9</v>
      </c>
      <c r="BK85" t="str">
        <f t="shared" si="37"/>
        <v>Grid Extension -Japan- Step 9</v>
      </c>
      <c r="BL85" t="s">
        <v>29</v>
      </c>
      <c r="BM85" t="s">
        <v>30</v>
      </c>
      <c r="BN85" t="s">
        <v>9465</v>
      </c>
      <c r="BP85" t="s">
        <v>9268</v>
      </c>
      <c r="BQ85" t="str">
        <f t="shared" si="38"/>
        <v>NatGrdExt_JPN-10</v>
      </c>
      <c r="BR85" t="str">
        <f t="shared" si="39"/>
        <v>Grid Extension -Japan- Step 10</v>
      </c>
      <c r="BS85" t="s">
        <v>29</v>
      </c>
      <c r="BT85" t="s">
        <v>30</v>
      </c>
      <c r="BU85" t="s">
        <v>9465</v>
      </c>
    </row>
    <row r="86" spans="1:73">
      <c r="A86" s="4" t="s">
        <v>1071</v>
      </c>
      <c r="B86" s="4" t="s">
        <v>9544</v>
      </c>
      <c r="E86" t="s">
        <v>9268</v>
      </c>
      <c r="F86" t="str">
        <f t="shared" si="20"/>
        <v>NatGrdExt_KAZ-1</v>
      </c>
      <c r="G86" t="str">
        <f t="shared" si="21"/>
        <v>Grid Extension -Kazakhstan- Step 1</v>
      </c>
      <c r="H86" t="s">
        <v>29</v>
      </c>
      <c r="I86" t="s">
        <v>30</v>
      </c>
      <c r="J86" t="s">
        <v>9465</v>
      </c>
      <c r="L86" t="s">
        <v>9268</v>
      </c>
      <c r="M86" t="str">
        <f t="shared" si="22"/>
        <v>NatGrdExt_KAZ-2</v>
      </c>
      <c r="N86" t="str">
        <f t="shared" si="23"/>
        <v>Grid Extension -Kazakhstan- Step 2</v>
      </c>
      <c r="O86" t="s">
        <v>29</v>
      </c>
      <c r="P86" t="s">
        <v>30</v>
      </c>
      <c r="Q86" t="s">
        <v>9465</v>
      </c>
      <c r="S86" t="s">
        <v>9268</v>
      </c>
      <c r="T86" t="str">
        <f t="shared" si="24"/>
        <v>NatGrdExt_KAZ-3</v>
      </c>
      <c r="U86" t="str">
        <f t="shared" si="25"/>
        <v>Grid Extension -Kazakhstan- Step 3</v>
      </c>
      <c r="V86" t="s">
        <v>29</v>
      </c>
      <c r="W86" t="s">
        <v>30</v>
      </c>
      <c r="X86" t="s">
        <v>9465</v>
      </c>
      <c r="Z86" t="s">
        <v>9268</v>
      </c>
      <c r="AA86" t="str">
        <f t="shared" si="26"/>
        <v>NatGrdExt_KAZ-4</v>
      </c>
      <c r="AB86" t="str">
        <f t="shared" si="27"/>
        <v>Grid Extension -Kazakhstan- Step 4</v>
      </c>
      <c r="AC86" t="s">
        <v>29</v>
      </c>
      <c r="AD86" t="s">
        <v>30</v>
      </c>
      <c r="AE86" t="s">
        <v>9465</v>
      </c>
      <c r="AG86" t="s">
        <v>9268</v>
      </c>
      <c r="AH86" t="str">
        <f t="shared" si="28"/>
        <v>NatGrdExt_KAZ-5</v>
      </c>
      <c r="AI86" t="str">
        <f t="shared" si="29"/>
        <v>Grid Extension -Kazakhstan- Step 5</v>
      </c>
      <c r="AJ86" t="s">
        <v>29</v>
      </c>
      <c r="AK86" t="s">
        <v>30</v>
      </c>
      <c r="AL86" t="s">
        <v>9465</v>
      </c>
      <c r="AN86" t="s">
        <v>9268</v>
      </c>
      <c r="AO86" t="str">
        <f t="shared" si="30"/>
        <v>NatGrdExt_KAZ-6</v>
      </c>
      <c r="AP86" t="str">
        <f t="shared" si="31"/>
        <v>Grid Extension -Kazakhstan- Step 6</v>
      </c>
      <c r="AQ86" t="s">
        <v>29</v>
      </c>
      <c r="AR86" t="s">
        <v>30</v>
      </c>
      <c r="AS86" t="s">
        <v>9465</v>
      </c>
      <c r="AU86" t="s">
        <v>9268</v>
      </c>
      <c r="AV86" t="str">
        <f t="shared" si="32"/>
        <v>NatGrdExt_KAZ-7</v>
      </c>
      <c r="AW86" t="str">
        <f t="shared" si="33"/>
        <v>Grid Extension -Kazakhstan- Step 7</v>
      </c>
      <c r="AX86" t="s">
        <v>29</v>
      </c>
      <c r="AY86" t="s">
        <v>30</v>
      </c>
      <c r="AZ86" t="s">
        <v>9465</v>
      </c>
      <c r="BB86" t="s">
        <v>9268</v>
      </c>
      <c r="BC86" t="str">
        <f t="shared" si="34"/>
        <v>NatGrdExt_KAZ-8</v>
      </c>
      <c r="BD86" t="str">
        <f t="shared" si="35"/>
        <v>Grid Extension -Kazakhstan- Step 8</v>
      </c>
      <c r="BE86" t="s">
        <v>29</v>
      </c>
      <c r="BF86" t="s">
        <v>30</v>
      </c>
      <c r="BG86" t="s">
        <v>9465</v>
      </c>
      <c r="BI86" t="s">
        <v>9268</v>
      </c>
      <c r="BJ86" t="str">
        <f t="shared" si="36"/>
        <v>NatGrdExt_KAZ-9</v>
      </c>
      <c r="BK86" t="str">
        <f t="shared" si="37"/>
        <v>Grid Extension -Kazakhstan- Step 9</v>
      </c>
      <c r="BL86" t="s">
        <v>29</v>
      </c>
      <c r="BM86" t="s">
        <v>30</v>
      </c>
      <c r="BN86" t="s">
        <v>9465</v>
      </c>
      <c r="BP86" t="s">
        <v>9268</v>
      </c>
      <c r="BQ86" t="str">
        <f t="shared" si="38"/>
        <v>NatGrdExt_KAZ-10</v>
      </c>
      <c r="BR86" t="str">
        <f t="shared" si="39"/>
        <v>Grid Extension -Kazakhstan- Step 10</v>
      </c>
      <c r="BS86" t="s">
        <v>29</v>
      </c>
      <c r="BT86" t="s">
        <v>30</v>
      </c>
      <c r="BU86" t="s">
        <v>9465</v>
      </c>
    </row>
    <row r="87" spans="1:73">
      <c r="A87" s="4" t="s">
        <v>1077</v>
      </c>
      <c r="B87" s="4" t="s">
        <v>9545</v>
      </c>
      <c r="E87" t="s">
        <v>9268</v>
      </c>
      <c r="F87" t="str">
        <f t="shared" si="20"/>
        <v>NatGrdExt_KEN-1</v>
      </c>
      <c r="G87" t="str">
        <f t="shared" si="21"/>
        <v>Grid Extension -Kenya- Step 1</v>
      </c>
      <c r="H87" t="s">
        <v>29</v>
      </c>
      <c r="I87" t="s">
        <v>30</v>
      </c>
      <c r="J87" t="s">
        <v>9465</v>
      </c>
      <c r="L87" t="s">
        <v>9268</v>
      </c>
      <c r="M87" t="str">
        <f t="shared" si="22"/>
        <v>NatGrdExt_KEN-2</v>
      </c>
      <c r="N87" t="str">
        <f t="shared" si="23"/>
        <v>Grid Extension -Kenya- Step 2</v>
      </c>
      <c r="O87" t="s">
        <v>29</v>
      </c>
      <c r="P87" t="s">
        <v>30</v>
      </c>
      <c r="Q87" t="s">
        <v>9465</v>
      </c>
      <c r="S87" t="s">
        <v>9268</v>
      </c>
      <c r="T87" t="str">
        <f t="shared" si="24"/>
        <v>NatGrdExt_KEN-3</v>
      </c>
      <c r="U87" t="str">
        <f t="shared" si="25"/>
        <v>Grid Extension -Kenya- Step 3</v>
      </c>
      <c r="V87" t="s">
        <v>29</v>
      </c>
      <c r="W87" t="s">
        <v>30</v>
      </c>
      <c r="X87" t="s">
        <v>9465</v>
      </c>
      <c r="Z87" t="s">
        <v>9268</v>
      </c>
      <c r="AA87" t="str">
        <f t="shared" si="26"/>
        <v>NatGrdExt_KEN-4</v>
      </c>
      <c r="AB87" t="str">
        <f t="shared" si="27"/>
        <v>Grid Extension -Kenya- Step 4</v>
      </c>
      <c r="AC87" t="s">
        <v>29</v>
      </c>
      <c r="AD87" t="s">
        <v>30</v>
      </c>
      <c r="AE87" t="s">
        <v>9465</v>
      </c>
      <c r="AG87" t="s">
        <v>9268</v>
      </c>
      <c r="AH87" t="str">
        <f t="shared" si="28"/>
        <v>NatGrdExt_KEN-5</v>
      </c>
      <c r="AI87" t="str">
        <f t="shared" si="29"/>
        <v>Grid Extension -Kenya- Step 5</v>
      </c>
      <c r="AJ87" t="s">
        <v>29</v>
      </c>
      <c r="AK87" t="s">
        <v>30</v>
      </c>
      <c r="AL87" t="s">
        <v>9465</v>
      </c>
      <c r="AN87" t="s">
        <v>9268</v>
      </c>
      <c r="AO87" t="str">
        <f t="shared" si="30"/>
        <v>NatGrdExt_KEN-6</v>
      </c>
      <c r="AP87" t="str">
        <f t="shared" si="31"/>
        <v>Grid Extension -Kenya- Step 6</v>
      </c>
      <c r="AQ87" t="s">
        <v>29</v>
      </c>
      <c r="AR87" t="s">
        <v>30</v>
      </c>
      <c r="AS87" t="s">
        <v>9465</v>
      </c>
      <c r="AU87" t="s">
        <v>9268</v>
      </c>
      <c r="AV87" t="str">
        <f t="shared" si="32"/>
        <v>NatGrdExt_KEN-7</v>
      </c>
      <c r="AW87" t="str">
        <f t="shared" si="33"/>
        <v>Grid Extension -Kenya- Step 7</v>
      </c>
      <c r="AX87" t="s">
        <v>29</v>
      </c>
      <c r="AY87" t="s">
        <v>30</v>
      </c>
      <c r="AZ87" t="s">
        <v>9465</v>
      </c>
      <c r="BB87" t="s">
        <v>9268</v>
      </c>
      <c r="BC87" t="str">
        <f t="shared" si="34"/>
        <v>NatGrdExt_KEN-8</v>
      </c>
      <c r="BD87" t="str">
        <f t="shared" si="35"/>
        <v>Grid Extension -Kenya- Step 8</v>
      </c>
      <c r="BE87" t="s">
        <v>29</v>
      </c>
      <c r="BF87" t="s">
        <v>30</v>
      </c>
      <c r="BG87" t="s">
        <v>9465</v>
      </c>
      <c r="BI87" t="s">
        <v>9268</v>
      </c>
      <c r="BJ87" t="str">
        <f t="shared" si="36"/>
        <v>NatGrdExt_KEN-9</v>
      </c>
      <c r="BK87" t="str">
        <f t="shared" si="37"/>
        <v>Grid Extension -Kenya- Step 9</v>
      </c>
      <c r="BL87" t="s">
        <v>29</v>
      </c>
      <c r="BM87" t="s">
        <v>30</v>
      </c>
      <c r="BN87" t="s">
        <v>9465</v>
      </c>
      <c r="BP87" t="s">
        <v>9268</v>
      </c>
      <c r="BQ87" t="str">
        <f t="shared" si="38"/>
        <v>NatGrdExt_KEN-10</v>
      </c>
      <c r="BR87" t="str">
        <f t="shared" si="39"/>
        <v>Grid Extension -Kenya- Step 10</v>
      </c>
      <c r="BS87" t="s">
        <v>29</v>
      </c>
      <c r="BT87" t="s">
        <v>30</v>
      </c>
      <c r="BU87" t="s">
        <v>9465</v>
      </c>
    </row>
    <row r="88" spans="1:73">
      <c r="A88" s="4" t="s">
        <v>1089</v>
      </c>
      <c r="B88" s="4" t="s">
        <v>9546</v>
      </c>
      <c r="E88" t="s">
        <v>9268</v>
      </c>
      <c r="F88" t="str">
        <f t="shared" si="20"/>
        <v>NatGrdExt_KGZ-1</v>
      </c>
      <c r="G88" t="str">
        <f t="shared" si="21"/>
        <v>Grid Extension -Kyrgyz Republic- Step 1</v>
      </c>
      <c r="H88" t="s">
        <v>29</v>
      </c>
      <c r="I88" t="s">
        <v>30</v>
      </c>
      <c r="J88" t="s">
        <v>9465</v>
      </c>
      <c r="L88" t="s">
        <v>9268</v>
      </c>
      <c r="M88" t="str">
        <f t="shared" si="22"/>
        <v>NatGrdExt_KGZ-2</v>
      </c>
      <c r="N88" t="str">
        <f t="shared" si="23"/>
        <v>Grid Extension -Kyrgyz Republic- Step 2</v>
      </c>
      <c r="O88" t="s">
        <v>29</v>
      </c>
      <c r="P88" t="s">
        <v>30</v>
      </c>
      <c r="Q88" t="s">
        <v>9465</v>
      </c>
      <c r="S88" t="s">
        <v>9268</v>
      </c>
      <c r="T88" t="str">
        <f t="shared" si="24"/>
        <v>NatGrdExt_KGZ-3</v>
      </c>
      <c r="U88" t="str">
        <f t="shared" si="25"/>
        <v>Grid Extension -Kyrgyz Republic- Step 3</v>
      </c>
      <c r="V88" t="s">
        <v>29</v>
      </c>
      <c r="W88" t="s">
        <v>30</v>
      </c>
      <c r="X88" t="s">
        <v>9465</v>
      </c>
      <c r="Z88" t="s">
        <v>9268</v>
      </c>
      <c r="AA88" t="str">
        <f t="shared" si="26"/>
        <v>NatGrdExt_KGZ-4</v>
      </c>
      <c r="AB88" t="str">
        <f t="shared" si="27"/>
        <v>Grid Extension -Kyrgyz Republic- Step 4</v>
      </c>
      <c r="AC88" t="s">
        <v>29</v>
      </c>
      <c r="AD88" t="s">
        <v>30</v>
      </c>
      <c r="AE88" t="s">
        <v>9465</v>
      </c>
      <c r="AG88" t="s">
        <v>9268</v>
      </c>
      <c r="AH88" t="str">
        <f t="shared" si="28"/>
        <v>NatGrdExt_KGZ-5</v>
      </c>
      <c r="AI88" t="str">
        <f t="shared" si="29"/>
        <v>Grid Extension -Kyrgyz Republic- Step 5</v>
      </c>
      <c r="AJ88" t="s">
        <v>29</v>
      </c>
      <c r="AK88" t="s">
        <v>30</v>
      </c>
      <c r="AL88" t="s">
        <v>9465</v>
      </c>
      <c r="AN88" t="s">
        <v>9268</v>
      </c>
      <c r="AO88" t="str">
        <f t="shared" si="30"/>
        <v>NatGrdExt_KGZ-6</v>
      </c>
      <c r="AP88" t="str">
        <f t="shared" si="31"/>
        <v>Grid Extension -Kyrgyz Republic- Step 6</v>
      </c>
      <c r="AQ88" t="s">
        <v>29</v>
      </c>
      <c r="AR88" t="s">
        <v>30</v>
      </c>
      <c r="AS88" t="s">
        <v>9465</v>
      </c>
      <c r="AU88" t="s">
        <v>9268</v>
      </c>
      <c r="AV88" t="str">
        <f t="shared" si="32"/>
        <v>NatGrdExt_KGZ-7</v>
      </c>
      <c r="AW88" t="str">
        <f t="shared" si="33"/>
        <v>Grid Extension -Kyrgyz Republic- Step 7</v>
      </c>
      <c r="AX88" t="s">
        <v>29</v>
      </c>
      <c r="AY88" t="s">
        <v>30</v>
      </c>
      <c r="AZ88" t="s">
        <v>9465</v>
      </c>
      <c r="BB88" t="s">
        <v>9268</v>
      </c>
      <c r="BC88" t="str">
        <f t="shared" si="34"/>
        <v>NatGrdExt_KGZ-8</v>
      </c>
      <c r="BD88" t="str">
        <f t="shared" si="35"/>
        <v>Grid Extension -Kyrgyz Republic- Step 8</v>
      </c>
      <c r="BE88" t="s">
        <v>29</v>
      </c>
      <c r="BF88" t="s">
        <v>30</v>
      </c>
      <c r="BG88" t="s">
        <v>9465</v>
      </c>
      <c r="BI88" t="s">
        <v>9268</v>
      </c>
      <c r="BJ88" t="str">
        <f t="shared" si="36"/>
        <v>NatGrdExt_KGZ-9</v>
      </c>
      <c r="BK88" t="str">
        <f t="shared" si="37"/>
        <v>Grid Extension -Kyrgyz Republic- Step 9</v>
      </c>
      <c r="BL88" t="s">
        <v>29</v>
      </c>
      <c r="BM88" t="s">
        <v>30</v>
      </c>
      <c r="BN88" t="s">
        <v>9465</v>
      </c>
      <c r="BP88" t="s">
        <v>9268</v>
      </c>
      <c r="BQ88" t="str">
        <f t="shared" si="38"/>
        <v>NatGrdExt_KGZ-10</v>
      </c>
      <c r="BR88" t="str">
        <f t="shared" si="39"/>
        <v>Grid Extension -Kyrgyz Republic- Step 10</v>
      </c>
      <c r="BS88" t="s">
        <v>29</v>
      </c>
      <c r="BT88" t="s">
        <v>30</v>
      </c>
      <c r="BU88" t="s">
        <v>9465</v>
      </c>
    </row>
    <row r="89" spans="1:73">
      <c r="A89" s="4" t="s">
        <v>1099</v>
      </c>
      <c r="B89" s="4" t="s">
        <v>9547</v>
      </c>
      <c r="E89" t="s">
        <v>9268</v>
      </c>
      <c r="F89" t="str">
        <f t="shared" si="20"/>
        <v>NatGrdExt_KHM-1</v>
      </c>
      <c r="G89" t="str">
        <f t="shared" si="21"/>
        <v>Grid Extension -Cambodia- Step 1</v>
      </c>
      <c r="H89" t="s">
        <v>29</v>
      </c>
      <c r="I89" t="s">
        <v>30</v>
      </c>
      <c r="J89" t="s">
        <v>9465</v>
      </c>
      <c r="L89" t="s">
        <v>9268</v>
      </c>
      <c r="M89" t="str">
        <f t="shared" si="22"/>
        <v>NatGrdExt_KHM-2</v>
      </c>
      <c r="N89" t="str">
        <f t="shared" si="23"/>
        <v>Grid Extension -Cambodia- Step 2</v>
      </c>
      <c r="O89" t="s">
        <v>29</v>
      </c>
      <c r="P89" t="s">
        <v>30</v>
      </c>
      <c r="Q89" t="s">
        <v>9465</v>
      </c>
      <c r="S89" t="s">
        <v>9268</v>
      </c>
      <c r="T89" t="str">
        <f t="shared" si="24"/>
        <v>NatGrdExt_KHM-3</v>
      </c>
      <c r="U89" t="str">
        <f t="shared" si="25"/>
        <v>Grid Extension -Cambodia- Step 3</v>
      </c>
      <c r="V89" t="s">
        <v>29</v>
      </c>
      <c r="W89" t="s">
        <v>30</v>
      </c>
      <c r="X89" t="s">
        <v>9465</v>
      </c>
      <c r="Z89" t="s">
        <v>9268</v>
      </c>
      <c r="AA89" t="str">
        <f t="shared" si="26"/>
        <v>NatGrdExt_KHM-4</v>
      </c>
      <c r="AB89" t="str">
        <f t="shared" si="27"/>
        <v>Grid Extension -Cambodia- Step 4</v>
      </c>
      <c r="AC89" t="s">
        <v>29</v>
      </c>
      <c r="AD89" t="s">
        <v>30</v>
      </c>
      <c r="AE89" t="s">
        <v>9465</v>
      </c>
      <c r="AG89" t="s">
        <v>9268</v>
      </c>
      <c r="AH89" t="str">
        <f t="shared" si="28"/>
        <v>NatGrdExt_KHM-5</v>
      </c>
      <c r="AI89" t="str">
        <f t="shared" si="29"/>
        <v>Grid Extension -Cambodia- Step 5</v>
      </c>
      <c r="AJ89" t="s">
        <v>29</v>
      </c>
      <c r="AK89" t="s">
        <v>30</v>
      </c>
      <c r="AL89" t="s">
        <v>9465</v>
      </c>
      <c r="AN89" t="s">
        <v>9268</v>
      </c>
      <c r="AO89" t="str">
        <f t="shared" si="30"/>
        <v>NatGrdExt_KHM-6</v>
      </c>
      <c r="AP89" t="str">
        <f t="shared" si="31"/>
        <v>Grid Extension -Cambodia- Step 6</v>
      </c>
      <c r="AQ89" t="s">
        <v>29</v>
      </c>
      <c r="AR89" t="s">
        <v>30</v>
      </c>
      <c r="AS89" t="s">
        <v>9465</v>
      </c>
      <c r="AU89" t="s">
        <v>9268</v>
      </c>
      <c r="AV89" t="str">
        <f t="shared" si="32"/>
        <v>NatGrdExt_KHM-7</v>
      </c>
      <c r="AW89" t="str">
        <f t="shared" si="33"/>
        <v>Grid Extension -Cambodia- Step 7</v>
      </c>
      <c r="AX89" t="s">
        <v>29</v>
      </c>
      <c r="AY89" t="s">
        <v>30</v>
      </c>
      <c r="AZ89" t="s">
        <v>9465</v>
      </c>
      <c r="BB89" t="s">
        <v>9268</v>
      </c>
      <c r="BC89" t="str">
        <f t="shared" si="34"/>
        <v>NatGrdExt_KHM-8</v>
      </c>
      <c r="BD89" t="str">
        <f t="shared" si="35"/>
        <v>Grid Extension -Cambodia- Step 8</v>
      </c>
      <c r="BE89" t="s">
        <v>29</v>
      </c>
      <c r="BF89" t="s">
        <v>30</v>
      </c>
      <c r="BG89" t="s">
        <v>9465</v>
      </c>
      <c r="BI89" t="s">
        <v>9268</v>
      </c>
      <c r="BJ89" t="str">
        <f t="shared" si="36"/>
        <v>NatGrdExt_KHM-9</v>
      </c>
      <c r="BK89" t="str">
        <f t="shared" si="37"/>
        <v>Grid Extension -Cambodia- Step 9</v>
      </c>
      <c r="BL89" t="s">
        <v>29</v>
      </c>
      <c r="BM89" t="s">
        <v>30</v>
      </c>
      <c r="BN89" t="s">
        <v>9465</v>
      </c>
      <c r="BP89" t="s">
        <v>9268</v>
      </c>
      <c r="BQ89" t="str">
        <f t="shared" si="38"/>
        <v>NatGrdExt_KHM-10</v>
      </c>
      <c r="BR89" t="str">
        <f t="shared" si="39"/>
        <v>Grid Extension -Cambodia- Step 10</v>
      </c>
      <c r="BS89" t="s">
        <v>29</v>
      </c>
      <c r="BT89" t="s">
        <v>30</v>
      </c>
      <c r="BU89" t="s">
        <v>9465</v>
      </c>
    </row>
    <row r="90" spans="1:73">
      <c r="A90" s="4" t="s">
        <v>1107</v>
      </c>
      <c r="B90" s="4" t="s">
        <v>9548</v>
      </c>
      <c r="E90" t="s">
        <v>9268</v>
      </c>
      <c r="F90" t="str">
        <f t="shared" si="20"/>
        <v>NatGrdExt_KOR-1</v>
      </c>
      <c r="G90" t="str">
        <f t="shared" si="21"/>
        <v>Grid Extension -South Korea- Step 1</v>
      </c>
      <c r="H90" t="s">
        <v>29</v>
      </c>
      <c r="I90" t="s">
        <v>30</v>
      </c>
      <c r="J90" t="s">
        <v>9465</v>
      </c>
      <c r="L90" t="s">
        <v>9268</v>
      </c>
      <c r="M90" t="str">
        <f t="shared" si="22"/>
        <v>NatGrdExt_KOR-2</v>
      </c>
      <c r="N90" t="str">
        <f t="shared" si="23"/>
        <v>Grid Extension -South Korea- Step 2</v>
      </c>
      <c r="O90" t="s">
        <v>29</v>
      </c>
      <c r="P90" t="s">
        <v>30</v>
      </c>
      <c r="Q90" t="s">
        <v>9465</v>
      </c>
      <c r="S90" t="s">
        <v>9268</v>
      </c>
      <c r="T90" t="str">
        <f t="shared" si="24"/>
        <v>NatGrdExt_KOR-3</v>
      </c>
      <c r="U90" t="str">
        <f t="shared" si="25"/>
        <v>Grid Extension -South Korea- Step 3</v>
      </c>
      <c r="V90" t="s">
        <v>29</v>
      </c>
      <c r="W90" t="s">
        <v>30</v>
      </c>
      <c r="X90" t="s">
        <v>9465</v>
      </c>
      <c r="Z90" t="s">
        <v>9268</v>
      </c>
      <c r="AA90" t="str">
        <f t="shared" si="26"/>
        <v>NatGrdExt_KOR-4</v>
      </c>
      <c r="AB90" t="str">
        <f t="shared" si="27"/>
        <v>Grid Extension -South Korea- Step 4</v>
      </c>
      <c r="AC90" t="s">
        <v>29</v>
      </c>
      <c r="AD90" t="s">
        <v>30</v>
      </c>
      <c r="AE90" t="s">
        <v>9465</v>
      </c>
      <c r="AG90" t="s">
        <v>9268</v>
      </c>
      <c r="AH90" t="str">
        <f t="shared" si="28"/>
        <v>NatGrdExt_KOR-5</v>
      </c>
      <c r="AI90" t="str">
        <f t="shared" si="29"/>
        <v>Grid Extension -South Korea- Step 5</v>
      </c>
      <c r="AJ90" t="s">
        <v>29</v>
      </c>
      <c r="AK90" t="s">
        <v>30</v>
      </c>
      <c r="AL90" t="s">
        <v>9465</v>
      </c>
      <c r="AN90" t="s">
        <v>9268</v>
      </c>
      <c r="AO90" t="str">
        <f t="shared" si="30"/>
        <v>NatGrdExt_KOR-6</v>
      </c>
      <c r="AP90" t="str">
        <f t="shared" si="31"/>
        <v>Grid Extension -South Korea- Step 6</v>
      </c>
      <c r="AQ90" t="s">
        <v>29</v>
      </c>
      <c r="AR90" t="s">
        <v>30</v>
      </c>
      <c r="AS90" t="s">
        <v>9465</v>
      </c>
      <c r="AU90" t="s">
        <v>9268</v>
      </c>
      <c r="AV90" t="str">
        <f t="shared" si="32"/>
        <v>NatGrdExt_KOR-7</v>
      </c>
      <c r="AW90" t="str">
        <f t="shared" si="33"/>
        <v>Grid Extension -South Korea- Step 7</v>
      </c>
      <c r="AX90" t="s">
        <v>29</v>
      </c>
      <c r="AY90" t="s">
        <v>30</v>
      </c>
      <c r="AZ90" t="s">
        <v>9465</v>
      </c>
      <c r="BB90" t="s">
        <v>9268</v>
      </c>
      <c r="BC90" t="str">
        <f t="shared" si="34"/>
        <v>NatGrdExt_KOR-8</v>
      </c>
      <c r="BD90" t="str">
        <f t="shared" si="35"/>
        <v>Grid Extension -South Korea- Step 8</v>
      </c>
      <c r="BE90" t="s">
        <v>29</v>
      </c>
      <c r="BF90" t="s">
        <v>30</v>
      </c>
      <c r="BG90" t="s">
        <v>9465</v>
      </c>
      <c r="BI90" t="s">
        <v>9268</v>
      </c>
      <c r="BJ90" t="str">
        <f t="shared" si="36"/>
        <v>NatGrdExt_KOR-9</v>
      </c>
      <c r="BK90" t="str">
        <f t="shared" si="37"/>
        <v>Grid Extension -South Korea- Step 9</v>
      </c>
      <c r="BL90" t="s">
        <v>29</v>
      </c>
      <c r="BM90" t="s">
        <v>30</v>
      </c>
      <c r="BN90" t="s">
        <v>9465</v>
      </c>
      <c r="BP90" t="s">
        <v>9268</v>
      </c>
      <c r="BQ90" t="str">
        <f t="shared" si="38"/>
        <v>NatGrdExt_KOR-10</v>
      </c>
      <c r="BR90" t="str">
        <f t="shared" si="39"/>
        <v>Grid Extension -South Korea- Step 10</v>
      </c>
      <c r="BS90" t="s">
        <v>29</v>
      </c>
      <c r="BT90" t="s">
        <v>30</v>
      </c>
      <c r="BU90" t="s">
        <v>9465</v>
      </c>
    </row>
    <row r="91" spans="1:73">
      <c r="A91" s="4" t="s">
        <v>1123</v>
      </c>
      <c r="B91" s="4" t="s">
        <v>9549</v>
      </c>
      <c r="E91" t="s">
        <v>9268</v>
      </c>
      <c r="F91" t="str">
        <f t="shared" si="20"/>
        <v>NatGrdExt_KWT-1</v>
      </c>
      <c r="G91" t="str">
        <f t="shared" si="21"/>
        <v>Grid Extension -Kuwait- Step 1</v>
      </c>
      <c r="H91" t="s">
        <v>29</v>
      </c>
      <c r="I91" t="s">
        <v>30</v>
      </c>
      <c r="J91" t="s">
        <v>9465</v>
      </c>
      <c r="L91" t="s">
        <v>9268</v>
      </c>
      <c r="M91" t="str">
        <f t="shared" si="22"/>
        <v>NatGrdExt_KWT-2</v>
      </c>
      <c r="N91" t="str">
        <f t="shared" si="23"/>
        <v>Grid Extension -Kuwait- Step 2</v>
      </c>
      <c r="O91" t="s">
        <v>29</v>
      </c>
      <c r="P91" t="s">
        <v>30</v>
      </c>
      <c r="Q91" t="s">
        <v>9465</v>
      </c>
      <c r="S91" t="s">
        <v>9268</v>
      </c>
      <c r="T91" t="str">
        <f t="shared" si="24"/>
        <v>NatGrdExt_KWT-3</v>
      </c>
      <c r="U91" t="str">
        <f t="shared" si="25"/>
        <v>Grid Extension -Kuwait- Step 3</v>
      </c>
      <c r="V91" t="s">
        <v>29</v>
      </c>
      <c r="W91" t="s">
        <v>30</v>
      </c>
      <c r="X91" t="s">
        <v>9465</v>
      </c>
      <c r="Z91" t="s">
        <v>9268</v>
      </c>
      <c r="AA91" t="str">
        <f t="shared" si="26"/>
        <v>NatGrdExt_KWT-4</v>
      </c>
      <c r="AB91" t="str">
        <f t="shared" si="27"/>
        <v>Grid Extension -Kuwait- Step 4</v>
      </c>
      <c r="AC91" t="s">
        <v>29</v>
      </c>
      <c r="AD91" t="s">
        <v>30</v>
      </c>
      <c r="AE91" t="s">
        <v>9465</v>
      </c>
      <c r="AG91" t="s">
        <v>9268</v>
      </c>
      <c r="AH91" t="str">
        <f t="shared" si="28"/>
        <v>NatGrdExt_KWT-5</v>
      </c>
      <c r="AI91" t="str">
        <f t="shared" si="29"/>
        <v>Grid Extension -Kuwait- Step 5</v>
      </c>
      <c r="AJ91" t="s">
        <v>29</v>
      </c>
      <c r="AK91" t="s">
        <v>30</v>
      </c>
      <c r="AL91" t="s">
        <v>9465</v>
      </c>
      <c r="AN91" t="s">
        <v>9268</v>
      </c>
      <c r="AO91" t="str">
        <f t="shared" si="30"/>
        <v>NatGrdExt_KWT-6</v>
      </c>
      <c r="AP91" t="str">
        <f t="shared" si="31"/>
        <v>Grid Extension -Kuwait- Step 6</v>
      </c>
      <c r="AQ91" t="s">
        <v>29</v>
      </c>
      <c r="AR91" t="s">
        <v>30</v>
      </c>
      <c r="AS91" t="s">
        <v>9465</v>
      </c>
      <c r="AU91" t="s">
        <v>9268</v>
      </c>
      <c r="AV91" t="str">
        <f t="shared" si="32"/>
        <v>NatGrdExt_KWT-7</v>
      </c>
      <c r="AW91" t="str">
        <f t="shared" si="33"/>
        <v>Grid Extension -Kuwait- Step 7</v>
      </c>
      <c r="AX91" t="s">
        <v>29</v>
      </c>
      <c r="AY91" t="s">
        <v>30</v>
      </c>
      <c r="AZ91" t="s">
        <v>9465</v>
      </c>
      <c r="BB91" t="s">
        <v>9268</v>
      </c>
      <c r="BC91" t="str">
        <f t="shared" si="34"/>
        <v>NatGrdExt_KWT-8</v>
      </c>
      <c r="BD91" t="str">
        <f t="shared" si="35"/>
        <v>Grid Extension -Kuwait- Step 8</v>
      </c>
      <c r="BE91" t="s">
        <v>29</v>
      </c>
      <c r="BF91" t="s">
        <v>30</v>
      </c>
      <c r="BG91" t="s">
        <v>9465</v>
      </c>
      <c r="BI91" t="s">
        <v>9268</v>
      </c>
      <c r="BJ91" t="str">
        <f t="shared" si="36"/>
        <v>NatGrdExt_KWT-9</v>
      </c>
      <c r="BK91" t="str">
        <f t="shared" si="37"/>
        <v>Grid Extension -Kuwait- Step 9</v>
      </c>
      <c r="BL91" t="s">
        <v>29</v>
      </c>
      <c r="BM91" t="s">
        <v>30</v>
      </c>
      <c r="BN91" t="s">
        <v>9465</v>
      </c>
      <c r="BP91" t="s">
        <v>9268</v>
      </c>
      <c r="BQ91" t="str">
        <f t="shared" si="38"/>
        <v>NatGrdExt_KWT-10</v>
      </c>
      <c r="BR91" t="str">
        <f t="shared" si="39"/>
        <v>Grid Extension -Kuwait- Step 10</v>
      </c>
      <c r="BS91" t="s">
        <v>29</v>
      </c>
      <c r="BT91" t="s">
        <v>30</v>
      </c>
      <c r="BU91" t="s">
        <v>9465</v>
      </c>
    </row>
    <row r="92" spans="1:73">
      <c r="A92" s="4" t="s">
        <v>1129</v>
      </c>
      <c r="B92" s="4" t="s">
        <v>9550</v>
      </c>
      <c r="E92" t="s">
        <v>9268</v>
      </c>
      <c r="F92" t="str">
        <f t="shared" si="20"/>
        <v>NatGrdExt_LAO-1</v>
      </c>
      <c r="G92" t="str">
        <f t="shared" si="21"/>
        <v>Grid Extension -Laos- Step 1</v>
      </c>
      <c r="H92" t="s">
        <v>29</v>
      </c>
      <c r="I92" t="s">
        <v>30</v>
      </c>
      <c r="J92" t="s">
        <v>9465</v>
      </c>
      <c r="L92" t="s">
        <v>9268</v>
      </c>
      <c r="M92" t="str">
        <f t="shared" si="22"/>
        <v>NatGrdExt_LAO-2</v>
      </c>
      <c r="N92" t="str">
        <f t="shared" si="23"/>
        <v>Grid Extension -Laos- Step 2</v>
      </c>
      <c r="O92" t="s">
        <v>29</v>
      </c>
      <c r="P92" t="s">
        <v>30</v>
      </c>
      <c r="Q92" t="s">
        <v>9465</v>
      </c>
      <c r="S92" t="s">
        <v>9268</v>
      </c>
      <c r="T92" t="str">
        <f t="shared" si="24"/>
        <v>NatGrdExt_LAO-3</v>
      </c>
      <c r="U92" t="str">
        <f t="shared" si="25"/>
        <v>Grid Extension -Laos- Step 3</v>
      </c>
      <c r="V92" t="s">
        <v>29</v>
      </c>
      <c r="W92" t="s">
        <v>30</v>
      </c>
      <c r="X92" t="s">
        <v>9465</v>
      </c>
      <c r="Z92" t="s">
        <v>9268</v>
      </c>
      <c r="AA92" t="str">
        <f t="shared" si="26"/>
        <v>NatGrdExt_LAO-4</v>
      </c>
      <c r="AB92" t="str">
        <f t="shared" si="27"/>
        <v>Grid Extension -Laos- Step 4</v>
      </c>
      <c r="AC92" t="s">
        <v>29</v>
      </c>
      <c r="AD92" t="s">
        <v>30</v>
      </c>
      <c r="AE92" t="s">
        <v>9465</v>
      </c>
      <c r="AG92" t="s">
        <v>9268</v>
      </c>
      <c r="AH92" t="str">
        <f t="shared" si="28"/>
        <v>NatGrdExt_LAO-5</v>
      </c>
      <c r="AI92" t="str">
        <f t="shared" si="29"/>
        <v>Grid Extension -Laos- Step 5</v>
      </c>
      <c r="AJ92" t="s">
        <v>29</v>
      </c>
      <c r="AK92" t="s">
        <v>30</v>
      </c>
      <c r="AL92" t="s">
        <v>9465</v>
      </c>
      <c r="AN92" t="s">
        <v>9268</v>
      </c>
      <c r="AO92" t="str">
        <f t="shared" si="30"/>
        <v>NatGrdExt_LAO-6</v>
      </c>
      <c r="AP92" t="str">
        <f t="shared" si="31"/>
        <v>Grid Extension -Laos- Step 6</v>
      </c>
      <c r="AQ92" t="s">
        <v>29</v>
      </c>
      <c r="AR92" t="s">
        <v>30</v>
      </c>
      <c r="AS92" t="s">
        <v>9465</v>
      </c>
      <c r="AU92" t="s">
        <v>9268</v>
      </c>
      <c r="AV92" t="str">
        <f t="shared" si="32"/>
        <v>NatGrdExt_LAO-7</v>
      </c>
      <c r="AW92" t="str">
        <f t="shared" si="33"/>
        <v>Grid Extension -Laos- Step 7</v>
      </c>
      <c r="AX92" t="s">
        <v>29</v>
      </c>
      <c r="AY92" t="s">
        <v>30</v>
      </c>
      <c r="AZ92" t="s">
        <v>9465</v>
      </c>
      <c r="BB92" t="s">
        <v>9268</v>
      </c>
      <c r="BC92" t="str">
        <f t="shared" si="34"/>
        <v>NatGrdExt_LAO-8</v>
      </c>
      <c r="BD92" t="str">
        <f t="shared" si="35"/>
        <v>Grid Extension -Laos- Step 8</v>
      </c>
      <c r="BE92" t="s">
        <v>29</v>
      </c>
      <c r="BF92" t="s">
        <v>30</v>
      </c>
      <c r="BG92" t="s">
        <v>9465</v>
      </c>
      <c r="BI92" t="s">
        <v>9268</v>
      </c>
      <c r="BJ92" t="str">
        <f t="shared" si="36"/>
        <v>NatGrdExt_LAO-9</v>
      </c>
      <c r="BK92" t="str">
        <f t="shared" si="37"/>
        <v>Grid Extension -Laos- Step 9</v>
      </c>
      <c r="BL92" t="s">
        <v>29</v>
      </c>
      <c r="BM92" t="s">
        <v>30</v>
      </c>
      <c r="BN92" t="s">
        <v>9465</v>
      </c>
      <c r="BP92" t="s">
        <v>9268</v>
      </c>
      <c r="BQ92" t="str">
        <f t="shared" si="38"/>
        <v>NatGrdExt_LAO-10</v>
      </c>
      <c r="BR92" t="str">
        <f t="shared" si="39"/>
        <v>Grid Extension -Laos- Step 10</v>
      </c>
      <c r="BS92" t="s">
        <v>29</v>
      </c>
      <c r="BT92" t="s">
        <v>30</v>
      </c>
      <c r="BU92" t="s">
        <v>9465</v>
      </c>
    </row>
    <row r="93" spans="1:73">
      <c r="A93" s="4" t="s">
        <v>1135</v>
      </c>
      <c r="B93" s="4" t="s">
        <v>9551</v>
      </c>
      <c r="E93" t="s">
        <v>9268</v>
      </c>
      <c r="F93" t="str">
        <f t="shared" si="20"/>
        <v>NatGrdExt_LBN-1</v>
      </c>
      <c r="G93" t="str">
        <f t="shared" si="21"/>
        <v>Grid Extension -Lebanon- Step 1</v>
      </c>
      <c r="H93" t="s">
        <v>29</v>
      </c>
      <c r="I93" t="s">
        <v>30</v>
      </c>
      <c r="J93" t="s">
        <v>9465</v>
      </c>
      <c r="L93" t="s">
        <v>9268</v>
      </c>
      <c r="M93" t="str">
        <f t="shared" si="22"/>
        <v>NatGrdExt_LBN-2</v>
      </c>
      <c r="N93" t="str">
        <f t="shared" si="23"/>
        <v>Grid Extension -Lebanon- Step 2</v>
      </c>
      <c r="O93" t="s">
        <v>29</v>
      </c>
      <c r="P93" t="s">
        <v>30</v>
      </c>
      <c r="Q93" t="s">
        <v>9465</v>
      </c>
      <c r="S93" t="s">
        <v>9268</v>
      </c>
      <c r="T93" t="str">
        <f t="shared" si="24"/>
        <v>NatGrdExt_LBN-3</v>
      </c>
      <c r="U93" t="str">
        <f t="shared" si="25"/>
        <v>Grid Extension -Lebanon- Step 3</v>
      </c>
      <c r="V93" t="s">
        <v>29</v>
      </c>
      <c r="W93" t="s">
        <v>30</v>
      </c>
      <c r="X93" t="s">
        <v>9465</v>
      </c>
      <c r="Z93" t="s">
        <v>9268</v>
      </c>
      <c r="AA93" t="str">
        <f t="shared" si="26"/>
        <v>NatGrdExt_LBN-4</v>
      </c>
      <c r="AB93" t="str">
        <f t="shared" si="27"/>
        <v>Grid Extension -Lebanon- Step 4</v>
      </c>
      <c r="AC93" t="s">
        <v>29</v>
      </c>
      <c r="AD93" t="s">
        <v>30</v>
      </c>
      <c r="AE93" t="s">
        <v>9465</v>
      </c>
      <c r="AG93" t="s">
        <v>9268</v>
      </c>
      <c r="AH93" t="str">
        <f t="shared" si="28"/>
        <v>NatGrdExt_LBN-5</v>
      </c>
      <c r="AI93" t="str">
        <f t="shared" si="29"/>
        <v>Grid Extension -Lebanon- Step 5</v>
      </c>
      <c r="AJ93" t="s">
        <v>29</v>
      </c>
      <c r="AK93" t="s">
        <v>30</v>
      </c>
      <c r="AL93" t="s">
        <v>9465</v>
      </c>
      <c r="AN93" t="s">
        <v>9268</v>
      </c>
      <c r="AO93" t="str">
        <f t="shared" si="30"/>
        <v>NatGrdExt_LBN-6</v>
      </c>
      <c r="AP93" t="str">
        <f t="shared" si="31"/>
        <v>Grid Extension -Lebanon- Step 6</v>
      </c>
      <c r="AQ93" t="s">
        <v>29</v>
      </c>
      <c r="AR93" t="s">
        <v>30</v>
      </c>
      <c r="AS93" t="s">
        <v>9465</v>
      </c>
      <c r="AU93" t="s">
        <v>9268</v>
      </c>
      <c r="AV93" t="str">
        <f t="shared" si="32"/>
        <v>NatGrdExt_LBN-7</v>
      </c>
      <c r="AW93" t="str">
        <f t="shared" si="33"/>
        <v>Grid Extension -Lebanon- Step 7</v>
      </c>
      <c r="AX93" t="s">
        <v>29</v>
      </c>
      <c r="AY93" t="s">
        <v>30</v>
      </c>
      <c r="AZ93" t="s">
        <v>9465</v>
      </c>
      <c r="BB93" t="s">
        <v>9268</v>
      </c>
      <c r="BC93" t="str">
        <f t="shared" si="34"/>
        <v>NatGrdExt_LBN-8</v>
      </c>
      <c r="BD93" t="str">
        <f t="shared" si="35"/>
        <v>Grid Extension -Lebanon- Step 8</v>
      </c>
      <c r="BE93" t="s">
        <v>29</v>
      </c>
      <c r="BF93" t="s">
        <v>30</v>
      </c>
      <c r="BG93" t="s">
        <v>9465</v>
      </c>
      <c r="BI93" t="s">
        <v>9268</v>
      </c>
      <c r="BJ93" t="str">
        <f t="shared" si="36"/>
        <v>NatGrdExt_LBN-9</v>
      </c>
      <c r="BK93" t="str">
        <f t="shared" si="37"/>
        <v>Grid Extension -Lebanon- Step 9</v>
      </c>
      <c r="BL93" t="s">
        <v>29</v>
      </c>
      <c r="BM93" t="s">
        <v>30</v>
      </c>
      <c r="BN93" t="s">
        <v>9465</v>
      </c>
      <c r="BP93" t="s">
        <v>9268</v>
      </c>
      <c r="BQ93" t="str">
        <f t="shared" si="38"/>
        <v>NatGrdExt_LBN-10</v>
      </c>
      <c r="BR93" t="str">
        <f t="shared" si="39"/>
        <v>Grid Extension -Lebanon- Step 10</v>
      </c>
      <c r="BS93" t="s">
        <v>29</v>
      </c>
      <c r="BT93" t="s">
        <v>30</v>
      </c>
      <c r="BU93" t="s">
        <v>9465</v>
      </c>
    </row>
    <row r="94" spans="1:73">
      <c r="A94" s="4" t="s">
        <v>1143</v>
      </c>
      <c r="B94" s="4" t="s">
        <v>9552</v>
      </c>
      <c r="E94" t="s">
        <v>9268</v>
      </c>
      <c r="F94" t="str">
        <f t="shared" si="20"/>
        <v>NatGrdExt_LBR-1</v>
      </c>
      <c r="G94" t="str">
        <f t="shared" si="21"/>
        <v>Grid Extension -Liberia- Step 1</v>
      </c>
      <c r="H94" t="s">
        <v>29</v>
      </c>
      <c r="I94" t="s">
        <v>30</v>
      </c>
      <c r="J94" t="s">
        <v>9465</v>
      </c>
      <c r="L94" t="s">
        <v>9268</v>
      </c>
      <c r="M94" t="str">
        <f t="shared" si="22"/>
        <v>NatGrdExt_LBR-2</v>
      </c>
      <c r="N94" t="str">
        <f t="shared" si="23"/>
        <v>Grid Extension -Liberia- Step 2</v>
      </c>
      <c r="O94" t="s">
        <v>29</v>
      </c>
      <c r="P94" t="s">
        <v>30</v>
      </c>
      <c r="Q94" t="s">
        <v>9465</v>
      </c>
      <c r="S94" t="s">
        <v>9268</v>
      </c>
      <c r="T94" t="str">
        <f t="shared" si="24"/>
        <v>NatGrdExt_LBR-3</v>
      </c>
      <c r="U94" t="str">
        <f t="shared" si="25"/>
        <v>Grid Extension -Liberia- Step 3</v>
      </c>
      <c r="V94" t="s">
        <v>29</v>
      </c>
      <c r="W94" t="s">
        <v>30</v>
      </c>
      <c r="X94" t="s">
        <v>9465</v>
      </c>
      <c r="Z94" t="s">
        <v>9268</v>
      </c>
      <c r="AA94" t="str">
        <f t="shared" si="26"/>
        <v>NatGrdExt_LBR-4</v>
      </c>
      <c r="AB94" t="str">
        <f t="shared" si="27"/>
        <v>Grid Extension -Liberia- Step 4</v>
      </c>
      <c r="AC94" t="s">
        <v>29</v>
      </c>
      <c r="AD94" t="s">
        <v>30</v>
      </c>
      <c r="AE94" t="s">
        <v>9465</v>
      </c>
      <c r="AG94" t="s">
        <v>9268</v>
      </c>
      <c r="AH94" t="str">
        <f t="shared" si="28"/>
        <v>NatGrdExt_LBR-5</v>
      </c>
      <c r="AI94" t="str">
        <f t="shared" si="29"/>
        <v>Grid Extension -Liberia- Step 5</v>
      </c>
      <c r="AJ94" t="s">
        <v>29</v>
      </c>
      <c r="AK94" t="s">
        <v>30</v>
      </c>
      <c r="AL94" t="s">
        <v>9465</v>
      </c>
      <c r="AN94" t="s">
        <v>9268</v>
      </c>
      <c r="AO94" t="str">
        <f t="shared" si="30"/>
        <v>NatGrdExt_LBR-6</v>
      </c>
      <c r="AP94" t="str">
        <f t="shared" si="31"/>
        <v>Grid Extension -Liberia- Step 6</v>
      </c>
      <c r="AQ94" t="s">
        <v>29</v>
      </c>
      <c r="AR94" t="s">
        <v>30</v>
      </c>
      <c r="AS94" t="s">
        <v>9465</v>
      </c>
      <c r="AU94" t="s">
        <v>9268</v>
      </c>
      <c r="AV94" t="str">
        <f t="shared" si="32"/>
        <v>NatGrdExt_LBR-7</v>
      </c>
      <c r="AW94" t="str">
        <f t="shared" si="33"/>
        <v>Grid Extension -Liberia- Step 7</v>
      </c>
      <c r="AX94" t="s">
        <v>29</v>
      </c>
      <c r="AY94" t="s">
        <v>30</v>
      </c>
      <c r="AZ94" t="s">
        <v>9465</v>
      </c>
      <c r="BB94" t="s">
        <v>9268</v>
      </c>
      <c r="BC94" t="str">
        <f t="shared" si="34"/>
        <v>NatGrdExt_LBR-8</v>
      </c>
      <c r="BD94" t="str">
        <f t="shared" si="35"/>
        <v>Grid Extension -Liberia- Step 8</v>
      </c>
      <c r="BE94" t="s">
        <v>29</v>
      </c>
      <c r="BF94" t="s">
        <v>30</v>
      </c>
      <c r="BG94" t="s">
        <v>9465</v>
      </c>
      <c r="BI94" t="s">
        <v>9268</v>
      </c>
      <c r="BJ94" t="str">
        <f t="shared" si="36"/>
        <v>NatGrdExt_LBR-9</v>
      </c>
      <c r="BK94" t="str">
        <f t="shared" si="37"/>
        <v>Grid Extension -Liberia- Step 9</v>
      </c>
      <c r="BL94" t="s">
        <v>29</v>
      </c>
      <c r="BM94" t="s">
        <v>30</v>
      </c>
      <c r="BN94" t="s">
        <v>9465</v>
      </c>
      <c r="BP94" t="s">
        <v>9268</v>
      </c>
      <c r="BQ94" t="str">
        <f t="shared" si="38"/>
        <v>NatGrdExt_LBR-10</v>
      </c>
      <c r="BR94" t="str">
        <f t="shared" si="39"/>
        <v>Grid Extension -Liberia- Step 10</v>
      </c>
      <c r="BS94" t="s">
        <v>29</v>
      </c>
      <c r="BT94" t="s">
        <v>30</v>
      </c>
      <c r="BU94" t="s">
        <v>9465</v>
      </c>
    </row>
    <row r="95" spans="1:73">
      <c r="A95" s="4" t="s">
        <v>1149</v>
      </c>
      <c r="B95" s="4" t="s">
        <v>9553</v>
      </c>
      <c r="E95" t="s">
        <v>9268</v>
      </c>
      <c r="F95" t="str">
        <f t="shared" si="20"/>
        <v>NatGrdExt_LBY-1</v>
      </c>
      <c r="G95" t="str">
        <f t="shared" si="21"/>
        <v>Grid Extension -Libya- Step 1</v>
      </c>
      <c r="H95" t="s">
        <v>29</v>
      </c>
      <c r="I95" t="s">
        <v>30</v>
      </c>
      <c r="J95" t="s">
        <v>9465</v>
      </c>
      <c r="L95" t="s">
        <v>9268</v>
      </c>
      <c r="M95" t="str">
        <f t="shared" si="22"/>
        <v>NatGrdExt_LBY-2</v>
      </c>
      <c r="N95" t="str">
        <f t="shared" si="23"/>
        <v>Grid Extension -Libya- Step 2</v>
      </c>
      <c r="O95" t="s">
        <v>29</v>
      </c>
      <c r="P95" t="s">
        <v>30</v>
      </c>
      <c r="Q95" t="s">
        <v>9465</v>
      </c>
      <c r="S95" t="s">
        <v>9268</v>
      </c>
      <c r="T95" t="str">
        <f t="shared" si="24"/>
        <v>NatGrdExt_LBY-3</v>
      </c>
      <c r="U95" t="str">
        <f t="shared" si="25"/>
        <v>Grid Extension -Libya- Step 3</v>
      </c>
      <c r="V95" t="s">
        <v>29</v>
      </c>
      <c r="W95" t="s">
        <v>30</v>
      </c>
      <c r="X95" t="s">
        <v>9465</v>
      </c>
      <c r="Z95" t="s">
        <v>9268</v>
      </c>
      <c r="AA95" t="str">
        <f t="shared" si="26"/>
        <v>NatGrdExt_LBY-4</v>
      </c>
      <c r="AB95" t="str">
        <f t="shared" si="27"/>
        <v>Grid Extension -Libya- Step 4</v>
      </c>
      <c r="AC95" t="s">
        <v>29</v>
      </c>
      <c r="AD95" t="s">
        <v>30</v>
      </c>
      <c r="AE95" t="s">
        <v>9465</v>
      </c>
      <c r="AG95" t="s">
        <v>9268</v>
      </c>
      <c r="AH95" t="str">
        <f t="shared" si="28"/>
        <v>NatGrdExt_LBY-5</v>
      </c>
      <c r="AI95" t="str">
        <f t="shared" si="29"/>
        <v>Grid Extension -Libya- Step 5</v>
      </c>
      <c r="AJ95" t="s">
        <v>29</v>
      </c>
      <c r="AK95" t="s">
        <v>30</v>
      </c>
      <c r="AL95" t="s">
        <v>9465</v>
      </c>
      <c r="AN95" t="s">
        <v>9268</v>
      </c>
      <c r="AO95" t="str">
        <f t="shared" si="30"/>
        <v>NatGrdExt_LBY-6</v>
      </c>
      <c r="AP95" t="str">
        <f t="shared" si="31"/>
        <v>Grid Extension -Libya- Step 6</v>
      </c>
      <c r="AQ95" t="s">
        <v>29</v>
      </c>
      <c r="AR95" t="s">
        <v>30</v>
      </c>
      <c r="AS95" t="s">
        <v>9465</v>
      </c>
      <c r="AU95" t="s">
        <v>9268</v>
      </c>
      <c r="AV95" t="str">
        <f t="shared" si="32"/>
        <v>NatGrdExt_LBY-7</v>
      </c>
      <c r="AW95" t="str">
        <f t="shared" si="33"/>
        <v>Grid Extension -Libya- Step 7</v>
      </c>
      <c r="AX95" t="s">
        <v>29</v>
      </c>
      <c r="AY95" t="s">
        <v>30</v>
      </c>
      <c r="AZ95" t="s">
        <v>9465</v>
      </c>
      <c r="BB95" t="s">
        <v>9268</v>
      </c>
      <c r="BC95" t="str">
        <f t="shared" si="34"/>
        <v>NatGrdExt_LBY-8</v>
      </c>
      <c r="BD95" t="str">
        <f t="shared" si="35"/>
        <v>Grid Extension -Libya- Step 8</v>
      </c>
      <c r="BE95" t="s">
        <v>29</v>
      </c>
      <c r="BF95" t="s">
        <v>30</v>
      </c>
      <c r="BG95" t="s">
        <v>9465</v>
      </c>
      <c r="BI95" t="s">
        <v>9268</v>
      </c>
      <c r="BJ95" t="str">
        <f t="shared" si="36"/>
        <v>NatGrdExt_LBY-9</v>
      </c>
      <c r="BK95" t="str">
        <f t="shared" si="37"/>
        <v>Grid Extension -Libya- Step 9</v>
      </c>
      <c r="BL95" t="s">
        <v>29</v>
      </c>
      <c r="BM95" t="s">
        <v>30</v>
      </c>
      <c r="BN95" t="s">
        <v>9465</v>
      </c>
      <c r="BP95" t="s">
        <v>9268</v>
      </c>
      <c r="BQ95" t="str">
        <f t="shared" si="38"/>
        <v>NatGrdExt_LBY-10</v>
      </c>
      <c r="BR95" t="str">
        <f t="shared" si="39"/>
        <v>Grid Extension -Libya- Step 10</v>
      </c>
      <c r="BS95" t="s">
        <v>29</v>
      </c>
      <c r="BT95" t="s">
        <v>30</v>
      </c>
      <c r="BU95" t="s">
        <v>9465</v>
      </c>
    </row>
    <row r="96" spans="1:73">
      <c r="A96" s="4" t="s">
        <v>1155</v>
      </c>
      <c r="B96" s="4" t="s">
        <v>9554</v>
      </c>
      <c r="E96" t="s">
        <v>9268</v>
      </c>
      <c r="F96" t="str">
        <f t="shared" si="20"/>
        <v>NatGrdExt_LKA-1</v>
      </c>
      <c r="G96" t="str">
        <f t="shared" si="21"/>
        <v>Grid Extension -Sri Lanka- Step 1</v>
      </c>
      <c r="H96" t="s">
        <v>29</v>
      </c>
      <c r="I96" t="s">
        <v>30</v>
      </c>
      <c r="J96" t="s">
        <v>9465</v>
      </c>
      <c r="L96" t="s">
        <v>9268</v>
      </c>
      <c r="M96" t="str">
        <f t="shared" si="22"/>
        <v>NatGrdExt_LKA-2</v>
      </c>
      <c r="N96" t="str">
        <f t="shared" si="23"/>
        <v>Grid Extension -Sri Lanka- Step 2</v>
      </c>
      <c r="O96" t="s">
        <v>29</v>
      </c>
      <c r="P96" t="s">
        <v>30</v>
      </c>
      <c r="Q96" t="s">
        <v>9465</v>
      </c>
      <c r="S96" t="s">
        <v>9268</v>
      </c>
      <c r="T96" t="str">
        <f t="shared" si="24"/>
        <v>NatGrdExt_LKA-3</v>
      </c>
      <c r="U96" t="str">
        <f t="shared" si="25"/>
        <v>Grid Extension -Sri Lanka- Step 3</v>
      </c>
      <c r="V96" t="s">
        <v>29</v>
      </c>
      <c r="W96" t="s">
        <v>30</v>
      </c>
      <c r="X96" t="s">
        <v>9465</v>
      </c>
      <c r="Z96" t="s">
        <v>9268</v>
      </c>
      <c r="AA96" t="str">
        <f t="shared" si="26"/>
        <v>NatGrdExt_LKA-4</v>
      </c>
      <c r="AB96" t="str">
        <f t="shared" si="27"/>
        <v>Grid Extension -Sri Lanka- Step 4</v>
      </c>
      <c r="AC96" t="s">
        <v>29</v>
      </c>
      <c r="AD96" t="s">
        <v>30</v>
      </c>
      <c r="AE96" t="s">
        <v>9465</v>
      </c>
      <c r="AG96" t="s">
        <v>9268</v>
      </c>
      <c r="AH96" t="str">
        <f t="shared" si="28"/>
        <v>NatGrdExt_LKA-5</v>
      </c>
      <c r="AI96" t="str">
        <f t="shared" si="29"/>
        <v>Grid Extension -Sri Lanka- Step 5</v>
      </c>
      <c r="AJ96" t="s">
        <v>29</v>
      </c>
      <c r="AK96" t="s">
        <v>30</v>
      </c>
      <c r="AL96" t="s">
        <v>9465</v>
      </c>
      <c r="AN96" t="s">
        <v>9268</v>
      </c>
      <c r="AO96" t="str">
        <f t="shared" si="30"/>
        <v>NatGrdExt_LKA-6</v>
      </c>
      <c r="AP96" t="str">
        <f t="shared" si="31"/>
        <v>Grid Extension -Sri Lanka- Step 6</v>
      </c>
      <c r="AQ96" t="s">
        <v>29</v>
      </c>
      <c r="AR96" t="s">
        <v>30</v>
      </c>
      <c r="AS96" t="s">
        <v>9465</v>
      </c>
      <c r="AU96" t="s">
        <v>9268</v>
      </c>
      <c r="AV96" t="str">
        <f t="shared" si="32"/>
        <v>NatGrdExt_LKA-7</v>
      </c>
      <c r="AW96" t="str">
        <f t="shared" si="33"/>
        <v>Grid Extension -Sri Lanka- Step 7</v>
      </c>
      <c r="AX96" t="s">
        <v>29</v>
      </c>
      <c r="AY96" t="s">
        <v>30</v>
      </c>
      <c r="AZ96" t="s">
        <v>9465</v>
      </c>
      <c r="BB96" t="s">
        <v>9268</v>
      </c>
      <c r="BC96" t="str">
        <f t="shared" si="34"/>
        <v>NatGrdExt_LKA-8</v>
      </c>
      <c r="BD96" t="str">
        <f t="shared" si="35"/>
        <v>Grid Extension -Sri Lanka- Step 8</v>
      </c>
      <c r="BE96" t="s">
        <v>29</v>
      </c>
      <c r="BF96" t="s">
        <v>30</v>
      </c>
      <c r="BG96" t="s">
        <v>9465</v>
      </c>
      <c r="BI96" t="s">
        <v>9268</v>
      </c>
      <c r="BJ96" t="str">
        <f t="shared" si="36"/>
        <v>NatGrdExt_LKA-9</v>
      </c>
      <c r="BK96" t="str">
        <f t="shared" si="37"/>
        <v>Grid Extension -Sri Lanka- Step 9</v>
      </c>
      <c r="BL96" t="s">
        <v>29</v>
      </c>
      <c r="BM96" t="s">
        <v>30</v>
      </c>
      <c r="BN96" t="s">
        <v>9465</v>
      </c>
      <c r="BP96" t="s">
        <v>9268</v>
      </c>
      <c r="BQ96" t="str">
        <f t="shared" si="38"/>
        <v>NatGrdExt_LKA-10</v>
      </c>
      <c r="BR96" t="str">
        <f t="shared" si="39"/>
        <v>Grid Extension -Sri Lanka- Step 10</v>
      </c>
      <c r="BS96" t="s">
        <v>29</v>
      </c>
      <c r="BT96" t="s">
        <v>30</v>
      </c>
      <c r="BU96" t="s">
        <v>9465</v>
      </c>
    </row>
    <row r="97" spans="1:73">
      <c r="A97" s="4" t="s">
        <v>1167</v>
      </c>
      <c r="B97" s="4" t="s">
        <v>9555</v>
      </c>
      <c r="E97" t="s">
        <v>9268</v>
      </c>
      <c r="F97" t="str">
        <f t="shared" si="20"/>
        <v>NatGrdExt_LSO-1</v>
      </c>
      <c r="G97" t="str">
        <f t="shared" si="21"/>
        <v>Grid Extension -Lesotho- Step 1</v>
      </c>
      <c r="H97" t="s">
        <v>29</v>
      </c>
      <c r="I97" t="s">
        <v>30</v>
      </c>
      <c r="J97" t="s">
        <v>9465</v>
      </c>
      <c r="L97" t="s">
        <v>9268</v>
      </c>
      <c r="M97" t="str">
        <f t="shared" si="22"/>
        <v>NatGrdExt_LSO-2</v>
      </c>
      <c r="N97" t="str">
        <f t="shared" si="23"/>
        <v>Grid Extension -Lesotho- Step 2</v>
      </c>
      <c r="O97" t="s">
        <v>29</v>
      </c>
      <c r="P97" t="s">
        <v>30</v>
      </c>
      <c r="Q97" t="s">
        <v>9465</v>
      </c>
      <c r="S97" t="s">
        <v>9268</v>
      </c>
      <c r="T97" t="str">
        <f t="shared" si="24"/>
        <v>NatGrdExt_LSO-3</v>
      </c>
      <c r="U97" t="str">
        <f t="shared" si="25"/>
        <v>Grid Extension -Lesotho- Step 3</v>
      </c>
      <c r="V97" t="s">
        <v>29</v>
      </c>
      <c r="W97" t="s">
        <v>30</v>
      </c>
      <c r="X97" t="s">
        <v>9465</v>
      </c>
      <c r="Z97" t="s">
        <v>9268</v>
      </c>
      <c r="AA97" t="str">
        <f t="shared" si="26"/>
        <v>NatGrdExt_LSO-4</v>
      </c>
      <c r="AB97" t="str">
        <f t="shared" si="27"/>
        <v>Grid Extension -Lesotho- Step 4</v>
      </c>
      <c r="AC97" t="s">
        <v>29</v>
      </c>
      <c r="AD97" t="s">
        <v>30</v>
      </c>
      <c r="AE97" t="s">
        <v>9465</v>
      </c>
      <c r="AG97" t="s">
        <v>9268</v>
      </c>
      <c r="AH97" t="str">
        <f t="shared" si="28"/>
        <v>NatGrdExt_LSO-5</v>
      </c>
      <c r="AI97" t="str">
        <f t="shared" si="29"/>
        <v>Grid Extension -Lesotho- Step 5</v>
      </c>
      <c r="AJ97" t="s">
        <v>29</v>
      </c>
      <c r="AK97" t="s">
        <v>30</v>
      </c>
      <c r="AL97" t="s">
        <v>9465</v>
      </c>
      <c r="AN97" t="s">
        <v>9268</v>
      </c>
      <c r="AO97" t="str">
        <f t="shared" si="30"/>
        <v>NatGrdExt_LSO-6</v>
      </c>
      <c r="AP97" t="str">
        <f t="shared" si="31"/>
        <v>Grid Extension -Lesotho- Step 6</v>
      </c>
      <c r="AQ97" t="s">
        <v>29</v>
      </c>
      <c r="AR97" t="s">
        <v>30</v>
      </c>
      <c r="AS97" t="s">
        <v>9465</v>
      </c>
      <c r="AU97" t="s">
        <v>9268</v>
      </c>
      <c r="AV97" t="str">
        <f t="shared" si="32"/>
        <v>NatGrdExt_LSO-7</v>
      </c>
      <c r="AW97" t="str">
        <f t="shared" si="33"/>
        <v>Grid Extension -Lesotho- Step 7</v>
      </c>
      <c r="AX97" t="s">
        <v>29</v>
      </c>
      <c r="AY97" t="s">
        <v>30</v>
      </c>
      <c r="AZ97" t="s">
        <v>9465</v>
      </c>
      <c r="BB97" t="s">
        <v>9268</v>
      </c>
      <c r="BC97" t="str">
        <f t="shared" si="34"/>
        <v>NatGrdExt_LSO-8</v>
      </c>
      <c r="BD97" t="str">
        <f t="shared" si="35"/>
        <v>Grid Extension -Lesotho- Step 8</v>
      </c>
      <c r="BE97" t="s">
        <v>29</v>
      </c>
      <c r="BF97" t="s">
        <v>30</v>
      </c>
      <c r="BG97" t="s">
        <v>9465</v>
      </c>
      <c r="BI97" t="s">
        <v>9268</v>
      </c>
      <c r="BJ97" t="str">
        <f t="shared" si="36"/>
        <v>NatGrdExt_LSO-9</v>
      </c>
      <c r="BK97" t="str">
        <f t="shared" si="37"/>
        <v>Grid Extension -Lesotho- Step 9</v>
      </c>
      <c r="BL97" t="s">
        <v>29</v>
      </c>
      <c r="BM97" t="s">
        <v>30</v>
      </c>
      <c r="BN97" t="s">
        <v>9465</v>
      </c>
      <c r="BP97" t="s">
        <v>9268</v>
      </c>
      <c r="BQ97" t="str">
        <f t="shared" si="38"/>
        <v>NatGrdExt_LSO-10</v>
      </c>
      <c r="BR97" t="str">
        <f t="shared" si="39"/>
        <v>Grid Extension -Lesotho- Step 10</v>
      </c>
      <c r="BS97" t="s">
        <v>29</v>
      </c>
      <c r="BT97" t="s">
        <v>30</v>
      </c>
      <c r="BU97" t="s">
        <v>9465</v>
      </c>
    </row>
    <row r="98" spans="1:73">
      <c r="A98" s="4" t="s">
        <v>1171</v>
      </c>
      <c r="B98" s="4" t="s">
        <v>9556</v>
      </c>
      <c r="E98" t="s">
        <v>9268</v>
      </c>
      <c r="F98" t="str">
        <f t="shared" si="20"/>
        <v>NatGrdExt_LTU-1</v>
      </c>
      <c r="G98" t="str">
        <f t="shared" si="21"/>
        <v>Grid Extension -Lithuania- Step 1</v>
      </c>
      <c r="H98" t="s">
        <v>29</v>
      </c>
      <c r="I98" t="s">
        <v>30</v>
      </c>
      <c r="J98" t="s">
        <v>9465</v>
      </c>
      <c r="L98" t="s">
        <v>9268</v>
      </c>
      <c r="M98" t="str">
        <f t="shared" si="22"/>
        <v>NatGrdExt_LTU-2</v>
      </c>
      <c r="N98" t="str">
        <f t="shared" si="23"/>
        <v>Grid Extension -Lithuania- Step 2</v>
      </c>
      <c r="O98" t="s">
        <v>29</v>
      </c>
      <c r="P98" t="s">
        <v>30</v>
      </c>
      <c r="Q98" t="s">
        <v>9465</v>
      </c>
      <c r="S98" t="s">
        <v>9268</v>
      </c>
      <c r="T98" t="str">
        <f t="shared" si="24"/>
        <v>NatGrdExt_LTU-3</v>
      </c>
      <c r="U98" t="str">
        <f t="shared" si="25"/>
        <v>Grid Extension -Lithuania- Step 3</v>
      </c>
      <c r="V98" t="s">
        <v>29</v>
      </c>
      <c r="W98" t="s">
        <v>30</v>
      </c>
      <c r="X98" t="s">
        <v>9465</v>
      </c>
      <c r="Z98" t="s">
        <v>9268</v>
      </c>
      <c r="AA98" t="str">
        <f t="shared" si="26"/>
        <v>NatGrdExt_LTU-4</v>
      </c>
      <c r="AB98" t="str">
        <f t="shared" si="27"/>
        <v>Grid Extension -Lithuania- Step 4</v>
      </c>
      <c r="AC98" t="s">
        <v>29</v>
      </c>
      <c r="AD98" t="s">
        <v>30</v>
      </c>
      <c r="AE98" t="s">
        <v>9465</v>
      </c>
      <c r="AG98" t="s">
        <v>9268</v>
      </c>
      <c r="AH98" t="str">
        <f t="shared" si="28"/>
        <v>NatGrdExt_LTU-5</v>
      </c>
      <c r="AI98" t="str">
        <f t="shared" si="29"/>
        <v>Grid Extension -Lithuania- Step 5</v>
      </c>
      <c r="AJ98" t="s">
        <v>29</v>
      </c>
      <c r="AK98" t="s">
        <v>30</v>
      </c>
      <c r="AL98" t="s">
        <v>9465</v>
      </c>
      <c r="AN98" t="s">
        <v>9268</v>
      </c>
      <c r="AO98" t="str">
        <f t="shared" si="30"/>
        <v>NatGrdExt_LTU-6</v>
      </c>
      <c r="AP98" t="str">
        <f t="shared" si="31"/>
        <v>Grid Extension -Lithuania- Step 6</v>
      </c>
      <c r="AQ98" t="s">
        <v>29</v>
      </c>
      <c r="AR98" t="s">
        <v>30</v>
      </c>
      <c r="AS98" t="s">
        <v>9465</v>
      </c>
      <c r="AU98" t="s">
        <v>9268</v>
      </c>
      <c r="AV98" t="str">
        <f t="shared" si="32"/>
        <v>NatGrdExt_LTU-7</v>
      </c>
      <c r="AW98" t="str">
        <f t="shared" si="33"/>
        <v>Grid Extension -Lithuania- Step 7</v>
      </c>
      <c r="AX98" t="s">
        <v>29</v>
      </c>
      <c r="AY98" t="s">
        <v>30</v>
      </c>
      <c r="AZ98" t="s">
        <v>9465</v>
      </c>
      <c r="BB98" t="s">
        <v>9268</v>
      </c>
      <c r="BC98" t="str">
        <f t="shared" si="34"/>
        <v>NatGrdExt_LTU-8</v>
      </c>
      <c r="BD98" t="str">
        <f t="shared" si="35"/>
        <v>Grid Extension -Lithuania- Step 8</v>
      </c>
      <c r="BE98" t="s">
        <v>29</v>
      </c>
      <c r="BF98" t="s">
        <v>30</v>
      </c>
      <c r="BG98" t="s">
        <v>9465</v>
      </c>
      <c r="BI98" t="s">
        <v>9268</v>
      </c>
      <c r="BJ98" t="str">
        <f t="shared" si="36"/>
        <v>NatGrdExt_LTU-9</v>
      </c>
      <c r="BK98" t="str">
        <f t="shared" si="37"/>
        <v>Grid Extension -Lithuania- Step 9</v>
      </c>
      <c r="BL98" t="s">
        <v>29</v>
      </c>
      <c r="BM98" t="s">
        <v>30</v>
      </c>
      <c r="BN98" t="s">
        <v>9465</v>
      </c>
      <c r="BP98" t="s">
        <v>9268</v>
      </c>
      <c r="BQ98" t="str">
        <f t="shared" si="38"/>
        <v>NatGrdExt_LTU-10</v>
      </c>
      <c r="BR98" t="str">
        <f t="shared" si="39"/>
        <v>Grid Extension -Lithuania- Step 10</v>
      </c>
      <c r="BS98" t="s">
        <v>29</v>
      </c>
      <c r="BT98" t="s">
        <v>30</v>
      </c>
      <c r="BU98" t="s">
        <v>9465</v>
      </c>
    </row>
    <row r="99" spans="1:73">
      <c r="A99" s="4" t="s">
        <v>1177</v>
      </c>
      <c r="B99" s="4" t="s">
        <v>9557</v>
      </c>
      <c r="E99" t="s">
        <v>9268</v>
      </c>
      <c r="F99" t="str">
        <f t="shared" si="20"/>
        <v>NatGrdExt_LUX-1</v>
      </c>
      <c r="G99" t="str">
        <f t="shared" si="21"/>
        <v>Grid Extension -Luxembourg- Step 1</v>
      </c>
      <c r="H99" t="s">
        <v>29</v>
      </c>
      <c r="I99" t="s">
        <v>30</v>
      </c>
      <c r="J99" t="s">
        <v>9465</v>
      </c>
      <c r="L99" t="s">
        <v>9268</v>
      </c>
      <c r="M99" t="str">
        <f t="shared" si="22"/>
        <v>NatGrdExt_LUX-2</v>
      </c>
      <c r="N99" t="str">
        <f t="shared" si="23"/>
        <v>Grid Extension -Luxembourg- Step 2</v>
      </c>
      <c r="O99" t="s">
        <v>29</v>
      </c>
      <c r="P99" t="s">
        <v>30</v>
      </c>
      <c r="Q99" t="s">
        <v>9465</v>
      </c>
      <c r="S99" t="s">
        <v>9268</v>
      </c>
      <c r="T99" t="str">
        <f t="shared" si="24"/>
        <v>NatGrdExt_LUX-3</v>
      </c>
      <c r="U99" t="str">
        <f t="shared" si="25"/>
        <v>Grid Extension -Luxembourg- Step 3</v>
      </c>
      <c r="V99" t="s">
        <v>29</v>
      </c>
      <c r="W99" t="s">
        <v>30</v>
      </c>
      <c r="X99" t="s">
        <v>9465</v>
      </c>
      <c r="Z99" t="s">
        <v>9268</v>
      </c>
      <c r="AA99" t="str">
        <f t="shared" si="26"/>
        <v>NatGrdExt_LUX-4</v>
      </c>
      <c r="AB99" t="str">
        <f t="shared" si="27"/>
        <v>Grid Extension -Luxembourg- Step 4</v>
      </c>
      <c r="AC99" t="s">
        <v>29</v>
      </c>
      <c r="AD99" t="s">
        <v>30</v>
      </c>
      <c r="AE99" t="s">
        <v>9465</v>
      </c>
      <c r="AG99" t="s">
        <v>9268</v>
      </c>
      <c r="AH99" t="str">
        <f t="shared" si="28"/>
        <v>NatGrdExt_LUX-5</v>
      </c>
      <c r="AI99" t="str">
        <f t="shared" si="29"/>
        <v>Grid Extension -Luxembourg- Step 5</v>
      </c>
      <c r="AJ99" t="s">
        <v>29</v>
      </c>
      <c r="AK99" t="s">
        <v>30</v>
      </c>
      <c r="AL99" t="s">
        <v>9465</v>
      </c>
      <c r="AN99" t="s">
        <v>9268</v>
      </c>
      <c r="AO99" t="str">
        <f t="shared" si="30"/>
        <v>NatGrdExt_LUX-6</v>
      </c>
      <c r="AP99" t="str">
        <f t="shared" si="31"/>
        <v>Grid Extension -Luxembourg- Step 6</v>
      </c>
      <c r="AQ99" t="s">
        <v>29</v>
      </c>
      <c r="AR99" t="s">
        <v>30</v>
      </c>
      <c r="AS99" t="s">
        <v>9465</v>
      </c>
      <c r="AU99" t="s">
        <v>9268</v>
      </c>
      <c r="AV99" t="str">
        <f t="shared" si="32"/>
        <v>NatGrdExt_LUX-7</v>
      </c>
      <c r="AW99" t="str">
        <f t="shared" si="33"/>
        <v>Grid Extension -Luxembourg- Step 7</v>
      </c>
      <c r="AX99" t="s">
        <v>29</v>
      </c>
      <c r="AY99" t="s">
        <v>30</v>
      </c>
      <c r="AZ99" t="s">
        <v>9465</v>
      </c>
      <c r="BB99" t="s">
        <v>9268</v>
      </c>
      <c r="BC99" t="str">
        <f t="shared" si="34"/>
        <v>NatGrdExt_LUX-8</v>
      </c>
      <c r="BD99" t="str">
        <f t="shared" si="35"/>
        <v>Grid Extension -Luxembourg- Step 8</v>
      </c>
      <c r="BE99" t="s">
        <v>29</v>
      </c>
      <c r="BF99" t="s">
        <v>30</v>
      </c>
      <c r="BG99" t="s">
        <v>9465</v>
      </c>
      <c r="BI99" t="s">
        <v>9268</v>
      </c>
      <c r="BJ99" t="str">
        <f t="shared" si="36"/>
        <v>NatGrdExt_LUX-9</v>
      </c>
      <c r="BK99" t="str">
        <f t="shared" si="37"/>
        <v>Grid Extension -Luxembourg- Step 9</v>
      </c>
      <c r="BL99" t="s">
        <v>29</v>
      </c>
      <c r="BM99" t="s">
        <v>30</v>
      </c>
      <c r="BN99" t="s">
        <v>9465</v>
      </c>
      <c r="BP99" t="s">
        <v>9268</v>
      </c>
      <c r="BQ99" t="str">
        <f t="shared" si="38"/>
        <v>NatGrdExt_LUX-10</v>
      </c>
      <c r="BR99" t="str">
        <f t="shared" si="39"/>
        <v>Grid Extension -Luxembourg- Step 10</v>
      </c>
      <c r="BS99" t="s">
        <v>29</v>
      </c>
      <c r="BT99" t="s">
        <v>30</v>
      </c>
      <c r="BU99" t="s">
        <v>9465</v>
      </c>
    </row>
    <row r="100" spans="1:73">
      <c r="A100" s="4" t="s">
        <v>1181</v>
      </c>
      <c r="B100" s="4" t="s">
        <v>9558</v>
      </c>
      <c r="E100" t="s">
        <v>9268</v>
      </c>
      <c r="F100" t="str">
        <f t="shared" si="20"/>
        <v>NatGrdExt_LVA-1</v>
      </c>
      <c r="G100" t="str">
        <f t="shared" si="21"/>
        <v>Grid Extension -Latvia- Step 1</v>
      </c>
      <c r="H100" t="s">
        <v>29</v>
      </c>
      <c r="I100" t="s">
        <v>30</v>
      </c>
      <c r="J100" t="s">
        <v>9465</v>
      </c>
      <c r="L100" t="s">
        <v>9268</v>
      </c>
      <c r="M100" t="str">
        <f t="shared" si="22"/>
        <v>NatGrdExt_LVA-2</v>
      </c>
      <c r="N100" t="str">
        <f t="shared" si="23"/>
        <v>Grid Extension -Latvia- Step 2</v>
      </c>
      <c r="O100" t="s">
        <v>29</v>
      </c>
      <c r="P100" t="s">
        <v>30</v>
      </c>
      <c r="Q100" t="s">
        <v>9465</v>
      </c>
      <c r="S100" t="s">
        <v>9268</v>
      </c>
      <c r="T100" t="str">
        <f t="shared" si="24"/>
        <v>NatGrdExt_LVA-3</v>
      </c>
      <c r="U100" t="str">
        <f t="shared" si="25"/>
        <v>Grid Extension -Latvia- Step 3</v>
      </c>
      <c r="V100" t="s">
        <v>29</v>
      </c>
      <c r="W100" t="s">
        <v>30</v>
      </c>
      <c r="X100" t="s">
        <v>9465</v>
      </c>
      <c r="Z100" t="s">
        <v>9268</v>
      </c>
      <c r="AA100" t="str">
        <f t="shared" si="26"/>
        <v>NatGrdExt_LVA-4</v>
      </c>
      <c r="AB100" t="str">
        <f t="shared" si="27"/>
        <v>Grid Extension -Latvia- Step 4</v>
      </c>
      <c r="AC100" t="s">
        <v>29</v>
      </c>
      <c r="AD100" t="s">
        <v>30</v>
      </c>
      <c r="AE100" t="s">
        <v>9465</v>
      </c>
      <c r="AG100" t="s">
        <v>9268</v>
      </c>
      <c r="AH100" t="str">
        <f t="shared" si="28"/>
        <v>NatGrdExt_LVA-5</v>
      </c>
      <c r="AI100" t="str">
        <f t="shared" si="29"/>
        <v>Grid Extension -Latvia- Step 5</v>
      </c>
      <c r="AJ100" t="s">
        <v>29</v>
      </c>
      <c r="AK100" t="s">
        <v>30</v>
      </c>
      <c r="AL100" t="s">
        <v>9465</v>
      </c>
      <c r="AN100" t="s">
        <v>9268</v>
      </c>
      <c r="AO100" t="str">
        <f t="shared" si="30"/>
        <v>NatGrdExt_LVA-6</v>
      </c>
      <c r="AP100" t="str">
        <f t="shared" si="31"/>
        <v>Grid Extension -Latvia- Step 6</v>
      </c>
      <c r="AQ100" t="s">
        <v>29</v>
      </c>
      <c r="AR100" t="s">
        <v>30</v>
      </c>
      <c r="AS100" t="s">
        <v>9465</v>
      </c>
      <c r="AU100" t="s">
        <v>9268</v>
      </c>
      <c r="AV100" t="str">
        <f t="shared" si="32"/>
        <v>NatGrdExt_LVA-7</v>
      </c>
      <c r="AW100" t="str">
        <f t="shared" si="33"/>
        <v>Grid Extension -Latvia- Step 7</v>
      </c>
      <c r="AX100" t="s">
        <v>29</v>
      </c>
      <c r="AY100" t="s">
        <v>30</v>
      </c>
      <c r="AZ100" t="s">
        <v>9465</v>
      </c>
      <c r="BB100" t="s">
        <v>9268</v>
      </c>
      <c r="BC100" t="str">
        <f t="shared" si="34"/>
        <v>NatGrdExt_LVA-8</v>
      </c>
      <c r="BD100" t="str">
        <f t="shared" si="35"/>
        <v>Grid Extension -Latvia- Step 8</v>
      </c>
      <c r="BE100" t="s">
        <v>29</v>
      </c>
      <c r="BF100" t="s">
        <v>30</v>
      </c>
      <c r="BG100" t="s">
        <v>9465</v>
      </c>
      <c r="BI100" t="s">
        <v>9268</v>
      </c>
      <c r="BJ100" t="str">
        <f t="shared" si="36"/>
        <v>NatGrdExt_LVA-9</v>
      </c>
      <c r="BK100" t="str">
        <f t="shared" si="37"/>
        <v>Grid Extension -Latvia- Step 9</v>
      </c>
      <c r="BL100" t="s">
        <v>29</v>
      </c>
      <c r="BM100" t="s">
        <v>30</v>
      </c>
      <c r="BN100" t="s">
        <v>9465</v>
      </c>
      <c r="BP100" t="s">
        <v>9268</v>
      </c>
      <c r="BQ100" t="str">
        <f t="shared" si="38"/>
        <v>NatGrdExt_LVA-10</v>
      </c>
      <c r="BR100" t="str">
        <f t="shared" si="39"/>
        <v>Grid Extension -Latvia- Step 10</v>
      </c>
      <c r="BS100" t="s">
        <v>29</v>
      </c>
      <c r="BT100" t="s">
        <v>30</v>
      </c>
      <c r="BU100" t="s">
        <v>9465</v>
      </c>
    </row>
    <row r="101" spans="1:73">
      <c r="A101" s="4" t="s">
        <v>1187</v>
      </c>
      <c r="B101" s="4" t="s">
        <v>9559</v>
      </c>
      <c r="E101" t="s">
        <v>9268</v>
      </c>
      <c r="F101" t="str">
        <f t="shared" si="20"/>
        <v>NatGrdExt_MAR-1</v>
      </c>
      <c r="G101" t="str">
        <f t="shared" si="21"/>
        <v>Grid Extension -Morocco- Step 1</v>
      </c>
      <c r="H101" t="s">
        <v>29</v>
      </c>
      <c r="I101" t="s">
        <v>30</v>
      </c>
      <c r="J101" t="s">
        <v>9465</v>
      </c>
      <c r="L101" t="s">
        <v>9268</v>
      </c>
      <c r="M101" t="str">
        <f t="shared" si="22"/>
        <v>NatGrdExt_MAR-2</v>
      </c>
      <c r="N101" t="str">
        <f t="shared" si="23"/>
        <v>Grid Extension -Morocco- Step 2</v>
      </c>
      <c r="O101" t="s">
        <v>29</v>
      </c>
      <c r="P101" t="s">
        <v>30</v>
      </c>
      <c r="Q101" t="s">
        <v>9465</v>
      </c>
      <c r="S101" t="s">
        <v>9268</v>
      </c>
      <c r="T101" t="str">
        <f t="shared" si="24"/>
        <v>NatGrdExt_MAR-3</v>
      </c>
      <c r="U101" t="str">
        <f t="shared" si="25"/>
        <v>Grid Extension -Morocco- Step 3</v>
      </c>
      <c r="V101" t="s">
        <v>29</v>
      </c>
      <c r="W101" t="s">
        <v>30</v>
      </c>
      <c r="X101" t="s">
        <v>9465</v>
      </c>
      <c r="Z101" t="s">
        <v>9268</v>
      </c>
      <c r="AA101" t="str">
        <f t="shared" si="26"/>
        <v>NatGrdExt_MAR-4</v>
      </c>
      <c r="AB101" t="str">
        <f t="shared" si="27"/>
        <v>Grid Extension -Morocco- Step 4</v>
      </c>
      <c r="AC101" t="s">
        <v>29</v>
      </c>
      <c r="AD101" t="s">
        <v>30</v>
      </c>
      <c r="AE101" t="s">
        <v>9465</v>
      </c>
      <c r="AG101" t="s">
        <v>9268</v>
      </c>
      <c r="AH101" t="str">
        <f t="shared" si="28"/>
        <v>NatGrdExt_MAR-5</v>
      </c>
      <c r="AI101" t="str">
        <f t="shared" si="29"/>
        <v>Grid Extension -Morocco- Step 5</v>
      </c>
      <c r="AJ101" t="s">
        <v>29</v>
      </c>
      <c r="AK101" t="s">
        <v>30</v>
      </c>
      <c r="AL101" t="s">
        <v>9465</v>
      </c>
      <c r="AN101" t="s">
        <v>9268</v>
      </c>
      <c r="AO101" t="str">
        <f t="shared" si="30"/>
        <v>NatGrdExt_MAR-6</v>
      </c>
      <c r="AP101" t="str">
        <f t="shared" si="31"/>
        <v>Grid Extension -Morocco- Step 6</v>
      </c>
      <c r="AQ101" t="s">
        <v>29</v>
      </c>
      <c r="AR101" t="s">
        <v>30</v>
      </c>
      <c r="AS101" t="s">
        <v>9465</v>
      </c>
      <c r="AU101" t="s">
        <v>9268</v>
      </c>
      <c r="AV101" t="str">
        <f t="shared" si="32"/>
        <v>NatGrdExt_MAR-7</v>
      </c>
      <c r="AW101" t="str">
        <f t="shared" si="33"/>
        <v>Grid Extension -Morocco- Step 7</v>
      </c>
      <c r="AX101" t="s">
        <v>29</v>
      </c>
      <c r="AY101" t="s">
        <v>30</v>
      </c>
      <c r="AZ101" t="s">
        <v>9465</v>
      </c>
      <c r="BB101" t="s">
        <v>9268</v>
      </c>
      <c r="BC101" t="str">
        <f t="shared" si="34"/>
        <v>NatGrdExt_MAR-8</v>
      </c>
      <c r="BD101" t="str">
        <f t="shared" si="35"/>
        <v>Grid Extension -Morocco- Step 8</v>
      </c>
      <c r="BE101" t="s">
        <v>29</v>
      </c>
      <c r="BF101" t="s">
        <v>30</v>
      </c>
      <c r="BG101" t="s">
        <v>9465</v>
      </c>
      <c r="BI101" t="s">
        <v>9268</v>
      </c>
      <c r="BJ101" t="str">
        <f t="shared" si="36"/>
        <v>NatGrdExt_MAR-9</v>
      </c>
      <c r="BK101" t="str">
        <f t="shared" si="37"/>
        <v>Grid Extension -Morocco- Step 9</v>
      </c>
      <c r="BL101" t="s">
        <v>29</v>
      </c>
      <c r="BM101" t="s">
        <v>30</v>
      </c>
      <c r="BN101" t="s">
        <v>9465</v>
      </c>
      <c r="BP101" t="s">
        <v>9268</v>
      </c>
      <c r="BQ101" t="str">
        <f t="shared" si="38"/>
        <v>NatGrdExt_MAR-10</v>
      </c>
      <c r="BR101" t="str">
        <f t="shared" si="39"/>
        <v>Grid Extension -Morocco- Step 10</v>
      </c>
      <c r="BS101" t="s">
        <v>29</v>
      </c>
      <c r="BT101" t="s">
        <v>30</v>
      </c>
      <c r="BU101" t="s">
        <v>9465</v>
      </c>
    </row>
    <row r="102" spans="1:73">
      <c r="A102" s="4" t="s">
        <v>1199</v>
      </c>
      <c r="B102" s="4" t="s">
        <v>9560</v>
      </c>
      <c r="E102" t="s">
        <v>9268</v>
      </c>
      <c r="F102" t="str">
        <f t="shared" si="20"/>
        <v>NatGrdExt_MDA-1</v>
      </c>
      <c r="G102" t="str">
        <f t="shared" si="21"/>
        <v>Grid Extension -Moldova- Step 1</v>
      </c>
      <c r="H102" t="s">
        <v>29</v>
      </c>
      <c r="I102" t="s">
        <v>30</v>
      </c>
      <c r="J102" t="s">
        <v>9465</v>
      </c>
      <c r="L102" t="s">
        <v>9268</v>
      </c>
      <c r="M102" t="str">
        <f t="shared" si="22"/>
        <v>NatGrdExt_MDA-2</v>
      </c>
      <c r="N102" t="str">
        <f t="shared" si="23"/>
        <v>Grid Extension -Moldova- Step 2</v>
      </c>
      <c r="O102" t="s">
        <v>29</v>
      </c>
      <c r="P102" t="s">
        <v>30</v>
      </c>
      <c r="Q102" t="s">
        <v>9465</v>
      </c>
      <c r="S102" t="s">
        <v>9268</v>
      </c>
      <c r="T102" t="str">
        <f t="shared" si="24"/>
        <v>NatGrdExt_MDA-3</v>
      </c>
      <c r="U102" t="str">
        <f t="shared" si="25"/>
        <v>Grid Extension -Moldova- Step 3</v>
      </c>
      <c r="V102" t="s">
        <v>29</v>
      </c>
      <c r="W102" t="s">
        <v>30</v>
      </c>
      <c r="X102" t="s">
        <v>9465</v>
      </c>
      <c r="Z102" t="s">
        <v>9268</v>
      </c>
      <c r="AA102" t="str">
        <f t="shared" si="26"/>
        <v>NatGrdExt_MDA-4</v>
      </c>
      <c r="AB102" t="str">
        <f t="shared" si="27"/>
        <v>Grid Extension -Moldova- Step 4</v>
      </c>
      <c r="AC102" t="s">
        <v>29</v>
      </c>
      <c r="AD102" t="s">
        <v>30</v>
      </c>
      <c r="AE102" t="s">
        <v>9465</v>
      </c>
      <c r="AG102" t="s">
        <v>9268</v>
      </c>
      <c r="AH102" t="str">
        <f t="shared" si="28"/>
        <v>NatGrdExt_MDA-5</v>
      </c>
      <c r="AI102" t="str">
        <f t="shared" si="29"/>
        <v>Grid Extension -Moldova- Step 5</v>
      </c>
      <c r="AJ102" t="s">
        <v>29</v>
      </c>
      <c r="AK102" t="s">
        <v>30</v>
      </c>
      <c r="AL102" t="s">
        <v>9465</v>
      </c>
      <c r="AN102" t="s">
        <v>9268</v>
      </c>
      <c r="AO102" t="str">
        <f t="shared" si="30"/>
        <v>NatGrdExt_MDA-6</v>
      </c>
      <c r="AP102" t="str">
        <f t="shared" si="31"/>
        <v>Grid Extension -Moldova- Step 6</v>
      </c>
      <c r="AQ102" t="s">
        <v>29</v>
      </c>
      <c r="AR102" t="s">
        <v>30</v>
      </c>
      <c r="AS102" t="s">
        <v>9465</v>
      </c>
      <c r="AU102" t="s">
        <v>9268</v>
      </c>
      <c r="AV102" t="str">
        <f t="shared" si="32"/>
        <v>NatGrdExt_MDA-7</v>
      </c>
      <c r="AW102" t="str">
        <f t="shared" si="33"/>
        <v>Grid Extension -Moldova- Step 7</v>
      </c>
      <c r="AX102" t="s">
        <v>29</v>
      </c>
      <c r="AY102" t="s">
        <v>30</v>
      </c>
      <c r="AZ102" t="s">
        <v>9465</v>
      </c>
      <c r="BB102" t="s">
        <v>9268</v>
      </c>
      <c r="BC102" t="str">
        <f t="shared" si="34"/>
        <v>NatGrdExt_MDA-8</v>
      </c>
      <c r="BD102" t="str">
        <f t="shared" si="35"/>
        <v>Grid Extension -Moldova- Step 8</v>
      </c>
      <c r="BE102" t="s">
        <v>29</v>
      </c>
      <c r="BF102" t="s">
        <v>30</v>
      </c>
      <c r="BG102" t="s">
        <v>9465</v>
      </c>
      <c r="BI102" t="s">
        <v>9268</v>
      </c>
      <c r="BJ102" t="str">
        <f t="shared" si="36"/>
        <v>NatGrdExt_MDA-9</v>
      </c>
      <c r="BK102" t="str">
        <f t="shared" si="37"/>
        <v>Grid Extension -Moldova- Step 9</v>
      </c>
      <c r="BL102" t="s">
        <v>29</v>
      </c>
      <c r="BM102" t="s">
        <v>30</v>
      </c>
      <c r="BN102" t="s">
        <v>9465</v>
      </c>
      <c r="BP102" t="s">
        <v>9268</v>
      </c>
      <c r="BQ102" t="str">
        <f t="shared" si="38"/>
        <v>NatGrdExt_MDA-10</v>
      </c>
      <c r="BR102" t="str">
        <f t="shared" si="39"/>
        <v>Grid Extension -Moldova- Step 10</v>
      </c>
      <c r="BS102" t="s">
        <v>29</v>
      </c>
      <c r="BT102" t="s">
        <v>30</v>
      </c>
      <c r="BU102" t="s">
        <v>9465</v>
      </c>
    </row>
    <row r="103" spans="1:73">
      <c r="A103" s="4" t="s">
        <v>1203</v>
      </c>
      <c r="B103" s="4" t="s">
        <v>9561</v>
      </c>
      <c r="E103" t="s">
        <v>9268</v>
      </c>
      <c r="F103" t="str">
        <f t="shared" si="20"/>
        <v>NatGrdExt_MDG-1</v>
      </c>
      <c r="G103" t="str">
        <f t="shared" si="21"/>
        <v>Grid Extension -Madagascar- Step 1</v>
      </c>
      <c r="H103" t="s">
        <v>29</v>
      </c>
      <c r="I103" t="s">
        <v>30</v>
      </c>
      <c r="J103" t="s">
        <v>9465</v>
      </c>
      <c r="L103" t="s">
        <v>9268</v>
      </c>
      <c r="M103" t="str">
        <f t="shared" si="22"/>
        <v>NatGrdExt_MDG-2</v>
      </c>
      <c r="N103" t="str">
        <f t="shared" si="23"/>
        <v>Grid Extension -Madagascar- Step 2</v>
      </c>
      <c r="O103" t="s">
        <v>29</v>
      </c>
      <c r="P103" t="s">
        <v>30</v>
      </c>
      <c r="Q103" t="s">
        <v>9465</v>
      </c>
      <c r="S103" t="s">
        <v>9268</v>
      </c>
      <c r="T103" t="str">
        <f t="shared" si="24"/>
        <v>NatGrdExt_MDG-3</v>
      </c>
      <c r="U103" t="str">
        <f t="shared" si="25"/>
        <v>Grid Extension -Madagascar- Step 3</v>
      </c>
      <c r="V103" t="s">
        <v>29</v>
      </c>
      <c r="W103" t="s">
        <v>30</v>
      </c>
      <c r="X103" t="s">
        <v>9465</v>
      </c>
      <c r="Z103" t="s">
        <v>9268</v>
      </c>
      <c r="AA103" t="str">
        <f t="shared" si="26"/>
        <v>NatGrdExt_MDG-4</v>
      </c>
      <c r="AB103" t="str">
        <f t="shared" si="27"/>
        <v>Grid Extension -Madagascar- Step 4</v>
      </c>
      <c r="AC103" t="s">
        <v>29</v>
      </c>
      <c r="AD103" t="s">
        <v>30</v>
      </c>
      <c r="AE103" t="s">
        <v>9465</v>
      </c>
      <c r="AG103" t="s">
        <v>9268</v>
      </c>
      <c r="AH103" t="str">
        <f t="shared" si="28"/>
        <v>NatGrdExt_MDG-5</v>
      </c>
      <c r="AI103" t="str">
        <f t="shared" si="29"/>
        <v>Grid Extension -Madagascar- Step 5</v>
      </c>
      <c r="AJ103" t="s">
        <v>29</v>
      </c>
      <c r="AK103" t="s">
        <v>30</v>
      </c>
      <c r="AL103" t="s">
        <v>9465</v>
      </c>
      <c r="AN103" t="s">
        <v>9268</v>
      </c>
      <c r="AO103" t="str">
        <f t="shared" si="30"/>
        <v>NatGrdExt_MDG-6</v>
      </c>
      <c r="AP103" t="str">
        <f t="shared" si="31"/>
        <v>Grid Extension -Madagascar- Step 6</v>
      </c>
      <c r="AQ103" t="s">
        <v>29</v>
      </c>
      <c r="AR103" t="s">
        <v>30</v>
      </c>
      <c r="AS103" t="s">
        <v>9465</v>
      </c>
      <c r="AU103" t="s">
        <v>9268</v>
      </c>
      <c r="AV103" t="str">
        <f t="shared" si="32"/>
        <v>NatGrdExt_MDG-7</v>
      </c>
      <c r="AW103" t="str">
        <f t="shared" si="33"/>
        <v>Grid Extension -Madagascar- Step 7</v>
      </c>
      <c r="AX103" t="s">
        <v>29</v>
      </c>
      <c r="AY103" t="s">
        <v>30</v>
      </c>
      <c r="AZ103" t="s">
        <v>9465</v>
      </c>
      <c r="BB103" t="s">
        <v>9268</v>
      </c>
      <c r="BC103" t="str">
        <f t="shared" si="34"/>
        <v>NatGrdExt_MDG-8</v>
      </c>
      <c r="BD103" t="str">
        <f t="shared" si="35"/>
        <v>Grid Extension -Madagascar- Step 8</v>
      </c>
      <c r="BE103" t="s">
        <v>29</v>
      </c>
      <c r="BF103" t="s">
        <v>30</v>
      </c>
      <c r="BG103" t="s">
        <v>9465</v>
      </c>
      <c r="BI103" t="s">
        <v>9268</v>
      </c>
      <c r="BJ103" t="str">
        <f t="shared" si="36"/>
        <v>NatGrdExt_MDG-9</v>
      </c>
      <c r="BK103" t="str">
        <f t="shared" si="37"/>
        <v>Grid Extension -Madagascar- Step 9</v>
      </c>
      <c r="BL103" t="s">
        <v>29</v>
      </c>
      <c r="BM103" t="s">
        <v>30</v>
      </c>
      <c r="BN103" t="s">
        <v>9465</v>
      </c>
      <c r="BP103" t="s">
        <v>9268</v>
      </c>
      <c r="BQ103" t="str">
        <f t="shared" si="38"/>
        <v>NatGrdExt_MDG-10</v>
      </c>
      <c r="BR103" t="str">
        <f t="shared" si="39"/>
        <v>Grid Extension -Madagascar- Step 10</v>
      </c>
      <c r="BS103" t="s">
        <v>29</v>
      </c>
      <c r="BT103" t="s">
        <v>30</v>
      </c>
      <c r="BU103" t="s">
        <v>9465</v>
      </c>
    </row>
    <row r="104" spans="1:73">
      <c r="A104" s="4" t="s">
        <v>1211</v>
      </c>
      <c r="B104" s="4" t="s">
        <v>9562</v>
      </c>
      <c r="E104" t="s">
        <v>9268</v>
      </c>
      <c r="F104" t="str">
        <f t="shared" si="20"/>
        <v>NatGrdExt_MEX-1</v>
      </c>
      <c r="G104" t="str">
        <f t="shared" si="21"/>
        <v>Grid Extension -Mexico- Step 1</v>
      </c>
      <c r="H104" t="s">
        <v>29</v>
      </c>
      <c r="I104" t="s">
        <v>30</v>
      </c>
      <c r="J104" t="s">
        <v>9465</v>
      </c>
      <c r="L104" t="s">
        <v>9268</v>
      </c>
      <c r="M104" t="str">
        <f t="shared" si="22"/>
        <v>NatGrdExt_MEX-2</v>
      </c>
      <c r="N104" t="str">
        <f t="shared" si="23"/>
        <v>Grid Extension -Mexico- Step 2</v>
      </c>
      <c r="O104" t="s">
        <v>29</v>
      </c>
      <c r="P104" t="s">
        <v>30</v>
      </c>
      <c r="Q104" t="s">
        <v>9465</v>
      </c>
      <c r="S104" t="s">
        <v>9268</v>
      </c>
      <c r="T104" t="str">
        <f t="shared" si="24"/>
        <v>NatGrdExt_MEX-3</v>
      </c>
      <c r="U104" t="str">
        <f t="shared" si="25"/>
        <v>Grid Extension -Mexico- Step 3</v>
      </c>
      <c r="V104" t="s">
        <v>29</v>
      </c>
      <c r="W104" t="s">
        <v>30</v>
      </c>
      <c r="X104" t="s">
        <v>9465</v>
      </c>
      <c r="Z104" t="s">
        <v>9268</v>
      </c>
      <c r="AA104" t="str">
        <f t="shared" si="26"/>
        <v>NatGrdExt_MEX-4</v>
      </c>
      <c r="AB104" t="str">
        <f t="shared" si="27"/>
        <v>Grid Extension -Mexico- Step 4</v>
      </c>
      <c r="AC104" t="s">
        <v>29</v>
      </c>
      <c r="AD104" t="s">
        <v>30</v>
      </c>
      <c r="AE104" t="s">
        <v>9465</v>
      </c>
      <c r="AG104" t="s">
        <v>9268</v>
      </c>
      <c r="AH104" t="str">
        <f t="shared" si="28"/>
        <v>NatGrdExt_MEX-5</v>
      </c>
      <c r="AI104" t="str">
        <f t="shared" si="29"/>
        <v>Grid Extension -Mexico- Step 5</v>
      </c>
      <c r="AJ104" t="s">
        <v>29</v>
      </c>
      <c r="AK104" t="s">
        <v>30</v>
      </c>
      <c r="AL104" t="s">
        <v>9465</v>
      </c>
      <c r="AN104" t="s">
        <v>9268</v>
      </c>
      <c r="AO104" t="str">
        <f t="shared" si="30"/>
        <v>NatGrdExt_MEX-6</v>
      </c>
      <c r="AP104" t="str">
        <f t="shared" si="31"/>
        <v>Grid Extension -Mexico- Step 6</v>
      </c>
      <c r="AQ104" t="s">
        <v>29</v>
      </c>
      <c r="AR104" t="s">
        <v>30</v>
      </c>
      <c r="AS104" t="s">
        <v>9465</v>
      </c>
      <c r="AU104" t="s">
        <v>9268</v>
      </c>
      <c r="AV104" t="str">
        <f t="shared" si="32"/>
        <v>NatGrdExt_MEX-7</v>
      </c>
      <c r="AW104" t="str">
        <f t="shared" si="33"/>
        <v>Grid Extension -Mexico- Step 7</v>
      </c>
      <c r="AX104" t="s">
        <v>29</v>
      </c>
      <c r="AY104" t="s">
        <v>30</v>
      </c>
      <c r="AZ104" t="s">
        <v>9465</v>
      </c>
      <c r="BB104" t="s">
        <v>9268</v>
      </c>
      <c r="BC104" t="str">
        <f t="shared" si="34"/>
        <v>NatGrdExt_MEX-8</v>
      </c>
      <c r="BD104" t="str">
        <f t="shared" si="35"/>
        <v>Grid Extension -Mexico- Step 8</v>
      </c>
      <c r="BE104" t="s">
        <v>29</v>
      </c>
      <c r="BF104" t="s">
        <v>30</v>
      </c>
      <c r="BG104" t="s">
        <v>9465</v>
      </c>
      <c r="BI104" t="s">
        <v>9268</v>
      </c>
      <c r="BJ104" t="str">
        <f t="shared" si="36"/>
        <v>NatGrdExt_MEX-9</v>
      </c>
      <c r="BK104" t="str">
        <f t="shared" si="37"/>
        <v>Grid Extension -Mexico- Step 9</v>
      </c>
      <c r="BL104" t="s">
        <v>29</v>
      </c>
      <c r="BM104" t="s">
        <v>30</v>
      </c>
      <c r="BN104" t="s">
        <v>9465</v>
      </c>
      <c r="BP104" t="s">
        <v>9268</v>
      </c>
      <c r="BQ104" t="str">
        <f t="shared" si="38"/>
        <v>NatGrdExt_MEX-10</v>
      </c>
      <c r="BR104" t="str">
        <f t="shared" si="39"/>
        <v>Grid Extension -Mexico- Step 10</v>
      </c>
      <c r="BS104" t="s">
        <v>29</v>
      </c>
      <c r="BT104" t="s">
        <v>30</v>
      </c>
      <c r="BU104" t="s">
        <v>9465</v>
      </c>
    </row>
    <row r="105" spans="1:73">
      <c r="A105" s="4" t="s">
        <v>1225</v>
      </c>
      <c r="B105" s="4" t="s">
        <v>9563</v>
      </c>
      <c r="E105" t="s">
        <v>9268</v>
      </c>
      <c r="F105" t="str">
        <f t="shared" si="20"/>
        <v>NatGrdExt_MKD-1</v>
      </c>
      <c r="G105" t="str">
        <f t="shared" si="21"/>
        <v>Grid Extension -Macedonia- Step 1</v>
      </c>
      <c r="H105" t="s">
        <v>29</v>
      </c>
      <c r="I105" t="s">
        <v>30</v>
      </c>
      <c r="J105" t="s">
        <v>9465</v>
      </c>
      <c r="L105" t="s">
        <v>9268</v>
      </c>
      <c r="M105" t="str">
        <f t="shared" si="22"/>
        <v>NatGrdExt_MKD-2</v>
      </c>
      <c r="N105" t="str">
        <f t="shared" si="23"/>
        <v>Grid Extension -Macedonia- Step 2</v>
      </c>
      <c r="O105" t="s">
        <v>29</v>
      </c>
      <c r="P105" t="s">
        <v>30</v>
      </c>
      <c r="Q105" t="s">
        <v>9465</v>
      </c>
      <c r="S105" t="s">
        <v>9268</v>
      </c>
      <c r="T105" t="str">
        <f t="shared" si="24"/>
        <v>NatGrdExt_MKD-3</v>
      </c>
      <c r="U105" t="str">
        <f t="shared" si="25"/>
        <v>Grid Extension -Macedonia- Step 3</v>
      </c>
      <c r="V105" t="s">
        <v>29</v>
      </c>
      <c r="W105" t="s">
        <v>30</v>
      </c>
      <c r="X105" t="s">
        <v>9465</v>
      </c>
      <c r="Z105" t="s">
        <v>9268</v>
      </c>
      <c r="AA105" t="str">
        <f t="shared" si="26"/>
        <v>NatGrdExt_MKD-4</v>
      </c>
      <c r="AB105" t="str">
        <f t="shared" si="27"/>
        <v>Grid Extension -Macedonia- Step 4</v>
      </c>
      <c r="AC105" t="s">
        <v>29</v>
      </c>
      <c r="AD105" t="s">
        <v>30</v>
      </c>
      <c r="AE105" t="s">
        <v>9465</v>
      </c>
      <c r="AG105" t="s">
        <v>9268</v>
      </c>
      <c r="AH105" t="str">
        <f t="shared" si="28"/>
        <v>NatGrdExt_MKD-5</v>
      </c>
      <c r="AI105" t="str">
        <f t="shared" si="29"/>
        <v>Grid Extension -Macedonia- Step 5</v>
      </c>
      <c r="AJ105" t="s">
        <v>29</v>
      </c>
      <c r="AK105" t="s">
        <v>30</v>
      </c>
      <c r="AL105" t="s">
        <v>9465</v>
      </c>
      <c r="AN105" t="s">
        <v>9268</v>
      </c>
      <c r="AO105" t="str">
        <f t="shared" si="30"/>
        <v>NatGrdExt_MKD-6</v>
      </c>
      <c r="AP105" t="str">
        <f t="shared" si="31"/>
        <v>Grid Extension -Macedonia- Step 6</v>
      </c>
      <c r="AQ105" t="s">
        <v>29</v>
      </c>
      <c r="AR105" t="s">
        <v>30</v>
      </c>
      <c r="AS105" t="s">
        <v>9465</v>
      </c>
      <c r="AU105" t="s">
        <v>9268</v>
      </c>
      <c r="AV105" t="str">
        <f t="shared" si="32"/>
        <v>NatGrdExt_MKD-7</v>
      </c>
      <c r="AW105" t="str">
        <f t="shared" si="33"/>
        <v>Grid Extension -Macedonia- Step 7</v>
      </c>
      <c r="AX105" t="s">
        <v>29</v>
      </c>
      <c r="AY105" t="s">
        <v>30</v>
      </c>
      <c r="AZ105" t="s">
        <v>9465</v>
      </c>
      <c r="BB105" t="s">
        <v>9268</v>
      </c>
      <c r="BC105" t="str">
        <f t="shared" si="34"/>
        <v>NatGrdExt_MKD-8</v>
      </c>
      <c r="BD105" t="str">
        <f t="shared" si="35"/>
        <v>Grid Extension -Macedonia- Step 8</v>
      </c>
      <c r="BE105" t="s">
        <v>29</v>
      </c>
      <c r="BF105" t="s">
        <v>30</v>
      </c>
      <c r="BG105" t="s">
        <v>9465</v>
      </c>
      <c r="BI105" t="s">
        <v>9268</v>
      </c>
      <c r="BJ105" t="str">
        <f t="shared" si="36"/>
        <v>NatGrdExt_MKD-9</v>
      </c>
      <c r="BK105" t="str">
        <f t="shared" si="37"/>
        <v>Grid Extension -Macedonia- Step 9</v>
      </c>
      <c r="BL105" t="s">
        <v>29</v>
      </c>
      <c r="BM105" t="s">
        <v>30</v>
      </c>
      <c r="BN105" t="s">
        <v>9465</v>
      </c>
      <c r="BP105" t="s">
        <v>9268</v>
      </c>
      <c r="BQ105" t="str">
        <f t="shared" si="38"/>
        <v>NatGrdExt_MKD-10</v>
      </c>
      <c r="BR105" t="str">
        <f t="shared" si="39"/>
        <v>Grid Extension -Macedonia- Step 10</v>
      </c>
      <c r="BS105" t="s">
        <v>29</v>
      </c>
      <c r="BT105" t="s">
        <v>30</v>
      </c>
      <c r="BU105" t="s">
        <v>9465</v>
      </c>
    </row>
    <row r="106" spans="1:73">
      <c r="A106" s="4" t="s">
        <v>1229</v>
      </c>
      <c r="B106" s="4" t="s">
        <v>9564</v>
      </c>
      <c r="E106" t="s">
        <v>9268</v>
      </c>
      <c r="F106" t="str">
        <f t="shared" si="20"/>
        <v>NatGrdExt_MLI-1</v>
      </c>
      <c r="G106" t="str">
        <f t="shared" si="21"/>
        <v>Grid Extension -Mali- Step 1</v>
      </c>
      <c r="H106" t="s">
        <v>29</v>
      </c>
      <c r="I106" t="s">
        <v>30</v>
      </c>
      <c r="J106" t="s">
        <v>9465</v>
      </c>
      <c r="L106" t="s">
        <v>9268</v>
      </c>
      <c r="M106" t="str">
        <f t="shared" si="22"/>
        <v>NatGrdExt_MLI-2</v>
      </c>
      <c r="N106" t="str">
        <f t="shared" si="23"/>
        <v>Grid Extension -Mali- Step 2</v>
      </c>
      <c r="O106" t="s">
        <v>29</v>
      </c>
      <c r="P106" t="s">
        <v>30</v>
      </c>
      <c r="Q106" t="s">
        <v>9465</v>
      </c>
      <c r="S106" t="s">
        <v>9268</v>
      </c>
      <c r="T106" t="str">
        <f t="shared" si="24"/>
        <v>NatGrdExt_MLI-3</v>
      </c>
      <c r="U106" t="str">
        <f t="shared" si="25"/>
        <v>Grid Extension -Mali- Step 3</v>
      </c>
      <c r="V106" t="s">
        <v>29</v>
      </c>
      <c r="W106" t="s">
        <v>30</v>
      </c>
      <c r="X106" t="s">
        <v>9465</v>
      </c>
      <c r="Z106" t="s">
        <v>9268</v>
      </c>
      <c r="AA106" t="str">
        <f t="shared" si="26"/>
        <v>NatGrdExt_MLI-4</v>
      </c>
      <c r="AB106" t="str">
        <f t="shared" si="27"/>
        <v>Grid Extension -Mali- Step 4</v>
      </c>
      <c r="AC106" t="s">
        <v>29</v>
      </c>
      <c r="AD106" t="s">
        <v>30</v>
      </c>
      <c r="AE106" t="s">
        <v>9465</v>
      </c>
      <c r="AG106" t="s">
        <v>9268</v>
      </c>
      <c r="AH106" t="str">
        <f t="shared" si="28"/>
        <v>NatGrdExt_MLI-5</v>
      </c>
      <c r="AI106" t="str">
        <f t="shared" si="29"/>
        <v>Grid Extension -Mali- Step 5</v>
      </c>
      <c r="AJ106" t="s">
        <v>29</v>
      </c>
      <c r="AK106" t="s">
        <v>30</v>
      </c>
      <c r="AL106" t="s">
        <v>9465</v>
      </c>
      <c r="AN106" t="s">
        <v>9268</v>
      </c>
      <c r="AO106" t="str">
        <f t="shared" si="30"/>
        <v>NatGrdExt_MLI-6</v>
      </c>
      <c r="AP106" t="str">
        <f t="shared" si="31"/>
        <v>Grid Extension -Mali- Step 6</v>
      </c>
      <c r="AQ106" t="s">
        <v>29</v>
      </c>
      <c r="AR106" t="s">
        <v>30</v>
      </c>
      <c r="AS106" t="s">
        <v>9465</v>
      </c>
      <c r="AU106" t="s">
        <v>9268</v>
      </c>
      <c r="AV106" t="str">
        <f t="shared" si="32"/>
        <v>NatGrdExt_MLI-7</v>
      </c>
      <c r="AW106" t="str">
        <f t="shared" si="33"/>
        <v>Grid Extension -Mali- Step 7</v>
      </c>
      <c r="AX106" t="s">
        <v>29</v>
      </c>
      <c r="AY106" t="s">
        <v>30</v>
      </c>
      <c r="AZ106" t="s">
        <v>9465</v>
      </c>
      <c r="BB106" t="s">
        <v>9268</v>
      </c>
      <c r="BC106" t="str">
        <f t="shared" si="34"/>
        <v>NatGrdExt_MLI-8</v>
      </c>
      <c r="BD106" t="str">
        <f t="shared" si="35"/>
        <v>Grid Extension -Mali- Step 8</v>
      </c>
      <c r="BE106" t="s">
        <v>29</v>
      </c>
      <c r="BF106" t="s">
        <v>30</v>
      </c>
      <c r="BG106" t="s">
        <v>9465</v>
      </c>
      <c r="BI106" t="s">
        <v>9268</v>
      </c>
      <c r="BJ106" t="str">
        <f t="shared" si="36"/>
        <v>NatGrdExt_MLI-9</v>
      </c>
      <c r="BK106" t="str">
        <f t="shared" si="37"/>
        <v>Grid Extension -Mali- Step 9</v>
      </c>
      <c r="BL106" t="s">
        <v>29</v>
      </c>
      <c r="BM106" t="s">
        <v>30</v>
      </c>
      <c r="BN106" t="s">
        <v>9465</v>
      </c>
      <c r="BP106" t="s">
        <v>9268</v>
      </c>
      <c r="BQ106" t="str">
        <f t="shared" si="38"/>
        <v>NatGrdExt_MLI-10</v>
      </c>
      <c r="BR106" t="str">
        <f t="shared" si="39"/>
        <v>Grid Extension -Mali- Step 10</v>
      </c>
      <c r="BS106" t="s">
        <v>29</v>
      </c>
      <c r="BT106" t="s">
        <v>30</v>
      </c>
      <c r="BU106" t="s">
        <v>9465</v>
      </c>
    </row>
    <row r="107" spans="1:73">
      <c r="A107" s="4" t="s">
        <v>1235</v>
      </c>
      <c r="B107" s="4" t="s">
        <v>9565</v>
      </c>
      <c r="E107" t="s">
        <v>9268</v>
      </c>
      <c r="F107" t="str">
        <f t="shared" si="20"/>
        <v>NatGrdExt_MMR-1</v>
      </c>
      <c r="G107" t="str">
        <f t="shared" si="21"/>
        <v>Grid Extension -Myanmar- Step 1</v>
      </c>
      <c r="H107" t="s">
        <v>29</v>
      </c>
      <c r="I107" t="s">
        <v>30</v>
      </c>
      <c r="J107" t="s">
        <v>9465</v>
      </c>
      <c r="L107" t="s">
        <v>9268</v>
      </c>
      <c r="M107" t="str">
        <f t="shared" si="22"/>
        <v>NatGrdExt_MMR-2</v>
      </c>
      <c r="N107" t="str">
        <f t="shared" si="23"/>
        <v>Grid Extension -Myanmar- Step 2</v>
      </c>
      <c r="O107" t="s">
        <v>29</v>
      </c>
      <c r="P107" t="s">
        <v>30</v>
      </c>
      <c r="Q107" t="s">
        <v>9465</v>
      </c>
      <c r="S107" t="s">
        <v>9268</v>
      </c>
      <c r="T107" t="str">
        <f t="shared" si="24"/>
        <v>NatGrdExt_MMR-3</v>
      </c>
      <c r="U107" t="str">
        <f t="shared" si="25"/>
        <v>Grid Extension -Myanmar- Step 3</v>
      </c>
      <c r="V107" t="s">
        <v>29</v>
      </c>
      <c r="W107" t="s">
        <v>30</v>
      </c>
      <c r="X107" t="s">
        <v>9465</v>
      </c>
      <c r="Z107" t="s">
        <v>9268</v>
      </c>
      <c r="AA107" t="str">
        <f t="shared" si="26"/>
        <v>NatGrdExt_MMR-4</v>
      </c>
      <c r="AB107" t="str">
        <f t="shared" si="27"/>
        <v>Grid Extension -Myanmar- Step 4</v>
      </c>
      <c r="AC107" t="s">
        <v>29</v>
      </c>
      <c r="AD107" t="s">
        <v>30</v>
      </c>
      <c r="AE107" t="s">
        <v>9465</v>
      </c>
      <c r="AG107" t="s">
        <v>9268</v>
      </c>
      <c r="AH107" t="str">
        <f t="shared" si="28"/>
        <v>NatGrdExt_MMR-5</v>
      </c>
      <c r="AI107" t="str">
        <f t="shared" si="29"/>
        <v>Grid Extension -Myanmar- Step 5</v>
      </c>
      <c r="AJ107" t="s">
        <v>29</v>
      </c>
      <c r="AK107" t="s">
        <v>30</v>
      </c>
      <c r="AL107" t="s">
        <v>9465</v>
      </c>
      <c r="AN107" t="s">
        <v>9268</v>
      </c>
      <c r="AO107" t="str">
        <f t="shared" si="30"/>
        <v>NatGrdExt_MMR-6</v>
      </c>
      <c r="AP107" t="str">
        <f t="shared" si="31"/>
        <v>Grid Extension -Myanmar- Step 6</v>
      </c>
      <c r="AQ107" t="s">
        <v>29</v>
      </c>
      <c r="AR107" t="s">
        <v>30</v>
      </c>
      <c r="AS107" t="s">
        <v>9465</v>
      </c>
      <c r="AU107" t="s">
        <v>9268</v>
      </c>
      <c r="AV107" t="str">
        <f t="shared" si="32"/>
        <v>NatGrdExt_MMR-7</v>
      </c>
      <c r="AW107" t="str">
        <f t="shared" si="33"/>
        <v>Grid Extension -Myanmar- Step 7</v>
      </c>
      <c r="AX107" t="s">
        <v>29</v>
      </c>
      <c r="AY107" t="s">
        <v>30</v>
      </c>
      <c r="AZ107" t="s">
        <v>9465</v>
      </c>
      <c r="BB107" t="s">
        <v>9268</v>
      </c>
      <c r="BC107" t="str">
        <f t="shared" si="34"/>
        <v>NatGrdExt_MMR-8</v>
      </c>
      <c r="BD107" t="str">
        <f t="shared" si="35"/>
        <v>Grid Extension -Myanmar- Step 8</v>
      </c>
      <c r="BE107" t="s">
        <v>29</v>
      </c>
      <c r="BF107" t="s">
        <v>30</v>
      </c>
      <c r="BG107" t="s">
        <v>9465</v>
      </c>
      <c r="BI107" t="s">
        <v>9268</v>
      </c>
      <c r="BJ107" t="str">
        <f t="shared" si="36"/>
        <v>NatGrdExt_MMR-9</v>
      </c>
      <c r="BK107" t="str">
        <f t="shared" si="37"/>
        <v>Grid Extension -Myanmar- Step 9</v>
      </c>
      <c r="BL107" t="s">
        <v>29</v>
      </c>
      <c r="BM107" t="s">
        <v>30</v>
      </c>
      <c r="BN107" t="s">
        <v>9465</v>
      </c>
      <c r="BP107" t="s">
        <v>9268</v>
      </c>
      <c r="BQ107" t="str">
        <f t="shared" si="38"/>
        <v>NatGrdExt_MMR-10</v>
      </c>
      <c r="BR107" t="str">
        <f t="shared" si="39"/>
        <v>Grid Extension -Myanmar- Step 10</v>
      </c>
      <c r="BS107" t="s">
        <v>29</v>
      </c>
      <c r="BT107" t="s">
        <v>30</v>
      </c>
      <c r="BU107" t="s">
        <v>9465</v>
      </c>
    </row>
    <row r="108" spans="1:73">
      <c r="A108" s="4" t="s">
        <v>1239</v>
      </c>
      <c r="B108" s="4" t="s">
        <v>9566</v>
      </c>
      <c r="E108" t="s">
        <v>9268</v>
      </c>
      <c r="F108" t="str">
        <f t="shared" si="20"/>
        <v>NatGrdExt_MNE-1</v>
      </c>
      <c r="G108" t="str">
        <f t="shared" si="21"/>
        <v>Grid Extension -Montenegro- Step 1</v>
      </c>
      <c r="H108" t="s">
        <v>29</v>
      </c>
      <c r="I108" t="s">
        <v>30</v>
      </c>
      <c r="J108" t="s">
        <v>9465</v>
      </c>
      <c r="L108" t="s">
        <v>9268</v>
      </c>
      <c r="M108" t="str">
        <f t="shared" si="22"/>
        <v>NatGrdExt_MNE-2</v>
      </c>
      <c r="N108" t="str">
        <f t="shared" si="23"/>
        <v>Grid Extension -Montenegro- Step 2</v>
      </c>
      <c r="O108" t="s">
        <v>29</v>
      </c>
      <c r="P108" t="s">
        <v>30</v>
      </c>
      <c r="Q108" t="s">
        <v>9465</v>
      </c>
      <c r="S108" t="s">
        <v>9268</v>
      </c>
      <c r="T108" t="str">
        <f t="shared" si="24"/>
        <v>NatGrdExt_MNE-3</v>
      </c>
      <c r="U108" t="str">
        <f t="shared" si="25"/>
        <v>Grid Extension -Montenegro- Step 3</v>
      </c>
      <c r="V108" t="s">
        <v>29</v>
      </c>
      <c r="W108" t="s">
        <v>30</v>
      </c>
      <c r="X108" t="s">
        <v>9465</v>
      </c>
      <c r="Z108" t="s">
        <v>9268</v>
      </c>
      <c r="AA108" t="str">
        <f t="shared" si="26"/>
        <v>NatGrdExt_MNE-4</v>
      </c>
      <c r="AB108" t="str">
        <f t="shared" si="27"/>
        <v>Grid Extension -Montenegro- Step 4</v>
      </c>
      <c r="AC108" t="s">
        <v>29</v>
      </c>
      <c r="AD108" t="s">
        <v>30</v>
      </c>
      <c r="AE108" t="s">
        <v>9465</v>
      </c>
      <c r="AG108" t="s">
        <v>9268</v>
      </c>
      <c r="AH108" t="str">
        <f t="shared" si="28"/>
        <v>NatGrdExt_MNE-5</v>
      </c>
      <c r="AI108" t="str">
        <f t="shared" si="29"/>
        <v>Grid Extension -Montenegro- Step 5</v>
      </c>
      <c r="AJ108" t="s">
        <v>29</v>
      </c>
      <c r="AK108" t="s">
        <v>30</v>
      </c>
      <c r="AL108" t="s">
        <v>9465</v>
      </c>
      <c r="AN108" t="s">
        <v>9268</v>
      </c>
      <c r="AO108" t="str">
        <f t="shared" si="30"/>
        <v>NatGrdExt_MNE-6</v>
      </c>
      <c r="AP108" t="str">
        <f t="shared" si="31"/>
        <v>Grid Extension -Montenegro- Step 6</v>
      </c>
      <c r="AQ108" t="s">
        <v>29</v>
      </c>
      <c r="AR108" t="s">
        <v>30</v>
      </c>
      <c r="AS108" t="s">
        <v>9465</v>
      </c>
      <c r="AU108" t="s">
        <v>9268</v>
      </c>
      <c r="AV108" t="str">
        <f t="shared" si="32"/>
        <v>NatGrdExt_MNE-7</v>
      </c>
      <c r="AW108" t="str">
        <f t="shared" si="33"/>
        <v>Grid Extension -Montenegro- Step 7</v>
      </c>
      <c r="AX108" t="s">
        <v>29</v>
      </c>
      <c r="AY108" t="s">
        <v>30</v>
      </c>
      <c r="AZ108" t="s">
        <v>9465</v>
      </c>
      <c r="BB108" t="s">
        <v>9268</v>
      </c>
      <c r="BC108" t="str">
        <f t="shared" si="34"/>
        <v>NatGrdExt_MNE-8</v>
      </c>
      <c r="BD108" t="str">
        <f t="shared" si="35"/>
        <v>Grid Extension -Montenegro- Step 8</v>
      </c>
      <c r="BE108" t="s">
        <v>29</v>
      </c>
      <c r="BF108" t="s">
        <v>30</v>
      </c>
      <c r="BG108" t="s">
        <v>9465</v>
      </c>
      <c r="BI108" t="s">
        <v>9268</v>
      </c>
      <c r="BJ108" t="str">
        <f t="shared" si="36"/>
        <v>NatGrdExt_MNE-9</v>
      </c>
      <c r="BK108" t="str">
        <f t="shared" si="37"/>
        <v>Grid Extension -Montenegro- Step 9</v>
      </c>
      <c r="BL108" t="s">
        <v>29</v>
      </c>
      <c r="BM108" t="s">
        <v>30</v>
      </c>
      <c r="BN108" t="s">
        <v>9465</v>
      </c>
      <c r="BP108" t="s">
        <v>9268</v>
      </c>
      <c r="BQ108" t="str">
        <f t="shared" si="38"/>
        <v>NatGrdExt_MNE-10</v>
      </c>
      <c r="BR108" t="str">
        <f t="shared" si="39"/>
        <v>Grid Extension -Montenegro- Step 10</v>
      </c>
      <c r="BS108" t="s">
        <v>29</v>
      </c>
      <c r="BT108" t="s">
        <v>30</v>
      </c>
      <c r="BU108" t="s">
        <v>9465</v>
      </c>
    </row>
    <row r="109" spans="1:73">
      <c r="A109" s="4" t="s">
        <v>1247</v>
      </c>
      <c r="B109" s="4" t="s">
        <v>9567</v>
      </c>
      <c r="E109" t="s">
        <v>9268</v>
      </c>
      <c r="F109" t="str">
        <f t="shared" si="20"/>
        <v>NatGrdExt_MNG-1</v>
      </c>
      <c r="G109" t="str">
        <f t="shared" si="21"/>
        <v>Grid Extension -Mongolia- Step 1</v>
      </c>
      <c r="H109" t="s">
        <v>29</v>
      </c>
      <c r="I109" t="s">
        <v>30</v>
      </c>
      <c r="J109" t="s">
        <v>9465</v>
      </c>
      <c r="L109" t="s">
        <v>9268</v>
      </c>
      <c r="M109" t="str">
        <f t="shared" si="22"/>
        <v>NatGrdExt_MNG-2</v>
      </c>
      <c r="N109" t="str">
        <f t="shared" si="23"/>
        <v>Grid Extension -Mongolia- Step 2</v>
      </c>
      <c r="O109" t="s">
        <v>29</v>
      </c>
      <c r="P109" t="s">
        <v>30</v>
      </c>
      <c r="Q109" t="s">
        <v>9465</v>
      </c>
      <c r="S109" t="s">
        <v>9268</v>
      </c>
      <c r="T109" t="str">
        <f t="shared" si="24"/>
        <v>NatGrdExt_MNG-3</v>
      </c>
      <c r="U109" t="str">
        <f t="shared" si="25"/>
        <v>Grid Extension -Mongolia- Step 3</v>
      </c>
      <c r="V109" t="s">
        <v>29</v>
      </c>
      <c r="W109" t="s">
        <v>30</v>
      </c>
      <c r="X109" t="s">
        <v>9465</v>
      </c>
      <c r="Z109" t="s">
        <v>9268</v>
      </c>
      <c r="AA109" t="str">
        <f t="shared" si="26"/>
        <v>NatGrdExt_MNG-4</v>
      </c>
      <c r="AB109" t="str">
        <f t="shared" si="27"/>
        <v>Grid Extension -Mongolia- Step 4</v>
      </c>
      <c r="AC109" t="s">
        <v>29</v>
      </c>
      <c r="AD109" t="s">
        <v>30</v>
      </c>
      <c r="AE109" t="s">
        <v>9465</v>
      </c>
      <c r="AG109" t="s">
        <v>9268</v>
      </c>
      <c r="AH109" t="str">
        <f t="shared" si="28"/>
        <v>NatGrdExt_MNG-5</v>
      </c>
      <c r="AI109" t="str">
        <f t="shared" si="29"/>
        <v>Grid Extension -Mongolia- Step 5</v>
      </c>
      <c r="AJ109" t="s">
        <v>29</v>
      </c>
      <c r="AK109" t="s">
        <v>30</v>
      </c>
      <c r="AL109" t="s">
        <v>9465</v>
      </c>
      <c r="AN109" t="s">
        <v>9268</v>
      </c>
      <c r="AO109" t="str">
        <f t="shared" si="30"/>
        <v>NatGrdExt_MNG-6</v>
      </c>
      <c r="AP109" t="str">
        <f t="shared" si="31"/>
        <v>Grid Extension -Mongolia- Step 6</v>
      </c>
      <c r="AQ109" t="s">
        <v>29</v>
      </c>
      <c r="AR109" t="s">
        <v>30</v>
      </c>
      <c r="AS109" t="s">
        <v>9465</v>
      </c>
      <c r="AU109" t="s">
        <v>9268</v>
      </c>
      <c r="AV109" t="str">
        <f t="shared" si="32"/>
        <v>NatGrdExt_MNG-7</v>
      </c>
      <c r="AW109" t="str">
        <f t="shared" si="33"/>
        <v>Grid Extension -Mongolia- Step 7</v>
      </c>
      <c r="AX109" t="s">
        <v>29</v>
      </c>
      <c r="AY109" t="s">
        <v>30</v>
      </c>
      <c r="AZ109" t="s">
        <v>9465</v>
      </c>
      <c r="BB109" t="s">
        <v>9268</v>
      </c>
      <c r="BC109" t="str">
        <f t="shared" si="34"/>
        <v>NatGrdExt_MNG-8</v>
      </c>
      <c r="BD109" t="str">
        <f t="shared" si="35"/>
        <v>Grid Extension -Mongolia- Step 8</v>
      </c>
      <c r="BE109" t="s">
        <v>29</v>
      </c>
      <c r="BF109" t="s">
        <v>30</v>
      </c>
      <c r="BG109" t="s">
        <v>9465</v>
      </c>
      <c r="BI109" t="s">
        <v>9268</v>
      </c>
      <c r="BJ109" t="str">
        <f t="shared" si="36"/>
        <v>NatGrdExt_MNG-9</v>
      </c>
      <c r="BK109" t="str">
        <f t="shared" si="37"/>
        <v>Grid Extension -Mongolia- Step 9</v>
      </c>
      <c r="BL109" t="s">
        <v>29</v>
      </c>
      <c r="BM109" t="s">
        <v>30</v>
      </c>
      <c r="BN109" t="s">
        <v>9465</v>
      </c>
      <c r="BP109" t="s">
        <v>9268</v>
      </c>
      <c r="BQ109" t="str">
        <f t="shared" si="38"/>
        <v>NatGrdExt_MNG-10</v>
      </c>
      <c r="BR109" t="str">
        <f t="shared" si="39"/>
        <v>Grid Extension -Mongolia- Step 10</v>
      </c>
      <c r="BS109" t="s">
        <v>29</v>
      </c>
      <c r="BT109" t="s">
        <v>30</v>
      </c>
      <c r="BU109" t="s">
        <v>9465</v>
      </c>
    </row>
    <row r="110" spans="1:73">
      <c r="A110" s="4" t="s">
        <v>1253</v>
      </c>
      <c r="B110" s="4" t="s">
        <v>9568</v>
      </c>
      <c r="E110" t="s">
        <v>9268</v>
      </c>
      <c r="F110" t="str">
        <f t="shared" si="20"/>
        <v>NatGrdExt_MOZ-1</v>
      </c>
      <c r="G110" t="str">
        <f t="shared" si="21"/>
        <v>Grid Extension -Mozambique- Step 1</v>
      </c>
      <c r="H110" t="s">
        <v>29</v>
      </c>
      <c r="I110" t="s">
        <v>30</v>
      </c>
      <c r="J110" t="s">
        <v>9465</v>
      </c>
      <c r="L110" t="s">
        <v>9268</v>
      </c>
      <c r="M110" t="str">
        <f t="shared" si="22"/>
        <v>NatGrdExt_MOZ-2</v>
      </c>
      <c r="N110" t="str">
        <f t="shared" si="23"/>
        <v>Grid Extension -Mozambique- Step 2</v>
      </c>
      <c r="O110" t="s">
        <v>29</v>
      </c>
      <c r="P110" t="s">
        <v>30</v>
      </c>
      <c r="Q110" t="s">
        <v>9465</v>
      </c>
      <c r="S110" t="s">
        <v>9268</v>
      </c>
      <c r="T110" t="str">
        <f t="shared" si="24"/>
        <v>NatGrdExt_MOZ-3</v>
      </c>
      <c r="U110" t="str">
        <f t="shared" si="25"/>
        <v>Grid Extension -Mozambique- Step 3</v>
      </c>
      <c r="V110" t="s">
        <v>29</v>
      </c>
      <c r="W110" t="s">
        <v>30</v>
      </c>
      <c r="X110" t="s">
        <v>9465</v>
      </c>
      <c r="Z110" t="s">
        <v>9268</v>
      </c>
      <c r="AA110" t="str">
        <f t="shared" si="26"/>
        <v>NatGrdExt_MOZ-4</v>
      </c>
      <c r="AB110" t="str">
        <f t="shared" si="27"/>
        <v>Grid Extension -Mozambique- Step 4</v>
      </c>
      <c r="AC110" t="s">
        <v>29</v>
      </c>
      <c r="AD110" t="s">
        <v>30</v>
      </c>
      <c r="AE110" t="s">
        <v>9465</v>
      </c>
      <c r="AG110" t="s">
        <v>9268</v>
      </c>
      <c r="AH110" t="str">
        <f t="shared" si="28"/>
        <v>NatGrdExt_MOZ-5</v>
      </c>
      <c r="AI110" t="str">
        <f t="shared" si="29"/>
        <v>Grid Extension -Mozambique- Step 5</v>
      </c>
      <c r="AJ110" t="s">
        <v>29</v>
      </c>
      <c r="AK110" t="s">
        <v>30</v>
      </c>
      <c r="AL110" t="s">
        <v>9465</v>
      </c>
      <c r="AN110" t="s">
        <v>9268</v>
      </c>
      <c r="AO110" t="str">
        <f t="shared" si="30"/>
        <v>NatGrdExt_MOZ-6</v>
      </c>
      <c r="AP110" t="str">
        <f t="shared" si="31"/>
        <v>Grid Extension -Mozambique- Step 6</v>
      </c>
      <c r="AQ110" t="s">
        <v>29</v>
      </c>
      <c r="AR110" t="s">
        <v>30</v>
      </c>
      <c r="AS110" t="s">
        <v>9465</v>
      </c>
      <c r="AU110" t="s">
        <v>9268</v>
      </c>
      <c r="AV110" t="str">
        <f t="shared" si="32"/>
        <v>NatGrdExt_MOZ-7</v>
      </c>
      <c r="AW110" t="str">
        <f t="shared" si="33"/>
        <v>Grid Extension -Mozambique- Step 7</v>
      </c>
      <c r="AX110" t="s">
        <v>29</v>
      </c>
      <c r="AY110" t="s">
        <v>30</v>
      </c>
      <c r="AZ110" t="s">
        <v>9465</v>
      </c>
      <c r="BB110" t="s">
        <v>9268</v>
      </c>
      <c r="BC110" t="str">
        <f t="shared" si="34"/>
        <v>NatGrdExt_MOZ-8</v>
      </c>
      <c r="BD110" t="str">
        <f t="shared" si="35"/>
        <v>Grid Extension -Mozambique- Step 8</v>
      </c>
      <c r="BE110" t="s">
        <v>29</v>
      </c>
      <c r="BF110" t="s">
        <v>30</v>
      </c>
      <c r="BG110" t="s">
        <v>9465</v>
      </c>
      <c r="BI110" t="s">
        <v>9268</v>
      </c>
      <c r="BJ110" t="str">
        <f t="shared" si="36"/>
        <v>NatGrdExt_MOZ-9</v>
      </c>
      <c r="BK110" t="str">
        <f t="shared" si="37"/>
        <v>Grid Extension -Mozambique- Step 9</v>
      </c>
      <c r="BL110" t="s">
        <v>29</v>
      </c>
      <c r="BM110" t="s">
        <v>30</v>
      </c>
      <c r="BN110" t="s">
        <v>9465</v>
      </c>
      <c r="BP110" t="s">
        <v>9268</v>
      </c>
      <c r="BQ110" t="str">
        <f t="shared" si="38"/>
        <v>NatGrdExt_MOZ-10</v>
      </c>
      <c r="BR110" t="str">
        <f t="shared" si="39"/>
        <v>Grid Extension -Mozambique- Step 10</v>
      </c>
      <c r="BS110" t="s">
        <v>29</v>
      </c>
      <c r="BT110" t="s">
        <v>30</v>
      </c>
      <c r="BU110" t="s">
        <v>9465</v>
      </c>
    </row>
    <row r="111" spans="1:73">
      <c r="A111" s="4" t="s">
        <v>1273</v>
      </c>
      <c r="B111" s="4" t="s">
        <v>9569</v>
      </c>
      <c r="E111" t="s">
        <v>9268</v>
      </c>
      <c r="F111" t="str">
        <f t="shared" si="20"/>
        <v>NatGrdExt_MRT-1</v>
      </c>
      <c r="G111" t="str">
        <f t="shared" si="21"/>
        <v>Grid Extension -Mauritania- Step 1</v>
      </c>
      <c r="H111" t="s">
        <v>29</v>
      </c>
      <c r="I111" t="s">
        <v>30</v>
      </c>
      <c r="J111" t="s">
        <v>9465</v>
      </c>
      <c r="L111" t="s">
        <v>9268</v>
      </c>
      <c r="M111" t="str">
        <f t="shared" si="22"/>
        <v>NatGrdExt_MRT-2</v>
      </c>
      <c r="N111" t="str">
        <f t="shared" si="23"/>
        <v>Grid Extension -Mauritania- Step 2</v>
      </c>
      <c r="O111" t="s">
        <v>29</v>
      </c>
      <c r="P111" t="s">
        <v>30</v>
      </c>
      <c r="Q111" t="s">
        <v>9465</v>
      </c>
      <c r="S111" t="s">
        <v>9268</v>
      </c>
      <c r="T111" t="str">
        <f t="shared" si="24"/>
        <v>NatGrdExt_MRT-3</v>
      </c>
      <c r="U111" t="str">
        <f t="shared" si="25"/>
        <v>Grid Extension -Mauritania- Step 3</v>
      </c>
      <c r="V111" t="s">
        <v>29</v>
      </c>
      <c r="W111" t="s">
        <v>30</v>
      </c>
      <c r="X111" t="s">
        <v>9465</v>
      </c>
      <c r="Z111" t="s">
        <v>9268</v>
      </c>
      <c r="AA111" t="str">
        <f t="shared" si="26"/>
        <v>NatGrdExt_MRT-4</v>
      </c>
      <c r="AB111" t="str">
        <f t="shared" si="27"/>
        <v>Grid Extension -Mauritania- Step 4</v>
      </c>
      <c r="AC111" t="s">
        <v>29</v>
      </c>
      <c r="AD111" t="s">
        <v>30</v>
      </c>
      <c r="AE111" t="s">
        <v>9465</v>
      </c>
      <c r="AG111" t="s">
        <v>9268</v>
      </c>
      <c r="AH111" t="str">
        <f t="shared" si="28"/>
        <v>NatGrdExt_MRT-5</v>
      </c>
      <c r="AI111" t="str">
        <f t="shared" si="29"/>
        <v>Grid Extension -Mauritania- Step 5</v>
      </c>
      <c r="AJ111" t="s">
        <v>29</v>
      </c>
      <c r="AK111" t="s">
        <v>30</v>
      </c>
      <c r="AL111" t="s">
        <v>9465</v>
      </c>
      <c r="AN111" t="s">
        <v>9268</v>
      </c>
      <c r="AO111" t="str">
        <f t="shared" si="30"/>
        <v>NatGrdExt_MRT-6</v>
      </c>
      <c r="AP111" t="str">
        <f t="shared" si="31"/>
        <v>Grid Extension -Mauritania- Step 6</v>
      </c>
      <c r="AQ111" t="s">
        <v>29</v>
      </c>
      <c r="AR111" t="s">
        <v>30</v>
      </c>
      <c r="AS111" t="s">
        <v>9465</v>
      </c>
      <c r="AU111" t="s">
        <v>9268</v>
      </c>
      <c r="AV111" t="str">
        <f t="shared" si="32"/>
        <v>NatGrdExt_MRT-7</v>
      </c>
      <c r="AW111" t="str">
        <f t="shared" si="33"/>
        <v>Grid Extension -Mauritania- Step 7</v>
      </c>
      <c r="AX111" t="s">
        <v>29</v>
      </c>
      <c r="AY111" t="s">
        <v>30</v>
      </c>
      <c r="AZ111" t="s">
        <v>9465</v>
      </c>
      <c r="BB111" t="s">
        <v>9268</v>
      </c>
      <c r="BC111" t="str">
        <f t="shared" si="34"/>
        <v>NatGrdExt_MRT-8</v>
      </c>
      <c r="BD111" t="str">
        <f t="shared" si="35"/>
        <v>Grid Extension -Mauritania- Step 8</v>
      </c>
      <c r="BE111" t="s">
        <v>29</v>
      </c>
      <c r="BF111" t="s">
        <v>30</v>
      </c>
      <c r="BG111" t="s">
        <v>9465</v>
      </c>
      <c r="BI111" t="s">
        <v>9268</v>
      </c>
      <c r="BJ111" t="str">
        <f t="shared" si="36"/>
        <v>NatGrdExt_MRT-9</v>
      </c>
      <c r="BK111" t="str">
        <f t="shared" si="37"/>
        <v>Grid Extension -Mauritania- Step 9</v>
      </c>
      <c r="BL111" t="s">
        <v>29</v>
      </c>
      <c r="BM111" t="s">
        <v>30</v>
      </c>
      <c r="BN111" t="s">
        <v>9465</v>
      </c>
      <c r="BP111" t="s">
        <v>9268</v>
      </c>
      <c r="BQ111" t="str">
        <f t="shared" si="38"/>
        <v>NatGrdExt_MRT-10</v>
      </c>
      <c r="BR111" t="str">
        <f t="shared" si="39"/>
        <v>Grid Extension -Mauritania- Step 10</v>
      </c>
      <c r="BS111" t="s">
        <v>29</v>
      </c>
      <c r="BT111" t="s">
        <v>30</v>
      </c>
      <c r="BU111" t="s">
        <v>9465</v>
      </c>
    </row>
    <row r="112" spans="1:73">
      <c r="A112" s="4" t="s">
        <v>1277</v>
      </c>
      <c r="B112" s="4" t="s">
        <v>9570</v>
      </c>
      <c r="E112" t="s">
        <v>9268</v>
      </c>
      <c r="F112" t="str">
        <f t="shared" si="20"/>
        <v>NatGrdExt_MWI-1</v>
      </c>
      <c r="G112" t="str">
        <f t="shared" si="21"/>
        <v>Grid Extension -Malawi- Step 1</v>
      </c>
      <c r="H112" t="s">
        <v>29</v>
      </c>
      <c r="I112" t="s">
        <v>30</v>
      </c>
      <c r="J112" t="s">
        <v>9465</v>
      </c>
      <c r="L112" t="s">
        <v>9268</v>
      </c>
      <c r="M112" t="str">
        <f t="shared" si="22"/>
        <v>NatGrdExt_MWI-2</v>
      </c>
      <c r="N112" t="str">
        <f t="shared" si="23"/>
        <v>Grid Extension -Malawi- Step 2</v>
      </c>
      <c r="O112" t="s">
        <v>29</v>
      </c>
      <c r="P112" t="s">
        <v>30</v>
      </c>
      <c r="Q112" t="s">
        <v>9465</v>
      </c>
      <c r="S112" t="s">
        <v>9268</v>
      </c>
      <c r="T112" t="str">
        <f t="shared" si="24"/>
        <v>NatGrdExt_MWI-3</v>
      </c>
      <c r="U112" t="str">
        <f t="shared" si="25"/>
        <v>Grid Extension -Malawi- Step 3</v>
      </c>
      <c r="V112" t="s">
        <v>29</v>
      </c>
      <c r="W112" t="s">
        <v>30</v>
      </c>
      <c r="X112" t="s">
        <v>9465</v>
      </c>
      <c r="Z112" t="s">
        <v>9268</v>
      </c>
      <c r="AA112" t="str">
        <f t="shared" si="26"/>
        <v>NatGrdExt_MWI-4</v>
      </c>
      <c r="AB112" t="str">
        <f t="shared" si="27"/>
        <v>Grid Extension -Malawi- Step 4</v>
      </c>
      <c r="AC112" t="s">
        <v>29</v>
      </c>
      <c r="AD112" t="s">
        <v>30</v>
      </c>
      <c r="AE112" t="s">
        <v>9465</v>
      </c>
      <c r="AG112" t="s">
        <v>9268</v>
      </c>
      <c r="AH112" t="str">
        <f t="shared" si="28"/>
        <v>NatGrdExt_MWI-5</v>
      </c>
      <c r="AI112" t="str">
        <f t="shared" si="29"/>
        <v>Grid Extension -Malawi- Step 5</v>
      </c>
      <c r="AJ112" t="s">
        <v>29</v>
      </c>
      <c r="AK112" t="s">
        <v>30</v>
      </c>
      <c r="AL112" t="s">
        <v>9465</v>
      </c>
      <c r="AN112" t="s">
        <v>9268</v>
      </c>
      <c r="AO112" t="str">
        <f t="shared" si="30"/>
        <v>NatGrdExt_MWI-6</v>
      </c>
      <c r="AP112" t="str">
        <f t="shared" si="31"/>
        <v>Grid Extension -Malawi- Step 6</v>
      </c>
      <c r="AQ112" t="s">
        <v>29</v>
      </c>
      <c r="AR112" t="s">
        <v>30</v>
      </c>
      <c r="AS112" t="s">
        <v>9465</v>
      </c>
      <c r="AU112" t="s">
        <v>9268</v>
      </c>
      <c r="AV112" t="str">
        <f t="shared" si="32"/>
        <v>NatGrdExt_MWI-7</v>
      </c>
      <c r="AW112" t="str">
        <f t="shared" si="33"/>
        <v>Grid Extension -Malawi- Step 7</v>
      </c>
      <c r="AX112" t="s">
        <v>29</v>
      </c>
      <c r="AY112" t="s">
        <v>30</v>
      </c>
      <c r="AZ112" t="s">
        <v>9465</v>
      </c>
      <c r="BB112" t="s">
        <v>9268</v>
      </c>
      <c r="BC112" t="str">
        <f t="shared" si="34"/>
        <v>NatGrdExt_MWI-8</v>
      </c>
      <c r="BD112" t="str">
        <f t="shared" si="35"/>
        <v>Grid Extension -Malawi- Step 8</v>
      </c>
      <c r="BE112" t="s">
        <v>29</v>
      </c>
      <c r="BF112" t="s">
        <v>30</v>
      </c>
      <c r="BG112" t="s">
        <v>9465</v>
      </c>
      <c r="BI112" t="s">
        <v>9268</v>
      </c>
      <c r="BJ112" t="str">
        <f t="shared" si="36"/>
        <v>NatGrdExt_MWI-9</v>
      </c>
      <c r="BK112" t="str">
        <f t="shared" si="37"/>
        <v>Grid Extension -Malawi- Step 9</v>
      </c>
      <c r="BL112" t="s">
        <v>29</v>
      </c>
      <c r="BM112" t="s">
        <v>30</v>
      </c>
      <c r="BN112" t="s">
        <v>9465</v>
      </c>
      <c r="BP112" t="s">
        <v>9268</v>
      </c>
      <c r="BQ112" t="str">
        <f t="shared" si="38"/>
        <v>NatGrdExt_MWI-10</v>
      </c>
      <c r="BR112" t="str">
        <f t="shared" si="39"/>
        <v>Grid Extension -Malawi- Step 10</v>
      </c>
      <c r="BS112" t="s">
        <v>29</v>
      </c>
      <c r="BT112" t="s">
        <v>30</v>
      </c>
      <c r="BU112" t="s">
        <v>9465</v>
      </c>
    </row>
    <row r="113" spans="1:73">
      <c r="A113" s="4" t="s">
        <v>1291</v>
      </c>
      <c r="B113" s="4" t="s">
        <v>9571</v>
      </c>
      <c r="E113" t="s">
        <v>9268</v>
      </c>
      <c r="F113" t="str">
        <f t="shared" si="20"/>
        <v>NatGrdExt_MYS-1</v>
      </c>
      <c r="G113" t="str">
        <f t="shared" si="21"/>
        <v>Grid Extension -Malaysia- Step 1</v>
      </c>
      <c r="H113" t="s">
        <v>29</v>
      </c>
      <c r="I113" t="s">
        <v>30</v>
      </c>
      <c r="J113" t="s">
        <v>9465</v>
      </c>
      <c r="L113" t="s">
        <v>9268</v>
      </c>
      <c r="M113" t="str">
        <f t="shared" si="22"/>
        <v>NatGrdExt_MYS-2</v>
      </c>
      <c r="N113" t="str">
        <f t="shared" si="23"/>
        <v>Grid Extension -Malaysia- Step 2</v>
      </c>
      <c r="O113" t="s">
        <v>29</v>
      </c>
      <c r="P113" t="s">
        <v>30</v>
      </c>
      <c r="Q113" t="s">
        <v>9465</v>
      </c>
      <c r="S113" t="s">
        <v>9268</v>
      </c>
      <c r="T113" t="str">
        <f t="shared" si="24"/>
        <v>NatGrdExt_MYS-3</v>
      </c>
      <c r="U113" t="str">
        <f t="shared" si="25"/>
        <v>Grid Extension -Malaysia- Step 3</v>
      </c>
      <c r="V113" t="s">
        <v>29</v>
      </c>
      <c r="W113" t="s">
        <v>30</v>
      </c>
      <c r="X113" t="s">
        <v>9465</v>
      </c>
      <c r="Z113" t="s">
        <v>9268</v>
      </c>
      <c r="AA113" t="str">
        <f t="shared" si="26"/>
        <v>NatGrdExt_MYS-4</v>
      </c>
      <c r="AB113" t="str">
        <f t="shared" si="27"/>
        <v>Grid Extension -Malaysia- Step 4</v>
      </c>
      <c r="AC113" t="s">
        <v>29</v>
      </c>
      <c r="AD113" t="s">
        <v>30</v>
      </c>
      <c r="AE113" t="s">
        <v>9465</v>
      </c>
      <c r="AG113" t="s">
        <v>9268</v>
      </c>
      <c r="AH113" t="str">
        <f t="shared" si="28"/>
        <v>NatGrdExt_MYS-5</v>
      </c>
      <c r="AI113" t="str">
        <f t="shared" si="29"/>
        <v>Grid Extension -Malaysia- Step 5</v>
      </c>
      <c r="AJ113" t="s">
        <v>29</v>
      </c>
      <c r="AK113" t="s">
        <v>30</v>
      </c>
      <c r="AL113" t="s">
        <v>9465</v>
      </c>
      <c r="AN113" t="s">
        <v>9268</v>
      </c>
      <c r="AO113" t="str">
        <f t="shared" si="30"/>
        <v>NatGrdExt_MYS-6</v>
      </c>
      <c r="AP113" t="str">
        <f t="shared" si="31"/>
        <v>Grid Extension -Malaysia- Step 6</v>
      </c>
      <c r="AQ113" t="s">
        <v>29</v>
      </c>
      <c r="AR113" t="s">
        <v>30</v>
      </c>
      <c r="AS113" t="s">
        <v>9465</v>
      </c>
      <c r="AU113" t="s">
        <v>9268</v>
      </c>
      <c r="AV113" t="str">
        <f t="shared" si="32"/>
        <v>NatGrdExt_MYS-7</v>
      </c>
      <c r="AW113" t="str">
        <f t="shared" si="33"/>
        <v>Grid Extension -Malaysia- Step 7</v>
      </c>
      <c r="AX113" t="s">
        <v>29</v>
      </c>
      <c r="AY113" t="s">
        <v>30</v>
      </c>
      <c r="AZ113" t="s">
        <v>9465</v>
      </c>
      <c r="BB113" t="s">
        <v>9268</v>
      </c>
      <c r="BC113" t="str">
        <f t="shared" si="34"/>
        <v>NatGrdExt_MYS-8</v>
      </c>
      <c r="BD113" t="str">
        <f t="shared" si="35"/>
        <v>Grid Extension -Malaysia- Step 8</v>
      </c>
      <c r="BE113" t="s">
        <v>29</v>
      </c>
      <c r="BF113" t="s">
        <v>30</v>
      </c>
      <c r="BG113" t="s">
        <v>9465</v>
      </c>
      <c r="BI113" t="s">
        <v>9268</v>
      </c>
      <c r="BJ113" t="str">
        <f t="shared" si="36"/>
        <v>NatGrdExt_MYS-9</v>
      </c>
      <c r="BK113" t="str">
        <f t="shared" si="37"/>
        <v>Grid Extension -Malaysia- Step 9</v>
      </c>
      <c r="BL113" t="s">
        <v>29</v>
      </c>
      <c r="BM113" t="s">
        <v>30</v>
      </c>
      <c r="BN113" t="s">
        <v>9465</v>
      </c>
      <c r="BP113" t="s">
        <v>9268</v>
      </c>
      <c r="BQ113" t="str">
        <f t="shared" si="38"/>
        <v>NatGrdExt_MYS-10</v>
      </c>
      <c r="BR113" t="str">
        <f t="shared" si="39"/>
        <v>Grid Extension -Malaysia- Step 10</v>
      </c>
      <c r="BS113" t="s">
        <v>29</v>
      </c>
      <c r="BT113" t="s">
        <v>30</v>
      </c>
      <c r="BU113" t="s">
        <v>9465</v>
      </c>
    </row>
    <row r="114" spans="1:73">
      <c r="A114" s="4" t="s">
        <v>1313</v>
      </c>
      <c r="B114" s="4" t="s">
        <v>9572</v>
      </c>
      <c r="E114" t="s">
        <v>9268</v>
      </c>
      <c r="F114" t="str">
        <f t="shared" si="20"/>
        <v>NatGrdExt_NAM-1</v>
      </c>
      <c r="G114" t="str">
        <f t="shared" si="21"/>
        <v>Grid Extension -Namibia- Step 1</v>
      </c>
      <c r="H114" t="s">
        <v>29</v>
      </c>
      <c r="I114" t="s">
        <v>30</v>
      </c>
      <c r="J114" t="s">
        <v>9465</v>
      </c>
      <c r="L114" t="s">
        <v>9268</v>
      </c>
      <c r="M114" t="str">
        <f t="shared" si="22"/>
        <v>NatGrdExt_NAM-2</v>
      </c>
      <c r="N114" t="str">
        <f t="shared" si="23"/>
        <v>Grid Extension -Namibia- Step 2</v>
      </c>
      <c r="O114" t="s">
        <v>29</v>
      </c>
      <c r="P114" t="s">
        <v>30</v>
      </c>
      <c r="Q114" t="s">
        <v>9465</v>
      </c>
      <c r="S114" t="s">
        <v>9268</v>
      </c>
      <c r="T114" t="str">
        <f t="shared" si="24"/>
        <v>NatGrdExt_NAM-3</v>
      </c>
      <c r="U114" t="str">
        <f t="shared" si="25"/>
        <v>Grid Extension -Namibia- Step 3</v>
      </c>
      <c r="V114" t="s">
        <v>29</v>
      </c>
      <c r="W114" t="s">
        <v>30</v>
      </c>
      <c r="X114" t="s">
        <v>9465</v>
      </c>
      <c r="Z114" t="s">
        <v>9268</v>
      </c>
      <c r="AA114" t="str">
        <f t="shared" si="26"/>
        <v>NatGrdExt_NAM-4</v>
      </c>
      <c r="AB114" t="str">
        <f t="shared" si="27"/>
        <v>Grid Extension -Namibia- Step 4</v>
      </c>
      <c r="AC114" t="s">
        <v>29</v>
      </c>
      <c r="AD114" t="s">
        <v>30</v>
      </c>
      <c r="AE114" t="s">
        <v>9465</v>
      </c>
      <c r="AG114" t="s">
        <v>9268</v>
      </c>
      <c r="AH114" t="str">
        <f t="shared" si="28"/>
        <v>NatGrdExt_NAM-5</v>
      </c>
      <c r="AI114" t="str">
        <f t="shared" si="29"/>
        <v>Grid Extension -Namibia- Step 5</v>
      </c>
      <c r="AJ114" t="s">
        <v>29</v>
      </c>
      <c r="AK114" t="s">
        <v>30</v>
      </c>
      <c r="AL114" t="s">
        <v>9465</v>
      </c>
      <c r="AN114" t="s">
        <v>9268</v>
      </c>
      <c r="AO114" t="str">
        <f t="shared" si="30"/>
        <v>NatGrdExt_NAM-6</v>
      </c>
      <c r="AP114" t="str">
        <f t="shared" si="31"/>
        <v>Grid Extension -Namibia- Step 6</v>
      </c>
      <c r="AQ114" t="s">
        <v>29</v>
      </c>
      <c r="AR114" t="s">
        <v>30</v>
      </c>
      <c r="AS114" t="s">
        <v>9465</v>
      </c>
      <c r="AU114" t="s">
        <v>9268</v>
      </c>
      <c r="AV114" t="str">
        <f t="shared" si="32"/>
        <v>NatGrdExt_NAM-7</v>
      </c>
      <c r="AW114" t="str">
        <f t="shared" si="33"/>
        <v>Grid Extension -Namibia- Step 7</v>
      </c>
      <c r="AX114" t="s">
        <v>29</v>
      </c>
      <c r="AY114" t="s">
        <v>30</v>
      </c>
      <c r="AZ114" t="s">
        <v>9465</v>
      </c>
      <c r="BB114" t="s">
        <v>9268</v>
      </c>
      <c r="BC114" t="str">
        <f t="shared" si="34"/>
        <v>NatGrdExt_NAM-8</v>
      </c>
      <c r="BD114" t="str">
        <f t="shared" si="35"/>
        <v>Grid Extension -Namibia- Step 8</v>
      </c>
      <c r="BE114" t="s">
        <v>29</v>
      </c>
      <c r="BF114" t="s">
        <v>30</v>
      </c>
      <c r="BG114" t="s">
        <v>9465</v>
      </c>
      <c r="BI114" t="s">
        <v>9268</v>
      </c>
      <c r="BJ114" t="str">
        <f t="shared" si="36"/>
        <v>NatGrdExt_NAM-9</v>
      </c>
      <c r="BK114" t="str">
        <f t="shared" si="37"/>
        <v>Grid Extension -Namibia- Step 9</v>
      </c>
      <c r="BL114" t="s">
        <v>29</v>
      </c>
      <c r="BM114" t="s">
        <v>30</v>
      </c>
      <c r="BN114" t="s">
        <v>9465</v>
      </c>
      <c r="BP114" t="s">
        <v>9268</v>
      </c>
      <c r="BQ114" t="str">
        <f t="shared" si="38"/>
        <v>NatGrdExt_NAM-10</v>
      </c>
      <c r="BR114" t="str">
        <f t="shared" si="39"/>
        <v>Grid Extension -Namibia- Step 10</v>
      </c>
      <c r="BS114" t="s">
        <v>29</v>
      </c>
      <c r="BT114" t="s">
        <v>30</v>
      </c>
      <c r="BU114" t="s">
        <v>9465</v>
      </c>
    </row>
    <row r="115" spans="1:73">
      <c r="A115" s="4" t="s">
        <v>1317</v>
      </c>
      <c r="B115" s="4" t="s">
        <v>9573</v>
      </c>
      <c r="E115" t="s">
        <v>9268</v>
      </c>
      <c r="F115" t="str">
        <f t="shared" si="20"/>
        <v>NatGrdExt_NER-1</v>
      </c>
      <c r="G115" t="str">
        <f t="shared" si="21"/>
        <v>Grid Extension -Niger- Step 1</v>
      </c>
      <c r="H115" t="s">
        <v>29</v>
      </c>
      <c r="I115" t="s">
        <v>30</v>
      </c>
      <c r="J115" t="s">
        <v>9465</v>
      </c>
      <c r="L115" t="s">
        <v>9268</v>
      </c>
      <c r="M115" t="str">
        <f t="shared" si="22"/>
        <v>NatGrdExt_NER-2</v>
      </c>
      <c r="N115" t="str">
        <f t="shared" si="23"/>
        <v>Grid Extension -Niger- Step 2</v>
      </c>
      <c r="O115" t="s">
        <v>29</v>
      </c>
      <c r="P115" t="s">
        <v>30</v>
      </c>
      <c r="Q115" t="s">
        <v>9465</v>
      </c>
      <c r="S115" t="s">
        <v>9268</v>
      </c>
      <c r="T115" t="str">
        <f t="shared" si="24"/>
        <v>NatGrdExt_NER-3</v>
      </c>
      <c r="U115" t="str">
        <f t="shared" si="25"/>
        <v>Grid Extension -Niger- Step 3</v>
      </c>
      <c r="V115" t="s">
        <v>29</v>
      </c>
      <c r="W115" t="s">
        <v>30</v>
      </c>
      <c r="X115" t="s">
        <v>9465</v>
      </c>
      <c r="Z115" t="s">
        <v>9268</v>
      </c>
      <c r="AA115" t="str">
        <f t="shared" si="26"/>
        <v>NatGrdExt_NER-4</v>
      </c>
      <c r="AB115" t="str">
        <f t="shared" si="27"/>
        <v>Grid Extension -Niger- Step 4</v>
      </c>
      <c r="AC115" t="s">
        <v>29</v>
      </c>
      <c r="AD115" t="s">
        <v>30</v>
      </c>
      <c r="AE115" t="s">
        <v>9465</v>
      </c>
      <c r="AG115" t="s">
        <v>9268</v>
      </c>
      <c r="AH115" t="str">
        <f t="shared" si="28"/>
        <v>NatGrdExt_NER-5</v>
      </c>
      <c r="AI115" t="str">
        <f t="shared" si="29"/>
        <v>Grid Extension -Niger- Step 5</v>
      </c>
      <c r="AJ115" t="s">
        <v>29</v>
      </c>
      <c r="AK115" t="s">
        <v>30</v>
      </c>
      <c r="AL115" t="s">
        <v>9465</v>
      </c>
      <c r="AN115" t="s">
        <v>9268</v>
      </c>
      <c r="AO115" t="str">
        <f t="shared" si="30"/>
        <v>NatGrdExt_NER-6</v>
      </c>
      <c r="AP115" t="str">
        <f t="shared" si="31"/>
        <v>Grid Extension -Niger- Step 6</v>
      </c>
      <c r="AQ115" t="s">
        <v>29</v>
      </c>
      <c r="AR115" t="s">
        <v>30</v>
      </c>
      <c r="AS115" t="s">
        <v>9465</v>
      </c>
      <c r="AU115" t="s">
        <v>9268</v>
      </c>
      <c r="AV115" t="str">
        <f t="shared" si="32"/>
        <v>NatGrdExt_NER-7</v>
      </c>
      <c r="AW115" t="str">
        <f t="shared" si="33"/>
        <v>Grid Extension -Niger- Step 7</v>
      </c>
      <c r="AX115" t="s">
        <v>29</v>
      </c>
      <c r="AY115" t="s">
        <v>30</v>
      </c>
      <c r="AZ115" t="s">
        <v>9465</v>
      </c>
      <c r="BB115" t="s">
        <v>9268</v>
      </c>
      <c r="BC115" t="str">
        <f t="shared" si="34"/>
        <v>NatGrdExt_NER-8</v>
      </c>
      <c r="BD115" t="str">
        <f t="shared" si="35"/>
        <v>Grid Extension -Niger- Step 8</v>
      </c>
      <c r="BE115" t="s">
        <v>29</v>
      </c>
      <c r="BF115" t="s">
        <v>30</v>
      </c>
      <c r="BG115" t="s">
        <v>9465</v>
      </c>
      <c r="BI115" t="s">
        <v>9268</v>
      </c>
      <c r="BJ115" t="str">
        <f t="shared" si="36"/>
        <v>NatGrdExt_NER-9</v>
      </c>
      <c r="BK115" t="str">
        <f t="shared" si="37"/>
        <v>Grid Extension -Niger- Step 9</v>
      </c>
      <c r="BL115" t="s">
        <v>29</v>
      </c>
      <c r="BM115" t="s">
        <v>30</v>
      </c>
      <c r="BN115" t="s">
        <v>9465</v>
      </c>
      <c r="BP115" t="s">
        <v>9268</v>
      </c>
      <c r="BQ115" t="str">
        <f t="shared" si="38"/>
        <v>NatGrdExt_NER-10</v>
      </c>
      <c r="BR115" t="str">
        <f t="shared" si="39"/>
        <v>Grid Extension -Niger- Step 10</v>
      </c>
      <c r="BS115" t="s">
        <v>29</v>
      </c>
      <c r="BT115" t="s">
        <v>30</v>
      </c>
      <c r="BU115" t="s">
        <v>9465</v>
      </c>
    </row>
    <row r="116" spans="1:73">
      <c r="A116" s="4" t="s">
        <v>1323</v>
      </c>
      <c r="B116" s="4" t="s">
        <v>9574</v>
      </c>
      <c r="E116" t="s">
        <v>9268</v>
      </c>
      <c r="F116" t="str">
        <f t="shared" si="20"/>
        <v>NatGrdExt_NGA-1</v>
      </c>
      <c r="G116" t="str">
        <f t="shared" si="21"/>
        <v>Grid Extension -Nigeria- Step 1</v>
      </c>
      <c r="H116" t="s">
        <v>29</v>
      </c>
      <c r="I116" t="s">
        <v>30</v>
      </c>
      <c r="J116" t="s">
        <v>9465</v>
      </c>
      <c r="L116" t="s">
        <v>9268</v>
      </c>
      <c r="M116" t="str">
        <f t="shared" si="22"/>
        <v>NatGrdExt_NGA-2</v>
      </c>
      <c r="N116" t="str">
        <f t="shared" si="23"/>
        <v>Grid Extension -Nigeria- Step 2</v>
      </c>
      <c r="O116" t="s">
        <v>29</v>
      </c>
      <c r="P116" t="s">
        <v>30</v>
      </c>
      <c r="Q116" t="s">
        <v>9465</v>
      </c>
      <c r="S116" t="s">
        <v>9268</v>
      </c>
      <c r="T116" t="str">
        <f t="shared" si="24"/>
        <v>NatGrdExt_NGA-3</v>
      </c>
      <c r="U116" t="str">
        <f t="shared" si="25"/>
        <v>Grid Extension -Nigeria- Step 3</v>
      </c>
      <c r="V116" t="s">
        <v>29</v>
      </c>
      <c r="W116" t="s">
        <v>30</v>
      </c>
      <c r="X116" t="s">
        <v>9465</v>
      </c>
      <c r="Z116" t="s">
        <v>9268</v>
      </c>
      <c r="AA116" t="str">
        <f t="shared" si="26"/>
        <v>NatGrdExt_NGA-4</v>
      </c>
      <c r="AB116" t="str">
        <f t="shared" si="27"/>
        <v>Grid Extension -Nigeria- Step 4</v>
      </c>
      <c r="AC116" t="s">
        <v>29</v>
      </c>
      <c r="AD116" t="s">
        <v>30</v>
      </c>
      <c r="AE116" t="s">
        <v>9465</v>
      </c>
      <c r="AG116" t="s">
        <v>9268</v>
      </c>
      <c r="AH116" t="str">
        <f t="shared" si="28"/>
        <v>NatGrdExt_NGA-5</v>
      </c>
      <c r="AI116" t="str">
        <f t="shared" si="29"/>
        <v>Grid Extension -Nigeria- Step 5</v>
      </c>
      <c r="AJ116" t="s">
        <v>29</v>
      </c>
      <c r="AK116" t="s">
        <v>30</v>
      </c>
      <c r="AL116" t="s">
        <v>9465</v>
      </c>
      <c r="AN116" t="s">
        <v>9268</v>
      </c>
      <c r="AO116" t="str">
        <f t="shared" si="30"/>
        <v>NatGrdExt_NGA-6</v>
      </c>
      <c r="AP116" t="str">
        <f t="shared" si="31"/>
        <v>Grid Extension -Nigeria- Step 6</v>
      </c>
      <c r="AQ116" t="s">
        <v>29</v>
      </c>
      <c r="AR116" t="s">
        <v>30</v>
      </c>
      <c r="AS116" t="s">
        <v>9465</v>
      </c>
      <c r="AU116" t="s">
        <v>9268</v>
      </c>
      <c r="AV116" t="str">
        <f t="shared" si="32"/>
        <v>NatGrdExt_NGA-7</v>
      </c>
      <c r="AW116" t="str">
        <f t="shared" si="33"/>
        <v>Grid Extension -Nigeria- Step 7</v>
      </c>
      <c r="AX116" t="s">
        <v>29</v>
      </c>
      <c r="AY116" t="s">
        <v>30</v>
      </c>
      <c r="AZ116" t="s">
        <v>9465</v>
      </c>
      <c r="BB116" t="s">
        <v>9268</v>
      </c>
      <c r="BC116" t="str">
        <f t="shared" si="34"/>
        <v>NatGrdExt_NGA-8</v>
      </c>
      <c r="BD116" t="str">
        <f t="shared" si="35"/>
        <v>Grid Extension -Nigeria- Step 8</v>
      </c>
      <c r="BE116" t="s">
        <v>29</v>
      </c>
      <c r="BF116" t="s">
        <v>30</v>
      </c>
      <c r="BG116" t="s">
        <v>9465</v>
      </c>
      <c r="BI116" t="s">
        <v>9268</v>
      </c>
      <c r="BJ116" t="str">
        <f t="shared" si="36"/>
        <v>NatGrdExt_NGA-9</v>
      </c>
      <c r="BK116" t="str">
        <f t="shared" si="37"/>
        <v>Grid Extension -Nigeria- Step 9</v>
      </c>
      <c r="BL116" t="s">
        <v>29</v>
      </c>
      <c r="BM116" t="s">
        <v>30</v>
      </c>
      <c r="BN116" t="s">
        <v>9465</v>
      </c>
      <c r="BP116" t="s">
        <v>9268</v>
      </c>
      <c r="BQ116" t="str">
        <f t="shared" si="38"/>
        <v>NatGrdExt_NGA-10</v>
      </c>
      <c r="BR116" t="str">
        <f t="shared" si="39"/>
        <v>Grid Extension -Nigeria- Step 10</v>
      </c>
      <c r="BS116" t="s">
        <v>29</v>
      </c>
      <c r="BT116" t="s">
        <v>30</v>
      </c>
      <c r="BU116" t="s">
        <v>9465</v>
      </c>
    </row>
    <row r="117" spans="1:73">
      <c r="A117" s="4" t="s">
        <v>1337</v>
      </c>
      <c r="B117" s="4" t="s">
        <v>9575</v>
      </c>
      <c r="E117" t="s">
        <v>9268</v>
      </c>
      <c r="F117" t="str">
        <f t="shared" si="20"/>
        <v>NatGrdExt_NIC-1</v>
      </c>
      <c r="G117" t="str">
        <f t="shared" si="21"/>
        <v>Grid Extension -Nicaragua- Step 1</v>
      </c>
      <c r="H117" t="s">
        <v>29</v>
      </c>
      <c r="I117" t="s">
        <v>30</v>
      </c>
      <c r="J117" t="s">
        <v>9465</v>
      </c>
      <c r="L117" t="s">
        <v>9268</v>
      </c>
      <c r="M117" t="str">
        <f t="shared" si="22"/>
        <v>NatGrdExt_NIC-2</v>
      </c>
      <c r="N117" t="str">
        <f t="shared" si="23"/>
        <v>Grid Extension -Nicaragua- Step 2</v>
      </c>
      <c r="O117" t="s">
        <v>29</v>
      </c>
      <c r="P117" t="s">
        <v>30</v>
      </c>
      <c r="Q117" t="s">
        <v>9465</v>
      </c>
      <c r="S117" t="s">
        <v>9268</v>
      </c>
      <c r="T117" t="str">
        <f t="shared" si="24"/>
        <v>NatGrdExt_NIC-3</v>
      </c>
      <c r="U117" t="str">
        <f t="shared" si="25"/>
        <v>Grid Extension -Nicaragua- Step 3</v>
      </c>
      <c r="V117" t="s">
        <v>29</v>
      </c>
      <c r="W117" t="s">
        <v>30</v>
      </c>
      <c r="X117" t="s">
        <v>9465</v>
      </c>
      <c r="Z117" t="s">
        <v>9268</v>
      </c>
      <c r="AA117" t="str">
        <f t="shared" si="26"/>
        <v>NatGrdExt_NIC-4</v>
      </c>
      <c r="AB117" t="str">
        <f t="shared" si="27"/>
        <v>Grid Extension -Nicaragua- Step 4</v>
      </c>
      <c r="AC117" t="s">
        <v>29</v>
      </c>
      <c r="AD117" t="s">
        <v>30</v>
      </c>
      <c r="AE117" t="s">
        <v>9465</v>
      </c>
      <c r="AG117" t="s">
        <v>9268</v>
      </c>
      <c r="AH117" t="str">
        <f t="shared" si="28"/>
        <v>NatGrdExt_NIC-5</v>
      </c>
      <c r="AI117" t="str">
        <f t="shared" si="29"/>
        <v>Grid Extension -Nicaragua- Step 5</v>
      </c>
      <c r="AJ117" t="s">
        <v>29</v>
      </c>
      <c r="AK117" t="s">
        <v>30</v>
      </c>
      <c r="AL117" t="s">
        <v>9465</v>
      </c>
      <c r="AN117" t="s">
        <v>9268</v>
      </c>
      <c r="AO117" t="str">
        <f t="shared" si="30"/>
        <v>NatGrdExt_NIC-6</v>
      </c>
      <c r="AP117" t="str">
        <f t="shared" si="31"/>
        <v>Grid Extension -Nicaragua- Step 6</v>
      </c>
      <c r="AQ117" t="s">
        <v>29</v>
      </c>
      <c r="AR117" t="s">
        <v>30</v>
      </c>
      <c r="AS117" t="s">
        <v>9465</v>
      </c>
      <c r="AU117" t="s">
        <v>9268</v>
      </c>
      <c r="AV117" t="str">
        <f t="shared" si="32"/>
        <v>NatGrdExt_NIC-7</v>
      </c>
      <c r="AW117" t="str">
        <f t="shared" si="33"/>
        <v>Grid Extension -Nicaragua- Step 7</v>
      </c>
      <c r="AX117" t="s">
        <v>29</v>
      </c>
      <c r="AY117" t="s">
        <v>30</v>
      </c>
      <c r="AZ117" t="s">
        <v>9465</v>
      </c>
      <c r="BB117" t="s">
        <v>9268</v>
      </c>
      <c r="BC117" t="str">
        <f t="shared" si="34"/>
        <v>NatGrdExt_NIC-8</v>
      </c>
      <c r="BD117" t="str">
        <f t="shared" si="35"/>
        <v>Grid Extension -Nicaragua- Step 8</v>
      </c>
      <c r="BE117" t="s">
        <v>29</v>
      </c>
      <c r="BF117" t="s">
        <v>30</v>
      </c>
      <c r="BG117" t="s">
        <v>9465</v>
      </c>
      <c r="BI117" t="s">
        <v>9268</v>
      </c>
      <c r="BJ117" t="str">
        <f t="shared" si="36"/>
        <v>NatGrdExt_NIC-9</v>
      </c>
      <c r="BK117" t="str">
        <f t="shared" si="37"/>
        <v>Grid Extension -Nicaragua- Step 9</v>
      </c>
      <c r="BL117" t="s">
        <v>29</v>
      </c>
      <c r="BM117" t="s">
        <v>30</v>
      </c>
      <c r="BN117" t="s">
        <v>9465</v>
      </c>
      <c r="BP117" t="s">
        <v>9268</v>
      </c>
      <c r="BQ117" t="str">
        <f t="shared" si="38"/>
        <v>NatGrdExt_NIC-10</v>
      </c>
      <c r="BR117" t="str">
        <f t="shared" si="39"/>
        <v>Grid Extension -Nicaragua- Step 10</v>
      </c>
      <c r="BS117" t="s">
        <v>29</v>
      </c>
      <c r="BT117" t="s">
        <v>30</v>
      </c>
      <c r="BU117" t="s">
        <v>9465</v>
      </c>
    </row>
    <row r="118" spans="1:73">
      <c r="A118" s="4" t="s">
        <v>1355</v>
      </c>
      <c r="B118" s="4" t="s">
        <v>9576</v>
      </c>
      <c r="E118" t="s">
        <v>9268</v>
      </c>
      <c r="F118" t="str">
        <f t="shared" si="20"/>
        <v>NatGrdExt_NLD-1</v>
      </c>
      <c r="G118" t="str">
        <f t="shared" si="21"/>
        <v>Grid Extension -Netherlands- Step 1</v>
      </c>
      <c r="H118" t="s">
        <v>29</v>
      </c>
      <c r="I118" t="s">
        <v>30</v>
      </c>
      <c r="J118" t="s">
        <v>9465</v>
      </c>
      <c r="L118" t="s">
        <v>9268</v>
      </c>
      <c r="M118" t="str">
        <f t="shared" si="22"/>
        <v>NatGrdExt_NLD-2</v>
      </c>
      <c r="N118" t="str">
        <f t="shared" si="23"/>
        <v>Grid Extension -Netherlands- Step 2</v>
      </c>
      <c r="O118" t="s">
        <v>29</v>
      </c>
      <c r="P118" t="s">
        <v>30</v>
      </c>
      <c r="Q118" t="s">
        <v>9465</v>
      </c>
      <c r="S118" t="s">
        <v>9268</v>
      </c>
      <c r="T118" t="str">
        <f t="shared" si="24"/>
        <v>NatGrdExt_NLD-3</v>
      </c>
      <c r="U118" t="str">
        <f t="shared" si="25"/>
        <v>Grid Extension -Netherlands- Step 3</v>
      </c>
      <c r="V118" t="s">
        <v>29</v>
      </c>
      <c r="W118" t="s">
        <v>30</v>
      </c>
      <c r="X118" t="s">
        <v>9465</v>
      </c>
      <c r="Z118" t="s">
        <v>9268</v>
      </c>
      <c r="AA118" t="str">
        <f t="shared" si="26"/>
        <v>NatGrdExt_NLD-4</v>
      </c>
      <c r="AB118" t="str">
        <f t="shared" si="27"/>
        <v>Grid Extension -Netherlands- Step 4</v>
      </c>
      <c r="AC118" t="s">
        <v>29</v>
      </c>
      <c r="AD118" t="s">
        <v>30</v>
      </c>
      <c r="AE118" t="s">
        <v>9465</v>
      </c>
      <c r="AG118" t="s">
        <v>9268</v>
      </c>
      <c r="AH118" t="str">
        <f t="shared" si="28"/>
        <v>NatGrdExt_NLD-5</v>
      </c>
      <c r="AI118" t="str">
        <f t="shared" si="29"/>
        <v>Grid Extension -Netherlands- Step 5</v>
      </c>
      <c r="AJ118" t="s">
        <v>29</v>
      </c>
      <c r="AK118" t="s">
        <v>30</v>
      </c>
      <c r="AL118" t="s">
        <v>9465</v>
      </c>
      <c r="AN118" t="s">
        <v>9268</v>
      </c>
      <c r="AO118" t="str">
        <f t="shared" si="30"/>
        <v>NatGrdExt_NLD-6</v>
      </c>
      <c r="AP118" t="str">
        <f t="shared" si="31"/>
        <v>Grid Extension -Netherlands- Step 6</v>
      </c>
      <c r="AQ118" t="s">
        <v>29</v>
      </c>
      <c r="AR118" t="s">
        <v>30</v>
      </c>
      <c r="AS118" t="s">
        <v>9465</v>
      </c>
      <c r="AU118" t="s">
        <v>9268</v>
      </c>
      <c r="AV118" t="str">
        <f t="shared" si="32"/>
        <v>NatGrdExt_NLD-7</v>
      </c>
      <c r="AW118" t="str">
        <f t="shared" si="33"/>
        <v>Grid Extension -Netherlands- Step 7</v>
      </c>
      <c r="AX118" t="s">
        <v>29</v>
      </c>
      <c r="AY118" t="s">
        <v>30</v>
      </c>
      <c r="AZ118" t="s">
        <v>9465</v>
      </c>
      <c r="BB118" t="s">
        <v>9268</v>
      </c>
      <c r="BC118" t="str">
        <f t="shared" si="34"/>
        <v>NatGrdExt_NLD-8</v>
      </c>
      <c r="BD118" t="str">
        <f t="shared" si="35"/>
        <v>Grid Extension -Netherlands- Step 8</v>
      </c>
      <c r="BE118" t="s">
        <v>29</v>
      </c>
      <c r="BF118" t="s">
        <v>30</v>
      </c>
      <c r="BG118" t="s">
        <v>9465</v>
      </c>
      <c r="BI118" t="s">
        <v>9268</v>
      </c>
      <c r="BJ118" t="str">
        <f t="shared" si="36"/>
        <v>NatGrdExt_NLD-9</v>
      </c>
      <c r="BK118" t="str">
        <f t="shared" si="37"/>
        <v>Grid Extension -Netherlands- Step 9</v>
      </c>
      <c r="BL118" t="s">
        <v>29</v>
      </c>
      <c r="BM118" t="s">
        <v>30</v>
      </c>
      <c r="BN118" t="s">
        <v>9465</v>
      </c>
      <c r="BP118" t="s">
        <v>9268</v>
      </c>
      <c r="BQ118" t="str">
        <f t="shared" si="38"/>
        <v>NatGrdExt_NLD-10</v>
      </c>
      <c r="BR118" t="str">
        <f t="shared" si="39"/>
        <v>Grid Extension -Netherlands- Step 10</v>
      </c>
      <c r="BS118" t="s">
        <v>29</v>
      </c>
      <c r="BT118" t="s">
        <v>30</v>
      </c>
      <c r="BU118" t="s">
        <v>9465</v>
      </c>
    </row>
    <row r="119" spans="1:73">
      <c r="A119" s="4" t="s">
        <v>1361</v>
      </c>
      <c r="B119" s="4" t="s">
        <v>9577</v>
      </c>
      <c r="E119" t="s">
        <v>9268</v>
      </c>
      <c r="F119" t="str">
        <f t="shared" si="20"/>
        <v>NatGrdExt_NOR-1</v>
      </c>
      <c r="G119" t="str">
        <f t="shared" si="21"/>
        <v>Grid Extension -Norway- Step 1</v>
      </c>
      <c r="H119" t="s">
        <v>29</v>
      </c>
      <c r="I119" t="s">
        <v>30</v>
      </c>
      <c r="J119" t="s">
        <v>9465</v>
      </c>
      <c r="L119" t="s">
        <v>9268</v>
      </c>
      <c r="M119" t="str">
        <f t="shared" si="22"/>
        <v>NatGrdExt_NOR-2</v>
      </c>
      <c r="N119" t="str">
        <f t="shared" si="23"/>
        <v>Grid Extension -Norway- Step 2</v>
      </c>
      <c r="O119" t="s">
        <v>29</v>
      </c>
      <c r="P119" t="s">
        <v>30</v>
      </c>
      <c r="Q119" t="s">
        <v>9465</v>
      </c>
      <c r="S119" t="s">
        <v>9268</v>
      </c>
      <c r="T119" t="str">
        <f t="shared" si="24"/>
        <v>NatGrdExt_NOR-3</v>
      </c>
      <c r="U119" t="str">
        <f t="shared" si="25"/>
        <v>Grid Extension -Norway- Step 3</v>
      </c>
      <c r="V119" t="s">
        <v>29</v>
      </c>
      <c r="W119" t="s">
        <v>30</v>
      </c>
      <c r="X119" t="s">
        <v>9465</v>
      </c>
      <c r="Z119" t="s">
        <v>9268</v>
      </c>
      <c r="AA119" t="str">
        <f t="shared" si="26"/>
        <v>NatGrdExt_NOR-4</v>
      </c>
      <c r="AB119" t="str">
        <f t="shared" si="27"/>
        <v>Grid Extension -Norway- Step 4</v>
      </c>
      <c r="AC119" t="s">
        <v>29</v>
      </c>
      <c r="AD119" t="s">
        <v>30</v>
      </c>
      <c r="AE119" t="s">
        <v>9465</v>
      </c>
      <c r="AG119" t="s">
        <v>9268</v>
      </c>
      <c r="AH119" t="str">
        <f t="shared" si="28"/>
        <v>NatGrdExt_NOR-5</v>
      </c>
      <c r="AI119" t="str">
        <f t="shared" si="29"/>
        <v>Grid Extension -Norway- Step 5</v>
      </c>
      <c r="AJ119" t="s">
        <v>29</v>
      </c>
      <c r="AK119" t="s">
        <v>30</v>
      </c>
      <c r="AL119" t="s">
        <v>9465</v>
      </c>
      <c r="AN119" t="s">
        <v>9268</v>
      </c>
      <c r="AO119" t="str">
        <f t="shared" si="30"/>
        <v>NatGrdExt_NOR-6</v>
      </c>
      <c r="AP119" t="str">
        <f t="shared" si="31"/>
        <v>Grid Extension -Norway- Step 6</v>
      </c>
      <c r="AQ119" t="s">
        <v>29</v>
      </c>
      <c r="AR119" t="s">
        <v>30</v>
      </c>
      <c r="AS119" t="s">
        <v>9465</v>
      </c>
      <c r="AU119" t="s">
        <v>9268</v>
      </c>
      <c r="AV119" t="str">
        <f t="shared" si="32"/>
        <v>NatGrdExt_NOR-7</v>
      </c>
      <c r="AW119" t="str">
        <f t="shared" si="33"/>
        <v>Grid Extension -Norway- Step 7</v>
      </c>
      <c r="AX119" t="s">
        <v>29</v>
      </c>
      <c r="AY119" t="s">
        <v>30</v>
      </c>
      <c r="AZ119" t="s">
        <v>9465</v>
      </c>
      <c r="BB119" t="s">
        <v>9268</v>
      </c>
      <c r="BC119" t="str">
        <f t="shared" si="34"/>
        <v>NatGrdExt_NOR-8</v>
      </c>
      <c r="BD119" t="str">
        <f t="shared" si="35"/>
        <v>Grid Extension -Norway- Step 8</v>
      </c>
      <c r="BE119" t="s">
        <v>29</v>
      </c>
      <c r="BF119" t="s">
        <v>30</v>
      </c>
      <c r="BG119" t="s">
        <v>9465</v>
      </c>
      <c r="BI119" t="s">
        <v>9268</v>
      </c>
      <c r="BJ119" t="str">
        <f t="shared" si="36"/>
        <v>NatGrdExt_NOR-9</v>
      </c>
      <c r="BK119" t="str">
        <f t="shared" si="37"/>
        <v>Grid Extension -Norway- Step 9</v>
      </c>
      <c r="BL119" t="s">
        <v>29</v>
      </c>
      <c r="BM119" t="s">
        <v>30</v>
      </c>
      <c r="BN119" t="s">
        <v>9465</v>
      </c>
      <c r="BP119" t="s">
        <v>9268</v>
      </c>
      <c r="BQ119" t="str">
        <f t="shared" si="38"/>
        <v>NatGrdExt_NOR-10</v>
      </c>
      <c r="BR119" t="str">
        <f t="shared" si="39"/>
        <v>Grid Extension -Norway- Step 10</v>
      </c>
      <c r="BS119" t="s">
        <v>29</v>
      </c>
      <c r="BT119" t="s">
        <v>30</v>
      </c>
      <c r="BU119" t="s">
        <v>9465</v>
      </c>
    </row>
    <row r="120" spans="1:73">
      <c r="A120" s="4" t="s">
        <v>1369</v>
      </c>
      <c r="B120" s="4" t="s">
        <v>9578</v>
      </c>
      <c r="E120" t="s">
        <v>9268</v>
      </c>
      <c r="F120" t="str">
        <f t="shared" si="20"/>
        <v>NatGrdExt_NPL-1</v>
      </c>
      <c r="G120" t="str">
        <f t="shared" si="21"/>
        <v>Grid Extension -Nepal- Step 1</v>
      </c>
      <c r="H120" t="s">
        <v>29</v>
      </c>
      <c r="I120" t="s">
        <v>30</v>
      </c>
      <c r="J120" t="s">
        <v>9465</v>
      </c>
      <c r="L120" t="s">
        <v>9268</v>
      </c>
      <c r="M120" t="str">
        <f t="shared" si="22"/>
        <v>NatGrdExt_NPL-2</v>
      </c>
      <c r="N120" t="str">
        <f t="shared" si="23"/>
        <v>Grid Extension -Nepal- Step 2</v>
      </c>
      <c r="O120" t="s">
        <v>29</v>
      </c>
      <c r="P120" t="s">
        <v>30</v>
      </c>
      <c r="Q120" t="s">
        <v>9465</v>
      </c>
      <c r="S120" t="s">
        <v>9268</v>
      </c>
      <c r="T120" t="str">
        <f t="shared" si="24"/>
        <v>NatGrdExt_NPL-3</v>
      </c>
      <c r="U120" t="str">
        <f t="shared" si="25"/>
        <v>Grid Extension -Nepal- Step 3</v>
      </c>
      <c r="V120" t="s">
        <v>29</v>
      </c>
      <c r="W120" t="s">
        <v>30</v>
      </c>
      <c r="X120" t="s">
        <v>9465</v>
      </c>
      <c r="Z120" t="s">
        <v>9268</v>
      </c>
      <c r="AA120" t="str">
        <f t="shared" si="26"/>
        <v>NatGrdExt_NPL-4</v>
      </c>
      <c r="AB120" t="str">
        <f t="shared" si="27"/>
        <v>Grid Extension -Nepal- Step 4</v>
      </c>
      <c r="AC120" t="s">
        <v>29</v>
      </c>
      <c r="AD120" t="s">
        <v>30</v>
      </c>
      <c r="AE120" t="s">
        <v>9465</v>
      </c>
      <c r="AG120" t="s">
        <v>9268</v>
      </c>
      <c r="AH120" t="str">
        <f t="shared" si="28"/>
        <v>NatGrdExt_NPL-5</v>
      </c>
      <c r="AI120" t="str">
        <f t="shared" si="29"/>
        <v>Grid Extension -Nepal- Step 5</v>
      </c>
      <c r="AJ120" t="s">
        <v>29</v>
      </c>
      <c r="AK120" t="s">
        <v>30</v>
      </c>
      <c r="AL120" t="s">
        <v>9465</v>
      </c>
      <c r="AN120" t="s">
        <v>9268</v>
      </c>
      <c r="AO120" t="str">
        <f t="shared" si="30"/>
        <v>NatGrdExt_NPL-6</v>
      </c>
      <c r="AP120" t="str">
        <f t="shared" si="31"/>
        <v>Grid Extension -Nepal- Step 6</v>
      </c>
      <c r="AQ120" t="s">
        <v>29</v>
      </c>
      <c r="AR120" t="s">
        <v>30</v>
      </c>
      <c r="AS120" t="s">
        <v>9465</v>
      </c>
      <c r="AU120" t="s">
        <v>9268</v>
      </c>
      <c r="AV120" t="str">
        <f t="shared" si="32"/>
        <v>NatGrdExt_NPL-7</v>
      </c>
      <c r="AW120" t="str">
        <f t="shared" si="33"/>
        <v>Grid Extension -Nepal- Step 7</v>
      </c>
      <c r="AX120" t="s">
        <v>29</v>
      </c>
      <c r="AY120" t="s">
        <v>30</v>
      </c>
      <c r="AZ120" t="s">
        <v>9465</v>
      </c>
      <c r="BB120" t="s">
        <v>9268</v>
      </c>
      <c r="BC120" t="str">
        <f t="shared" si="34"/>
        <v>NatGrdExt_NPL-8</v>
      </c>
      <c r="BD120" t="str">
        <f t="shared" si="35"/>
        <v>Grid Extension -Nepal- Step 8</v>
      </c>
      <c r="BE120" t="s">
        <v>29</v>
      </c>
      <c r="BF120" t="s">
        <v>30</v>
      </c>
      <c r="BG120" t="s">
        <v>9465</v>
      </c>
      <c r="BI120" t="s">
        <v>9268</v>
      </c>
      <c r="BJ120" t="str">
        <f t="shared" si="36"/>
        <v>NatGrdExt_NPL-9</v>
      </c>
      <c r="BK120" t="str">
        <f t="shared" si="37"/>
        <v>Grid Extension -Nepal- Step 9</v>
      </c>
      <c r="BL120" t="s">
        <v>29</v>
      </c>
      <c r="BM120" t="s">
        <v>30</v>
      </c>
      <c r="BN120" t="s">
        <v>9465</v>
      </c>
      <c r="BP120" t="s">
        <v>9268</v>
      </c>
      <c r="BQ120" t="str">
        <f t="shared" si="38"/>
        <v>NatGrdExt_NPL-10</v>
      </c>
      <c r="BR120" t="str">
        <f t="shared" si="39"/>
        <v>Grid Extension -Nepal- Step 10</v>
      </c>
      <c r="BS120" t="s">
        <v>29</v>
      </c>
      <c r="BT120" t="s">
        <v>30</v>
      </c>
      <c r="BU120" t="s">
        <v>9465</v>
      </c>
    </row>
    <row r="121" spans="1:73">
      <c r="A121" s="4" t="s">
        <v>1385</v>
      </c>
      <c r="B121" s="4" t="s">
        <v>9579</v>
      </c>
      <c r="E121" t="s">
        <v>9268</v>
      </c>
      <c r="F121" t="str">
        <f t="shared" si="20"/>
        <v>NatGrdExt_OMN-1</v>
      </c>
      <c r="G121" t="str">
        <f t="shared" si="21"/>
        <v>Grid Extension -Oman- Step 1</v>
      </c>
      <c r="H121" t="s">
        <v>29</v>
      </c>
      <c r="I121" t="s">
        <v>30</v>
      </c>
      <c r="J121" t="s">
        <v>9465</v>
      </c>
      <c r="L121" t="s">
        <v>9268</v>
      </c>
      <c r="M121" t="str">
        <f t="shared" si="22"/>
        <v>NatGrdExt_OMN-2</v>
      </c>
      <c r="N121" t="str">
        <f t="shared" si="23"/>
        <v>Grid Extension -Oman- Step 2</v>
      </c>
      <c r="O121" t="s">
        <v>29</v>
      </c>
      <c r="P121" t="s">
        <v>30</v>
      </c>
      <c r="Q121" t="s">
        <v>9465</v>
      </c>
      <c r="S121" t="s">
        <v>9268</v>
      </c>
      <c r="T121" t="str">
        <f t="shared" si="24"/>
        <v>NatGrdExt_OMN-3</v>
      </c>
      <c r="U121" t="str">
        <f t="shared" si="25"/>
        <v>Grid Extension -Oman- Step 3</v>
      </c>
      <c r="V121" t="s">
        <v>29</v>
      </c>
      <c r="W121" t="s">
        <v>30</v>
      </c>
      <c r="X121" t="s">
        <v>9465</v>
      </c>
      <c r="Z121" t="s">
        <v>9268</v>
      </c>
      <c r="AA121" t="str">
        <f t="shared" si="26"/>
        <v>NatGrdExt_OMN-4</v>
      </c>
      <c r="AB121" t="str">
        <f t="shared" si="27"/>
        <v>Grid Extension -Oman- Step 4</v>
      </c>
      <c r="AC121" t="s">
        <v>29</v>
      </c>
      <c r="AD121" t="s">
        <v>30</v>
      </c>
      <c r="AE121" t="s">
        <v>9465</v>
      </c>
      <c r="AG121" t="s">
        <v>9268</v>
      </c>
      <c r="AH121" t="str">
        <f t="shared" si="28"/>
        <v>NatGrdExt_OMN-5</v>
      </c>
      <c r="AI121" t="str">
        <f t="shared" si="29"/>
        <v>Grid Extension -Oman- Step 5</v>
      </c>
      <c r="AJ121" t="s">
        <v>29</v>
      </c>
      <c r="AK121" t="s">
        <v>30</v>
      </c>
      <c r="AL121" t="s">
        <v>9465</v>
      </c>
      <c r="AN121" t="s">
        <v>9268</v>
      </c>
      <c r="AO121" t="str">
        <f t="shared" si="30"/>
        <v>NatGrdExt_OMN-6</v>
      </c>
      <c r="AP121" t="str">
        <f t="shared" si="31"/>
        <v>Grid Extension -Oman- Step 6</v>
      </c>
      <c r="AQ121" t="s">
        <v>29</v>
      </c>
      <c r="AR121" t="s">
        <v>30</v>
      </c>
      <c r="AS121" t="s">
        <v>9465</v>
      </c>
      <c r="AU121" t="s">
        <v>9268</v>
      </c>
      <c r="AV121" t="str">
        <f t="shared" si="32"/>
        <v>NatGrdExt_OMN-7</v>
      </c>
      <c r="AW121" t="str">
        <f t="shared" si="33"/>
        <v>Grid Extension -Oman- Step 7</v>
      </c>
      <c r="AX121" t="s">
        <v>29</v>
      </c>
      <c r="AY121" t="s">
        <v>30</v>
      </c>
      <c r="AZ121" t="s">
        <v>9465</v>
      </c>
      <c r="BB121" t="s">
        <v>9268</v>
      </c>
      <c r="BC121" t="str">
        <f t="shared" si="34"/>
        <v>NatGrdExt_OMN-8</v>
      </c>
      <c r="BD121" t="str">
        <f t="shared" si="35"/>
        <v>Grid Extension -Oman- Step 8</v>
      </c>
      <c r="BE121" t="s">
        <v>29</v>
      </c>
      <c r="BF121" t="s">
        <v>30</v>
      </c>
      <c r="BG121" t="s">
        <v>9465</v>
      </c>
      <c r="BI121" t="s">
        <v>9268</v>
      </c>
      <c r="BJ121" t="str">
        <f t="shared" si="36"/>
        <v>NatGrdExt_OMN-9</v>
      </c>
      <c r="BK121" t="str">
        <f t="shared" si="37"/>
        <v>Grid Extension -Oman- Step 9</v>
      </c>
      <c r="BL121" t="s">
        <v>29</v>
      </c>
      <c r="BM121" t="s">
        <v>30</v>
      </c>
      <c r="BN121" t="s">
        <v>9465</v>
      </c>
      <c r="BP121" t="s">
        <v>9268</v>
      </c>
      <c r="BQ121" t="str">
        <f t="shared" si="38"/>
        <v>NatGrdExt_OMN-10</v>
      </c>
      <c r="BR121" t="str">
        <f t="shared" si="39"/>
        <v>Grid Extension -Oman- Step 10</v>
      </c>
      <c r="BS121" t="s">
        <v>29</v>
      </c>
      <c r="BT121" t="s">
        <v>30</v>
      </c>
      <c r="BU121" t="s">
        <v>9465</v>
      </c>
    </row>
    <row r="122" spans="1:73">
      <c r="A122" s="4" t="s">
        <v>1393</v>
      </c>
      <c r="B122" s="4" t="s">
        <v>9580</v>
      </c>
      <c r="E122" t="s">
        <v>9268</v>
      </c>
      <c r="F122" t="str">
        <f t="shared" si="20"/>
        <v>NatGrdExt_PAK-1</v>
      </c>
      <c r="G122" t="str">
        <f t="shared" si="21"/>
        <v>Grid Extension -Pakistan- Step 1</v>
      </c>
      <c r="H122" t="s">
        <v>29</v>
      </c>
      <c r="I122" t="s">
        <v>30</v>
      </c>
      <c r="J122" t="s">
        <v>9465</v>
      </c>
      <c r="L122" t="s">
        <v>9268</v>
      </c>
      <c r="M122" t="str">
        <f t="shared" si="22"/>
        <v>NatGrdExt_PAK-2</v>
      </c>
      <c r="N122" t="str">
        <f t="shared" si="23"/>
        <v>Grid Extension -Pakistan- Step 2</v>
      </c>
      <c r="O122" t="s">
        <v>29</v>
      </c>
      <c r="P122" t="s">
        <v>30</v>
      </c>
      <c r="Q122" t="s">
        <v>9465</v>
      </c>
      <c r="S122" t="s">
        <v>9268</v>
      </c>
      <c r="T122" t="str">
        <f t="shared" si="24"/>
        <v>NatGrdExt_PAK-3</v>
      </c>
      <c r="U122" t="str">
        <f t="shared" si="25"/>
        <v>Grid Extension -Pakistan- Step 3</v>
      </c>
      <c r="V122" t="s">
        <v>29</v>
      </c>
      <c r="W122" t="s">
        <v>30</v>
      </c>
      <c r="X122" t="s">
        <v>9465</v>
      </c>
      <c r="Z122" t="s">
        <v>9268</v>
      </c>
      <c r="AA122" t="str">
        <f t="shared" si="26"/>
        <v>NatGrdExt_PAK-4</v>
      </c>
      <c r="AB122" t="str">
        <f t="shared" si="27"/>
        <v>Grid Extension -Pakistan- Step 4</v>
      </c>
      <c r="AC122" t="s">
        <v>29</v>
      </c>
      <c r="AD122" t="s">
        <v>30</v>
      </c>
      <c r="AE122" t="s">
        <v>9465</v>
      </c>
      <c r="AG122" t="s">
        <v>9268</v>
      </c>
      <c r="AH122" t="str">
        <f t="shared" si="28"/>
        <v>NatGrdExt_PAK-5</v>
      </c>
      <c r="AI122" t="str">
        <f t="shared" si="29"/>
        <v>Grid Extension -Pakistan- Step 5</v>
      </c>
      <c r="AJ122" t="s">
        <v>29</v>
      </c>
      <c r="AK122" t="s">
        <v>30</v>
      </c>
      <c r="AL122" t="s">
        <v>9465</v>
      </c>
      <c r="AN122" t="s">
        <v>9268</v>
      </c>
      <c r="AO122" t="str">
        <f t="shared" si="30"/>
        <v>NatGrdExt_PAK-6</v>
      </c>
      <c r="AP122" t="str">
        <f t="shared" si="31"/>
        <v>Grid Extension -Pakistan- Step 6</v>
      </c>
      <c r="AQ122" t="s">
        <v>29</v>
      </c>
      <c r="AR122" t="s">
        <v>30</v>
      </c>
      <c r="AS122" t="s">
        <v>9465</v>
      </c>
      <c r="AU122" t="s">
        <v>9268</v>
      </c>
      <c r="AV122" t="str">
        <f t="shared" si="32"/>
        <v>NatGrdExt_PAK-7</v>
      </c>
      <c r="AW122" t="str">
        <f t="shared" si="33"/>
        <v>Grid Extension -Pakistan- Step 7</v>
      </c>
      <c r="AX122" t="s">
        <v>29</v>
      </c>
      <c r="AY122" t="s">
        <v>30</v>
      </c>
      <c r="AZ122" t="s">
        <v>9465</v>
      </c>
      <c r="BB122" t="s">
        <v>9268</v>
      </c>
      <c r="BC122" t="str">
        <f t="shared" si="34"/>
        <v>NatGrdExt_PAK-8</v>
      </c>
      <c r="BD122" t="str">
        <f t="shared" si="35"/>
        <v>Grid Extension -Pakistan- Step 8</v>
      </c>
      <c r="BE122" t="s">
        <v>29</v>
      </c>
      <c r="BF122" t="s">
        <v>30</v>
      </c>
      <c r="BG122" t="s">
        <v>9465</v>
      </c>
      <c r="BI122" t="s">
        <v>9268</v>
      </c>
      <c r="BJ122" t="str">
        <f t="shared" si="36"/>
        <v>NatGrdExt_PAK-9</v>
      </c>
      <c r="BK122" t="str">
        <f t="shared" si="37"/>
        <v>Grid Extension -Pakistan- Step 9</v>
      </c>
      <c r="BL122" t="s">
        <v>29</v>
      </c>
      <c r="BM122" t="s">
        <v>30</v>
      </c>
      <c r="BN122" t="s">
        <v>9465</v>
      </c>
      <c r="BP122" t="s">
        <v>9268</v>
      </c>
      <c r="BQ122" t="str">
        <f t="shared" si="38"/>
        <v>NatGrdExt_PAK-10</v>
      </c>
      <c r="BR122" t="str">
        <f t="shared" si="39"/>
        <v>Grid Extension -Pakistan- Step 10</v>
      </c>
      <c r="BS122" t="s">
        <v>29</v>
      </c>
      <c r="BT122" t="s">
        <v>30</v>
      </c>
      <c r="BU122" t="s">
        <v>9465</v>
      </c>
    </row>
    <row r="123" spans="1:73">
      <c r="A123" s="4" t="s">
        <v>1423</v>
      </c>
      <c r="B123" s="4" t="s">
        <v>9581</v>
      </c>
      <c r="E123" t="s">
        <v>9268</v>
      </c>
      <c r="F123" t="str">
        <f t="shared" si="20"/>
        <v>NatGrdExt_PAN-1</v>
      </c>
      <c r="G123" t="str">
        <f t="shared" si="21"/>
        <v>Grid Extension -Panama- Step 1</v>
      </c>
      <c r="H123" t="s">
        <v>29</v>
      </c>
      <c r="I123" t="s">
        <v>30</v>
      </c>
      <c r="J123" t="s">
        <v>9465</v>
      </c>
      <c r="L123" t="s">
        <v>9268</v>
      </c>
      <c r="M123" t="str">
        <f t="shared" si="22"/>
        <v>NatGrdExt_PAN-2</v>
      </c>
      <c r="N123" t="str">
        <f t="shared" si="23"/>
        <v>Grid Extension -Panama- Step 2</v>
      </c>
      <c r="O123" t="s">
        <v>29</v>
      </c>
      <c r="P123" t="s">
        <v>30</v>
      </c>
      <c r="Q123" t="s">
        <v>9465</v>
      </c>
      <c r="S123" t="s">
        <v>9268</v>
      </c>
      <c r="T123" t="str">
        <f t="shared" si="24"/>
        <v>NatGrdExt_PAN-3</v>
      </c>
      <c r="U123" t="str">
        <f t="shared" si="25"/>
        <v>Grid Extension -Panama- Step 3</v>
      </c>
      <c r="V123" t="s">
        <v>29</v>
      </c>
      <c r="W123" t="s">
        <v>30</v>
      </c>
      <c r="X123" t="s">
        <v>9465</v>
      </c>
      <c r="Z123" t="s">
        <v>9268</v>
      </c>
      <c r="AA123" t="str">
        <f t="shared" si="26"/>
        <v>NatGrdExt_PAN-4</v>
      </c>
      <c r="AB123" t="str">
        <f t="shared" si="27"/>
        <v>Grid Extension -Panama- Step 4</v>
      </c>
      <c r="AC123" t="s">
        <v>29</v>
      </c>
      <c r="AD123" t="s">
        <v>30</v>
      </c>
      <c r="AE123" t="s">
        <v>9465</v>
      </c>
      <c r="AG123" t="s">
        <v>9268</v>
      </c>
      <c r="AH123" t="str">
        <f t="shared" si="28"/>
        <v>NatGrdExt_PAN-5</v>
      </c>
      <c r="AI123" t="str">
        <f t="shared" si="29"/>
        <v>Grid Extension -Panama- Step 5</v>
      </c>
      <c r="AJ123" t="s">
        <v>29</v>
      </c>
      <c r="AK123" t="s">
        <v>30</v>
      </c>
      <c r="AL123" t="s">
        <v>9465</v>
      </c>
      <c r="AN123" t="s">
        <v>9268</v>
      </c>
      <c r="AO123" t="str">
        <f t="shared" si="30"/>
        <v>NatGrdExt_PAN-6</v>
      </c>
      <c r="AP123" t="str">
        <f t="shared" si="31"/>
        <v>Grid Extension -Panama- Step 6</v>
      </c>
      <c r="AQ123" t="s">
        <v>29</v>
      </c>
      <c r="AR123" t="s">
        <v>30</v>
      </c>
      <c r="AS123" t="s">
        <v>9465</v>
      </c>
      <c r="AU123" t="s">
        <v>9268</v>
      </c>
      <c r="AV123" t="str">
        <f t="shared" si="32"/>
        <v>NatGrdExt_PAN-7</v>
      </c>
      <c r="AW123" t="str">
        <f t="shared" si="33"/>
        <v>Grid Extension -Panama- Step 7</v>
      </c>
      <c r="AX123" t="s">
        <v>29</v>
      </c>
      <c r="AY123" t="s">
        <v>30</v>
      </c>
      <c r="AZ123" t="s">
        <v>9465</v>
      </c>
      <c r="BB123" t="s">
        <v>9268</v>
      </c>
      <c r="BC123" t="str">
        <f t="shared" si="34"/>
        <v>NatGrdExt_PAN-8</v>
      </c>
      <c r="BD123" t="str">
        <f t="shared" si="35"/>
        <v>Grid Extension -Panama- Step 8</v>
      </c>
      <c r="BE123" t="s">
        <v>29</v>
      </c>
      <c r="BF123" t="s">
        <v>30</v>
      </c>
      <c r="BG123" t="s">
        <v>9465</v>
      </c>
      <c r="BI123" t="s">
        <v>9268</v>
      </c>
      <c r="BJ123" t="str">
        <f t="shared" si="36"/>
        <v>NatGrdExt_PAN-9</v>
      </c>
      <c r="BK123" t="str">
        <f t="shared" si="37"/>
        <v>Grid Extension -Panama- Step 9</v>
      </c>
      <c r="BL123" t="s">
        <v>29</v>
      </c>
      <c r="BM123" t="s">
        <v>30</v>
      </c>
      <c r="BN123" t="s">
        <v>9465</v>
      </c>
      <c r="BP123" t="s">
        <v>9268</v>
      </c>
      <c r="BQ123" t="str">
        <f t="shared" si="38"/>
        <v>NatGrdExt_PAN-10</v>
      </c>
      <c r="BR123" t="str">
        <f t="shared" si="39"/>
        <v>Grid Extension -Panama- Step 10</v>
      </c>
      <c r="BS123" t="s">
        <v>29</v>
      </c>
      <c r="BT123" t="s">
        <v>30</v>
      </c>
      <c r="BU123" t="s">
        <v>9465</v>
      </c>
    </row>
    <row r="124" spans="1:73">
      <c r="A124" s="4" t="s">
        <v>1433</v>
      </c>
      <c r="B124" s="4" t="s">
        <v>9582</v>
      </c>
      <c r="E124" t="s">
        <v>9268</v>
      </c>
      <c r="F124" t="str">
        <f t="shared" si="20"/>
        <v>NatGrdExt_PER-1</v>
      </c>
      <c r="G124" t="str">
        <f t="shared" si="21"/>
        <v>Grid Extension -Peru- Step 1</v>
      </c>
      <c r="H124" t="s">
        <v>29</v>
      </c>
      <c r="I124" t="s">
        <v>30</v>
      </c>
      <c r="J124" t="s">
        <v>9465</v>
      </c>
      <c r="L124" t="s">
        <v>9268</v>
      </c>
      <c r="M124" t="str">
        <f t="shared" si="22"/>
        <v>NatGrdExt_PER-2</v>
      </c>
      <c r="N124" t="str">
        <f t="shared" si="23"/>
        <v>Grid Extension -Peru- Step 2</v>
      </c>
      <c r="O124" t="s">
        <v>29</v>
      </c>
      <c r="P124" t="s">
        <v>30</v>
      </c>
      <c r="Q124" t="s">
        <v>9465</v>
      </c>
      <c r="S124" t="s">
        <v>9268</v>
      </c>
      <c r="T124" t="str">
        <f t="shared" si="24"/>
        <v>NatGrdExt_PER-3</v>
      </c>
      <c r="U124" t="str">
        <f t="shared" si="25"/>
        <v>Grid Extension -Peru- Step 3</v>
      </c>
      <c r="V124" t="s">
        <v>29</v>
      </c>
      <c r="W124" t="s">
        <v>30</v>
      </c>
      <c r="X124" t="s">
        <v>9465</v>
      </c>
      <c r="Z124" t="s">
        <v>9268</v>
      </c>
      <c r="AA124" t="str">
        <f t="shared" si="26"/>
        <v>NatGrdExt_PER-4</v>
      </c>
      <c r="AB124" t="str">
        <f t="shared" si="27"/>
        <v>Grid Extension -Peru- Step 4</v>
      </c>
      <c r="AC124" t="s">
        <v>29</v>
      </c>
      <c r="AD124" t="s">
        <v>30</v>
      </c>
      <c r="AE124" t="s">
        <v>9465</v>
      </c>
      <c r="AG124" t="s">
        <v>9268</v>
      </c>
      <c r="AH124" t="str">
        <f t="shared" si="28"/>
        <v>NatGrdExt_PER-5</v>
      </c>
      <c r="AI124" t="str">
        <f t="shared" si="29"/>
        <v>Grid Extension -Peru- Step 5</v>
      </c>
      <c r="AJ124" t="s">
        <v>29</v>
      </c>
      <c r="AK124" t="s">
        <v>30</v>
      </c>
      <c r="AL124" t="s">
        <v>9465</v>
      </c>
      <c r="AN124" t="s">
        <v>9268</v>
      </c>
      <c r="AO124" t="str">
        <f t="shared" si="30"/>
        <v>NatGrdExt_PER-6</v>
      </c>
      <c r="AP124" t="str">
        <f t="shared" si="31"/>
        <v>Grid Extension -Peru- Step 6</v>
      </c>
      <c r="AQ124" t="s">
        <v>29</v>
      </c>
      <c r="AR124" t="s">
        <v>30</v>
      </c>
      <c r="AS124" t="s">
        <v>9465</v>
      </c>
      <c r="AU124" t="s">
        <v>9268</v>
      </c>
      <c r="AV124" t="str">
        <f t="shared" si="32"/>
        <v>NatGrdExt_PER-7</v>
      </c>
      <c r="AW124" t="str">
        <f t="shared" si="33"/>
        <v>Grid Extension -Peru- Step 7</v>
      </c>
      <c r="AX124" t="s">
        <v>29</v>
      </c>
      <c r="AY124" t="s">
        <v>30</v>
      </c>
      <c r="AZ124" t="s">
        <v>9465</v>
      </c>
      <c r="BB124" t="s">
        <v>9268</v>
      </c>
      <c r="BC124" t="str">
        <f t="shared" si="34"/>
        <v>NatGrdExt_PER-8</v>
      </c>
      <c r="BD124" t="str">
        <f t="shared" si="35"/>
        <v>Grid Extension -Peru- Step 8</v>
      </c>
      <c r="BE124" t="s">
        <v>29</v>
      </c>
      <c r="BF124" t="s">
        <v>30</v>
      </c>
      <c r="BG124" t="s">
        <v>9465</v>
      </c>
      <c r="BI124" t="s">
        <v>9268</v>
      </c>
      <c r="BJ124" t="str">
        <f t="shared" si="36"/>
        <v>NatGrdExt_PER-9</v>
      </c>
      <c r="BK124" t="str">
        <f t="shared" si="37"/>
        <v>Grid Extension -Peru- Step 9</v>
      </c>
      <c r="BL124" t="s">
        <v>29</v>
      </c>
      <c r="BM124" t="s">
        <v>30</v>
      </c>
      <c r="BN124" t="s">
        <v>9465</v>
      </c>
      <c r="BP124" t="s">
        <v>9268</v>
      </c>
      <c r="BQ124" t="str">
        <f t="shared" si="38"/>
        <v>NatGrdExt_PER-10</v>
      </c>
      <c r="BR124" t="str">
        <f t="shared" si="39"/>
        <v>Grid Extension -Peru- Step 10</v>
      </c>
      <c r="BS124" t="s">
        <v>29</v>
      </c>
      <c r="BT124" t="s">
        <v>30</v>
      </c>
      <c r="BU124" t="s">
        <v>9465</v>
      </c>
    </row>
    <row r="125" spans="1:73">
      <c r="A125" s="4" t="s">
        <v>1467</v>
      </c>
      <c r="B125" s="4" t="s">
        <v>9583</v>
      </c>
      <c r="E125" t="s">
        <v>9268</v>
      </c>
      <c r="F125" t="str">
        <f t="shared" si="20"/>
        <v>NatGrdExt_PHL-1</v>
      </c>
      <c r="G125" t="str">
        <f t="shared" si="21"/>
        <v>Grid Extension -Philippines- Step 1</v>
      </c>
      <c r="H125" t="s">
        <v>29</v>
      </c>
      <c r="I125" t="s">
        <v>30</v>
      </c>
      <c r="J125" t="s">
        <v>9465</v>
      </c>
      <c r="L125" t="s">
        <v>9268</v>
      </c>
      <c r="M125" t="str">
        <f t="shared" si="22"/>
        <v>NatGrdExt_PHL-2</v>
      </c>
      <c r="N125" t="str">
        <f t="shared" si="23"/>
        <v>Grid Extension -Philippines- Step 2</v>
      </c>
      <c r="O125" t="s">
        <v>29</v>
      </c>
      <c r="P125" t="s">
        <v>30</v>
      </c>
      <c r="Q125" t="s">
        <v>9465</v>
      </c>
      <c r="S125" t="s">
        <v>9268</v>
      </c>
      <c r="T125" t="str">
        <f t="shared" si="24"/>
        <v>NatGrdExt_PHL-3</v>
      </c>
      <c r="U125" t="str">
        <f t="shared" si="25"/>
        <v>Grid Extension -Philippines- Step 3</v>
      </c>
      <c r="V125" t="s">
        <v>29</v>
      </c>
      <c r="W125" t="s">
        <v>30</v>
      </c>
      <c r="X125" t="s">
        <v>9465</v>
      </c>
      <c r="Z125" t="s">
        <v>9268</v>
      </c>
      <c r="AA125" t="str">
        <f t="shared" si="26"/>
        <v>NatGrdExt_PHL-4</v>
      </c>
      <c r="AB125" t="str">
        <f t="shared" si="27"/>
        <v>Grid Extension -Philippines- Step 4</v>
      </c>
      <c r="AC125" t="s">
        <v>29</v>
      </c>
      <c r="AD125" t="s">
        <v>30</v>
      </c>
      <c r="AE125" t="s">
        <v>9465</v>
      </c>
      <c r="AG125" t="s">
        <v>9268</v>
      </c>
      <c r="AH125" t="str">
        <f t="shared" si="28"/>
        <v>NatGrdExt_PHL-5</v>
      </c>
      <c r="AI125" t="str">
        <f t="shared" si="29"/>
        <v>Grid Extension -Philippines- Step 5</v>
      </c>
      <c r="AJ125" t="s">
        <v>29</v>
      </c>
      <c r="AK125" t="s">
        <v>30</v>
      </c>
      <c r="AL125" t="s">
        <v>9465</v>
      </c>
      <c r="AN125" t="s">
        <v>9268</v>
      </c>
      <c r="AO125" t="str">
        <f t="shared" si="30"/>
        <v>NatGrdExt_PHL-6</v>
      </c>
      <c r="AP125" t="str">
        <f t="shared" si="31"/>
        <v>Grid Extension -Philippines- Step 6</v>
      </c>
      <c r="AQ125" t="s">
        <v>29</v>
      </c>
      <c r="AR125" t="s">
        <v>30</v>
      </c>
      <c r="AS125" t="s">
        <v>9465</v>
      </c>
      <c r="AU125" t="s">
        <v>9268</v>
      </c>
      <c r="AV125" t="str">
        <f t="shared" si="32"/>
        <v>NatGrdExt_PHL-7</v>
      </c>
      <c r="AW125" t="str">
        <f t="shared" si="33"/>
        <v>Grid Extension -Philippines- Step 7</v>
      </c>
      <c r="AX125" t="s">
        <v>29</v>
      </c>
      <c r="AY125" t="s">
        <v>30</v>
      </c>
      <c r="AZ125" t="s">
        <v>9465</v>
      </c>
      <c r="BB125" t="s">
        <v>9268</v>
      </c>
      <c r="BC125" t="str">
        <f t="shared" si="34"/>
        <v>NatGrdExt_PHL-8</v>
      </c>
      <c r="BD125" t="str">
        <f t="shared" si="35"/>
        <v>Grid Extension -Philippines- Step 8</v>
      </c>
      <c r="BE125" t="s">
        <v>29</v>
      </c>
      <c r="BF125" t="s">
        <v>30</v>
      </c>
      <c r="BG125" t="s">
        <v>9465</v>
      </c>
      <c r="BI125" t="s">
        <v>9268</v>
      </c>
      <c r="BJ125" t="str">
        <f t="shared" si="36"/>
        <v>NatGrdExt_PHL-9</v>
      </c>
      <c r="BK125" t="str">
        <f t="shared" si="37"/>
        <v>Grid Extension -Philippines- Step 9</v>
      </c>
      <c r="BL125" t="s">
        <v>29</v>
      </c>
      <c r="BM125" t="s">
        <v>30</v>
      </c>
      <c r="BN125" t="s">
        <v>9465</v>
      </c>
      <c r="BP125" t="s">
        <v>9268</v>
      </c>
      <c r="BQ125" t="str">
        <f t="shared" si="38"/>
        <v>NatGrdExt_PHL-10</v>
      </c>
      <c r="BR125" t="str">
        <f t="shared" si="39"/>
        <v>Grid Extension -Philippines- Step 10</v>
      </c>
      <c r="BS125" t="s">
        <v>29</v>
      </c>
      <c r="BT125" t="s">
        <v>30</v>
      </c>
      <c r="BU125" t="s">
        <v>9465</v>
      </c>
    </row>
    <row r="126" spans="1:73">
      <c r="A126" s="4" t="s">
        <v>1489</v>
      </c>
      <c r="B126" s="4" t="s">
        <v>9584</v>
      </c>
      <c r="E126" t="s">
        <v>9268</v>
      </c>
      <c r="F126" t="str">
        <f t="shared" si="20"/>
        <v>NatGrdExt_PNG-1</v>
      </c>
      <c r="G126" t="str">
        <f t="shared" si="21"/>
        <v>Grid Extension -Papua New Guinea- Step 1</v>
      </c>
      <c r="H126" t="s">
        <v>29</v>
      </c>
      <c r="I126" t="s">
        <v>30</v>
      </c>
      <c r="J126" t="s">
        <v>9465</v>
      </c>
      <c r="L126" t="s">
        <v>9268</v>
      </c>
      <c r="M126" t="str">
        <f t="shared" si="22"/>
        <v>NatGrdExt_PNG-2</v>
      </c>
      <c r="N126" t="str">
        <f t="shared" si="23"/>
        <v>Grid Extension -Papua New Guinea- Step 2</v>
      </c>
      <c r="O126" t="s">
        <v>29</v>
      </c>
      <c r="P126" t="s">
        <v>30</v>
      </c>
      <c r="Q126" t="s">
        <v>9465</v>
      </c>
      <c r="S126" t="s">
        <v>9268</v>
      </c>
      <c r="T126" t="str">
        <f t="shared" si="24"/>
        <v>NatGrdExt_PNG-3</v>
      </c>
      <c r="U126" t="str">
        <f t="shared" si="25"/>
        <v>Grid Extension -Papua New Guinea- Step 3</v>
      </c>
      <c r="V126" t="s">
        <v>29</v>
      </c>
      <c r="W126" t="s">
        <v>30</v>
      </c>
      <c r="X126" t="s">
        <v>9465</v>
      </c>
      <c r="Z126" t="s">
        <v>9268</v>
      </c>
      <c r="AA126" t="str">
        <f t="shared" si="26"/>
        <v>NatGrdExt_PNG-4</v>
      </c>
      <c r="AB126" t="str">
        <f t="shared" si="27"/>
        <v>Grid Extension -Papua New Guinea- Step 4</v>
      </c>
      <c r="AC126" t="s">
        <v>29</v>
      </c>
      <c r="AD126" t="s">
        <v>30</v>
      </c>
      <c r="AE126" t="s">
        <v>9465</v>
      </c>
      <c r="AG126" t="s">
        <v>9268</v>
      </c>
      <c r="AH126" t="str">
        <f t="shared" si="28"/>
        <v>NatGrdExt_PNG-5</v>
      </c>
      <c r="AI126" t="str">
        <f t="shared" si="29"/>
        <v>Grid Extension -Papua New Guinea- Step 5</v>
      </c>
      <c r="AJ126" t="s">
        <v>29</v>
      </c>
      <c r="AK126" t="s">
        <v>30</v>
      </c>
      <c r="AL126" t="s">
        <v>9465</v>
      </c>
      <c r="AN126" t="s">
        <v>9268</v>
      </c>
      <c r="AO126" t="str">
        <f t="shared" si="30"/>
        <v>NatGrdExt_PNG-6</v>
      </c>
      <c r="AP126" t="str">
        <f t="shared" si="31"/>
        <v>Grid Extension -Papua New Guinea- Step 6</v>
      </c>
      <c r="AQ126" t="s">
        <v>29</v>
      </c>
      <c r="AR126" t="s">
        <v>30</v>
      </c>
      <c r="AS126" t="s">
        <v>9465</v>
      </c>
      <c r="AU126" t="s">
        <v>9268</v>
      </c>
      <c r="AV126" t="str">
        <f t="shared" si="32"/>
        <v>NatGrdExt_PNG-7</v>
      </c>
      <c r="AW126" t="str">
        <f t="shared" si="33"/>
        <v>Grid Extension -Papua New Guinea- Step 7</v>
      </c>
      <c r="AX126" t="s">
        <v>29</v>
      </c>
      <c r="AY126" t="s">
        <v>30</v>
      </c>
      <c r="AZ126" t="s">
        <v>9465</v>
      </c>
      <c r="BB126" t="s">
        <v>9268</v>
      </c>
      <c r="BC126" t="str">
        <f t="shared" si="34"/>
        <v>NatGrdExt_PNG-8</v>
      </c>
      <c r="BD126" t="str">
        <f t="shared" si="35"/>
        <v>Grid Extension -Papua New Guinea- Step 8</v>
      </c>
      <c r="BE126" t="s">
        <v>29</v>
      </c>
      <c r="BF126" t="s">
        <v>30</v>
      </c>
      <c r="BG126" t="s">
        <v>9465</v>
      </c>
      <c r="BI126" t="s">
        <v>9268</v>
      </c>
      <c r="BJ126" t="str">
        <f t="shared" si="36"/>
        <v>NatGrdExt_PNG-9</v>
      </c>
      <c r="BK126" t="str">
        <f t="shared" si="37"/>
        <v>Grid Extension -Papua New Guinea- Step 9</v>
      </c>
      <c r="BL126" t="s">
        <v>29</v>
      </c>
      <c r="BM126" t="s">
        <v>30</v>
      </c>
      <c r="BN126" t="s">
        <v>9465</v>
      </c>
      <c r="BP126" t="s">
        <v>9268</v>
      </c>
      <c r="BQ126" t="str">
        <f t="shared" si="38"/>
        <v>NatGrdExt_PNG-10</v>
      </c>
      <c r="BR126" t="str">
        <f t="shared" si="39"/>
        <v>Grid Extension -Papua New Guinea- Step 10</v>
      </c>
      <c r="BS126" t="s">
        <v>29</v>
      </c>
      <c r="BT126" t="s">
        <v>30</v>
      </c>
      <c r="BU126" t="s">
        <v>9465</v>
      </c>
    </row>
    <row r="127" spans="1:73">
      <c r="A127" s="4" t="s">
        <v>1515</v>
      </c>
      <c r="B127" s="4" t="s">
        <v>9585</v>
      </c>
      <c r="E127" t="s">
        <v>9268</v>
      </c>
      <c r="F127" t="str">
        <f t="shared" si="20"/>
        <v>NatGrdExt_POL-1</v>
      </c>
      <c r="G127" t="str">
        <f t="shared" si="21"/>
        <v>Grid Extension -Poland- Step 1</v>
      </c>
      <c r="H127" t="s">
        <v>29</v>
      </c>
      <c r="I127" t="s">
        <v>30</v>
      </c>
      <c r="J127" t="s">
        <v>9465</v>
      </c>
      <c r="L127" t="s">
        <v>9268</v>
      </c>
      <c r="M127" t="str">
        <f t="shared" si="22"/>
        <v>NatGrdExt_POL-2</v>
      </c>
      <c r="N127" t="str">
        <f t="shared" si="23"/>
        <v>Grid Extension -Poland- Step 2</v>
      </c>
      <c r="O127" t="s">
        <v>29</v>
      </c>
      <c r="P127" t="s">
        <v>30</v>
      </c>
      <c r="Q127" t="s">
        <v>9465</v>
      </c>
      <c r="S127" t="s">
        <v>9268</v>
      </c>
      <c r="T127" t="str">
        <f t="shared" si="24"/>
        <v>NatGrdExt_POL-3</v>
      </c>
      <c r="U127" t="str">
        <f t="shared" si="25"/>
        <v>Grid Extension -Poland- Step 3</v>
      </c>
      <c r="V127" t="s">
        <v>29</v>
      </c>
      <c r="W127" t="s">
        <v>30</v>
      </c>
      <c r="X127" t="s">
        <v>9465</v>
      </c>
      <c r="Z127" t="s">
        <v>9268</v>
      </c>
      <c r="AA127" t="str">
        <f t="shared" si="26"/>
        <v>NatGrdExt_POL-4</v>
      </c>
      <c r="AB127" t="str">
        <f t="shared" si="27"/>
        <v>Grid Extension -Poland- Step 4</v>
      </c>
      <c r="AC127" t="s">
        <v>29</v>
      </c>
      <c r="AD127" t="s">
        <v>30</v>
      </c>
      <c r="AE127" t="s">
        <v>9465</v>
      </c>
      <c r="AG127" t="s">
        <v>9268</v>
      </c>
      <c r="AH127" t="str">
        <f t="shared" si="28"/>
        <v>NatGrdExt_POL-5</v>
      </c>
      <c r="AI127" t="str">
        <f t="shared" si="29"/>
        <v>Grid Extension -Poland- Step 5</v>
      </c>
      <c r="AJ127" t="s">
        <v>29</v>
      </c>
      <c r="AK127" t="s">
        <v>30</v>
      </c>
      <c r="AL127" t="s">
        <v>9465</v>
      </c>
      <c r="AN127" t="s">
        <v>9268</v>
      </c>
      <c r="AO127" t="str">
        <f t="shared" si="30"/>
        <v>NatGrdExt_POL-6</v>
      </c>
      <c r="AP127" t="str">
        <f t="shared" si="31"/>
        <v>Grid Extension -Poland- Step 6</v>
      </c>
      <c r="AQ127" t="s">
        <v>29</v>
      </c>
      <c r="AR127" t="s">
        <v>30</v>
      </c>
      <c r="AS127" t="s">
        <v>9465</v>
      </c>
      <c r="AU127" t="s">
        <v>9268</v>
      </c>
      <c r="AV127" t="str">
        <f t="shared" si="32"/>
        <v>NatGrdExt_POL-7</v>
      </c>
      <c r="AW127" t="str">
        <f t="shared" si="33"/>
        <v>Grid Extension -Poland- Step 7</v>
      </c>
      <c r="AX127" t="s">
        <v>29</v>
      </c>
      <c r="AY127" t="s">
        <v>30</v>
      </c>
      <c r="AZ127" t="s">
        <v>9465</v>
      </c>
      <c r="BB127" t="s">
        <v>9268</v>
      </c>
      <c r="BC127" t="str">
        <f t="shared" si="34"/>
        <v>NatGrdExt_POL-8</v>
      </c>
      <c r="BD127" t="str">
        <f t="shared" si="35"/>
        <v>Grid Extension -Poland- Step 8</v>
      </c>
      <c r="BE127" t="s">
        <v>29</v>
      </c>
      <c r="BF127" t="s">
        <v>30</v>
      </c>
      <c r="BG127" t="s">
        <v>9465</v>
      </c>
      <c r="BI127" t="s">
        <v>9268</v>
      </c>
      <c r="BJ127" t="str">
        <f t="shared" si="36"/>
        <v>NatGrdExt_POL-9</v>
      </c>
      <c r="BK127" t="str">
        <f t="shared" si="37"/>
        <v>Grid Extension -Poland- Step 9</v>
      </c>
      <c r="BL127" t="s">
        <v>29</v>
      </c>
      <c r="BM127" t="s">
        <v>30</v>
      </c>
      <c r="BN127" t="s">
        <v>9465</v>
      </c>
      <c r="BP127" t="s">
        <v>9268</v>
      </c>
      <c r="BQ127" t="str">
        <f t="shared" si="38"/>
        <v>NatGrdExt_POL-10</v>
      </c>
      <c r="BR127" t="str">
        <f t="shared" si="39"/>
        <v>Grid Extension -Poland- Step 10</v>
      </c>
      <c r="BS127" t="s">
        <v>29</v>
      </c>
      <c r="BT127" t="s">
        <v>30</v>
      </c>
      <c r="BU127" t="s">
        <v>9465</v>
      </c>
    </row>
    <row r="128" spans="1:73">
      <c r="A128" s="4" t="s">
        <v>1523</v>
      </c>
      <c r="B128" s="4" t="s">
        <v>9586</v>
      </c>
      <c r="E128" t="s">
        <v>9268</v>
      </c>
      <c r="F128" t="str">
        <f t="shared" si="20"/>
        <v>NatGrdExt_PRK-1</v>
      </c>
      <c r="G128" t="str">
        <f t="shared" si="21"/>
        <v>Grid Extension -Dem. People^s Rep. Korea- Step 1</v>
      </c>
      <c r="H128" t="s">
        <v>29</v>
      </c>
      <c r="I128" t="s">
        <v>30</v>
      </c>
      <c r="J128" t="s">
        <v>9465</v>
      </c>
      <c r="L128" t="s">
        <v>9268</v>
      </c>
      <c r="M128" t="str">
        <f t="shared" si="22"/>
        <v>NatGrdExt_PRK-2</v>
      </c>
      <c r="N128" t="str">
        <f t="shared" si="23"/>
        <v>Grid Extension -Dem. People^s Rep. Korea- Step 2</v>
      </c>
      <c r="O128" t="s">
        <v>29</v>
      </c>
      <c r="P128" t="s">
        <v>30</v>
      </c>
      <c r="Q128" t="s">
        <v>9465</v>
      </c>
      <c r="S128" t="s">
        <v>9268</v>
      </c>
      <c r="T128" t="str">
        <f t="shared" si="24"/>
        <v>NatGrdExt_PRK-3</v>
      </c>
      <c r="U128" t="str">
        <f t="shared" si="25"/>
        <v>Grid Extension -Dem. People^s Rep. Korea- Step 3</v>
      </c>
      <c r="V128" t="s">
        <v>29</v>
      </c>
      <c r="W128" t="s">
        <v>30</v>
      </c>
      <c r="X128" t="s">
        <v>9465</v>
      </c>
      <c r="Z128" t="s">
        <v>9268</v>
      </c>
      <c r="AA128" t="str">
        <f t="shared" si="26"/>
        <v>NatGrdExt_PRK-4</v>
      </c>
      <c r="AB128" t="str">
        <f t="shared" si="27"/>
        <v>Grid Extension -Dem. People^s Rep. Korea- Step 4</v>
      </c>
      <c r="AC128" t="s">
        <v>29</v>
      </c>
      <c r="AD128" t="s">
        <v>30</v>
      </c>
      <c r="AE128" t="s">
        <v>9465</v>
      </c>
      <c r="AG128" t="s">
        <v>9268</v>
      </c>
      <c r="AH128" t="str">
        <f t="shared" si="28"/>
        <v>NatGrdExt_PRK-5</v>
      </c>
      <c r="AI128" t="str">
        <f t="shared" si="29"/>
        <v>Grid Extension -Dem. People^s Rep. Korea- Step 5</v>
      </c>
      <c r="AJ128" t="s">
        <v>29</v>
      </c>
      <c r="AK128" t="s">
        <v>30</v>
      </c>
      <c r="AL128" t="s">
        <v>9465</v>
      </c>
      <c r="AN128" t="s">
        <v>9268</v>
      </c>
      <c r="AO128" t="str">
        <f t="shared" si="30"/>
        <v>NatGrdExt_PRK-6</v>
      </c>
      <c r="AP128" t="str">
        <f t="shared" si="31"/>
        <v>Grid Extension -Dem. People^s Rep. Korea- Step 6</v>
      </c>
      <c r="AQ128" t="s">
        <v>29</v>
      </c>
      <c r="AR128" t="s">
        <v>30</v>
      </c>
      <c r="AS128" t="s">
        <v>9465</v>
      </c>
      <c r="AU128" t="s">
        <v>9268</v>
      </c>
      <c r="AV128" t="str">
        <f t="shared" si="32"/>
        <v>NatGrdExt_PRK-7</v>
      </c>
      <c r="AW128" t="str">
        <f t="shared" si="33"/>
        <v>Grid Extension -Dem. People^s Rep. Korea- Step 7</v>
      </c>
      <c r="AX128" t="s">
        <v>29</v>
      </c>
      <c r="AY128" t="s">
        <v>30</v>
      </c>
      <c r="AZ128" t="s">
        <v>9465</v>
      </c>
      <c r="BB128" t="s">
        <v>9268</v>
      </c>
      <c r="BC128" t="str">
        <f t="shared" si="34"/>
        <v>NatGrdExt_PRK-8</v>
      </c>
      <c r="BD128" t="str">
        <f t="shared" si="35"/>
        <v>Grid Extension -Dem. People^s Rep. Korea- Step 8</v>
      </c>
      <c r="BE128" t="s">
        <v>29</v>
      </c>
      <c r="BF128" t="s">
        <v>30</v>
      </c>
      <c r="BG128" t="s">
        <v>9465</v>
      </c>
      <c r="BI128" t="s">
        <v>9268</v>
      </c>
      <c r="BJ128" t="str">
        <f t="shared" si="36"/>
        <v>NatGrdExt_PRK-9</v>
      </c>
      <c r="BK128" t="str">
        <f t="shared" si="37"/>
        <v>Grid Extension -Dem. People^s Rep. Korea- Step 9</v>
      </c>
      <c r="BL128" t="s">
        <v>29</v>
      </c>
      <c r="BM128" t="s">
        <v>30</v>
      </c>
      <c r="BN128" t="s">
        <v>9465</v>
      </c>
      <c r="BP128" t="s">
        <v>9268</v>
      </c>
      <c r="BQ128" t="str">
        <f t="shared" si="38"/>
        <v>NatGrdExt_PRK-10</v>
      </c>
      <c r="BR128" t="str">
        <f t="shared" si="39"/>
        <v>Grid Extension -Dem. People^s Rep. Korea- Step 10</v>
      </c>
      <c r="BS128" t="s">
        <v>29</v>
      </c>
      <c r="BT128" t="s">
        <v>30</v>
      </c>
      <c r="BU128" t="s">
        <v>9465</v>
      </c>
    </row>
    <row r="129" spans="1:73">
      <c r="A129" s="4" t="s">
        <v>1537</v>
      </c>
      <c r="B129" s="4" t="s">
        <v>9587</v>
      </c>
      <c r="E129" t="s">
        <v>9268</v>
      </c>
      <c r="F129" t="str">
        <f t="shared" si="20"/>
        <v>NatGrdExt_PRT-1</v>
      </c>
      <c r="G129" t="str">
        <f t="shared" si="21"/>
        <v>Grid Extension -Portugal- Step 1</v>
      </c>
      <c r="H129" t="s">
        <v>29</v>
      </c>
      <c r="I129" t="s">
        <v>30</v>
      </c>
      <c r="J129" t="s">
        <v>9465</v>
      </c>
      <c r="L129" t="s">
        <v>9268</v>
      </c>
      <c r="M129" t="str">
        <f t="shared" si="22"/>
        <v>NatGrdExt_PRT-2</v>
      </c>
      <c r="N129" t="str">
        <f t="shared" si="23"/>
        <v>Grid Extension -Portugal- Step 2</v>
      </c>
      <c r="O129" t="s">
        <v>29</v>
      </c>
      <c r="P129" t="s">
        <v>30</v>
      </c>
      <c r="Q129" t="s">
        <v>9465</v>
      </c>
      <c r="S129" t="s">
        <v>9268</v>
      </c>
      <c r="T129" t="str">
        <f t="shared" si="24"/>
        <v>NatGrdExt_PRT-3</v>
      </c>
      <c r="U129" t="str">
        <f t="shared" si="25"/>
        <v>Grid Extension -Portugal- Step 3</v>
      </c>
      <c r="V129" t="s">
        <v>29</v>
      </c>
      <c r="W129" t="s">
        <v>30</v>
      </c>
      <c r="X129" t="s">
        <v>9465</v>
      </c>
      <c r="Z129" t="s">
        <v>9268</v>
      </c>
      <c r="AA129" t="str">
        <f t="shared" si="26"/>
        <v>NatGrdExt_PRT-4</v>
      </c>
      <c r="AB129" t="str">
        <f t="shared" si="27"/>
        <v>Grid Extension -Portugal- Step 4</v>
      </c>
      <c r="AC129" t="s">
        <v>29</v>
      </c>
      <c r="AD129" t="s">
        <v>30</v>
      </c>
      <c r="AE129" t="s">
        <v>9465</v>
      </c>
      <c r="AG129" t="s">
        <v>9268</v>
      </c>
      <c r="AH129" t="str">
        <f t="shared" si="28"/>
        <v>NatGrdExt_PRT-5</v>
      </c>
      <c r="AI129" t="str">
        <f t="shared" si="29"/>
        <v>Grid Extension -Portugal- Step 5</v>
      </c>
      <c r="AJ129" t="s">
        <v>29</v>
      </c>
      <c r="AK129" t="s">
        <v>30</v>
      </c>
      <c r="AL129" t="s">
        <v>9465</v>
      </c>
      <c r="AN129" t="s">
        <v>9268</v>
      </c>
      <c r="AO129" t="str">
        <f t="shared" si="30"/>
        <v>NatGrdExt_PRT-6</v>
      </c>
      <c r="AP129" t="str">
        <f t="shared" si="31"/>
        <v>Grid Extension -Portugal- Step 6</v>
      </c>
      <c r="AQ129" t="s">
        <v>29</v>
      </c>
      <c r="AR129" t="s">
        <v>30</v>
      </c>
      <c r="AS129" t="s">
        <v>9465</v>
      </c>
      <c r="AU129" t="s">
        <v>9268</v>
      </c>
      <c r="AV129" t="str">
        <f t="shared" si="32"/>
        <v>NatGrdExt_PRT-7</v>
      </c>
      <c r="AW129" t="str">
        <f t="shared" si="33"/>
        <v>Grid Extension -Portugal- Step 7</v>
      </c>
      <c r="AX129" t="s">
        <v>29</v>
      </c>
      <c r="AY129" t="s">
        <v>30</v>
      </c>
      <c r="AZ129" t="s">
        <v>9465</v>
      </c>
      <c r="BB129" t="s">
        <v>9268</v>
      </c>
      <c r="BC129" t="str">
        <f t="shared" si="34"/>
        <v>NatGrdExt_PRT-8</v>
      </c>
      <c r="BD129" t="str">
        <f t="shared" si="35"/>
        <v>Grid Extension -Portugal- Step 8</v>
      </c>
      <c r="BE129" t="s">
        <v>29</v>
      </c>
      <c r="BF129" t="s">
        <v>30</v>
      </c>
      <c r="BG129" t="s">
        <v>9465</v>
      </c>
      <c r="BI129" t="s">
        <v>9268</v>
      </c>
      <c r="BJ129" t="str">
        <f t="shared" si="36"/>
        <v>NatGrdExt_PRT-9</v>
      </c>
      <c r="BK129" t="str">
        <f t="shared" si="37"/>
        <v>Grid Extension -Portugal- Step 9</v>
      </c>
      <c r="BL129" t="s">
        <v>29</v>
      </c>
      <c r="BM129" t="s">
        <v>30</v>
      </c>
      <c r="BN129" t="s">
        <v>9465</v>
      </c>
      <c r="BP129" t="s">
        <v>9268</v>
      </c>
      <c r="BQ129" t="str">
        <f t="shared" si="38"/>
        <v>NatGrdExt_PRT-10</v>
      </c>
      <c r="BR129" t="str">
        <f t="shared" si="39"/>
        <v>Grid Extension -Portugal- Step 10</v>
      </c>
      <c r="BS129" t="s">
        <v>29</v>
      </c>
      <c r="BT129" t="s">
        <v>30</v>
      </c>
      <c r="BU129" t="s">
        <v>9465</v>
      </c>
    </row>
    <row r="130" spans="1:73">
      <c r="A130" s="4" t="s">
        <v>1545</v>
      </c>
      <c r="B130" s="4" t="s">
        <v>9588</v>
      </c>
      <c r="E130" t="s">
        <v>9268</v>
      </c>
      <c r="F130" t="str">
        <f t="shared" si="20"/>
        <v>NatGrdExt_PRY-1</v>
      </c>
      <c r="G130" t="str">
        <f t="shared" si="21"/>
        <v>Grid Extension -Paraguay- Step 1</v>
      </c>
      <c r="H130" t="s">
        <v>29</v>
      </c>
      <c r="I130" t="s">
        <v>30</v>
      </c>
      <c r="J130" t="s">
        <v>9465</v>
      </c>
      <c r="L130" t="s">
        <v>9268</v>
      </c>
      <c r="M130" t="str">
        <f t="shared" si="22"/>
        <v>NatGrdExt_PRY-2</v>
      </c>
      <c r="N130" t="str">
        <f t="shared" si="23"/>
        <v>Grid Extension -Paraguay- Step 2</v>
      </c>
      <c r="O130" t="s">
        <v>29</v>
      </c>
      <c r="P130" t="s">
        <v>30</v>
      </c>
      <c r="Q130" t="s">
        <v>9465</v>
      </c>
      <c r="S130" t="s">
        <v>9268</v>
      </c>
      <c r="T130" t="str">
        <f t="shared" si="24"/>
        <v>NatGrdExt_PRY-3</v>
      </c>
      <c r="U130" t="str">
        <f t="shared" si="25"/>
        <v>Grid Extension -Paraguay- Step 3</v>
      </c>
      <c r="V130" t="s">
        <v>29</v>
      </c>
      <c r="W130" t="s">
        <v>30</v>
      </c>
      <c r="X130" t="s">
        <v>9465</v>
      </c>
      <c r="Z130" t="s">
        <v>9268</v>
      </c>
      <c r="AA130" t="str">
        <f t="shared" si="26"/>
        <v>NatGrdExt_PRY-4</v>
      </c>
      <c r="AB130" t="str">
        <f t="shared" si="27"/>
        <v>Grid Extension -Paraguay- Step 4</v>
      </c>
      <c r="AC130" t="s">
        <v>29</v>
      </c>
      <c r="AD130" t="s">
        <v>30</v>
      </c>
      <c r="AE130" t="s">
        <v>9465</v>
      </c>
      <c r="AG130" t="s">
        <v>9268</v>
      </c>
      <c r="AH130" t="str">
        <f t="shared" si="28"/>
        <v>NatGrdExt_PRY-5</v>
      </c>
      <c r="AI130" t="str">
        <f t="shared" si="29"/>
        <v>Grid Extension -Paraguay- Step 5</v>
      </c>
      <c r="AJ130" t="s">
        <v>29</v>
      </c>
      <c r="AK130" t="s">
        <v>30</v>
      </c>
      <c r="AL130" t="s">
        <v>9465</v>
      </c>
      <c r="AN130" t="s">
        <v>9268</v>
      </c>
      <c r="AO130" t="str">
        <f t="shared" si="30"/>
        <v>NatGrdExt_PRY-6</v>
      </c>
      <c r="AP130" t="str">
        <f t="shared" si="31"/>
        <v>Grid Extension -Paraguay- Step 6</v>
      </c>
      <c r="AQ130" t="s">
        <v>29</v>
      </c>
      <c r="AR130" t="s">
        <v>30</v>
      </c>
      <c r="AS130" t="s">
        <v>9465</v>
      </c>
      <c r="AU130" t="s">
        <v>9268</v>
      </c>
      <c r="AV130" t="str">
        <f t="shared" si="32"/>
        <v>NatGrdExt_PRY-7</v>
      </c>
      <c r="AW130" t="str">
        <f t="shared" si="33"/>
        <v>Grid Extension -Paraguay- Step 7</v>
      </c>
      <c r="AX130" t="s">
        <v>29</v>
      </c>
      <c r="AY130" t="s">
        <v>30</v>
      </c>
      <c r="AZ130" t="s">
        <v>9465</v>
      </c>
      <c r="BB130" t="s">
        <v>9268</v>
      </c>
      <c r="BC130" t="str">
        <f t="shared" si="34"/>
        <v>NatGrdExt_PRY-8</v>
      </c>
      <c r="BD130" t="str">
        <f t="shared" si="35"/>
        <v>Grid Extension -Paraguay- Step 8</v>
      </c>
      <c r="BE130" t="s">
        <v>29</v>
      </c>
      <c r="BF130" t="s">
        <v>30</v>
      </c>
      <c r="BG130" t="s">
        <v>9465</v>
      </c>
      <c r="BI130" t="s">
        <v>9268</v>
      </c>
      <c r="BJ130" t="str">
        <f t="shared" si="36"/>
        <v>NatGrdExt_PRY-9</v>
      </c>
      <c r="BK130" t="str">
        <f t="shared" si="37"/>
        <v>Grid Extension -Paraguay- Step 9</v>
      </c>
      <c r="BL130" t="s">
        <v>29</v>
      </c>
      <c r="BM130" t="s">
        <v>30</v>
      </c>
      <c r="BN130" t="s">
        <v>9465</v>
      </c>
      <c r="BP130" t="s">
        <v>9268</v>
      </c>
      <c r="BQ130" t="str">
        <f t="shared" si="38"/>
        <v>NatGrdExt_PRY-10</v>
      </c>
      <c r="BR130" t="str">
        <f t="shared" si="39"/>
        <v>Grid Extension -Paraguay- Step 10</v>
      </c>
      <c r="BS130" t="s">
        <v>29</v>
      </c>
      <c r="BT130" t="s">
        <v>30</v>
      </c>
      <c r="BU130" t="s">
        <v>9465</v>
      </c>
    </row>
    <row r="131" spans="1:73">
      <c r="A131" s="4" t="s">
        <v>1549</v>
      </c>
      <c r="B131" s="4" t="s">
        <v>9589</v>
      </c>
      <c r="E131" t="s">
        <v>9268</v>
      </c>
      <c r="F131" t="str">
        <f t="shared" si="20"/>
        <v>NatGrdExt_PSE-1</v>
      </c>
      <c r="G131" t="str">
        <f t="shared" si="21"/>
        <v>Grid Extension -Palestine- Step 1</v>
      </c>
      <c r="H131" t="s">
        <v>29</v>
      </c>
      <c r="I131" t="s">
        <v>30</v>
      </c>
      <c r="J131" t="s">
        <v>9465</v>
      </c>
      <c r="L131" t="s">
        <v>9268</v>
      </c>
      <c r="M131" t="str">
        <f t="shared" si="22"/>
        <v>NatGrdExt_PSE-2</v>
      </c>
      <c r="N131" t="str">
        <f t="shared" si="23"/>
        <v>Grid Extension -Palestine- Step 2</v>
      </c>
      <c r="O131" t="s">
        <v>29</v>
      </c>
      <c r="P131" t="s">
        <v>30</v>
      </c>
      <c r="Q131" t="s">
        <v>9465</v>
      </c>
      <c r="S131" t="s">
        <v>9268</v>
      </c>
      <c r="T131" t="str">
        <f t="shared" si="24"/>
        <v>NatGrdExt_PSE-3</v>
      </c>
      <c r="U131" t="str">
        <f t="shared" si="25"/>
        <v>Grid Extension -Palestine- Step 3</v>
      </c>
      <c r="V131" t="s">
        <v>29</v>
      </c>
      <c r="W131" t="s">
        <v>30</v>
      </c>
      <c r="X131" t="s">
        <v>9465</v>
      </c>
      <c r="Z131" t="s">
        <v>9268</v>
      </c>
      <c r="AA131" t="str">
        <f t="shared" si="26"/>
        <v>NatGrdExt_PSE-4</v>
      </c>
      <c r="AB131" t="str">
        <f t="shared" si="27"/>
        <v>Grid Extension -Palestine- Step 4</v>
      </c>
      <c r="AC131" t="s">
        <v>29</v>
      </c>
      <c r="AD131" t="s">
        <v>30</v>
      </c>
      <c r="AE131" t="s">
        <v>9465</v>
      </c>
      <c r="AG131" t="s">
        <v>9268</v>
      </c>
      <c r="AH131" t="str">
        <f t="shared" si="28"/>
        <v>NatGrdExt_PSE-5</v>
      </c>
      <c r="AI131" t="str">
        <f t="shared" si="29"/>
        <v>Grid Extension -Palestine- Step 5</v>
      </c>
      <c r="AJ131" t="s">
        <v>29</v>
      </c>
      <c r="AK131" t="s">
        <v>30</v>
      </c>
      <c r="AL131" t="s">
        <v>9465</v>
      </c>
      <c r="AN131" t="s">
        <v>9268</v>
      </c>
      <c r="AO131" t="str">
        <f t="shared" si="30"/>
        <v>NatGrdExt_PSE-6</v>
      </c>
      <c r="AP131" t="str">
        <f t="shared" si="31"/>
        <v>Grid Extension -Palestine- Step 6</v>
      </c>
      <c r="AQ131" t="s">
        <v>29</v>
      </c>
      <c r="AR131" t="s">
        <v>30</v>
      </c>
      <c r="AS131" t="s">
        <v>9465</v>
      </c>
      <c r="AU131" t="s">
        <v>9268</v>
      </c>
      <c r="AV131" t="str">
        <f t="shared" si="32"/>
        <v>NatGrdExt_PSE-7</v>
      </c>
      <c r="AW131" t="str">
        <f t="shared" si="33"/>
        <v>Grid Extension -Palestine- Step 7</v>
      </c>
      <c r="AX131" t="s">
        <v>29</v>
      </c>
      <c r="AY131" t="s">
        <v>30</v>
      </c>
      <c r="AZ131" t="s">
        <v>9465</v>
      </c>
      <c r="BB131" t="s">
        <v>9268</v>
      </c>
      <c r="BC131" t="str">
        <f t="shared" si="34"/>
        <v>NatGrdExt_PSE-8</v>
      </c>
      <c r="BD131" t="str">
        <f t="shared" si="35"/>
        <v>Grid Extension -Palestine- Step 8</v>
      </c>
      <c r="BE131" t="s">
        <v>29</v>
      </c>
      <c r="BF131" t="s">
        <v>30</v>
      </c>
      <c r="BG131" t="s">
        <v>9465</v>
      </c>
      <c r="BI131" t="s">
        <v>9268</v>
      </c>
      <c r="BJ131" t="str">
        <f t="shared" si="36"/>
        <v>NatGrdExt_PSE-9</v>
      </c>
      <c r="BK131" t="str">
        <f t="shared" si="37"/>
        <v>Grid Extension -Palestine- Step 9</v>
      </c>
      <c r="BL131" t="s">
        <v>29</v>
      </c>
      <c r="BM131" t="s">
        <v>30</v>
      </c>
      <c r="BN131" t="s">
        <v>9465</v>
      </c>
      <c r="BP131" t="s">
        <v>9268</v>
      </c>
      <c r="BQ131" t="str">
        <f t="shared" si="38"/>
        <v>NatGrdExt_PSE-10</v>
      </c>
      <c r="BR131" t="str">
        <f t="shared" si="39"/>
        <v>Grid Extension -Palestine- Step 10</v>
      </c>
      <c r="BS131" t="s">
        <v>29</v>
      </c>
      <c r="BT131" t="s">
        <v>30</v>
      </c>
      <c r="BU131" t="s">
        <v>9465</v>
      </c>
    </row>
    <row r="132" spans="1:73">
      <c r="A132" s="4" t="s">
        <v>1555</v>
      </c>
      <c r="B132" s="4" t="s">
        <v>9590</v>
      </c>
      <c r="E132" t="s">
        <v>9268</v>
      </c>
      <c r="F132" t="str">
        <f t="shared" si="20"/>
        <v>NatGrdExt_QAT-1</v>
      </c>
      <c r="G132" t="str">
        <f t="shared" si="21"/>
        <v>Grid Extension -Qatar- Step 1</v>
      </c>
      <c r="H132" t="s">
        <v>29</v>
      </c>
      <c r="I132" t="s">
        <v>30</v>
      </c>
      <c r="J132" t="s">
        <v>9465</v>
      </c>
      <c r="L132" t="s">
        <v>9268</v>
      </c>
      <c r="M132" t="str">
        <f t="shared" si="22"/>
        <v>NatGrdExt_QAT-2</v>
      </c>
      <c r="N132" t="str">
        <f t="shared" si="23"/>
        <v>Grid Extension -Qatar- Step 2</v>
      </c>
      <c r="O132" t="s">
        <v>29</v>
      </c>
      <c r="P132" t="s">
        <v>30</v>
      </c>
      <c r="Q132" t="s">
        <v>9465</v>
      </c>
      <c r="S132" t="s">
        <v>9268</v>
      </c>
      <c r="T132" t="str">
        <f t="shared" si="24"/>
        <v>NatGrdExt_QAT-3</v>
      </c>
      <c r="U132" t="str">
        <f t="shared" si="25"/>
        <v>Grid Extension -Qatar- Step 3</v>
      </c>
      <c r="V132" t="s">
        <v>29</v>
      </c>
      <c r="W132" t="s">
        <v>30</v>
      </c>
      <c r="X132" t="s">
        <v>9465</v>
      </c>
      <c r="Z132" t="s">
        <v>9268</v>
      </c>
      <c r="AA132" t="str">
        <f t="shared" si="26"/>
        <v>NatGrdExt_QAT-4</v>
      </c>
      <c r="AB132" t="str">
        <f t="shared" si="27"/>
        <v>Grid Extension -Qatar- Step 4</v>
      </c>
      <c r="AC132" t="s">
        <v>29</v>
      </c>
      <c r="AD132" t="s">
        <v>30</v>
      </c>
      <c r="AE132" t="s">
        <v>9465</v>
      </c>
      <c r="AG132" t="s">
        <v>9268</v>
      </c>
      <c r="AH132" t="str">
        <f t="shared" si="28"/>
        <v>NatGrdExt_QAT-5</v>
      </c>
      <c r="AI132" t="str">
        <f t="shared" si="29"/>
        <v>Grid Extension -Qatar- Step 5</v>
      </c>
      <c r="AJ132" t="s">
        <v>29</v>
      </c>
      <c r="AK132" t="s">
        <v>30</v>
      </c>
      <c r="AL132" t="s">
        <v>9465</v>
      </c>
      <c r="AN132" t="s">
        <v>9268</v>
      </c>
      <c r="AO132" t="str">
        <f t="shared" si="30"/>
        <v>NatGrdExt_QAT-6</v>
      </c>
      <c r="AP132" t="str">
        <f t="shared" si="31"/>
        <v>Grid Extension -Qatar- Step 6</v>
      </c>
      <c r="AQ132" t="s">
        <v>29</v>
      </c>
      <c r="AR132" t="s">
        <v>30</v>
      </c>
      <c r="AS132" t="s">
        <v>9465</v>
      </c>
      <c r="AU132" t="s">
        <v>9268</v>
      </c>
      <c r="AV132" t="str">
        <f t="shared" si="32"/>
        <v>NatGrdExt_QAT-7</v>
      </c>
      <c r="AW132" t="str">
        <f t="shared" si="33"/>
        <v>Grid Extension -Qatar- Step 7</v>
      </c>
      <c r="AX132" t="s">
        <v>29</v>
      </c>
      <c r="AY132" t="s">
        <v>30</v>
      </c>
      <c r="AZ132" t="s">
        <v>9465</v>
      </c>
      <c r="BB132" t="s">
        <v>9268</v>
      </c>
      <c r="BC132" t="str">
        <f t="shared" si="34"/>
        <v>NatGrdExt_QAT-8</v>
      </c>
      <c r="BD132" t="str">
        <f t="shared" si="35"/>
        <v>Grid Extension -Qatar- Step 8</v>
      </c>
      <c r="BE132" t="s">
        <v>29</v>
      </c>
      <c r="BF132" t="s">
        <v>30</v>
      </c>
      <c r="BG132" t="s">
        <v>9465</v>
      </c>
      <c r="BI132" t="s">
        <v>9268</v>
      </c>
      <c r="BJ132" t="str">
        <f t="shared" si="36"/>
        <v>NatGrdExt_QAT-9</v>
      </c>
      <c r="BK132" t="str">
        <f t="shared" si="37"/>
        <v>Grid Extension -Qatar- Step 9</v>
      </c>
      <c r="BL132" t="s">
        <v>29</v>
      </c>
      <c r="BM132" t="s">
        <v>30</v>
      </c>
      <c r="BN132" t="s">
        <v>9465</v>
      </c>
      <c r="BP132" t="s">
        <v>9268</v>
      </c>
      <c r="BQ132" t="str">
        <f t="shared" si="38"/>
        <v>NatGrdExt_QAT-10</v>
      </c>
      <c r="BR132" t="str">
        <f t="shared" si="39"/>
        <v>Grid Extension -Qatar- Step 10</v>
      </c>
      <c r="BS132" t="s">
        <v>29</v>
      </c>
      <c r="BT132" t="s">
        <v>30</v>
      </c>
      <c r="BU132" t="s">
        <v>9465</v>
      </c>
    </row>
    <row r="133" spans="1:73">
      <c r="A133" s="4" t="s">
        <v>1559</v>
      </c>
      <c r="B133" s="4" t="s">
        <v>9591</v>
      </c>
      <c r="E133" t="s">
        <v>9268</v>
      </c>
      <c r="F133" t="str">
        <f t="shared" si="20"/>
        <v>NatGrdExt_ROU-1</v>
      </c>
      <c r="G133" t="str">
        <f t="shared" si="21"/>
        <v>Grid Extension -Romania- Step 1</v>
      </c>
      <c r="H133" t="s">
        <v>29</v>
      </c>
      <c r="I133" t="s">
        <v>30</v>
      </c>
      <c r="J133" t="s">
        <v>9465</v>
      </c>
      <c r="L133" t="s">
        <v>9268</v>
      </c>
      <c r="M133" t="str">
        <f t="shared" si="22"/>
        <v>NatGrdExt_ROU-2</v>
      </c>
      <c r="N133" t="str">
        <f t="shared" si="23"/>
        <v>Grid Extension -Romania- Step 2</v>
      </c>
      <c r="O133" t="s">
        <v>29</v>
      </c>
      <c r="P133" t="s">
        <v>30</v>
      </c>
      <c r="Q133" t="s">
        <v>9465</v>
      </c>
      <c r="S133" t="s">
        <v>9268</v>
      </c>
      <c r="T133" t="str">
        <f t="shared" si="24"/>
        <v>NatGrdExt_ROU-3</v>
      </c>
      <c r="U133" t="str">
        <f t="shared" si="25"/>
        <v>Grid Extension -Romania- Step 3</v>
      </c>
      <c r="V133" t="s">
        <v>29</v>
      </c>
      <c r="W133" t="s">
        <v>30</v>
      </c>
      <c r="X133" t="s">
        <v>9465</v>
      </c>
      <c r="Z133" t="s">
        <v>9268</v>
      </c>
      <c r="AA133" t="str">
        <f t="shared" si="26"/>
        <v>NatGrdExt_ROU-4</v>
      </c>
      <c r="AB133" t="str">
        <f t="shared" si="27"/>
        <v>Grid Extension -Romania- Step 4</v>
      </c>
      <c r="AC133" t="s">
        <v>29</v>
      </c>
      <c r="AD133" t="s">
        <v>30</v>
      </c>
      <c r="AE133" t="s">
        <v>9465</v>
      </c>
      <c r="AG133" t="s">
        <v>9268</v>
      </c>
      <c r="AH133" t="str">
        <f t="shared" si="28"/>
        <v>NatGrdExt_ROU-5</v>
      </c>
      <c r="AI133" t="str">
        <f t="shared" si="29"/>
        <v>Grid Extension -Romania- Step 5</v>
      </c>
      <c r="AJ133" t="s">
        <v>29</v>
      </c>
      <c r="AK133" t="s">
        <v>30</v>
      </c>
      <c r="AL133" t="s">
        <v>9465</v>
      </c>
      <c r="AN133" t="s">
        <v>9268</v>
      </c>
      <c r="AO133" t="str">
        <f t="shared" si="30"/>
        <v>NatGrdExt_ROU-6</v>
      </c>
      <c r="AP133" t="str">
        <f t="shared" si="31"/>
        <v>Grid Extension -Romania- Step 6</v>
      </c>
      <c r="AQ133" t="s">
        <v>29</v>
      </c>
      <c r="AR133" t="s">
        <v>30</v>
      </c>
      <c r="AS133" t="s">
        <v>9465</v>
      </c>
      <c r="AU133" t="s">
        <v>9268</v>
      </c>
      <c r="AV133" t="str">
        <f t="shared" si="32"/>
        <v>NatGrdExt_ROU-7</v>
      </c>
      <c r="AW133" t="str">
        <f t="shared" si="33"/>
        <v>Grid Extension -Romania- Step 7</v>
      </c>
      <c r="AX133" t="s">
        <v>29</v>
      </c>
      <c r="AY133" t="s">
        <v>30</v>
      </c>
      <c r="AZ133" t="s">
        <v>9465</v>
      </c>
      <c r="BB133" t="s">
        <v>9268</v>
      </c>
      <c r="BC133" t="str">
        <f t="shared" si="34"/>
        <v>NatGrdExt_ROU-8</v>
      </c>
      <c r="BD133" t="str">
        <f t="shared" si="35"/>
        <v>Grid Extension -Romania- Step 8</v>
      </c>
      <c r="BE133" t="s">
        <v>29</v>
      </c>
      <c r="BF133" t="s">
        <v>30</v>
      </c>
      <c r="BG133" t="s">
        <v>9465</v>
      </c>
      <c r="BI133" t="s">
        <v>9268</v>
      </c>
      <c r="BJ133" t="str">
        <f t="shared" si="36"/>
        <v>NatGrdExt_ROU-9</v>
      </c>
      <c r="BK133" t="str">
        <f t="shared" si="37"/>
        <v>Grid Extension -Romania- Step 9</v>
      </c>
      <c r="BL133" t="s">
        <v>29</v>
      </c>
      <c r="BM133" t="s">
        <v>30</v>
      </c>
      <c r="BN133" t="s">
        <v>9465</v>
      </c>
      <c r="BP133" t="s">
        <v>9268</v>
      </c>
      <c r="BQ133" t="str">
        <f t="shared" si="38"/>
        <v>NatGrdExt_ROU-10</v>
      </c>
      <c r="BR133" t="str">
        <f t="shared" si="39"/>
        <v>Grid Extension -Romania- Step 10</v>
      </c>
      <c r="BS133" t="s">
        <v>29</v>
      </c>
      <c r="BT133" t="s">
        <v>30</v>
      </c>
      <c r="BU133" t="s">
        <v>9465</v>
      </c>
    </row>
    <row r="134" spans="1:73">
      <c r="A134" s="4" t="s">
        <v>1565</v>
      </c>
      <c r="B134" s="4" t="s">
        <v>112</v>
      </c>
      <c r="E134" t="s">
        <v>9268</v>
      </c>
      <c r="F134" t="str">
        <f t="shared" si="20"/>
        <v>NatGrdExt_RUS-1</v>
      </c>
      <c r="G134" t="str">
        <f t="shared" si="21"/>
        <v>Grid Extension -Russia- Step 1</v>
      </c>
      <c r="H134" t="s">
        <v>29</v>
      </c>
      <c r="I134" t="s">
        <v>30</v>
      </c>
      <c r="J134" t="s">
        <v>9465</v>
      </c>
      <c r="L134" t="s">
        <v>9268</v>
      </c>
      <c r="M134" t="str">
        <f t="shared" si="22"/>
        <v>NatGrdExt_RUS-2</v>
      </c>
      <c r="N134" t="str">
        <f t="shared" si="23"/>
        <v>Grid Extension -Russia- Step 2</v>
      </c>
      <c r="O134" t="s">
        <v>29</v>
      </c>
      <c r="P134" t="s">
        <v>30</v>
      </c>
      <c r="Q134" t="s">
        <v>9465</v>
      </c>
      <c r="S134" t="s">
        <v>9268</v>
      </c>
      <c r="T134" t="str">
        <f t="shared" si="24"/>
        <v>NatGrdExt_RUS-3</v>
      </c>
      <c r="U134" t="str">
        <f t="shared" si="25"/>
        <v>Grid Extension -Russia- Step 3</v>
      </c>
      <c r="V134" t="s">
        <v>29</v>
      </c>
      <c r="W134" t="s">
        <v>30</v>
      </c>
      <c r="X134" t="s">
        <v>9465</v>
      </c>
      <c r="Z134" t="s">
        <v>9268</v>
      </c>
      <c r="AA134" t="str">
        <f t="shared" si="26"/>
        <v>NatGrdExt_RUS-4</v>
      </c>
      <c r="AB134" t="str">
        <f t="shared" si="27"/>
        <v>Grid Extension -Russia- Step 4</v>
      </c>
      <c r="AC134" t="s">
        <v>29</v>
      </c>
      <c r="AD134" t="s">
        <v>30</v>
      </c>
      <c r="AE134" t="s">
        <v>9465</v>
      </c>
      <c r="AG134" t="s">
        <v>9268</v>
      </c>
      <c r="AH134" t="str">
        <f t="shared" si="28"/>
        <v>NatGrdExt_RUS-5</v>
      </c>
      <c r="AI134" t="str">
        <f t="shared" si="29"/>
        <v>Grid Extension -Russia- Step 5</v>
      </c>
      <c r="AJ134" t="s">
        <v>29</v>
      </c>
      <c r="AK134" t="s">
        <v>30</v>
      </c>
      <c r="AL134" t="s">
        <v>9465</v>
      </c>
      <c r="AN134" t="s">
        <v>9268</v>
      </c>
      <c r="AO134" t="str">
        <f t="shared" si="30"/>
        <v>NatGrdExt_RUS-6</v>
      </c>
      <c r="AP134" t="str">
        <f t="shared" si="31"/>
        <v>Grid Extension -Russia- Step 6</v>
      </c>
      <c r="AQ134" t="s">
        <v>29</v>
      </c>
      <c r="AR134" t="s">
        <v>30</v>
      </c>
      <c r="AS134" t="s">
        <v>9465</v>
      </c>
      <c r="AU134" t="s">
        <v>9268</v>
      </c>
      <c r="AV134" t="str">
        <f t="shared" si="32"/>
        <v>NatGrdExt_RUS-7</v>
      </c>
      <c r="AW134" t="str">
        <f t="shared" si="33"/>
        <v>Grid Extension -Russia- Step 7</v>
      </c>
      <c r="AX134" t="s">
        <v>29</v>
      </c>
      <c r="AY134" t="s">
        <v>30</v>
      </c>
      <c r="AZ134" t="s">
        <v>9465</v>
      </c>
      <c r="BB134" t="s">
        <v>9268</v>
      </c>
      <c r="BC134" t="str">
        <f t="shared" si="34"/>
        <v>NatGrdExt_RUS-8</v>
      </c>
      <c r="BD134" t="str">
        <f t="shared" si="35"/>
        <v>Grid Extension -Russia- Step 8</v>
      </c>
      <c r="BE134" t="s">
        <v>29</v>
      </c>
      <c r="BF134" t="s">
        <v>30</v>
      </c>
      <c r="BG134" t="s">
        <v>9465</v>
      </c>
      <c r="BI134" t="s">
        <v>9268</v>
      </c>
      <c r="BJ134" t="str">
        <f t="shared" si="36"/>
        <v>NatGrdExt_RUS-9</v>
      </c>
      <c r="BK134" t="str">
        <f t="shared" si="37"/>
        <v>Grid Extension -Russia- Step 9</v>
      </c>
      <c r="BL134" t="s">
        <v>29</v>
      </c>
      <c r="BM134" t="s">
        <v>30</v>
      </c>
      <c r="BN134" t="s">
        <v>9465</v>
      </c>
      <c r="BP134" t="s">
        <v>9268</v>
      </c>
      <c r="BQ134" t="str">
        <f t="shared" si="38"/>
        <v>NatGrdExt_RUS-10</v>
      </c>
      <c r="BR134" t="str">
        <f t="shared" si="39"/>
        <v>Grid Extension -Russia- Step 10</v>
      </c>
      <c r="BS134" t="s">
        <v>29</v>
      </c>
      <c r="BT134" t="s">
        <v>30</v>
      </c>
      <c r="BU134" t="s">
        <v>9465</v>
      </c>
    </row>
    <row r="135" spans="1:73">
      <c r="A135" s="4" t="s">
        <v>1597</v>
      </c>
      <c r="B135" s="4" t="s">
        <v>9592</v>
      </c>
      <c r="E135" t="s">
        <v>9268</v>
      </c>
      <c r="F135" t="str">
        <f t="shared" ref="F135:F172" si="50">"NatGrdExt_"&amp;$A135&amp;"-"&amp;G$1</f>
        <v>NatGrdExt_RWA-1</v>
      </c>
      <c r="G135" t="str">
        <f t="shared" ref="G135:G172" si="51">"Grid Extension -"&amp;$B135&amp;"- Step "&amp;G$1</f>
        <v>Grid Extension -Rwanda- Step 1</v>
      </c>
      <c r="H135" t="s">
        <v>29</v>
      </c>
      <c r="I135" t="s">
        <v>30</v>
      </c>
      <c r="J135" t="s">
        <v>9465</v>
      </c>
      <c r="L135" t="s">
        <v>9268</v>
      </c>
      <c r="M135" t="str">
        <f t="shared" ref="M135:M172" si="52">"NatGrdExt_"&amp;$A135&amp;"-"&amp;N$1</f>
        <v>NatGrdExt_RWA-2</v>
      </c>
      <c r="N135" t="str">
        <f t="shared" ref="N135:N172" si="53">"Grid Extension -"&amp;$B135&amp;"- Step "&amp;N$1</f>
        <v>Grid Extension -Rwanda- Step 2</v>
      </c>
      <c r="O135" t="s">
        <v>29</v>
      </c>
      <c r="P135" t="s">
        <v>30</v>
      </c>
      <c r="Q135" t="s">
        <v>9465</v>
      </c>
      <c r="S135" t="s">
        <v>9268</v>
      </c>
      <c r="T135" t="str">
        <f t="shared" ref="T135:T172" si="54">"NatGrdExt_"&amp;$A135&amp;"-"&amp;U$1</f>
        <v>NatGrdExt_RWA-3</v>
      </c>
      <c r="U135" t="str">
        <f t="shared" ref="U135:U172" si="55">"Grid Extension -"&amp;$B135&amp;"- Step "&amp;U$1</f>
        <v>Grid Extension -Rwanda- Step 3</v>
      </c>
      <c r="V135" t="s">
        <v>29</v>
      </c>
      <c r="W135" t="s">
        <v>30</v>
      </c>
      <c r="X135" t="s">
        <v>9465</v>
      </c>
      <c r="Z135" t="s">
        <v>9268</v>
      </c>
      <c r="AA135" t="str">
        <f t="shared" ref="AA135:AA172" si="56">"NatGrdExt_"&amp;$A135&amp;"-"&amp;AB$1</f>
        <v>NatGrdExt_RWA-4</v>
      </c>
      <c r="AB135" t="str">
        <f t="shared" ref="AB135:AB172" si="57">"Grid Extension -"&amp;$B135&amp;"- Step "&amp;AB$1</f>
        <v>Grid Extension -Rwanda- Step 4</v>
      </c>
      <c r="AC135" t="s">
        <v>29</v>
      </c>
      <c r="AD135" t="s">
        <v>30</v>
      </c>
      <c r="AE135" t="s">
        <v>9465</v>
      </c>
      <c r="AG135" t="s">
        <v>9268</v>
      </c>
      <c r="AH135" t="str">
        <f t="shared" ref="AH135:AH172" si="58">"NatGrdExt_"&amp;$A135&amp;"-"&amp;AI$1</f>
        <v>NatGrdExt_RWA-5</v>
      </c>
      <c r="AI135" t="str">
        <f t="shared" ref="AI135:AI172" si="59">"Grid Extension -"&amp;$B135&amp;"- Step "&amp;AI$1</f>
        <v>Grid Extension -Rwanda- Step 5</v>
      </c>
      <c r="AJ135" t="s">
        <v>29</v>
      </c>
      <c r="AK135" t="s">
        <v>30</v>
      </c>
      <c r="AL135" t="s">
        <v>9465</v>
      </c>
      <c r="AN135" t="s">
        <v>9268</v>
      </c>
      <c r="AO135" t="str">
        <f t="shared" ref="AO135:AO172" si="60">"NatGrdExt_"&amp;$A135&amp;"-"&amp;AP$1</f>
        <v>NatGrdExt_RWA-6</v>
      </c>
      <c r="AP135" t="str">
        <f t="shared" ref="AP135:AP172" si="61">"Grid Extension -"&amp;$B135&amp;"- Step "&amp;AP$1</f>
        <v>Grid Extension -Rwanda- Step 6</v>
      </c>
      <c r="AQ135" t="s">
        <v>29</v>
      </c>
      <c r="AR135" t="s">
        <v>30</v>
      </c>
      <c r="AS135" t="s">
        <v>9465</v>
      </c>
      <c r="AU135" t="s">
        <v>9268</v>
      </c>
      <c r="AV135" t="str">
        <f t="shared" ref="AV135:AV172" si="62">"NatGrdExt_"&amp;$A135&amp;"-"&amp;AW$1</f>
        <v>NatGrdExt_RWA-7</v>
      </c>
      <c r="AW135" t="str">
        <f t="shared" ref="AW135:AW172" si="63">"Grid Extension -"&amp;$B135&amp;"- Step "&amp;AW$1</f>
        <v>Grid Extension -Rwanda- Step 7</v>
      </c>
      <c r="AX135" t="s">
        <v>29</v>
      </c>
      <c r="AY135" t="s">
        <v>30</v>
      </c>
      <c r="AZ135" t="s">
        <v>9465</v>
      </c>
      <c r="BB135" t="s">
        <v>9268</v>
      </c>
      <c r="BC135" t="str">
        <f t="shared" ref="BC135:BC172" si="64">"NatGrdExt_"&amp;$A135&amp;"-"&amp;BD$1</f>
        <v>NatGrdExt_RWA-8</v>
      </c>
      <c r="BD135" t="str">
        <f t="shared" ref="BD135:BD172" si="65">"Grid Extension -"&amp;$B135&amp;"- Step "&amp;BD$1</f>
        <v>Grid Extension -Rwanda- Step 8</v>
      </c>
      <c r="BE135" t="s">
        <v>29</v>
      </c>
      <c r="BF135" t="s">
        <v>30</v>
      </c>
      <c r="BG135" t="s">
        <v>9465</v>
      </c>
      <c r="BI135" t="s">
        <v>9268</v>
      </c>
      <c r="BJ135" t="str">
        <f t="shared" ref="BJ135:BJ172" si="66">"NatGrdExt_"&amp;$A135&amp;"-"&amp;BK$1</f>
        <v>NatGrdExt_RWA-9</v>
      </c>
      <c r="BK135" t="str">
        <f t="shared" ref="BK135:BK172" si="67">"Grid Extension -"&amp;$B135&amp;"- Step "&amp;BK$1</f>
        <v>Grid Extension -Rwanda- Step 9</v>
      </c>
      <c r="BL135" t="s">
        <v>29</v>
      </c>
      <c r="BM135" t="s">
        <v>30</v>
      </c>
      <c r="BN135" t="s">
        <v>9465</v>
      </c>
      <c r="BP135" t="s">
        <v>9268</v>
      </c>
      <c r="BQ135" t="str">
        <f t="shared" ref="BQ135:BQ172" si="68">"NatGrdExt_"&amp;$A135&amp;"-"&amp;BR$1</f>
        <v>NatGrdExt_RWA-10</v>
      </c>
      <c r="BR135" t="str">
        <f t="shared" ref="BR135:BR172" si="69">"Grid Extension -"&amp;$B135&amp;"- Step "&amp;BR$1</f>
        <v>Grid Extension -Rwanda- Step 10</v>
      </c>
      <c r="BS135" t="s">
        <v>29</v>
      </c>
      <c r="BT135" t="s">
        <v>30</v>
      </c>
      <c r="BU135" t="s">
        <v>9465</v>
      </c>
    </row>
    <row r="136" spans="1:73">
      <c r="A136" s="4" t="s">
        <v>1607</v>
      </c>
      <c r="B136" s="4" t="s">
        <v>9593</v>
      </c>
      <c r="E136" t="s">
        <v>9268</v>
      </c>
      <c r="F136" t="str">
        <f t="shared" si="50"/>
        <v>NatGrdExt_SAU-1</v>
      </c>
      <c r="G136" t="str">
        <f t="shared" si="51"/>
        <v>Grid Extension -Saudi Arabia- Step 1</v>
      </c>
      <c r="H136" t="s">
        <v>29</v>
      </c>
      <c r="I136" t="s">
        <v>30</v>
      </c>
      <c r="J136" t="s">
        <v>9465</v>
      </c>
      <c r="L136" t="s">
        <v>9268</v>
      </c>
      <c r="M136" t="str">
        <f t="shared" si="52"/>
        <v>NatGrdExt_SAU-2</v>
      </c>
      <c r="N136" t="str">
        <f t="shared" si="53"/>
        <v>Grid Extension -Saudi Arabia- Step 2</v>
      </c>
      <c r="O136" t="s">
        <v>29</v>
      </c>
      <c r="P136" t="s">
        <v>30</v>
      </c>
      <c r="Q136" t="s">
        <v>9465</v>
      </c>
      <c r="S136" t="s">
        <v>9268</v>
      </c>
      <c r="T136" t="str">
        <f t="shared" si="54"/>
        <v>NatGrdExt_SAU-3</v>
      </c>
      <c r="U136" t="str">
        <f t="shared" si="55"/>
        <v>Grid Extension -Saudi Arabia- Step 3</v>
      </c>
      <c r="V136" t="s">
        <v>29</v>
      </c>
      <c r="W136" t="s">
        <v>30</v>
      </c>
      <c r="X136" t="s">
        <v>9465</v>
      </c>
      <c r="Z136" t="s">
        <v>9268</v>
      </c>
      <c r="AA136" t="str">
        <f t="shared" si="56"/>
        <v>NatGrdExt_SAU-4</v>
      </c>
      <c r="AB136" t="str">
        <f t="shared" si="57"/>
        <v>Grid Extension -Saudi Arabia- Step 4</v>
      </c>
      <c r="AC136" t="s">
        <v>29</v>
      </c>
      <c r="AD136" t="s">
        <v>30</v>
      </c>
      <c r="AE136" t="s">
        <v>9465</v>
      </c>
      <c r="AG136" t="s">
        <v>9268</v>
      </c>
      <c r="AH136" t="str">
        <f t="shared" si="58"/>
        <v>NatGrdExt_SAU-5</v>
      </c>
      <c r="AI136" t="str">
        <f t="shared" si="59"/>
        <v>Grid Extension -Saudi Arabia- Step 5</v>
      </c>
      <c r="AJ136" t="s">
        <v>29</v>
      </c>
      <c r="AK136" t="s">
        <v>30</v>
      </c>
      <c r="AL136" t="s">
        <v>9465</v>
      </c>
      <c r="AN136" t="s">
        <v>9268</v>
      </c>
      <c r="AO136" t="str">
        <f t="shared" si="60"/>
        <v>NatGrdExt_SAU-6</v>
      </c>
      <c r="AP136" t="str">
        <f t="shared" si="61"/>
        <v>Grid Extension -Saudi Arabia- Step 6</v>
      </c>
      <c r="AQ136" t="s">
        <v>29</v>
      </c>
      <c r="AR136" t="s">
        <v>30</v>
      </c>
      <c r="AS136" t="s">
        <v>9465</v>
      </c>
      <c r="AU136" t="s">
        <v>9268</v>
      </c>
      <c r="AV136" t="str">
        <f t="shared" si="62"/>
        <v>NatGrdExt_SAU-7</v>
      </c>
      <c r="AW136" t="str">
        <f t="shared" si="63"/>
        <v>Grid Extension -Saudi Arabia- Step 7</v>
      </c>
      <c r="AX136" t="s">
        <v>29</v>
      </c>
      <c r="AY136" t="s">
        <v>30</v>
      </c>
      <c r="AZ136" t="s">
        <v>9465</v>
      </c>
      <c r="BB136" t="s">
        <v>9268</v>
      </c>
      <c r="BC136" t="str">
        <f t="shared" si="64"/>
        <v>NatGrdExt_SAU-8</v>
      </c>
      <c r="BD136" t="str">
        <f t="shared" si="65"/>
        <v>Grid Extension -Saudi Arabia- Step 8</v>
      </c>
      <c r="BE136" t="s">
        <v>29</v>
      </c>
      <c r="BF136" t="s">
        <v>30</v>
      </c>
      <c r="BG136" t="s">
        <v>9465</v>
      </c>
      <c r="BI136" t="s">
        <v>9268</v>
      </c>
      <c r="BJ136" t="str">
        <f t="shared" si="66"/>
        <v>NatGrdExt_SAU-9</v>
      </c>
      <c r="BK136" t="str">
        <f t="shared" si="67"/>
        <v>Grid Extension -Saudi Arabia- Step 9</v>
      </c>
      <c r="BL136" t="s">
        <v>29</v>
      </c>
      <c r="BM136" t="s">
        <v>30</v>
      </c>
      <c r="BN136" t="s">
        <v>9465</v>
      </c>
      <c r="BP136" t="s">
        <v>9268</v>
      </c>
      <c r="BQ136" t="str">
        <f t="shared" si="68"/>
        <v>NatGrdExt_SAU-10</v>
      </c>
      <c r="BR136" t="str">
        <f t="shared" si="69"/>
        <v>Grid Extension -Saudi Arabia- Step 10</v>
      </c>
      <c r="BS136" t="s">
        <v>29</v>
      </c>
      <c r="BT136" t="s">
        <v>30</v>
      </c>
      <c r="BU136" t="s">
        <v>9465</v>
      </c>
    </row>
    <row r="137" spans="1:73">
      <c r="A137" s="4" t="s">
        <v>1619</v>
      </c>
      <c r="B137" s="4" t="s">
        <v>9594</v>
      </c>
      <c r="E137" t="s">
        <v>9268</v>
      </c>
      <c r="F137" t="str">
        <f t="shared" si="50"/>
        <v>NatGrdExt_SEN-1</v>
      </c>
      <c r="G137" t="str">
        <f t="shared" si="51"/>
        <v>Grid Extension -Senegal- Step 1</v>
      </c>
      <c r="H137" t="s">
        <v>29</v>
      </c>
      <c r="I137" t="s">
        <v>30</v>
      </c>
      <c r="J137" t="s">
        <v>9465</v>
      </c>
      <c r="L137" t="s">
        <v>9268</v>
      </c>
      <c r="M137" t="str">
        <f t="shared" si="52"/>
        <v>NatGrdExt_SEN-2</v>
      </c>
      <c r="N137" t="str">
        <f t="shared" si="53"/>
        <v>Grid Extension -Senegal- Step 2</v>
      </c>
      <c r="O137" t="s">
        <v>29</v>
      </c>
      <c r="P137" t="s">
        <v>30</v>
      </c>
      <c r="Q137" t="s">
        <v>9465</v>
      </c>
      <c r="S137" t="s">
        <v>9268</v>
      </c>
      <c r="T137" t="str">
        <f t="shared" si="54"/>
        <v>NatGrdExt_SEN-3</v>
      </c>
      <c r="U137" t="str">
        <f t="shared" si="55"/>
        <v>Grid Extension -Senegal- Step 3</v>
      </c>
      <c r="V137" t="s">
        <v>29</v>
      </c>
      <c r="W137" t="s">
        <v>30</v>
      </c>
      <c r="X137" t="s">
        <v>9465</v>
      </c>
      <c r="Z137" t="s">
        <v>9268</v>
      </c>
      <c r="AA137" t="str">
        <f t="shared" si="56"/>
        <v>NatGrdExt_SEN-4</v>
      </c>
      <c r="AB137" t="str">
        <f t="shared" si="57"/>
        <v>Grid Extension -Senegal- Step 4</v>
      </c>
      <c r="AC137" t="s">
        <v>29</v>
      </c>
      <c r="AD137" t="s">
        <v>30</v>
      </c>
      <c r="AE137" t="s">
        <v>9465</v>
      </c>
      <c r="AG137" t="s">
        <v>9268</v>
      </c>
      <c r="AH137" t="str">
        <f t="shared" si="58"/>
        <v>NatGrdExt_SEN-5</v>
      </c>
      <c r="AI137" t="str">
        <f t="shared" si="59"/>
        <v>Grid Extension -Senegal- Step 5</v>
      </c>
      <c r="AJ137" t="s">
        <v>29</v>
      </c>
      <c r="AK137" t="s">
        <v>30</v>
      </c>
      <c r="AL137" t="s">
        <v>9465</v>
      </c>
      <c r="AN137" t="s">
        <v>9268</v>
      </c>
      <c r="AO137" t="str">
        <f t="shared" si="60"/>
        <v>NatGrdExt_SEN-6</v>
      </c>
      <c r="AP137" t="str">
        <f t="shared" si="61"/>
        <v>Grid Extension -Senegal- Step 6</v>
      </c>
      <c r="AQ137" t="s">
        <v>29</v>
      </c>
      <c r="AR137" t="s">
        <v>30</v>
      </c>
      <c r="AS137" t="s">
        <v>9465</v>
      </c>
      <c r="AU137" t="s">
        <v>9268</v>
      </c>
      <c r="AV137" t="str">
        <f t="shared" si="62"/>
        <v>NatGrdExt_SEN-7</v>
      </c>
      <c r="AW137" t="str">
        <f t="shared" si="63"/>
        <v>Grid Extension -Senegal- Step 7</v>
      </c>
      <c r="AX137" t="s">
        <v>29</v>
      </c>
      <c r="AY137" t="s">
        <v>30</v>
      </c>
      <c r="AZ137" t="s">
        <v>9465</v>
      </c>
      <c r="BB137" t="s">
        <v>9268</v>
      </c>
      <c r="BC137" t="str">
        <f t="shared" si="64"/>
        <v>NatGrdExt_SEN-8</v>
      </c>
      <c r="BD137" t="str">
        <f t="shared" si="65"/>
        <v>Grid Extension -Senegal- Step 8</v>
      </c>
      <c r="BE137" t="s">
        <v>29</v>
      </c>
      <c r="BF137" t="s">
        <v>30</v>
      </c>
      <c r="BG137" t="s">
        <v>9465</v>
      </c>
      <c r="BI137" t="s">
        <v>9268</v>
      </c>
      <c r="BJ137" t="str">
        <f t="shared" si="66"/>
        <v>NatGrdExt_SEN-9</v>
      </c>
      <c r="BK137" t="str">
        <f t="shared" si="67"/>
        <v>Grid Extension -Senegal- Step 9</v>
      </c>
      <c r="BL137" t="s">
        <v>29</v>
      </c>
      <c r="BM137" t="s">
        <v>30</v>
      </c>
      <c r="BN137" t="s">
        <v>9465</v>
      </c>
      <c r="BP137" t="s">
        <v>9268</v>
      </c>
      <c r="BQ137" t="str">
        <f t="shared" si="68"/>
        <v>NatGrdExt_SEN-10</v>
      </c>
      <c r="BR137" t="str">
        <f t="shared" si="69"/>
        <v>Grid Extension -Senegal- Step 10</v>
      </c>
      <c r="BS137" t="s">
        <v>29</v>
      </c>
      <c r="BT137" t="s">
        <v>30</v>
      </c>
      <c r="BU137" t="s">
        <v>9465</v>
      </c>
    </row>
    <row r="138" spans="1:73">
      <c r="A138" s="4" t="s">
        <v>1625</v>
      </c>
      <c r="B138" s="4" t="s">
        <v>9595</v>
      </c>
      <c r="E138" t="s">
        <v>9268</v>
      </c>
      <c r="F138" t="str">
        <f t="shared" si="50"/>
        <v>NatGrdExt_SLE-1</v>
      </c>
      <c r="G138" t="str">
        <f t="shared" si="51"/>
        <v>Grid Extension -Sierra Leone- Step 1</v>
      </c>
      <c r="H138" t="s">
        <v>29</v>
      </c>
      <c r="I138" t="s">
        <v>30</v>
      </c>
      <c r="J138" t="s">
        <v>9465</v>
      </c>
      <c r="L138" t="s">
        <v>9268</v>
      </c>
      <c r="M138" t="str">
        <f t="shared" si="52"/>
        <v>NatGrdExt_SLE-2</v>
      </c>
      <c r="N138" t="str">
        <f t="shared" si="53"/>
        <v>Grid Extension -Sierra Leone- Step 2</v>
      </c>
      <c r="O138" t="s">
        <v>29</v>
      </c>
      <c r="P138" t="s">
        <v>30</v>
      </c>
      <c r="Q138" t="s">
        <v>9465</v>
      </c>
      <c r="S138" t="s">
        <v>9268</v>
      </c>
      <c r="T138" t="str">
        <f t="shared" si="54"/>
        <v>NatGrdExt_SLE-3</v>
      </c>
      <c r="U138" t="str">
        <f t="shared" si="55"/>
        <v>Grid Extension -Sierra Leone- Step 3</v>
      </c>
      <c r="V138" t="s">
        <v>29</v>
      </c>
      <c r="W138" t="s">
        <v>30</v>
      </c>
      <c r="X138" t="s">
        <v>9465</v>
      </c>
      <c r="Z138" t="s">
        <v>9268</v>
      </c>
      <c r="AA138" t="str">
        <f t="shared" si="56"/>
        <v>NatGrdExt_SLE-4</v>
      </c>
      <c r="AB138" t="str">
        <f t="shared" si="57"/>
        <v>Grid Extension -Sierra Leone- Step 4</v>
      </c>
      <c r="AC138" t="s">
        <v>29</v>
      </c>
      <c r="AD138" t="s">
        <v>30</v>
      </c>
      <c r="AE138" t="s">
        <v>9465</v>
      </c>
      <c r="AG138" t="s">
        <v>9268</v>
      </c>
      <c r="AH138" t="str">
        <f t="shared" si="58"/>
        <v>NatGrdExt_SLE-5</v>
      </c>
      <c r="AI138" t="str">
        <f t="shared" si="59"/>
        <v>Grid Extension -Sierra Leone- Step 5</v>
      </c>
      <c r="AJ138" t="s">
        <v>29</v>
      </c>
      <c r="AK138" t="s">
        <v>30</v>
      </c>
      <c r="AL138" t="s">
        <v>9465</v>
      </c>
      <c r="AN138" t="s">
        <v>9268</v>
      </c>
      <c r="AO138" t="str">
        <f t="shared" si="60"/>
        <v>NatGrdExt_SLE-6</v>
      </c>
      <c r="AP138" t="str">
        <f t="shared" si="61"/>
        <v>Grid Extension -Sierra Leone- Step 6</v>
      </c>
      <c r="AQ138" t="s">
        <v>29</v>
      </c>
      <c r="AR138" t="s">
        <v>30</v>
      </c>
      <c r="AS138" t="s">
        <v>9465</v>
      </c>
      <c r="AU138" t="s">
        <v>9268</v>
      </c>
      <c r="AV138" t="str">
        <f t="shared" si="62"/>
        <v>NatGrdExt_SLE-7</v>
      </c>
      <c r="AW138" t="str">
        <f t="shared" si="63"/>
        <v>Grid Extension -Sierra Leone- Step 7</v>
      </c>
      <c r="AX138" t="s">
        <v>29</v>
      </c>
      <c r="AY138" t="s">
        <v>30</v>
      </c>
      <c r="AZ138" t="s">
        <v>9465</v>
      </c>
      <c r="BB138" t="s">
        <v>9268</v>
      </c>
      <c r="BC138" t="str">
        <f t="shared" si="64"/>
        <v>NatGrdExt_SLE-8</v>
      </c>
      <c r="BD138" t="str">
        <f t="shared" si="65"/>
        <v>Grid Extension -Sierra Leone- Step 8</v>
      </c>
      <c r="BE138" t="s">
        <v>29</v>
      </c>
      <c r="BF138" t="s">
        <v>30</v>
      </c>
      <c r="BG138" t="s">
        <v>9465</v>
      </c>
      <c r="BI138" t="s">
        <v>9268</v>
      </c>
      <c r="BJ138" t="str">
        <f t="shared" si="66"/>
        <v>NatGrdExt_SLE-9</v>
      </c>
      <c r="BK138" t="str">
        <f t="shared" si="67"/>
        <v>Grid Extension -Sierra Leone- Step 9</v>
      </c>
      <c r="BL138" t="s">
        <v>29</v>
      </c>
      <c r="BM138" t="s">
        <v>30</v>
      </c>
      <c r="BN138" t="s">
        <v>9465</v>
      </c>
      <c r="BP138" t="s">
        <v>9268</v>
      </c>
      <c r="BQ138" t="str">
        <f t="shared" si="68"/>
        <v>NatGrdExt_SLE-10</v>
      </c>
      <c r="BR138" t="str">
        <f t="shared" si="69"/>
        <v>Grid Extension -Sierra Leone- Step 10</v>
      </c>
      <c r="BS138" t="s">
        <v>29</v>
      </c>
      <c r="BT138" t="s">
        <v>30</v>
      </c>
      <c r="BU138" t="s">
        <v>9465</v>
      </c>
    </row>
    <row r="139" spans="1:73">
      <c r="A139" s="4" t="s">
        <v>1635</v>
      </c>
      <c r="B139" s="4" t="s">
        <v>9596</v>
      </c>
      <c r="E139" t="s">
        <v>9268</v>
      </c>
      <c r="F139" t="str">
        <f t="shared" si="50"/>
        <v>NatGrdExt_SLV-1</v>
      </c>
      <c r="G139" t="str">
        <f t="shared" si="51"/>
        <v>Grid Extension -El Salvador- Step 1</v>
      </c>
      <c r="H139" t="s">
        <v>29</v>
      </c>
      <c r="I139" t="s">
        <v>30</v>
      </c>
      <c r="J139" t="s">
        <v>9465</v>
      </c>
      <c r="L139" t="s">
        <v>9268</v>
      </c>
      <c r="M139" t="str">
        <f t="shared" si="52"/>
        <v>NatGrdExt_SLV-2</v>
      </c>
      <c r="N139" t="str">
        <f t="shared" si="53"/>
        <v>Grid Extension -El Salvador- Step 2</v>
      </c>
      <c r="O139" t="s">
        <v>29</v>
      </c>
      <c r="P139" t="s">
        <v>30</v>
      </c>
      <c r="Q139" t="s">
        <v>9465</v>
      </c>
      <c r="S139" t="s">
        <v>9268</v>
      </c>
      <c r="T139" t="str">
        <f t="shared" si="54"/>
        <v>NatGrdExt_SLV-3</v>
      </c>
      <c r="U139" t="str">
        <f t="shared" si="55"/>
        <v>Grid Extension -El Salvador- Step 3</v>
      </c>
      <c r="V139" t="s">
        <v>29</v>
      </c>
      <c r="W139" t="s">
        <v>30</v>
      </c>
      <c r="X139" t="s">
        <v>9465</v>
      </c>
      <c r="Z139" t="s">
        <v>9268</v>
      </c>
      <c r="AA139" t="str">
        <f t="shared" si="56"/>
        <v>NatGrdExt_SLV-4</v>
      </c>
      <c r="AB139" t="str">
        <f t="shared" si="57"/>
        <v>Grid Extension -El Salvador- Step 4</v>
      </c>
      <c r="AC139" t="s">
        <v>29</v>
      </c>
      <c r="AD139" t="s">
        <v>30</v>
      </c>
      <c r="AE139" t="s">
        <v>9465</v>
      </c>
      <c r="AG139" t="s">
        <v>9268</v>
      </c>
      <c r="AH139" t="str">
        <f t="shared" si="58"/>
        <v>NatGrdExt_SLV-5</v>
      </c>
      <c r="AI139" t="str">
        <f t="shared" si="59"/>
        <v>Grid Extension -El Salvador- Step 5</v>
      </c>
      <c r="AJ139" t="s">
        <v>29</v>
      </c>
      <c r="AK139" t="s">
        <v>30</v>
      </c>
      <c r="AL139" t="s">
        <v>9465</v>
      </c>
      <c r="AN139" t="s">
        <v>9268</v>
      </c>
      <c r="AO139" t="str">
        <f t="shared" si="60"/>
        <v>NatGrdExt_SLV-6</v>
      </c>
      <c r="AP139" t="str">
        <f t="shared" si="61"/>
        <v>Grid Extension -El Salvador- Step 6</v>
      </c>
      <c r="AQ139" t="s">
        <v>29</v>
      </c>
      <c r="AR139" t="s">
        <v>30</v>
      </c>
      <c r="AS139" t="s">
        <v>9465</v>
      </c>
      <c r="AU139" t="s">
        <v>9268</v>
      </c>
      <c r="AV139" t="str">
        <f t="shared" si="62"/>
        <v>NatGrdExt_SLV-7</v>
      </c>
      <c r="AW139" t="str">
        <f t="shared" si="63"/>
        <v>Grid Extension -El Salvador- Step 7</v>
      </c>
      <c r="AX139" t="s">
        <v>29</v>
      </c>
      <c r="AY139" t="s">
        <v>30</v>
      </c>
      <c r="AZ139" t="s">
        <v>9465</v>
      </c>
      <c r="BB139" t="s">
        <v>9268</v>
      </c>
      <c r="BC139" t="str">
        <f t="shared" si="64"/>
        <v>NatGrdExt_SLV-8</v>
      </c>
      <c r="BD139" t="str">
        <f t="shared" si="65"/>
        <v>Grid Extension -El Salvador- Step 8</v>
      </c>
      <c r="BE139" t="s">
        <v>29</v>
      </c>
      <c r="BF139" t="s">
        <v>30</v>
      </c>
      <c r="BG139" t="s">
        <v>9465</v>
      </c>
      <c r="BI139" t="s">
        <v>9268</v>
      </c>
      <c r="BJ139" t="str">
        <f t="shared" si="66"/>
        <v>NatGrdExt_SLV-9</v>
      </c>
      <c r="BK139" t="str">
        <f t="shared" si="67"/>
        <v>Grid Extension -El Salvador- Step 9</v>
      </c>
      <c r="BL139" t="s">
        <v>29</v>
      </c>
      <c r="BM139" t="s">
        <v>30</v>
      </c>
      <c r="BN139" t="s">
        <v>9465</v>
      </c>
      <c r="BP139" t="s">
        <v>9268</v>
      </c>
      <c r="BQ139" t="str">
        <f t="shared" si="68"/>
        <v>NatGrdExt_SLV-10</v>
      </c>
      <c r="BR139" t="str">
        <f t="shared" si="69"/>
        <v>Grid Extension -El Salvador- Step 10</v>
      </c>
      <c r="BS139" t="s">
        <v>29</v>
      </c>
      <c r="BT139" t="s">
        <v>30</v>
      </c>
      <c r="BU139" t="s">
        <v>9465</v>
      </c>
    </row>
    <row r="140" spans="1:73">
      <c r="A140" s="4" t="s">
        <v>1639</v>
      </c>
      <c r="B140" s="4" t="s">
        <v>9597</v>
      </c>
      <c r="E140" t="s">
        <v>9268</v>
      </c>
      <c r="F140" t="str">
        <f t="shared" si="50"/>
        <v>NatGrdExt_SOM-1</v>
      </c>
      <c r="G140" t="str">
        <f t="shared" si="51"/>
        <v>Grid Extension -Somalia- Step 1</v>
      </c>
      <c r="H140" t="s">
        <v>29</v>
      </c>
      <c r="I140" t="s">
        <v>30</v>
      </c>
      <c r="J140" t="s">
        <v>9465</v>
      </c>
      <c r="L140" t="s">
        <v>9268</v>
      </c>
      <c r="M140" t="str">
        <f t="shared" si="52"/>
        <v>NatGrdExt_SOM-2</v>
      </c>
      <c r="N140" t="str">
        <f t="shared" si="53"/>
        <v>Grid Extension -Somalia- Step 2</v>
      </c>
      <c r="O140" t="s">
        <v>29</v>
      </c>
      <c r="P140" t="s">
        <v>30</v>
      </c>
      <c r="Q140" t="s">
        <v>9465</v>
      </c>
      <c r="S140" t="s">
        <v>9268</v>
      </c>
      <c r="T140" t="str">
        <f t="shared" si="54"/>
        <v>NatGrdExt_SOM-3</v>
      </c>
      <c r="U140" t="str">
        <f t="shared" si="55"/>
        <v>Grid Extension -Somalia- Step 3</v>
      </c>
      <c r="V140" t="s">
        <v>29</v>
      </c>
      <c r="W140" t="s">
        <v>30</v>
      </c>
      <c r="X140" t="s">
        <v>9465</v>
      </c>
      <c r="Z140" t="s">
        <v>9268</v>
      </c>
      <c r="AA140" t="str">
        <f t="shared" si="56"/>
        <v>NatGrdExt_SOM-4</v>
      </c>
      <c r="AB140" t="str">
        <f t="shared" si="57"/>
        <v>Grid Extension -Somalia- Step 4</v>
      </c>
      <c r="AC140" t="s">
        <v>29</v>
      </c>
      <c r="AD140" t="s">
        <v>30</v>
      </c>
      <c r="AE140" t="s">
        <v>9465</v>
      </c>
      <c r="AG140" t="s">
        <v>9268</v>
      </c>
      <c r="AH140" t="str">
        <f t="shared" si="58"/>
        <v>NatGrdExt_SOM-5</v>
      </c>
      <c r="AI140" t="str">
        <f t="shared" si="59"/>
        <v>Grid Extension -Somalia- Step 5</v>
      </c>
      <c r="AJ140" t="s">
        <v>29</v>
      </c>
      <c r="AK140" t="s">
        <v>30</v>
      </c>
      <c r="AL140" t="s">
        <v>9465</v>
      </c>
      <c r="AN140" t="s">
        <v>9268</v>
      </c>
      <c r="AO140" t="str">
        <f t="shared" si="60"/>
        <v>NatGrdExt_SOM-6</v>
      </c>
      <c r="AP140" t="str">
        <f t="shared" si="61"/>
        <v>Grid Extension -Somalia- Step 6</v>
      </c>
      <c r="AQ140" t="s">
        <v>29</v>
      </c>
      <c r="AR140" t="s">
        <v>30</v>
      </c>
      <c r="AS140" t="s">
        <v>9465</v>
      </c>
      <c r="AU140" t="s">
        <v>9268</v>
      </c>
      <c r="AV140" t="str">
        <f t="shared" si="62"/>
        <v>NatGrdExt_SOM-7</v>
      </c>
      <c r="AW140" t="str">
        <f t="shared" si="63"/>
        <v>Grid Extension -Somalia- Step 7</v>
      </c>
      <c r="AX140" t="s">
        <v>29</v>
      </c>
      <c r="AY140" t="s">
        <v>30</v>
      </c>
      <c r="AZ140" t="s">
        <v>9465</v>
      </c>
      <c r="BB140" t="s">
        <v>9268</v>
      </c>
      <c r="BC140" t="str">
        <f t="shared" si="64"/>
        <v>NatGrdExt_SOM-8</v>
      </c>
      <c r="BD140" t="str">
        <f t="shared" si="65"/>
        <v>Grid Extension -Somalia- Step 8</v>
      </c>
      <c r="BE140" t="s">
        <v>29</v>
      </c>
      <c r="BF140" t="s">
        <v>30</v>
      </c>
      <c r="BG140" t="s">
        <v>9465</v>
      </c>
      <c r="BI140" t="s">
        <v>9268</v>
      </c>
      <c r="BJ140" t="str">
        <f t="shared" si="66"/>
        <v>NatGrdExt_SOM-9</v>
      </c>
      <c r="BK140" t="str">
        <f t="shared" si="67"/>
        <v>Grid Extension -Somalia- Step 9</v>
      </c>
      <c r="BL140" t="s">
        <v>29</v>
      </c>
      <c r="BM140" t="s">
        <v>30</v>
      </c>
      <c r="BN140" t="s">
        <v>9465</v>
      </c>
      <c r="BP140" t="s">
        <v>9268</v>
      </c>
      <c r="BQ140" t="str">
        <f t="shared" si="68"/>
        <v>NatGrdExt_SOM-10</v>
      </c>
      <c r="BR140" t="str">
        <f t="shared" si="69"/>
        <v>Grid Extension -Somalia- Step 10</v>
      </c>
      <c r="BS140" t="s">
        <v>29</v>
      </c>
      <c r="BT140" t="s">
        <v>30</v>
      </c>
      <c r="BU140" t="s">
        <v>9465</v>
      </c>
    </row>
    <row r="141" spans="1:73">
      <c r="A141" s="4" t="s">
        <v>1643</v>
      </c>
      <c r="B141" s="4" t="s">
        <v>9598</v>
      </c>
      <c r="E141" t="s">
        <v>9268</v>
      </c>
      <c r="F141" t="str">
        <f t="shared" si="50"/>
        <v>NatGrdExt_SRB-1</v>
      </c>
      <c r="G141" t="str">
        <f t="shared" si="51"/>
        <v>Grid Extension -Serbia- Step 1</v>
      </c>
      <c r="H141" t="s">
        <v>29</v>
      </c>
      <c r="I141" t="s">
        <v>30</v>
      </c>
      <c r="J141" t="s">
        <v>9465</v>
      </c>
      <c r="L141" t="s">
        <v>9268</v>
      </c>
      <c r="M141" t="str">
        <f t="shared" si="52"/>
        <v>NatGrdExt_SRB-2</v>
      </c>
      <c r="N141" t="str">
        <f t="shared" si="53"/>
        <v>Grid Extension -Serbia- Step 2</v>
      </c>
      <c r="O141" t="s">
        <v>29</v>
      </c>
      <c r="P141" t="s">
        <v>30</v>
      </c>
      <c r="Q141" t="s">
        <v>9465</v>
      </c>
      <c r="S141" t="s">
        <v>9268</v>
      </c>
      <c r="T141" t="str">
        <f t="shared" si="54"/>
        <v>NatGrdExt_SRB-3</v>
      </c>
      <c r="U141" t="str">
        <f t="shared" si="55"/>
        <v>Grid Extension -Serbia- Step 3</v>
      </c>
      <c r="V141" t="s">
        <v>29</v>
      </c>
      <c r="W141" t="s">
        <v>30</v>
      </c>
      <c r="X141" t="s">
        <v>9465</v>
      </c>
      <c r="Z141" t="s">
        <v>9268</v>
      </c>
      <c r="AA141" t="str">
        <f t="shared" si="56"/>
        <v>NatGrdExt_SRB-4</v>
      </c>
      <c r="AB141" t="str">
        <f t="shared" si="57"/>
        <v>Grid Extension -Serbia- Step 4</v>
      </c>
      <c r="AC141" t="s">
        <v>29</v>
      </c>
      <c r="AD141" t="s">
        <v>30</v>
      </c>
      <c r="AE141" t="s">
        <v>9465</v>
      </c>
      <c r="AG141" t="s">
        <v>9268</v>
      </c>
      <c r="AH141" t="str">
        <f t="shared" si="58"/>
        <v>NatGrdExt_SRB-5</v>
      </c>
      <c r="AI141" t="str">
        <f t="shared" si="59"/>
        <v>Grid Extension -Serbia- Step 5</v>
      </c>
      <c r="AJ141" t="s">
        <v>29</v>
      </c>
      <c r="AK141" t="s">
        <v>30</v>
      </c>
      <c r="AL141" t="s">
        <v>9465</v>
      </c>
      <c r="AN141" t="s">
        <v>9268</v>
      </c>
      <c r="AO141" t="str">
        <f t="shared" si="60"/>
        <v>NatGrdExt_SRB-6</v>
      </c>
      <c r="AP141" t="str">
        <f t="shared" si="61"/>
        <v>Grid Extension -Serbia- Step 6</v>
      </c>
      <c r="AQ141" t="s">
        <v>29</v>
      </c>
      <c r="AR141" t="s">
        <v>30</v>
      </c>
      <c r="AS141" t="s">
        <v>9465</v>
      </c>
      <c r="AU141" t="s">
        <v>9268</v>
      </c>
      <c r="AV141" t="str">
        <f t="shared" si="62"/>
        <v>NatGrdExt_SRB-7</v>
      </c>
      <c r="AW141" t="str">
        <f t="shared" si="63"/>
        <v>Grid Extension -Serbia- Step 7</v>
      </c>
      <c r="AX141" t="s">
        <v>29</v>
      </c>
      <c r="AY141" t="s">
        <v>30</v>
      </c>
      <c r="AZ141" t="s">
        <v>9465</v>
      </c>
      <c r="BB141" t="s">
        <v>9268</v>
      </c>
      <c r="BC141" t="str">
        <f t="shared" si="64"/>
        <v>NatGrdExt_SRB-8</v>
      </c>
      <c r="BD141" t="str">
        <f t="shared" si="65"/>
        <v>Grid Extension -Serbia- Step 8</v>
      </c>
      <c r="BE141" t="s">
        <v>29</v>
      </c>
      <c r="BF141" t="s">
        <v>30</v>
      </c>
      <c r="BG141" t="s">
        <v>9465</v>
      </c>
      <c r="BI141" t="s">
        <v>9268</v>
      </c>
      <c r="BJ141" t="str">
        <f t="shared" si="66"/>
        <v>NatGrdExt_SRB-9</v>
      </c>
      <c r="BK141" t="str">
        <f t="shared" si="67"/>
        <v>Grid Extension -Serbia- Step 9</v>
      </c>
      <c r="BL141" t="s">
        <v>29</v>
      </c>
      <c r="BM141" t="s">
        <v>30</v>
      </c>
      <c r="BN141" t="s">
        <v>9465</v>
      </c>
      <c r="BP141" t="s">
        <v>9268</v>
      </c>
      <c r="BQ141" t="str">
        <f t="shared" si="68"/>
        <v>NatGrdExt_SRB-10</v>
      </c>
      <c r="BR141" t="str">
        <f t="shared" si="69"/>
        <v>Grid Extension -Serbia- Step 10</v>
      </c>
      <c r="BS141" t="s">
        <v>29</v>
      </c>
      <c r="BT141" t="s">
        <v>30</v>
      </c>
      <c r="BU141" t="s">
        <v>9465</v>
      </c>
    </row>
    <row r="142" spans="1:73">
      <c r="A142" s="4" t="s">
        <v>1649</v>
      </c>
      <c r="B142" s="4" t="s">
        <v>9599</v>
      </c>
      <c r="E142" t="s">
        <v>9268</v>
      </c>
      <c r="F142" t="str">
        <f t="shared" si="50"/>
        <v>NatGrdExt_SSD-1</v>
      </c>
      <c r="G142" t="str">
        <f t="shared" si="51"/>
        <v>Grid Extension -South Sudan- Step 1</v>
      </c>
      <c r="H142" t="s">
        <v>29</v>
      </c>
      <c r="I142" t="s">
        <v>30</v>
      </c>
      <c r="J142" t="s">
        <v>9465</v>
      </c>
      <c r="L142" t="s">
        <v>9268</v>
      </c>
      <c r="M142" t="str">
        <f t="shared" si="52"/>
        <v>NatGrdExt_SSD-2</v>
      </c>
      <c r="N142" t="str">
        <f t="shared" si="53"/>
        <v>Grid Extension -South Sudan- Step 2</v>
      </c>
      <c r="O142" t="s">
        <v>29</v>
      </c>
      <c r="P142" t="s">
        <v>30</v>
      </c>
      <c r="Q142" t="s">
        <v>9465</v>
      </c>
      <c r="S142" t="s">
        <v>9268</v>
      </c>
      <c r="T142" t="str">
        <f t="shared" si="54"/>
        <v>NatGrdExt_SSD-3</v>
      </c>
      <c r="U142" t="str">
        <f t="shared" si="55"/>
        <v>Grid Extension -South Sudan- Step 3</v>
      </c>
      <c r="V142" t="s">
        <v>29</v>
      </c>
      <c r="W142" t="s">
        <v>30</v>
      </c>
      <c r="X142" t="s">
        <v>9465</v>
      </c>
      <c r="Z142" t="s">
        <v>9268</v>
      </c>
      <c r="AA142" t="str">
        <f t="shared" si="56"/>
        <v>NatGrdExt_SSD-4</v>
      </c>
      <c r="AB142" t="str">
        <f t="shared" si="57"/>
        <v>Grid Extension -South Sudan- Step 4</v>
      </c>
      <c r="AC142" t="s">
        <v>29</v>
      </c>
      <c r="AD142" t="s">
        <v>30</v>
      </c>
      <c r="AE142" t="s">
        <v>9465</v>
      </c>
      <c r="AG142" t="s">
        <v>9268</v>
      </c>
      <c r="AH142" t="str">
        <f t="shared" si="58"/>
        <v>NatGrdExt_SSD-5</v>
      </c>
      <c r="AI142" t="str">
        <f t="shared" si="59"/>
        <v>Grid Extension -South Sudan- Step 5</v>
      </c>
      <c r="AJ142" t="s">
        <v>29</v>
      </c>
      <c r="AK142" t="s">
        <v>30</v>
      </c>
      <c r="AL142" t="s">
        <v>9465</v>
      </c>
      <c r="AN142" t="s">
        <v>9268</v>
      </c>
      <c r="AO142" t="str">
        <f t="shared" si="60"/>
        <v>NatGrdExt_SSD-6</v>
      </c>
      <c r="AP142" t="str">
        <f t="shared" si="61"/>
        <v>Grid Extension -South Sudan- Step 6</v>
      </c>
      <c r="AQ142" t="s">
        <v>29</v>
      </c>
      <c r="AR142" t="s">
        <v>30</v>
      </c>
      <c r="AS142" t="s">
        <v>9465</v>
      </c>
      <c r="AU142" t="s">
        <v>9268</v>
      </c>
      <c r="AV142" t="str">
        <f t="shared" si="62"/>
        <v>NatGrdExt_SSD-7</v>
      </c>
      <c r="AW142" t="str">
        <f t="shared" si="63"/>
        <v>Grid Extension -South Sudan- Step 7</v>
      </c>
      <c r="AX142" t="s">
        <v>29</v>
      </c>
      <c r="AY142" t="s">
        <v>30</v>
      </c>
      <c r="AZ142" t="s">
        <v>9465</v>
      </c>
      <c r="BB142" t="s">
        <v>9268</v>
      </c>
      <c r="BC142" t="str">
        <f t="shared" si="64"/>
        <v>NatGrdExt_SSD-8</v>
      </c>
      <c r="BD142" t="str">
        <f t="shared" si="65"/>
        <v>Grid Extension -South Sudan- Step 8</v>
      </c>
      <c r="BE142" t="s">
        <v>29</v>
      </c>
      <c r="BF142" t="s">
        <v>30</v>
      </c>
      <c r="BG142" t="s">
        <v>9465</v>
      </c>
      <c r="BI142" t="s">
        <v>9268</v>
      </c>
      <c r="BJ142" t="str">
        <f t="shared" si="66"/>
        <v>NatGrdExt_SSD-9</v>
      </c>
      <c r="BK142" t="str">
        <f t="shared" si="67"/>
        <v>Grid Extension -South Sudan- Step 9</v>
      </c>
      <c r="BL142" t="s">
        <v>29</v>
      </c>
      <c r="BM142" t="s">
        <v>30</v>
      </c>
      <c r="BN142" t="s">
        <v>9465</v>
      </c>
      <c r="BP142" t="s">
        <v>9268</v>
      </c>
      <c r="BQ142" t="str">
        <f t="shared" si="68"/>
        <v>NatGrdExt_SSD-10</v>
      </c>
      <c r="BR142" t="str">
        <f t="shared" si="69"/>
        <v>Grid Extension -South Sudan- Step 10</v>
      </c>
      <c r="BS142" t="s">
        <v>29</v>
      </c>
      <c r="BT142" t="s">
        <v>30</v>
      </c>
      <c r="BU142" t="s">
        <v>9465</v>
      </c>
    </row>
    <row r="143" spans="1:73">
      <c r="A143" s="4" t="s">
        <v>1667</v>
      </c>
      <c r="B143" s="4" t="s">
        <v>9600</v>
      </c>
      <c r="E143" t="s">
        <v>9268</v>
      </c>
      <c r="F143" t="str">
        <f t="shared" si="50"/>
        <v>NatGrdExt_SUR-1</v>
      </c>
      <c r="G143" t="str">
        <f t="shared" si="51"/>
        <v>Grid Extension -Suriname- Step 1</v>
      </c>
      <c r="H143" t="s">
        <v>29</v>
      </c>
      <c r="I143" t="s">
        <v>30</v>
      </c>
      <c r="J143" t="s">
        <v>9465</v>
      </c>
      <c r="L143" t="s">
        <v>9268</v>
      </c>
      <c r="M143" t="str">
        <f t="shared" si="52"/>
        <v>NatGrdExt_SUR-2</v>
      </c>
      <c r="N143" t="str">
        <f t="shared" si="53"/>
        <v>Grid Extension -Suriname- Step 2</v>
      </c>
      <c r="O143" t="s">
        <v>29</v>
      </c>
      <c r="P143" t="s">
        <v>30</v>
      </c>
      <c r="Q143" t="s">
        <v>9465</v>
      </c>
      <c r="S143" t="s">
        <v>9268</v>
      </c>
      <c r="T143" t="str">
        <f t="shared" si="54"/>
        <v>NatGrdExt_SUR-3</v>
      </c>
      <c r="U143" t="str">
        <f t="shared" si="55"/>
        <v>Grid Extension -Suriname- Step 3</v>
      </c>
      <c r="V143" t="s">
        <v>29</v>
      </c>
      <c r="W143" t="s">
        <v>30</v>
      </c>
      <c r="X143" t="s">
        <v>9465</v>
      </c>
      <c r="Z143" t="s">
        <v>9268</v>
      </c>
      <c r="AA143" t="str">
        <f t="shared" si="56"/>
        <v>NatGrdExt_SUR-4</v>
      </c>
      <c r="AB143" t="str">
        <f t="shared" si="57"/>
        <v>Grid Extension -Suriname- Step 4</v>
      </c>
      <c r="AC143" t="s">
        <v>29</v>
      </c>
      <c r="AD143" t="s">
        <v>30</v>
      </c>
      <c r="AE143" t="s">
        <v>9465</v>
      </c>
      <c r="AG143" t="s">
        <v>9268</v>
      </c>
      <c r="AH143" t="str">
        <f t="shared" si="58"/>
        <v>NatGrdExt_SUR-5</v>
      </c>
      <c r="AI143" t="str">
        <f t="shared" si="59"/>
        <v>Grid Extension -Suriname- Step 5</v>
      </c>
      <c r="AJ143" t="s">
        <v>29</v>
      </c>
      <c r="AK143" t="s">
        <v>30</v>
      </c>
      <c r="AL143" t="s">
        <v>9465</v>
      </c>
      <c r="AN143" t="s">
        <v>9268</v>
      </c>
      <c r="AO143" t="str">
        <f t="shared" si="60"/>
        <v>NatGrdExt_SUR-6</v>
      </c>
      <c r="AP143" t="str">
        <f t="shared" si="61"/>
        <v>Grid Extension -Suriname- Step 6</v>
      </c>
      <c r="AQ143" t="s">
        <v>29</v>
      </c>
      <c r="AR143" t="s">
        <v>30</v>
      </c>
      <c r="AS143" t="s">
        <v>9465</v>
      </c>
      <c r="AU143" t="s">
        <v>9268</v>
      </c>
      <c r="AV143" t="str">
        <f t="shared" si="62"/>
        <v>NatGrdExt_SUR-7</v>
      </c>
      <c r="AW143" t="str">
        <f t="shared" si="63"/>
        <v>Grid Extension -Suriname- Step 7</v>
      </c>
      <c r="AX143" t="s">
        <v>29</v>
      </c>
      <c r="AY143" t="s">
        <v>30</v>
      </c>
      <c r="AZ143" t="s">
        <v>9465</v>
      </c>
      <c r="BB143" t="s">
        <v>9268</v>
      </c>
      <c r="BC143" t="str">
        <f t="shared" si="64"/>
        <v>NatGrdExt_SUR-8</v>
      </c>
      <c r="BD143" t="str">
        <f t="shared" si="65"/>
        <v>Grid Extension -Suriname- Step 8</v>
      </c>
      <c r="BE143" t="s">
        <v>29</v>
      </c>
      <c r="BF143" t="s">
        <v>30</v>
      </c>
      <c r="BG143" t="s">
        <v>9465</v>
      </c>
      <c r="BI143" t="s">
        <v>9268</v>
      </c>
      <c r="BJ143" t="str">
        <f t="shared" si="66"/>
        <v>NatGrdExt_SUR-9</v>
      </c>
      <c r="BK143" t="str">
        <f t="shared" si="67"/>
        <v>Grid Extension -Suriname- Step 9</v>
      </c>
      <c r="BL143" t="s">
        <v>29</v>
      </c>
      <c r="BM143" t="s">
        <v>30</v>
      </c>
      <c r="BN143" t="s">
        <v>9465</v>
      </c>
      <c r="BP143" t="s">
        <v>9268</v>
      </c>
      <c r="BQ143" t="str">
        <f t="shared" si="68"/>
        <v>NatGrdExt_SUR-10</v>
      </c>
      <c r="BR143" t="str">
        <f t="shared" si="69"/>
        <v>Grid Extension -Suriname- Step 10</v>
      </c>
      <c r="BS143" t="s">
        <v>29</v>
      </c>
      <c r="BT143" t="s">
        <v>30</v>
      </c>
      <c r="BU143" t="s">
        <v>9465</v>
      </c>
    </row>
    <row r="144" spans="1:73">
      <c r="A144" s="4" t="s">
        <v>1677</v>
      </c>
      <c r="B144" s="4" t="s">
        <v>9601</v>
      </c>
      <c r="E144" t="s">
        <v>9268</v>
      </c>
      <c r="F144" t="str">
        <f t="shared" si="50"/>
        <v>NatGrdExt_SVK-1</v>
      </c>
      <c r="G144" t="str">
        <f t="shared" si="51"/>
        <v>Grid Extension -Slovak Republic- Step 1</v>
      </c>
      <c r="H144" t="s">
        <v>29</v>
      </c>
      <c r="I144" t="s">
        <v>30</v>
      </c>
      <c r="J144" t="s">
        <v>9465</v>
      </c>
      <c r="L144" t="s">
        <v>9268</v>
      </c>
      <c r="M144" t="str">
        <f t="shared" si="52"/>
        <v>NatGrdExt_SVK-2</v>
      </c>
      <c r="N144" t="str">
        <f t="shared" si="53"/>
        <v>Grid Extension -Slovak Republic- Step 2</v>
      </c>
      <c r="O144" t="s">
        <v>29</v>
      </c>
      <c r="P144" t="s">
        <v>30</v>
      </c>
      <c r="Q144" t="s">
        <v>9465</v>
      </c>
      <c r="S144" t="s">
        <v>9268</v>
      </c>
      <c r="T144" t="str">
        <f t="shared" si="54"/>
        <v>NatGrdExt_SVK-3</v>
      </c>
      <c r="U144" t="str">
        <f t="shared" si="55"/>
        <v>Grid Extension -Slovak Republic- Step 3</v>
      </c>
      <c r="V144" t="s">
        <v>29</v>
      </c>
      <c r="W144" t="s">
        <v>30</v>
      </c>
      <c r="X144" t="s">
        <v>9465</v>
      </c>
      <c r="Z144" t="s">
        <v>9268</v>
      </c>
      <c r="AA144" t="str">
        <f t="shared" si="56"/>
        <v>NatGrdExt_SVK-4</v>
      </c>
      <c r="AB144" t="str">
        <f t="shared" si="57"/>
        <v>Grid Extension -Slovak Republic- Step 4</v>
      </c>
      <c r="AC144" t="s">
        <v>29</v>
      </c>
      <c r="AD144" t="s">
        <v>30</v>
      </c>
      <c r="AE144" t="s">
        <v>9465</v>
      </c>
      <c r="AG144" t="s">
        <v>9268</v>
      </c>
      <c r="AH144" t="str">
        <f t="shared" si="58"/>
        <v>NatGrdExt_SVK-5</v>
      </c>
      <c r="AI144" t="str">
        <f t="shared" si="59"/>
        <v>Grid Extension -Slovak Republic- Step 5</v>
      </c>
      <c r="AJ144" t="s">
        <v>29</v>
      </c>
      <c r="AK144" t="s">
        <v>30</v>
      </c>
      <c r="AL144" t="s">
        <v>9465</v>
      </c>
      <c r="AN144" t="s">
        <v>9268</v>
      </c>
      <c r="AO144" t="str">
        <f t="shared" si="60"/>
        <v>NatGrdExt_SVK-6</v>
      </c>
      <c r="AP144" t="str">
        <f t="shared" si="61"/>
        <v>Grid Extension -Slovak Republic- Step 6</v>
      </c>
      <c r="AQ144" t="s">
        <v>29</v>
      </c>
      <c r="AR144" t="s">
        <v>30</v>
      </c>
      <c r="AS144" t="s">
        <v>9465</v>
      </c>
      <c r="AU144" t="s">
        <v>9268</v>
      </c>
      <c r="AV144" t="str">
        <f t="shared" si="62"/>
        <v>NatGrdExt_SVK-7</v>
      </c>
      <c r="AW144" t="str">
        <f t="shared" si="63"/>
        <v>Grid Extension -Slovak Republic- Step 7</v>
      </c>
      <c r="AX144" t="s">
        <v>29</v>
      </c>
      <c r="AY144" t="s">
        <v>30</v>
      </c>
      <c r="AZ144" t="s">
        <v>9465</v>
      </c>
      <c r="BB144" t="s">
        <v>9268</v>
      </c>
      <c r="BC144" t="str">
        <f t="shared" si="64"/>
        <v>NatGrdExt_SVK-8</v>
      </c>
      <c r="BD144" t="str">
        <f t="shared" si="65"/>
        <v>Grid Extension -Slovak Republic- Step 8</v>
      </c>
      <c r="BE144" t="s">
        <v>29</v>
      </c>
      <c r="BF144" t="s">
        <v>30</v>
      </c>
      <c r="BG144" t="s">
        <v>9465</v>
      </c>
      <c r="BI144" t="s">
        <v>9268</v>
      </c>
      <c r="BJ144" t="str">
        <f t="shared" si="66"/>
        <v>NatGrdExt_SVK-9</v>
      </c>
      <c r="BK144" t="str">
        <f t="shared" si="67"/>
        <v>Grid Extension -Slovak Republic- Step 9</v>
      </c>
      <c r="BL144" t="s">
        <v>29</v>
      </c>
      <c r="BM144" t="s">
        <v>30</v>
      </c>
      <c r="BN144" t="s">
        <v>9465</v>
      </c>
      <c r="BP144" t="s">
        <v>9268</v>
      </c>
      <c r="BQ144" t="str">
        <f t="shared" si="68"/>
        <v>NatGrdExt_SVK-10</v>
      </c>
      <c r="BR144" t="str">
        <f t="shared" si="69"/>
        <v>Grid Extension -Slovak Republic- Step 10</v>
      </c>
      <c r="BS144" t="s">
        <v>29</v>
      </c>
      <c r="BT144" t="s">
        <v>30</v>
      </c>
      <c r="BU144" t="s">
        <v>9465</v>
      </c>
    </row>
    <row r="145" spans="1:73">
      <c r="A145" s="4" t="s">
        <v>1681</v>
      </c>
      <c r="B145" s="4" t="s">
        <v>9602</v>
      </c>
      <c r="E145" t="s">
        <v>9268</v>
      </c>
      <c r="F145" t="str">
        <f t="shared" si="50"/>
        <v>NatGrdExt_SVN-1</v>
      </c>
      <c r="G145" t="str">
        <f t="shared" si="51"/>
        <v>Grid Extension -Slovenia- Step 1</v>
      </c>
      <c r="H145" t="s">
        <v>29</v>
      </c>
      <c r="I145" t="s">
        <v>30</v>
      </c>
      <c r="J145" t="s">
        <v>9465</v>
      </c>
      <c r="L145" t="s">
        <v>9268</v>
      </c>
      <c r="M145" t="str">
        <f t="shared" si="52"/>
        <v>NatGrdExt_SVN-2</v>
      </c>
      <c r="N145" t="str">
        <f t="shared" si="53"/>
        <v>Grid Extension -Slovenia- Step 2</v>
      </c>
      <c r="O145" t="s">
        <v>29</v>
      </c>
      <c r="P145" t="s">
        <v>30</v>
      </c>
      <c r="Q145" t="s">
        <v>9465</v>
      </c>
      <c r="S145" t="s">
        <v>9268</v>
      </c>
      <c r="T145" t="str">
        <f t="shared" si="54"/>
        <v>NatGrdExt_SVN-3</v>
      </c>
      <c r="U145" t="str">
        <f t="shared" si="55"/>
        <v>Grid Extension -Slovenia- Step 3</v>
      </c>
      <c r="V145" t="s">
        <v>29</v>
      </c>
      <c r="W145" t="s">
        <v>30</v>
      </c>
      <c r="X145" t="s">
        <v>9465</v>
      </c>
      <c r="Z145" t="s">
        <v>9268</v>
      </c>
      <c r="AA145" t="str">
        <f t="shared" si="56"/>
        <v>NatGrdExt_SVN-4</v>
      </c>
      <c r="AB145" t="str">
        <f t="shared" si="57"/>
        <v>Grid Extension -Slovenia- Step 4</v>
      </c>
      <c r="AC145" t="s">
        <v>29</v>
      </c>
      <c r="AD145" t="s">
        <v>30</v>
      </c>
      <c r="AE145" t="s">
        <v>9465</v>
      </c>
      <c r="AG145" t="s">
        <v>9268</v>
      </c>
      <c r="AH145" t="str">
        <f t="shared" si="58"/>
        <v>NatGrdExt_SVN-5</v>
      </c>
      <c r="AI145" t="str">
        <f t="shared" si="59"/>
        <v>Grid Extension -Slovenia- Step 5</v>
      </c>
      <c r="AJ145" t="s">
        <v>29</v>
      </c>
      <c r="AK145" t="s">
        <v>30</v>
      </c>
      <c r="AL145" t="s">
        <v>9465</v>
      </c>
      <c r="AN145" t="s">
        <v>9268</v>
      </c>
      <c r="AO145" t="str">
        <f t="shared" si="60"/>
        <v>NatGrdExt_SVN-6</v>
      </c>
      <c r="AP145" t="str">
        <f t="shared" si="61"/>
        <v>Grid Extension -Slovenia- Step 6</v>
      </c>
      <c r="AQ145" t="s">
        <v>29</v>
      </c>
      <c r="AR145" t="s">
        <v>30</v>
      </c>
      <c r="AS145" t="s">
        <v>9465</v>
      </c>
      <c r="AU145" t="s">
        <v>9268</v>
      </c>
      <c r="AV145" t="str">
        <f t="shared" si="62"/>
        <v>NatGrdExt_SVN-7</v>
      </c>
      <c r="AW145" t="str">
        <f t="shared" si="63"/>
        <v>Grid Extension -Slovenia- Step 7</v>
      </c>
      <c r="AX145" t="s">
        <v>29</v>
      </c>
      <c r="AY145" t="s">
        <v>30</v>
      </c>
      <c r="AZ145" t="s">
        <v>9465</v>
      </c>
      <c r="BB145" t="s">
        <v>9268</v>
      </c>
      <c r="BC145" t="str">
        <f t="shared" si="64"/>
        <v>NatGrdExt_SVN-8</v>
      </c>
      <c r="BD145" t="str">
        <f t="shared" si="65"/>
        <v>Grid Extension -Slovenia- Step 8</v>
      </c>
      <c r="BE145" t="s">
        <v>29</v>
      </c>
      <c r="BF145" t="s">
        <v>30</v>
      </c>
      <c r="BG145" t="s">
        <v>9465</v>
      </c>
      <c r="BI145" t="s">
        <v>9268</v>
      </c>
      <c r="BJ145" t="str">
        <f t="shared" si="66"/>
        <v>NatGrdExt_SVN-9</v>
      </c>
      <c r="BK145" t="str">
        <f t="shared" si="67"/>
        <v>Grid Extension -Slovenia- Step 9</v>
      </c>
      <c r="BL145" t="s">
        <v>29</v>
      </c>
      <c r="BM145" t="s">
        <v>30</v>
      </c>
      <c r="BN145" t="s">
        <v>9465</v>
      </c>
      <c r="BP145" t="s">
        <v>9268</v>
      </c>
      <c r="BQ145" t="str">
        <f t="shared" si="68"/>
        <v>NatGrdExt_SVN-10</v>
      </c>
      <c r="BR145" t="str">
        <f t="shared" si="69"/>
        <v>Grid Extension -Slovenia- Step 10</v>
      </c>
      <c r="BS145" t="s">
        <v>29</v>
      </c>
      <c r="BT145" t="s">
        <v>30</v>
      </c>
      <c r="BU145" t="s">
        <v>9465</v>
      </c>
    </row>
    <row r="146" spans="1:73">
      <c r="A146" s="4" t="s">
        <v>1685</v>
      </c>
      <c r="B146" s="4" t="s">
        <v>9603</v>
      </c>
      <c r="E146" t="s">
        <v>9268</v>
      </c>
      <c r="F146" t="str">
        <f t="shared" si="50"/>
        <v>NatGrdExt_SWE-1</v>
      </c>
      <c r="G146" t="str">
        <f t="shared" si="51"/>
        <v>Grid Extension -Sweden- Step 1</v>
      </c>
      <c r="H146" t="s">
        <v>29</v>
      </c>
      <c r="I146" t="s">
        <v>30</v>
      </c>
      <c r="J146" t="s">
        <v>9465</v>
      </c>
      <c r="L146" t="s">
        <v>9268</v>
      </c>
      <c r="M146" t="str">
        <f t="shared" si="52"/>
        <v>NatGrdExt_SWE-2</v>
      </c>
      <c r="N146" t="str">
        <f t="shared" si="53"/>
        <v>Grid Extension -Sweden- Step 2</v>
      </c>
      <c r="O146" t="s">
        <v>29</v>
      </c>
      <c r="P146" t="s">
        <v>30</v>
      </c>
      <c r="Q146" t="s">
        <v>9465</v>
      </c>
      <c r="S146" t="s">
        <v>9268</v>
      </c>
      <c r="T146" t="str">
        <f t="shared" si="54"/>
        <v>NatGrdExt_SWE-3</v>
      </c>
      <c r="U146" t="str">
        <f t="shared" si="55"/>
        <v>Grid Extension -Sweden- Step 3</v>
      </c>
      <c r="V146" t="s">
        <v>29</v>
      </c>
      <c r="W146" t="s">
        <v>30</v>
      </c>
      <c r="X146" t="s">
        <v>9465</v>
      </c>
      <c r="Z146" t="s">
        <v>9268</v>
      </c>
      <c r="AA146" t="str">
        <f t="shared" si="56"/>
        <v>NatGrdExt_SWE-4</v>
      </c>
      <c r="AB146" t="str">
        <f t="shared" si="57"/>
        <v>Grid Extension -Sweden- Step 4</v>
      </c>
      <c r="AC146" t="s">
        <v>29</v>
      </c>
      <c r="AD146" t="s">
        <v>30</v>
      </c>
      <c r="AE146" t="s">
        <v>9465</v>
      </c>
      <c r="AG146" t="s">
        <v>9268</v>
      </c>
      <c r="AH146" t="str">
        <f t="shared" si="58"/>
        <v>NatGrdExt_SWE-5</v>
      </c>
      <c r="AI146" t="str">
        <f t="shared" si="59"/>
        <v>Grid Extension -Sweden- Step 5</v>
      </c>
      <c r="AJ146" t="s">
        <v>29</v>
      </c>
      <c r="AK146" t="s">
        <v>30</v>
      </c>
      <c r="AL146" t="s">
        <v>9465</v>
      </c>
      <c r="AN146" t="s">
        <v>9268</v>
      </c>
      <c r="AO146" t="str">
        <f t="shared" si="60"/>
        <v>NatGrdExt_SWE-6</v>
      </c>
      <c r="AP146" t="str">
        <f t="shared" si="61"/>
        <v>Grid Extension -Sweden- Step 6</v>
      </c>
      <c r="AQ146" t="s">
        <v>29</v>
      </c>
      <c r="AR146" t="s">
        <v>30</v>
      </c>
      <c r="AS146" t="s">
        <v>9465</v>
      </c>
      <c r="AU146" t="s">
        <v>9268</v>
      </c>
      <c r="AV146" t="str">
        <f t="shared" si="62"/>
        <v>NatGrdExt_SWE-7</v>
      </c>
      <c r="AW146" t="str">
        <f t="shared" si="63"/>
        <v>Grid Extension -Sweden- Step 7</v>
      </c>
      <c r="AX146" t="s">
        <v>29</v>
      </c>
      <c r="AY146" t="s">
        <v>30</v>
      </c>
      <c r="AZ146" t="s">
        <v>9465</v>
      </c>
      <c r="BB146" t="s">
        <v>9268</v>
      </c>
      <c r="BC146" t="str">
        <f t="shared" si="64"/>
        <v>NatGrdExt_SWE-8</v>
      </c>
      <c r="BD146" t="str">
        <f t="shared" si="65"/>
        <v>Grid Extension -Sweden- Step 8</v>
      </c>
      <c r="BE146" t="s">
        <v>29</v>
      </c>
      <c r="BF146" t="s">
        <v>30</v>
      </c>
      <c r="BG146" t="s">
        <v>9465</v>
      </c>
      <c r="BI146" t="s">
        <v>9268</v>
      </c>
      <c r="BJ146" t="str">
        <f t="shared" si="66"/>
        <v>NatGrdExt_SWE-9</v>
      </c>
      <c r="BK146" t="str">
        <f t="shared" si="67"/>
        <v>Grid Extension -Sweden- Step 9</v>
      </c>
      <c r="BL146" t="s">
        <v>29</v>
      </c>
      <c r="BM146" t="s">
        <v>30</v>
      </c>
      <c r="BN146" t="s">
        <v>9465</v>
      </c>
      <c r="BP146" t="s">
        <v>9268</v>
      </c>
      <c r="BQ146" t="str">
        <f t="shared" si="68"/>
        <v>NatGrdExt_SWE-10</v>
      </c>
      <c r="BR146" t="str">
        <f t="shared" si="69"/>
        <v>Grid Extension -Sweden- Step 10</v>
      </c>
      <c r="BS146" t="s">
        <v>29</v>
      </c>
      <c r="BT146" t="s">
        <v>30</v>
      </c>
      <c r="BU146" t="s">
        <v>9465</v>
      </c>
    </row>
    <row r="147" spans="1:73">
      <c r="A147" s="4" t="s">
        <v>1695</v>
      </c>
      <c r="B147" s="4" t="s">
        <v>9604</v>
      </c>
      <c r="E147" t="s">
        <v>9268</v>
      </c>
      <c r="F147" t="str">
        <f t="shared" si="50"/>
        <v>NatGrdExt_SWZ-1</v>
      </c>
      <c r="G147" t="str">
        <f t="shared" si="51"/>
        <v>Grid Extension -Swaziland- Step 1</v>
      </c>
      <c r="H147" t="s">
        <v>29</v>
      </c>
      <c r="I147" t="s">
        <v>30</v>
      </c>
      <c r="J147" t="s">
        <v>9465</v>
      </c>
      <c r="L147" t="s">
        <v>9268</v>
      </c>
      <c r="M147" t="str">
        <f t="shared" si="52"/>
        <v>NatGrdExt_SWZ-2</v>
      </c>
      <c r="N147" t="str">
        <f t="shared" si="53"/>
        <v>Grid Extension -Swaziland- Step 2</v>
      </c>
      <c r="O147" t="s">
        <v>29</v>
      </c>
      <c r="P147" t="s">
        <v>30</v>
      </c>
      <c r="Q147" t="s">
        <v>9465</v>
      </c>
      <c r="S147" t="s">
        <v>9268</v>
      </c>
      <c r="T147" t="str">
        <f t="shared" si="54"/>
        <v>NatGrdExt_SWZ-3</v>
      </c>
      <c r="U147" t="str">
        <f t="shared" si="55"/>
        <v>Grid Extension -Swaziland- Step 3</v>
      </c>
      <c r="V147" t="s">
        <v>29</v>
      </c>
      <c r="W147" t="s">
        <v>30</v>
      </c>
      <c r="X147" t="s">
        <v>9465</v>
      </c>
      <c r="Z147" t="s">
        <v>9268</v>
      </c>
      <c r="AA147" t="str">
        <f t="shared" si="56"/>
        <v>NatGrdExt_SWZ-4</v>
      </c>
      <c r="AB147" t="str">
        <f t="shared" si="57"/>
        <v>Grid Extension -Swaziland- Step 4</v>
      </c>
      <c r="AC147" t="s">
        <v>29</v>
      </c>
      <c r="AD147" t="s">
        <v>30</v>
      </c>
      <c r="AE147" t="s">
        <v>9465</v>
      </c>
      <c r="AG147" t="s">
        <v>9268</v>
      </c>
      <c r="AH147" t="str">
        <f t="shared" si="58"/>
        <v>NatGrdExt_SWZ-5</v>
      </c>
      <c r="AI147" t="str">
        <f t="shared" si="59"/>
        <v>Grid Extension -Swaziland- Step 5</v>
      </c>
      <c r="AJ147" t="s">
        <v>29</v>
      </c>
      <c r="AK147" t="s">
        <v>30</v>
      </c>
      <c r="AL147" t="s">
        <v>9465</v>
      </c>
      <c r="AN147" t="s">
        <v>9268</v>
      </c>
      <c r="AO147" t="str">
        <f t="shared" si="60"/>
        <v>NatGrdExt_SWZ-6</v>
      </c>
      <c r="AP147" t="str">
        <f t="shared" si="61"/>
        <v>Grid Extension -Swaziland- Step 6</v>
      </c>
      <c r="AQ147" t="s">
        <v>29</v>
      </c>
      <c r="AR147" t="s">
        <v>30</v>
      </c>
      <c r="AS147" t="s">
        <v>9465</v>
      </c>
      <c r="AU147" t="s">
        <v>9268</v>
      </c>
      <c r="AV147" t="str">
        <f t="shared" si="62"/>
        <v>NatGrdExt_SWZ-7</v>
      </c>
      <c r="AW147" t="str">
        <f t="shared" si="63"/>
        <v>Grid Extension -Swaziland- Step 7</v>
      </c>
      <c r="AX147" t="s">
        <v>29</v>
      </c>
      <c r="AY147" t="s">
        <v>30</v>
      </c>
      <c r="AZ147" t="s">
        <v>9465</v>
      </c>
      <c r="BB147" t="s">
        <v>9268</v>
      </c>
      <c r="BC147" t="str">
        <f t="shared" si="64"/>
        <v>NatGrdExt_SWZ-8</v>
      </c>
      <c r="BD147" t="str">
        <f t="shared" si="65"/>
        <v>Grid Extension -Swaziland- Step 8</v>
      </c>
      <c r="BE147" t="s">
        <v>29</v>
      </c>
      <c r="BF147" t="s">
        <v>30</v>
      </c>
      <c r="BG147" t="s">
        <v>9465</v>
      </c>
      <c r="BI147" t="s">
        <v>9268</v>
      </c>
      <c r="BJ147" t="str">
        <f t="shared" si="66"/>
        <v>NatGrdExt_SWZ-9</v>
      </c>
      <c r="BK147" t="str">
        <f t="shared" si="67"/>
        <v>Grid Extension -Swaziland- Step 9</v>
      </c>
      <c r="BL147" t="s">
        <v>29</v>
      </c>
      <c r="BM147" t="s">
        <v>30</v>
      </c>
      <c r="BN147" t="s">
        <v>9465</v>
      </c>
      <c r="BP147" t="s">
        <v>9268</v>
      </c>
      <c r="BQ147" t="str">
        <f t="shared" si="68"/>
        <v>NatGrdExt_SWZ-10</v>
      </c>
      <c r="BR147" t="str">
        <f t="shared" si="69"/>
        <v>Grid Extension -Swaziland- Step 10</v>
      </c>
      <c r="BS147" t="s">
        <v>29</v>
      </c>
      <c r="BT147" t="s">
        <v>30</v>
      </c>
      <c r="BU147" t="s">
        <v>9465</v>
      </c>
    </row>
    <row r="148" spans="1:73">
      <c r="A148" s="4" t="s">
        <v>1703</v>
      </c>
      <c r="B148" s="4" t="s">
        <v>9605</v>
      </c>
      <c r="E148" t="s">
        <v>9268</v>
      </c>
      <c r="F148" t="str">
        <f t="shared" si="50"/>
        <v>NatGrdExt_SYR-1</v>
      </c>
      <c r="G148" t="str">
        <f t="shared" si="51"/>
        <v>Grid Extension -Syrian Arab Republic- Step 1</v>
      </c>
      <c r="H148" t="s">
        <v>29</v>
      </c>
      <c r="I148" t="s">
        <v>30</v>
      </c>
      <c r="J148" t="s">
        <v>9465</v>
      </c>
      <c r="L148" t="s">
        <v>9268</v>
      </c>
      <c r="M148" t="str">
        <f t="shared" si="52"/>
        <v>NatGrdExt_SYR-2</v>
      </c>
      <c r="N148" t="str">
        <f t="shared" si="53"/>
        <v>Grid Extension -Syrian Arab Republic- Step 2</v>
      </c>
      <c r="O148" t="s">
        <v>29</v>
      </c>
      <c r="P148" t="s">
        <v>30</v>
      </c>
      <c r="Q148" t="s">
        <v>9465</v>
      </c>
      <c r="S148" t="s">
        <v>9268</v>
      </c>
      <c r="T148" t="str">
        <f t="shared" si="54"/>
        <v>NatGrdExt_SYR-3</v>
      </c>
      <c r="U148" t="str">
        <f t="shared" si="55"/>
        <v>Grid Extension -Syrian Arab Republic- Step 3</v>
      </c>
      <c r="V148" t="s">
        <v>29</v>
      </c>
      <c r="W148" t="s">
        <v>30</v>
      </c>
      <c r="X148" t="s">
        <v>9465</v>
      </c>
      <c r="Z148" t="s">
        <v>9268</v>
      </c>
      <c r="AA148" t="str">
        <f t="shared" si="56"/>
        <v>NatGrdExt_SYR-4</v>
      </c>
      <c r="AB148" t="str">
        <f t="shared" si="57"/>
        <v>Grid Extension -Syrian Arab Republic- Step 4</v>
      </c>
      <c r="AC148" t="s">
        <v>29</v>
      </c>
      <c r="AD148" t="s">
        <v>30</v>
      </c>
      <c r="AE148" t="s">
        <v>9465</v>
      </c>
      <c r="AG148" t="s">
        <v>9268</v>
      </c>
      <c r="AH148" t="str">
        <f t="shared" si="58"/>
        <v>NatGrdExt_SYR-5</v>
      </c>
      <c r="AI148" t="str">
        <f t="shared" si="59"/>
        <v>Grid Extension -Syrian Arab Republic- Step 5</v>
      </c>
      <c r="AJ148" t="s">
        <v>29</v>
      </c>
      <c r="AK148" t="s">
        <v>30</v>
      </c>
      <c r="AL148" t="s">
        <v>9465</v>
      </c>
      <c r="AN148" t="s">
        <v>9268</v>
      </c>
      <c r="AO148" t="str">
        <f t="shared" si="60"/>
        <v>NatGrdExt_SYR-6</v>
      </c>
      <c r="AP148" t="str">
        <f t="shared" si="61"/>
        <v>Grid Extension -Syrian Arab Republic- Step 6</v>
      </c>
      <c r="AQ148" t="s">
        <v>29</v>
      </c>
      <c r="AR148" t="s">
        <v>30</v>
      </c>
      <c r="AS148" t="s">
        <v>9465</v>
      </c>
      <c r="AU148" t="s">
        <v>9268</v>
      </c>
      <c r="AV148" t="str">
        <f t="shared" si="62"/>
        <v>NatGrdExt_SYR-7</v>
      </c>
      <c r="AW148" t="str">
        <f t="shared" si="63"/>
        <v>Grid Extension -Syrian Arab Republic- Step 7</v>
      </c>
      <c r="AX148" t="s">
        <v>29</v>
      </c>
      <c r="AY148" t="s">
        <v>30</v>
      </c>
      <c r="AZ148" t="s">
        <v>9465</v>
      </c>
      <c r="BB148" t="s">
        <v>9268</v>
      </c>
      <c r="BC148" t="str">
        <f t="shared" si="64"/>
        <v>NatGrdExt_SYR-8</v>
      </c>
      <c r="BD148" t="str">
        <f t="shared" si="65"/>
        <v>Grid Extension -Syrian Arab Republic- Step 8</v>
      </c>
      <c r="BE148" t="s">
        <v>29</v>
      </c>
      <c r="BF148" t="s">
        <v>30</v>
      </c>
      <c r="BG148" t="s">
        <v>9465</v>
      </c>
      <c r="BI148" t="s">
        <v>9268</v>
      </c>
      <c r="BJ148" t="str">
        <f t="shared" si="66"/>
        <v>NatGrdExt_SYR-9</v>
      </c>
      <c r="BK148" t="str">
        <f t="shared" si="67"/>
        <v>Grid Extension -Syrian Arab Republic- Step 9</v>
      </c>
      <c r="BL148" t="s">
        <v>29</v>
      </c>
      <c r="BM148" t="s">
        <v>30</v>
      </c>
      <c r="BN148" t="s">
        <v>9465</v>
      </c>
      <c r="BP148" t="s">
        <v>9268</v>
      </c>
      <c r="BQ148" t="str">
        <f t="shared" si="68"/>
        <v>NatGrdExt_SYR-10</v>
      </c>
      <c r="BR148" t="str">
        <f t="shared" si="69"/>
        <v>Grid Extension -Syrian Arab Republic- Step 10</v>
      </c>
      <c r="BS148" t="s">
        <v>29</v>
      </c>
      <c r="BT148" t="s">
        <v>30</v>
      </c>
      <c r="BU148" t="s">
        <v>9465</v>
      </c>
    </row>
    <row r="149" spans="1:73">
      <c r="A149" s="4" t="s">
        <v>1715</v>
      </c>
      <c r="B149" s="4" t="s">
        <v>9606</v>
      </c>
      <c r="E149" t="s">
        <v>9268</v>
      </c>
      <c r="F149" t="str">
        <f t="shared" si="50"/>
        <v>NatGrdExt_TCD-1</v>
      </c>
      <c r="G149" t="str">
        <f t="shared" si="51"/>
        <v>Grid Extension -Chad- Step 1</v>
      </c>
      <c r="H149" t="s">
        <v>29</v>
      </c>
      <c r="I149" t="s">
        <v>30</v>
      </c>
      <c r="J149" t="s">
        <v>9465</v>
      </c>
      <c r="L149" t="s">
        <v>9268</v>
      </c>
      <c r="M149" t="str">
        <f t="shared" si="52"/>
        <v>NatGrdExt_TCD-2</v>
      </c>
      <c r="N149" t="str">
        <f t="shared" si="53"/>
        <v>Grid Extension -Chad- Step 2</v>
      </c>
      <c r="O149" t="s">
        <v>29</v>
      </c>
      <c r="P149" t="s">
        <v>30</v>
      </c>
      <c r="Q149" t="s">
        <v>9465</v>
      </c>
      <c r="S149" t="s">
        <v>9268</v>
      </c>
      <c r="T149" t="str">
        <f t="shared" si="54"/>
        <v>NatGrdExt_TCD-3</v>
      </c>
      <c r="U149" t="str">
        <f t="shared" si="55"/>
        <v>Grid Extension -Chad- Step 3</v>
      </c>
      <c r="V149" t="s">
        <v>29</v>
      </c>
      <c r="W149" t="s">
        <v>30</v>
      </c>
      <c r="X149" t="s">
        <v>9465</v>
      </c>
      <c r="Z149" t="s">
        <v>9268</v>
      </c>
      <c r="AA149" t="str">
        <f t="shared" si="56"/>
        <v>NatGrdExt_TCD-4</v>
      </c>
      <c r="AB149" t="str">
        <f t="shared" si="57"/>
        <v>Grid Extension -Chad- Step 4</v>
      </c>
      <c r="AC149" t="s">
        <v>29</v>
      </c>
      <c r="AD149" t="s">
        <v>30</v>
      </c>
      <c r="AE149" t="s">
        <v>9465</v>
      </c>
      <c r="AG149" t="s">
        <v>9268</v>
      </c>
      <c r="AH149" t="str">
        <f t="shared" si="58"/>
        <v>NatGrdExt_TCD-5</v>
      </c>
      <c r="AI149" t="str">
        <f t="shared" si="59"/>
        <v>Grid Extension -Chad- Step 5</v>
      </c>
      <c r="AJ149" t="s">
        <v>29</v>
      </c>
      <c r="AK149" t="s">
        <v>30</v>
      </c>
      <c r="AL149" t="s">
        <v>9465</v>
      </c>
      <c r="AN149" t="s">
        <v>9268</v>
      </c>
      <c r="AO149" t="str">
        <f t="shared" si="60"/>
        <v>NatGrdExt_TCD-6</v>
      </c>
      <c r="AP149" t="str">
        <f t="shared" si="61"/>
        <v>Grid Extension -Chad- Step 6</v>
      </c>
      <c r="AQ149" t="s">
        <v>29</v>
      </c>
      <c r="AR149" t="s">
        <v>30</v>
      </c>
      <c r="AS149" t="s">
        <v>9465</v>
      </c>
      <c r="AU149" t="s">
        <v>9268</v>
      </c>
      <c r="AV149" t="str">
        <f t="shared" si="62"/>
        <v>NatGrdExt_TCD-7</v>
      </c>
      <c r="AW149" t="str">
        <f t="shared" si="63"/>
        <v>Grid Extension -Chad- Step 7</v>
      </c>
      <c r="AX149" t="s">
        <v>29</v>
      </c>
      <c r="AY149" t="s">
        <v>30</v>
      </c>
      <c r="AZ149" t="s">
        <v>9465</v>
      </c>
      <c r="BB149" t="s">
        <v>9268</v>
      </c>
      <c r="BC149" t="str">
        <f t="shared" si="64"/>
        <v>NatGrdExt_TCD-8</v>
      </c>
      <c r="BD149" t="str">
        <f t="shared" si="65"/>
        <v>Grid Extension -Chad- Step 8</v>
      </c>
      <c r="BE149" t="s">
        <v>29</v>
      </c>
      <c r="BF149" t="s">
        <v>30</v>
      </c>
      <c r="BG149" t="s">
        <v>9465</v>
      </c>
      <c r="BI149" t="s">
        <v>9268</v>
      </c>
      <c r="BJ149" t="str">
        <f t="shared" si="66"/>
        <v>NatGrdExt_TCD-9</v>
      </c>
      <c r="BK149" t="str">
        <f t="shared" si="67"/>
        <v>Grid Extension -Chad- Step 9</v>
      </c>
      <c r="BL149" t="s">
        <v>29</v>
      </c>
      <c r="BM149" t="s">
        <v>30</v>
      </c>
      <c r="BN149" t="s">
        <v>9465</v>
      </c>
      <c r="BP149" t="s">
        <v>9268</v>
      </c>
      <c r="BQ149" t="str">
        <f t="shared" si="68"/>
        <v>NatGrdExt_TCD-10</v>
      </c>
      <c r="BR149" t="str">
        <f t="shared" si="69"/>
        <v>Grid Extension -Chad- Step 10</v>
      </c>
      <c r="BS149" t="s">
        <v>29</v>
      </c>
      <c r="BT149" t="s">
        <v>30</v>
      </c>
      <c r="BU149" t="s">
        <v>9465</v>
      </c>
    </row>
    <row r="150" spans="1:73">
      <c r="A150" s="4" t="s">
        <v>1721</v>
      </c>
      <c r="B150" s="4" t="s">
        <v>9607</v>
      </c>
      <c r="E150" t="s">
        <v>9268</v>
      </c>
      <c r="F150" t="str">
        <f t="shared" si="50"/>
        <v>NatGrdExt_TGO-1</v>
      </c>
      <c r="G150" t="str">
        <f t="shared" si="51"/>
        <v>Grid Extension -Togo- Step 1</v>
      </c>
      <c r="H150" t="s">
        <v>29</v>
      </c>
      <c r="I150" t="s">
        <v>30</v>
      </c>
      <c r="J150" t="s">
        <v>9465</v>
      </c>
      <c r="L150" t="s">
        <v>9268</v>
      </c>
      <c r="M150" t="str">
        <f t="shared" si="52"/>
        <v>NatGrdExt_TGO-2</v>
      </c>
      <c r="N150" t="str">
        <f t="shared" si="53"/>
        <v>Grid Extension -Togo- Step 2</v>
      </c>
      <c r="O150" t="s">
        <v>29</v>
      </c>
      <c r="P150" t="s">
        <v>30</v>
      </c>
      <c r="Q150" t="s">
        <v>9465</v>
      </c>
      <c r="S150" t="s">
        <v>9268</v>
      </c>
      <c r="T150" t="str">
        <f t="shared" si="54"/>
        <v>NatGrdExt_TGO-3</v>
      </c>
      <c r="U150" t="str">
        <f t="shared" si="55"/>
        <v>Grid Extension -Togo- Step 3</v>
      </c>
      <c r="V150" t="s">
        <v>29</v>
      </c>
      <c r="W150" t="s">
        <v>30</v>
      </c>
      <c r="X150" t="s">
        <v>9465</v>
      </c>
      <c r="Z150" t="s">
        <v>9268</v>
      </c>
      <c r="AA150" t="str">
        <f t="shared" si="56"/>
        <v>NatGrdExt_TGO-4</v>
      </c>
      <c r="AB150" t="str">
        <f t="shared" si="57"/>
        <v>Grid Extension -Togo- Step 4</v>
      </c>
      <c r="AC150" t="s">
        <v>29</v>
      </c>
      <c r="AD150" t="s">
        <v>30</v>
      </c>
      <c r="AE150" t="s">
        <v>9465</v>
      </c>
      <c r="AG150" t="s">
        <v>9268</v>
      </c>
      <c r="AH150" t="str">
        <f t="shared" si="58"/>
        <v>NatGrdExt_TGO-5</v>
      </c>
      <c r="AI150" t="str">
        <f t="shared" si="59"/>
        <v>Grid Extension -Togo- Step 5</v>
      </c>
      <c r="AJ150" t="s">
        <v>29</v>
      </c>
      <c r="AK150" t="s">
        <v>30</v>
      </c>
      <c r="AL150" t="s">
        <v>9465</v>
      </c>
      <c r="AN150" t="s">
        <v>9268</v>
      </c>
      <c r="AO150" t="str">
        <f t="shared" si="60"/>
        <v>NatGrdExt_TGO-6</v>
      </c>
      <c r="AP150" t="str">
        <f t="shared" si="61"/>
        <v>Grid Extension -Togo- Step 6</v>
      </c>
      <c r="AQ150" t="s">
        <v>29</v>
      </c>
      <c r="AR150" t="s">
        <v>30</v>
      </c>
      <c r="AS150" t="s">
        <v>9465</v>
      </c>
      <c r="AU150" t="s">
        <v>9268</v>
      </c>
      <c r="AV150" t="str">
        <f t="shared" si="62"/>
        <v>NatGrdExt_TGO-7</v>
      </c>
      <c r="AW150" t="str">
        <f t="shared" si="63"/>
        <v>Grid Extension -Togo- Step 7</v>
      </c>
      <c r="AX150" t="s">
        <v>29</v>
      </c>
      <c r="AY150" t="s">
        <v>30</v>
      </c>
      <c r="AZ150" t="s">
        <v>9465</v>
      </c>
      <c r="BB150" t="s">
        <v>9268</v>
      </c>
      <c r="BC150" t="str">
        <f t="shared" si="64"/>
        <v>NatGrdExt_TGO-8</v>
      </c>
      <c r="BD150" t="str">
        <f t="shared" si="65"/>
        <v>Grid Extension -Togo- Step 8</v>
      </c>
      <c r="BE150" t="s">
        <v>29</v>
      </c>
      <c r="BF150" t="s">
        <v>30</v>
      </c>
      <c r="BG150" t="s">
        <v>9465</v>
      </c>
      <c r="BI150" t="s">
        <v>9268</v>
      </c>
      <c r="BJ150" t="str">
        <f t="shared" si="66"/>
        <v>NatGrdExt_TGO-9</v>
      </c>
      <c r="BK150" t="str">
        <f t="shared" si="67"/>
        <v>Grid Extension -Togo- Step 9</v>
      </c>
      <c r="BL150" t="s">
        <v>29</v>
      </c>
      <c r="BM150" t="s">
        <v>30</v>
      </c>
      <c r="BN150" t="s">
        <v>9465</v>
      </c>
      <c r="BP150" t="s">
        <v>9268</v>
      </c>
      <c r="BQ150" t="str">
        <f t="shared" si="68"/>
        <v>NatGrdExt_TGO-10</v>
      </c>
      <c r="BR150" t="str">
        <f t="shared" si="69"/>
        <v>Grid Extension -Togo- Step 10</v>
      </c>
      <c r="BS150" t="s">
        <v>29</v>
      </c>
      <c r="BT150" t="s">
        <v>30</v>
      </c>
      <c r="BU150" t="s">
        <v>9465</v>
      </c>
    </row>
    <row r="151" spans="1:73">
      <c r="A151" s="4" t="s">
        <v>1725</v>
      </c>
      <c r="B151" s="4" t="s">
        <v>9608</v>
      </c>
      <c r="E151" t="s">
        <v>9268</v>
      </c>
      <c r="F151" t="str">
        <f t="shared" si="50"/>
        <v>NatGrdExt_THA-1</v>
      </c>
      <c r="G151" t="str">
        <f t="shared" si="51"/>
        <v>Grid Extension -Thailand- Step 1</v>
      </c>
      <c r="H151" t="s">
        <v>29</v>
      </c>
      <c r="I151" t="s">
        <v>30</v>
      </c>
      <c r="J151" t="s">
        <v>9465</v>
      </c>
      <c r="L151" t="s">
        <v>9268</v>
      </c>
      <c r="M151" t="str">
        <f t="shared" si="52"/>
        <v>NatGrdExt_THA-2</v>
      </c>
      <c r="N151" t="str">
        <f t="shared" si="53"/>
        <v>Grid Extension -Thailand- Step 2</v>
      </c>
      <c r="O151" t="s">
        <v>29</v>
      </c>
      <c r="P151" t="s">
        <v>30</v>
      </c>
      <c r="Q151" t="s">
        <v>9465</v>
      </c>
      <c r="S151" t="s">
        <v>9268</v>
      </c>
      <c r="T151" t="str">
        <f t="shared" si="54"/>
        <v>NatGrdExt_THA-3</v>
      </c>
      <c r="U151" t="str">
        <f t="shared" si="55"/>
        <v>Grid Extension -Thailand- Step 3</v>
      </c>
      <c r="V151" t="s">
        <v>29</v>
      </c>
      <c r="W151" t="s">
        <v>30</v>
      </c>
      <c r="X151" t="s">
        <v>9465</v>
      </c>
      <c r="Z151" t="s">
        <v>9268</v>
      </c>
      <c r="AA151" t="str">
        <f t="shared" si="56"/>
        <v>NatGrdExt_THA-4</v>
      </c>
      <c r="AB151" t="str">
        <f t="shared" si="57"/>
        <v>Grid Extension -Thailand- Step 4</v>
      </c>
      <c r="AC151" t="s">
        <v>29</v>
      </c>
      <c r="AD151" t="s">
        <v>30</v>
      </c>
      <c r="AE151" t="s">
        <v>9465</v>
      </c>
      <c r="AG151" t="s">
        <v>9268</v>
      </c>
      <c r="AH151" t="str">
        <f t="shared" si="58"/>
        <v>NatGrdExt_THA-5</v>
      </c>
      <c r="AI151" t="str">
        <f t="shared" si="59"/>
        <v>Grid Extension -Thailand- Step 5</v>
      </c>
      <c r="AJ151" t="s">
        <v>29</v>
      </c>
      <c r="AK151" t="s">
        <v>30</v>
      </c>
      <c r="AL151" t="s">
        <v>9465</v>
      </c>
      <c r="AN151" t="s">
        <v>9268</v>
      </c>
      <c r="AO151" t="str">
        <f t="shared" si="60"/>
        <v>NatGrdExt_THA-6</v>
      </c>
      <c r="AP151" t="str">
        <f t="shared" si="61"/>
        <v>Grid Extension -Thailand- Step 6</v>
      </c>
      <c r="AQ151" t="s">
        <v>29</v>
      </c>
      <c r="AR151" t="s">
        <v>30</v>
      </c>
      <c r="AS151" t="s">
        <v>9465</v>
      </c>
      <c r="AU151" t="s">
        <v>9268</v>
      </c>
      <c r="AV151" t="str">
        <f t="shared" si="62"/>
        <v>NatGrdExt_THA-7</v>
      </c>
      <c r="AW151" t="str">
        <f t="shared" si="63"/>
        <v>Grid Extension -Thailand- Step 7</v>
      </c>
      <c r="AX151" t="s">
        <v>29</v>
      </c>
      <c r="AY151" t="s">
        <v>30</v>
      </c>
      <c r="AZ151" t="s">
        <v>9465</v>
      </c>
      <c r="BB151" t="s">
        <v>9268</v>
      </c>
      <c r="BC151" t="str">
        <f t="shared" si="64"/>
        <v>NatGrdExt_THA-8</v>
      </c>
      <c r="BD151" t="str">
        <f t="shared" si="65"/>
        <v>Grid Extension -Thailand- Step 8</v>
      </c>
      <c r="BE151" t="s">
        <v>29</v>
      </c>
      <c r="BF151" t="s">
        <v>30</v>
      </c>
      <c r="BG151" t="s">
        <v>9465</v>
      </c>
      <c r="BI151" t="s">
        <v>9268</v>
      </c>
      <c r="BJ151" t="str">
        <f t="shared" si="66"/>
        <v>NatGrdExt_THA-9</v>
      </c>
      <c r="BK151" t="str">
        <f t="shared" si="67"/>
        <v>Grid Extension -Thailand- Step 9</v>
      </c>
      <c r="BL151" t="s">
        <v>29</v>
      </c>
      <c r="BM151" t="s">
        <v>30</v>
      </c>
      <c r="BN151" t="s">
        <v>9465</v>
      </c>
      <c r="BP151" t="s">
        <v>9268</v>
      </c>
      <c r="BQ151" t="str">
        <f t="shared" si="68"/>
        <v>NatGrdExt_THA-10</v>
      </c>
      <c r="BR151" t="str">
        <f t="shared" si="69"/>
        <v>Grid Extension -Thailand- Step 10</v>
      </c>
      <c r="BS151" t="s">
        <v>29</v>
      </c>
      <c r="BT151" t="s">
        <v>30</v>
      </c>
      <c r="BU151" t="s">
        <v>9465</v>
      </c>
    </row>
    <row r="152" spans="1:73">
      <c r="A152" s="4" t="s">
        <v>1733</v>
      </c>
      <c r="B152" s="4" t="s">
        <v>9609</v>
      </c>
      <c r="E152" t="s">
        <v>9268</v>
      </c>
      <c r="F152" t="str">
        <f t="shared" si="50"/>
        <v>NatGrdExt_TJK-1</v>
      </c>
      <c r="G152" t="str">
        <f t="shared" si="51"/>
        <v>Grid Extension -Tajikistan- Step 1</v>
      </c>
      <c r="H152" t="s">
        <v>29</v>
      </c>
      <c r="I152" t="s">
        <v>30</v>
      </c>
      <c r="J152" t="s">
        <v>9465</v>
      </c>
      <c r="L152" t="s">
        <v>9268</v>
      </c>
      <c r="M152" t="str">
        <f t="shared" si="52"/>
        <v>NatGrdExt_TJK-2</v>
      </c>
      <c r="N152" t="str">
        <f t="shared" si="53"/>
        <v>Grid Extension -Tajikistan- Step 2</v>
      </c>
      <c r="O152" t="s">
        <v>29</v>
      </c>
      <c r="P152" t="s">
        <v>30</v>
      </c>
      <c r="Q152" t="s">
        <v>9465</v>
      </c>
      <c r="S152" t="s">
        <v>9268</v>
      </c>
      <c r="T152" t="str">
        <f t="shared" si="54"/>
        <v>NatGrdExt_TJK-3</v>
      </c>
      <c r="U152" t="str">
        <f t="shared" si="55"/>
        <v>Grid Extension -Tajikistan- Step 3</v>
      </c>
      <c r="V152" t="s">
        <v>29</v>
      </c>
      <c r="W152" t="s">
        <v>30</v>
      </c>
      <c r="X152" t="s">
        <v>9465</v>
      </c>
      <c r="Z152" t="s">
        <v>9268</v>
      </c>
      <c r="AA152" t="str">
        <f t="shared" si="56"/>
        <v>NatGrdExt_TJK-4</v>
      </c>
      <c r="AB152" t="str">
        <f t="shared" si="57"/>
        <v>Grid Extension -Tajikistan- Step 4</v>
      </c>
      <c r="AC152" t="s">
        <v>29</v>
      </c>
      <c r="AD152" t="s">
        <v>30</v>
      </c>
      <c r="AE152" t="s">
        <v>9465</v>
      </c>
      <c r="AG152" t="s">
        <v>9268</v>
      </c>
      <c r="AH152" t="str">
        <f t="shared" si="58"/>
        <v>NatGrdExt_TJK-5</v>
      </c>
      <c r="AI152" t="str">
        <f t="shared" si="59"/>
        <v>Grid Extension -Tajikistan- Step 5</v>
      </c>
      <c r="AJ152" t="s">
        <v>29</v>
      </c>
      <c r="AK152" t="s">
        <v>30</v>
      </c>
      <c r="AL152" t="s">
        <v>9465</v>
      </c>
      <c r="AN152" t="s">
        <v>9268</v>
      </c>
      <c r="AO152" t="str">
        <f t="shared" si="60"/>
        <v>NatGrdExt_TJK-6</v>
      </c>
      <c r="AP152" t="str">
        <f t="shared" si="61"/>
        <v>Grid Extension -Tajikistan- Step 6</v>
      </c>
      <c r="AQ152" t="s">
        <v>29</v>
      </c>
      <c r="AR152" t="s">
        <v>30</v>
      </c>
      <c r="AS152" t="s">
        <v>9465</v>
      </c>
      <c r="AU152" t="s">
        <v>9268</v>
      </c>
      <c r="AV152" t="str">
        <f t="shared" si="62"/>
        <v>NatGrdExt_TJK-7</v>
      </c>
      <c r="AW152" t="str">
        <f t="shared" si="63"/>
        <v>Grid Extension -Tajikistan- Step 7</v>
      </c>
      <c r="AX152" t="s">
        <v>29</v>
      </c>
      <c r="AY152" t="s">
        <v>30</v>
      </c>
      <c r="AZ152" t="s">
        <v>9465</v>
      </c>
      <c r="BB152" t="s">
        <v>9268</v>
      </c>
      <c r="BC152" t="str">
        <f t="shared" si="64"/>
        <v>NatGrdExt_TJK-8</v>
      </c>
      <c r="BD152" t="str">
        <f t="shared" si="65"/>
        <v>Grid Extension -Tajikistan- Step 8</v>
      </c>
      <c r="BE152" t="s">
        <v>29</v>
      </c>
      <c r="BF152" t="s">
        <v>30</v>
      </c>
      <c r="BG152" t="s">
        <v>9465</v>
      </c>
      <c r="BI152" t="s">
        <v>9268</v>
      </c>
      <c r="BJ152" t="str">
        <f t="shared" si="66"/>
        <v>NatGrdExt_TJK-9</v>
      </c>
      <c r="BK152" t="str">
        <f t="shared" si="67"/>
        <v>Grid Extension -Tajikistan- Step 9</v>
      </c>
      <c r="BL152" t="s">
        <v>29</v>
      </c>
      <c r="BM152" t="s">
        <v>30</v>
      </c>
      <c r="BN152" t="s">
        <v>9465</v>
      </c>
      <c r="BP152" t="s">
        <v>9268</v>
      </c>
      <c r="BQ152" t="str">
        <f t="shared" si="68"/>
        <v>NatGrdExt_TJK-10</v>
      </c>
      <c r="BR152" t="str">
        <f t="shared" si="69"/>
        <v>Grid Extension -Tajikistan- Step 10</v>
      </c>
      <c r="BS152" t="s">
        <v>29</v>
      </c>
      <c r="BT152" t="s">
        <v>30</v>
      </c>
      <c r="BU152" t="s">
        <v>9465</v>
      </c>
    </row>
    <row r="153" spans="1:73">
      <c r="A153" s="4" t="s">
        <v>1745</v>
      </c>
      <c r="B153" s="4" t="s">
        <v>9610</v>
      </c>
      <c r="E153" t="s">
        <v>9268</v>
      </c>
      <c r="F153" t="str">
        <f t="shared" si="50"/>
        <v>NatGrdExt_TKM-1</v>
      </c>
      <c r="G153" t="str">
        <f t="shared" si="51"/>
        <v>Grid Extension -Turkmenistan- Step 1</v>
      </c>
      <c r="H153" t="s">
        <v>29</v>
      </c>
      <c r="I153" t="s">
        <v>30</v>
      </c>
      <c r="J153" t="s">
        <v>9465</v>
      </c>
      <c r="L153" t="s">
        <v>9268</v>
      </c>
      <c r="M153" t="str">
        <f t="shared" si="52"/>
        <v>NatGrdExt_TKM-2</v>
      </c>
      <c r="N153" t="str">
        <f t="shared" si="53"/>
        <v>Grid Extension -Turkmenistan- Step 2</v>
      </c>
      <c r="O153" t="s">
        <v>29</v>
      </c>
      <c r="P153" t="s">
        <v>30</v>
      </c>
      <c r="Q153" t="s">
        <v>9465</v>
      </c>
      <c r="S153" t="s">
        <v>9268</v>
      </c>
      <c r="T153" t="str">
        <f t="shared" si="54"/>
        <v>NatGrdExt_TKM-3</v>
      </c>
      <c r="U153" t="str">
        <f t="shared" si="55"/>
        <v>Grid Extension -Turkmenistan- Step 3</v>
      </c>
      <c r="V153" t="s">
        <v>29</v>
      </c>
      <c r="W153" t="s">
        <v>30</v>
      </c>
      <c r="X153" t="s">
        <v>9465</v>
      </c>
      <c r="Z153" t="s">
        <v>9268</v>
      </c>
      <c r="AA153" t="str">
        <f t="shared" si="56"/>
        <v>NatGrdExt_TKM-4</v>
      </c>
      <c r="AB153" t="str">
        <f t="shared" si="57"/>
        <v>Grid Extension -Turkmenistan- Step 4</v>
      </c>
      <c r="AC153" t="s">
        <v>29</v>
      </c>
      <c r="AD153" t="s">
        <v>30</v>
      </c>
      <c r="AE153" t="s">
        <v>9465</v>
      </c>
      <c r="AG153" t="s">
        <v>9268</v>
      </c>
      <c r="AH153" t="str">
        <f t="shared" si="58"/>
        <v>NatGrdExt_TKM-5</v>
      </c>
      <c r="AI153" t="str">
        <f t="shared" si="59"/>
        <v>Grid Extension -Turkmenistan- Step 5</v>
      </c>
      <c r="AJ153" t="s">
        <v>29</v>
      </c>
      <c r="AK153" t="s">
        <v>30</v>
      </c>
      <c r="AL153" t="s">
        <v>9465</v>
      </c>
      <c r="AN153" t="s">
        <v>9268</v>
      </c>
      <c r="AO153" t="str">
        <f t="shared" si="60"/>
        <v>NatGrdExt_TKM-6</v>
      </c>
      <c r="AP153" t="str">
        <f t="shared" si="61"/>
        <v>Grid Extension -Turkmenistan- Step 6</v>
      </c>
      <c r="AQ153" t="s">
        <v>29</v>
      </c>
      <c r="AR153" t="s">
        <v>30</v>
      </c>
      <c r="AS153" t="s">
        <v>9465</v>
      </c>
      <c r="AU153" t="s">
        <v>9268</v>
      </c>
      <c r="AV153" t="str">
        <f t="shared" si="62"/>
        <v>NatGrdExt_TKM-7</v>
      </c>
      <c r="AW153" t="str">
        <f t="shared" si="63"/>
        <v>Grid Extension -Turkmenistan- Step 7</v>
      </c>
      <c r="AX153" t="s">
        <v>29</v>
      </c>
      <c r="AY153" t="s">
        <v>30</v>
      </c>
      <c r="AZ153" t="s">
        <v>9465</v>
      </c>
      <c r="BB153" t="s">
        <v>9268</v>
      </c>
      <c r="BC153" t="str">
        <f t="shared" si="64"/>
        <v>NatGrdExt_TKM-8</v>
      </c>
      <c r="BD153" t="str">
        <f t="shared" si="65"/>
        <v>Grid Extension -Turkmenistan- Step 8</v>
      </c>
      <c r="BE153" t="s">
        <v>29</v>
      </c>
      <c r="BF153" t="s">
        <v>30</v>
      </c>
      <c r="BG153" t="s">
        <v>9465</v>
      </c>
      <c r="BI153" t="s">
        <v>9268</v>
      </c>
      <c r="BJ153" t="str">
        <f t="shared" si="66"/>
        <v>NatGrdExt_TKM-9</v>
      </c>
      <c r="BK153" t="str">
        <f t="shared" si="67"/>
        <v>Grid Extension -Turkmenistan- Step 9</v>
      </c>
      <c r="BL153" t="s">
        <v>29</v>
      </c>
      <c r="BM153" t="s">
        <v>30</v>
      </c>
      <c r="BN153" t="s">
        <v>9465</v>
      </c>
      <c r="BP153" t="s">
        <v>9268</v>
      </c>
      <c r="BQ153" t="str">
        <f t="shared" si="68"/>
        <v>NatGrdExt_TKM-10</v>
      </c>
      <c r="BR153" t="str">
        <f t="shared" si="69"/>
        <v>Grid Extension -Turkmenistan- Step 10</v>
      </c>
      <c r="BS153" t="s">
        <v>29</v>
      </c>
      <c r="BT153" t="s">
        <v>30</v>
      </c>
      <c r="BU153" t="s">
        <v>9465</v>
      </c>
    </row>
    <row r="154" spans="1:73">
      <c r="A154" s="4" t="s">
        <v>9611</v>
      </c>
      <c r="B154" s="4" t="s">
        <v>9612</v>
      </c>
      <c r="E154" t="s">
        <v>9268</v>
      </c>
      <c r="F154" t="str">
        <f t="shared" si="50"/>
        <v>NatGrdExt_TLS-1</v>
      </c>
      <c r="G154" t="str">
        <f t="shared" si="51"/>
        <v>Grid Extension -Timor-Leste- Step 1</v>
      </c>
      <c r="H154" t="s">
        <v>29</v>
      </c>
      <c r="I154" t="s">
        <v>30</v>
      </c>
      <c r="J154" t="s">
        <v>9465</v>
      </c>
      <c r="L154" t="s">
        <v>9268</v>
      </c>
      <c r="M154" t="str">
        <f t="shared" si="52"/>
        <v>NatGrdExt_TLS-2</v>
      </c>
      <c r="N154" t="str">
        <f t="shared" si="53"/>
        <v>Grid Extension -Timor-Leste- Step 2</v>
      </c>
      <c r="O154" t="s">
        <v>29</v>
      </c>
      <c r="P154" t="s">
        <v>30</v>
      </c>
      <c r="Q154" t="s">
        <v>9465</v>
      </c>
      <c r="S154" t="s">
        <v>9268</v>
      </c>
      <c r="T154" t="str">
        <f t="shared" si="54"/>
        <v>NatGrdExt_TLS-3</v>
      </c>
      <c r="U154" t="str">
        <f t="shared" si="55"/>
        <v>Grid Extension -Timor-Leste- Step 3</v>
      </c>
      <c r="V154" t="s">
        <v>29</v>
      </c>
      <c r="W154" t="s">
        <v>30</v>
      </c>
      <c r="X154" t="s">
        <v>9465</v>
      </c>
      <c r="Z154" t="s">
        <v>9268</v>
      </c>
      <c r="AA154" t="str">
        <f t="shared" si="56"/>
        <v>NatGrdExt_TLS-4</v>
      </c>
      <c r="AB154" t="str">
        <f t="shared" si="57"/>
        <v>Grid Extension -Timor-Leste- Step 4</v>
      </c>
      <c r="AC154" t="s">
        <v>29</v>
      </c>
      <c r="AD154" t="s">
        <v>30</v>
      </c>
      <c r="AE154" t="s">
        <v>9465</v>
      </c>
      <c r="AG154" t="s">
        <v>9268</v>
      </c>
      <c r="AH154" t="str">
        <f t="shared" si="58"/>
        <v>NatGrdExt_TLS-5</v>
      </c>
      <c r="AI154" t="str">
        <f t="shared" si="59"/>
        <v>Grid Extension -Timor-Leste- Step 5</v>
      </c>
      <c r="AJ154" t="s">
        <v>29</v>
      </c>
      <c r="AK154" t="s">
        <v>30</v>
      </c>
      <c r="AL154" t="s">
        <v>9465</v>
      </c>
      <c r="AN154" t="s">
        <v>9268</v>
      </c>
      <c r="AO154" t="str">
        <f t="shared" si="60"/>
        <v>NatGrdExt_TLS-6</v>
      </c>
      <c r="AP154" t="str">
        <f t="shared" si="61"/>
        <v>Grid Extension -Timor-Leste- Step 6</v>
      </c>
      <c r="AQ154" t="s">
        <v>29</v>
      </c>
      <c r="AR154" t="s">
        <v>30</v>
      </c>
      <c r="AS154" t="s">
        <v>9465</v>
      </c>
      <c r="AU154" t="s">
        <v>9268</v>
      </c>
      <c r="AV154" t="str">
        <f t="shared" si="62"/>
        <v>NatGrdExt_TLS-7</v>
      </c>
      <c r="AW154" t="str">
        <f t="shared" si="63"/>
        <v>Grid Extension -Timor-Leste- Step 7</v>
      </c>
      <c r="AX154" t="s">
        <v>29</v>
      </c>
      <c r="AY154" t="s">
        <v>30</v>
      </c>
      <c r="AZ154" t="s">
        <v>9465</v>
      </c>
      <c r="BB154" t="s">
        <v>9268</v>
      </c>
      <c r="BC154" t="str">
        <f t="shared" si="64"/>
        <v>NatGrdExt_TLS-8</v>
      </c>
      <c r="BD154" t="str">
        <f t="shared" si="65"/>
        <v>Grid Extension -Timor-Leste- Step 8</v>
      </c>
      <c r="BE154" t="s">
        <v>29</v>
      </c>
      <c r="BF154" t="s">
        <v>30</v>
      </c>
      <c r="BG154" t="s">
        <v>9465</v>
      </c>
      <c r="BI154" t="s">
        <v>9268</v>
      </c>
      <c r="BJ154" t="str">
        <f t="shared" si="66"/>
        <v>NatGrdExt_TLS-9</v>
      </c>
      <c r="BK154" t="str">
        <f t="shared" si="67"/>
        <v>Grid Extension -Timor-Leste- Step 9</v>
      </c>
      <c r="BL154" t="s">
        <v>29</v>
      </c>
      <c r="BM154" t="s">
        <v>30</v>
      </c>
      <c r="BN154" t="s">
        <v>9465</v>
      </c>
      <c r="BP154" t="s">
        <v>9268</v>
      </c>
      <c r="BQ154" t="str">
        <f t="shared" si="68"/>
        <v>NatGrdExt_TLS-10</v>
      </c>
      <c r="BR154" t="str">
        <f t="shared" si="69"/>
        <v>Grid Extension -Timor-Leste- Step 10</v>
      </c>
      <c r="BS154" t="s">
        <v>29</v>
      </c>
      <c r="BT154" t="s">
        <v>30</v>
      </c>
      <c r="BU154" t="s">
        <v>9465</v>
      </c>
    </row>
    <row r="155" spans="1:73">
      <c r="A155" s="4" t="s">
        <v>5827</v>
      </c>
      <c r="B155" s="4" t="s">
        <v>9613</v>
      </c>
      <c r="E155" t="s">
        <v>9268</v>
      </c>
      <c r="F155" t="str">
        <f t="shared" si="50"/>
        <v>NatGrdExt_TON-1</v>
      </c>
      <c r="G155" t="str">
        <f t="shared" si="51"/>
        <v>Grid Extension -Tonga- Step 1</v>
      </c>
      <c r="H155" t="s">
        <v>29</v>
      </c>
      <c r="I155" t="s">
        <v>30</v>
      </c>
      <c r="J155" t="s">
        <v>9465</v>
      </c>
      <c r="L155" t="s">
        <v>9268</v>
      </c>
      <c r="M155" t="str">
        <f t="shared" si="52"/>
        <v>NatGrdExt_TON-2</v>
      </c>
      <c r="N155" t="str">
        <f t="shared" si="53"/>
        <v>Grid Extension -Tonga- Step 2</v>
      </c>
      <c r="O155" t="s">
        <v>29</v>
      </c>
      <c r="P155" t="s">
        <v>30</v>
      </c>
      <c r="Q155" t="s">
        <v>9465</v>
      </c>
      <c r="S155" t="s">
        <v>9268</v>
      </c>
      <c r="T155" t="str">
        <f t="shared" si="54"/>
        <v>NatGrdExt_TON-3</v>
      </c>
      <c r="U155" t="str">
        <f t="shared" si="55"/>
        <v>Grid Extension -Tonga- Step 3</v>
      </c>
      <c r="V155" t="s">
        <v>29</v>
      </c>
      <c r="W155" t="s">
        <v>30</v>
      </c>
      <c r="X155" t="s">
        <v>9465</v>
      </c>
      <c r="Z155" t="s">
        <v>9268</v>
      </c>
      <c r="AA155" t="str">
        <f t="shared" si="56"/>
        <v>NatGrdExt_TON-4</v>
      </c>
      <c r="AB155" t="str">
        <f t="shared" si="57"/>
        <v>Grid Extension -Tonga- Step 4</v>
      </c>
      <c r="AC155" t="s">
        <v>29</v>
      </c>
      <c r="AD155" t="s">
        <v>30</v>
      </c>
      <c r="AE155" t="s">
        <v>9465</v>
      </c>
      <c r="AG155" t="s">
        <v>9268</v>
      </c>
      <c r="AH155" t="str">
        <f t="shared" si="58"/>
        <v>NatGrdExt_TON-5</v>
      </c>
      <c r="AI155" t="str">
        <f t="shared" si="59"/>
        <v>Grid Extension -Tonga- Step 5</v>
      </c>
      <c r="AJ155" t="s">
        <v>29</v>
      </c>
      <c r="AK155" t="s">
        <v>30</v>
      </c>
      <c r="AL155" t="s">
        <v>9465</v>
      </c>
      <c r="AN155" t="s">
        <v>9268</v>
      </c>
      <c r="AO155" t="str">
        <f t="shared" si="60"/>
        <v>NatGrdExt_TON-6</v>
      </c>
      <c r="AP155" t="str">
        <f t="shared" si="61"/>
        <v>Grid Extension -Tonga- Step 6</v>
      </c>
      <c r="AQ155" t="s">
        <v>29</v>
      </c>
      <c r="AR155" t="s">
        <v>30</v>
      </c>
      <c r="AS155" t="s">
        <v>9465</v>
      </c>
      <c r="AU155" t="s">
        <v>9268</v>
      </c>
      <c r="AV155" t="str">
        <f t="shared" si="62"/>
        <v>NatGrdExt_TON-7</v>
      </c>
      <c r="AW155" t="str">
        <f t="shared" si="63"/>
        <v>Grid Extension -Tonga- Step 7</v>
      </c>
      <c r="AX155" t="s">
        <v>29</v>
      </c>
      <c r="AY155" t="s">
        <v>30</v>
      </c>
      <c r="AZ155" t="s">
        <v>9465</v>
      </c>
      <c r="BB155" t="s">
        <v>9268</v>
      </c>
      <c r="BC155" t="str">
        <f t="shared" si="64"/>
        <v>NatGrdExt_TON-8</v>
      </c>
      <c r="BD155" t="str">
        <f t="shared" si="65"/>
        <v>Grid Extension -Tonga- Step 8</v>
      </c>
      <c r="BE155" t="s">
        <v>29</v>
      </c>
      <c r="BF155" t="s">
        <v>30</v>
      </c>
      <c r="BG155" t="s">
        <v>9465</v>
      </c>
      <c r="BI155" t="s">
        <v>9268</v>
      </c>
      <c r="BJ155" t="str">
        <f t="shared" si="66"/>
        <v>NatGrdExt_TON-9</v>
      </c>
      <c r="BK155" t="str">
        <f t="shared" si="67"/>
        <v>Grid Extension -Tonga- Step 9</v>
      </c>
      <c r="BL155" t="s">
        <v>29</v>
      </c>
      <c r="BM155" t="s">
        <v>30</v>
      </c>
      <c r="BN155" t="s">
        <v>9465</v>
      </c>
      <c r="BP155" t="s">
        <v>9268</v>
      </c>
      <c r="BQ155" t="str">
        <f t="shared" si="68"/>
        <v>NatGrdExt_TON-10</v>
      </c>
      <c r="BR155" t="str">
        <f t="shared" si="69"/>
        <v>Grid Extension -Tonga- Step 10</v>
      </c>
      <c r="BS155" t="s">
        <v>29</v>
      </c>
      <c r="BT155" t="s">
        <v>30</v>
      </c>
      <c r="BU155" t="s">
        <v>9465</v>
      </c>
    </row>
    <row r="156" spans="1:73">
      <c r="A156" s="4" t="s">
        <v>1751</v>
      </c>
      <c r="B156" s="4" t="s">
        <v>9614</v>
      </c>
      <c r="E156" t="s">
        <v>9268</v>
      </c>
      <c r="F156" t="str">
        <f t="shared" si="50"/>
        <v>NatGrdExt_TTO-1</v>
      </c>
      <c r="G156" t="str">
        <f t="shared" si="51"/>
        <v>Grid Extension -Trinidad and Tobago- Step 1</v>
      </c>
      <c r="H156" t="s">
        <v>29</v>
      </c>
      <c r="I156" t="s">
        <v>30</v>
      </c>
      <c r="J156" t="s">
        <v>9465</v>
      </c>
      <c r="L156" t="s">
        <v>9268</v>
      </c>
      <c r="M156" t="str">
        <f t="shared" si="52"/>
        <v>NatGrdExt_TTO-2</v>
      </c>
      <c r="N156" t="str">
        <f t="shared" si="53"/>
        <v>Grid Extension -Trinidad and Tobago- Step 2</v>
      </c>
      <c r="O156" t="s">
        <v>29</v>
      </c>
      <c r="P156" t="s">
        <v>30</v>
      </c>
      <c r="Q156" t="s">
        <v>9465</v>
      </c>
      <c r="S156" t="s">
        <v>9268</v>
      </c>
      <c r="T156" t="str">
        <f t="shared" si="54"/>
        <v>NatGrdExt_TTO-3</v>
      </c>
      <c r="U156" t="str">
        <f t="shared" si="55"/>
        <v>Grid Extension -Trinidad and Tobago- Step 3</v>
      </c>
      <c r="V156" t="s">
        <v>29</v>
      </c>
      <c r="W156" t="s">
        <v>30</v>
      </c>
      <c r="X156" t="s">
        <v>9465</v>
      </c>
      <c r="Z156" t="s">
        <v>9268</v>
      </c>
      <c r="AA156" t="str">
        <f t="shared" si="56"/>
        <v>NatGrdExt_TTO-4</v>
      </c>
      <c r="AB156" t="str">
        <f t="shared" si="57"/>
        <v>Grid Extension -Trinidad and Tobago- Step 4</v>
      </c>
      <c r="AC156" t="s">
        <v>29</v>
      </c>
      <c r="AD156" t="s">
        <v>30</v>
      </c>
      <c r="AE156" t="s">
        <v>9465</v>
      </c>
      <c r="AG156" t="s">
        <v>9268</v>
      </c>
      <c r="AH156" t="str">
        <f t="shared" si="58"/>
        <v>NatGrdExt_TTO-5</v>
      </c>
      <c r="AI156" t="str">
        <f t="shared" si="59"/>
        <v>Grid Extension -Trinidad and Tobago- Step 5</v>
      </c>
      <c r="AJ156" t="s">
        <v>29</v>
      </c>
      <c r="AK156" t="s">
        <v>30</v>
      </c>
      <c r="AL156" t="s">
        <v>9465</v>
      </c>
      <c r="AN156" t="s">
        <v>9268</v>
      </c>
      <c r="AO156" t="str">
        <f t="shared" si="60"/>
        <v>NatGrdExt_TTO-6</v>
      </c>
      <c r="AP156" t="str">
        <f t="shared" si="61"/>
        <v>Grid Extension -Trinidad and Tobago- Step 6</v>
      </c>
      <c r="AQ156" t="s">
        <v>29</v>
      </c>
      <c r="AR156" t="s">
        <v>30</v>
      </c>
      <c r="AS156" t="s">
        <v>9465</v>
      </c>
      <c r="AU156" t="s">
        <v>9268</v>
      </c>
      <c r="AV156" t="str">
        <f t="shared" si="62"/>
        <v>NatGrdExt_TTO-7</v>
      </c>
      <c r="AW156" t="str">
        <f t="shared" si="63"/>
        <v>Grid Extension -Trinidad and Tobago- Step 7</v>
      </c>
      <c r="AX156" t="s">
        <v>29</v>
      </c>
      <c r="AY156" t="s">
        <v>30</v>
      </c>
      <c r="AZ156" t="s">
        <v>9465</v>
      </c>
      <c r="BB156" t="s">
        <v>9268</v>
      </c>
      <c r="BC156" t="str">
        <f t="shared" si="64"/>
        <v>NatGrdExt_TTO-8</v>
      </c>
      <c r="BD156" t="str">
        <f t="shared" si="65"/>
        <v>Grid Extension -Trinidad and Tobago- Step 8</v>
      </c>
      <c r="BE156" t="s">
        <v>29</v>
      </c>
      <c r="BF156" t="s">
        <v>30</v>
      </c>
      <c r="BG156" t="s">
        <v>9465</v>
      </c>
      <c r="BI156" t="s">
        <v>9268</v>
      </c>
      <c r="BJ156" t="str">
        <f t="shared" si="66"/>
        <v>NatGrdExt_TTO-9</v>
      </c>
      <c r="BK156" t="str">
        <f t="shared" si="67"/>
        <v>Grid Extension -Trinidad and Tobago- Step 9</v>
      </c>
      <c r="BL156" t="s">
        <v>29</v>
      </c>
      <c r="BM156" t="s">
        <v>30</v>
      </c>
      <c r="BN156" t="s">
        <v>9465</v>
      </c>
      <c r="BP156" t="s">
        <v>9268</v>
      </c>
      <c r="BQ156" t="str">
        <f t="shared" si="68"/>
        <v>NatGrdExt_TTO-10</v>
      </c>
      <c r="BR156" t="str">
        <f t="shared" si="69"/>
        <v>Grid Extension -Trinidad and Tobago- Step 10</v>
      </c>
      <c r="BS156" t="s">
        <v>29</v>
      </c>
      <c r="BT156" t="s">
        <v>30</v>
      </c>
      <c r="BU156" t="s">
        <v>9465</v>
      </c>
    </row>
    <row r="157" spans="1:73">
      <c r="A157" s="4" t="s">
        <v>1755</v>
      </c>
      <c r="B157" s="4" t="s">
        <v>9615</v>
      </c>
      <c r="E157" t="s">
        <v>9268</v>
      </c>
      <c r="F157" t="str">
        <f t="shared" si="50"/>
        <v>NatGrdExt_TUN-1</v>
      </c>
      <c r="G157" t="str">
        <f t="shared" si="51"/>
        <v>Grid Extension -Tunisia- Step 1</v>
      </c>
      <c r="H157" t="s">
        <v>29</v>
      </c>
      <c r="I157" t="s">
        <v>30</v>
      </c>
      <c r="J157" t="s">
        <v>9465</v>
      </c>
      <c r="L157" t="s">
        <v>9268</v>
      </c>
      <c r="M157" t="str">
        <f t="shared" si="52"/>
        <v>NatGrdExt_TUN-2</v>
      </c>
      <c r="N157" t="str">
        <f t="shared" si="53"/>
        <v>Grid Extension -Tunisia- Step 2</v>
      </c>
      <c r="O157" t="s">
        <v>29</v>
      </c>
      <c r="P157" t="s">
        <v>30</v>
      </c>
      <c r="Q157" t="s">
        <v>9465</v>
      </c>
      <c r="S157" t="s">
        <v>9268</v>
      </c>
      <c r="T157" t="str">
        <f t="shared" si="54"/>
        <v>NatGrdExt_TUN-3</v>
      </c>
      <c r="U157" t="str">
        <f t="shared" si="55"/>
        <v>Grid Extension -Tunisia- Step 3</v>
      </c>
      <c r="V157" t="s">
        <v>29</v>
      </c>
      <c r="W157" t="s">
        <v>30</v>
      </c>
      <c r="X157" t="s">
        <v>9465</v>
      </c>
      <c r="Z157" t="s">
        <v>9268</v>
      </c>
      <c r="AA157" t="str">
        <f t="shared" si="56"/>
        <v>NatGrdExt_TUN-4</v>
      </c>
      <c r="AB157" t="str">
        <f t="shared" si="57"/>
        <v>Grid Extension -Tunisia- Step 4</v>
      </c>
      <c r="AC157" t="s">
        <v>29</v>
      </c>
      <c r="AD157" t="s">
        <v>30</v>
      </c>
      <c r="AE157" t="s">
        <v>9465</v>
      </c>
      <c r="AG157" t="s">
        <v>9268</v>
      </c>
      <c r="AH157" t="str">
        <f t="shared" si="58"/>
        <v>NatGrdExt_TUN-5</v>
      </c>
      <c r="AI157" t="str">
        <f t="shared" si="59"/>
        <v>Grid Extension -Tunisia- Step 5</v>
      </c>
      <c r="AJ157" t="s">
        <v>29</v>
      </c>
      <c r="AK157" t="s">
        <v>30</v>
      </c>
      <c r="AL157" t="s">
        <v>9465</v>
      </c>
      <c r="AN157" t="s">
        <v>9268</v>
      </c>
      <c r="AO157" t="str">
        <f t="shared" si="60"/>
        <v>NatGrdExt_TUN-6</v>
      </c>
      <c r="AP157" t="str">
        <f t="shared" si="61"/>
        <v>Grid Extension -Tunisia- Step 6</v>
      </c>
      <c r="AQ157" t="s">
        <v>29</v>
      </c>
      <c r="AR157" t="s">
        <v>30</v>
      </c>
      <c r="AS157" t="s">
        <v>9465</v>
      </c>
      <c r="AU157" t="s">
        <v>9268</v>
      </c>
      <c r="AV157" t="str">
        <f t="shared" si="62"/>
        <v>NatGrdExt_TUN-7</v>
      </c>
      <c r="AW157" t="str">
        <f t="shared" si="63"/>
        <v>Grid Extension -Tunisia- Step 7</v>
      </c>
      <c r="AX157" t="s">
        <v>29</v>
      </c>
      <c r="AY157" t="s">
        <v>30</v>
      </c>
      <c r="AZ157" t="s">
        <v>9465</v>
      </c>
      <c r="BB157" t="s">
        <v>9268</v>
      </c>
      <c r="BC157" t="str">
        <f t="shared" si="64"/>
        <v>NatGrdExt_TUN-8</v>
      </c>
      <c r="BD157" t="str">
        <f t="shared" si="65"/>
        <v>Grid Extension -Tunisia- Step 8</v>
      </c>
      <c r="BE157" t="s">
        <v>29</v>
      </c>
      <c r="BF157" t="s">
        <v>30</v>
      </c>
      <c r="BG157" t="s">
        <v>9465</v>
      </c>
      <c r="BI157" t="s">
        <v>9268</v>
      </c>
      <c r="BJ157" t="str">
        <f t="shared" si="66"/>
        <v>NatGrdExt_TUN-9</v>
      </c>
      <c r="BK157" t="str">
        <f t="shared" si="67"/>
        <v>Grid Extension -Tunisia- Step 9</v>
      </c>
      <c r="BL157" t="s">
        <v>29</v>
      </c>
      <c r="BM157" t="s">
        <v>30</v>
      </c>
      <c r="BN157" t="s">
        <v>9465</v>
      </c>
      <c r="BP157" t="s">
        <v>9268</v>
      </c>
      <c r="BQ157" t="str">
        <f t="shared" si="68"/>
        <v>NatGrdExt_TUN-10</v>
      </c>
      <c r="BR157" t="str">
        <f t="shared" si="69"/>
        <v>Grid Extension -Tunisia- Step 10</v>
      </c>
      <c r="BS157" t="s">
        <v>29</v>
      </c>
      <c r="BT157" t="s">
        <v>30</v>
      </c>
      <c r="BU157" t="s">
        <v>9465</v>
      </c>
    </row>
    <row r="158" spans="1:73">
      <c r="A158" s="4" t="s">
        <v>1761</v>
      </c>
      <c r="B158" s="4" t="s">
        <v>9616</v>
      </c>
      <c r="E158" t="s">
        <v>9268</v>
      </c>
      <c r="F158" t="str">
        <f t="shared" si="50"/>
        <v>NatGrdExt_TUR-1</v>
      </c>
      <c r="G158" t="str">
        <f t="shared" si="51"/>
        <v>Grid Extension -Turkey- Step 1</v>
      </c>
      <c r="H158" t="s">
        <v>29</v>
      </c>
      <c r="I158" t="s">
        <v>30</v>
      </c>
      <c r="J158" t="s">
        <v>9465</v>
      </c>
      <c r="L158" t="s">
        <v>9268</v>
      </c>
      <c r="M158" t="str">
        <f t="shared" si="52"/>
        <v>NatGrdExt_TUR-2</v>
      </c>
      <c r="N158" t="str">
        <f t="shared" si="53"/>
        <v>Grid Extension -Turkey- Step 2</v>
      </c>
      <c r="O158" t="s">
        <v>29</v>
      </c>
      <c r="P158" t="s">
        <v>30</v>
      </c>
      <c r="Q158" t="s">
        <v>9465</v>
      </c>
      <c r="S158" t="s">
        <v>9268</v>
      </c>
      <c r="T158" t="str">
        <f t="shared" si="54"/>
        <v>NatGrdExt_TUR-3</v>
      </c>
      <c r="U158" t="str">
        <f t="shared" si="55"/>
        <v>Grid Extension -Turkey- Step 3</v>
      </c>
      <c r="V158" t="s">
        <v>29</v>
      </c>
      <c r="W158" t="s">
        <v>30</v>
      </c>
      <c r="X158" t="s">
        <v>9465</v>
      </c>
      <c r="Z158" t="s">
        <v>9268</v>
      </c>
      <c r="AA158" t="str">
        <f t="shared" si="56"/>
        <v>NatGrdExt_TUR-4</v>
      </c>
      <c r="AB158" t="str">
        <f t="shared" si="57"/>
        <v>Grid Extension -Turkey- Step 4</v>
      </c>
      <c r="AC158" t="s">
        <v>29</v>
      </c>
      <c r="AD158" t="s">
        <v>30</v>
      </c>
      <c r="AE158" t="s">
        <v>9465</v>
      </c>
      <c r="AG158" t="s">
        <v>9268</v>
      </c>
      <c r="AH158" t="str">
        <f t="shared" si="58"/>
        <v>NatGrdExt_TUR-5</v>
      </c>
      <c r="AI158" t="str">
        <f t="shared" si="59"/>
        <v>Grid Extension -Turkey- Step 5</v>
      </c>
      <c r="AJ158" t="s">
        <v>29</v>
      </c>
      <c r="AK158" t="s">
        <v>30</v>
      </c>
      <c r="AL158" t="s">
        <v>9465</v>
      </c>
      <c r="AN158" t="s">
        <v>9268</v>
      </c>
      <c r="AO158" t="str">
        <f t="shared" si="60"/>
        <v>NatGrdExt_TUR-6</v>
      </c>
      <c r="AP158" t="str">
        <f t="shared" si="61"/>
        <v>Grid Extension -Turkey- Step 6</v>
      </c>
      <c r="AQ158" t="s">
        <v>29</v>
      </c>
      <c r="AR158" t="s">
        <v>30</v>
      </c>
      <c r="AS158" t="s">
        <v>9465</v>
      </c>
      <c r="AU158" t="s">
        <v>9268</v>
      </c>
      <c r="AV158" t="str">
        <f t="shared" si="62"/>
        <v>NatGrdExt_TUR-7</v>
      </c>
      <c r="AW158" t="str">
        <f t="shared" si="63"/>
        <v>Grid Extension -Turkey- Step 7</v>
      </c>
      <c r="AX158" t="s">
        <v>29</v>
      </c>
      <c r="AY158" t="s">
        <v>30</v>
      </c>
      <c r="AZ158" t="s">
        <v>9465</v>
      </c>
      <c r="BB158" t="s">
        <v>9268</v>
      </c>
      <c r="BC158" t="str">
        <f t="shared" si="64"/>
        <v>NatGrdExt_TUR-8</v>
      </c>
      <c r="BD158" t="str">
        <f t="shared" si="65"/>
        <v>Grid Extension -Turkey- Step 8</v>
      </c>
      <c r="BE158" t="s">
        <v>29</v>
      </c>
      <c r="BF158" t="s">
        <v>30</v>
      </c>
      <c r="BG158" t="s">
        <v>9465</v>
      </c>
      <c r="BI158" t="s">
        <v>9268</v>
      </c>
      <c r="BJ158" t="str">
        <f t="shared" si="66"/>
        <v>NatGrdExt_TUR-9</v>
      </c>
      <c r="BK158" t="str">
        <f t="shared" si="67"/>
        <v>Grid Extension -Turkey- Step 9</v>
      </c>
      <c r="BL158" t="s">
        <v>29</v>
      </c>
      <c r="BM158" t="s">
        <v>30</v>
      </c>
      <c r="BN158" t="s">
        <v>9465</v>
      </c>
      <c r="BP158" t="s">
        <v>9268</v>
      </c>
      <c r="BQ158" t="str">
        <f t="shared" si="68"/>
        <v>NatGrdExt_TUR-10</v>
      </c>
      <c r="BR158" t="str">
        <f t="shared" si="69"/>
        <v>Grid Extension -Turkey- Step 10</v>
      </c>
      <c r="BS158" t="s">
        <v>29</v>
      </c>
      <c r="BT158" t="s">
        <v>30</v>
      </c>
      <c r="BU158" t="s">
        <v>9465</v>
      </c>
    </row>
    <row r="159" spans="1:73">
      <c r="A159" s="4" t="s">
        <v>9617</v>
      </c>
      <c r="B159" s="4" t="s">
        <v>9618</v>
      </c>
      <c r="E159" t="s">
        <v>9268</v>
      </c>
      <c r="F159" t="str">
        <f t="shared" si="50"/>
        <v>NatGrdExt_TWN-1</v>
      </c>
      <c r="G159" t="str">
        <f t="shared" si="51"/>
        <v>Grid Extension -Taiwan- Step 1</v>
      </c>
      <c r="H159" t="s">
        <v>29</v>
      </c>
      <c r="I159" t="s">
        <v>30</v>
      </c>
      <c r="J159" t="s">
        <v>9465</v>
      </c>
      <c r="L159" t="s">
        <v>9268</v>
      </c>
      <c r="M159" t="str">
        <f t="shared" si="52"/>
        <v>NatGrdExt_TWN-2</v>
      </c>
      <c r="N159" t="str">
        <f t="shared" si="53"/>
        <v>Grid Extension -Taiwan- Step 2</v>
      </c>
      <c r="O159" t="s">
        <v>29</v>
      </c>
      <c r="P159" t="s">
        <v>30</v>
      </c>
      <c r="Q159" t="s">
        <v>9465</v>
      </c>
      <c r="S159" t="s">
        <v>9268</v>
      </c>
      <c r="T159" t="str">
        <f t="shared" si="54"/>
        <v>NatGrdExt_TWN-3</v>
      </c>
      <c r="U159" t="str">
        <f t="shared" si="55"/>
        <v>Grid Extension -Taiwan- Step 3</v>
      </c>
      <c r="V159" t="s">
        <v>29</v>
      </c>
      <c r="W159" t="s">
        <v>30</v>
      </c>
      <c r="X159" t="s">
        <v>9465</v>
      </c>
      <c r="Z159" t="s">
        <v>9268</v>
      </c>
      <c r="AA159" t="str">
        <f t="shared" si="56"/>
        <v>NatGrdExt_TWN-4</v>
      </c>
      <c r="AB159" t="str">
        <f t="shared" si="57"/>
        <v>Grid Extension -Taiwan- Step 4</v>
      </c>
      <c r="AC159" t="s">
        <v>29</v>
      </c>
      <c r="AD159" t="s">
        <v>30</v>
      </c>
      <c r="AE159" t="s">
        <v>9465</v>
      </c>
      <c r="AG159" t="s">
        <v>9268</v>
      </c>
      <c r="AH159" t="str">
        <f t="shared" si="58"/>
        <v>NatGrdExt_TWN-5</v>
      </c>
      <c r="AI159" t="str">
        <f t="shared" si="59"/>
        <v>Grid Extension -Taiwan- Step 5</v>
      </c>
      <c r="AJ159" t="s">
        <v>29</v>
      </c>
      <c r="AK159" t="s">
        <v>30</v>
      </c>
      <c r="AL159" t="s">
        <v>9465</v>
      </c>
      <c r="AN159" t="s">
        <v>9268</v>
      </c>
      <c r="AO159" t="str">
        <f t="shared" si="60"/>
        <v>NatGrdExt_TWN-6</v>
      </c>
      <c r="AP159" t="str">
        <f t="shared" si="61"/>
        <v>Grid Extension -Taiwan- Step 6</v>
      </c>
      <c r="AQ159" t="s">
        <v>29</v>
      </c>
      <c r="AR159" t="s">
        <v>30</v>
      </c>
      <c r="AS159" t="s">
        <v>9465</v>
      </c>
      <c r="AU159" t="s">
        <v>9268</v>
      </c>
      <c r="AV159" t="str">
        <f t="shared" si="62"/>
        <v>NatGrdExt_TWN-7</v>
      </c>
      <c r="AW159" t="str">
        <f t="shared" si="63"/>
        <v>Grid Extension -Taiwan- Step 7</v>
      </c>
      <c r="AX159" t="s">
        <v>29</v>
      </c>
      <c r="AY159" t="s">
        <v>30</v>
      </c>
      <c r="AZ159" t="s">
        <v>9465</v>
      </c>
      <c r="BB159" t="s">
        <v>9268</v>
      </c>
      <c r="BC159" t="str">
        <f t="shared" si="64"/>
        <v>NatGrdExt_TWN-8</v>
      </c>
      <c r="BD159" t="str">
        <f t="shared" si="65"/>
        <v>Grid Extension -Taiwan- Step 8</v>
      </c>
      <c r="BE159" t="s">
        <v>29</v>
      </c>
      <c r="BF159" t="s">
        <v>30</v>
      </c>
      <c r="BG159" t="s">
        <v>9465</v>
      </c>
      <c r="BI159" t="s">
        <v>9268</v>
      </c>
      <c r="BJ159" t="str">
        <f t="shared" si="66"/>
        <v>NatGrdExt_TWN-9</v>
      </c>
      <c r="BK159" t="str">
        <f t="shared" si="67"/>
        <v>Grid Extension -Taiwan- Step 9</v>
      </c>
      <c r="BL159" t="s">
        <v>29</v>
      </c>
      <c r="BM159" t="s">
        <v>30</v>
      </c>
      <c r="BN159" t="s">
        <v>9465</v>
      </c>
      <c r="BP159" t="s">
        <v>9268</v>
      </c>
      <c r="BQ159" t="str">
        <f t="shared" si="68"/>
        <v>NatGrdExt_TWN-10</v>
      </c>
      <c r="BR159" t="str">
        <f t="shared" si="69"/>
        <v>Grid Extension -Taiwan- Step 10</v>
      </c>
      <c r="BS159" t="s">
        <v>29</v>
      </c>
      <c r="BT159" t="s">
        <v>30</v>
      </c>
      <c r="BU159" t="s">
        <v>9465</v>
      </c>
    </row>
    <row r="160" spans="1:73">
      <c r="A160" s="4" t="s">
        <v>1783</v>
      </c>
      <c r="B160" s="4" t="s">
        <v>9619</v>
      </c>
      <c r="E160" t="s">
        <v>9268</v>
      </c>
      <c r="F160" t="str">
        <f t="shared" si="50"/>
        <v>NatGrdExt_TZA-1</v>
      </c>
      <c r="G160" t="str">
        <f t="shared" si="51"/>
        <v>Grid Extension -Tanzania- Step 1</v>
      </c>
      <c r="H160" t="s">
        <v>29</v>
      </c>
      <c r="I160" t="s">
        <v>30</v>
      </c>
      <c r="J160" t="s">
        <v>9465</v>
      </c>
      <c r="L160" t="s">
        <v>9268</v>
      </c>
      <c r="M160" t="str">
        <f t="shared" si="52"/>
        <v>NatGrdExt_TZA-2</v>
      </c>
      <c r="N160" t="str">
        <f t="shared" si="53"/>
        <v>Grid Extension -Tanzania- Step 2</v>
      </c>
      <c r="O160" t="s">
        <v>29</v>
      </c>
      <c r="P160" t="s">
        <v>30</v>
      </c>
      <c r="Q160" t="s">
        <v>9465</v>
      </c>
      <c r="S160" t="s">
        <v>9268</v>
      </c>
      <c r="T160" t="str">
        <f t="shared" si="54"/>
        <v>NatGrdExt_TZA-3</v>
      </c>
      <c r="U160" t="str">
        <f t="shared" si="55"/>
        <v>Grid Extension -Tanzania- Step 3</v>
      </c>
      <c r="V160" t="s">
        <v>29</v>
      </c>
      <c r="W160" t="s">
        <v>30</v>
      </c>
      <c r="X160" t="s">
        <v>9465</v>
      </c>
      <c r="Z160" t="s">
        <v>9268</v>
      </c>
      <c r="AA160" t="str">
        <f t="shared" si="56"/>
        <v>NatGrdExt_TZA-4</v>
      </c>
      <c r="AB160" t="str">
        <f t="shared" si="57"/>
        <v>Grid Extension -Tanzania- Step 4</v>
      </c>
      <c r="AC160" t="s">
        <v>29</v>
      </c>
      <c r="AD160" t="s">
        <v>30</v>
      </c>
      <c r="AE160" t="s">
        <v>9465</v>
      </c>
      <c r="AG160" t="s">
        <v>9268</v>
      </c>
      <c r="AH160" t="str">
        <f t="shared" si="58"/>
        <v>NatGrdExt_TZA-5</v>
      </c>
      <c r="AI160" t="str">
        <f t="shared" si="59"/>
        <v>Grid Extension -Tanzania- Step 5</v>
      </c>
      <c r="AJ160" t="s">
        <v>29</v>
      </c>
      <c r="AK160" t="s">
        <v>30</v>
      </c>
      <c r="AL160" t="s">
        <v>9465</v>
      </c>
      <c r="AN160" t="s">
        <v>9268</v>
      </c>
      <c r="AO160" t="str">
        <f t="shared" si="60"/>
        <v>NatGrdExt_TZA-6</v>
      </c>
      <c r="AP160" t="str">
        <f t="shared" si="61"/>
        <v>Grid Extension -Tanzania- Step 6</v>
      </c>
      <c r="AQ160" t="s">
        <v>29</v>
      </c>
      <c r="AR160" t="s">
        <v>30</v>
      </c>
      <c r="AS160" t="s">
        <v>9465</v>
      </c>
      <c r="AU160" t="s">
        <v>9268</v>
      </c>
      <c r="AV160" t="str">
        <f t="shared" si="62"/>
        <v>NatGrdExt_TZA-7</v>
      </c>
      <c r="AW160" t="str">
        <f t="shared" si="63"/>
        <v>Grid Extension -Tanzania- Step 7</v>
      </c>
      <c r="AX160" t="s">
        <v>29</v>
      </c>
      <c r="AY160" t="s">
        <v>30</v>
      </c>
      <c r="AZ160" t="s">
        <v>9465</v>
      </c>
      <c r="BB160" t="s">
        <v>9268</v>
      </c>
      <c r="BC160" t="str">
        <f t="shared" si="64"/>
        <v>NatGrdExt_TZA-8</v>
      </c>
      <c r="BD160" t="str">
        <f t="shared" si="65"/>
        <v>Grid Extension -Tanzania- Step 8</v>
      </c>
      <c r="BE160" t="s">
        <v>29</v>
      </c>
      <c r="BF160" t="s">
        <v>30</v>
      </c>
      <c r="BG160" t="s">
        <v>9465</v>
      </c>
      <c r="BI160" t="s">
        <v>9268</v>
      </c>
      <c r="BJ160" t="str">
        <f t="shared" si="66"/>
        <v>NatGrdExt_TZA-9</v>
      </c>
      <c r="BK160" t="str">
        <f t="shared" si="67"/>
        <v>Grid Extension -Tanzania- Step 9</v>
      </c>
      <c r="BL160" t="s">
        <v>29</v>
      </c>
      <c r="BM160" t="s">
        <v>30</v>
      </c>
      <c r="BN160" t="s">
        <v>9465</v>
      </c>
      <c r="BP160" t="s">
        <v>9268</v>
      </c>
      <c r="BQ160" t="str">
        <f t="shared" si="68"/>
        <v>NatGrdExt_TZA-10</v>
      </c>
      <c r="BR160" t="str">
        <f t="shared" si="69"/>
        <v>Grid Extension -Tanzania- Step 10</v>
      </c>
      <c r="BS160" t="s">
        <v>29</v>
      </c>
      <c r="BT160" t="s">
        <v>30</v>
      </c>
      <c r="BU160" t="s">
        <v>9465</v>
      </c>
    </row>
    <row r="161" spans="1:73">
      <c r="A161" s="4" t="s">
        <v>1791</v>
      </c>
      <c r="B161" s="4" t="s">
        <v>9620</v>
      </c>
      <c r="E161" t="s">
        <v>9268</v>
      </c>
      <c r="F161" t="str">
        <f t="shared" si="50"/>
        <v>NatGrdExt_UGA-1</v>
      </c>
      <c r="G161" t="str">
        <f t="shared" si="51"/>
        <v>Grid Extension -Uganda- Step 1</v>
      </c>
      <c r="H161" t="s">
        <v>29</v>
      </c>
      <c r="I161" t="s">
        <v>30</v>
      </c>
      <c r="J161" t="s">
        <v>9465</v>
      </c>
      <c r="L161" t="s">
        <v>9268</v>
      </c>
      <c r="M161" t="str">
        <f t="shared" si="52"/>
        <v>NatGrdExt_UGA-2</v>
      </c>
      <c r="N161" t="str">
        <f t="shared" si="53"/>
        <v>Grid Extension -Uganda- Step 2</v>
      </c>
      <c r="O161" t="s">
        <v>29</v>
      </c>
      <c r="P161" t="s">
        <v>30</v>
      </c>
      <c r="Q161" t="s">
        <v>9465</v>
      </c>
      <c r="S161" t="s">
        <v>9268</v>
      </c>
      <c r="T161" t="str">
        <f t="shared" si="54"/>
        <v>NatGrdExt_UGA-3</v>
      </c>
      <c r="U161" t="str">
        <f t="shared" si="55"/>
        <v>Grid Extension -Uganda- Step 3</v>
      </c>
      <c r="V161" t="s">
        <v>29</v>
      </c>
      <c r="W161" t="s">
        <v>30</v>
      </c>
      <c r="X161" t="s">
        <v>9465</v>
      </c>
      <c r="Z161" t="s">
        <v>9268</v>
      </c>
      <c r="AA161" t="str">
        <f t="shared" si="56"/>
        <v>NatGrdExt_UGA-4</v>
      </c>
      <c r="AB161" t="str">
        <f t="shared" si="57"/>
        <v>Grid Extension -Uganda- Step 4</v>
      </c>
      <c r="AC161" t="s">
        <v>29</v>
      </c>
      <c r="AD161" t="s">
        <v>30</v>
      </c>
      <c r="AE161" t="s">
        <v>9465</v>
      </c>
      <c r="AG161" t="s">
        <v>9268</v>
      </c>
      <c r="AH161" t="str">
        <f t="shared" si="58"/>
        <v>NatGrdExt_UGA-5</v>
      </c>
      <c r="AI161" t="str">
        <f t="shared" si="59"/>
        <v>Grid Extension -Uganda- Step 5</v>
      </c>
      <c r="AJ161" t="s">
        <v>29</v>
      </c>
      <c r="AK161" t="s">
        <v>30</v>
      </c>
      <c r="AL161" t="s">
        <v>9465</v>
      </c>
      <c r="AN161" t="s">
        <v>9268</v>
      </c>
      <c r="AO161" t="str">
        <f t="shared" si="60"/>
        <v>NatGrdExt_UGA-6</v>
      </c>
      <c r="AP161" t="str">
        <f t="shared" si="61"/>
        <v>Grid Extension -Uganda- Step 6</v>
      </c>
      <c r="AQ161" t="s">
        <v>29</v>
      </c>
      <c r="AR161" t="s">
        <v>30</v>
      </c>
      <c r="AS161" t="s">
        <v>9465</v>
      </c>
      <c r="AU161" t="s">
        <v>9268</v>
      </c>
      <c r="AV161" t="str">
        <f t="shared" si="62"/>
        <v>NatGrdExt_UGA-7</v>
      </c>
      <c r="AW161" t="str">
        <f t="shared" si="63"/>
        <v>Grid Extension -Uganda- Step 7</v>
      </c>
      <c r="AX161" t="s">
        <v>29</v>
      </c>
      <c r="AY161" t="s">
        <v>30</v>
      </c>
      <c r="AZ161" t="s">
        <v>9465</v>
      </c>
      <c r="BB161" t="s">
        <v>9268</v>
      </c>
      <c r="BC161" t="str">
        <f t="shared" si="64"/>
        <v>NatGrdExt_UGA-8</v>
      </c>
      <c r="BD161" t="str">
        <f t="shared" si="65"/>
        <v>Grid Extension -Uganda- Step 8</v>
      </c>
      <c r="BE161" t="s">
        <v>29</v>
      </c>
      <c r="BF161" t="s">
        <v>30</v>
      </c>
      <c r="BG161" t="s">
        <v>9465</v>
      </c>
      <c r="BI161" t="s">
        <v>9268</v>
      </c>
      <c r="BJ161" t="str">
        <f t="shared" si="66"/>
        <v>NatGrdExt_UGA-9</v>
      </c>
      <c r="BK161" t="str">
        <f t="shared" si="67"/>
        <v>Grid Extension -Uganda- Step 9</v>
      </c>
      <c r="BL161" t="s">
        <v>29</v>
      </c>
      <c r="BM161" t="s">
        <v>30</v>
      </c>
      <c r="BN161" t="s">
        <v>9465</v>
      </c>
      <c r="BP161" t="s">
        <v>9268</v>
      </c>
      <c r="BQ161" t="str">
        <f t="shared" si="68"/>
        <v>NatGrdExt_UGA-10</v>
      </c>
      <c r="BR161" t="str">
        <f t="shared" si="69"/>
        <v>Grid Extension -Uganda- Step 10</v>
      </c>
      <c r="BS161" t="s">
        <v>29</v>
      </c>
      <c r="BT161" t="s">
        <v>30</v>
      </c>
      <c r="BU161" t="s">
        <v>9465</v>
      </c>
    </row>
    <row r="162" spans="1:73">
      <c r="A162" s="4" t="s">
        <v>1799</v>
      </c>
      <c r="B162" s="4" t="s">
        <v>9621</v>
      </c>
      <c r="E162" t="s">
        <v>9268</v>
      </c>
      <c r="F162" t="str">
        <f t="shared" si="50"/>
        <v>NatGrdExt_UKR-1</v>
      </c>
      <c r="G162" t="str">
        <f t="shared" si="51"/>
        <v>Grid Extension -Ukraine- Step 1</v>
      </c>
      <c r="H162" t="s">
        <v>29</v>
      </c>
      <c r="I162" t="s">
        <v>30</v>
      </c>
      <c r="J162" t="s">
        <v>9465</v>
      </c>
      <c r="L162" t="s">
        <v>9268</v>
      </c>
      <c r="M162" t="str">
        <f t="shared" si="52"/>
        <v>NatGrdExt_UKR-2</v>
      </c>
      <c r="N162" t="str">
        <f t="shared" si="53"/>
        <v>Grid Extension -Ukraine- Step 2</v>
      </c>
      <c r="O162" t="s">
        <v>29</v>
      </c>
      <c r="P162" t="s">
        <v>30</v>
      </c>
      <c r="Q162" t="s">
        <v>9465</v>
      </c>
      <c r="S162" t="s">
        <v>9268</v>
      </c>
      <c r="T162" t="str">
        <f t="shared" si="54"/>
        <v>NatGrdExt_UKR-3</v>
      </c>
      <c r="U162" t="str">
        <f t="shared" si="55"/>
        <v>Grid Extension -Ukraine- Step 3</v>
      </c>
      <c r="V162" t="s">
        <v>29</v>
      </c>
      <c r="W162" t="s">
        <v>30</v>
      </c>
      <c r="X162" t="s">
        <v>9465</v>
      </c>
      <c r="Z162" t="s">
        <v>9268</v>
      </c>
      <c r="AA162" t="str">
        <f t="shared" si="56"/>
        <v>NatGrdExt_UKR-4</v>
      </c>
      <c r="AB162" t="str">
        <f t="shared" si="57"/>
        <v>Grid Extension -Ukraine- Step 4</v>
      </c>
      <c r="AC162" t="s">
        <v>29</v>
      </c>
      <c r="AD162" t="s">
        <v>30</v>
      </c>
      <c r="AE162" t="s">
        <v>9465</v>
      </c>
      <c r="AG162" t="s">
        <v>9268</v>
      </c>
      <c r="AH162" t="str">
        <f t="shared" si="58"/>
        <v>NatGrdExt_UKR-5</v>
      </c>
      <c r="AI162" t="str">
        <f t="shared" si="59"/>
        <v>Grid Extension -Ukraine- Step 5</v>
      </c>
      <c r="AJ162" t="s">
        <v>29</v>
      </c>
      <c r="AK162" t="s">
        <v>30</v>
      </c>
      <c r="AL162" t="s">
        <v>9465</v>
      </c>
      <c r="AN162" t="s">
        <v>9268</v>
      </c>
      <c r="AO162" t="str">
        <f t="shared" si="60"/>
        <v>NatGrdExt_UKR-6</v>
      </c>
      <c r="AP162" t="str">
        <f t="shared" si="61"/>
        <v>Grid Extension -Ukraine- Step 6</v>
      </c>
      <c r="AQ162" t="s">
        <v>29</v>
      </c>
      <c r="AR162" t="s">
        <v>30</v>
      </c>
      <c r="AS162" t="s">
        <v>9465</v>
      </c>
      <c r="AU162" t="s">
        <v>9268</v>
      </c>
      <c r="AV162" t="str">
        <f t="shared" si="62"/>
        <v>NatGrdExt_UKR-7</v>
      </c>
      <c r="AW162" t="str">
        <f t="shared" si="63"/>
        <v>Grid Extension -Ukraine- Step 7</v>
      </c>
      <c r="AX162" t="s">
        <v>29</v>
      </c>
      <c r="AY162" t="s">
        <v>30</v>
      </c>
      <c r="AZ162" t="s">
        <v>9465</v>
      </c>
      <c r="BB162" t="s">
        <v>9268</v>
      </c>
      <c r="BC162" t="str">
        <f t="shared" si="64"/>
        <v>NatGrdExt_UKR-8</v>
      </c>
      <c r="BD162" t="str">
        <f t="shared" si="65"/>
        <v>Grid Extension -Ukraine- Step 8</v>
      </c>
      <c r="BE162" t="s">
        <v>29</v>
      </c>
      <c r="BF162" t="s">
        <v>30</v>
      </c>
      <c r="BG162" t="s">
        <v>9465</v>
      </c>
      <c r="BI162" t="s">
        <v>9268</v>
      </c>
      <c r="BJ162" t="str">
        <f t="shared" si="66"/>
        <v>NatGrdExt_UKR-9</v>
      </c>
      <c r="BK162" t="str">
        <f t="shared" si="67"/>
        <v>Grid Extension -Ukraine- Step 9</v>
      </c>
      <c r="BL162" t="s">
        <v>29</v>
      </c>
      <c r="BM162" t="s">
        <v>30</v>
      </c>
      <c r="BN162" t="s">
        <v>9465</v>
      </c>
      <c r="BP162" t="s">
        <v>9268</v>
      </c>
      <c r="BQ162" t="str">
        <f t="shared" si="68"/>
        <v>NatGrdExt_UKR-10</v>
      </c>
      <c r="BR162" t="str">
        <f t="shared" si="69"/>
        <v>Grid Extension -Ukraine- Step 10</v>
      </c>
      <c r="BS162" t="s">
        <v>29</v>
      </c>
      <c r="BT162" t="s">
        <v>30</v>
      </c>
      <c r="BU162" t="s">
        <v>9465</v>
      </c>
    </row>
    <row r="163" spans="1:73">
      <c r="A163" s="4" t="s">
        <v>1805</v>
      </c>
      <c r="B163" s="4" t="s">
        <v>9622</v>
      </c>
      <c r="E163" t="s">
        <v>9268</v>
      </c>
      <c r="F163" t="str">
        <f t="shared" si="50"/>
        <v>NatGrdExt_URY-1</v>
      </c>
      <c r="G163" t="str">
        <f t="shared" si="51"/>
        <v>Grid Extension -Uruguay- Step 1</v>
      </c>
      <c r="H163" t="s">
        <v>29</v>
      </c>
      <c r="I163" t="s">
        <v>30</v>
      </c>
      <c r="J163" t="s">
        <v>9465</v>
      </c>
      <c r="L163" t="s">
        <v>9268</v>
      </c>
      <c r="M163" t="str">
        <f t="shared" si="52"/>
        <v>NatGrdExt_URY-2</v>
      </c>
      <c r="N163" t="str">
        <f t="shared" si="53"/>
        <v>Grid Extension -Uruguay- Step 2</v>
      </c>
      <c r="O163" t="s">
        <v>29</v>
      </c>
      <c r="P163" t="s">
        <v>30</v>
      </c>
      <c r="Q163" t="s">
        <v>9465</v>
      </c>
      <c r="S163" t="s">
        <v>9268</v>
      </c>
      <c r="T163" t="str">
        <f t="shared" si="54"/>
        <v>NatGrdExt_URY-3</v>
      </c>
      <c r="U163" t="str">
        <f t="shared" si="55"/>
        <v>Grid Extension -Uruguay- Step 3</v>
      </c>
      <c r="V163" t="s">
        <v>29</v>
      </c>
      <c r="W163" t="s">
        <v>30</v>
      </c>
      <c r="X163" t="s">
        <v>9465</v>
      </c>
      <c r="Z163" t="s">
        <v>9268</v>
      </c>
      <c r="AA163" t="str">
        <f t="shared" si="56"/>
        <v>NatGrdExt_URY-4</v>
      </c>
      <c r="AB163" t="str">
        <f t="shared" si="57"/>
        <v>Grid Extension -Uruguay- Step 4</v>
      </c>
      <c r="AC163" t="s">
        <v>29</v>
      </c>
      <c r="AD163" t="s">
        <v>30</v>
      </c>
      <c r="AE163" t="s">
        <v>9465</v>
      </c>
      <c r="AG163" t="s">
        <v>9268</v>
      </c>
      <c r="AH163" t="str">
        <f t="shared" si="58"/>
        <v>NatGrdExt_URY-5</v>
      </c>
      <c r="AI163" t="str">
        <f t="shared" si="59"/>
        <v>Grid Extension -Uruguay- Step 5</v>
      </c>
      <c r="AJ163" t="s">
        <v>29</v>
      </c>
      <c r="AK163" t="s">
        <v>30</v>
      </c>
      <c r="AL163" t="s">
        <v>9465</v>
      </c>
      <c r="AN163" t="s">
        <v>9268</v>
      </c>
      <c r="AO163" t="str">
        <f t="shared" si="60"/>
        <v>NatGrdExt_URY-6</v>
      </c>
      <c r="AP163" t="str">
        <f t="shared" si="61"/>
        <v>Grid Extension -Uruguay- Step 6</v>
      </c>
      <c r="AQ163" t="s">
        <v>29</v>
      </c>
      <c r="AR163" t="s">
        <v>30</v>
      </c>
      <c r="AS163" t="s">
        <v>9465</v>
      </c>
      <c r="AU163" t="s">
        <v>9268</v>
      </c>
      <c r="AV163" t="str">
        <f t="shared" si="62"/>
        <v>NatGrdExt_URY-7</v>
      </c>
      <c r="AW163" t="str">
        <f t="shared" si="63"/>
        <v>Grid Extension -Uruguay- Step 7</v>
      </c>
      <c r="AX163" t="s">
        <v>29</v>
      </c>
      <c r="AY163" t="s">
        <v>30</v>
      </c>
      <c r="AZ163" t="s">
        <v>9465</v>
      </c>
      <c r="BB163" t="s">
        <v>9268</v>
      </c>
      <c r="BC163" t="str">
        <f t="shared" si="64"/>
        <v>NatGrdExt_URY-8</v>
      </c>
      <c r="BD163" t="str">
        <f t="shared" si="65"/>
        <v>Grid Extension -Uruguay- Step 8</v>
      </c>
      <c r="BE163" t="s">
        <v>29</v>
      </c>
      <c r="BF163" t="s">
        <v>30</v>
      </c>
      <c r="BG163" t="s">
        <v>9465</v>
      </c>
      <c r="BI163" t="s">
        <v>9268</v>
      </c>
      <c r="BJ163" t="str">
        <f t="shared" si="66"/>
        <v>NatGrdExt_URY-9</v>
      </c>
      <c r="BK163" t="str">
        <f t="shared" si="67"/>
        <v>Grid Extension -Uruguay- Step 9</v>
      </c>
      <c r="BL163" t="s">
        <v>29</v>
      </c>
      <c r="BM163" t="s">
        <v>30</v>
      </c>
      <c r="BN163" t="s">
        <v>9465</v>
      </c>
      <c r="BP163" t="s">
        <v>9268</v>
      </c>
      <c r="BQ163" t="str">
        <f t="shared" si="68"/>
        <v>NatGrdExt_URY-10</v>
      </c>
      <c r="BR163" t="str">
        <f t="shared" si="69"/>
        <v>Grid Extension -Uruguay- Step 10</v>
      </c>
      <c r="BS163" t="s">
        <v>29</v>
      </c>
      <c r="BT163" t="s">
        <v>30</v>
      </c>
      <c r="BU163" t="s">
        <v>9465</v>
      </c>
    </row>
    <row r="164" spans="1:73">
      <c r="A164" s="4" t="s">
        <v>119</v>
      </c>
      <c r="B164" s="4" t="s">
        <v>9623</v>
      </c>
      <c r="E164" t="s">
        <v>9268</v>
      </c>
      <c r="F164" t="str">
        <f t="shared" si="50"/>
        <v>NatGrdExt_USA-1</v>
      </c>
      <c r="G164" t="str">
        <f t="shared" si="51"/>
        <v>Grid Extension -United States- Step 1</v>
      </c>
      <c r="H164" t="s">
        <v>29</v>
      </c>
      <c r="I164" t="s">
        <v>30</v>
      </c>
      <c r="J164" t="s">
        <v>9465</v>
      </c>
      <c r="L164" t="s">
        <v>9268</v>
      </c>
      <c r="M164" t="str">
        <f t="shared" si="52"/>
        <v>NatGrdExt_USA-2</v>
      </c>
      <c r="N164" t="str">
        <f t="shared" si="53"/>
        <v>Grid Extension -United States- Step 2</v>
      </c>
      <c r="O164" t="s">
        <v>29</v>
      </c>
      <c r="P164" t="s">
        <v>30</v>
      </c>
      <c r="Q164" t="s">
        <v>9465</v>
      </c>
      <c r="S164" t="s">
        <v>9268</v>
      </c>
      <c r="T164" t="str">
        <f t="shared" si="54"/>
        <v>NatGrdExt_USA-3</v>
      </c>
      <c r="U164" t="str">
        <f t="shared" si="55"/>
        <v>Grid Extension -United States- Step 3</v>
      </c>
      <c r="V164" t="s">
        <v>29</v>
      </c>
      <c r="W164" t="s">
        <v>30</v>
      </c>
      <c r="X164" t="s">
        <v>9465</v>
      </c>
      <c r="Z164" t="s">
        <v>9268</v>
      </c>
      <c r="AA164" t="str">
        <f t="shared" si="56"/>
        <v>NatGrdExt_USA-4</v>
      </c>
      <c r="AB164" t="str">
        <f t="shared" si="57"/>
        <v>Grid Extension -United States- Step 4</v>
      </c>
      <c r="AC164" t="s">
        <v>29</v>
      </c>
      <c r="AD164" t="s">
        <v>30</v>
      </c>
      <c r="AE164" t="s">
        <v>9465</v>
      </c>
      <c r="AG164" t="s">
        <v>9268</v>
      </c>
      <c r="AH164" t="str">
        <f t="shared" si="58"/>
        <v>NatGrdExt_USA-5</v>
      </c>
      <c r="AI164" t="str">
        <f t="shared" si="59"/>
        <v>Grid Extension -United States- Step 5</v>
      </c>
      <c r="AJ164" t="s">
        <v>29</v>
      </c>
      <c r="AK164" t="s">
        <v>30</v>
      </c>
      <c r="AL164" t="s">
        <v>9465</v>
      </c>
      <c r="AN164" t="s">
        <v>9268</v>
      </c>
      <c r="AO164" t="str">
        <f t="shared" si="60"/>
        <v>NatGrdExt_USA-6</v>
      </c>
      <c r="AP164" t="str">
        <f t="shared" si="61"/>
        <v>Grid Extension -United States- Step 6</v>
      </c>
      <c r="AQ164" t="s">
        <v>29</v>
      </c>
      <c r="AR164" t="s">
        <v>30</v>
      </c>
      <c r="AS164" t="s">
        <v>9465</v>
      </c>
      <c r="AU164" t="s">
        <v>9268</v>
      </c>
      <c r="AV164" t="str">
        <f t="shared" si="62"/>
        <v>NatGrdExt_USA-7</v>
      </c>
      <c r="AW164" t="str">
        <f t="shared" si="63"/>
        <v>Grid Extension -United States- Step 7</v>
      </c>
      <c r="AX164" t="s">
        <v>29</v>
      </c>
      <c r="AY164" t="s">
        <v>30</v>
      </c>
      <c r="AZ164" t="s">
        <v>9465</v>
      </c>
      <c r="BB164" t="s">
        <v>9268</v>
      </c>
      <c r="BC164" t="str">
        <f t="shared" si="64"/>
        <v>NatGrdExt_USA-8</v>
      </c>
      <c r="BD164" t="str">
        <f t="shared" si="65"/>
        <v>Grid Extension -United States- Step 8</v>
      </c>
      <c r="BE164" t="s">
        <v>29</v>
      </c>
      <c r="BF164" t="s">
        <v>30</v>
      </c>
      <c r="BG164" t="s">
        <v>9465</v>
      </c>
      <c r="BI164" t="s">
        <v>9268</v>
      </c>
      <c r="BJ164" t="str">
        <f t="shared" si="66"/>
        <v>NatGrdExt_USA-9</v>
      </c>
      <c r="BK164" t="str">
        <f t="shared" si="67"/>
        <v>Grid Extension -United States- Step 9</v>
      </c>
      <c r="BL164" t="s">
        <v>29</v>
      </c>
      <c r="BM164" t="s">
        <v>30</v>
      </c>
      <c r="BN164" t="s">
        <v>9465</v>
      </c>
      <c r="BP164" t="s">
        <v>9268</v>
      </c>
      <c r="BQ164" t="str">
        <f t="shared" si="68"/>
        <v>NatGrdExt_USA-10</v>
      </c>
      <c r="BR164" t="str">
        <f t="shared" si="69"/>
        <v>Grid Extension -United States- Step 10</v>
      </c>
      <c r="BS164" t="s">
        <v>29</v>
      </c>
      <c r="BT164" t="s">
        <v>30</v>
      </c>
      <c r="BU164" t="s">
        <v>9465</v>
      </c>
    </row>
    <row r="165" spans="1:73">
      <c r="A165" s="4" t="s">
        <v>1868</v>
      </c>
      <c r="B165" s="4" t="s">
        <v>9624</v>
      </c>
      <c r="E165" t="s">
        <v>9268</v>
      </c>
      <c r="F165" t="str">
        <f t="shared" si="50"/>
        <v>NatGrdExt_UZB-1</v>
      </c>
      <c r="G165" t="str">
        <f t="shared" si="51"/>
        <v>Grid Extension -Uzbekistan- Step 1</v>
      </c>
      <c r="H165" t="s">
        <v>29</v>
      </c>
      <c r="I165" t="s">
        <v>30</v>
      </c>
      <c r="J165" t="s">
        <v>9465</v>
      </c>
      <c r="L165" t="s">
        <v>9268</v>
      </c>
      <c r="M165" t="str">
        <f t="shared" si="52"/>
        <v>NatGrdExt_UZB-2</v>
      </c>
      <c r="N165" t="str">
        <f t="shared" si="53"/>
        <v>Grid Extension -Uzbekistan- Step 2</v>
      </c>
      <c r="O165" t="s">
        <v>29</v>
      </c>
      <c r="P165" t="s">
        <v>30</v>
      </c>
      <c r="Q165" t="s">
        <v>9465</v>
      </c>
      <c r="S165" t="s">
        <v>9268</v>
      </c>
      <c r="T165" t="str">
        <f t="shared" si="54"/>
        <v>NatGrdExt_UZB-3</v>
      </c>
      <c r="U165" t="str">
        <f t="shared" si="55"/>
        <v>Grid Extension -Uzbekistan- Step 3</v>
      </c>
      <c r="V165" t="s">
        <v>29</v>
      </c>
      <c r="W165" t="s">
        <v>30</v>
      </c>
      <c r="X165" t="s">
        <v>9465</v>
      </c>
      <c r="Z165" t="s">
        <v>9268</v>
      </c>
      <c r="AA165" t="str">
        <f t="shared" si="56"/>
        <v>NatGrdExt_UZB-4</v>
      </c>
      <c r="AB165" t="str">
        <f t="shared" si="57"/>
        <v>Grid Extension -Uzbekistan- Step 4</v>
      </c>
      <c r="AC165" t="s">
        <v>29</v>
      </c>
      <c r="AD165" t="s">
        <v>30</v>
      </c>
      <c r="AE165" t="s">
        <v>9465</v>
      </c>
      <c r="AG165" t="s">
        <v>9268</v>
      </c>
      <c r="AH165" t="str">
        <f t="shared" si="58"/>
        <v>NatGrdExt_UZB-5</v>
      </c>
      <c r="AI165" t="str">
        <f t="shared" si="59"/>
        <v>Grid Extension -Uzbekistan- Step 5</v>
      </c>
      <c r="AJ165" t="s">
        <v>29</v>
      </c>
      <c r="AK165" t="s">
        <v>30</v>
      </c>
      <c r="AL165" t="s">
        <v>9465</v>
      </c>
      <c r="AN165" t="s">
        <v>9268</v>
      </c>
      <c r="AO165" t="str">
        <f t="shared" si="60"/>
        <v>NatGrdExt_UZB-6</v>
      </c>
      <c r="AP165" t="str">
        <f t="shared" si="61"/>
        <v>Grid Extension -Uzbekistan- Step 6</v>
      </c>
      <c r="AQ165" t="s">
        <v>29</v>
      </c>
      <c r="AR165" t="s">
        <v>30</v>
      </c>
      <c r="AS165" t="s">
        <v>9465</v>
      </c>
      <c r="AU165" t="s">
        <v>9268</v>
      </c>
      <c r="AV165" t="str">
        <f t="shared" si="62"/>
        <v>NatGrdExt_UZB-7</v>
      </c>
      <c r="AW165" t="str">
        <f t="shared" si="63"/>
        <v>Grid Extension -Uzbekistan- Step 7</v>
      </c>
      <c r="AX165" t="s">
        <v>29</v>
      </c>
      <c r="AY165" t="s">
        <v>30</v>
      </c>
      <c r="AZ165" t="s">
        <v>9465</v>
      </c>
      <c r="BB165" t="s">
        <v>9268</v>
      </c>
      <c r="BC165" t="str">
        <f t="shared" si="64"/>
        <v>NatGrdExt_UZB-8</v>
      </c>
      <c r="BD165" t="str">
        <f t="shared" si="65"/>
        <v>Grid Extension -Uzbekistan- Step 8</v>
      </c>
      <c r="BE165" t="s">
        <v>29</v>
      </c>
      <c r="BF165" t="s">
        <v>30</v>
      </c>
      <c r="BG165" t="s">
        <v>9465</v>
      </c>
      <c r="BI165" t="s">
        <v>9268</v>
      </c>
      <c r="BJ165" t="str">
        <f t="shared" si="66"/>
        <v>NatGrdExt_UZB-9</v>
      </c>
      <c r="BK165" t="str">
        <f t="shared" si="67"/>
        <v>Grid Extension -Uzbekistan- Step 9</v>
      </c>
      <c r="BL165" t="s">
        <v>29</v>
      </c>
      <c r="BM165" t="s">
        <v>30</v>
      </c>
      <c r="BN165" t="s">
        <v>9465</v>
      </c>
      <c r="BP165" t="s">
        <v>9268</v>
      </c>
      <c r="BQ165" t="str">
        <f t="shared" si="68"/>
        <v>NatGrdExt_UZB-10</v>
      </c>
      <c r="BR165" t="str">
        <f t="shared" si="69"/>
        <v>Grid Extension -Uzbekistan- Step 10</v>
      </c>
      <c r="BS165" t="s">
        <v>29</v>
      </c>
      <c r="BT165" t="s">
        <v>30</v>
      </c>
      <c r="BU165" t="s">
        <v>9465</v>
      </c>
    </row>
    <row r="166" spans="1:73">
      <c r="A166" s="4" t="s">
        <v>1874</v>
      </c>
      <c r="B166" s="4" t="s">
        <v>9625</v>
      </c>
      <c r="E166" t="s">
        <v>9268</v>
      </c>
      <c r="F166" t="str">
        <f t="shared" si="50"/>
        <v>NatGrdExt_VEN-1</v>
      </c>
      <c r="G166" t="str">
        <f t="shared" si="51"/>
        <v>Grid Extension -Venezuela- Step 1</v>
      </c>
      <c r="H166" t="s">
        <v>29</v>
      </c>
      <c r="I166" t="s">
        <v>30</v>
      </c>
      <c r="J166" t="s">
        <v>9465</v>
      </c>
      <c r="L166" t="s">
        <v>9268</v>
      </c>
      <c r="M166" t="str">
        <f t="shared" si="52"/>
        <v>NatGrdExt_VEN-2</v>
      </c>
      <c r="N166" t="str">
        <f t="shared" si="53"/>
        <v>Grid Extension -Venezuela- Step 2</v>
      </c>
      <c r="O166" t="s">
        <v>29</v>
      </c>
      <c r="P166" t="s">
        <v>30</v>
      </c>
      <c r="Q166" t="s">
        <v>9465</v>
      </c>
      <c r="S166" t="s">
        <v>9268</v>
      </c>
      <c r="T166" t="str">
        <f t="shared" si="54"/>
        <v>NatGrdExt_VEN-3</v>
      </c>
      <c r="U166" t="str">
        <f t="shared" si="55"/>
        <v>Grid Extension -Venezuela- Step 3</v>
      </c>
      <c r="V166" t="s">
        <v>29</v>
      </c>
      <c r="W166" t="s">
        <v>30</v>
      </c>
      <c r="X166" t="s">
        <v>9465</v>
      </c>
      <c r="Z166" t="s">
        <v>9268</v>
      </c>
      <c r="AA166" t="str">
        <f t="shared" si="56"/>
        <v>NatGrdExt_VEN-4</v>
      </c>
      <c r="AB166" t="str">
        <f t="shared" si="57"/>
        <v>Grid Extension -Venezuela- Step 4</v>
      </c>
      <c r="AC166" t="s">
        <v>29</v>
      </c>
      <c r="AD166" t="s">
        <v>30</v>
      </c>
      <c r="AE166" t="s">
        <v>9465</v>
      </c>
      <c r="AG166" t="s">
        <v>9268</v>
      </c>
      <c r="AH166" t="str">
        <f t="shared" si="58"/>
        <v>NatGrdExt_VEN-5</v>
      </c>
      <c r="AI166" t="str">
        <f t="shared" si="59"/>
        <v>Grid Extension -Venezuela- Step 5</v>
      </c>
      <c r="AJ166" t="s">
        <v>29</v>
      </c>
      <c r="AK166" t="s">
        <v>30</v>
      </c>
      <c r="AL166" t="s">
        <v>9465</v>
      </c>
      <c r="AN166" t="s">
        <v>9268</v>
      </c>
      <c r="AO166" t="str">
        <f t="shared" si="60"/>
        <v>NatGrdExt_VEN-6</v>
      </c>
      <c r="AP166" t="str">
        <f t="shared" si="61"/>
        <v>Grid Extension -Venezuela- Step 6</v>
      </c>
      <c r="AQ166" t="s">
        <v>29</v>
      </c>
      <c r="AR166" t="s">
        <v>30</v>
      </c>
      <c r="AS166" t="s">
        <v>9465</v>
      </c>
      <c r="AU166" t="s">
        <v>9268</v>
      </c>
      <c r="AV166" t="str">
        <f t="shared" si="62"/>
        <v>NatGrdExt_VEN-7</v>
      </c>
      <c r="AW166" t="str">
        <f t="shared" si="63"/>
        <v>Grid Extension -Venezuela- Step 7</v>
      </c>
      <c r="AX166" t="s">
        <v>29</v>
      </c>
      <c r="AY166" t="s">
        <v>30</v>
      </c>
      <c r="AZ166" t="s">
        <v>9465</v>
      </c>
      <c r="BB166" t="s">
        <v>9268</v>
      </c>
      <c r="BC166" t="str">
        <f t="shared" si="64"/>
        <v>NatGrdExt_VEN-8</v>
      </c>
      <c r="BD166" t="str">
        <f t="shared" si="65"/>
        <v>Grid Extension -Venezuela- Step 8</v>
      </c>
      <c r="BE166" t="s">
        <v>29</v>
      </c>
      <c r="BF166" t="s">
        <v>30</v>
      </c>
      <c r="BG166" t="s">
        <v>9465</v>
      </c>
      <c r="BI166" t="s">
        <v>9268</v>
      </c>
      <c r="BJ166" t="str">
        <f t="shared" si="66"/>
        <v>NatGrdExt_VEN-9</v>
      </c>
      <c r="BK166" t="str">
        <f t="shared" si="67"/>
        <v>Grid Extension -Venezuela- Step 9</v>
      </c>
      <c r="BL166" t="s">
        <v>29</v>
      </c>
      <c r="BM166" t="s">
        <v>30</v>
      </c>
      <c r="BN166" t="s">
        <v>9465</v>
      </c>
      <c r="BP166" t="s">
        <v>9268</v>
      </c>
      <c r="BQ166" t="str">
        <f t="shared" si="68"/>
        <v>NatGrdExt_VEN-10</v>
      </c>
      <c r="BR166" t="str">
        <f t="shared" si="69"/>
        <v>Grid Extension -Venezuela- Step 10</v>
      </c>
      <c r="BS166" t="s">
        <v>29</v>
      </c>
      <c r="BT166" t="s">
        <v>30</v>
      </c>
      <c r="BU166" t="s">
        <v>9465</v>
      </c>
    </row>
    <row r="167" spans="1:73">
      <c r="A167" s="4" t="s">
        <v>1900</v>
      </c>
      <c r="B167" s="4" t="s">
        <v>9626</v>
      </c>
      <c r="E167" t="s">
        <v>9268</v>
      </c>
      <c r="F167" t="str">
        <f t="shared" si="50"/>
        <v>NatGrdExt_VNM-1</v>
      </c>
      <c r="G167" t="str">
        <f t="shared" si="51"/>
        <v>Grid Extension -Vietnam- Step 1</v>
      </c>
      <c r="H167" t="s">
        <v>29</v>
      </c>
      <c r="I167" t="s">
        <v>30</v>
      </c>
      <c r="J167" t="s">
        <v>9465</v>
      </c>
      <c r="L167" t="s">
        <v>9268</v>
      </c>
      <c r="M167" t="str">
        <f t="shared" si="52"/>
        <v>NatGrdExt_VNM-2</v>
      </c>
      <c r="N167" t="str">
        <f t="shared" si="53"/>
        <v>Grid Extension -Vietnam- Step 2</v>
      </c>
      <c r="O167" t="s">
        <v>29</v>
      </c>
      <c r="P167" t="s">
        <v>30</v>
      </c>
      <c r="Q167" t="s">
        <v>9465</v>
      </c>
      <c r="S167" t="s">
        <v>9268</v>
      </c>
      <c r="T167" t="str">
        <f t="shared" si="54"/>
        <v>NatGrdExt_VNM-3</v>
      </c>
      <c r="U167" t="str">
        <f t="shared" si="55"/>
        <v>Grid Extension -Vietnam- Step 3</v>
      </c>
      <c r="V167" t="s">
        <v>29</v>
      </c>
      <c r="W167" t="s">
        <v>30</v>
      </c>
      <c r="X167" t="s">
        <v>9465</v>
      </c>
      <c r="Z167" t="s">
        <v>9268</v>
      </c>
      <c r="AA167" t="str">
        <f t="shared" si="56"/>
        <v>NatGrdExt_VNM-4</v>
      </c>
      <c r="AB167" t="str">
        <f t="shared" si="57"/>
        <v>Grid Extension -Vietnam- Step 4</v>
      </c>
      <c r="AC167" t="s">
        <v>29</v>
      </c>
      <c r="AD167" t="s">
        <v>30</v>
      </c>
      <c r="AE167" t="s">
        <v>9465</v>
      </c>
      <c r="AG167" t="s">
        <v>9268</v>
      </c>
      <c r="AH167" t="str">
        <f t="shared" si="58"/>
        <v>NatGrdExt_VNM-5</v>
      </c>
      <c r="AI167" t="str">
        <f t="shared" si="59"/>
        <v>Grid Extension -Vietnam- Step 5</v>
      </c>
      <c r="AJ167" t="s">
        <v>29</v>
      </c>
      <c r="AK167" t="s">
        <v>30</v>
      </c>
      <c r="AL167" t="s">
        <v>9465</v>
      </c>
      <c r="AN167" t="s">
        <v>9268</v>
      </c>
      <c r="AO167" t="str">
        <f t="shared" si="60"/>
        <v>NatGrdExt_VNM-6</v>
      </c>
      <c r="AP167" t="str">
        <f t="shared" si="61"/>
        <v>Grid Extension -Vietnam- Step 6</v>
      </c>
      <c r="AQ167" t="s">
        <v>29</v>
      </c>
      <c r="AR167" t="s">
        <v>30</v>
      </c>
      <c r="AS167" t="s">
        <v>9465</v>
      </c>
      <c r="AU167" t="s">
        <v>9268</v>
      </c>
      <c r="AV167" t="str">
        <f t="shared" si="62"/>
        <v>NatGrdExt_VNM-7</v>
      </c>
      <c r="AW167" t="str">
        <f t="shared" si="63"/>
        <v>Grid Extension -Vietnam- Step 7</v>
      </c>
      <c r="AX167" t="s">
        <v>29</v>
      </c>
      <c r="AY167" t="s">
        <v>30</v>
      </c>
      <c r="AZ167" t="s">
        <v>9465</v>
      </c>
      <c r="BB167" t="s">
        <v>9268</v>
      </c>
      <c r="BC167" t="str">
        <f t="shared" si="64"/>
        <v>NatGrdExt_VNM-8</v>
      </c>
      <c r="BD167" t="str">
        <f t="shared" si="65"/>
        <v>Grid Extension -Vietnam- Step 8</v>
      </c>
      <c r="BE167" t="s">
        <v>29</v>
      </c>
      <c r="BF167" t="s">
        <v>30</v>
      </c>
      <c r="BG167" t="s">
        <v>9465</v>
      </c>
      <c r="BI167" t="s">
        <v>9268</v>
      </c>
      <c r="BJ167" t="str">
        <f t="shared" si="66"/>
        <v>NatGrdExt_VNM-9</v>
      </c>
      <c r="BK167" t="str">
        <f t="shared" si="67"/>
        <v>Grid Extension -Vietnam- Step 9</v>
      </c>
      <c r="BL167" t="s">
        <v>29</v>
      </c>
      <c r="BM167" t="s">
        <v>30</v>
      </c>
      <c r="BN167" t="s">
        <v>9465</v>
      </c>
      <c r="BP167" t="s">
        <v>9268</v>
      </c>
      <c r="BQ167" t="str">
        <f t="shared" si="68"/>
        <v>NatGrdExt_VNM-10</v>
      </c>
      <c r="BR167" t="str">
        <f t="shared" si="69"/>
        <v>Grid Extension -Vietnam- Step 10</v>
      </c>
      <c r="BS167" t="s">
        <v>29</v>
      </c>
      <c r="BT167" t="s">
        <v>30</v>
      </c>
      <c r="BU167" t="s">
        <v>9465</v>
      </c>
    </row>
    <row r="168" spans="1:73">
      <c r="A168" s="4" t="s">
        <v>1924</v>
      </c>
      <c r="B168" s="4" t="s">
        <v>9627</v>
      </c>
      <c r="E168" t="s">
        <v>9268</v>
      </c>
      <c r="F168" t="str">
        <f t="shared" si="50"/>
        <v>NatGrdExt_VUT-1</v>
      </c>
      <c r="G168" t="str">
        <f t="shared" si="51"/>
        <v>Grid Extension -Vanuatu- Step 1</v>
      </c>
      <c r="H168" t="s">
        <v>29</v>
      </c>
      <c r="I168" t="s">
        <v>30</v>
      </c>
      <c r="J168" t="s">
        <v>9465</v>
      </c>
      <c r="L168" t="s">
        <v>9268</v>
      </c>
      <c r="M168" t="str">
        <f t="shared" si="52"/>
        <v>NatGrdExt_VUT-2</v>
      </c>
      <c r="N168" t="str">
        <f t="shared" si="53"/>
        <v>Grid Extension -Vanuatu- Step 2</v>
      </c>
      <c r="O168" t="s">
        <v>29</v>
      </c>
      <c r="P168" t="s">
        <v>30</v>
      </c>
      <c r="Q168" t="s">
        <v>9465</v>
      </c>
      <c r="S168" t="s">
        <v>9268</v>
      </c>
      <c r="T168" t="str">
        <f t="shared" si="54"/>
        <v>NatGrdExt_VUT-3</v>
      </c>
      <c r="U168" t="str">
        <f t="shared" si="55"/>
        <v>Grid Extension -Vanuatu- Step 3</v>
      </c>
      <c r="V168" t="s">
        <v>29</v>
      </c>
      <c r="W168" t="s">
        <v>30</v>
      </c>
      <c r="X168" t="s">
        <v>9465</v>
      </c>
      <c r="Z168" t="s">
        <v>9268</v>
      </c>
      <c r="AA168" t="str">
        <f t="shared" si="56"/>
        <v>NatGrdExt_VUT-4</v>
      </c>
      <c r="AB168" t="str">
        <f t="shared" si="57"/>
        <v>Grid Extension -Vanuatu- Step 4</v>
      </c>
      <c r="AC168" t="s">
        <v>29</v>
      </c>
      <c r="AD168" t="s">
        <v>30</v>
      </c>
      <c r="AE168" t="s">
        <v>9465</v>
      </c>
      <c r="AG168" t="s">
        <v>9268</v>
      </c>
      <c r="AH168" t="str">
        <f t="shared" si="58"/>
        <v>NatGrdExt_VUT-5</v>
      </c>
      <c r="AI168" t="str">
        <f t="shared" si="59"/>
        <v>Grid Extension -Vanuatu- Step 5</v>
      </c>
      <c r="AJ168" t="s">
        <v>29</v>
      </c>
      <c r="AK168" t="s">
        <v>30</v>
      </c>
      <c r="AL168" t="s">
        <v>9465</v>
      </c>
      <c r="AN168" t="s">
        <v>9268</v>
      </c>
      <c r="AO168" t="str">
        <f t="shared" si="60"/>
        <v>NatGrdExt_VUT-6</v>
      </c>
      <c r="AP168" t="str">
        <f t="shared" si="61"/>
        <v>Grid Extension -Vanuatu- Step 6</v>
      </c>
      <c r="AQ168" t="s">
        <v>29</v>
      </c>
      <c r="AR168" t="s">
        <v>30</v>
      </c>
      <c r="AS168" t="s">
        <v>9465</v>
      </c>
      <c r="AU168" t="s">
        <v>9268</v>
      </c>
      <c r="AV168" t="str">
        <f t="shared" si="62"/>
        <v>NatGrdExt_VUT-7</v>
      </c>
      <c r="AW168" t="str">
        <f t="shared" si="63"/>
        <v>Grid Extension -Vanuatu- Step 7</v>
      </c>
      <c r="AX168" t="s">
        <v>29</v>
      </c>
      <c r="AY168" t="s">
        <v>30</v>
      </c>
      <c r="AZ168" t="s">
        <v>9465</v>
      </c>
      <c r="BB168" t="s">
        <v>9268</v>
      </c>
      <c r="BC168" t="str">
        <f t="shared" si="64"/>
        <v>NatGrdExt_VUT-8</v>
      </c>
      <c r="BD168" t="str">
        <f t="shared" si="65"/>
        <v>Grid Extension -Vanuatu- Step 8</v>
      </c>
      <c r="BE168" t="s">
        <v>29</v>
      </c>
      <c r="BF168" t="s">
        <v>30</v>
      </c>
      <c r="BG168" t="s">
        <v>9465</v>
      </c>
      <c r="BI168" t="s">
        <v>9268</v>
      </c>
      <c r="BJ168" t="str">
        <f t="shared" si="66"/>
        <v>NatGrdExt_VUT-9</v>
      </c>
      <c r="BK168" t="str">
        <f t="shared" si="67"/>
        <v>Grid Extension -Vanuatu- Step 9</v>
      </c>
      <c r="BL168" t="s">
        <v>29</v>
      </c>
      <c r="BM168" t="s">
        <v>30</v>
      </c>
      <c r="BN168" t="s">
        <v>9465</v>
      </c>
      <c r="BP168" t="s">
        <v>9268</v>
      </c>
      <c r="BQ168" t="str">
        <f t="shared" si="68"/>
        <v>NatGrdExt_VUT-10</v>
      </c>
      <c r="BR168" t="str">
        <f t="shared" si="69"/>
        <v>Grid Extension -Vanuatu- Step 10</v>
      </c>
      <c r="BS168" t="s">
        <v>29</v>
      </c>
      <c r="BT168" t="s">
        <v>30</v>
      </c>
      <c r="BU168" t="s">
        <v>9465</v>
      </c>
    </row>
    <row r="169" spans="1:73">
      <c r="A169" s="4" t="s">
        <v>1928</v>
      </c>
      <c r="B169" s="4" t="s">
        <v>9628</v>
      </c>
      <c r="E169" t="s">
        <v>9268</v>
      </c>
      <c r="F169" t="str">
        <f t="shared" si="50"/>
        <v>NatGrdExt_YEM-1</v>
      </c>
      <c r="G169" t="str">
        <f t="shared" si="51"/>
        <v>Grid Extension -Yemen- Step 1</v>
      </c>
      <c r="H169" t="s">
        <v>29</v>
      </c>
      <c r="I169" t="s">
        <v>30</v>
      </c>
      <c r="J169" t="s">
        <v>9465</v>
      </c>
      <c r="L169" t="s">
        <v>9268</v>
      </c>
      <c r="M169" t="str">
        <f t="shared" si="52"/>
        <v>NatGrdExt_YEM-2</v>
      </c>
      <c r="N169" t="str">
        <f t="shared" si="53"/>
        <v>Grid Extension -Yemen- Step 2</v>
      </c>
      <c r="O169" t="s">
        <v>29</v>
      </c>
      <c r="P169" t="s">
        <v>30</v>
      </c>
      <c r="Q169" t="s">
        <v>9465</v>
      </c>
      <c r="S169" t="s">
        <v>9268</v>
      </c>
      <c r="T169" t="str">
        <f t="shared" si="54"/>
        <v>NatGrdExt_YEM-3</v>
      </c>
      <c r="U169" t="str">
        <f t="shared" si="55"/>
        <v>Grid Extension -Yemen- Step 3</v>
      </c>
      <c r="V169" t="s">
        <v>29</v>
      </c>
      <c r="W169" t="s">
        <v>30</v>
      </c>
      <c r="X169" t="s">
        <v>9465</v>
      </c>
      <c r="Z169" t="s">
        <v>9268</v>
      </c>
      <c r="AA169" t="str">
        <f t="shared" si="56"/>
        <v>NatGrdExt_YEM-4</v>
      </c>
      <c r="AB169" t="str">
        <f t="shared" si="57"/>
        <v>Grid Extension -Yemen- Step 4</v>
      </c>
      <c r="AC169" t="s">
        <v>29</v>
      </c>
      <c r="AD169" t="s">
        <v>30</v>
      </c>
      <c r="AE169" t="s">
        <v>9465</v>
      </c>
      <c r="AG169" t="s">
        <v>9268</v>
      </c>
      <c r="AH169" t="str">
        <f t="shared" si="58"/>
        <v>NatGrdExt_YEM-5</v>
      </c>
      <c r="AI169" t="str">
        <f t="shared" si="59"/>
        <v>Grid Extension -Yemen- Step 5</v>
      </c>
      <c r="AJ169" t="s">
        <v>29</v>
      </c>
      <c r="AK169" t="s">
        <v>30</v>
      </c>
      <c r="AL169" t="s">
        <v>9465</v>
      </c>
      <c r="AN169" t="s">
        <v>9268</v>
      </c>
      <c r="AO169" t="str">
        <f t="shared" si="60"/>
        <v>NatGrdExt_YEM-6</v>
      </c>
      <c r="AP169" t="str">
        <f t="shared" si="61"/>
        <v>Grid Extension -Yemen- Step 6</v>
      </c>
      <c r="AQ169" t="s">
        <v>29</v>
      </c>
      <c r="AR169" t="s">
        <v>30</v>
      </c>
      <c r="AS169" t="s">
        <v>9465</v>
      </c>
      <c r="AU169" t="s">
        <v>9268</v>
      </c>
      <c r="AV169" t="str">
        <f t="shared" si="62"/>
        <v>NatGrdExt_YEM-7</v>
      </c>
      <c r="AW169" t="str">
        <f t="shared" si="63"/>
        <v>Grid Extension -Yemen- Step 7</v>
      </c>
      <c r="AX169" t="s">
        <v>29</v>
      </c>
      <c r="AY169" t="s">
        <v>30</v>
      </c>
      <c r="AZ169" t="s">
        <v>9465</v>
      </c>
      <c r="BB169" t="s">
        <v>9268</v>
      </c>
      <c r="BC169" t="str">
        <f t="shared" si="64"/>
        <v>NatGrdExt_YEM-8</v>
      </c>
      <c r="BD169" t="str">
        <f t="shared" si="65"/>
        <v>Grid Extension -Yemen- Step 8</v>
      </c>
      <c r="BE169" t="s">
        <v>29</v>
      </c>
      <c r="BF169" t="s">
        <v>30</v>
      </c>
      <c r="BG169" t="s">
        <v>9465</v>
      </c>
      <c r="BI169" t="s">
        <v>9268</v>
      </c>
      <c r="BJ169" t="str">
        <f t="shared" si="66"/>
        <v>NatGrdExt_YEM-9</v>
      </c>
      <c r="BK169" t="str">
        <f t="shared" si="67"/>
        <v>Grid Extension -Yemen- Step 9</v>
      </c>
      <c r="BL169" t="s">
        <v>29</v>
      </c>
      <c r="BM169" t="s">
        <v>30</v>
      </c>
      <c r="BN169" t="s">
        <v>9465</v>
      </c>
      <c r="BP169" t="s">
        <v>9268</v>
      </c>
      <c r="BQ169" t="str">
        <f t="shared" si="68"/>
        <v>NatGrdExt_YEM-10</v>
      </c>
      <c r="BR169" t="str">
        <f t="shared" si="69"/>
        <v>Grid Extension -Yemen- Step 10</v>
      </c>
      <c r="BS169" t="s">
        <v>29</v>
      </c>
      <c r="BT169" t="s">
        <v>30</v>
      </c>
      <c r="BU169" t="s">
        <v>9465</v>
      </c>
    </row>
    <row r="170" spans="1:73">
      <c r="A170" s="4" t="s">
        <v>1932</v>
      </c>
      <c r="B170" s="4" t="s">
        <v>9629</v>
      </c>
      <c r="E170" t="s">
        <v>9268</v>
      </c>
      <c r="F170" t="str">
        <f t="shared" si="50"/>
        <v>NatGrdExt_ZAF-1</v>
      </c>
      <c r="G170" t="str">
        <f t="shared" si="51"/>
        <v>Grid Extension -South Africa- Step 1</v>
      </c>
      <c r="H170" t="s">
        <v>29</v>
      </c>
      <c r="I170" t="s">
        <v>30</v>
      </c>
      <c r="J170" t="s">
        <v>9465</v>
      </c>
      <c r="L170" t="s">
        <v>9268</v>
      </c>
      <c r="M170" t="str">
        <f t="shared" si="52"/>
        <v>NatGrdExt_ZAF-2</v>
      </c>
      <c r="N170" t="str">
        <f t="shared" si="53"/>
        <v>Grid Extension -South Africa- Step 2</v>
      </c>
      <c r="O170" t="s">
        <v>29</v>
      </c>
      <c r="P170" t="s">
        <v>30</v>
      </c>
      <c r="Q170" t="s">
        <v>9465</v>
      </c>
      <c r="S170" t="s">
        <v>9268</v>
      </c>
      <c r="T170" t="str">
        <f t="shared" si="54"/>
        <v>NatGrdExt_ZAF-3</v>
      </c>
      <c r="U170" t="str">
        <f t="shared" si="55"/>
        <v>Grid Extension -South Africa- Step 3</v>
      </c>
      <c r="V170" t="s">
        <v>29</v>
      </c>
      <c r="W170" t="s">
        <v>30</v>
      </c>
      <c r="X170" t="s">
        <v>9465</v>
      </c>
      <c r="Z170" t="s">
        <v>9268</v>
      </c>
      <c r="AA170" t="str">
        <f t="shared" si="56"/>
        <v>NatGrdExt_ZAF-4</v>
      </c>
      <c r="AB170" t="str">
        <f t="shared" si="57"/>
        <v>Grid Extension -South Africa- Step 4</v>
      </c>
      <c r="AC170" t="s">
        <v>29</v>
      </c>
      <c r="AD170" t="s">
        <v>30</v>
      </c>
      <c r="AE170" t="s">
        <v>9465</v>
      </c>
      <c r="AG170" t="s">
        <v>9268</v>
      </c>
      <c r="AH170" t="str">
        <f t="shared" si="58"/>
        <v>NatGrdExt_ZAF-5</v>
      </c>
      <c r="AI170" t="str">
        <f t="shared" si="59"/>
        <v>Grid Extension -South Africa- Step 5</v>
      </c>
      <c r="AJ170" t="s">
        <v>29</v>
      </c>
      <c r="AK170" t="s">
        <v>30</v>
      </c>
      <c r="AL170" t="s">
        <v>9465</v>
      </c>
      <c r="AN170" t="s">
        <v>9268</v>
      </c>
      <c r="AO170" t="str">
        <f t="shared" si="60"/>
        <v>NatGrdExt_ZAF-6</v>
      </c>
      <c r="AP170" t="str">
        <f t="shared" si="61"/>
        <v>Grid Extension -South Africa- Step 6</v>
      </c>
      <c r="AQ170" t="s">
        <v>29</v>
      </c>
      <c r="AR170" t="s">
        <v>30</v>
      </c>
      <c r="AS170" t="s">
        <v>9465</v>
      </c>
      <c r="AU170" t="s">
        <v>9268</v>
      </c>
      <c r="AV170" t="str">
        <f t="shared" si="62"/>
        <v>NatGrdExt_ZAF-7</v>
      </c>
      <c r="AW170" t="str">
        <f t="shared" si="63"/>
        <v>Grid Extension -South Africa- Step 7</v>
      </c>
      <c r="AX170" t="s">
        <v>29</v>
      </c>
      <c r="AY170" t="s">
        <v>30</v>
      </c>
      <c r="AZ170" t="s">
        <v>9465</v>
      </c>
      <c r="BB170" t="s">
        <v>9268</v>
      </c>
      <c r="BC170" t="str">
        <f t="shared" si="64"/>
        <v>NatGrdExt_ZAF-8</v>
      </c>
      <c r="BD170" t="str">
        <f t="shared" si="65"/>
        <v>Grid Extension -South Africa- Step 8</v>
      </c>
      <c r="BE170" t="s">
        <v>29</v>
      </c>
      <c r="BF170" t="s">
        <v>30</v>
      </c>
      <c r="BG170" t="s">
        <v>9465</v>
      </c>
      <c r="BI170" t="s">
        <v>9268</v>
      </c>
      <c r="BJ170" t="str">
        <f t="shared" si="66"/>
        <v>NatGrdExt_ZAF-9</v>
      </c>
      <c r="BK170" t="str">
        <f t="shared" si="67"/>
        <v>Grid Extension -South Africa- Step 9</v>
      </c>
      <c r="BL170" t="s">
        <v>29</v>
      </c>
      <c r="BM170" t="s">
        <v>30</v>
      </c>
      <c r="BN170" t="s">
        <v>9465</v>
      </c>
      <c r="BP170" t="s">
        <v>9268</v>
      </c>
      <c r="BQ170" t="str">
        <f t="shared" si="68"/>
        <v>NatGrdExt_ZAF-10</v>
      </c>
      <c r="BR170" t="str">
        <f t="shared" si="69"/>
        <v>Grid Extension -South Africa- Step 10</v>
      </c>
      <c r="BS170" t="s">
        <v>29</v>
      </c>
      <c r="BT170" t="s">
        <v>30</v>
      </c>
      <c r="BU170" t="s">
        <v>9465</v>
      </c>
    </row>
    <row r="171" spans="1:73">
      <c r="A171" s="4" t="s">
        <v>1946</v>
      </c>
      <c r="B171" s="4" t="s">
        <v>9630</v>
      </c>
      <c r="E171" t="s">
        <v>9268</v>
      </c>
      <c r="F171" t="str">
        <f t="shared" si="50"/>
        <v>NatGrdExt_ZMB-1</v>
      </c>
      <c r="G171" t="str">
        <f t="shared" si="51"/>
        <v>Grid Extension -Zambia- Step 1</v>
      </c>
      <c r="H171" t="s">
        <v>29</v>
      </c>
      <c r="I171" t="s">
        <v>30</v>
      </c>
      <c r="J171" t="s">
        <v>9465</v>
      </c>
      <c r="L171" t="s">
        <v>9268</v>
      </c>
      <c r="M171" t="str">
        <f t="shared" si="52"/>
        <v>NatGrdExt_ZMB-2</v>
      </c>
      <c r="N171" t="str">
        <f t="shared" si="53"/>
        <v>Grid Extension -Zambia- Step 2</v>
      </c>
      <c r="O171" t="s">
        <v>29</v>
      </c>
      <c r="P171" t="s">
        <v>30</v>
      </c>
      <c r="Q171" t="s">
        <v>9465</v>
      </c>
      <c r="S171" t="s">
        <v>9268</v>
      </c>
      <c r="T171" t="str">
        <f t="shared" si="54"/>
        <v>NatGrdExt_ZMB-3</v>
      </c>
      <c r="U171" t="str">
        <f t="shared" si="55"/>
        <v>Grid Extension -Zambia- Step 3</v>
      </c>
      <c r="V171" t="s">
        <v>29</v>
      </c>
      <c r="W171" t="s">
        <v>30</v>
      </c>
      <c r="X171" t="s">
        <v>9465</v>
      </c>
      <c r="Z171" t="s">
        <v>9268</v>
      </c>
      <c r="AA171" t="str">
        <f t="shared" si="56"/>
        <v>NatGrdExt_ZMB-4</v>
      </c>
      <c r="AB171" t="str">
        <f t="shared" si="57"/>
        <v>Grid Extension -Zambia- Step 4</v>
      </c>
      <c r="AC171" t="s">
        <v>29</v>
      </c>
      <c r="AD171" t="s">
        <v>30</v>
      </c>
      <c r="AE171" t="s">
        <v>9465</v>
      </c>
      <c r="AG171" t="s">
        <v>9268</v>
      </c>
      <c r="AH171" t="str">
        <f t="shared" si="58"/>
        <v>NatGrdExt_ZMB-5</v>
      </c>
      <c r="AI171" t="str">
        <f t="shared" si="59"/>
        <v>Grid Extension -Zambia- Step 5</v>
      </c>
      <c r="AJ171" t="s">
        <v>29</v>
      </c>
      <c r="AK171" t="s">
        <v>30</v>
      </c>
      <c r="AL171" t="s">
        <v>9465</v>
      </c>
      <c r="AN171" t="s">
        <v>9268</v>
      </c>
      <c r="AO171" t="str">
        <f t="shared" si="60"/>
        <v>NatGrdExt_ZMB-6</v>
      </c>
      <c r="AP171" t="str">
        <f t="shared" si="61"/>
        <v>Grid Extension -Zambia- Step 6</v>
      </c>
      <c r="AQ171" t="s">
        <v>29</v>
      </c>
      <c r="AR171" t="s">
        <v>30</v>
      </c>
      <c r="AS171" t="s">
        <v>9465</v>
      </c>
      <c r="AU171" t="s">
        <v>9268</v>
      </c>
      <c r="AV171" t="str">
        <f t="shared" si="62"/>
        <v>NatGrdExt_ZMB-7</v>
      </c>
      <c r="AW171" t="str">
        <f t="shared" si="63"/>
        <v>Grid Extension -Zambia- Step 7</v>
      </c>
      <c r="AX171" t="s">
        <v>29</v>
      </c>
      <c r="AY171" t="s">
        <v>30</v>
      </c>
      <c r="AZ171" t="s">
        <v>9465</v>
      </c>
      <c r="BB171" t="s">
        <v>9268</v>
      </c>
      <c r="BC171" t="str">
        <f t="shared" si="64"/>
        <v>NatGrdExt_ZMB-8</v>
      </c>
      <c r="BD171" t="str">
        <f t="shared" si="65"/>
        <v>Grid Extension -Zambia- Step 8</v>
      </c>
      <c r="BE171" t="s">
        <v>29</v>
      </c>
      <c r="BF171" t="s">
        <v>30</v>
      </c>
      <c r="BG171" t="s">
        <v>9465</v>
      </c>
      <c r="BI171" t="s">
        <v>9268</v>
      </c>
      <c r="BJ171" t="str">
        <f t="shared" si="66"/>
        <v>NatGrdExt_ZMB-9</v>
      </c>
      <c r="BK171" t="str">
        <f t="shared" si="67"/>
        <v>Grid Extension -Zambia- Step 9</v>
      </c>
      <c r="BL171" t="s">
        <v>29</v>
      </c>
      <c r="BM171" t="s">
        <v>30</v>
      </c>
      <c r="BN171" t="s">
        <v>9465</v>
      </c>
      <c r="BP171" t="s">
        <v>9268</v>
      </c>
      <c r="BQ171" t="str">
        <f t="shared" si="68"/>
        <v>NatGrdExt_ZMB-10</v>
      </c>
      <c r="BR171" t="str">
        <f t="shared" si="69"/>
        <v>Grid Extension -Zambia- Step 10</v>
      </c>
      <c r="BS171" t="s">
        <v>29</v>
      </c>
      <c r="BT171" t="s">
        <v>30</v>
      </c>
      <c r="BU171" t="s">
        <v>9465</v>
      </c>
    </row>
    <row r="172" spans="1:73">
      <c r="A172" s="4" t="s">
        <v>1956</v>
      </c>
      <c r="B172" s="4" t="s">
        <v>9631</v>
      </c>
      <c r="E172" t="s">
        <v>9268</v>
      </c>
      <c r="F172" t="str">
        <f t="shared" si="50"/>
        <v>NatGrdExt_ZWE-1</v>
      </c>
      <c r="G172" t="str">
        <f t="shared" si="51"/>
        <v>Grid Extension -Zimbabwe- Step 1</v>
      </c>
      <c r="H172" t="s">
        <v>29</v>
      </c>
      <c r="I172" t="s">
        <v>30</v>
      </c>
      <c r="J172" t="s">
        <v>9465</v>
      </c>
      <c r="L172" t="s">
        <v>9268</v>
      </c>
      <c r="M172" t="str">
        <f t="shared" si="52"/>
        <v>NatGrdExt_ZWE-2</v>
      </c>
      <c r="N172" t="str">
        <f t="shared" si="53"/>
        <v>Grid Extension -Zimbabwe- Step 2</v>
      </c>
      <c r="O172" t="s">
        <v>29</v>
      </c>
      <c r="P172" t="s">
        <v>30</v>
      </c>
      <c r="Q172" t="s">
        <v>9465</v>
      </c>
      <c r="S172" t="s">
        <v>9268</v>
      </c>
      <c r="T172" t="str">
        <f t="shared" si="54"/>
        <v>NatGrdExt_ZWE-3</v>
      </c>
      <c r="U172" t="str">
        <f t="shared" si="55"/>
        <v>Grid Extension -Zimbabwe- Step 3</v>
      </c>
      <c r="V172" t="s">
        <v>29</v>
      </c>
      <c r="W172" t="s">
        <v>30</v>
      </c>
      <c r="X172" t="s">
        <v>9465</v>
      </c>
      <c r="Z172" t="s">
        <v>9268</v>
      </c>
      <c r="AA172" t="str">
        <f t="shared" si="56"/>
        <v>NatGrdExt_ZWE-4</v>
      </c>
      <c r="AB172" t="str">
        <f t="shared" si="57"/>
        <v>Grid Extension -Zimbabwe- Step 4</v>
      </c>
      <c r="AC172" t="s">
        <v>29</v>
      </c>
      <c r="AD172" t="s">
        <v>30</v>
      </c>
      <c r="AE172" t="s">
        <v>9465</v>
      </c>
      <c r="AG172" t="s">
        <v>9268</v>
      </c>
      <c r="AH172" t="str">
        <f t="shared" si="58"/>
        <v>NatGrdExt_ZWE-5</v>
      </c>
      <c r="AI172" t="str">
        <f t="shared" si="59"/>
        <v>Grid Extension -Zimbabwe- Step 5</v>
      </c>
      <c r="AJ172" t="s">
        <v>29</v>
      </c>
      <c r="AK172" t="s">
        <v>30</v>
      </c>
      <c r="AL172" t="s">
        <v>9465</v>
      </c>
      <c r="AN172" t="s">
        <v>9268</v>
      </c>
      <c r="AO172" t="str">
        <f t="shared" si="60"/>
        <v>NatGrdExt_ZWE-6</v>
      </c>
      <c r="AP172" t="str">
        <f t="shared" si="61"/>
        <v>Grid Extension -Zimbabwe- Step 6</v>
      </c>
      <c r="AQ172" t="s">
        <v>29</v>
      </c>
      <c r="AR172" t="s">
        <v>30</v>
      </c>
      <c r="AS172" t="s">
        <v>9465</v>
      </c>
      <c r="AU172" t="s">
        <v>9268</v>
      </c>
      <c r="AV172" t="str">
        <f t="shared" si="62"/>
        <v>NatGrdExt_ZWE-7</v>
      </c>
      <c r="AW172" t="str">
        <f t="shared" si="63"/>
        <v>Grid Extension -Zimbabwe- Step 7</v>
      </c>
      <c r="AX172" t="s">
        <v>29</v>
      </c>
      <c r="AY172" t="s">
        <v>30</v>
      </c>
      <c r="AZ172" t="s">
        <v>9465</v>
      </c>
      <c r="BB172" t="s">
        <v>9268</v>
      </c>
      <c r="BC172" t="str">
        <f t="shared" si="64"/>
        <v>NatGrdExt_ZWE-8</v>
      </c>
      <c r="BD172" t="str">
        <f t="shared" si="65"/>
        <v>Grid Extension -Zimbabwe- Step 8</v>
      </c>
      <c r="BE172" t="s">
        <v>29</v>
      </c>
      <c r="BF172" t="s">
        <v>30</v>
      </c>
      <c r="BG172" t="s">
        <v>9465</v>
      </c>
      <c r="BI172" t="s">
        <v>9268</v>
      </c>
      <c r="BJ172" t="str">
        <f t="shared" si="66"/>
        <v>NatGrdExt_ZWE-9</v>
      </c>
      <c r="BK172" t="str">
        <f t="shared" si="67"/>
        <v>Grid Extension -Zimbabwe- Step 9</v>
      </c>
      <c r="BL172" t="s">
        <v>29</v>
      </c>
      <c r="BM172" t="s">
        <v>30</v>
      </c>
      <c r="BN172" t="s">
        <v>9465</v>
      </c>
      <c r="BP172" t="s">
        <v>9268</v>
      </c>
      <c r="BQ172" t="str">
        <f t="shared" si="68"/>
        <v>NatGrdExt_ZWE-10</v>
      </c>
      <c r="BR172" t="str">
        <f t="shared" si="69"/>
        <v>Grid Extension -Zimbabwe- Step 10</v>
      </c>
      <c r="BS172" t="s">
        <v>29</v>
      </c>
      <c r="BT172" t="s">
        <v>30</v>
      </c>
      <c r="BU172" t="s">
        <v>9465</v>
      </c>
    </row>
  </sheetData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REZ_Solar</vt:lpstr>
      <vt:lpstr>REZ_Wind</vt:lpstr>
      <vt:lpstr>LNG Terminals</vt:lpstr>
      <vt:lpstr>ELC_GridExt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xli9</cp:lastModifiedBy>
  <dcterms:created xsi:type="dcterms:W3CDTF">2016-08-02T11:07:00Z</dcterms:created>
  <cp:lastPrinted>2019-05-06T14:41:00Z</cp:lastPrinted>
  <dcterms:modified xsi:type="dcterms:W3CDTF">2026-06-10T21:10:03Z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427268446879744</vt:r8>
  </property>
  <property fmtid="{D5CDD505-2E9C-101B-9397-08002B2CF9AE}" pid="3" name="{A44787D4-0540-4523-9961-78E4036D8C6D}">
    <vt:lpwstr>{302D441D-EDB0-49B8-84B4-625F8847A58E}</vt:lpwstr>
  </property>
  <property fmtid="{D5CDD505-2E9C-101B-9397-08002B2CF9AE}" pid="4" name="ICV">
    <vt:lpwstr>AAA7FE56D7E148F49ABEF7CC6B4E1D7E_12</vt:lpwstr>
  </property>
  <property fmtid="{D5CDD505-2E9C-101B-9397-08002B2CF9AE}" pid="5" name="KSOProductBuildVer">
    <vt:lpwstr>1033-12.1.0.26880</vt:lpwstr>
  </property>
  <property fmtid="{D5CDD505-2E9C-101B-9397-08002B2CF9AE}" pid="6" name="CalculationRule">
    <vt:i4>0</vt:i4>
  </property>
</Properties>
</file>