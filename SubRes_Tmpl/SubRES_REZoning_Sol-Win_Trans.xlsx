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D:\IEMM\MIG_KiNESYS\IEMM_V70_KiNESYS_CEA-11-2\SubRes_Tmpl\"/>
    </mc:Choice>
  </mc:AlternateContent>
  <xr:revisionPtr revIDLastSave="0" documentId="13_ncr:1_{1BC83F76-442E-4AEE-9D9C-ACBF22316BEE}" xr6:coauthVersionLast="47" xr6:coauthVersionMax="47" xr10:uidLastSave="{00000000-0000-0000-0000-000000000000}"/>
  <bookViews>
    <workbookView xWindow="490" yWindow="490" windowWidth="28800" windowHeight="15380" activeTab="1" xr2:uid="{00000000-000D-0000-FFFF-FFFF00000000}"/>
  </bookViews>
  <sheets>
    <sheet name="AVA" sheetId="3" r:id="rId1"/>
    <sheet name="Misc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4" l="1"/>
  <c r="G24" i="4" s="1"/>
  <c r="G6" i="4"/>
</calcChain>
</file>

<file path=xl/sharedStrings.xml><?xml version="1.0" encoding="utf-8"?>
<sst xmlns="http://schemas.openxmlformats.org/spreadsheetml/2006/main" count="740" uniqueCount="338">
  <si>
    <t>PSET_PN</t>
  </si>
  <si>
    <t>Attribute</t>
  </si>
  <si>
    <t>Year</t>
  </si>
  <si>
    <t>LimType</t>
  </si>
  <si>
    <t>~TFM_AVA</t>
  </si>
  <si>
    <t>~TFM_INS</t>
  </si>
  <si>
    <t>AllRegions</t>
  </si>
  <si>
    <t>Cap2ACT</t>
  </si>
  <si>
    <t>LIFE</t>
  </si>
  <si>
    <t>EFF</t>
  </si>
  <si>
    <t>PEAK</t>
  </si>
  <si>
    <t>VT_SubRES_AVA</t>
  </si>
  <si>
    <t>ELIFE</t>
  </si>
  <si>
    <t>~TFM_TOPINS</t>
  </si>
  <si>
    <t>CSET_CN</t>
  </si>
  <si>
    <t>UP</t>
  </si>
  <si>
    <t>CAP_BND</t>
  </si>
  <si>
    <t>NatGrdExt*</t>
  </si>
  <si>
    <t>DumGrid</t>
  </si>
  <si>
    <t>OUT</t>
  </si>
  <si>
    <t>NCAP_ILED</t>
  </si>
  <si>
    <t>EN[_]SPV*</t>
  </si>
  <si>
    <t>EN[_]W*</t>
  </si>
  <si>
    <t>EN[_]WOF*</t>
  </si>
  <si>
    <t>EN[_]WON*</t>
  </si>
  <si>
    <t>VT_TOPINS_Agg_Solar</t>
  </si>
  <si>
    <t>VT_TOPINS_Agg_Wind</t>
  </si>
  <si>
    <t>ElcAgg_Solar</t>
  </si>
  <si>
    <t>ElcAgg_Wind</t>
  </si>
  <si>
    <t>Region</t>
  </si>
  <si>
    <t>*[_]ABW,*-ABW-*,*[_]ABW-*, ELCAgg_*</t>
  </si>
  <si>
    <t>LatAm</t>
  </si>
  <si>
    <t>*[_]AFG,*-AFG-*,*[_]AFG-*, ELCAgg_*</t>
  </si>
  <si>
    <t>ROW</t>
  </si>
  <si>
    <t>*[_]AGO,*-AGO-*,*[_]AGO-*, ELCAgg_*</t>
  </si>
  <si>
    <t>Africa_Other</t>
  </si>
  <si>
    <t>*[_]ALB,*-ALB-*,*[_]ALB-*, ELCAgg_*</t>
  </si>
  <si>
    <t>WestBalkans</t>
  </si>
  <si>
    <t>*[_]ARE,*-ARE-*,*[_]ARE-*, ELCAgg_*</t>
  </si>
  <si>
    <t>MidEast</t>
  </si>
  <si>
    <t>*[_]ARG,*-ARG-*,*[_]ARG-*, ELCAgg_*</t>
  </si>
  <si>
    <t>*[_]ARM,*-ARM-*,*[_]ARM-*, ELCAgg_*</t>
  </si>
  <si>
    <t>*[_]ASM,*-ASM-*,*[_]ASM-*, ELCAgg_*</t>
  </si>
  <si>
    <t>*[_]ATG,*-ATG-*,*[_]ATG-*, ELCAgg_*</t>
  </si>
  <si>
    <t>*[_]AUS,*-AUS-*,*[_]AUS-*, ELCAgg_*</t>
  </si>
  <si>
    <t>Australia</t>
  </si>
  <si>
    <t>*[_]AUT,*-AUT-*,*[_]AUT-*, ELCAgg_*</t>
  </si>
  <si>
    <t>Austria</t>
  </si>
  <si>
    <t>*[_]AZE,*-AZE-*,*[_]AZE-*, ELCAgg_*</t>
  </si>
  <si>
    <t>*[_]BDI,*-BDI-*,*[_]BDI-*, ELCAgg_*</t>
  </si>
  <si>
    <t>*[_]BEL,*-BEL-*,*[_]BEL-*, ELCAgg_*</t>
  </si>
  <si>
    <t>BeNeLux</t>
  </si>
  <si>
    <t>*[_]BEN,*-BEN-*,*[_]BEN-*, ELCAgg_*</t>
  </si>
  <si>
    <t>*[_]BFA,*-BFA-*,*[_]BFA-*, ELCAgg_*</t>
  </si>
  <si>
    <t>*[_]BGD,*-BGD-*,*[_]BGD-*, ELCAgg_*</t>
  </si>
  <si>
    <t>*[_]BGR,*-BGR-*,*[_]BGR-*, ELCAgg_*</t>
  </si>
  <si>
    <t>HunRomBul</t>
  </si>
  <si>
    <t>*[_]BHR,*-BHR-*,*[_]BHR-*, ELCAgg_*</t>
  </si>
  <si>
    <t>*[_]BHS,*-BHS-*,*[_]BHS-*, ELCAgg_*</t>
  </si>
  <si>
    <t>*[_]BIH,*-BIH-*,*[_]BIH-*, ELCAgg_*</t>
  </si>
  <si>
    <t>*[_]BLR,*-BLR-*,*[_]BLR-*, ELCAgg_*</t>
  </si>
  <si>
    <t>Russia</t>
  </si>
  <si>
    <t>*[_]BLZ,*-BLZ-*,*[_]BLZ-*, ELCAgg_*</t>
  </si>
  <si>
    <t>*[_]BMU,*-BMU-*,*[_]BMU-*, ELCAgg_*</t>
  </si>
  <si>
    <t>*[_]BOL,*-BOL-*,*[_]BOL-*, ELCAgg_*</t>
  </si>
  <si>
    <t>*[_]BRA,*-BRA-*,*[_]BRA-*, ELCAgg_*</t>
  </si>
  <si>
    <t>Brazil</t>
  </si>
  <si>
    <t>*[_]BRB,*-BRB-*,*[_]BRB-*, ELCAgg_*</t>
  </si>
  <si>
    <t>*[_]BRN,*-BRN-*,*[_]BRN-*, ELCAgg_*</t>
  </si>
  <si>
    <t>*[_]BTN,*-BTN-*,*[_]BTN-*, ELCAgg_*</t>
  </si>
  <si>
    <t>*[_]BWA,*-BWA-*,*[_]BWA-*, ELCAgg_*</t>
  </si>
  <si>
    <t>*[_]CAF,*-CAF-*,*[_]CAF-*, ELCAgg_*</t>
  </si>
  <si>
    <t>*[_]CAN,*-CAN-*,*[_]CAN-*, ELCAgg_*</t>
  </si>
  <si>
    <t>NorthAm</t>
  </si>
  <si>
    <t>*[_]CHE,*-CHE-*,*[_]CHE-*, ELCAgg_*</t>
  </si>
  <si>
    <t>Switzerland</t>
  </si>
  <si>
    <t>*[_]CHL,*-CHL-*,*[_]CHL-*, ELCAgg_*</t>
  </si>
  <si>
    <t>*[_]CHN,*-CHN-*,*[_]CHN-*, ELCAgg_*</t>
  </si>
  <si>
    <t>China</t>
  </si>
  <si>
    <t>*[_]CIV,*-CIV-*,*[_]CIV-*, ELCAgg_*</t>
  </si>
  <si>
    <t>*[_]CMR,*-CMR-*,*[_]CMR-*, ELCAgg_*</t>
  </si>
  <si>
    <t>*[_]COD,*-COD-*,*[_]COD-*, ELCAgg_*</t>
  </si>
  <si>
    <t>*[_]COG,*-COG-*,*[_]COG-*, ELCAgg_*</t>
  </si>
  <si>
    <t>*[_]COK,*-COK-*,*[_]COK-*, ELCAgg_*</t>
  </si>
  <si>
    <t>*[_]COL,*-COL-*,*[_]COL-*, ELCAgg_*</t>
  </si>
  <si>
    <t>*[_]COM,*-COM-*,*[_]COM-*, ELCAgg_*</t>
  </si>
  <si>
    <t>*[_]CPV,*-CPV-*,*[_]CPV-*, ELCAgg_*</t>
  </si>
  <si>
    <t>*[_]CRI,*-CRI-*,*[_]CRI-*, ELCAgg_*</t>
  </si>
  <si>
    <t>*[_]CUB,*-CUB-*,*[_]CUB-*, ELCAgg_*</t>
  </si>
  <si>
    <t>*[_]CYM,*-CYM-*,*[_]CYM-*, ELCAgg_*</t>
  </si>
  <si>
    <t>*[_]CYP,*-CYP-*,*[_]CYP-*, ELCAgg_*</t>
  </si>
  <si>
    <t>GreeceCyp</t>
  </si>
  <si>
    <t>*[_]CZE,*-CZE-*,*[_]CZE-*, ELCAgg_*</t>
  </si>
  <si>
    <t>CzechSlovak</t>
  </si>
  <si>
    <t>*[_]DEU,*-DEU-*,*[_]DEU-*, ELCAgg_*</t>
  </si>
  <si>
    <t>Germany</t>
  </si>
  <si>
    <t>*[_]DJI,*-DJI-*,*[_]DJI-*, ELCAgg_*</t>
  </si>
  <si>
    <t>*[_]DMA,*-DMA-*,*[_]DMA-*, ELCAgg_*</t>
  </si>
  <si>
    <t>*[_]DNK,*-DNK-*,*[_]DNK-*, ELCAgg_*</t>
  </si>
  <si>
    <t>SweFinDen</t>
  </si>
  <si>
    <t>*[_]DOM,*-DOM-*,*[_]DOM-*, ELCAgg_*</t>
  </si>
  <si>
    <t>*[_]DZA,*-DZA-*,*[_]DZA-*, ELCAgg_*</t>
  </si>
  <si>
    <t>Africa_North</t>
  </si>
  <si>
    <t>*[_]ECU,*-ECU-*,*[_]ECU-*, ELCAgg_*</t>
  </si>
  <si>
    <t>*[_]EGY,*-EGY-*,*[_]EGY-*, ELCAgg_*</t>
  </si>
  <si>
    <t>*[_]ERI,*-ERI-*,*[_]ERI-*, ELCAgg_*</t>
  </si>
  <si>
    <t>*[_]ESP,*-ESP-*,*[_]ESP-*, ELCAgg_*</t>
  </si>
  <si>
    <t>SpainPor</t>
  </si>
  <si>
    <t>*[_]EST,*-EST-*,*[_]EST-*, ELCAgg_*</t>
  </si>
  <si>
    <t>Baltics</t>
  </si>
  <si>
    <t>*[_]ETH,*-ETH-*,*[_]ETH-*, ELCAgg_*</t>
  </si>
  <si>
    <t>*[_]FIN,*-FIN-*,*[_]FIN-*, ELCAgg_*</t>
  </si>
  <si>
    <t>*[_]FJI,*-FJI-*,*[_]FJI-*, ELCAgg_*</t>
  </si>
  <si>
    <t>*[_]FRA,*-FRA-*,*[_]FRA-*, ELCAgg_*</t>
  </si>
  <si>
    <t>France</t>
  </si>
  <si>
    <t>*[_]GAB,*-GAB-*,*[_]GAB-*, ELCAgg_*</t>
  </si>
  <si>
    <t>*[_]GBR,*-GBR-*,*[_]GBR-*, ELCAgg_*</t>
  </si>
  <si>
    <t>UK</t>
  </si>
  <si>
    <t>*[_]GEO,*-GEO-*,*[_]GEO-*, ELCAgg_*</t>
  </si>
  <si>
    <t>*[_]GHA,*-GHA-*,*[_]GHA-*, ELCAgg_*</t>
  </si>
  <si>
    <t>*[_]GIN,*-GIN-*,*[_]GIN-*, ELCAgg_*</t>
  </si>
  <si>
    <t>*[_]GMB,*-GMB-*,*[_]GMB-*, ELCAgg_*</t>
  </si>
  <si>
    <t>*[_]GNB,*-GNB-*,*[_]GNB-*, ELCAgg_*</t>
  </si>
  <si>
    <t>*[_]GNQ,*-GNQ-*,*[_]GNQ-*, ELCAgg_*</t>
  </si>
  <si>
    <t>*[_]GRC,*-GRC-*,*[_]GRC-*, ELCAgg_*</t>
  </si>
  <si>
    <t>*[_]GRD,*-GRD-*,*[_]GRD-*, ELCAgg_*</t>
  </si>
  <si>
    <t>*[_]GTM,*-GTM-*,*[_]GTM-*, ELCAgg_*</t>
  </si>
  <si>
    <t>*[_]GUF,*-GUF-*,*[_]GUF-*, ELCAgg_*</t>
  </si>
  <si>
    <t>*[_]GUY,*-GUY-*,*[_]GUY-*, ELCAgg_*</t>
  </si>
  <si>
    <t>*[_]HKG,*-HKG-*,*[_]HKG-*, ELCAgg_*</t>
  </si>
  <si>
    <t>*[_]HND,*-HND-*,*[_]HND-*, ELCAgg_*</t>
  </si>
  <si>
    <t>*[_]HRV,*-HRV-*,*[_]HRV-*, ELCAgg_*</t>
  </si>
  <si>
    <t>CroSloven</t>
  </si>
  <si>
    <t>*[_]HTI,*-HTI-*,*[_]HTI-*, ELCAgg_*</t>
  </si>
  <si>
    <t>*[_]HUN,*-HUN-*,*[_]HUN-*, ELCAgg_*</t>
  </si>
  <si>
    <t>*[_]IDN,*-IDN-*,*[_]IDN-*, ELCAgg_*</t>
  </si>
  <si>
    <t>*[_]IND,*-IND-*,*[_]IND-*, ELCAgg_*</t>
  </si>
  <si>
    <t>India</t>
  </si>
  <si>
    <t>*[_]IRL,*-IRL-*,*[_]IRL-*, ELCAgg_*</t>
  </si>
  <si>
    <t>Ireland</t>
  </si>
  <si>
    <t>*[_]IRN,*-IRN-*,*[_]IRN-*, ELCAgg_*</t>
  </si>
  <si>
    <t>*[_]IRQ,*-IRQ-*,*[_]IRQ-*, ELCAgg_*</t>
  </si>
  <si>
    <t>*[_]ISL,*-ISL-*,*[_]ISL-*, ELCAgg_*</t>
  </si>
  <si>
    <t>Iceland</t>
  </si>
  <si>
    <t>*[_]ISR,*-ISR-*,*[_]ISR-*, ELCAgg_*</t>
  </si>
  <si>
    <t>*[_]ITA,*-ITA-*,*[_]ITA-*, ELCAgg_*</t>
  </si>
  <si>
    <t>ItalyMal</t>
  </si>
  <si>
    <t>*[_]JAM,*-JAM-*,*[_]JAM-*, ELCAgg_*</t>
  </si>
  <si>
    <t>*[_]JOR,*-JOR-*,*[_]JOR-*, ELCAgg_*</t>
  </si>
  <si>
    <t>*[_]JPN,*-JPN-*,*[_]JPN-*, ELCAgg_*</t>
  </si>
  <si>
    <t>Japan</t>
  </si>
  <si>
    <t>*[_]KAZ,*-KAZ-*,*[_]KAZ-*, ELCAgg_*</t>
  </si>
  <si>
    <t>*[_]KEN,*-KEN-*,*[_]KEN-*, ELCAgg_*</t>
  </si>
  <si>
    <t>*[_]KGZ,*-KGZ-*,*[_]KGZ-*, ELCAgg_*</t>
  </si>
  <si>
    <t>*[_]KHM,*-KHM-*,*[_]KHM-*, ELCAgg_*</t>
  </si>
  <si>
    <t>*[_]KIR,*-KIR-*,*[_]KIR-*, ELCAgg_*</t>
  </si>
  <si>
    <t>*[_]KNA,*-KNA-*,*[_]KNA-*, ELCAgg_*</t>
  </si>
  <si>
    <t>*[_]KOR,*-KOR-*,*[_]KOR-*, ELCAgg_*</t>
  </si>
  <si>
    <t>*[_]KWT,*-KWT-*,*[_]KWT-*, ELCAgg_*</t>
  </si>
  <si>
    <t>*[_]LAO,*-LAO-*,*[_]LAO-*, ELCAgg_*</t>
  </si>
  <si>
    <t>*[_]LBN,*-LBN-*,*[_]LBN-*, ELCAgg_*</t>
  </si>
  <si>
    <t>*[_]LBR,*-LBR-*,*[_]LBR-*, ELCAgg_*</t>
  </si>
  <si>
    <t>*[_]LBY,*-LBY-*,*[_]LBY-*, ELCAgg_*</t>
  </si>
  <si>
    <t>*[_]LCA,*-LCA-*,*[_]LCA-*, ELCAgg_*</t>
  </si>
  <si>
    <t>*[_]LKA,*-LKA-*,*[_]LKA-*, ELCAgg_*</t>
  </si>
  <si>
    <t>*[_]LSO,*-LSO-*,*[_]LSO-*, ELCAgg_*</t>
  </si>
  <si>
    <t>*[_]LTU,*-LTU-*,*[_]LTU-*, ELCAgg_*</t>
  </si>
  <si>
    <t>*[_]LUX,*-LUX-*,*[_]LUX-*, ELCAgg_*</t>
  </si>
  <si>
    <t>*[_]LVA,*-LVA-*,*[_]LVA-*, ELCAgg_*</t>
  </si>
  <si>
    <t>*[_]MAC,*-MAC-*,*[_]MAC-*, ELCAgg_*</t>
  </si>
  <si>
    <t>*[_]MAR,*-MAR-*,*[_]MAR-*, ELCAgg_*</t>
  </si>
  <si>
    <t>*[_]MDA,*-MDA-*,*[_]MDA-*, ELCAgg_*</t>
  </si>
  <si>
    <t>Ukraine</t>
  </si>
  <si>
    <t>*[_]MDG,*-MDG-*,*[_]MDG-*, ELCAgg_*</t>
  </si>
  <si>
    <t>*[_]MDV,*-MDV-*,*[_]MDV-*, ELCAgg_*</t>
  </si>
  <si>
    <t>*[_]MEX,*-MEX-*,*[_]MEX-*, ELCAgg_*</t>
  </si>
  <si>
    <t>*[_]MKD,*-MKD-*,*[_]MKD-*, ELCAgg_*</t>
  </si>
  <si>
    <t>*[_]MLI,*-MLI-*,*[_]MLI-*, ELCAgg_*</t>
  </si>
  <si>
    <t>*[_]MLT,*-MLT-*,*[_]MLT-*, ELCAgg_*</t>
  </si>
  <si>
    <t>*[_]MMR,*-MMR-*,*[_]MMR-*, ELCAgg_*</t>
  </si>
  <si>
    <t>*[_]MNE,*-MNE-*,*[_]MNE-*, ELCAgg_*</t>
  </si>
  <si>
    <t>*[_]MNG,*-MNG-*,*[_]MNG-*, ELCAgg_*</t>
  </si>
  <si>
    <t>*[_]MOZ,*-MOZ-*,*[_]MOZ-*, ELCAgg_*</t>
  </si>
  <si>
    <t>*[_]MRT,*-MRT-*,*[_]MRT-*, ELCAgg_*</t>
  </si>
  <si>
    <t>*[_]MSR,*-MSR-*,*[_]MSR-*, ELCAgg_*</t>
  </si>
  <si>
    <t>*[_]MUS,*-MUS-*,*[_]MUS-*, ELCAgg_*</t>
  </si>
  <si>
    <t>*[_]MWI,*-MWI-*,*[_]MWI-*, ELCAgg_*</t>
  </si>
  <si>
    <t>*[_]MYS,*-MYS-*,*[_]MYS-*, ELCAgg_*</t>
  </si>
  <si>
    <t>*[_]MYT,*-MYT-*,*[_]MYT-*, ELCAgg_*</t>
  </si>
  <si>
    <t>*[_]NAM,*-NAM-*,*[_]NAM-*, ELCAgg_*</t>
  </si>
  <si>
    <t>*[_]NCL,*-NCL-*,*[_]NCL-*, ELCAgg_*</t>
  </si>
  <si>
    <t>*[_]NER,*-NER-*,*[_]NER-*, ELCAgg_*</t>
  </si>
  <si>
    <t>*[_]NGA,*-NGA-*,*[_]NGA-*, ELCAgg_*</t>
  </si>
  <si>
    <t>*[_]NIC,*-NIC-*,*[_]NIC-*, ELCAgg_*</t>
  </si>
  <si>
    <t>*[_]NLD,*-NLD-*,*[_]NLD-*, ELCAgg_*</t>
  </si>
  <si>
    <t>*[_]NOR,*-NOR-*,*[_]NOR-*, ELCAgg_*</t>
  </si>
  <si>
    <t>Norway</t>
  </si>
  <si>
    <t>*[_]NPL,*-NPL-*,*[_]NPL-*, ELCAgg_*</t>
  </si>
  <si>
    <t>*[_]NZL,*-NZL-*,*[_]NZL-*, ELCAgg_*</t>
  </si>
  <si>
    <t>*[_]OMN,*-OMN-*,*[_]OMN-*, ELCAgg_*</t>
  </si>
  <si>
    <t>*[_]PAK,*-PAK-*,*[_]PAK-*, ELCAgg_*</t>
  </si>
  <si>
    <t>*[_]PAN,*-PAN-*,*[_]PAN-*, ELCAgg_*</t>
  </si>
  <si>
    <t>*[_]PER,*-PER-*,*[_]PER-*, ELCAgg_*</t>
  </si>
  <si>
    <t>*[_]PHL,*-PHL-*,*[_]PHL-*, ELCAgg_*</t>
  </si>
  <si>
    <t>*[_]PLW,*-PLW-*,*[_]PLW-*, ELCAgg_*</t>
  </si>
  <si>
    <t>*[_]PNG,*-PNG-*,*[_]PNG-*, ELCAgg_*</t>
  </si>
  <si>
    <t>*[_]POL,*-POL-*,*[_]POL-*, ELCAgg_*</t>
  </si>
  <si>
    <t>Poland</t>
  </si>
  <si>
    <t>*[_]PRI,*-PRI-*,*[_]PRI-*, ELCAgg_*</t>
  </si>
  <si>
    <t>*[_]PRK,*-PRK-*,*[_]PRK-*, ELCAgg_*</t>
  </si>
  <si>
    <t>*[_]PRT,*-PRT-*,*[_]PRT-*, ELCAgg_*</t>
  </si>
  <si>
    <t>*[_]PRY,*-PRY-*,*[_]PRY-*, ELCAgg_*</t>
  </si>
  <si>
    <t>*[_]PSE,*-PSE-*,*[_]PSE-*, ELCAgg_*</t>
  </si>
  <si>
    <t>*[_]PYF,*-PYF-*,*[_]PYF-*, ELCAgg_*</t>
  </si>
  <si>
    <t>*[_]QAT,*-QAT-*,*[_]QAT-*, ELCAgg_*</t>
  </si>
  <si>
    <t>*[_]ROU,*-ROU-*,*[_]ROU-*, ELCAgg_*</t>
  </si>
  <si>
    <t>*[_]RUS,*-RUS-*,*[_]RUS-*, ELCAgg_*</t>
  </si>
  <si>
    <t>*[_]RWA,*-RWA-*,*[_]RWA-*, ELCAgg_*</t>
  </si>
  <si>
    <t>*[_]SAU,*-SAU-*,*[_]SAU-*, ELCAgg_*</t>
  </si>
  <si>
    <t>SaudiArabia</t>
  </si>
  <si>
    <t>*[_]SDN,*-SDN-*,*[_]SDN-*, ELCAgg_*</t>
  </si>
  <si>
    <t>*[_]SEN,*-SEN-*,*[_]SEN-*, ELCAgg_*</t>
  </si>
  <si>
    <t>*[_]SGP,*-SGP-*,*[_]SGP-*, ELCAgg_*</t>
  </si>
  <si>
    <t>*[_]SLB,*-SLB-*,*[_]SLB-*, ELCAgg_*</t>
  </si>
  <si>
    <t>*[_]SLE,*-SLE-*,*[_]SLE-*, ELCAgg_*</t>
  </si>
  <si>
    <t>*[_]SLV,*-SLV-*,*[_]SLV-*, ELCAgg_*</t>
  </si>
  <si>
    <t>*[_]SOM,*-SOM-*,*[_]SOM-*, ELCAgg_*</t>
  </si>
  <si>
    <t>*[_]SRB,*-SRB-*,*[_]SRB-*, ELCAgg_*</t>
  </si>
  <si>
    <t>*[_]SSD,*-SSD-*,*[_]SSD-*, ELCAgg_*</t>
  </si>
  <si>
    <t>*[_]STP,*-STP-*,*[_]STP-*, ELCAgg_*</t>
  </si>
  <si>
    <t>*[_]SUR,*-SUR-*,*[_]SUR-*, ELCAgg_*</t>
  </si>
  <si>
    <t>*[_]SVK,*-SVK-*,*[_]SVK-*, ELCAgg_*</t>
  </si>
  <si>
    <t>*[_]SVN,*-SVN-*,*[_]SVN-*, ELCAgg_*</t>
  </si>
  <si>
    <t>*[_]SWE,*-SWE-*,*[_]SWE-*, ELCAgg_*</t>
  </si>
  <si>
    <t>*[_]SWZ,*-SWZ-*,*[_]SWZ-*, ELCAgg_*</t>
  </si>
  <si>
    <t>*[_]SYC,*-SYC-*,*[_]SYC-*, ELCAgg_*</t>
  </si>
  <si>
    <t>*[_]SYR,*-SYR-*,*[_]SYR-*, ELCAgg_*</t>
  </si>
  <si>
    <t>*[_]TCA,*-TCA-*,*[_]TCA-*, ELCAgg_*</t>
  </si>
  <si>
    <t>*[_]TCD,*-TCD-*,*[_]TCD-*, ELCAgg_*</t>
  </si>
  <si>
    <t>*[_]TGO,*-TGO-*,*[_]TGO-*, ELCAgg_*</t>
  </si>
  <si>
    <t>*[_]THA,*-THA-*,*[_]THA-*, ELCAgg_*</t>
  </si>
  <si>
    <t>*[_]TJK,*-TJK-*,*[_]TJK-*, ELCAgg_*</t>
  </si>
  <si>
    <t>*[_]TKM,*-TKM-*,*[_]TKM-*, ELCAgg_*</t>
  </si>
  <si>
    <t>*[_]TON,*-TON-*,*[_]TON-*, ELCAgg_*</t>
  </si>
  <si>
    <t>*[_]TTO,*-TTO-*,*[_]TTO-*, ELCAgg_*</t>
  </si>
  <si>
    <t>*[_]TUN,*-TUN-*,*[_]TUN-*, ELCAgg_*</t>
  </si>
  <si>
    <t>*[_]TUR,*-TUR-*,*[_]TUR-*, ELCAgg_*</t>
  </si>
  <si>
    <t>Turkey</t>
  </si>
  <si>
    <t>*[_]TWN,*-TWN-*,*[_]TWN-*, ELCAgg_*</t>
  </si>
  <si>
    <t>*[_]TZA,*-TZA-*,*[_]TZA-*, ELCAgg_*</t>
  </si>
  <si>
    <t>*[_]UGA,*-UGA-*,*[_]UGA-*, ELCAgg_*</t>
  </si>
  <si>
    <t>*[_]UKR,*-UKR-*,*[_]UKR-*, ELCAgg_*</t>
  </si>
  <si>
    <t>*[_]URY,*-URY-*,*[_]URY-*, ELCAgg_*</t>
  </si>
  <si>
    <t>*[_]USA,*-USA-*,*[_]USA-*, ELCAgg_*</t>
  </si>
  <si>
    <t>*[_]UZB,*-UZB-*,*[_]UZB-*, ELCAgg_*</t>
  </si>
  <si>
    <t>*[_]VCT,*-VCT-*,*[_]VCT-*, ELCAgg_*</t>
  </si>
  <si>
    <t>*[_]VEN,*-VEN-*,*[_]VEN-*, ELCAgg_*</t>
  </si>
  <si>
    <t>*[_]VIR,*-VIR-*,*[_]VIR-*, ELCAgg_*</t>
  </si>
  <si>
    <t>*[_]VNM,*-VNM-*,*[_]VNM-*, ELCAgg_*</t>
  </si>
  <si>
    <t>*[_]VUT,*-VUT-*,*[_]VUT-*, ELCAgg_*</t>
  </si>
  <si>
    <t>*[_]XXK,*-XXK-*,*[_]XXK-*, ELCAgg_*</t>
  </si>
  <si>
    <t>*[_]YEM,*-YEM-*,*[_]YEM-*, ELCAgg_*</t>
  </si>
  <si>
    <t>*[_]ZAF,*-ZAF-*,*[_]ZAF-*, ELCAgg_*</t>
  </si>
  <si>
    <t>SouthAfrica</t>
  </si>
  <si>
    <t>*[_]ZMB,*-ZMB-*,*[_]ZMB-*, ELCAgg_*</t>
  </si>
  <si>
    <t>*[_]ZWE,*-ZWE-*,*[_]ZWE-*, ELCAgg_*</t>
  </si>
  <si>
    <t>Process</t>
  </si>
  <si>
    <t>Commodity</t>
  </si>
  <si>
    <t>io</t>
  </si>
  <si>
    <t>ELC_Sol-DZA,ELC_Sol-EGY,ELC_Sol-LBY,ELC_Sol-MAR,ELC_Sol-TUN</t>
  </si>
  <si>
    <t>IN</t>
  </si>
  <si>
    <t>ELC_Sol-AGO,ELC_Sol-BEN,ELC_Sol-BWA,ELC_Sol-BFA,ELC_Sol-BDI,ELC_Sol-CMR,ELC_Sol-CAF,ELC_Sol-TCD,ELC_Sol-CIV,ELC_Sol-COD,ELC_Sol-DJI,ELC_Sol-GNQ,ELC_Sol-ERI,ELC_Sol-ETH,ELC_Sol-GAB,ELC_Sol-GHA,ELC_Sol-GIN,ELC_Sol-GNB,ELC_Sol-KEN,ELC_Sol-LSO,ELC_Sol-LBR,ELC_Sol-MDG,ELC_Sol-MWI,ELC_Sol-MLI,ELC_Sol-MRT,ELC_Sol-MOZ,ELC_Sol-NAM,ELC_Sol-NER,ELC_Sol-NGA,ELC_Sol-COG,ELC_Sol-RWA,ELC_Sol-SEN,ELC_Sol-SLE,ELC_Sol-SOM,ELC_Sol-SSD,ELC_Sol-SWZ,ELC_Sol-TZA,ELC_Sol-GMB,ELC_Sol-TGO,ELC_Sol-UGA,ELC_Sol-ZMB,ELC_Sol-ZWE</t>
  </si>
  <si>
    <t>ELC_Sol-AUS</t>
  </si>
  <si>
    <t>ELC_Sol-AUT</t>
  </si>
  <si>
    <t>ELC_Sol-EST,ELC_Sol-LVA,ELC_Sol-LTU</t>
  </si>
  <si>
    <t>ELC_Sol-BEL,ELC_Sol-LUX,ELC_Sol-NLD</t>
  </si>
  <si>
    <t>ELC_Sol-BRA</t>
  </si>
  <si>
    <t>ELC_Sol-CHN</t>
  </si>
  <si>
    <t>ELC_Sol-HRV,ELC_Sol-SVN</t>
  </si>
  <si>
    <t>ELC_Sol-CZE,ELC_Sol-SVK</t>
  </si>
  <si>
    <t>ELC_Sol-FRA</t>
  </si>
  <si>
    <t>ELC_Sol-DEU</t>
  </si>
  <si>
    <t>ELC_Sol-CYP,ELC_Sol-GRC</t>
  </si>
  <si>
    <t>ELC_Sol-BGR,ELC_Sol-HUN,ELC_Sol-ROU</t>
  </si>
  <si>
    <t>ELC_Sol-IND</t>
  </si>
  <si>
    <t>ELC_Sol-IRL</t>
  </si>
  <si>
    <t>ELC_Sol-ITA</t>
  </si>
  <si>
    <t>ELC_Sol-JPN</t>
  </si>
  <si>
    <t>ELC_Sol-ARG,ELC_Sol-BLZ,ELC_Sol-BOL,ELC_Sol-CHL,ELC_Sol-COL,ELC_Sol-CRI,ELC_Sol-CUB,ELC_Sol-DOM,ELC_Sol-ECU,ELC_Sol-SLV,ELC_Sol-GTM,ELC_Sol-GUY,ELC_Sol-HTI,ELC_Sol-HND,ELC_Sol-JAM,ELC_Sol-NIC,ELC_Sol-PAN,ELC_Sol-PRY,ELC_Sol-PER,ELC_Sol-SUR,ELC_Sol-BHS,ELC_Sol-TTO,ELC_Sol-URY,ELC_Sol-VEN</t>
  </si>
  <si>
    <t>ELC_Sol-BHR,ELC_Sol-IRN,ELC_Sol-IRQ,ELC_Sol-ISR,ELC_Sol-JOR,ELC_Sol-KWT,ELC_Sol-LBN,ELC_Sol-OMN,ELC_Sol-PSE,ELC_Sol-QAT,ELC_Sol-SYR,ELC_Sol-ARE,ELC_Sol-YEM</t>
  </si>
  <si>
    <t>ELC_Sol-CAN,ELC_Sol-MEX,ELC_Sol-USA</t>
  </si>
  <si>
    <t>ELC_Sol-NOR</t>
  </si>
  <si>
    <t>ELC_Sol-POL</t>
  </si>
  <si>
    <t>ELC_Sol-AFG,ELC_Sol-ARM,ELC_Sol-AZE,ELC_Sol-BGD,ELC_Sol-BTN,ELC_Sol-BRN,ELC_Sol-KHM,ELC_Sol-PRK,ELC_Sol-GEO,ELC_Sol-IDN,ELC_Sol-KAZ,ELC_Sol-KOR,ELC_Sol-KGZ,ELC_Sol-LAO,ELC_Sol-MYS,ELC_Sol-MNG,ELC_Sol-MMR,ELC_Sol-NPL,ELC_Sol-PAK,ELC_Sol-PNG,ELC_Sol-PHL,ELC_Sol-LKA,ELC_Sol-TJK,ELC_Sol-THA,ELC_Sol-TKM,ELC_Sol-UZB,ELC_Sol-VUT,ELC_Sol-VNM</t>
  </si>
  <si>
    <t>ELC_Sol-BLR,ELC_Sol-RUS</t>
  </si>
  <si>
    <t>ELC_Sol-SAU</t>
  </si>
  <si>
    <t>ELC_Sol-ZAF</t>
  </si>
  <si>
    <t>ELC_Sol-PRT,ELC_Sol-ESP</t>
  </si>
  <si>
    <t>ELC_Sol-DNK,ELC_Sol-SWE</t>
  </si>
  <si>
    <t>ELC_Sol-CHE</t>
  </si>
  <si>
    <t>ELC_Sol-TUR</t>
  </si>
  <si>
    <t>ELC_Sol-GBR</t>
  </si>
  <si>
    <t>ELC_Sol-MDA,ELC_Sol-UKR</t>
  </si>
  <si>
    <t>ELC_Sol-ALB,ELC_Sol-BIH,ELC_Sol-MKD,ELC_Sol-MNE,ELC_Sol-SRB</t>
  </si>
  <si>
    <t>ELC_Win-DZA,ELC_Win-EGY,ELC_Win-LBY,ELC_Win-MAR,ELC_Win-TUN</t>
  </si>
  <si>
    <t>ELC_Win-AGO,ELC_Win-BEN,ELC_Win-BWA,ELC_Win-BFA,ELC_Win-BDI,ELC_Win-CMR,ELC_Win-CAF,ELC_Win-TCD,ELC_Win-COM,ELC_Win-CIV,ELC_Win-COD,ELC_Win-DJI,ELC_Win-ERI,ELC_Win-ETH,ELC_Win-GHA,ELC_Win-GIN,ELC_Win-KEN,ELC_Win-LSO,ELC_Win-MDG,ELC_Win-MWI,ELC_Win-MLI,ELC_Win-MRT,ELC_Win-MOZ,ELC_Win-NAM,ELC_Win-NER,ELC_Win-NGA,ELC_Win-COG,ELC_Win-RWA,ELC_Win-SEN,ELC_Win-SLE,ELC_Win-SOM,ELC_Win-SSD,ELC_Win-SWZ,ELC_Win-TZA,ELC_Win-GMB,ELC_Win-TGO,ELC_Win-UGA,ELC_Win-ZMB,ELC_Win-ZWE</t>
  </si>
  <si>
    <t>ELC_Win-AUS</t>
  </si>
  <si>
    <t>ELC_Win-AUT</t>
  </si>
  <si>
    <t>ELC_Win-EST,ELC_Win-LVA,ELC_Win-LTU</t>
  </si>
  <si>
    <t>ELC_Win-BEL,ELC_Win-LUX,ELC_Win-NLD</t>
  </si>
  <si>
    <t>ELC_Win-BRA</t>
  </si>
  <si>
    <t>ELC_Win-CHN</t>
  </si>
  <si>
    <t>ELC_Win-HRV,ELC_Win-SVN</t>
  </si>
  <si>
    <t>ELC_Win-CZE,ELC_Win-SVK</t>
  </si>
  <si>
    <t>ELC_Win-FRA</t>
  </si>
  <si>
    <t>ELC_Win-DEU</t>
  </si>
  <si>
    <t>ELC_Win-CYP,ELC_Win-GRC</t>
  </si>
  <si>
    <t>ELC_Win-BGR,ELC_Win-HUN,ELC_Win-ROU</t>
  </si>
  <si>
    <t>ELC_Win-IND</t>
  </si>
  <si>
    <t>ELC_Win-IRL</t>
  </si>
  <si>
    <t>ELC_Win-ITA</t>
  </si>
  <si>
    <t>ELC_Win-JPN</t>
  </si>
  <si>
    <t>ELC_Win-ATG,ELC_Win-ARG,ELC_Win-BOL,ELC_Win-CHL,ELC_Win-COL,ELC_Win-CRI,ELC_Win-CUB,ELC_Win-DOM,ELC_Win-ECU,ELC_Win-SLV,ELC_Win-GTM,ELC_Win-GUY,ELC_Win-HTI,ELC_Win-HND,ELC_Win-JAM,ELC_Win-NIC,ELC_Win-PAN,ELC_Win-PRY,ELC_Win-PER,ELC_Win-SUR,ELC_Win-BHS,ELC_Win-TTO,ELC_Win-URY,ELC_Win-VEN</t>
  </si>
  <si>
    <t>ELC_Win-BHR,ELC_Win-IRN,ELC_Win-IRQ,ELC_Win-ISR,ELC_Win-JOR,ELC_Win-KWT,ELC_Win-LBN,ELC_Win-OMN,ELC_Win-PSE,ELC_Win-QAT,ELC_Win-SYR,ELC_Win-ARE,ELC_Win-YEM</t>
  </si>
  <si>
    <t>ELC_Win-CAN,ELC_Win-MEX,ELC_Win-USA</t>
  </si>
  <si>
    <t>ELC_Win-NOR</t>
  </si>
  <si>
    <t>ELC_Win-POL</t>
  </si>
  <si>
    <t>ELC_Win-AFG,ELC_Win-ARM,ELC_Win-AZE,ELC_Win-BGD,ELC_Win-KHM,ELC_Win-PRK,ELC_Win-GEO,ELC_Win-IDN,ELC_Win-KAZ,ELC_Win-KOR,ELC_Win-KGZ,ELC_Win-LAO,ELC_Win-MNG,ELC_Win-MMR,ELC_Win-NPL,ELC_Win-PAK,ELC_Win-PNG,ELC_Win-PHL,ELC_Win-LKA,ELC_Win-TJK,ELC_Win-THA,ELC_Win-TON,ELC_Win-TKM,ELC_Win-UZB,ELC_Win-VUT,ELC_Win-VNM</t>
  </si>
  <si>
    <t>ELC_Win-BLR,ELC_Win-RUS</t>
  </si>
  <si>
    <t>ELC_Win-SAU</t>
  </si>
  <si>
    <t>ELC_Win-ZAF</t>
  </si>
  <si>
    <t>ELC_Win-PRT,ELC_Win-ESP</t>
  </si>
  <si>
    <t>ELC_Win-DNK,ELC_Win-FIN,ELC_Win-SWE</t>
  </si>
  <si>
    <t>ELC_Win-CHE</t>
  </si>
  <si>
    <t>ELC_Win-TUR</t>
  </si>
  <si>
    <t>ELC_Win-GBR</t>
  </si>
  <si>
    <t>ELC_Win-MDA,ELC_Win-UKR</t>
  </si>
  <si>
    <t>ELC_Win-ALB,ELC_Win-BIH,ELC_Win-MKD,ELC_Win-MNE,ELC_Win-SRB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</si>
</sst>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205"/>
  <sheetViews>
    <sheetView workbookViewId="0">
      <selection activeCell="K21" sqref="K21"/>
    </sheetView>
  </sheetViews>
  <sheetFormatPr defaultColWidth="8.86328125" defaultRowHeight="14.25" x14ac:dyDescent="0.45"/>
  <cols>
    <col min="2" max="2" width="5.3984375" bestFit="1" customWidth="1"/>
    <col min="3" max="3" width="17.86328125" bestFit="1" customWidth="1"/>
    <col min="4" max="4" width="7.1328125" bestFit="1" customWidth="1"/>
    <col min="5" max="5" width="5" bestFit="1" customWidth="1"/>
    <col min="6" max="8" width="6" bestFit="1" customWidth="1"/>
    <col min="9" max="15" width="5" bestFit="1" customWidth="1"/>
    <col min="16" max="16" width="6" bestFit="1" customWidth="1"/>
    <col min="17" max="17" width="5" bestFit="1" customWidth="1"/>
  </cols>
  <sheetData>
    <row r="1" spans="3:4" x14ac:dyDescent="0.45">
      <c r="C1" t="s">
        <v>11</v>
      </c>
    </row>
    <row r="3" spans="3:4" x14ac:dyDescent="0.45">
      <c r="C3" t="s">
        <v>4</v>
      </c>
    </row>
    <row r="4" spans="3:4" x14ac:dyDescent="0.45">
      <c r="C4" t="s">
        <v>0</v>
      </c>
      <c r="D4" t="s">
        <v>29</v>
      </c>
    </row>
    <row r="5" spans="3:4" x14ac:dyDescent="0.45">
      <c r="C5" t="s">
        <v>30</v>
      </c>
      <c r="D5" t="s">
        <v>31</v>
      </c>
    </row>
    <row r="6" spans="3:4" x14ac:dyDescent="0.45">
      <c r="C6" t="s">
        <v>32</v>
      </c>
      <c r="D6" t="s">
        <v>33</v>
      </c>
    </row>
    <row r="7" spans="3:4" x14ac:dyDescent="0.45">
      <c r="C7" t="s">
        <v>34</v>
      </c>
      <c r="D7" t="s">
        <v>35</v>
      </c>
    </row>
    <row r="8" spans="3:4" x14ac:dyDescent="0.45">
      <c r="C8" t="s">
        <v>36</v>
      </c>
      <c r="D8" t="s">
        <v>37</v>
      </c>
    </row>
    <row r="9" spans="3:4" x14ac:dyDescent="0.45">
      <c r="C9" t="s">
        <v>38</v>
      </c>
      <c r="D9" t="s">
        <v>39</v>
      </c>
    </row>
    <row r="10" spans="3:4" x14ac:dyDescent="0.45">
      <c r="C10" t="s">
        <v>40</v>
      </c>
      <c r="D10" t="s">
        <v>31</v>
      </c>
    </row>
    <row r="11" spans="3:4" x14ac:dyDescent="0.45">
      <c r="C11" t="s">
        <v>41</v>
      </c>
      <c r="D11" t="s">
        <v>33</v>
      </c>
    </row>
    <row r="12" spans="3:4" x14ac:dyDescent="0.45">
      <c r="C12" t="s">
        <v>42</v>
      </c>
      <c r="D12" t="s">
        <v>33</v>
      </c>
    </row>
    <row r="13" spans="3:4" x14ac:dyDescent="0.45">
      <c r="C13" t="s">
        <v>43</v>
      </c>
      <c r="D13" t="s">
        <v>31</v>
      </c>
    </row>
    <row r="14" spans="3:4" x14ac:dyDescent="0.45">
      <c r="C14" t="s">
        <v>44</v>
      </c>
      <c r="D14" t="s">
        <v>45</v>
      </c>
    </row>
    <row r="15" spans="3:4" x14ac:dyDescent="0.45">
      <c r="C15" t="s">
        <v>46</v>
      </c>
      <c r="D15" t="s">
        <v>47</v>
      </c>
    </row>
    <row r="16" spans="3:4" x14ac:dyDescent="0.45">
      <c r="C16" t="s">
        <v>48</v>
      </c>
      <c r="D16" t="s">
        <v>33</v>
      </c>
    </row>
    <row r="17" spans="3:4" x14ac:dyDescent="0.45">
      <c r="C17" t="s">
        <v>49</v>
      </c>
      <c r="D17" t="s">
        <v>35</v>
      </c>
    </row>
    <row r="18" spans="3:4" x14ac:dyDescent="0.45">
      <c r="C18" t="s">
        <v>50</v>
      </c>
      <c r="D18" t="s">
        <v>51</v>
      </c>
    </row>
    <row r="19" spans="3:4" x14ac:dyDescent="0.45">
      <c r="C19" t="s">
        <v>52</v>
      </c>
      <c r="D19" t="s">
        <v>35</v>
      </c>
    </row>
    <row r="20" spans="3:4" x14ac:dyDescent="0.45">
      <c r="C20" t="s">
        <v>53</v>
      </c>
      <c r="D20" t="s">
        <v>35</v>
      </c>
    </row>
    <row r="21" spans="3:4" x14ac:dyDescent="0.45">
      <c r="C21" t="s">
        <v>54</v>
      </c>
      <c r="D21" t="s">
        <v>33</v>
      </c>
    </row>
    <row r="22" spans="3:4" x14ac:dyDescent="0.45">
      <c r="C22" t="s">
        <v>55</v>
      </c>
      <c r="D22" t="s">
        <v>56</v>
      </c>
    </row>
    <row r="23" spans="3:4" x14ac:dyDescent="0.45">
      <c r="C23" t="s">
        <v>57</v>
      </c>
      <c r="D23" t="s">
        <v>39</v>
      </c>
    </row>
    <row r="24" spans="3:4" x14ac:dyDescent="0.45">
      <c r="C24" t="s">
        <v>58</v>
      </c>
      <c r="D24" t="s">
        <v>31</v>
      </c>
    </row>
    <row r="25" spans="3:4" x14ac:dyDescent="0.45">
      <c r="C25" t="s">
        <v>59</v>
      </c>
      <c r="D25" t="s">
        <v>37</v>
      </c>
    </row>
    <row r="26" spans="3:4" x14ac:dyDescent="0.45">
      <c r="C26" t="s">
        <v>60</v>
      </c>
      <c r="D26" t="s">
        <v>61</v>
      </c>
    </row>
    <row r="27" spans="3:4" x14ac:dyDescent="0.45">
      <c r="C27" t="s">
        <v>62</v>
      </c>
      <c r="D27" t="s">
        <v>31</v>
      </c>
    </row>
    <row r="28" spans="3:4" x14ac:dyDescent="0.45">
      <c r="C28" t="s">
        <v>63</v>
      </c>
      <c r="D28" t="s">
        <v>31</v>
      </c>
    </row>
    <row r="29" spans="3:4" x14ac:dyDescent="0.45">
      <c r="C29" t="s">
        <v>64</v>
      </c>
      <c r="D29" t="s">
        <v>31</v>
      </c>
    </row>
    <row r="30" spans="3:4" x14ac:dyDescent="0.45">
      <c r="C30" t="s">
        <v>65</v>
      </c>
      <c r="D30" t="s">
        <v>66</v>
      </c>
    </row>
    <row r="31" spans="3:4" x14ac:dyDescent="0.45">
      <c r="C31" t="s">
        <v>67</v>
      </c>
      <c r="D31" t="s">
        <v>31</v>
      </c>
    </row>
    <row r="32" spans="3:4" x14ac:dyDescent="0.45">
      <c r="C32" t="s">
        <v>68</v>
      </c>
      <c r="D32" t="s">
        <v>33</v>
      </c>
    </row>
    <row r="33" spans="3:4" x14ac:dyDescent="0.45">
      <c r="C33" t="s">
        <v>69</v>
      </c>
      <c r="D33" t="s">
        <v>33</v>
      </c>
    </row>
    <row r="34" spans="3:4" x14ac:dyDescent="0.45">
      <c r="C34" t="s">
        <v>70</v>
      </c>
      <c r="D34" t="s">
        <v>35</v>
      </c>
    </row>
    <row r="35" spans="3:4" x14ac:dyDescent="0.45">
      <c r="C35" t="s">
        <v>71</v>
      </c>
      <c r="D35" t="s">
        <v>35</v>
      </c>
    </row>
    <row r="36" spans="3:4" x14ac:dyDescent="0.45">
      <c r="C36" t="s">
        <v>72</v>
      </c>
      <c r="D36" t="s">
        <v>73</v>
      </c>
    </row>
    <row r="37" spans="3:4" x14ac:dyDescent="0.45">
      <c r="C37" t="s">
        <v>74</v>
      </c>
      <c r="D37" t="s">
        <v>75</v>
      </c>
    </row>
    <row r="38" spans="3:4" x14ac:dyDescent="0.45">
      <c r="C38" t="s">
        <v>76</v>
      </c>
      <c r="D38" t="s">
        <v>31</v>
      </c>
    </row>
    <row r="39" spans="3:4" x14ac:dyDescent="0.45">
      <c r="C39" t="s">
        <v>77</v>
      </c>
      <c r="D39" t="s">
        <v>78</v>
      </c>
    </row>
    <row r="40" spans="3:4" x14ac:dyDescent="0.45">
      <c r="C40" t="s">
        <v>79</v>
      </c>
      <c r="D40" t="s">
        <v>35</v>
      </c>
    </row>
    <row r="41" spans="3:4" x14ac:dyDescent="0.45">
      <c r="C41" t="s">
        <v>80</v>
      </c>
      <c r="D41" t="s">
        <v>35</v>
      </c>
    </row>
    <row r="42" spans="3:4" x14ac:dyDescent="0.45">
      <c r="C42" t="s">
        <v>81</v>
      </c>
      <c r="D42" t="s">
        <v>35</v>
      </c>
    </row>
    <row r="43" spans="3:4" x14ac:dyDescent="0.45">
      <c r="C43" t="s">
        <v>82</v>
      </c>
      <c r="D43" t="s">
        <v>35</v>
      </c>
    </row>
    <row r="44" spans="3:4" x14ac:dyDescent="0.45">
      <c r="C44" t="s">
        <v>83</v>
      </c>
      <c r="D44" t="s">
        <v>33</v>
      </c>
    </row>
    <row r="45" spans="3:4" x14ac:dyDescent="0.45">
      <c r="C45" t="s">
        <v>84</v>
      </c>
      <c r="D45" t="s">
        <v>31</v>
      </c>
    </row>
    <row r="46" spans="3:4" x14ac:dyDescent="0.45">
      <c r="C46" t="s">
        <v>85</v>
      </c>
      <c r="D46" t="s">
        <v>35</v>
      </c>
    </row>
    <row r="47" spans="3:4" x14ac:dyDescent="0.45">
      <c r="C47" t="s">
        <v>86</v>
      </c>
      <c r="D47" t="s">
        <v>35</v>
      </c>
    </row>
    <row r="48" spans="3:4" x14ac:dyDescent="0.45">
      <c r="C48" t="s">
        <v>87</v>
      </c>
      <c r="D48" t="s">
        <v>31</v>
      </c>
    </row>
    <row r="49" spans="3:4" x14ac:dyDescent="0.45">
      <c r="C49" t="s">
        <v>88</v>
      </c>
      <c r="D49" t="s">
        <v>31</v>
      </c>
    </row>
    <row r="50" spans="3:4" x14ac:dyDescent="0.45">
      <c r="C50" t="s">
        <v>89</v>
      </c>
      <c r="D50" t="s">
        <v>31</v>
      </c>
    </row>
    <row r="51" spans="3:4" x14ac:dyDescent="0.45">
      <c r="C51" t="s">
        <v>90</v>
      </c>
      <c r="D51" t="s">
        <v>91</v>
      </c>
    </row>
    <row r="52" spans="3:4" x14ac:dyDescent="0.45">
      <c r="C52" t="s">
        <v>92</v>
      </c>
      <c r="D52" t="s">
        <v>93</v>
      </c>
    </row>
    <row r="53" spans="3:4" x14ac:dyDescent="0.45">
      <c r="C53" t="s">
        <v>94</v>
      </c>
      <c r="D53" t="s">
        <v>95</v>
      </c>
    </row>
    <row r="54" spans="3:4" x14ac:dyDescent="0.45">
      <c r="C54" t="s">
        <v>96</v>
      </c>
      <c r="D54" t="s">
        <v>35</v>
      </c>
    </row>
    <row r="55" spans="3:4" x14ac:dyDescent="0.45">
      <c r="C55" t="s">
        <v>97</v>
      </c>
      <c r="D55" t="s">
        <v>31</v>
      </c>
    </row>
    <row r="56" spans="3:4" x14ac:dyDescent="0.45">
      <c r="C56" t="s">
        <v>98</v>
      </c>
      <c r="D56" t="s">
        <v>99</v>
      </c>
    </row>
    <row r="57" spans="3:4" x14ac:dyDescent="0.45">
      <c r="C57" t="s">
        <v>100</v>
      </c>
      <c r="D57" t="s">
        <v>31</v>
      </c>
    </row>
    <row r="58" spans="3:4" x14ac:dyDescent="0.45">
      <c r="C58" t="s">
        <v>101</v>
      </c>
      <c r="D58" t="s">
        <v>102</v>
      </c>
    </row>
    <row r="59" spans="3:4" x14ac:dyDescent="0.45">
      <c r="C59" t="s">
        <v>103</v>
      </c>
      <c r="D59" t="s">
        <v>31</v>
      </c>
    </row>
    <row r="60" spans="3:4" x14ac:dyDescent="0.45">
      <c r="C60" t="s">
        <v>104</v>
      </c>
      <c r="D60" t="s">
        <v>102</v>
      </c>
    </row>
    <row r="61" spans="3:4" x14ac:dyDescent="0.45">
      <c r="C61" t="s">
        <v>105</v>
      </c>
      <c r="D61" t="s">
        <v>35</v>
      </c>
    </row>
    <row r="62" spans="3:4" x14ac:dyDescent="0.45">
      <c r="C62" t="s">
        <v>106</v>
      </c>
      <c r="D62" t="s">
        <v>107</v>
      </c>
    </row>
    <row r="63" spans="3:4" x14ac:dyDescent="0.45">
      <c r="C63" t="s">
        <v>108</v>
      </c>
      <c r="D63" t="s">
        <v>109</v>
      </c>
    </row>
    <row r="64" spans="3:4" x14ac:dyDescent="0.45">
      <c r="C64" t="s">
        <v>110</v>
      </c>
      <c r="D64" t="s">
        <v>35</v>
      </c>
    </row>
    <row r="65" spans="3:4" x14ac:dyDescent="0.45">
      <c r="C65" t="s">
        <v>111</v>
      </c>
      <c r="D65" t="s">
        <v>99</v>
      </c>
    </row>
    <row r="66" spans="3:4" x14ac:dyDescent="0.45">
      <c r="C66" t="s">
        <v>112</v>
      </c>
      <c r="D66" t="s">
        <v>33</v>
      </c>
    </row>
    <row r="67" spans="3:4" x14ac:dyDescent="0.45">
      <c r="C67" t="s">
        <v>113</v>
      </c>
      <c r="D67" t="s">
        <v>114</v>
      </c>
    </row>
    <row r="68" spans="3:4" x14ac:dyDescent="0.45">
      <c r="C68" t="s">
        <v>115</v>
      </c>
      <c r="D68" t="s">
        <v>35</v>
      </c>
    </row>
    <row r="69" spans="3:4" x14ac:dyDescent="0.45">
      <c r="C69" t="s">
        <v>116</v>
      </c>
      <c r="D69" t="s">
        <v>117</v>
      </c>
    </row>
    <row r="70" spans="3:4" x14ac:dyDescent="0.45">
      <c r="C70" t="s">
        <v>118</v>
      </c>
      <c r="D70" t="s">
        <v>33</v>
      </c>
    </row>
    <row r="71" spans="3:4" x14ac:dyDescent="0.45">
      <c r="C71" t="s">
        <v>119</v>
      </c>
      <c r="D71" t="s">
        <v>35</v>
      </c>
    </row>
    <row r="72" spans="3:4" x14ac:dyDescent="0.45">
      <c r="C72" t="s">
        <v>120</v>
      </c>
      <c r="D72" t="s">
        <v>35</v>
      </c>
    </row>
    <row r="73" spans="3:4" x14ac:dyDescent="0.45">
      <c r="C73" t="s">
        <v>121</v>
      </c>
      <c r="D73" t="s">
        <v>35</v>
      </c>
    </row>
    <row r="74" spans="3:4" x14ac:dyDescent="0.45">
      <c r="C74" t="s">
        <v>122</v>
      </c>
      <c r="D74" t="s">
        <v>35</v>
      </c>
    </row>
    <row r="75" spans="3:4" x14ac:dyDescent="0.45">
      <c r="C75" t="s">
        <v>123</v>
      </c>
      <c r="D75" t="s">
        <v>35</v>
      </c>
    </row>
    <row r="76" spans="3:4" x14ac:dyDescent="0.45">
      <c r="C76" t="s">
        <v>124</v>
      </c>
      <c r="D76" t="s">
        <v>91</v>
      </c>
    </row>
    <row r="77" spans="3:4" x14ac:dyDescent="0.45">
      <c r="C77" t="s">
        <v>125</v>
      </c>
      <c r="D77" t="s">
        <v>31</v>
      </c>
    </row>
    <row r="78" spans="3:4" x14ac:dyDescent="0.45">
      <c r="C78" t="s">
        <v>126</v>
      </c>
      <c r="D78" t="s">
        <v>31</v>
      </c>
    </row>
    <row r="79" spans="3:4" x14ac:dyDescent="0.45">
      <c r="C79" t="s">
        <v>127</v>
      </c>
      <c r="D79" t="s">
        <v>31</v>
      </c>
    </row>
    <row r="80" spans="3:4" x14ac:dyDescent="0.45">
      <c r="C80" t="s">
        <v>128</v>
      </c>
      <c r="D80" t="s">
        <v>31</v>
      </c>
    </row>
    <row r="81" spans="3:4" x14ac:dyDescent="0.45">
      <c r="C81" t="s">
        <v>129</v>
      </c>
      <c r="D81" t="s">
        <v>33</v>
      </c>
    </row>
    <row r="82" spans="3:4" x14ac:dyDescent="0.45">
      <c r="C82" t="s">
        <v>130</v>
      </c>
      <c r="D82" t="s">
        <v>31</v>
      </c>
    </row>
    <row r="83" spans="3:4" x14ac:dyDescent="0.45">
      <c r="C83" t="s">
        <v>131</v>
      </c>
      <c r="D83" t="s">
        <v>132</v>
      </c>
    </row>
    <row r="84" spans="3:4" x14ac:dyDescent="0.45">
      <c r="C84" t="s">
        <v>133</v>
      </c>
      <c r="D84" t="s">
        <v>31</v>
      </c>
    </row>
    <row r="85" spans="3:4" x14ac:dyDescent="0.45">
      <c r="C85" t="s">
        <v>134</v>
      </c>
      <c r="D85" t="s">
        <v>56</v>
      </c>
    </row>
    <row r="86" spans="3:4" x14ac:dyDescent="0.45">
      <c r="C86" t="s">
        <v>135</v>
      </c>
      <c r="D86" t="s">
        <v>33</v>
      </c>
    </row>
    <row r="87" spans="3:4" x14ac:dyDescent="0.45">
      <c r="C87" t="s">
        <v>136</v>
      </c>
      <c r="D87" t="s">
        <v>137</v>
      </c>
    </row>
    <row r="88" spans="3:4" x14ac:dyDescent="0.45">
      <c r="C88" t="s">
        <v>138</v>
      </c>
      <c r="D88" t="s">
        <v>139</v>
      </c>
    </row>
    <row r="89" spans="3:4" x14ac:dyDescent="0.45">
      <c r="C89" t="s">
        <v>140</v>
      </c>
      <c r="D89" t="s">
        <v>39</v>
      </c>
    </row>
    <row r="90" spans="3:4" x14ac:dyDescent="0.45">
      <c r="C90" t="s">
        <v>141</v>
      </c>
      <c r="D90" t="s">
        <v>39</v>
      </c>
    </row>
    <row r="91" spans="3:4" x14ac:dyDescent="0.45">
      <c r="C91" t="s">
        <v>142</v>
      </c>
      <c r="D91" t="s">
        <v>143</v>
      </c>
    </row>
    <row r="92" spans="3:4" x14ac:dyDescent="0.45">
      <c r="C92" t="s">
        <v>144</v>
      </c>
      <c r="D92" t="s">
        <v>39</v>
      </c>
    </row>
    <row r="93" spans="3:4" x14ac:dyDescent="0.45">
      <c r="C93" t="s">
        <v>145</v>
      </c>
      <c r="D93" t="s">
        <v>146</v>
      </c>
    </row>
    <row r="94" spans="3:4" x14ac:dyDescent="0.45">
      <c r="C94" t="s">
        <v>147</v>
      </c>
      <c r="D94" t="s">
        <v>31</v>
      </c>
    </row>
    <row r="95" spans="3:4" x14ac:dyDescent="0.45">
      <c r="C95" t="s">
        <v>148</v>
      </c>
      <c r="D95" t="s">
        <v>39</v>
      </c>
    </row>
    <row r="96" spans="3:4" x14ac:dyDescent="0.45">
      <c r="C96" t="s">
        <v>149</v>
      </c>
      <c r="D96" t="s">
        <v>150</v>
      </c>
    </row>
    <row r="97" spans="3:4" x14ac:dyDescent="0.45">
      <c r="C97" t="s">
        <v>151</v>
      </c>
      <c r="D97" t="s">
        <v>33</v>
      </c>
    </row>
    <row r="98" spans="3:4" x14ac:dyDescent="0.45">
      <c r="C98" t="s">
        <v>152</v>
      </c>
      <c r="D98" t="s">
        <v>35</v>
      </c>
    </row>
    <row r="99" spans="3:4" x14ac:dyDescent="0.45">
      <c r="C99" t="s">
        <v>153</v>
      </c>
      <c r="D99" t="s">
        <v>33</v>
      </c>
    </row>
    <row r="100" spans="3:4" x14ac:dyDescent="0.45">
      <c r="C100" t="s">
        <v>154</v>
      </c>
      <c r="D100" t="s">
        <v>33</v>
      </c>
    </row>
    <row r="101" spans="3:4" x14ac:dyDescent="0.45">
      <c r="C101" t="s">
        <v>155</v>
      </c>
      <c r="D101" t="s">
        <v>33</v>
      </c>
    </row>
    <row r="102" spans="3:4" x14ac:dyDescent="0.45">
      <c r="C102" t="s">
        <v>156</v>
      </c>
      <c r="D102" t="s">
        <v>31</v>
      </c>
    </row>
    <row r="103" spans="3:4" x14ac:dyDescent="0.45">
      <c r="C103" t="s">
        <v>157</v>
      </c>
      <c r="D103" t="s">
        <v>33</v>
      </c>
    </row>
    <row r="104" spans="3:4" x14ac:dyDescent="0.45">
      <c r="C104" t="s">
        <v>158</v>
      </c>
      <c r="D104" t="s">
        <v>39</v>
      </c>
    </row>
    <row r="105" spans="3:4" x14ac:dyDescent="0.45">
      <c r="C105" t="s">
        <v>159</v>
      </c>
      <c r="D105" t="s">
        <v>33</v>
      </c>
    </row>
    <row r="106" spans="3:4" x14ac:dyDescent="0.45">
      <c r="C106" t="s">
        <v>160</v>
      </c>
      <c r="D106" t="s">
        <v>39</v>
      </c>
    </row>
    <row r="107" spans="3:4" x14ac:dyDescent="0.45">
      <c r="C107" t="s">
        <v>161</v>
      </c>
      <c r="D107" t="s">
        <v>35</v>
      </c>
    </row>
    <row r="108" spans="3:4" x14ac:dyDescent="0.45">
      <c r="C108" t="s">
        <v>162</v>
      </c>
      <c r="D108" t="s">
        <v>102</v>
      </c>
    </row>
    <row r="109" spans="3:4" x14ac:dyDescent="0.45">
      <c r="C109" t="s">
        <v>163</v>
      </c>
      <c r="D109" t="s">
        <v>31</v>
      </c>
    </row>
    <row r="110" spans="3:4" x14ac:dyDescent="0.45">
      <c r="C110" t="s">
        <v>164</v>
      </c>
      <c r="D110" t="s">
        <v>33</v>
      </c>
    </row>
    <row r="111" spans="3:4" x14ac:dyDescent="0.45">
      <c r="C111" t="s">
        <v>165</v>
      </c>
      <c r="D111" t="s">
        <v>35</v>
      </c>
    </row>
    <row r="112" spans="3:4" x14ac:dyDescent="0.45">
      <c r="C112" t="s">
        <v>166</v>
      </c>
      <c r="D112" t="s">
        <v>109</v>
      </c>
    </row>
    <row r="113" spans="3:4" x14ac:dyDescent="0.45">
      <c r="C113" t="s">
        <v>167</v>
      </c>
      <c r="D113" t="s">
        <v>51</v>
      </c>
    </row>
    <row r="114" spans="3:4" x14ac:dyDescent="0.45">
      <c r="C114" t="s">
        <v>168</v>
      </c>
      <c r="D114" t="s">
        <v>109</v>
      </c>
    </row>
    <row r="115" spans="3:4" x14ac:dyDescent="0.45">
      <c r="C115" t="s">
        <v>169</v>
      </c>
      <c r="D115" t="s">
        <v>33</v>
      </c>
    </row>
    <row r="116" spans="3:4" x14ac:dyDescent="0.45">
      <c r="C116" t="s">
        <v>170</v>
      </c>
      <c r="D116" t="s">
        <v>102</v>
      </c>
    </row>
    <row r="117" spans="3:4" x14ac:dyDescent="0.45">
      <c r="C117" t="s">
        <v>171</v>
      </c>
      <c r="D117" t="s">
        <v>172</v>
      </c>
    </row>
    <row r="118" spans="3:4" x14ac:dyDescent="0.45">
      <c r="C118" t="s">
        <v>173</v>
      </c>
      <c r="D118" t="s">
        <v>35</v>
      </c>
    </row>
    <row r="119" spans="3:4" x14ac:dyDescent="0.45">
      <c r="C119" t="s">
        <v>174</v>
      </c>
      <c r="D119" t="s">
        <v>33</v>
      </c>
    </row>
    <row r="120" spans="3:4" x14ac:dyDescent="0.45">
      <c r="C120" t="s">
        <v>175</v>
      </c>
      <c r="D120" t="s">
        <v>73</v>
      </c>
    </row>
    <row r="121" spans="3:4" x14ac:dyDescent="0.45">
      <c r="C121" t="s">
        <v>176</v>
      </c>
      <c r="D121" t="s">
        <v>37</v>
      </c>
    </row>
    <row r="122" spans="3:4" x14ac:dyDescent="0.45">
      <c r="C122" t="s">
        <v>177</v>
      </c>
      <c r="D122" t="s">
        <v>35</v>
      </c>
    </row>
    <row r="123" spans="3:4" x14ac:dyDescent="0.45">
      <c r="C123" t="s">
        <v>178</v>
      </c>
      <c r="D123" t="s">
        <v>146</v>
      </c>
    </row>
    <row r="124" spans="3:4" x14ac:dyDescent="0.45">
      <c r="C124" t="s">
        <v>179</v>
      </c>
      <c r="D124" t="s">
        <v>33</v>
      </c>
    </row>
    <row r="125" spans="3:4" x14ac:dyDescent="0.45">
      <c r="C125" t="s">
        <v>180</v>
      </c>
      <c r="D125" t="s">
        <v>37</v>
      </c>
    </row>
    <row r="126" spans="3:4" x14ac:dyDescent="0.45">
      <c r="C126" t="s">
        <v>181</v>
      </c>
      <c r="D126" t="s">
        <v>33</v>
      </c>
    </row>
    <row r="127" spans="3:4" x14ac:dyDescent="0.45">
      <c r="C127" t="s">
        <v>182</v>
      </c>
      <c r="D127" t="s">
        <v>35</v>
      </c>
    </row>
    <row r="128" spans="3:4" x14ac:dyDescent="0.45">
      <c r="C128" t="s">
        <v>183</v>
      </c>
      <c r="D128" t="s">
        <v>35</v>
      </c>
    </row>
    <row r="129" spans="3:4" x14ac:dyDescent="0.45">
      <c r="C129" t="s">
        <v>184</v>
      </c>
      <c r="D129" t="s">
        <v>31</v>
      </c>
    </row>
    <row r="130" spans="3:4" x14ac:dyDescent="0.45">
      <c r="C130" t="s">
        <v>185</v>
      </c>
      <c r="D130" t="s">
        <v>35</v>
      </c>
    </row>
    <row r="131" spans="3:4" x14ac:dyDescent="0.45">
      <c r="C131" t="s">
        <v>186</v>
      </c>
      <c r="D131" t="s">
        <v>35</v>
      </c>
    </row>
    <row r="132" spans="3:4" x14ac:dyDescent="0.45">
      <c r="C132" t="s">
        <v>187</v>
      </c>
      <c r="D132" t="s">
        <v>33</v>
      </c>
    </row>
    <row r="133" spans="3:4" x14ac:dyDescent="0.45">
      <c r="C133" t="s">
        <v>188</v>
      </c>
      <c r="D133" t="s">
        <v>35</v>
      </c>
    </row>
    <row r="134" spans="3:4" x14ac:dyDescent="0.45">
      <c r="C134" t="s">
        <v>189</v>
      </c>
      <c r="D134" t="s">
        <v>35</v>
      </c>
    </row>
    <row r="135" spans="3:4" x14ac:dyDescent="0.45">
      <c r="C135" t="s">
        <v>190</v>
      </c>
      <c r="D135" t="s">
        <v>33</v>
      </c>
    </row>
    <row r="136" spans="3:4" x14ac:dyDescent="0.45">
      <c r="C136" t="s">
        <v>191</v>
      </c>
      <c r="D136" t="s">
        <v>35</v>
      </c>
    </row>
    <row r="137" spans="3:4" x14ac:dyDescent="0.45">
      <c r="C137" t="s">
        <v>192</v>
      </c>
      <c r="D137" t="s">
        <v>35</v>
      </c>
    </row>
    <row r="138" spans="3:4" x14ac:dyDescent="0.45">
      <c r="C138" t="s">
        <v>193</v>
      </c>
      <c r="D138" t="s">
        <v>31</v>
      </c>
    </row>
    <row r="139" spans="3:4" x14ac:dyDescent="0.45">
      <c r="C139" t="s">
        <v>194</v>
      </c>
      <c r="D139" t="s">
        <v>51</v>
      </c>
    </row>
    <row r="140" spans="3:4" x14ac:dyDescent="0.45">
      <c r="C140" t="s">
        <v>195</v>
      </c>
      <c r="D140" t="s">
        <v>196</v>
      </c>
    </row>
    <row r="141" spans="3:4" x14ac:dyDescent="0.45">
      <c r="C141" t="s">
        <v>197</v>
      </c>
      <c r="D141" t="s">
        <v>33</v>
      </c>
    </row>
    <row r="142" spans="3:4" x14ac:dyDescent="0.45">
      <c r="C142" t="s">
        <v>198</v>
      </c>
      <c r="D142" t="s">
        <v>33</v>
      </c>
    </row>
    <row r="143" spans="3:4" x14ac:dyDescent="0.45">
      <c r="C143" t="s">
        <v>199</v>
      </c>
      <c r="D143" t="s">
        <v>39</v>
      </c>
    </row>
    <row r="144" spans="3:4" x14ac:dyDescent="0.45">
      <c r="C144" t="s">
        <v>200</v>
      </c>
      <c r="D144" t="s">
        <v>33</v>
      </c>
    </row>
    <row r="145" spans="3:4" x14ac:dyDescent="0.45">
      <c r="C145" t="s">
        <v>201</v>
      </c>
      <c r="D145" t="s">
        <v>31</v>
      </c>
    </row>
    <row r="146" spans="3:4" x14ac:dyDescent="0.45">
      <c r="C146" t="s">
        <v>202</v>
      </c>
      <c r="D146" t="s">
        <v>31</v>
      </c>
    </row>
    <row r="147" spans="3:4" x14ac:dyDescent="0.45">
      <c r="C147" t="s">
        <v>203</v>
      </c>
      <c r="D147" t="s">
        <v>33</v>
      </c>
    </row>
    <row r="148" spans="3:4" x14ac:dyDescent="0.45">
      <c r="C148" t="s">
        <v>204</v>
      </c>
      <c r="D148" t="s">
        <v>33</v>
      </c>
    </row>
    <row r="149" spans="3:4" x14ac:dyDescent="0.45">
      <c r="C149" t="s">
        <v>205</v>
      </c>
      <c r="D149" t="s">
        <v>33</v>
      </c>
    </row>
    <row r="150" spans="3:4" x14ac:dyDescent="0.45">
      <c r="C150" t="s">
        <v>206</v>
      </c>
      <c r="D150" t="s">
        <v>207</v>
      </c>
    </row>
    <row r="151" spans="3:4" x14ac:dyDescent="0.45">
      <c r="C151" t="s">
        <v>208</v>
      </c>
      <c r="D151" t="s">
        <v>31</v>
      </c>
    </row>
    <row r="152" spans="3:4" x14ac:dyDescent="0.45">
      <c r="C152" t="s">
        <v>209</v>
      </c>
      <c r="D152" t="s">
        <v>33</v>
      </c>
    </row>
    <row r="153" spans="3:4" x14ac:dyDescent="0.45">
      <c r="C153" t="s">
        <v>210</v>
      </c>
      <c r="D153" t="s">
        <v>107</v>
      </c>
    </row>
    <row r="154" spans="3:4" x14ac:dyDescent="0.45">
      <c r="C154" t="s">
        <v>211</v>
      </c>
      <c r="D154" t="s">
        <v>31</v>
      </c>
    </row>
    <row r="155" spans="3:4" x14ac:dyDescent="0.45">
      <c r="C155" t="s">
        <v>212</v>
      </c>
      <c r="D155" t="s">
        <v>39</v>
      </c>
    </row>
    <row r="156" spans="3:4" x14ac:dyDescent="0.45">
      <c r="C156" t="s">
        <v>213</v>
      </c>
      <c r="D156" t="s">
        <v>33</v>
      </c>
    </row>
    <row r="157" spans="3:4" x14ac:dyDescent="0.45">
      <c r="C157" t="s">
        <v>214</v>
      </c>
      <c r="D157" t="s">
        <v>39</v>
      </c>
    </row>
    <row r="158" spans="3:4" x14ac:dyDescent="0.45">
      <c r="C158" t="s">
        <v>215</v>
      </c>
      <c r="D158" t="s">
        <v>56</v>
      </c>
    </row>
    <row r="159" spans="3:4" x14ac:dyDescent="0.45">
      <c r="C159" t="s">
        <v>216</v>
      </c>
      <c r="D159" t="s">
        <v>61</v>
      </c>
    </row>
    <row r="160" spans="3:4" x14ac:dyDescent="0.45">
      <c r="C160" t="s">
        <v>217</v>
      </c>
      <c r="D160" t="s">
        <v>35</v>
      </c>
    </row>
    <row r="161" spans="3:4" x14ac:dyDescent="0.45">
      <c r="C161" t="s">
        <v>218</v>
      </c>
      <c r="D161" t="s">
        <v>219</v>
      </c>
    </row>
    <row r="162" spans="3:4" x14ac:dyDescent="0.45">
      <c r="C162" t="s">
        <v>220</v>
      </c>
      <c r="D162" t="s">
        <v>35</v>
      </c>
    </row>
    <row r="163" spans="3:4" x14ac:dyDescent="0.45">
      <c r="C163" t="s">
        <v>221</v>
      </c>
      <c r="D163" t="s">
        <v>35</v>
      </c>
    </row>
    <row r="164" spans="3:4" x14ac:dyDescent="0.45">
      <c r="C164" t="s">
        <v>222</v>
      </c>
      <c r="D164" t="s">
        <v>33</v>
      </c>
    </row>
    <row r="165" spans="3:4" x14ac:dyDescent="0.45">
      <c r="C165" t="s">
        <v>223</v>
      </c>
      <c r="D165" t="s">
        <v>33</v>
      </c>
    </row>
    <row r="166" spans="3:4" x14ac:dyDescent="0.45">
      <c r="C166" t="s">
        <v>224</v>
      </c>
      <c r="D166" t="s">
        <v>35</v>
      </c>
    </row>
    <row r="167" spans="3:4" x14ac:dyDescent="0.45">
      <c r="C167" t="s">
        <v>225</v>
      </c>
      <c r="D167" t="s">
        <v>31</v>
      </c>
    </row>
    <row r="168" spans="3:4" x14ac:dyDescent="0.45">
      <c r="C168" t="s">
        <v>226</v>
      </c>
      <c r="D168" t="s">
        <v>35</v>
      </c>
    </row>
    <row r="169" spans="3:4" x14ac:dyDescent="0.45">
      <c r="C169" t="s">
        <v>227</v>
      </c>
      <c r="D169" t="s">
        <v>37</v>
      </c>
    </row>
    <row r="170" spans="3:4" x14ac:dyDescent="0.45">
      <c r="C170" t="s">
        <v>228</v>
      </c>
      <c r="D170" t="s">
        <v>35</v>
      </c>
    </row>
    <row r="171" spans="3:4" x14ac:dyDescent="0.45">
      <c r="C171" t="s">
        <v>229</v>
      </c>
      <c r="D171" t="s">
        <v>35</v>
      </c>
    </row>
    <row r="172" spans="3:4" x14ac:dyDescent="0.45">
      <c r="C172" t="s">
        <v>230</v>
      </c>
      <c r="D172" t="s">
        <v>31</v>
      </c>
    </row>
    <row r="173" spans="3:4" x14ac:dyDescent="0.45">
      <c r="C173" t="s">
        <v>231</v>
      </c>
      <c r="D173" t="s">
        <v>93</v>
      </c>
    </row>
    <row r="174" spans="3:4" x14ac:dyDescent="0.45">
      <c r="C174" t="s">
        <v>232</v>
      </c>
      <c r="D174" t="s">
        <v>132</v>
      </c>
    </row>
    <row r="175" spans="3:4" x14ac:dyDescent="0.45">
      <c r="C175" t="s">
        <v>233</v>
      </c>
      <c r="D175" t="s">
        <v>99</v>
      </c>
    </row>
    <row r="176" spans="3:4" x14ac:dyDescent="0.45">
      <c r="C176" t="s">
        <v>234</v>
      </c>
      <c r="D176" t="s">
        <v>35</v>
      </c>
    </row>
    <row r="177" spans="3:4" x14ac:dyDescent="0.45">
      <c r="C177" t="s">
        <v>235</v>
      </c>
      <c r="D177" t="s">
        <v>35</v>
      </c>
    </row>
    <row r="178" spans="3:4" x14ac:dyDescent="0.45">
      <c r="C178" t="s">
        <v>236</v>
      </c>
      <c r="D178" t="s">
        <v>39</v>
      </c>
    </row>
    <row r="179" spans="3:4" x14ac:dyDescent="0.45">
      <c r="C179" t="s">
        <v>237</v>
      </c>
      <c r="D179" t="s">
        <v>31</v>
      </c>
    </row>
    <row r="180" spans="3:4" x14ac:dyDescent="0.45">
      <c r="C180" t="s">
        <v>238</v>
      </c>
      <c r="D180" t="s">
        <v>35</v>
      </c>
    </row>
    <row r="181" spans="3:4" x14ac:dyDescent="0.45">
      <c r="C181" t="s">
        <v>239</v>
      </c>
      <c r="D181" t="s">
        <v>35</v>
      </c>
    </row>
    <row r="182" spans="3:4" x14ac:dyDescent="0.45">
      <c r="C182" t="s">
        <v>240</v>
      </c>
      <c r="D182" t="s">
        <v>33</v>
      </c>
    </row>
    <row r="183" spans="3:4" x14ac:dyDescent="0.45">
      <c r="C183" t="s">
        <v>241</v>
      </c>
      <c r="D183" t="s">
        <v>33</v>
      </c>
    </row>
    <row r="184" spans="3:4" x14ac:dyDescent="0.45">
      <c r="C184" t="s">
        <v>242</v>
      </c>
      <c r="D184" t="s">
        <v>33</v>
      </c>
    </row>
    <row r="185" spans="3:4" x14ac:dyDescent="0.45">
      <c r="C185" t="s">
        <v>243</v>
      </c>
      <c r="D185" t="s">
        <v>33</v>
      </c>
    </row>
    <row r="186" spans="3:4" x14ac:dyDescent="0.45">
      <c r="C186" t="s">
        <v>244</v>
      </c>
      <c r="D186" t="s">
        <v>31</v>
      </c>
    </row>
    <row r="187" spans="3:4" x14ac:dyDescent="0.45">
      <c r="C187" t="s">
        <v>245</v>
      </c>
      <c r="D187" t="s">
        <v>102</v>
      </c>
    </row>
    <row r="188" spans="3:4" x14ac:dyDescent="0.45">
      <c r="C188" t="s">
        <v>246</v>
      </c>
      <c r="D188" t="s">
        <v>247</v>
      </c>
    </row>
    <row r="189" spans="3:4" x14ac:dyDescent="0.45">
      <c r="C189" t="s">
        <v>248</v>
      </c>
      <c r="D189" t="s">
        <v>33</v>
      </c>
    </row>
    <row r="190" spans="3:4" x14ac:dyDescent="0.45">
      <c r="C190" t="s">
        <v>249</v>
      </c>
      <c r="D190" t="s">
        <v>35</v>
      </c>
    </row>
    <row r="191" spans="3:4" x14ac:dyDescent="0.45">
      <c r="C191" t="s">
        <v>250</v>
      </c>
      <c r="D191" t="s">
        <v>35</v>
      </c>
    </row>
    <row r="192" spans="3:4" x14ac:dyDescent="0.45">
      <c r="C192" t="s">
        <v>251</v>
      </c>
      <c r="D192" t="s">
        <v>172</v>
      </c>
    </row>
    <row r="193" spans="3:4" x14ac:dyDescent="0.45">
      <c r="C193" t="s">
        <v>252</v>
      </c>
      <c r="D193" t="s">
        <v>31</v>
      </c>
    </row>
    <row r="194" spans="3:4" x14ac:dyDescent="0.45">
      <c r="C194" t="s">
        <v>253</v>
      </c>
      <c r="D194" t="s">
        <v>73</v>
      </c>
    </row>
    <row r="195" spans="3:4" x14ac:dyDescent="0.45">
      <c r="C195" t="s">
        <v>254</v>
      </c>
      <c r="D195" t="s">
        <v>33</v>
      </c>
    </row>
    <row r="196" spans="3:4" x14ac:dyDescent="0.45">
      <c r="C196" t="s">
        <v>255</v>
      </c>
      <c r="D196" t="s">
        <v>31</v>
      </c>
    </row>
    <row r="197" spans="3:4" x14ac:dyDescent="0.45">
      <c r="C197" t="s">
        <v>256</v>
      </c>
      <c r="D197" t="s">
        <v>31</v>
      </c>
    </row>
    <row r="198" spans="3:4" x14ac:dyDescent="0.45">
      <c r="C198" t="s">
        <v>257</v>
      </c>
      <c r="D198" t="s">
        <v>31</v>
      </c>
    </row>
    <row r="199" spans="3:4" x14ac:dyDescent="0.45">
      <c r="C199" t="s">
        <v>258</v>
      </c>
      <c r="D199" t="s">
        <v>33</v>
      </c>
    </row>
    <row r="200" spans="3:4" x14ac:dyDescent="0.45">
      <c r="C200" t="s">
        <v>259</v>
      </c>
      <c r="D200" t="s">
        <v>33</v>
      </c>
    </row>
    <row r="201" spans="3:4" x14ac:dyDescent="0.45">
      <c r="C201" t="s">
        <v>260</v>
      </c>
      <c r="D201" t="s">
        <v>37</v>
      </c>
    </row>
    <row r="202" spans="3:4" x14ac:dyDescent="0.45">
      <c r="C202" t="s">
        <v>261</v>
      </c>
      <c r="D202" t="s">
        <v>39</v>
      </c>
    </row>
    <row r="203" spans="3:4" x14ac:dyDescent="0.45">
      <c r="C203" t="s">
        <v>262</v>
      </c>
      <c r="D203" t="s">
        <v>263</v>
      </c>
    </row>
    <row r="204" spans="3:4" x14ac:dyDescent="0.45">
      <c r="C204" t="s">
        <v>264</v>
      </c>
      <c r="D204" t="s">
        <v>35</v>
      </c>
    </row>
    <row r="205" spans="3:4" x14ac:dyDescent="0.45">
      <c r="C205" t="s">
        <v>265</v>
      </c>
      <c r="D20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U39"/>
  <sheetViews>
    <sheetView tabSelected="1" workbookViewId="0">
      <selection activeCell="E22" sqref="E2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1" spans="3:21" x14ac:dyDescent="0.45">
      <c r="L1" s="2" t="s">
        <v>25</v>
      </c>
      <c r="R1" t="s">
        <v>26</v>
      </c>
    </row>
    <row r="4" spans="3:21" x14ac:dyDescent="0.45">
      <c r="C4" t="s">
        <v>5</v>
      </c>
      <c r="L4" t="s">
        <v>13</v>
      </c>
      <c r="R4" t="s">
        <v>13</v>
      </c>
    </row>
    <row r="5" spans="3:21" x14ac:dyDescent="0.45">
      <c r="C5" t="s">
        <v>3</v>
      </c>
      <c r="D5" t="s">
        <v>1</v>
      </c>
      <c r="E5" t="s">
        <v>0</v>
      </c>
      <c r="F5" t="s">
        <v>2</v>
      </c>
      <c r="G5" t="s">
        <v>6</v>
      </c>
      <c r="L5" t="s">
        <v>29</v>
      </c>
      <c r="M5" t="s">
        <v>266</v>
      </c>
      <c r="N5" t="s">
        <v>267</v>
      </c>
      <c r="O5" t="s">
        <v>268</v>
      </c>
      <c r="R5" t="s">
        <v>29</v>
      </c>
      <c r="S5" t="s">
        <v>266</v>
      </c>
      <c r="T5" t="s">
        <v>267</v>
      </c>
      <c r="U5" t="s">
        <v>268</v>
      </c>
    </row>
    <row r="6" spans="3:21" x14ac:dyDescent="0.45">
      <c r="D6" t="s">
        <v>7</v>
      </c>
      <c r="E6" t="s">
        <v>21</v>
      </c>
      <c r="G6" s="1">
        <f>31.536</f>
        <v>31.536000000000001</v>
      </c>
      <c r="L6" t="s">
        <v>102</v>
      </c>
      <c r="M6" t="s">
        <v>27</v>
      </c>
      <c r="N6" t="s">
        <v>269</v>
      </c>
      <c r="O6" t="s">
        <v>270</v>
      </c>
      <c r="R6" t="s">
        <v>102</v>
      </c>
      <c r="S6" t="s">
        <v>28</v>
      </c>
      <c r="T6" t="s">
        <v>304</v>
      </c>
      <c r="U6" t="s">
        <v>270</v>
      </c>
    </row>
    <row r="7" spans="3:21" x14ac:dyDescent="0.45">
      <c r="D7" t="s">
        <v>8</v>
      </c>
      <c r="E7" t="s">
        <v>21</v>
      </c>
      <c r="G7">
        <v>25</v>
      </c>
      <c r="L7" t="s">
        <v>35</v>
      </c>
      <c r="M7" t="s">
        <v>27</v>
      </c>
      <c r="N7" t="s">
        <v>271</v>
      </c>
      <c r="O7" t="s">
        <v>270</v>
      </c>
      <c r="R7" t="s">
        <v>35</v>
      </c>
      <c r="S7" t="s">
        <v>28</v>
      </c>
      <c r="T7" t="s">
        <v>305</v>
      </c>
      <c r="U7" t="s">
        <v>270</v>
      </c>
    </row>
    <row r="8" spans="3:21" x14ac:dyDescent="0.45">
      <c r="D8" t="s">
        <v>9</v>
      </c>
      <c r="E8" t="s">
        <v>21</v>
      </c>
      <c r="G8" s="1">
        <v>1</v>
      </c>
      <c r="L8" t="s">
        <v>45</v>
      </c>
      <c r="M8" t="s">
        <v>27</v>
      </c>
      <c r="N8" t="s">
        <v>272</v>
      </c>
      <c r="O8" t="s">
        <v>270</v>
      </c>
      <c r="R8" t="s">
        <v>45</v>
      </c>
      <c r="S8" t="s">
        <v>28</v>
      </c>
      <c r="T8" t="s">
        <v>306</v>
      </c>
      <c r="U8" t="s">
        <v>270</v>
      </c>
    </row>
    <row r="9" spans="3:21" x14ac:dyDescent="0.45">
      <c r="D9" t="s">
        <v>10</v>
      </c>
      <c r="E9" t="s">
        <v>27</v>
      </c>
      <c r="G9">
        <v>0.1</v>
      </c>
      <c r="L9" t="s">
        <v>47</v>
      </c>
      <c r="M9" t="s">
        <v>27</v>
      </c>
      <c r="N9" t="s">
        <v>273</v>
      </c>
      <c r="O9" t="s">
        <v>270</v>
      </c>
      <c r="R9" t="s">
        <v>47</v>
      </c>
      <c r="S9" t="s">
        <v>28</v>
      </c>
      <c r="T9" t="s">
        <v>307</v>
      </c>
      <c r="U9" t="s">
        <v>270</v>
      </c>
    </row>
    <row r="10" spans="3:21" x14ac:dyDescent="0.45">
      <c r="D10" t="s">
        <v>12</v>
      </c>
      <c r="E10" t="s">
        <v>21</v>
      </c>
      <c r="G10">
        <v>20</v>
      </c>
      <c r="L10" t="s">
        <v>109</v>
      </c>
      <c r="M10" t="s">
        <v>27</v>
      </c>
      <c r="N10" t="s">
        <v>274</v>
      </c>
      <c r="O10" t="s">
        <v>270</v>
      </c>
      <c r="R10" t="s">
        <v>109</v>
      </c>
      <c r="S10" t="s">
        <v>28</v>
      </c>
      <c r="T10" t="s">
        <v>308</v>
      </c>
      <c r="U10" t="s">
        <v>270</v>
      </c>
    </row>
    <row r="11" spans="3:21" x14ac:dyDescent="0.45">
      <c r="L11" t="s">
        <v>51</v>
      </c>
      <c r="M11" t="s">
        <v>27</v>
      </c>
      <c r="N11" t="s">
        <v>275</v>
      </c>
      <c r="O11" t="s">
        <v>270</v>
      </c>
      <c r="R11" t="s">
        <v>51</v>
      </c>
      <c r="S11" t="s">
        <v>28</v>
      </c>
      <c r="T11" t="s">
        <v>309</v>
      </c>
      <c r="U11" t="s">
        <v>270</v>
      </c>
    </row>
    <row r="12" spans="3:21" x14ac:dyDescent="0.45">
      <c r="L12" t="s">
        <v>66</v>
      </c>
      <c r="M12" t="s">
        <v>27</v>
      </c>
      <c r="N12" t="s">
        <v>276</v>
      </c>
      <c r="O12" t="s">
        <v>270</v>
      </c>
      <c r="R12" t="s">
        <v>66</v>
      </c>
      <c r="S12" t="s">
        <v>28</v>
      </c>
      <c r="T12" t="s">
        <v>310</v>
      </c>
      <c r="U12" t="s">
        <v>270</v>
      </c>
    </row>
    <row r="13" spans="3:21" x14ac:dyDescent="0.45">
      <c r="C13" t="s">
        <v>5</v>
      </c>
      <c r="L13" t="s">
        <v>78</v>
      </c>
      <c r="M13" t="s">
        <v>27</v>
      </c>
      <c r="N13" t="s">
        <v>277</v>
      </c>
      <c r="O13" t="s">
        <v>270</v>
      </c>
      <c r="R13" t="s">
        <v>78</v>
      </c>
      <c r="S13" t="s">
        <v>28</v>
      </c>
      <c r="T13" t="s">
        <v>311</v>
      </c>
      <c r="U13" t="s">
        <v>270</v>
      </c>
    </row>
    <row r="14" spans="3:21" x14ac:dyDescent="0.45">
      <c r="C14" t="s">
        <v>3</v>
      </c>
      <c r="D14" t="s">
        <v>1</v>
      </c>
      <c r="E14" t="s">
        <v>0</v>
      </c>
      <c r="F14" t="s">
        <v>2</v>
      </c>
      <c r="G14" t="s">
        <v>6</v>
      </c>
      <c r="L14" t="s">
        <v>132</v>
      </c>
      <c r="M14" t="s">
        <v>27</v>
      </c>
      <c r="N14" t="s">
        <v>278</v>
      </c>
      <c r="O14" t="s">
        <v>270</v>
      </c>
      <c r="R14" t="s">
        <v>132</v>
      </c>
      <c r="S14" t="s">
        <v>28</v>
      </c>
      <c r="T14" t="s">
        <v>312</v>
      </c>
      <c r="U14" t="s">
        <v>270</v>
      </c>
    </row>
    <row r="15" spans="3:21" x14ac:dyDescent="0.45">
      <c r="C15" t="s">
        <v>15</v>
      </c>
      <c r="D15" t="s">
        <v>16</v>
      </c>
      <c r="E15" t="s">
        <v>22</v>
      </c>
      <c r="F15">
        <v>0</v>
      </c>
      <c r="G15">
        <v>3</v>
      </c>
      <c r="L15" t="s">
        <v>93</v>
      </c>
      <c r="M15" t="s">
        <v>27</v>
      </c>
      <c r="N15" t="s">
        <v>279</v>
      </c>
      <c r="O15" t="s">
        <v>270</v>
      </c>
      <c r="R15" t="s">
        <v>93</v>
      </c>
      <c r="S15" t="s">
        <v>28</v>
      </c>
      <c r="T15" t="s">
        <v>313</v>
      </c>
      <c r="U15" t="s">
        <v>270</v>
      </c>
    </row>
    <row r="16" spans="3:21" x14ac:dyDescent="0.45">
      <c r="D16" t="s">
        <v>7</v>
      </c>
      <c r="E16" t="s">
        <v>22</v>
      </c>
      <c r="G16">
        <f>31.536</f>
        <v>31.536000000000001</v>
      </c>
      <c r="L16" t="s">
        <v>114</v>
      </c>
      <c r="M16" t="s">
        <v>27</v>
      </c>
      <c r="N16" t="s">
        <v>280</v>
      </c>
      <c r="O16" t="s">
        <v>270</v>
      </c>
      <c r="R16" t="s">
        <v>114</v>
      </c>
      <c r="S16" t="s">
        <v>28</v>
      </c>
      <c r="T16" t="s">
        <v>314</v>
      </c>
      <c r="U16" t="s">
        <v>270</v>
      </c>
    </row>
    <row r="17" spans="3:21" x14ac:dyDescent="0.45">
      <c r="D17" t="s">
        <v>20</v>
      </c>
      <c r="E17" t="s">
        <v>23</v>
      </c>
      <c r="G17">
        <v>4</v>
      </c>
      <c r="L17" t="s">
        <v>95</v>
      </c>
      <c r="M17" t="s">
        <v>27</v>
      </c>
      <c r="N17" t="s">
        <v>281</v>
      </c>
      <c r="O17" t="s">
        <v>270</v>
      </c>
      <c r="R17" t="s">
        <v>95</v>
      </c>
      <c r="S17" t="s">
        <v>28</v>
      </c>
      <c r="T17" t="s">
        <v>315</v>
      </c>
      <c r="U17" t="s">
        <v>270</v>
      </c>
    </row>
    <row r="18" spans="3:21" x14ac:dyDescent="0.45">
      <c r="D18" t="s">
        <v>20</v>
      </c>
      <c r="E18" t="s">
        <v>24</v>
      </c>
      <c r="G18">
        <v>2</v>
      </c>
      <c r="L18" t="s">
        <v>91</v>
      </c>
      <c r="M18" t="s">
        <v>27</v>
      </c>
      <c r="N18" t="s">
        <v>282</v>
      </c>
      <c r="O18" t="s">
        <v>270</v>
      </c>
      <c r="R18" t="s">
        <v>91</v>
      </c>
      <c r="S18" t="s">
        <v>28</v>
      </c>
      <c r="T18" t="s">
        <v>316</v>
      </c>
      <c r="U18" t="s">
        <v>270</v>
      </c>
    </row>
    <row r="19" spans="3:21" x14ac:dyDescent="0.45">
      <c r="D19" t="s">
        <v>8</v>
      </c>
      <c r="E19" t="s">
        <v>22</v>
      </c>
      <c r="G19">
        <v>30</v>
      </c>
      <c r="L19" t="s">
        <v>56</v>
      </c>
      <c r="M19" t="s">
        <v>27</v>
      </c>
      <c r="N19" t="s">
        <v>283</v>
      </c>
      <c r="O19" t="s">
        <v>270</v>
      </c>
      <c r="R19" t="s">
        <v>56</v>
      </c>
      <c r="S19" t="s">
        <v>28</v>
      </c>
      <c r="T19" t="s">
        <v>317</v>
      </c>
      <c r="U19" t="s">
        <v>270</v>
      </c>
    </row>
    <row r="20" spans="3:21" x14ac:dyDescent="0.45">
      <c r="D20" t="s">
        <v>9</v>
      </c>
      <c r="E20" t="s">
        <v>22</v>
      </c>
      <c r="G20">
        <v>1</v>
      </c>
      <c r="L20" t="s">
        <v>137</v>
      </c>
      <c r="M20" t="s">
        <v>27</v>
      </c>
      <c r="N20" t="s">
        <v>284</v>
      </c>
      <c r="O20" t="s">
        <v>270</v>
      </c>
      <c r="R20" t="s">
        <v>137</v>
      </c>
      <c r="S20" t="s">
        <v>28</v>
      </c>
      <c r="T20" t="s">
        <v>318</v>
      </c>
      <c r="U20" t="s">
        <v>270</v>
      </c>
    </row>
    <row r="21" spans="3:21" x14ac:dyDescent="0.45">
      <c r="D21" t="s">
        <v>10</v>
      </c>
      <c r="E21" t="s">
        <v>28</v>
      </c>
      <c r="G21">
        <v>0.25</v>
      </c>
      <c r="L21" t="s">
        <v>139</v>
      </c>
      <c r="M21" t="s">
        <v>27</v>
      </c>
      <c r="N21" t="s">
        <v>285</v>
      </c>
      <c r="O21" t="s">
        <v>270</v>
      </c>
      <c r="R21" t="s">
        <v>139</v>
      </c>
      <c r="S21" t="s">
        <v>28</v>
      </c>
      <c r="T21" t="s">
        <v>319</v>
      </c>
      <c r="U21" t="s">
        <v>270</v>
      </c>
    </row>
    <row r="22" spans="3:21" x14ac:dyDescent="0.45">
      <c r="D22" t="s">
        <v>12</v>
      </c>
      <c r="E22" t="s">
        <v>22</v>
      </c>
      <c r="G22">
        <v>20</v>
      </c>
      <c r="L22" t="s">
        <v>146</v>
      </c>
      <c r="M22" t="s">
        <v>27</v>
      </c>
      <c r="N22" t="s">
        <v>286</v>
      </c>
      <c r="O22" t="s">
        <v>270</v>
      </c>
      <c r="R22" t="s">
        <v>146</v>
      </c>
      <c r="S22" t="s">
        <v>28</v>
      </c>
      <c r="T22" t="s">
        <v>320</v>
      </c>
      <c r="U22" t="s">
        <v>270</v>
      </c>
    </row>
    <row r="23" spans="3:21" x14ac:dyDescent="0.45">
      <c r="D23" t="s">
        <v>8</v>
      </c>
      <c r="E23" t="s">
        <v>17</v>
      </c>
      <c r="G23">
        <v>40</v>
      </c>
      <c r="L23" t="s">
        <v>150</v>
      </c>
      <c r="M23" t="s">
        <v>27</v>
      </c>
      <c r="N23" t="s">
        <v>287</v>
      </c>
      <c r="O23" t="s">
        <v>270</v>
      </c>
      <c r="R23" t="s">
        <v>150</v>
      </c>
      <c r="S23" t="s">
        <v>28</v>
      </c>
      <c r="T23" t="s">
        <v>321</v>
      </c>
      <c r="U23" t="s">
        <v>270</v>
      </c>
    </row>
    <row r="24" spans="3:21" x14ac:dyDescent="0.45">
      <c r="D24" t="s">
        <v>7</v>
      </c>
      <c r="E24" t="s">
        <v>17</v>
      </c>
      <c r="G24">
        <f>G16</f>
        <v>31.536000000000001</v>
      </c>
      <c r="L24" t="s">
        <v>31</v>
      </c>
      <c r="M24" t="s">
        <v>27</v>
      </c>
      <c r="N24" t="s">
        <v>288</v>
      </c>
      <c r="O24" t="s">
        <v>270</v>
      </c>
      <c r="R24" t="s">
        <v>31</v>
      </c>
      <c r="S24" t="s">
        <v>28</v>
      </c>
      <c r="T24" t="s">
        <v>322</v>
      </c>
      <c r="U24" t="s">
        <v>270</v>
      </c>
    </row>
    <row r="25" spans="3:21" x14ac:dyDescent="0.45">
      <c r="L25" t="s">
        <v>39</v>
      </c>
      <c r="M25" t="s">
        <v>27</v>
      </c>
      <c r="N25" t="s">
        <v>289</v>
      </c>
      <c r="O25" t="s">
        <v>270</v>
      </c>
      <c r="R25" t="s">
        <v>39</v>
      </c>
      <c r="S25" t="s">
        <v>28</v>
      </c>
      <c r="T25" t="s">
        <v>323</v>
      </c>
      <c r="U25" t="s">
        <v>270</v>
      </c>
    </row>
    <row r="26" spans="3:21" x14ac:dyDescent="0.45">
      <c r="L26" t="s">
        <v>73</v>
      </c>
      <c r="M26" t="s">
        <v>27</v>
      </c>
      <c r="N26" t="s">
        <v>290</v>
      </c>
      <c r="O26" t="s">
        <v>270</v>
      </c>
      <c r="R26" t="s">
        <v>73</v>
      </c>
      <c r="S26" t="s">
        <v>28</v>
      </c>
      <c r="T26" t="s">
        <v>324</v>
      </c>
      <c r="U26" t="s">
        <v>270</v>
      </c>
    </row>
    <row r="27" spans="3:21" x14ac:dyDescent="0.45">
      <c r="C27" t="s">
        <v>13</v>
      </c>
      <c r="L27" t="s">
        <v>196</v>
      </c>
      <c r="M27" t="s">
        <v>27</v>
      </c>
      <c r="N27" t="s">
        <v>291</v>
      </c>
      <c r="O27" t="s">
        <v>270</v>
      </c>
      <c r="R27" t="s">
        <v>196</v>
      </c>
      <c r="S27" t="s">
        <v>28</v>
      </c>
      <c r="T27" t="s">
        <v>325</v>
      </c>
      <c r="U27" t="s">
        <v>270</v>
      </c>
    </row>
    <row r="28" spans="3:21" x14ac:dyDescent="0.45">
      <c r="C28" t="s">
        <v>0</v>
      </c>
      <c r="D28" t="s">
        <v>14</v>
      </c>
      <c r="E28" t="s">
        <v>6</v>
      </c>
      <c r="L28" t="s">
        <v>207</v>
      </c>
      <c r="M28" t="s">
        <v>27</v>
      </c>
      <c r="N28" t="s">
        <v>292</v>
      </c>
      <c r="O28" t="s">
        <v>270</v>
      </c>
      <c r="R28" t="s">
        <v>207</v>
      </c>
      <c r="S28" t="s">
        <v>28</v>
      </c>
      <c r="T28" t="s">
        <v>326</v>
      </c>
      <c r="U28" t="s">
        <v>270</v>
      </c>
    </row>
    <row r="29" spans="3:21" x14ac:dyDescent="0.45">
      <c r="C29" t="s">
        <v>17</v>
      </c>
      <c r="D29" t="s">
        <v>18</v>
      </c>
      <c r="E29" t="s">
        <v>19</v>
      </c>
      <c r="L29" t="s">
        <v>33</v>
      </c>
      <c r="M29" t="s">
        <v>27</v>
      </c>
      <c r="N29" t="s">
        <v>293</v>
      </c>
      <c r="O29" t="s">
        <v>270</v>
      </c>
      <c r="R29" t="s">
        <v>33</v>
      </c>
      <c r="S29" t="s">
        <v>28</v>
      </c>
      <c r="T29" t="s">
        <v>327</v>
      </c>
      <c r="U29" t="s">
        <v>270</v>
      </c>
    </row>
    <row r="30" spans="3:21" x14ac:dyDescent="0.45">
      <c r="L30" t="s">
        <v>61</v>
      </c>
      <c r="M30" t="s">
        <v>27</v>
      </c>
      <c r="N30" t="s">
        <v>294</v>
      </c>
      <c r="O30" t="s">
        <v>270</v>
      </c>
      <c r="R30" t="s">
        <v>61</v>
      </c>
      <c r="S30" t="s">
        <v>28</v>
      </c>
      <c r="T30" t="s">
        <v>328</v>
      </c>
      <c r="U30" t="s">
        <v>270</v>
      </c>
    </row>
    <row r="31" spans="3:21" x14ac:dyDescent="0.45">
      <c r="L31" t="s">
        <v>219</v>
      </c>
      <c r="M31" t="s">
        <v>27</v>
      </c>
      <c r="N31" t="s">
        <v>295</v>
      </c>
      <c r="O31" t="s">
        <v>270</v>
      </c>
      <c r="R31" t="s">
        <v>219</v>
      </c>
      <c r="S31" t="s">
        <v>28</v>
      </c>
      <c r="T31" t="s">
        <v>329</v>
      </c>
      <c r="U31" t="s">
        <v>270</v>
      </c>
    </row>
    <row r="32" spans="3:21" x14ac:dyDescent="0.45">
      <c r="L32" t="s">
        <v>263</v>
      </c>
      <c r="M32" t="s">
        <v>27</v>
      </c>
      <c r="N32" t="s">
        <v>296</v>
      </c>
      <c r="O32" t="s">
        <v>270</v>
      </c>
      <c r="R32" t="s">
        <v>263</v>
      </c>
      <c r="S32" t="s">
        <v>28</v>
      </c>
      <c r="T32" t="s">
        <v>330</v>
      </c>
      <c r="U32" t="s">
        <v>270</v>
      </c>
    </row>
    <row r="33" spans="12:21" x14ac:dyDescent="0.45">
      <c r="L33" t="s">
        <v>107</v>
      </c>
      <c r="M33" t="s">
        <v>27</v>
      </c>
      <c r="N33" t="s">
        <v>297</v>
      </c>
      <c r="O33" t="s">
        <v>270</v>
      </c>
      <c r="R33" t="s">
        <v>107</v>
      </c>
      <c r="S33" t="s">
        <v>28</v>
      </c>
      <c r="T33" t="s">
        <v>331</v>
      </c>
      <c r="U33" t="s">
        <v>270</v>
      </c>
    </row>
    <row r="34" spans="12:21" x14ac:dyDescent="0.45">
      <c r="L34" t="s">
        <v>99</v>
      </c>
      <c r="M34" t="s">
        <v>27</v>
      </c>
      <c r="N34" t="s">
        <v>298</v>
      </c>
      <c r="O34" t="s">
        <v>270</v>
      </c>
      <c r="R34" t="s">
        <v>99</v>
      </c>
      <c r="S34" t="s">
        <v>28</v>
      </c>
      <c r="T34" t="s">
        <v>332</v>
      </c>
      <c r="U34" t="s">
        <v>270</v>
      </c>
    </row>
    <row r="35" spans="12:21" x14ac:dyDescent="0.45">
      <c r="L35" t="s">
        <v>75</v>
      </c>
      <c r="M35" t="s">
        <v>27</v>
      </c>
      <c r="N35" t="s">
        <v>299</v>
      </c>
      <c r="O35" t="s">
        <v>270</v>
      </c>
      <c r="R35" t="s">
        <v>75</v>
      </c>
      <c r="S35" t="s">
        <v>28</v>
      </c>
      <c r="T35" t="s">
        <v>333</v>
      </c>
      <c r="U35" t="s">
        <v>270</v>
      </c>
    </row>
    <row r="36" spans="12:21" x14ac:dyDescent="0.45">
      <c r="L36" t="s">
        <v>247</v>
      </c>
      <c r="M36" t="s">
        <v>27</v>
      </c>
      <c r="N36" t="s">
        <v>300</v>
      </c>
      <c r="O36" t="s">
        <v>270</v>
      </c>
      <c r="R36" t="s">
        <v>247</v>
      </c>
      <c r="S36" t="s">
        <v>28</v>
      </c>
      <c r="T36" t="s">
        <v>334</v>
      </c>
      <c r="U36" t="s">
        <v>270</v>
      </c>
    </row>
    <row r="37" spans="12:21" x14ac:dyDescent="0.45">
      <c r="L37" t="s">
        <v>117</v>
      </c>
      <c r="M37" t="s">
        <v>27</v>
      </c>
      <c r="N37" t="s">
        <v>301</v>
      </c>
      <c r="O37" t="s">
        <v>270</v>
      </c>
      <c r="R37" t="s">
        <v>117</v>
      </c>
      <c r="S37" t="s">
        <v>28</v>
      </c>
      <c r="T37" t="s">
        <v>335</v>
      </c>
      <c r="U37" t="s">
        <v>270</v>
      </c>
    </row>
    <row r="38" spans="12:21" x14ac:dyDescent="0.45">
      <c r="L38" t="s">
        <v>172</v>
      </c>
      <c r="M38" t="s">
        <v>27</v>
      </c>
      <c r="N38" t="s">
        <v>302</v>
      </c>
      <c r="O38" t="s">
        <v>270</v>
      </c>
      <c r="R38" t="s">
        <v>172</v>
      </c>
      <c r="S38" t="s">
        <v>28</v>
      </c>
      <c r="T38" t="s">
        <v>336</v>
      </c>
      <c r="U38" t="s">
        <v>270</v>
      </c>
    </row>
    <row r="39" spans="12:21" x14ac:dyDescent="0.45">
      <c r="L39" t="s">
        <v>37</v>
      </c>
      <c r="M39" t="s">
        <v>27</v>
      </c>
      <c r="N39" t="s">
        <v>303</v>
      </c>
      <c r="O39" t="s">
        <v>270</v>
      </c>
      <c r="R39" t="s">
        <v>37</v>
      </c>
      <c r="S39" t="s">
        <v>28</v>
      </c>
      <c r="T39" t="s">
        <v>337</v>
      </c>
      <c r="U39" t="s">
        <v>270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2016-10-05T11:02:08Z</dcterms:created>
  <dcterms:modified xsi:type="dcterms:W3CDTF">2025-01-31T09:29:39Z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