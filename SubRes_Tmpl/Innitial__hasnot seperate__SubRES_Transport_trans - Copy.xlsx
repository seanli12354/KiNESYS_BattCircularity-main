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never"/>
  <bookViews>
    <workbookView windowWidth="18350" windowHeight="8710" activeTab="3"/>
  </bookViews>
  <sheets>
    <sheet name="TechSelection" sheetId="21" r:id="rId1"/>
    <sheet name="Road transport" sheetId="25" r:id="rId2"/>
    <sheet name="RoadTra_BY" sheetId="26" r:id="rId3"/>
    <sheet name="added_EnergyUse_for_Manu_Recy" sheetId="27" r:id="rId4"/>
  </sheets>
  <externalReferences>
    <externalReference r:id="rId5"/>
    <externalReference r:id="rId6"/>
  </externalReferences>
  <definedNames>
    <definedName name="FID_1">[1]AGR_Fuels!$A$2</definedName>
    <definedName name="GROWTH">'[2]TechRep-Doc'!#REF!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  <author>Xiao Li</author>
  </authors>
  <commentList>
    <comment ref="M71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https://www.lightmetalage.com/news/industry-news/smelting/decline-of-u-s-primary-aluminum-production-and-the-growth-of-secondary-aluminum/?utm_source=chatgpt.com</t>
        </r>
      </text>
    </comment>
    <comment ref="AA71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US750 ktonne, CAN 2.9 Mtonne: https://en.wikipedia.org/wiki/Aluminum_industry_in_the_United_States?utm_source=chatgpt.com; https://www.statista.com/statistics/312839/primary-aluminum-production-in-the-united-states/?utm_source=chatgpt.com</t>
        </r>
      </text>
    </comment>
    <comment ref="D101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Bca its cap with unit of GW, which means this block defines how many costs for recycling 1Gwh of EV-Bat so do not need to multiplyy ktonne/GWh</t>
        </r>
      </text>
    </comment>
    <comment ref="E104" authorId="1">
      <text>
        <r>
          <rPr>
            <b/>
            <sz val="9"/>
            <rFont val="Tahoma"/>
            <charset val="1"/>
          </rPr>
          <t>Xiao Li:</t>
        </r>
        <r>
          <rPr>
            <sz val="9"/>
            <rFont val="Tahoma"/>
            <charset val="1"/>
          </rPr>
          <t xml:space="preserve">
unit is m$/ktonne, so we use ACT_COST</t>
        </r>
      </text>
    </comment>
  </commentList>
</comments>
</file>

<file path=xl/sharedStrings.xml><?xml version="1.0" encoding="utf-8"?>
<sst xmlns="http://schemas.openxmlformats.org/spreadsheetml/2006/main" count="826" uniqueCount="205">
  <si>
    <t>~TFM_AVA</t>
  </si>
  <si>
    <t>Region</t>
  </si>
  <si>
    <t>Process</t>
  </si>
  <si>
    <t>Africa_North</t>
  </si>
  <si>
    <t>*</t>
  </si>
  <si>
    <t>Africa_Other</t>
  </si>
  <si>
    <t>Australia</t>
  </si>
  <si>
    <t>Austria</t>
  </si>
  <si>
    <t>Baltics</t>
  </si>
  <si>
    <t>BeNeLux</t>
  </si>
  <si>
    <t>Brazil</t>
  </si>
  <si>
    <t>China</t>
  </si>
  <si>
    <t>CroSloven</t>
  </si>
  <si>
    <t>CzechSlovak</t>
  </si>
  <si>
    <t>France</t>
  </si>
  <si>
    <t>Germany</t>
  </si>
  <si>
    <t>GreeceCyp</t>
  </si>
  <si>
    <t>HunRomBul</t>
  </si>
  <si>
    <t>Iceland</t>
  </si>
  <si>
    <t>India</t>
  </si>
  <si>
    <t>Ireland</t>
  </si>
  <si>
    <t>ItalyMal</t>
  </si>
  <si>
    <t>Japan</t>
  </si>
  <si>
    <t>LatAm</t>
  </si>
  <si>
    <t>MidEast</t>
  </si>
  <si>
    <t>NorthAm</t>
  </si>
  <si>
    <t>Norway</t>
  </si>
  <si>
    <t>Poland</t>
  </si>
  <si>
    <t>ROW</t>
  </si>
  <si>
    <t>Russia</t>
  </si>
  <si>
    <t>SaudiArabia</t>
  </si>
  <si>
    <t>SouthAfrica</t>
  </si>
  <si>
    <t>SpainPor</t>
  </si>
  <si>
    <t>SweFinDen</t>
  </si>
  <si>
    <t>Switzerland</t>
  </si>
  <si>
    <t>Turkey</t>
  </si>
  <si>
    <t>UK</t>
  </si>
  <si>
    <t>Ukraine</t>
  </si>
  <si>
    <t>WestBalkans</t>
  </si>
  <si>
    <t>~TFM_FILL-R:w=RoadTra_BY; hcol=region</t>
  </si>
  <si>
    <t>~TFM_TOPINS</t>
  </si>
  <si>
    <t>Scenario</t>
  </si>
  <si>
    <t>Attribute</t>
  </si>
  <si>
    <t>PSET_CO</t>
  </si>
  <si>
    <t>AllRegions</t>
  </si>
  <si>
    <t>process</t>
  </si>
  <si>
    <t>IO</t>
  </si>
  <si>
    <t>commodity</t>
  </si>
  <si>
    <t>pset_ci</t>
  </si>
  <si>
    <t>pset_co</t>
  </si>
  <si>
    <t>cset_cn</t>
  </si>
  <si>
    <t>BASE</t>
  </si>
  <si>
    <t>AF</t>
  </si>
  <si>
    <t>Trd[_]*</t>
  </si>
  <si>
    <t>*1</t>
  </si>
  <si>
    <t>Trd[_]*gsl*</t>
  </si>
  <si>
    <t>IN</t>
  </si>
  <si>
    <t>TRAGSL,TRABGS</t>
  </si>
  <si>
    <t>TRAELC</t>
  </si>
  <si>
    <t>TRDELC</t>
  </si>
  <si>
    <t>ELC</t>
  </si>
  <si>
    <t>Out</t>
  </si>
  <si>
    <t>EFF</t>
  </si>
  <si>
    <t>Trd[_]*dsl*</t>
  </si>
  <si>
    <t>TRADST,TRABDS</t>
  </si>
  <si>
    <t>Trd[_]*hh2*</t>
  </si>
  <si>
    <t>TRAGH2</t>
  </si>
  <si>
    <t>Trd[_]*cng*</t>
  </si>
  <si>
    <t>TRANGA</t>
  </si>
  <si>
    <t>~TFM_INS</t>
  </si>
  <si>
    <t>Trd[_]*elc*</t>
  </si>
  <si>
    <t>attribute</t>
  </si>
  <si>
    <t>PSET_PN</t>
  </si>
  <si>
    <t>PSET_CI</t>
  </si>
  <si>
    <t>CSET_CN</t>
  </si>
  <si>
    <t>value</t>
  </si>
  <si>
    <t>limtype</t>
  </si>
  <si>
    <t>year</t>
  </si>
  <si>
    <t>Trd[_]*lng*</t>
  </si>
  <si>
    <t>Share</t>
  </si>
  <si>
    <t>Trd[_]*-pih*</t>
  </si>
  <si>
    <t>FX</t>
  </si>
  <si>
    <t>CEFF</t>
  </si>
  <si>
    <t>TRAGSL</t>
  </si>
  <si>
    <t>TRABGS</t>
  </si>
  <si>
    <t>~TFM_MIG</t>
  </si>
  <si>
    <t>LIFE</t>
  </si>
  <si>
    <t>attribute2</t>
  </si>
  <si>
    <t>pset_pn</t>
  </si>
  <si>
    <t>*START</t>
  </si>
  <si>
    <t>-TRDELC</t>
  </si>
  <si>
    <t>INVCOST</t>
  </si>
  <si>
    <t>*.03</t>
  </si>
  <si>
    <t>FIXOM</t>
  </si>
  <si>
    <t>*.02</t>
  </si>
  <si>
    <t>~TFM_INS-TS: attribute=FLO_MARK</t>
  </si>
  <si>
    <t>attrib_cond</t>
  </si>
  <si>
    <t>top_check</t>
  </si>
  <si>
    <t>-FLO_MARK</t>
  </si>
  <si>
    <t>OUT</t>
  </si>
  <si>
    <t>Trd_2w_*</t>
  </si>
  <si>
    <t>Trd_3w_*</t>
  </si>
  <si>
    <t>Trd_bus*</t>
  </si>
  <si>
    <t>Trd_car*</t>
  </si>
  <si>
    <t>Trd_hdt*</t>
  </si>
  <si>
    <t>Trd_lcv*</t>
  </si>
  <si>
    <t>~TFM_UPD</t>
  </si>
  <si>
    <t>Trd_2w_gsl</t>
  </si>
  <si>
    <t>Trd_3w_gsl</t>
  </si>
  <si>
    <t>Trd_bus_dsl</t>
  </si>
  <si>
    <t>Trd_car_gsl</t>
  </si>
  <si>
    <t>Trd_hdt_dsl</t>
  </si>
  <si>
    <t>Trd_lcv_dsl</t>
  </si>
  <si>
    <t>tempering the Eff improvement in smaller Evs</t>
  </si>
  <si>
    <t>*.5</t>
  </si>
  <si>
    <t>Trd_2w,Trd_3w</t>
  </si>
  <si>
    <t>pset_set</t>
  </si>
  <si>
    <t>other_indexes</t>
  </si>
  <si>
    <t>ELE</t>
  </si>
  <si>
    <t>-INVCOST</t>
  </si>
  <si>
    <t>FLO_FUNC</t>
  </si>
  <si>
    <t>AuxStoIN</t>
  </si>
  <si>
    <t>Pset_CO</t>
  </si>
  <si>
    <t>FLO_BND</t>
  </si>
  <si>
    <t>UP</t>
  </si>
  <si>
    <t>MINBatMaterials_LI</t>
  </si>
  <si>
    <t>m_lithium</t>
  </si>
  <si>
    <t>MINBatMaterials</t>
  </si>
  <si>
    <t>MINBatMaterials_NI</t>
  </si>
  <si>
    <t>m_nickel</t>
  </si>
  <si>
    <t>MINBatMaterials_COB</t>
  </si>
  <si>
    <t>m_cobalt</t>
  </si>
  <si>
    <t>MINBatMaterials_MN</t>
  </si>
  <si>
    <t>m_manganese</t>
  </si>
  <si>
    <t>MINBatMaterials_AL</t>
  </si>
  <si>
    <t>m_aluminum</t>
  </si>
  <si>
    <t>MINBatMaterials_COP</t>
  </si>
  <si>
    <t>m_copper</t>
  </si>
  <si>
    <t>MINBatMaterials_GR</t>
  </si>
  <si>
    <t>m_graphite</t>
  </si>
  <si>
    <t>ktonne</t>
  </si>
  <si>
    <t>*According to BloomBerg that ~2.5times more demand in 2024 vs. 2017 [means that 2.5 times higher demand every seven years] [https://about.bnef.com/blog/lithium-ion-battery-pack-prices-see-largest-drop-since-2017-falling-to-115-per-kilowatt-hour-bloombergnef/]; and a 18% learning rate also from Bloomberg</t>
  </si>
  <si>
    <t>ACT_COST</t>
  </si>
  <si>
    <t>PyroRecy-LFP</t>
  </si>
  <si>
    <t>PyroRecy-LMO</t>
  </si>
  <si>
    <t>PyroRecy-NCA</t>
  </si>
  <si>
    <t>PyroRecy-NMC111</t>
  </si>
  <si>
    <t>PyroRecy-NMC532</t>
  </si>
  <si>
    <t>PyroRecy-NMC622</t>
  </si>
  <si>
    <t>PyroRecy-NMC811</t>
  </si>
  <si>
    <t>HydRecy-LFP</t>
  </si>
  <si>
    <t>HydRecy-LMO</t>
  </si>
  <si>
    <t>HydRecy-NCA</t>
  </si>
  <si>
    <t>HydRecy-NMC111</t>
  </si>
  <si>
    <t>HydRecy-NMC532</t>
  </si>
  <si>
    <t>HydRecy-NMC622</t>
  </si>
  <si>
    <t>HydRecy-NMC811</t>
  </si>
  <si>
    <t>DirRecy-LFP</t>
  </si>
  <si>
    <t>DirRecy-LMO</t>
  </si>
  <si>
    <t>DirRecy-NCA</t>
  </si>
  <si>
    <t>DirRecy-NMC111</t>
  </si>
  <si>
    <t>DirRecy-NMC532</t>
  </si>
  <si>
    <t>DirRecy-NMC622</t>
  </si>
  <si>
    <t>DirRecy-NMC811</t>
  </si>
  <si>
    <t>NCAP_COST</t>
  </si>
  <si>
    <t>scenario</t>
  </si>
  <si>
    <t>lim_type</t>
  </si>
  <si>
    <t>time_slice</t>
  </si>
  <si>
    <t>commodity_group</t>
  </si>
  <si>
    <t>currency</t>
  </si>
  <si>
    <t>stage</t>
  </si>
  <si>
    <t>sow</t>
  </si>
  <si>
    <t>valfield</t>
  </si>
  <si>
    <t>~TFM_UPD: attribute= NCAP_ICOM</t>
  </si>
  <si>
    <t>Tra_EV_Batt-NMC 111</t>
  </si>
  <si>
    <t>Tra_EV_Batt-NMC 532</t>
  </si>
  <si>
    <t>Tra_EV_Batt-NMC 622</t>
  </si>
  <si>
    <t>Tra_EV_Batt-NMC 811</t>
  </si>
  <si>
    <t>Tra_EV_Batt-NCA</t>
  </si>
  <si>
    <t>Tra_EV_Batt-LMO</t>
  </si>
  <si>
    <t>Tra_EV_Batt-LFP</t>
  </si>
  <si>
    <t>COAHCO</t>
  </si>
  <si>
    <t>GASNGA</t>
  </si>
  <si>
    <t>OILDST</t>
  </si>
  <si>
    <t>Original data_provided by Anna</t>
  </si>
  <si>
    <t>Location</t>
  </si>
  <si>
    <t xml:space="preserve">Energy use (MJ/kWh battery produced) </t>
  </si>
  <si>
    <r>
      <rPr>
        <sz val="12"/>
        <color rgb="FF000000"/>
        <rFont val="Aptos Narrow"/>
        <charset val="0"/>
      </rPr>
      <t>Chemistry</t>
    </r>
    <r>
      <rPr>
        <sz val="12"/>
        <color rgb="FF000000"/>
        <rFont val="Aptos Narrow"/>
        <charset val="0"/>
      </rPr>
      <t xml:space="preserve"> </t>
    </r>
  </si>
  <si>
    <r>
      <rPr>
        <sz val="12"/>
        <color rgb="FF000000"/>
        <rFont val="Aptos Narrow"/>
        <charset val="0"/>
      </rPr>
      <t>LCO</t>
    </r>
    <r>
      <rPr>
        <sz val="12"/>
        <color rgb="FF000000"/>
        <rFont val="Aptos Narrow"/>
        <charset val="0"/>
      </rPr>
      <t xml:space="preserve"> </t>
    </r>
  </si>
  <si>
    <t>NMC111</t>
  </si>
  <si>
    <t>NMC532</t>
  </si>
  <si>
    <t>NMC622</t>
  </si>
  <si>
    <t>NMC811</t>
  </si>
  <si>
    <t>NCA</t>
  </si>
  <si>
    <r>
      <rPr>
        <sz val="12"/>
        <color rgb="FF000000"/>
        <rFont val="Aptos Narrow"/>
        <charset val="0"/>
      </rPr>
      <t>LMO</t>
    </r>
    <r>
      <rPr>
        <sz val="12"/>
        <color rgb="FF000000"/>
        <rFont val="Aptos Narrow"/>
        <charset val="0"/>
      </rPr>
      <t xml:space="preserve"> </t>
    </r>
  </si>
  <si>
    <r>
      <rPr>
        <sz val="12"/>
        <color rgb="FF000000"/>
        <rFont val="Aptos Narrow"/>
        <charset val="0"/>
      </rPr>
      <t>LFP</t>
    </r>
    <r>
      <rPr>
        <sz val="12"/>
        <color rgb="FF000000"/>
        <rFont val="Aptos Narrow"/>
        <charset val="0"/>
      </rPr>
      <t xml:space="preserve"> </t>
    </r>
  </si>
  <si>
    <t>US</t>
  </si>
  <si>
    <r>
      <rPr>
        <sz val="12"/>
        <color rgb="FF000000"/>
        <rFont val="Aptos Narrow"/>
        <charset val="0"/>
      </rPr>
      <t xml:space="preserve">     </t>
    </r>
    <r>
      <rPr>
        <sz val="12"/>
        <color rgb="FF000000"/>
        <rFont val="Aptos Narrow"/>
        <charset val="0"/>
      </rPr>
      <t>Total Energy</t>
    </r>
  </si>
  <si>
    <r>
      <rPr>
        <sz val="12"/>
        <color rgb="FF000000"/>
        <rFont val="Aptos Narrow"/>
        <charset val="0"/>
      </rPr>
      <t xml:space="preserve">     </t>
    </r>
    <r>
      <rPr>
        <sz val="12"/>
        <color rgb="FF000000"/>
        <rFont val="Aptos Narrow"/>
        <charset val="0"/>
      </rPr>
      <t>Fossil fuels</t>
    </r>
  </si>
  <si>
    <r>
      <rPr>
        <sz val="12"/>
        <color rgb="FF000000"/>
        <rFont val="Aptos Narrow"/>
        <charset val="0"/>
      </rPr>
      <t xml:space="preserve">     </t>
    </r>
    <r>
      <rPr>
        <sz val="12"/>
        <color rgb="FF000000"/>
        <rFont val="Aptos Narrow"/>
        <charset val="0"/>
      </rPr>
      <t>Coal</t>
    </r>
  </si>
  <si>
    <r>
      <rPr>
        <sz val="12"/>
        <color rgb="FF000000"/>
        <rFont val="Aptos Narrow"/>
        <charset val="0"/>
      </rPr>
      <t xml:space="preserve">     </t>
    </r>
    <r>
      <rPr>
        <sz val="12"/>
        <color rgb="FF000000"/>
        <rFont val="Aptos Narrow"/>
        <charset val="0"/>
      </rPr>
      <t>Natural gas</t>
    </r>
  </si>
  <si>
    <r>
      <rPr>
        <sz val="12"/>
        <color rgb="FF000000"/>
        <rFont val="Aptos Narrow"/>
        <charset val="0"/>
      </rPr>
      <t xml:space="preserve">     </t>
    </r>
    <r>
      <rPr>
        <sz val="12"/>
        <color rgb="FF000000"/>
        <rFont val="Aptos Narrow"/>
        <charset val="0"/>
      </rPr>
      <t>Petroleum</t>
    </r>
  </si>
  <si>
    <t>Korea</t>
  </si>
  <si>
    <r>
      <rPr>
        <sz val="12"/>
        <color rgb="FF000000"/>
        <rFont val="Aptos Narrow"/>
        <charset val="0"/>
      </rPr>
      <t>** Assumed to be cell manufacturing</t>
    </r>
    <r>
      <rPr>
        <sz val="12"/>
        <color rgb="FF000000"/>
        <rFont val="Aptos Narrow"/>
        <charset val="0"/>
      </rPr>
      <t xml:space="preserve"> </t>
    </r>
  </si>
  <si>
    <t>Other countries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</si>
</sst>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000"/>
    <numFmt numFmtId="179" formatCode="#,##0.000"/>
    <numFmt numFmtId="180" formatCode="0.0"/>
    <numFmt numFmtId="181" formatCode="0.000"/>
  </numFmts>
  <fonts count="34">
    <font>
      <sz val="10"/>
      <name val="Arial"/>
      <charset val="134"/>
    </font>
    <font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  <font>
      <sz val="10.2"/>
      <color rgb="FF212529"/>
      <name val="Segoe UI"/>
      <charset val="134"/>
    </font>
    <font>
      <sz val="12"/>
      <color rgb="FF000000"/>
      <name val="Aptos Narrow"/>
      <charset val="0"/>
    </font>
    <font>
      <sz val="9"/>
      <name val="Arial"/>
      <charset val="134"/>
    </font>
    <font>
      <b/>
      <sz val="9"/>
      <name val="Arial"/>
      <charset val="134"/>
    </font>
    <font>
      <sz val="11"/>
      <color rgb="FF000000"/>
      <name val="Calibri"/>
      <charset val="134"/>
    </font>
    <font>
      <b/>
      <sz val="10"/>
      <color rgb="FFFF0000"/>
      <name val="Arial"/>
      <charset val="134"/>
    </font>
    <font>
      <b/>
      <sz val="10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imes New Roman"/>
      <charset val="134"/>
    </font>
    <font>
      <b/>
      <sz val="9"/>
      <name val="Times New Roman"/>
      <charset val="134"/>
    </font>
    <font>
      <b/>
      <sz val="9"/>
      <name val="Tahoma"/>
      <charset val="1"/>
    </font>
    <font>
      <sz val="9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63377788629"/>
        <bgColor indexed="64"/>
      </patternFill>
    </fill>
    <fill>
      <patternFill patternType="solid">
        <fgColor theme="3" tint="0.799859614856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10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3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</cellStyleXfs>
  <cellXfs count="60">
    <xf numFmtId="0" fontId="0" fillId="0" borderId="0" xfId="0"/>
    <xf numFmtId="0" fontId="1" fillId="2" borderId="0" xfId="0" applyFont="1" applyFill="1" applyAlignment="1"/>
    <xf numFmtId="0" fontId="0" fillId="0" borderId="0" xfId="0" applyBorder="1"/>
    <xf numFmtId="0" fontId="1" fillId="0" borderId="0" xfId="0" applyFont="1" applyFill="1" applyAlignment="1"/>
    <xf numFmtId="0" fontId="0" fillId="0" borderId="0" xfId="0" applyFill="1" applyBorder="1"/>
    <xf numFmtId="0" fontId="2" fillId="2" borderId="1" xfId="0" applyNumberFormat="1" applyFont="1" applyFill="1" applyBorder="1" applyAlignment="1" applyProtection="1"/>
    <xf numFmtId="0" fontId="1" fillId="2" borderId="1" xfId="0" applyFont="1" applyFill="1" applyBorder="1" applyAlignment="1"/>
    <xf numFmtId="2" fontId="2" fillId="2" borderId="1" xfId="0" applyNumberFormat="1" applyFont="1" applyFill="1" applyBorder="1" applyAlignment="1" applyProtection="1"/>
    <xf numFmtId="0" fontId="3" fillId="2" borderId="0" xfId="0" applyFont="1" applyFill="1" applyAlignment="1"/>
    <xf numFmtId="178" fontId="2" fillId="2" borderId="1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/>
    <xf numFmtId="0" fontId="1" fillId="0" borderId="1" xfId="0" applyFont="1" applyFill="1" applyBorder="1" applyAlignment="1"/>
    <xf numFmtId="2" fontId="2" fillId="0" borderId="1" xfId="0" applyNumberFormat="1" applyFont="1" applyFill="1" applyBorder="1" applyAlignment="1" applyProtection="1"/>
    <xf numFmtId="0" fontId="0" fillId="2" borderId="0" xfId="0" applyFill="1"/>
    <xf numFmtId="0" fontId="0" fillId="0" borderId="0" xfId="0" applyFill="1"/>
    <xf numFmtId="0" fontId="3" fillId="0" borderId="0" xfId="0" applyFont="1" applyFill="1" applyAlignment="1"/>
    <xf numFmtId="178" fontId="2" fillId="0" borderId="1" xfId="0" applyNumberFormat="1" applyFont="1" applyFill="1" applyBorder="1" applyAlignment="1" applyProtection="1"/>
    <xf numFmtId="0" fontId="0" fillId="0" borderId="0" xfId="0" applyFill="1"/>
    <xf numFmtId="179" fontId="1" fillId="2" borderId="1" xfId="0" applyNumberFormat="1" applyFont="1" applyFill="1" applyBorder="1" applyAlignment="1"/>
    <xf numFmtId="179" fontId="1" fillId="0" borderId="1" xfId="0" applyNumberFormat="1" applyFont="1" applyFill="1" applyBorder="1" applyAlignment="1"/>
    <xf numFmtId="0" fontId="1" fillId="0" borderId="0" xfId="0" applyFont="1" applyFill="1" applyAlignment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/>
    <xf numFmtId="0" fontId="4" fillId="3" borderId="0" xfId="0" applyFont="1" applyFill="1" applyAlignment="1" applyProtection="1">
      <protection locked="0"/>
    </xf>
    <xf numFmtId="180" fontId="4" fillId="3" borderId="0" xfId="0" applyNumberFormat="1" applyFont="1" applyFill="1" applyAlignment="1"/>
    <xf numFmtId="0" fontId="1" fillId="0" borderId="0" xfId="0" applyFont="1" applyFill="1" applyAlignment="1">
      <alignment horizontal="center"/>
    </xf>
    <xf numFmtId="180" fontId="1" fillId="4" borderId="0" xfId="0" applyNumberFormat="1" applyFont="1" applyFill="1" applyAlignment="1">
      <alignment horizontal="center"/>
    </xf>
    <xf numFmtId="180" fontId="1" fillId="0" borderId="0" xfId="0" applyNumberFormat="1" applyFont="1" applyFill="1" applyAlignment="1">
      <alignment horizontal="center"/>
    </xf>
    <xf numFmtId="0" fontId="4" fillId="0" borderId="0" xfId="0" applyFont="1" applyFill="1" applyAlignment="1" applyProtection="1">
      <alignment horizontal="center"/>
      <protection locked="0"/>
    </xf>
    <xf numFmtId="0" fontId="1" fillId="4" borderId="0" xfId="0" applyFont="1" applyFill="1" applyAlignment="1"/>
    <xf numFmtId="0" fontId="0" fillId="5" borderId="0" xfId="49" applyFill="1"/>
    <xf numFmtId="0" fontId="0" fillId="5" borderId="0" xfId="0" applyFill="1"/>
    <xf numFmtId="0" fontId="0" fillId="6" borderId="0" xfId="0" applyFill="1"/>
    <xf numFmtId="0" fontId="0" fillId="0" borderId="0" xfId="49"/>
    <xf numFmtId="0" fontId="5" fillId="0" borderId="0" xfId="0" applyFont="1"/>
    <xf numFmtId="0" fontId="6" fillId="0" borderId="0" xfId="0" applyFont="1"/>
    <xf numFmtId="180" fontId="0" fillId="0" borderId="0" xfId="0" applyNumberFormat="1"/>
    <xf numFmtId="3" fontId="0" fillId="0" borderId="0" xfId="0" applyNumberFormat="1"/>
    <xf numFmtId="0" fontId="0" fillId="7" borderId="0" xfId="0" applyFill="1"/>
    <xf numFmtId="0" fontId="0" fillId="7" borderId="0" xfId="49" applyFill="1"/>
    <xf numFmtId="0" fontId="7" fillId="7" borderId="0" xfId="0" applyFont="1" applyFill="1"/>
    <xf numFmtId="0" fontId="7" fillId="6" borderId="0" xfId="0" applyFont="1" applyFill="1"/>
    <xf numFmtId="0" fontId="0" fillId="6" borderId="0" xfId="49" applyFill="1"/>
    <xf numFmtId="0" fontId="8" fillId="6" borderId="0" xfId="0" applyFont="1" applyFill="1"/>
    <xf numFmtId="0" fontId="9" fillId="7" borderId="0" xfId="49" applyFont="1" applyFill="1"/>
    <xf numFmtId="0" fontId="9" fillId="5" borderId="0" xfId="0" applyFont="1" applyFill="1"/>
    <xf numFmtId="0" fontId="0" fillId="8" borderId="0" xfId="0" applyFill="1"/>
    <xf numFmtId="0" fontId="0" fillId="9" borderId="1" xfId="49" applyFill="1" applyBorder="1"/>
    <xf numFmtId="181" fontId="0" fillId="9" borderId="1" xfId="49" applyNumberFormat="1" applyFill="1" applyBorder="1"/>
    <xf numFmtId="0" fontId="0" fillId="9" borderId="2" xfId="49" applyFill="1" applyBorder="1"/>
    <xf numFmtId="0" fontId="10" fillId="5" borderId="0" xfId="0" applyFont="1" applyFill="1"/>
    <xf numFmtId="0" fontId="8" fillId="5" borderId="0" xfId="0" applyFont="1" applyFill="1"/>
    <xf numFmtId="0" fontId="0" fillId="5" borderId="1" xfId="49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49" applyBorder="1"/>
    <xf numFmtId="0" fontId="7" fillId="0" borderId="0" xfId="0" applyFont="1"/>
    <xf numFmtId="0" fontId="9" fillId="0" borderId="0" xfId="49" applyFont="1"/>
    <xf numFmtId="0" fontId="0" fillId="0" borderId="1" xfId="0" applyBorder="1"/>
    <xf numFmtId="0" fontId="5" fillId="0" borderId="0" xfId="50" applyFont="1"/>
    <xf numFmtId="0" fontId="0" fillId="0" borderId="0" xfId="0" quotePrefix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 3" xfId="50"/>
    <cellStyle name="Normal 3 2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AGE\saic_technology\ResCOM\New%20Microsoft%20Excel%20Workshee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_Emi"/>
      <sheetName val="AGR"/>
      <sheetName val="RES_Fuels"/>
      <sheetName val="RES_Emi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OM_Emi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ew Microsoft Excel Worksheet"/>
      <sheetName val="AGR_Fuels"/>
      <sheetName val="TechRep-Doc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A281"/>
  <sheetViews>
    <sheetView workbookViewId="0">
      <selection activeCell="A1" sqref="A1"/>
    </sheetView>
  </sheetViews>
  <sheetFormatPr defaultColWidth="9.09090909090909" defaultRowHeight="11.5"/>
  <cols>
    <col min="1" max="1" width="15" style="59" customWidth="1"/>
    <col min="2" max="2" width="8.81818181818182" style="59" customWidth="1"/>
    <col min="3" max="3" width="4.72727272727273" style="59" customWidth="1"/>
    <col min="4" max="4" width="8.81818181818182" style="59" customWidth="1"/>
    <col min="5" max="5" width="4.36363636363636" style="59" customWidth="1"/>
    <col min="6" max="6" width="4.27272727272727" style="59" customWidth="1"/>
    <col min="7" max="7" width="4.36363636363636" style="59" customWidth="1"/>
    <col min="8" max="8" width="4.63636363636364" style="59" customWidth="1"/>
    <col min="9" max="9" width="4" style="59" customWidth="1"/>
    <col min="10" max="10" width="4.36363636363636" style="59" customWidth="1"/>
    <col min="11" max="11" width="4.63636363636364" style="59" customWidth="1"/>
    <col min="12" max="12" width="4.36363636363636" style="59" customWidth="1"/>
    <col min="13" max="13" width="4" style="59" customWidth="1"/>
    <col min="14" max="14" width="4.27272727272727" style="59" customWidth="1"/>
    <col min="15" max="16" width="4.36363636363636" style="59" customWidth="1"/>
    <col min="17" max="18" width="4.63636363636364" style="59" customWidth="1"/>
    <col min="19" max="19" width="4.36363636363636" style="59" customWidth="1"/>
    <col min="20" max="20" width="5" style="59" customWidth="1"/>
    <col min="21" max="21" width="11.7272727272727" style="59" customWidth="1"/>
    <col min="22" max="22" width="10.7272727272727" style="59" customWidth="1"/>
    <col min="23" max="23" width="13.0909090909091" style="59" customWidth="1"/>
    <col min="24" max="259" width="11.3636363636364" style="59" customWidth="1"/>
    <col min="260" max="16384" width="9.09090909090909" style="59"/>
  </cols>
  <sheetData>
    <row r="1" ht="12.5" spans="1:2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</row>
    <row r="2" ht="12.5" spans="1:2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 ht="12.5" spans="1:27">
      <c r="A3" t="s">
        <v>0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 s="34"/>
      <c r="W3" s="34"/>
      <c r="X3" s="34"/>
      <c r="Y3" s="34"/>
      <c r="Z3" s="34"/>
      <c r="AA3" s="34"/>
    </row>
    <row r="4" ht="12.5" spans="1:27">
      <c r="A4" t="s">
        <v>1</v>
      </c>
      <c r="B4" t="s">
        <v>2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 s="34"/>
      <c r="W4" s="34"/>
      <c r="X4" s="34"/>
      <c r="Y4" s="34"/>
      <c r="Z4" s="34"/>
      <c r="AA4" s="34"/>
    </row>
    <row r="5" ht="12.5" spans="1:27">
      <c r="A5" t="s">
        <v>3</v>
      </c>
      <c r="B5" t="s">
        <v>4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 s="34"/>
      <c r="W5" s="34"/>
      <c r="X5" s="34"/>
      <c r="Y5" s="34"/>
      <c r="Z5" s="34"/>
      <c r="AA5" s="34"/>
    </row>
    <row r="6" ht="12.5" spans="1:27">
      <c r="A6" t="s">
        <v>5</v>
      </c>
      <c r="B6" t="s">
        <v>4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 s="34"/>
      <c r="W6" s="34"/>
      <c r="X6" s="34"/>
      <c r="Y6" s="34"/>
      <c r="Z6" s="34"/>
      <c r="AA6" s="34"/>
    </row>
    <row r="7" ht="12.5" spans="1:27">
      <c r="A7" t="s">
        <v>6</v>
      </c>
      <c r="B7" t="s">
        <v>4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 s="34"/>
      <c r="W7" s="34"/>
      <c r="X7" s="34"/>
      <c r="Y7" s="34"/>
      <c r="Z7" s="34"/>
      <c r="AA7" s="34"/>
    </row>
    <row r="8" ht="12.5" spans="1:27">
      <c r="A8" t="s">
        <v>7</v>
      </c>
      <c r="B8" t="s">
        <v>4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 s="34"/>
      <c r="W8" s="34"/>
      <c r="X8" s="34"/>
      <c r="Y8" s="34"/>
      <c r="Z8" s="34"/>
      <c r="AA8" s="34"/>
    </row>
    <row r="9" ht="12.5" spans="1:27">
      <c r="A9" t="s">
        <v>8</v>
      </c>
      <c r="B9" t="s">
        <v>4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 s="34"/>
      <c r="W9" s="34"/>
      <c r="X9" s="34"/>
      <c r="Y9" s="34"/>
      <c r="Z9" s="34"/>
      <c r="AA9" s="34"/>
    </row>
    <row r="10" ht="12.5" spans="1:27">
      <c r="A10" t="s">
        <v>9</v>
      </c>
      <c r="B10" t="s">
        <v>4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 s="34"/>
      <c r="W10" s="34"/>
      <c r="X10" s="34"/>
      <c r="Y10" s="34"/>
      <c r="Z10" s="34"/>
      <c r="AA10" s="34"/>
    </row>
    <row r="11" ht="12.5" spans="1:27">
      <c r="A11" t="s">
        <v>10</v>
      </c>
      <c r="B11" t="s">
        <v>4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 s="34"/>
      <c r="W11" s="34"/>
      <c r="X11" s="34"/>
      <c r="Y11" s="34"/>
      <c r="Z11" s="34"/>
      <c r="AA11" s="34"/>
    </row>
    <row r="12" ht="12.5" spans="1:27">
      <c r="A12" t="s">
        <v>11</v>
      </c>
      <c r="B12" t="s">
        <v>4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 s="34"/>
      <c r="W12" s="34"/>
      <c r="X12" s="34"/>
      <c r="Y12" s="34"/>
      <c r="Z12" s="34"/>
      <c r="AA12" s="34"/>
    </row>
    <row r="13" ht="12.5" spans="1:27">
      <c r="A13" t="s">
        <v>12</v>
      </c>
      <c r="B13" t="s">
        <v>4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 s="34"/>
      <c r="W13" s="34"/>
      <c r="X13" s="34"/>
      <c r="Y13" s="34"/>
      <c r="Z13" s="34"/>
      <c r="AA13" s="34"/>
    </row>
    <row r="14" ht="12.5" spans="1:27">
      <c r="A14" t="s">
        <v>13</v>
      </c>
      <c r="B14" t="s">
        <v>4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 s="34"/>
      <c r="W14" s="34"/>
      <c r="X14" s="34"/>
      <c r="Y14" s="34"/>
      <c r="Z14" s="34"/>
      <c r="AA14" s="34"/>
    </row>
    <row r="15" ht="12.5" spans="1:27">
      <c r="A15" t="s">
        <v>14</v>
      </c>
      <c r="B15" t="s">
        <v>4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 s="34"/>
      <c r="W15" s="34"/>
      <c r="X15" s="34"/>
      <c r="Y15" s="34"/>
      <c r="Z15" s="34"/>
      <c r="AA15" s="34"/>
    </row>
    <row r="16" ht="12.5" spans="1:27">
      <c r="A16" t="s">
        <v>15</v>
      </c>
      <c r="B16" t="s">
        <v>4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 s="34"/>
      <c r="W16" s="34"/>
      <c r="X16" s="34"/>
      <c r="Y16" s="34"/>
      <c r="Z16" s="34"/>
      <c r="AA16" s="34"/>
    </row>
    <row r="17" ht="12.5" spans="1:27">
      <c r="A17" t="s">
        <v>16</v>
      </c>
      <c r="B17" t="s">
        <v>4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 s="34"/>
      <c r="W17" s="34"/>
      <c r="X17" s="34"/>
      <c r="Y17" s="34"/>
      <c r="Z17" s="34"/>
      <c r="AA17" s="34"/>
    </row>
    <row r="18" ht="12.5" spans="1:27">
      <c r="A18" t="s">
        <v>17</v>
      </c>
      <c r="B18" t="s">
        <v>4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 s="34"/>
      <c r="W18" s="34"/>
      <c r="X18" s="34"/>
      <c r="Y18" s="34"/>
      <c r="Z18" s="34"/>
      <c r="AA18" s="34"/>
    </row>
    <row r="19" ht="12.5" spans="1:27">
      <c r="A19" t="s">
        <v>18</v>
      </c>
      <c r="B19" t="s">
        <v>4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 s="34"/>
      <c r="W19" s="34"/>
      <c r="X19" s="34"/>
      <c r="Y19" s="34"/>
      <c r="Z19" s="34"/>
      <c r="AA19" s="34"/>
    </row>
    <row r="20" ht="12.5" spans="1:27">
      <c r="A20" t="s">
        <v>19</v>
      </c>
      <c r="B20" t="s">
        <v>4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 s="34"/>
      <c r="W20" s="34"/>
      <c r="X20" s="34"/>
      <c r="Y20" s="34"/>
      <c r="Z20" s="34"/>
      <c r="AA20" s="34"/>
    </row>
    <row r="21" ht="12.5" spans="1:27">
      <c r="A21" t="s">
        <v>20</v>
      </c>
      <c r="B21" t="s">
        <v>4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 s="34"/>
      <c r="W21" s="34"/>
      <c r="X21" s="34"/>
      <c r="Y21" s="34"/>
      <c r="Z21" s="34"/>
      <c r="AA21" s="34"/>
    </row>
    <row r="22" ht="12.5" spans="1:27">
      <c r="A22" t="s">
        <v>21</v>
      </c>
      <c r="B22" t="s">
        <v>4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 s="34"/>
      <c r="W22" s="34"/>
      <c r="X22" s="34"/>
      <c r="Y22" s="34"/>
      <c r="Z22" s="34"/>
      <c r="AA22" s="34"/>
    </row>
    <row r="23" ht="12.5" spans="1:27">
      <c r="A23" t="s">
        <v>22</v>
      </c>
      <c r="B23" t="s">
        <v>4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s="34"/>
      <c r="W23" s="34"/>
      <c r="X23" s="34"/>
      <c r="Y23" s="34"/>
      <c r="Z23" s="34"/>
      <c r="AA23" s="34"/>
    </row>
    <row r="24" ht="12.5" spans="1:27">
      <c r="A24" t="s">
        <v>23</v>
      </c>
      <c r="B24" t="s">
        <v>4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 s="34"/>
      <c r="W24" s="34"/>
      <c r="X24" s="34"/>
      <c r="Y24" s="34"/>
      <c r="Z24" s="34"/>
      <c r="AA24" s="34"/>
    </row>
    <row r="25" ht="12.5" spans="1:27">
      <c r="A25" t="s">
        <v>24</v>
      </c>
      <c r="B25" t="s">
        <v>4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 s="34"/>
      <c r="W25" s="34"/>
      <c r="X25" s="34"/>
      <c r="Y25" s="34"/>
      <c r="Z25" s="34"/>
      <c r="AA25" s="34"/>
    </row>
    <row r="26" ht="12.5" spans="1:27">
      <c r="A26" t="s">
        <v>25</v>
      </c>
      <c r="B26" t="s">
        <v>4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 s="34"/>
      <c r="W26" s="34"/>
      <c r="X26" s="34"/>
      <c r="Y26" s="34"/>
      <c r="Z26" s="34"/>
      <c r="AA26" s="34"/>
    </row>
    <row r="27" ht="12.5" spans="1:27">
      <c r="A27" t="s">
        <v>26</v>
      </c>
      <c r="B27" t="s">
        <v>4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 s="34"/>
      <c r="W27" s="34"/>
      <c r="X27" s="34"/>
      <c r="Y27" s="34"/>
      <c r="Z27" s="34"/>
      <c r="AA27" s="34"/>
    </row>
    <row r="28" ht="12.5" spans="1:27">
      <c r="A28" t="s">
        <v>27</v>
      </c>
      <c r="B28" t="s">
        <v>4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 s="34"/>
      <c r="W28" s="34"/>
      <c r="X28" s="34"/>
      <c r="Y28" s="34"/>
      <c r="Z28" s="34"/>
      <c r="AA28" s="34"/>
    </row>
    <row r="29" ht="12.5" spans="1:27">
      <c r="A29" t="s">
        <v>28</v>
      </c>
      <c r="B29" t="s">
        <v>4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 s="34"/>
      <c r="W29" s="34"/>
      <c r="X29" s="34"/>
      <c r="Y29" s="34"/>
      <c r="Z29" s="34"/>
      <c r="AA29" s="34"/>
    </row>
    <row r="30" ht="12.5" spans="1:27">
      <c r="A30" t="s">
        <v>29</v>
      </c>
      <c r="B30" t="s">
        <v>4</v>
      </c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12.5" spans="1:27">
      <c r="A31" t="s">
        <v>30</v>
      </c>
      <c r="B31" t="s">
        <v>4</v>
      </c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12.5" spans="1:27">
      <c r="A32" t="s">
        <v>31</v>
      </c>
      <c r="B32" t="s">
        <v>4</v>
      </c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12.5" spans="1:27">
      <c r="A33" t="s">
        <v>32</v>
      </c>
      <c r="B33" t="s">
        <v>4</v>
      </c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12.5" spans="1:27">
      <c r="A34" t="s">
        <v>33</v>
      </c>
      <c r="B34" t="s">
        <v>4</v>
      </c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12.5" spans="1:27">
      <c r="A35" s="59" t="s">
        <v>34</v>
      </c>
      <c r="B35" t="s">
        <v>4</v>
      </c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12.5" spans="1:27">
      <c r="A36" s="59" t="s">
        <v>35</v>
      </c>
      <c r="B36" t="s">
        <v>4</v>
      </c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2.5" spans="1:27">
      <c r="A37" s="59" t="s">
        <v>36</v>
      </c>
      <c r="B37" t="s">
        <v>4</v>
      </c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2.5" spans="1:27">
      <c r="A38" s="59" t="s">
        <v>37</v>
      </c>
      <c r="B38" t="s">
        <v>4</v>
      </c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12.5" spans="1:27">
      <c r="A39" s="59" t="s">
        <v>38</v>
      </c>
      <c r="B39" t="s">
        <v>4</v>
      </c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8:27"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8:27"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8:27"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8:27"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8:27"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8:27"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8:27"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8:27"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8:27"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8:27"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8:27"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spans="8:27"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spans="8:27"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8:27"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spans="8:27"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8:27"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spans="8:27"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spans="8:27"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spans="8:27"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spans="8:27"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spans="8:27"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spans="8:27"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spans="8:27"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spans="8:27"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spans="8:27"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spans="8:27"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spans="8:27"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spans="8:27"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spans="8:27"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spans="8:27"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spans="8:27"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spans="8:27"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spans="8:27"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spans="8:27"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spans="8:27"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8:27"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spans="8:27"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spans="8:27"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spans="8:27"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spans="8:27"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spans="8:27"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spans="8:27"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spans="8:27"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spans="8:27"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spans="8:27"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spans="8:27"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spans="8:27"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spans="8:27"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spans="8:27"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spans="8:27"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spans="8:27"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spans="8:27"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spans="8:27"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spans="8:27"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spans="8:27"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spans="8:27"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spans="8:27"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spans="8:27"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spans="8:27"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spans="8:27"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spans="8:27"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spans="8:27"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spans="8:27"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spans="8:27"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spans="8:27"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spans="8:27"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spans="8:27"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spans="8:27"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spans="8:27"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spans="8:27"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spans="8:27"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spans="8:27"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spans="8:27"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spans="8:27"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spans="8:27"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spans="8:27"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spans="8:27"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spans="8:27"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spans="8:27"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spans="8:27"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spans="8:27"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spans="8:27"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spans="8:27"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spans="8:27"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spans="8:27"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spans="8:27"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spans="8:27"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spans="8:27"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spans="8:27"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spans="8:27"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spans="8:27"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spans="8:27"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spans="8:27"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spans="8:27"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spans="8:27"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spans="8:27"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spans="8:27"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spans="8:27"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spans="8:27"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spans="8:27"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spans="8:27"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spans="8:27"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spans="8:27"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spans="8:27"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spans="8:27"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spans="8:27"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spans="8:27"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spans="8:27"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spans="8:27"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spans="8:27"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spans="8:27"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spans="8:27"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spans="8:27"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spans="8:27"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spans="8:27"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spans="8:27"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spans="8:27"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spans="8:27"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spans="8:27"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spans="8:27"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spans="8:27"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spans="8:27"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spans="8:27"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spans="8:27"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spans="8:27"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spans="8:27"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spans="8:27"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spans="8:27"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spans="8:27"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spans="8:27"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spans="8:27"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spans="8:27"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spans="8:27"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spans="8:27"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spans="8:27"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spans="8:27"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spans="8:27"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spans="8:27"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spans="8:27"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spans="8:27"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spans="8:27"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spans="8:27"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spans="8:27"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spans="8:27"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spans="8:27"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spans="8:27"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spans="8:27"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spans="8:27"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spans="8:27"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spans="8:27"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spans="8:27"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spans="8:27"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spans="8:27"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spans="8:27"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spans="8:27"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spans="8:27"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spans="8:27"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spans="8:27"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spans="8:27"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spans="8:27"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spans="8:27"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spans="8:27"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spans="8:27"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spans="8:27"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spans="8:27"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spans="8:27"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spans="8:27"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spans="8:27"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spans="8:27"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spans="8:27"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spans="8:27"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spans="8:27"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spans="8:27"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spans="8:27"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spans="8:27"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spans="8:27"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spans="8:27"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spans="8:27"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spans="8:27"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spans="8:27"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spans="8:27"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spans="8:27"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 spans="8:27"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 spans="8:27"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 spans="8:27"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 spans="8:27"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 spans="8:27"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 spans="8:27"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 spans="8:27"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 spans="8:27"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 spans="8:27"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 spans="8:27"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 spans="8:27"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 spans="8:27"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 spans="8:27"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 spans="8:27"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 spans="8:27"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 spans="8:27"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 spans="8:27"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 spans="8:27"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 spans="8:27"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 spans="8:27"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 spans="8:27"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 spans="8:27"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 spans="8:27"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 spans="8:27"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 spans="8:27"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 spans="8:27"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 spans="8:27"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 spans="8:27"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 spans="8:27"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 spans="8:27"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 spans="8:27"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 spans="8:27"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 spans="8:27"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 spans="8:27"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 spans="8:27"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 spans="8:27"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 spans="8:27"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 spans="8:27"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 spans="8:27"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 spans="8:27"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 spans="8:27"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 spans="8:27"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 spans="8:27"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 spans="8:27"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 spans="8:27"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 spans="8:27"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 spans="8:27"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 spans="8:27"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 spans="8:27"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 spans="8:27"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 spans="8:27"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 spans="8:27"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 spans="8:27"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 spans="8:27"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 spans="8:27"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 spans="8:27"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 spans="8:27"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 spans="8:27"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 spans="8:27"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 spans="8:27"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</sheetData>
  <pageMargins left="0.75" right="0.75" top="1" bottom="1" header="0.5" footer="0.5"/>
  <pageSetup paperSize="1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B154"/>
  <sheetViews>
    <sheetView zoomScale="65" zoomScaleNormal="65" topLeftCell="C29" workbookViewId="0">
      <selection activeCell="M66" sqref="M66"/>
    </sheetView>
  </sheetViews>
  <sheetFormatPr defaultColWidth="9" defaultRowHeight="12.5"/>
  <cols>
    <col min="2" max="2" width="21.3636363636364" customWidth="1"/>
    <col min="3" max="3" width="12.7272727272727" customWidth="1"/>
    <col min="4" max="5" width="22.0909090909091" customWidth="1"/>
    <col min="6" max="6" width="12" customWidth="1"/>
    <col min="7" max="7" width="13" customWidth="1"/>
    <col min="8" max="9" width="7.09090909090909" customWidth="1"/>
    <col min="10" max="10" width="10.6363636363636" customWidth="1"/>
    <col min="11" max="11" width="11.2727272727273" customWidth="1"/>
    <col min="12" max="12" width="15.6363636363636" customWidth="1"/>
    <col min="13" max="13" width="7.09090909090909" customWidth="1"/>
    <col min="14" max="14" width="17.8181818181818" customWidth="1"/>
    <col min="15" max="16" width="12.8181818181818" customWidth="1"/>
    <col min="17" max="18" width="7.09090909090909" customWidth="1"/>
    <col min="19" max="19" width="12.7272727272727" customWidth="1"/>
    <col min="20" max="20" width="8.63636363636364" customWidth="1"/>
    <col min="21" max="21" width="7.81818181818182" customWidth="1"/>
    <col min="22" max="24" width="7.09090909090909" customWidth="1"/>
    <col min="25" max="25" width="9.63636363636364" customWidth="1"/>
    <col min="26" max="26" width="17.8181818181818" customWidth="1"/>
    <col min="27" max="27" width="9.81818181818182" customWidth="1"/>
    <col min="28" max="32" width="7.09090909090909" customWidth="1"/>
    <col min="33" max="33" width="10.8181818181818" customWidth="1"/>
    <col min="34" max="34" width="11.0909090909091" customWidth="1"/>
    <col min="35" max="37" width="6" customWidth="1"/>
    <col min="38" max="39" width="15.6363636363636" customWidth="1"/>
    <col min="40" max="40" width="22.6363636363636" customWidth="1"/>
    <col min="41" max="41" width="13.6363636363636" customWidth="1"/>
    <col min="42" max="43" width="6" customWidth="1"/>
    <col min="44" max="44" width="8.36363636363636" customWidth="1"/>
    <col min="45" max="45" width="10.3636363636364" customWidth="1"/>
    <col min="46" max="49" width="6" customWidth="1"/>
    <col min="50" max="50" width="12.2727272727273" customWidth="1"/>
    <col min="51" max="51" width="13.6363636363636" customWidth="1"/>
  </cols>
  <sheetData>
    <row r="2" spans="2:16">
      <c r="B2" s="34" t="s">
        <v>39</v>
      </c>
      <c r="C2" s="34"/>
      <c r="D2" s="34"/>
      <c r="E2" s="34"/>
      <c r="K2" t="s">
        <v>40</v>
      </c>
      <c r="P2" t="s">
        <v>40</v>
      </c>
    </row>
    <row r="3" spans="2:19">
      <c r="B3" s="35" t="s">
        <v>41</v>
      </c>
      <c r="C3" s="35" t="s">
        <v>42</v>
      </c>
      <c r="D3" s="35" t="s">
        <v>43</v>
      </c>
      <c r="E3" s="35" t="s">
        <v>44</v>
      </c>
      <c r="K3" t="s">
        <v>45</v>
      </c>
      <c r="L3" t="s">
        <v>46</v>
      </c>
      <c r="M3" t="s">
        <v>47</v>
      </c>
      <c r="P3" t="s">
        <v>48</v>
      </c>
      <c r="Q3" t="s">
        <v>49</v>
      </c>
      <c r="R3" t="s">
        <v>50</v>
      </c>
      <c r="S3" t="s">
        <v>46</v>
      </c>
    </row>
    <row r="4" spans="2:19">
      <c r="B4" s="34" t="s">
        <v>51</v>
      </c>
      <c r="C4" s="34" t="s">
        <v>52</v>
      </c>
      <c r="D4" s="34" t="s">
        <v>53</v>
      </c>
      <c r="E4" s="34" t="s">
        <v>54</v>
      </c>
      <c r="K4" t="s">
        <v>55</v>
      </c>
      <c r="L4" t="s">
        <v>56</v>
      </c>
      <c r="M4" t="s">
        <v>57</v>
      </c>
      <c r="P4" t="s">
        <v>58</v>
      </c>
      <c r="Q4" t="s">
        <v>59</v>
      </c>
      <c r="R4" t="s">
        <v>60</v>
      </c>
      <c r="S4" t="s">
        <v>61</v>
      </c>
    </row>
    <row r="5" spans="2:13">
      <c r="B5" s="34" t="s">
        <v>51</v>
      </c>
      <c r="C5" s="34" t="s">
        <v>62</v>
      </c>
      <c r="D5" s="34" t="s">
        <v>53</v>
      </c>
      <c r="E5" s="34" t="s">
        <v>54</v>
      </c>
      <c r="K5" t="s">
        <v>63</v>
      </c>
      <c r="L5" t="s">
        <v>56</v>
      </c>
      <c r="M5" t="s">
        <v>64</v>
      </c>
    </row>
    <row r="6" spans="11:13">
      <c r="K6" t="s">
        <v>65</v>
      </c>
      <c r="L6" t="s">
        <v>56</v>
      </c>
      <c r="M6" t="s">
        <v>66</v>
      </c>
    </row>
    <row r="7" spans="11:13">
      <c r="K7" t="s">
        <v>67</v>
      </c>
      <c r="L7" t="s">
        <v>56</v>
      </c>
      <c r="M7" t="s">
        <v>68</v>
      </c>
    </row>
    <row r="8" spans="2:13">
      <c r="B8" t="s">
        <v>69</v>
      </c>
      <c r="K8" t="s">
        <v>70</v>
      </c>
      <c r="L8" t="s">
        <v>56</v>
      </c>
      <c r="M8" t="s">
        <v>59</v>
      </c>
    </row>
    <row r="9" spans="2:13"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K9" t="s">
        <v>78</v>
      </c>
      <c r="L9" t="s">
        <v>56</v>
      </c>
      <c r="M9" t="s">
        <v>68</v>
      </c>
    </row>
    <row r="10" spans="2:13">
      <c r="B10" t="s">
        <v>79</v>
      </c>
      <c r="C10" t="s">
        <v>80</v>
      </c>
      <c r="E10" t="s">
        <v>59</v>
      </c>
      <c r="F10">
        <v>0.25</v>
      </c>
      <c r="G10" t="s">
        <v>81</v>
      </c>
      <c r="K10" t="s">
        <v>80</v>
      </c>
      <c r="L10" t="s">
        <v>56</v>
      </c>
      <c r="M10" t="s">
        <v>59</v>
      </c>
    </row>
    <row r="11" spans="2:8">
      <c r="B11" t="s">
        <v>79</v>
      </c>
      <c r="C11" t="s">
        <v>80</v>
      </c>
      <c r="E11" t="s">
        <v>59</v>
      </c>
      <c r="F11">
        <v>3</v>
      </c>
      <c r="G11" t="s">
        <v>81</v>
      </c>
      <c r="H11">
        <v>0</v>
      </c>
    </row>
    <row r="12" spans="2:11">
      <c r="B12" t="s">
        <v>82</v>
      </c>
      <c r="D12" t="s">
        <v>83</v>
      </c>
      <c r="E12" t="s">
        <v>84</v>
      </c>
      <c r="F12">
        <v>0.93</v>
      </c>
      <c r="K12" t="s">
        <v>85</v>
      </c>
    </row>
    <row r="13" spans="2:14">
      <c r="B13" t="s">
        <v>86</v>
      </c>
      <c r="C13" t="s">
        <v>53</v>
      </c>
      <c r="F13">
        <v>25</v>
      </c>
      <c r="K13" t="s">
        <v>71</v>
      </c>
      <c r="L13" t="s">
        <v>75</v>
      </c>
      <c r="M13" t="s">
        <v>87</v>
      </c>
      <c r="N13" t="s">
        <v>88</v>
      </c>
    </row>
    <row r="14" spans="2:14">
      <c r="B14" t="s">
        <v>89</v>
      </c>
      <c r="C14" t="s">
        <v>53</v>
      </c>
      <c r="E14" s="60" t="s">
        <v>90</v>
      </c>
      <c r="F14">
        <v>2020</v>
      </c>
      <c r="K14" t="s">
        <v>91</v>
      </c>
      <c r="L14" t="s">
        <v>92</v>
      </c>
      <c r="M14" t="s">
        <v>93</v>
      </c>
      <c r="N14" t="s">
        <v>53</v>
      </c>
    </row>
    <row r="15" spans="11:14">
      <c r="K15" t="s">
        <v>91</v>
      </c>
      <c r="L15" t="s">
        <v>94</v>
      </c>
      <c r="M15" t="s">
        <v>93</v>
      </c>
      <c r="N15" t="s">
        <v>70</v>
      </c>
    </row>
    <row r="16" spans="2:2">
      <c r="B16" t="s">
        <v>95</v>
      </c>
    </row>
    <row r="17" spans="2:7">
      <c r="B17" t="s">
        <v>48</v>
      </c>
      <c r="C17">
        <v>2020</v>
      </c>
      <c r="D17">
        <v>0</v>
      </c>
      <c r="E17" t="s">
        <v>96</v>
      </c>
      <c r="F17" t="s">
        <v>47</v>
      </c>
      <c r="G17" t="s">
        <v>97</v>
      </c>
    </row>
    <row r="18" spans="2:7">
      <c r="B18" s="60" t="s">
        <v>90</v>
      </c>
      <c r="C18">
        <v>0.2</v>
      </c>
      <c r="D18">
        <v>3</v>
      </c>
      <c r="E18" s="60" t="s">
        <v>98</v>
      </c>
      <c r="F18" t="s">
        <v>53</v>
      </c>
      <c r="G18" t="s">
        <v>99</v>
      </c>
    </row>
    <row r="21" spans="3:3">
      <c r="C21" t="s">
        <v>69</v>
      </c>
    </row>
    <row r="22" spans="3:50">
      <c r="C22" t="s">
        <v>71</v>
      </c>
      <c r="D22" t="str">
        <f>IF(RoadTra_BY!L$1="","\I:",RoadTra_BY!L$1)</f>
        <v>valfield</v>
      </c>
      <c r="E22" t="str">
        <f>IF(RoadTra_BY!M$1="","\I:",RoadTra_BY!M$1)</f>
        <v>\I:</v>
      </c>
      <c r="F22" t="str">
        <f>IF(RoadTra_BY!N$1="","\I:",RoadTra_BY!N$1)</f>
        <v>\I:</v>
      </c>
      <c r="G22" t="str">
        <f>IF(RoadTra_BY!O$1="","\I:",RoadTra_BY!O$1)</f>
        <v>\I:</v>
      </c>
      <c r="H22" t="str">
        <f>IF(RoadTra_BY!P$1="","\I:",RoadTra_BY!P$1)</f>
        <v>\I:</v>
      </c>
      <c r="I22" t="str">
        <f>IF(RoadTra_BY!Q$1="","\I:",RoadTra_BY!Q$1)</f>
        <v>\I:</v>
      </c>
      <c r="J22" t="str">
        <f>IF(RoadTra_BY!R$1="","\I:",RoadTra_BY!R$1)</f>
        <v>\I:</v>
      </c>
      <c r="K22" t="str">
        <f>IF(RoadTra_BY!S$1="","\I:",RoadTra_BY!S$1)</f>
        <v>\I:</v>
      </c>
      <c r="L22" t="str">
        <f>IF(RoadTra_BY!T$1="","\I:",RoadTra_BY!T$1)</f>
        <v>\I:</v>
      </c>
      <c r="M22" t="str">
        <f>IF(RoadTra_BY!U$1="","\I:",RoadTra_BY!U$1)</f>
        <v>\I:</v>
      </c>
      <c r="N22" t="str">
        <f>IF(RoadTra_BY!V$1="","\I:",RoadTra_BY!V$1)</f>
        <v>\I:</v>
      </c>
      <c r="O22" t="str">
        <f>IF(RoadTra_BY!W$1="","\I:",RoadTra_BY!W$1)</f>
        <v>\I:</v>
      </c>
      <c r="P22" t="str">
        <f>IF(RoadTra_BY!X$1="","\I:",RoadTra_BY!X$1)</f>
        <v>\I:</v>
      </c>
      <c r="Q22" t="str">
        <f>IF(RoadTra_BY!Y$1="","\I:",RoadTra_BY!Y$1)</f>
        <v>\I:</v>
      </c>
      <c r="R22" t="str">
        <f>IF(RoadTra_BY!Z$1="","\I:",RoadTra_BY!Z$1)</f>
        <v>\I:</v>
      </c>
      <c r="S22" t="str">
        <f>IF(RoadTra_BY!AA$1="","\I:",RoadTra_BY!AA$1)</f>
        <v>\I:</v>
      </c>
      <c r="T22" t="str">
        <f>IF(RoadTra_BY!AB$1="","\I:",RoadTra_BY!AB$1)</f>
        <v>\I:</v>
      </c>
      <c r="U22" t="str">
        <f>IF(RoadTra_BY!AC$1="","\I:",RoadTra_BY!AC$1)</f>
        <v>\I:</v>
      </c>
      <c r="V22" t="str">
        <f>IF(RoadTra_BY!AD$1="","\I:",RoadTra_BY!AD$1)</f>
        <v>\I:</v>
      </c>
      <c r="W22" t="str">
        <f>IF(RoadTra_BY!AE$1="","\I:",RoadTra_BY!AE$1)</f>
        <v>\I:</v>
      </c>
      <c r="X22" t="str">
        <f>IF(RoadTra_BY!AF$1="","\I:",RoadTra_BY!AF$1)</f>
        <v>\I:</v>
      </c>
      <c r="Y22" t="str">
        <f>IF(RoadTra_BY!AG$1="","\I:",RoadTra_BY!AG$1)</f>
        <v>\I:</v>
      </c>
      <c r="Z22" t="str">
        <f>IF(RoadTra_BY!AH$1="","\I:",RoadTra_BY!AH$1)</f>
        <v>\I:</v>
      </c>
      <c r="AA22" t="str">
        <f>IF(RoadTra_BY!AI$1="","\I:",RoadTra_BY!AI$1)</f>
        <v>\I:</v>
      </c>
      <c r="AB22" t="str">
        <f>IF(RoadTra_BY!AJ$1="","\I:",RoadTra_BY!AJ$1)</f>
        <v>\I:</v>
      </c>
      <c r="AC22" t="str">
        <f>IF(RoadTra_BY!AK$1="","\I:",RoadTra_BY!AK$1)</f>
        <v>\I:</v>
      </c>
      <c r="AD22" t="str">
        <f>IF(RoadTra_BY!AL$1="","\I:",RoadTra_BY!AL$1)</f>
        <v>\I:</v>
      </c>
      <c r="AE22" t="str">
        <f>IF(RoadTra_BY!AM$1="","\I:",RoadTra_BY!AM$1)</f>
        <v>\I:</v>
      </c>
      <c r="AF22" t="str">
        <f>IF(RoadTra_BY!AN$1="","\I:",RoadTra_BY!AN$1)</f>
        <v>\I:</v>
      </c>
      <c r="AG22" t="str">
        <f>IF(RoadTra_BY!AO$1="","\I:",RoadTra_BY!AO$1)</f>
        <v>\I:</v>
      </c>
      <c r="AH22" t="str">
        <f>IF(RoadTra_BY!AP$1="","\I:",RoadTra_BY!AP$1)</f>
        <v>\I:</v>
      </c>
      <c r="AI22" t="str">
        <f>IF(RoadTra_BY!AQ$1="","\I:",RoadTra_BY!AQ$1)</f>
        <v>\I:</v>
      </c>
      <c r="AJ22" t="str">
        <f>IF(RoadTra_BY!AR$1="","\I:",RoadTra_BY!AR$1)</f>
        <v>\I:</v>
      </c>
      <c r="AK22" t="str">
        <f>IF(RoadTra_BY!AS$1="","\I:",RoadTra_BY!AS$1)</f>
        <v>\I:</v>
      </c>
      <c r="AL22" t="str">
        <f>IF(RoadTra_BY!AT$1="","\I:",RoadTra_BY!AT$1)</f>
        <v>\I:</v>
      </c>
      <c r="AM22" t="str">
        <f>IF(RoadTra_BY!AU$1="","\I:",RoadTra_BY!AU$1)</f>
        <v>\I:</v>
      </c>
      <c r="AN22" t="str">
        <f>IF(RoadTra_BY!AV$1="","\I:",RoadTra_BY!AV$1)</f>
        <v>\I:</v>
      </c>
      <c r="AO22" t="str">
        <f>IF(RoadTra_BY!AW$1="","\I:",RoadTra_BY!AW$1)</f>
        <v>\I:</v>
      </c>
      <c r="AP22" t="str">
        <f>IF(RoadTra_BY!AX$1="","\I:",RoadTra_BY!AX$1)</f>
        <v>\I:</v>
      </c>
      <c r="AQ22" t="str">
        <f>IF(RoadTra_BY!AY$1="","\I:",RoadTra_BY!AY$1)</f>
        <v>\I:</v>
      </c>
      <c r="AR22" t="str">
        <f>IF(RoadTra_BY!AZ$1="","\I:",RoadTra_BY!AZ$1)</f>
        <v>\I:</v>
      </c>
      <c r="AS22" t="str">
        <f>IF(RoadTra_BY!BA$1="","\I:",RoadTra_BY!BA$1)</f>
        <v>\I:</v>
      </c>
      <c r="AT22" t="str">
        <f>IF(RoadTra_BY!BB$1="","\I:",RoadTra_BY!BB$1)</f>
        <v>\I:</v>
      </c>
      <c r="AU22" t="str">
        <f>IF(RoadTra_BY!BC$1="","\I:",RoadTra_BY!BC$1)</f>
        <v>\I:</v>
      </c>
      <c r="AV22" t="str">
        <f>IF(RoadTra_BY!BD$1="","\I:",RoadTra_BY!BD$1)</f>
        <v>\I:</v>
      </c>
      <c r="AW22" t="str">
        <f>IF(RoadTra_BY!BE$1="","\I:",RoadTra_BY!BE$1)</f>
        <v>\I:</v>
      </c>
      <c r="AX22" t="s">
        <v>45</v>
      </c>
    </row>
    <row r="23" spans="3:50">
      <c r="C23" t="s">
        <v>52</v>
      </c>
      <c r="D23" s="36" t="e">
        <f>AVERAGEIFS(RoadTra_BY!L$2:L$999,RoadTra_BY!$B$2:$B$999,'Road transport'!$C23,RoadTra_BY!$C$2:$C$999,'Road transport'!$AX23)</f>
        <v>#DIV/0!</v>
      </c>
      <c r="E23" s="36" t="e">
        <f>AVERAGEIFS(RoadTra_BY!M$2:M$999,RoadTra_BY!$B$2:$B$999,'Road transport'!$C23,RoadTra_BY!$C$2:$C$999,'Road transport'!$AX23)</f>
        <v>#DIV/0!</v>
      </c>
      <c r="F23" s="36" t="e">
        <f>AVERAGEIFS(RoadTra_BY!N$2:N$999,RoadTra_BY!$B$2:$B$999,'Road transport'!$C23,RoadTra_BY!$C$2:$C$999,'Road transport'!$AX23)</f>
        <v>#DIV/0!</v>
      </c>
      <c r="G23" s="36" t="e">
        <f>AVERAGEIFS(RoadTra_BY!O$2:O$999,RoadTra_BY!$B$2:$B$999,'Road transport'!$C23,RoadTra_BY!$C$2:$C$999,'Road transport'!$AX23)</f>
        <v>#DIV/0!</v>
      </c>
      <c r="H23" s="36" t="e">
        <f>AVERAGEIFS(RoadTra_BY!P$2:P$999,RoadTra_BY!$B$2:$B$999,'Road transport'!$C23,RoadTra_BY!$C$2:$C$999,'Road transport'!$AX23)</f>
        <v>#DIV/0!</v>
      </c>
      <c r="I23" s="36" t="e">
        <f>AVERAGEIFS(RoadTra_BY!Q$2:Q$999,RoadTra_BY!$B$2:$B$999,'Road transport'!$C23,RoadTra_BY!$C$2:$C$999,'Road transport'!$AX23)</f>
        <v>#DIV/0!</v>
      </c>
      <c r="J23" s="36" t="e">
        <f>AVERAGEIFS(RoadTra_BY!R$2:R$999,RoadTra_BY!$B$2:$B$999,'Road transport'!$C23,RoadTra_BY!$C$2:$C$999,'Road transport'!$AX23)</f>
        <v>#DIV/0!</v>
      </c>
      <c r="K23" s="36" t="e">
        <f>AVERAGEIFS(RoadTra_BY!S$2:S$999,RoadTra_BY!$B$2:$B$999,'Road transport'!$C23,RoadTra_BY!$C$2:$C$999,'Road transport'!$AX23)</f>
        <v>#DIV/0!</v>
      </c>
      <c r="L23" s="36" t="e">
        <f>AVERAGEIFS(RoadTra_BY!T$2:T$999,RoadTra_BY!$B$2:$B$999,'Road transport'!$C23,RoadTra_BY!$C$2:$C$999,'Road transport'!$AX23)</f>
        <v>#DIV/0!</v>
      </c>
      <c r="M23" s="36" t="e">
        <f>AVERAGEIFS(RoadTra_BY!U$2:U$999,RoadTra_BY!$B$2:$B$999,'Road transport'!$C23,RoadTra_BY!$C$2:$C$999,'Road transport'!$AX23)</f>
        <v>#DIV/0!</v>
      </c>
      <c r="N23" s="36" t="e">
        <f>AVERAGEIFS(RoadTra_BY!V$2:V$999,RoadTra_BY!$B$2:$B$999,'Road transport'!$C23,RoadTra_BY!$C$2:$C$999,'Road transport'!$AX23)</f>
        <v>#DIV/0!</v>
      </c>
      <c r="O23" s="36" t="e">
        <f>AVERAGEIFS(RoadTra_BY!W$2:W$999,RoadTra_BY!$B$2:$B$999,'Road transport'!$C23,RoadTra_BY!$C$2:$C$999,'Road transport'!$AX23)</f>
        <v>#DIV/0!</v>
      </c>
      <c r="P23" s="36" t="e">
        <f>AVERAGEIFS(RoadTra_BY!X$2:X$999,RoadTra_BY!$B$2:$B$999,'Road transport'!$C23,RoadTra_BY!$C$2:$C$999,'Road transport'!$AX23)</f>
        <v>#DIV/0!</v>
      </c>
      <c r="Q23" s="36" t="e">
        <f>AVERAGEIFS(RoadTra_BY!Y$2:Y$999,RoadTra_BY!$B$2:$B$999,'Road transport'!$C23,RoadTra_BY!$C$2:$C$999,'Road transport'!$AX23)</f>
        <v>#DIV/0!</v>
      </c>
      <c r="R23" s="36" t="e">
        <f>AVERAGEIFS(RoadTra_BY!Z$2:Z$999,RoadTra_BY!$B$2:$B$999,'Road transport'!$C23,RoadTra_BY!$C$2:$C$999,'Road transport'!$AX23)</f>
        <v>#DIV/0!</v>
      </c>
      <c r="S23" s="36" t="e">
        <f>AVERAGEIFS(RoadTra_BY!AA$2:AA$999,RoadTra_BY!$B$2:$B$999,'Road transport'!$C23,RoadTra_BY!$C$2:$C$999,'Road transport'!$AX23)</f>
        <v>#DIV/0!</v>
      </c>
      <c r="T23" s="36" t="e">
        <f>AVERAGEIFS(RoadTra_BY!AB$2:AB$999,RoadTra_BY!$B$2:$B$999,'Road transport'!$C23,RoadTra_BY!$C$2:$C$999,'Road transport'!$AX23)</f>
        <v>#DIV/0!</v>
      </c>
      <c r="U23" s="36" t="e">
        <f>AVERAGEIFS(RoadTra_BY!AC$2:AC$999,RoadTra_BY!$B$2:$B$999,'Road transport'!$C23,RoadTra_BY!$C$2:$C$999,'Road transport'!$AX23)</f>
        <v>#DIV/0!</v>
      </c>
      <c r="V23" s="36" t="e">
        <f>AVERAGEIFS(RoadTra_BY!AD$2:AD$999,RoadTra_BY!$B$2:$B$999,'Road transport'!$C23,RoadTra_BY!$C$2:$C$999,'Road transport'!$AX23)</f>
        <v>#DIV/0!</v>
      </c>
      <c r="W23" s="36" t="e">
        <f>AVERAGEIFS(RoadTra_BY!AE$2:AE$999,RoadTra_BY!$B$2:$B$999,'Road transport'!$C23,RoadTra_BY!$C$2:$C$999,'Road transport'!$AX23)</f>
        <v>#DIV/0!</v>
      </c>
      <c r="X23" s="36" t="e">
        <f>AVERAGEIFS(RoadTra_BY!AF$2:AF$999,RoadTra_BY!$B$2:$B$999,'Road transport'!$C23,RoadTra_BY!$C$2:$C$999,'Road transport'!$AX23)</f>
        <v>#DIV/0!</v>
      </c>
      <c r="Y23" s="36" t="e">
        <f>AVERAGEIFS(RoadTra_BY!AG$2:AG$999,RoadTra_BY!$B$2:$B$999,'Road transport'!$C23,RoadTra_BY!$C$2:$C$999,'Road transport'!$AX23)</f>
        <v>#DIV/0!</v>
      </c>
      <c r="Z23" s="36" t="e">
        <f>AVERAGEIFS(RoadTra_BY!AH$2:AH$999,RoadTra_BY!$B$2:$B$999,'Road transport'!$C23,RoadTra_BY!$C$2:$C$999,'Road transport'!$AX23)</f>
        <v>#DIV/0!</v>
      </c>
      <c r="AA23" s="36" t="e">
        <f>AVERAGEIFS(RoadTra_BY!AI$2:AI$999,RoadTra_BY!$B$2:$B$999,'Road transport'!$C23,RoadTra_BY!$C$2:$C$999,'Road transport'!$AX23)</f>
        <v>#DIV/0!</v>
      </c>
      <c r="AB23" s="36" t="e">
        <f>AVERAGEIFS(RoadTra_BY!AJ$2:AJ$999,RoadTra_BY!$B$2:$B$999,'Road transport'!$C23,RoadTra_BY!$C$2:$C$999,'Road transport'!$AX23)</f>
        <v>#DIV/0!</v>
      </c>
      <c r="AC23" s="36" t="e">
        <f>AVERAGEIFS(RoadTra_BY!AK$2:AK$999,RoadTra_BY!$B$2:$B$999,'Road transport'!$C23,RoadTra_BY!$C$2:$C$999,'Road transport'!$AX23)</f>
        <v>#DIV/0!</v>
      </c>
      <c r="AD23" s="36" t="e">
        <f>AVERAGEIFS(RoadTra_BY!AL$2:AL$999,RoadTra_BY!$B$2:$B$999,'Road transport'!$C23,RoadTra_BY!$C$2:$C$999,'Road transport'!$AX23)</f>
        <v>#DIV/0!</v>
      </c>
      <c r="AE23" s="36" t="e">
        <f>AVERAGEIFS(RoadTra_BY!AM$2:AM$999,RoadTra_BY!$B$2:$B$999,'Road transport'!$C23,RoadTra_BY!$C$2:$C$999,'Road transport'!$AX23)</f>
        <v>#DIV/0!</v>
      </c>
      <c r="AF23" s="36" t="e">
        <f>AVERAGEIFS(RoadTra_BY!AN$2:AN$999,RoadTra_BY!$B$2:$B$999,'Road transport'!$C23,RoadTra_BY!$C$2:$C$999,'Road transport'!$AX23)</f>
        <v>#DIV/0!</v>
      </c>
      <c r="AG23" s="36" t="e">
        <f>AVERAGEIFS(RoadTra_BY!AO$2:AO$999,RoadTra_BY!$B$2:$B$999,'Road transport'!$C23,RoadTra_BY!$C$2:$C$999,'Road transport'!$AX23)</f>
        <v>#DIV/0!</v>
      </c>
      <c r="AH23" s="36" t="e">
        <f>AVERAGEIFS(RoadTra_BY!AP$2:AP$999,RoadTra_BY!$B$2:$B$999,'Road transport'!$C23,RoadTra_BY!$C$2:$C$999,'Road transport'!$AX23)</f>
        <v>#DIV/0!</v>
      </c>
      <c r="AI23" s="36" t="e">
        <f>AVERAGEIFS(RoadTra_BY!AQ$2:AQ$999,RoadTra_BY!$B$2:$B$999,'Road transport'!$C23,RoadTra_BY!$C$2:$C$999,'Road transport'!$AX23)</f>
        <v>#DIV/0!</v>
      </c>
      <c r="AJ23" s="36" t="e">
        <f>AVERAGEIFS(RoadTra_BY!AR$2:AR$999,RoadTra_BY!$B$2:$B$999,'Road transport'!$C23,RoadTra_BY!$C$2:$C$999,'Road transport'!$AX23)</f>
        <v>#DIV/0!</v>
      </c>
      <c r="AK23" s="36" t="e">
        <f>AVERAGEIFS(RoadTra_BY!AS$2:AS$999,RoadTra_BY!$B$2:$B$999,'Road transport'!$C23,RoadTra_BY!$C$2:$C$999,'Road transport'!$AX23)</f>
        <v>#DIV/0!</v>
      </c>
      <c r="AL23" s="36" t="e">
        <f>AVERAGEIFS(RoadTra_BY!AT$2:AT$999,RoadTra_BY!$B$2:$B$999,'Road transport'!$C23,RoadTra_BY!$C$2:$C$999,'Road transport'!$AX23)</f>
        <v>#DIV/0!</v>
      </c>
      <c r="AM23" s="36" t="e">
        <f>AVERAGEIFS(RoadTra_BY!AU$2:AU$999,RoadTra_BY!$B$2:$B$999,'Road transport'!$C23,RoadTra_BY!$C$2:$C$999,'Road transport'!$AX23)</f>
        <v>#DIV/0!</v>
      </c>
      <c r="AN23" s="36" t="e">
        <f>AVERAGEIFS(RoadTra_BY!AV$2:AV$999,RoadTra_BY!$B$2:$B$999,'Road transport'!$C23,RoadTra_BY!$C$2:$C$999,'Road transport'!$AX23)</f>
        <v>#DIV/0!</v>
      </c>
      <c r="AO23" s="36" t="e">
        <f>AVERAGEIFS(RoadTra_BY!AW$2:AW$999,RoadTra_BY!$B$2:$B$999,'Road transport'!$C23,RoadTra_BY!$C$2:$C$999,'Road transport'!$AX23)</f>
        <v>#DIV/0!</v>
      </c>
      <c r="AP23" s="36" t="e">
        <f>AVERAGEIFS(RoadTra_BY!AX$2:AX$999,RoadTra_BY!$B$2:$B$999,'Road transport'!$C23,RoadTra_BY!$C$2:$C$999,'Road transport'!$AX23)</f>
        <v>#DIV/0!</v>
      </c>
      <c r="AQ23" s="36" t="e">
        <f>AVERAGEIFS(RoadTra_BY!AY$2:AY$999,RoadTra_BY!$B$2:$B$999,'Road transport'!$C23,RoadTra_BY!$C$2:$C$999,'Road transport'!$AX23)</f>
        <v>#DIV/0!</v>
      </c>
      <c r="AR23" s="36" t="e">
        <f>AVERAGEIFS(RoadTra_BY!AZ$2:AZ$999,RoadTra_BY!$B$2:$B$999,'Road transport'!$C23,RoadTra_BY!$C$2:$C$999,'Road transport'!$AX23)</f>
        <v>#DIV/0!</v>
      </c>
      <c r="AS23" s="36" t="e">
        <f>AVERAGEIFS(RoadTra_BY!BA$2:BA$999,RoadTra_BY!$B$2:$B$999,'Road transport'!$C23,RoadTra_BY!$C$2:$C$999,'Road transport'!$AX23)</f>
        <v>#DIV/0!</v>
      </c>
      <c r="AT23" s="36" t="e">
        <f>AVERAGEIFS(RoadTra_BY!BB$2:BB$999,RoadTra_BY!$B$2:$B$999,'Road transport'!$C23,RoadTra_BY!$C$2:$C$999,'Road transport'!$AX23)</f>
        <v>#DIV/0!</v>
      </c>
      <c r="AU23" s="36" t="e">
        <f>AVERAGEIFS(RoadTra_BY!BC$2:BC$999,RoadTra_BY!$B$2:$B$999,'Road transport'!$C23,RoadTra_BY!$C$2:$C$999,'Road transport'!$AX23)</f>
        <v>#DIV/0!</v>
      </c>
      <c r="AV23" s="36" t="e">
        <f>AVERAGEIFS(RoadTra_BY!BD$2:BD$999,RoadTra_BY!$B$2:$B$999,'Road transport'!$C23,RoadTra_BY!$C$2:$C$999,'Road transport'!$AX23)</f>
        <v>#DIV/0!</v>
      </c>
      <c r="AW23" s="36" t="e">
        <f>AVERAGEIFS(RoadTra_BY!BE$2:BE$999,RoadTra_BY!$B$2:$B$999,'Road transport'!$C23,RoadTra_BY!$C$2:$C$999,'Road transport'!$AX23)</f>
        <v>#DIV/0!</v>
      </c>
      <c r="AX23" t="s">
        <v>100</v>
      </c>
    </row>
    <row r="24" spans="3:50">
      <c r="C24" t="s">
        <v>52</v>
      </c>
      <c r="D24" s="36" t="e">
        <f>AVERAGEIFS(RoadTra_BY!L$2:L$999,RoadTra_BY!$B$2:$B$999,'Road transport'!$C24,RoadTra_BY!$C$2:$C$999,'Road transport'!$AX24)</f>
        <v>#DIV/0!</v>
      </c>
      <c r="E24" s="36" t="e">
        <f>AVERAGEIFS(RoadTra_BY!M$2:M$999,RoadTra_BY!$B$2:$B$999,'Road transport'!$C24,RoadTra_BY!$C$2:$C$999,'Road transport'!$AX24)</f>
        <v>#DIV/0!</v>
      </c>
      <c r="F24" s="36" t="e">
        <f>AVERAGEIFS(RoadTra_BY!N$2:N$999,RoadTra_BY!$B$2:$B$999,'Road transport'!$C24,RoadTra_BY!$C$2:$C$999,'Road transport'!$AX24)</f>
        <v>#DIV/0!</v>
      </c>
      <c r="G24" s="36" t="e">
        <f>AVERAGEIFS(RoadTra_BY!O$2:O$999,RoadTra_BY!$B$2:$B$999,'Road transport'!$C24,RoadTra_BY!$C$2:$C$999,'Road transport'!$AX24)</f>
        <v>#DIV/0!</v>
      </c>
      <c r="H24" s="36" t="e">
        <f>AVERAGEIFS(RoadTra_BY!P$2:P$999,RoadTra_BY!$B$2:$B$999,'Road transport'!$C24,RoadTra_BY!$C$2:$C$999,'Road transport'!$AX24)</f>
        <v>#DIV/0!</v>
      </c>
      <c r="I24" s="36" t="e">
        <f>AVERAGEIFS(RoadTra_BY!Q$2:Q$999,RoadTra_BY!$B$2:$B$999,'Road transport'!$C24,RoadTra_BY!$C$2:$C$999,'Road transport'!$AX24)</f>
        <v>#DIV/0!</v>
      </c>
      <c r="J24" s="36" t="e">
        <f>AVERAGEIFS(RoadTra_BY!R$2:R$999,RoadTra_BY!$B$2:$B$999,'Road transport'!$C24,RoadTra_BY!$C$2:$C$999,'Road transport'!$AX24)</f>
        <v>#DIV/0!</v>
      </c>
      <c r="K24" s="36" t="e">
        <f>AVERAGEIFS(RoadTra_BY!S$2:S$999,RoadTra_BY!$B$2:$B$999,'Road transport'!$C24,RoadTra_BY!$C$2:$C$999,'Road transport'!$AX24)</f>
        <v>#DIV/0!</v>
      </c>
      <c r="L24" s="36" t="e">
        <f>AVERAGEIFS(RoadTra_BY!T$2:T$999,RoadTra_BY!$B$2:$B$999,'Road transport'!$C24,RoadTra_BY!$C$2:$C$999,'Road transport'!$AX24)</f>
        <v>#DIV/0!</v>
      </c>
      <c r="M24" s="36" t="e">
        <f>AVERAGEIFS(RoadTra_BY!U$2:U$999,RoadTra_BY!$B$2:$B$999,'Road transport'!$C24,RoadTra_BY!$C$2:$C$999,'Road transport'!$AX24)</f>
        <v>#DIV/0!</v>
      </c>
      <c r="N24" s="36" t="e">
        <f>AVERAGEIFS(RoadTra_BY!V$2:V$999,RoadTra_BY!$B$2:$B$999,'Road transport'!$C24,RoadTra_BY!$C$2:$C$999,'Road transport'!$AX24)</f>
        <v>#DIV/0!</v>
      </c>
      <c r="O24" s="36" t="e">
        <f>AVERAGEIFS(RoadTra_BY!W$2:W$999,RoadTra_BY!$B$2:$B$999,'Road transport'!$C24,RoadTra_BY!$C$2:$C$999,'Road transport'!$AX24)</f>
        <v>#DIV/0!</v>
      </c>
      <c r="P24" s="36" t="e">
        <f>AVERAGEIFS(RoadTra_BY!X$2:X$999,RoadTra_BY!$B$2:$B$999,'Road transport'!$C24,RoadTra_BY!$C$2:$C$999,'Road transport'!$AX24)</f>
        <v>#DIV/0!</v>
      </c>
      <c r="Q24" s="36" t="e">
        <f>AVERAGEIFS(RoadTra_BY!Y$2:Y$999,RoadTra_BY!$B$2:$B$999,'Road transport'!$C24,RoadTra_BY!$C$2:$C$999,'Road transport'!$AX24)</f>
        <v>#DIV/0!</v>
      </c>
      <c r="R24" s="36" t="e">
        <f>AVERAGEIFS(RoadTra_BY!Z$2:Z$999,RoadTra_BY!$B$2:$B$999,'Road transport'!$C24,RoadTra_BY!$C$2:$C$999,'Road transport'!$AX24)</f>
        <v>#DIV/0!</v>
      </c>
      <c r="S24" s="36" t="e">
        <f>AVERAGEIFS(RoadTra_BY!AA$2:AA$999,RoadTra_BY!$B$2:$B$999,'Road transport'!$C24,RoadTra_BY!$C$2:$C$999,'Road transport'!$AX24)</f>
        <v>#DIV/0!</v>
      </c>
      <c r="T24" s="36" t="e">
        <f>AVERAGEIFS(RoadTra_BY!AB$2:AB$999,RoadTra_BY!$B$2:$B$999,'Road transport'!$C24,RoadTra_BY!$C$2:$C$999,'Road transport'!$AX24)</f>
        <v>#DIV/0!</v>
      </c>
      <c r="U24" s="36" t="e">
        <f>AVERAGEIFS(RoadTra_BY!AC$2:AC$999,RoadTra_BY!$B$2:$B$999,'Road transport'!$C24,RoadTra_BY!$C$2:$C$999,'Road transport'!$AX24)</f>
        <v>#DIV/0!</v>
      </c>
      <c r="V24" s="36" t="e">
        <f>AVERAGEIFS(RoadTra_BY!AD$2:AD$999,RoadTra_BY!$B$2:$B$999,'Road transport'!$C24,RoadTra_BY!$C$2:$C$999,'Road transport'!$AX24)</f>
        <v>#DIV/0!</v>
      </c>
      <c r="W24" s="36" t="e">
        <f>AVERAGEIFS(RoadTra_BY!AE$2:AE$999,RoadTra_BY!$B$2:$B$999,'Road transport'!$C24,RoadTra_BY!$C$2:$C$999,'Road transport'!$AX24)</f>
        <v>#DIV/0!</v>
      </c>
      <c r="X24" s="36" t="e">
        <f>AVERAGEIFS(RoadTra_BY!AF$2:AF$999,RoadTra_BY!$B$2:$B$999,'Road transport'!$C24,RoadTra_BY!$C$2:$C$999,'Road transport'!$AX24)</f>
        <v>#DIV/0!</v>
      </c>
      <c r="Y24" s="36" t="e">
        <f>AVERAGEIFS(RoadTra_BY!AG$2:AG$999,RoadTra_BY!$B$2:$B$999,'Road transport'!$C24,RoadTra_BY!$C$2:$C$999,'Road transport'!$AX24)</f>
        <v>#DIV/0!</v>
      </c>
      <c r="Z24" s="36" t="e">
        <f>AVERAGEIFS(RoadTra_BY!AH$2:AH$999,RoadTra_BY!$B$2:$B$999,'Road transport'!$C24,RoadTra_BY!$C$2:$C$999,'Road transport'!$AX24)</f>
        <v>#DIV/0!</v>
      </c>
      <c r="AA24" s="36" t="e">
        <f>AVERAGEIFS(RoadTra_BY!AI$2:AI$999,RoadTra_BY!$B$2:$B$999,'Road transport'!$C24,RoadTra_BY!$C$2:$C$999,'Road transport'!$AX24)</f>
        <v>#DIV/0!</v>
      </c>
      <c r="AB24" s="36" t="e">
        <f>AVERAGEIFS(RoadTra_BY!AJ$2:AJ$999,RoadTra_BY!$B$2:$B$999,'Road transport'!$C24,RoadTra_BY!$C$2:$C$999,'Road transport'!$AX24)</f>
        <v>#DIV/0!</v>
      </c>
      <c r="AC24" s="36" t="e">
        <f>AVERAGEIFS(RoadTra_BY!AK$2:AK$999,RoadTra_BY!$B$2:$B$999,'Road transport'!$C24,RoadTra_BY!$C$2:$C$999,'Road transport'!$AX24)</f>
        <v>#DIV/0!</v>
      </c>
      <c r="AD24" s="36" t="e">
        <f>AVERAGEIFS(RoadTra_BY!AL$2:AL$999,RoadTra_BY!$B$2:$B$999,'Road transport'!$C24,RoadTra_BY!$C$2:$C$999,'Road transport'!$AX24)</f>
        <v>#DIV/0!</v>
      </c>
      <c r="AE24" s="36" t="e">
        <f>AVERAGEIFS(RoadTra_BY!AM$2:AM$999,RoadTra_BY!$B$2:$B$999,'Road transport'!$C24,RoadTra_BY!$C$2:$C$999,'Road transport'!$AX24)</f>
        <v>#DIV/0!</v>
      </c>
      <c r="AF24" s="36" t="e">
        <f>AVERAGEIFS(RoadTra_BY!AN$2:AN$999,RoadTra_BY!$B$2:$B$999,'Road transport'!$C24,RoadTra_BY!$C$2:$C$999,'Road transport'!$AX24)</f>
        <v>#DIV/0!</v>
      </c>
      <c r="AG24" s="36" t="e">
        <f>AVERAGEIFS(RoadTra_BY!AO$2:AO$999,RoadTra_BY!$B$2:$B$999,'Road transport'!$C24,RoadTra_BY!$C$2:$C$999,'Road transport'!$AX24)</f>
        <v>#DIV/0!</v>
      </c>
      <c r="AH24" s="36" t="e">
        <f>AVERAGEIFS(RoadTra_BY!AP$2:AP$999,RoadTra_BY!$B$2:$B$999,'Road transport'!$C24,RoadTra_BY!$C$2:$C$999,'Road transport'!$AX24)</f>
        <v>#DIV/0!</v>
      </c>
      <c r="AI24" s="36" t="e">
        <f>AVERAGEIFS(RoadTra_BY!AQ$2:AQ$999,RoadTra_BY!$B$2:$B$999,'Road transport'!$C24,RoadTra_BY!$C$2:$C$999,'Road transport'!$AX24)</f>
        <v>#DIV/0!</v>
      </c>
      <c r="AJ24" s="36" t="e">
        <f>AVERAGEIFS(RoadTra_BY!AR$2:AR$999,RoadTra_BY!$B$2:$B$999,'Road transport'!$C24,RoadTra_BY!$C$2:$C$999,'Road transport'!$AX24)</f>
        <v>#DIV/0!</v>
      </c>
      <c r="AK24" s="36" t="e">
        <f>AVERAGEIFS(RoadTra_BY!AS$2:AS$999,RoadTra_BY!$B$2:$B$999,'Road transport'!$C24,RoadTra_BY!$C$2:$C$999,'Road transport'!$AX24)</f>
        <v>#DIV/0!</v>
      </c>
      <c r="AL24" s="36" t="e">
        <f>AVERAGEIFS(RoadTra_BY!AT$2:AT$999,RoadTra_BY!$B$2:$B$999,'Road transport'!$C24,RoadTra_BY!$C$2:$C$999,'Road transport'!$AX24)</f>
        <v>#DIV/0!</v>
      </c>
      <c r="AM24" s="36" t="e">
        <f>AVERAGEIFS(RoadTra_BY!AU$2:AU$999,RoadTra_BY!$B$2:$B$999,'Road transport'!$C24,RoadTra_BY!$C$2:$C$999,'Road transport'!$AX24)</f>
        <v>#DIV/0!</v>
      </c>
      <c r="AN24" s="36" t="e">
        <f>AVERAGEIFS(RoadTra_BY!AV$2:AV$999,RoadTra_BY!$B$2:$B$999,'Road transport'!$C24,RoadTra_BY!$C$2:$C$999,'Road transport'!$AX24)</f>
        <v>#DIV/0!</v>
      </c>
      <c r="AO24" s="36" t="e">
        <f>AVERAGEIFS(RoadTra_BY!AW$2:AW$999,RoadTra_BY!$B$2:$B$999,'Road transport'!$C24,RoadTra_BY!$C$2:$C$999,'Road transport'!$AX24)</f>
        <v>#DIV/0!</v>
      </c>
      <c r="AP24" s="36" t="e">
        <f>AVERAGEIFS(RoadTra_BY!AX$2:AX$999,RoadTra_BY!$B$2:$B$999,'Road transport'!$C24,RoadTra_BY!$C$2:$C$999,'Road transport'!$AX24)</f>
        <v>#DIV/0!</v>
      </c>
      <c r="AQ24" s="36" t="e">
        <f>AVERAGEIFS(RoadTra_BY!AY$2:AY$999,RoadTra_BY!$B$2:$B$999,'Road transport'!$C24,RoadTra_BY!$C$2:$C$999,'Road transport'!$AX24)</f>
        <v>#DIV/0!</v>
      </c>
      <c r="AR24" s="36" t="e">
        <f>AVERAGEIFS(RoadTra_BY!AZ$2:AZ$999,RoadTra_BY!$B$2:$B$999,'Road transport'!$C24,RoadTra_BY!$C$2:$C$999,'Road transport'!$AX24)</f>
        <v>#DIV/0!</v>
      </c>
      <c r="AS24" s="36" t="e">
        <f>AVERAGEIFS(RoadTra_BY!BA$2:BA$999,RoadTra_BY!$B$2:$B$999,'Road transport'!$C24,RoadTra_BY!$C$2:$C$999,'Road transport'!$AX24)</f>
        <v>#DIV/0!</v>
      </c>
      <c r="AT24" s="36" t="e">
        <f>AVERAGEIFS(RoadTra_BY!BB$2:BB$999,RoadTra_BY!$B$2:$B$999,'Road transport'!$C24,RoadTra_BY!$C$2:$C$999,'Road transport'!$AX24)</f>
        <v>#DIV/0!</v>
      </c>
      <c r="AU24" s="36" t="e">
        <f>AVERAGEIFS(RoadTra_BY!BC$2:BC$999,RoadTra_BY!$B$2:$B$999,'Road transport'!$C24,RoadTra_BY!$C$2:$C$999,'Road transport'!$AX24)</f>
        <v>#DIV/0!</v>
      </c>
      <c r="AV24" s="36" t="e">
        <f>AVERAGEIFS(RoadTra_BY!BD$2:BD$999,RoadTra_BY!$B$2:$B$999,'Road transport'!$C24,RoadTra_BY!$C$2:$C$999,'Road transport'!$AX24)</f>
        <v>#DIV/0!</v>
      </c>
      <c r="AW24" s="36" t="e">
        <f>AVERAGEIFS(RoadTra_BY!BE$2:BE$999,RoadTra_BY!$B$2:$B$999,'Road transport'!$C24,RoadTra_BY!$C$2:$C$999,'Road transport'!$AX24)</f>
        <v>#DIV/0!</v>
      </c>
      <c r="AX24" t="s">
        <v>101</v>
      </c>
    </row>
    <row r="25" spans="3:50">
      <c r="C25" t="s">
        <v>52</v>
      </c>
      <c r="D25" s="36" t="e">
        <f>AVERAGEIFS(RoadTra_BY!L$2:L$999,RoadTra_BY!$B$2:$B$999,'Road transport'!$C25,RoadTra_BY!$C$2:$C$999,'Road transport'!$AX25)</f>
        <v>#DIV/0!</v>
      </c>
      <c r="E25" s="36" t="e">
        <f>AVERAGEIFS(RoadTra_BY!M$2:M$999,RoadTra_BY!$B$2:$B$999,'Road transport'!$C25,RoadTra_BY!$C$2:$C$999,'Road transport'!$AX25)</f>
        <v>#DIV/0!</v>
      </c>
      <c r="F25" s="36" t="e">
        <f>AVERAGEIFS(RoadTra_BY!N$2:N$999,RoadTra_BY!$B$2:$B$999,'Road transport'!$C25,RoadTra_BY!$C$2:$C$999,'Road transport'!$AX25)</f>
        <v>#DIV/0!</v>
      </c>
      <c r="G25" s="36" t="e">
        <f>AVERAGEIFS(RoadTra_BY!O$2:O$999,RoadTra_BY!$B$2:$B$999,'Road transport'!$C25,RoadTra_BY!$C$2:$C$999,'Road transport'!$AX25)</f>
        <v>#DIV/0!</v>
      </c>
      <c r="H25" s="36" t="e">
        <f>AVERAGEIFS(RoadTra_BY!P$2:P$999,RoadTra_BY!$B$2:$B$999,'Road transport'!$C25,RoadTra_BY!$C$2:$C$999,'Road transport'!$AX25)</f>
        <v>#DIV/0!</v>
      </c>
      <c r="I25" s="36" t="e">
        <f>AVERAGEIFS(RoadTra_BY!Q$2:Q$999,RoadTra_BY!$B$2:$B$999,'Road transport'!$C25,RoadTra_BY!$C$2:$C$999,'Road transport'!$AX25)</f>
        <v>#DIV/0!</v>
      </c>
      <c r="J25" s="36" t="e">
        <f>AVERAGEIFS(RoadTra_BY!R$2:R$999,RoadTra_BY!$B$2:$B$999,'Road transport'!$C25,RoadTra_BY!$C$2:$C$999,'Road transport'!$AX25)</f>
        <v>#DIV/0!</v>
      </c>
      <c r="K25" s="36" t="e">
        <f>AVERAGEIFS(RoadTra_BY!S$2:S$999,RoadTra_BY!$B$2:$B$999,'Road transport'!$C25,RoadTra_BY!$C$2:$C$999,'Road transport'!$AX25)</f>
        <v>#DIV/0!</v>
      </c>
      <c r="L25" s="36" t="e">
        <f>AVERAGEIFS(RoadTra_BY!T$2:T$999,RoadTra_BY!$B$2:$B$999,'Road transport'!$C25,RoadTra_BY!$C$2:$C$999,'Road transport'!$AX25)</f>
        <v>#DIV/0!</v>
      </c>
      <c r="M25" s="36" t="e">
        <f>AVERAGEIFS(RoadTra_BY!U$2:U$999,RoadTra_BY!$B$2:$B$999,'Road transport'!$C25,RoadTra_BY!$C$2:$C$999,'Road transport'!$AX25)</f>
        <v>#DIV/0!</v>
      </c>
      <c r="N25" s="36" t="e">
        <f>AVERAGEIFS(RoadTra_BY!V$2:V$999,RoadTra_BY!$B$2:$B$999,'Road transport'!$C25,RoadTra_BY!$C$2:$C$999,'Road transport'!$AX25)</f>
        <v>#DIV/0!</v>
      </c>
      <c r="O25" s="36" t="e">
        <f>AVERAGEIFS(RoadTra_BY!W$2:W$999,RoadTra_BY!$B$2:$B$999,'Road transport'!$C25,RoadTra_BY!$C$2:$C$999,'Road transport'!$AX25)</f>
        <v>#DIV/0!</v>
      </c>
      <c r="P25" s="36" t="e">
        <f>AVERAGEIFS(RoadTra_BY!X$2:X$999,RoadTra_BY!$B$2:$B$999,'Road transport'!$C25,RoadTra_BY!$C$2:$C$999,'Road transport'!$AX25)</f>
        <v>#DIV/0!</v>
      </c>
      <c r="Q25" s="36" t="e">
        <f>AVERAGEIFS(RoadTra_BY!Y$2:Y$999,RoadTra_BY!$B$2:$B$999,'Road transport'!$C25,RoadTra_BY!$C$2:$C$999,'Road transport'!$AX25)</f>
        <v>#DIV/0!</v>
      </c>
      <c r="R25" s="36" t="e">
        <f>AVERAGEIFS(RoadTra_BY!Z$2:Z$999,RoadTra_BY!$B$2:$B$999,'Road transport'!$C25,RoadTra_BY!$C$2:$C$999,'Road transport'!$AX25)</f>
        <v>#DIV/0!</v>
      </c>
      <c r="S25" s="36" t="e">
        <f>AVERAGEIFS(RoadTra_BY!AA$2:AA$999,RoadTra_BY!$B$2:$B$999,'Road transport'!$C25,RoadTra_BY!$C$2:$C$999,'Road transport'!$AX25)</f>
        <v>#DIV/0!</v>
      </c>
      <c r="T25" s="36" t="e">
        <f>AVERAGEIFS(RoadTra_BY!AB$2:AB$999,RoadTra_BY!$B$2:$B$999,'Road transport'!$C25,RoadTra_BY!$C$2:$C$999,'Road transport'!$AX25)</f>
        <v>#DIV/0!</v>
      </c>
      <c r="U25" s="36" t="e">
        <f>AVERAGEIFS(RoadTra_BY!AC$2:AC$999,RoadTra_BY!$B$2:$B$999,'Road transport'!$C25,RoadTra_BY!$C$2:$C$999,'Road transport'!$AX25)</f>
        <v>#DIV/0!</v>
      </c>
      <c r="V25" s="36" t="e">
        <f>AVERAGEIFS(RoadTra_BY!AD$2:AD$999,RoadTra_BY!$B$2:$B$999,'Road transport'!$C25,RoadTra_BY!$C$2:$C$999,'Road transport'!$AX25)</f>
        <v>#DIV/0!</v>
      </c>
      <c r="W25" s="36" t="e">
        <f>AVERAGEIFS(RoadTra_BY!AE$2:AE$999,RoadTra_BY!$B$2:$B$999,'Road transport'!$C25,RoadTra_BY!$C$2:$C$999,'Road transport'!$AX25)</f>
        <v>#DIV/0!</v>
      </c>
      <c r="X25" s="36" t="e">
        <f>AVERAGEIFS(RoadTra_BY!AF$2:AF$999,RoadTra_BY!$B$2:$B$999,'Road transport'!$C25,RoadTra_BY!$C$2:$C$999,'Road transport'!$AX25)</f>
        <v>#DIV/0!</v>
      </c>
      <c r="Y25" s="36" t="e">
        <f>AVERAGEIFS(RoadTra_BY!AG$2:AG$999,RoadTra_BY!$B$2:$B$999,'Road transport'!$C25,RoadTra_BY!$C$2:$C$999,'Road transport'!$AX25)</f>
        <v>#DIV/0!</v>
      </c>
      <c r="Z25" s="36" t="e">
        <f>AVERAGEIFS(RoadTra_BY!AH$2:AH$999,RoadTra_BY!$B$2:$B$999,'Road transport'!$C25,RoadTra_BY!$C$2:$C$999,'Road transport'!$AX25)</f>
        <v>#DIV/0!</v>
      </c>
      <c r="AA25" s="36" t="e">
        <f>AVERAGEIFS(RoadTra_BY!AI$2:AI$999,RoadTra_BY!$B$2:$B$999,'Road transport'!$C25,RoadTra_BY!$C$2:$C$999,'Road transport'!$AX25)</f>
        <v>#DIV/0!</v>
      </c>
      <c r="AB25" s="36" t="e">
        <f>AVERAGEIFS(RoadTra_BY!AJ$2:AJ$999,RoadTra_BY!$B$2:$B$999,'Road transport'!$C25,RoadTra_BY!$C$2:$C$999,'Road transport'!$AX25)</f>
        <v>#DIV/0!</v>
      </c>
      <c r="AC25" s="36" t="e">
        <f>AVERAGEIFS(RoadTra_BY!AK$2:AK$999,RoadTra_BY!$B$2:$B$999,'Road transport'!$C25,RoadTra_BY!$C$2:$C$999,'Road transport'!$AX25)</f>
        <v>#DIV/0!</v>
      </c>
      <c r="AD25" s="36" t="e">
        <f>AVERAGEIFS(RoadTra_BY!AL$2:AL$999,RoadTra_BY!$B$2:$B$999,'Road transport'!$C25,RoadTra_BY!$C$2:$C$999,'Road transport'!$AX25)</f>
        <v>#DIV/0!</v>
      </c>
      <c r="AE25" s="36" t="e">
        <f>AVERAGEIFS(RoadTra_BY!AM$2:AM$999,RoadTra_BY!$B$2:$B$999,'Road transport'!$C25,RoadTra_BY!$C$2:$C$999,'Road transport'!$AX25)</f>
        <v>#DIV/0!</v>
      </c>
      <c r="AF25" s="36" t="e">
        <f>AVERAGEIFS(RoadTra_BY!AN$2:AN$999,RoadTra_BY!$B$2:$B$999,'Road transport'!$C25,RoadTra_BY!$C$2:$C$999,'Road transport'!$AX25)</f>
        <v>#DIV/0!</v>
      </c>
      <c r="AG25" s="36" t="e">
        <f>AVERAGEIFS(RoadTra_BY!AO$2:AO$999,RoadTra_BY!$B$2:$B$999,'Road transport'!$C25,RoadTra_BY!$C$2:$C$999,'Road transport'!$AX25)</f>
        <v>#DIV/0!</v>
      </c>
      <c r="AH25" s="36" t="e">
        <f>AVERAGEIFS(RoadTra_BY!AP$2:AP$999,RoadTra_BY!$B$2:$B$999,'Road transport'!$C25,RoadTra_BY!$C$2:$C$999,'Road transport'!$AX25)</f>
        <v>#DIV/0!</v>
      </c>
      <c r="AI25" s="36" t="e">
        <f>AVERAGEIFS(RoadTra_BY!AQ$2:AQ$999,RoadTra_BY!$B$2:$B$999,'Road transport'!$C25,RoadTra_BY!$C$2:$C$999,'Road transport'!$AX25)</f>
        <v>#DIV/0!</v>
      </c>
      <c r="AJ25" s="36" t="e">
        <f>AVERAGEIFS(RoadTra_BY!AR$2:AR$999,RoadTra_BY!$B$2:$B$999,'Road transport'!$C25,RoadTra_BY!$C$2:$C$999,'Road transport'!$AX25)</f>
        <v>#DIV/0!</v>
      </c>
      <c r="AK25" s="36" t="e">
        <f>AVERAGEIFS(RoadTra_BY!AS$2:AS$999,RoadTra_BY!$B$2:$B$999,'Road transport'!$C25,RoadTra_BY!$C$2:$C$999,'Road transport'!$AX25)</f>
        <v>#DIV/0!</v>
      </c>
      <c r="AL25" s="36" t="e">
        <f>AVERAGEIFS(RoadTra_BY!AT$2:AT$999,RoadTra_BY!$B$2:$B$999,'Road transport'!$C25,RoadTra_BY!$C$2:$C$999,'Road transport'!$AX25)</f>
        <v>#DIV/0!</v>
      </c>
      <c r="AM25" s="36" t="e">
        <f>AVERAGEIFS(RoadTra_BY!AU$2:AU$999,RoadTra_BY!$B$2:$B$999,'Road transport'!$C25,RoadTra_BY!$C$2:$C$999,'Road transport'!$AX25)</f>
        <v>#DIV/0!</v>
      </c>
      <c r="AN25" s="36" t="e">
        <f>AVERAGEIFS(RoadTra_BY!AV$2:AV$999,RoadTra_BY!$B$2:$B$999,'Road transport'!$C25,RoadTra_BY!$C$2:$C$999,'Road transport'!$AX25)</f>
        <v>#DIV/0!</v>
      </c>
      <c r="AO25" s="36" t="e">
        <f>AVERAGEIFS(RoadTra_BY!AW$2:AW$999,RoadTra_BY!$B$2:$B$999,'Road transport'!$C25,RoadTra_BY!$C$2:$C$999,'Road transport'!$AX25)</f>
        <v>#DIV/0!</v>
      </c>
      <c r="AP25" s="36" t="e">
        <f>AVERAGEIFS(RoadTra_BY!AX$2:AX$999,RoadTra_BY!$B$2:$B$999,'Road transport'!$C25,RoadTra_BY!$C$2:$C$999,'Road transport'!$AX25)</f>
        <v>#DIV/0!</v>
      </c>
      <c r="AQ25" s="36" t="e">
        <f>AVERAGEIFS(RoadTra_BY!AY$2:AY$999,RoadTra_BY!$B$2:$B$999,'Road transport'!$C25,RoadTra_BY!$C$2:$C$999,'Road transport'!$AX25)</f>
        <v>#DIV/0!</v>
      </c>
      <c r="AR25" s="36" t="e">
        <f>AVERAGEIFS(RoadTra_BY!AZ$2:AZ$999,RoadTra_BY!$B$2:$B$999,'Road transport'!$C25,RoadTra_BY!$C$2:$C$999,'Road transport'!$AX25)</f>
        <v>#DIV/0!</v>
      </c>
      <c r="AS25" s="36" t="e">
        <f>AVERAGEIFS(RoadTra_BY!BA$2:BA$999,RoadTra_BY!$B$2:$B$999,'Road transport'!$C25,RoadTra_BY!$C$2:$C$999,'Road transport'!$AX25)</f>
        <v>#DIV/0!</v>
      </c>
      <c r="AT25" s="36" t="e">
        <f>AVERAGEIFS(RoadTra_BY!BB$2:BB$999,RoadTra_BY!$B$2:$B$999,'Road transport'!$C25,RoadTra_BY!$C$2:$C$999,'Road transport'!$AX25)</f>
        <v>#DIV/0!</v>
      </c>
      <c r="AU25" s="36" t="e">
        <f>AVERAGEIFS(RoadTra_BY!BC$2:BC$999,RoadTra_BY!$B$2:$B$999,'Road transport'!$C25,RoadTra_BY!$C$2:$C$999,'Road transport'!$AX25)</f>
        <v>#DIV/0!</v>
      </c>
      <c r="AV25" s="36" t="e">
        <f>AVERAGEIFS(RoadTra_BY!BD$2:BD$999,RoadTra_BY!$B$2:$B$999,'Road transport'!$C25,RoadTra_BY!$C$2:$C$999,'Road transport'!$AX25)</f>
        <v>#DIV/0!</v>
      </c>
      <c r="AW25" s="36" t="e">
        <f>AVERAGEIFS(RoadTra_BY!BE$2:BE$999,RoadTra_BY!$B$2:$B$999,'Road transport'!$C25,RoadTra_BY!$C$2:$C$999,'Road transport'!$AX25)</f>
        <v>#DIV/0!</v>
      </c>
      <c r="AX25" t="s">
        <v>102</v>
      </c>
    </row>
    <row r="26" spans="3:50">
      <c r="C26" t="s">
        <v>52</v>
      </c>
      <c r="D26" s="36" t="e">
        <f>AVERAGEIFS(RoadTra_BY!L$2:L$999,RoadTra_BY!$B$2:$B$999,'Road transport'!$C26,RoadTra_BY!$C$2:$C$999,'Road transport'!$AX26)</f>
        <v>#DIV/0!</v>
      </c>
      <c r="E26" s="36" t="e">
        <f>AVERAGEIFS(RoadTra_BY!M$2:M$999,RoadTra_BY!$B$2:$B$999,'Road transport'!$C26,RoadTra_BY!$C$2:$C$999,'Road transport'!$AX26)</f>
        <v>#DIV/0!</v>
      </c>
      <c r="F26" s="36" t="e">
        <f>AVERAGEIFS(RoadTra_BY!N$2:N$999,RoadTra_BY!$B$2:$B$999,'Road transport'!$C26,RoadTra_BY!$C$2:$C$999,'Road transport'!$AX26)</f>
        <v>#DIV/0!</v>
      </c>
      <c r="G26" s="36" t="e">
        <f>AVERAGEIFS(RoadTra_BY!O$2:O$999,RoadTra_BY!$B$2:$B$999,'Road transport'!$C26,RoadTra_BY!$C$2:$C$999,'Road transport'!$AX26)</f>
        <v>#DIV/0!</v>
      </c>
      <c r="H26" s="36" t="e">
        <f>AVERAGEIFS(RoadTra_BY!P$2:P$999,RoadTra_BY!$B$2:$B$999,'Road transport'!$C26,RoadTra_BY!$C$2:$C$999,'Road transport'!$AX26)</f>
        <v>#DIV/0!</v>
      </c>
      <c r="I26" s="36" t="e">
        <f>AVERAGEIFS(RoadTra_BY!Q$2:Q$999,RoadTra_BY!$B$2:$B$999,'Road transport'!$C26,RoadTra_BY!$C$2:$C$999,'Road transport'!$AX26)</f>
        <v>#DIV/0!</v>
      </c>
      <c r="J26" s="36" t="e">
        <f>AVERAGEIFS(RoadTra_BY!R$2:R$999,RoadTra_BY!$B$2:$B$999,'Road transport'!$C26,RoadTra_BY!$C$2:$C$999,'Road transport'!$AX26)</f>
        <v>#DIV/0!</v>
      </c>
      <c r="K26" s="36" t="e">
        <f>AVERAGEIFS(RoadTra_BY!S$2:S$999,RoadTra_BY!$B$2:$B$999,'Road transport'!$C26,RoadTra_BY!$C$2:$C$999,'Road transport'!$AX26)</f>
        <v>#DIV/0!</v>
      </c>
      <c r="L26" s="36" t="e">
        <f>AVERAGEIFS(RoadTra_BY!T$2:T$999,RoadTra_BY!$B$2:$B$999,'Road transport'!$C26,RoadTra_BY!$C$2:$C$999,'Road transport'!$AX26)</f>
        <v>#DIV/0!</v>
      </c>
      <c r="M26" s="36" t="e">
        <f>AVERAGEIFS(RoadTra_BY!U$2:U$999,RoadTra_BY!$B$2:$B$999,'Road transport'!$C26,RoadTra_BY!$C$2:$C$999,'Road transport'!$AX26)</f>
        <v>#DIV/0!</v>
      </c>
      <c r="N26" s="36" t="e">
        <f>AVERAGEIFS(RoadTra_BY!V$2:V$999,RoadTra_BY!$B$2:$B$999,'Road transport'!$C26,RoadTra_BY!$C$2:$C$999,'Road transport'!$AX26)</f>
        <v>#DIV/0!</v>
      </c>
      <c r="O26" s="36" t="e">
        <f>AVERAGEIFS(RoadTra_BY!W$2:W$999,RoadTra_BY!$B$2:$B$999,'Road transport'!$C26,RoadTra_BY!$C$2:$C$999,'Road transport'!$AX26)</f>
        <v>#DIV/0!</v>
      </c>
      <c r="P26" s="36" t="e">
        <f>AVERAGEIFS(RoadTra_BY!X$2:X$999,RoadTra_BY!$B$2:$B$999,'Road transport'!$C26,RoadTra_BY!$C$2:$C$999,'Road transport'!$AX26)</f>
        <v>#DIV/0!</v>
      </c>
      <c r="Q26" s="36" t="e">
        <f>AVERAGEIFS(RoadTra_BY!Y$2:Y$999,RoadTra_BY!$B$2:$B$999,'Road transport'!$C26,RoadTra_BY!$C$2:$C$999,'Road transport'!$AX26)</f>
        <v>#DIV/0!</v>
      </c>
      <c r="R26" s="36" t="e">
        <f>AVERAGEIFS(RoadTra_BY!Z$2:Z$999,RoadTra_BY!$B$2:$B$999,'Road transport'!$C26,RoadTra_BY!$C$2:$C$999,'Road transport'!$AX26)</f>
        <v>#DIV/0!</v>
      </c>
      <c r="S26" s="36" t="e">
        <f>AVERAGEIFS(RoadTra_BY!AA$2:AA$999,RoadTra_BY!$B$2:$B$999,'Road transport'!$C26,RoadTra_BY!$C$2:$C$999,'Road transport'!$AX26)</f>
        <v>#DIV/0!</v>
      </c>
      <c r="T26" s="36" t="e">
        <f>AVERAGEIFS(RoadTra_BY!AB$2:AB$999,RoadTra_BY!$B$2:$B$999,'Road transport'!$C26,RoadTra_BY!$C$2:$C$999,'Road transport'!$AX26)</f>
        <v>#DIV/0!</v>
      </c>
      <c r="U26" s="36" t="e">
        <f>AVERAGEIFS(RoadTra_BY!AC$2:AC$999,RoadTra_BY!$B$2:$B$999,'Road transport'!$C26,RoadTra_BY!$C$2:$C$999,'Road transport'!$AX26)</f>
        <v>#DIV/0!</v>
      </c>
      <c r="V26" s="36" t="e">
        <f>AVERAGEIFS(RoadTra_BY!AD$2:AD$999,RoadTra_BY!$B$2:$B$999,'Road transport'!$C26,RoadTra_BY!$C$2:$C$999,'Road transport'!$AX26)</f>
        <v>#DIV/0!</v>
      </c>
      <c r="W26" s="36" t="e">
        <f>AVERAGEIFS(RoadTra_BY!AE$2:AE$999,RoadTra_BY!$B$2:$B$999,'Road transport'!$C26,RoadTra_BY!$C$2:$C$999,'Road transport'!$AX26)</f>
        <v>#DIV/0!</v>
      </c>
      <c r="X26" s="36" t="e">
        <f>AVERAGEIFS(RoadTra_BY!AF$2:AF$999,RoadTra_BY!$B$2:$B$999,'Road transport'!$C26,RoadTra_BY!$C$2:$C$999,'Road transport'!$AX26)</f>
        <v>#DIV/0!</v>
      </c>
      <c r="Y26" s="36" t="e">
        <f>AVERAGEIFS(RoadTra_BY!AG$2:AG$999,RoadTra_BY!$B$2:$B$999,'Road transport'!$C26,RoadTra_BY!$C$2:$C$999,'Road transport'!$AX26)</f>
        <v>#DIV/0!</v>
      </c>
      <c r="Z26" s="36" t="e">
        <f>AVERAGEIFS(RoadTra_BY!AH$2:AH$999,RoadTra_BY!$B$2:$B$999,'Road transport'!$C26,RoadTra_BY!$C$2:$C$999,'Road transport'!$AX26)</f>
        <v>#DIV/0!</v>
      </c>
      <c r="AA26" s="36" t="e">
        <f>AVERAGEIFS(RoadTra_BY!AI$2:AI$999,RoadTra_BY!$B$2:$B$999,'Road transport'!$C26,RoadTra_BY!$C$2:$C$999,'Road transport'!$AX26)</f>
        <v>#DIV/0!</v>
      </c>
      <c r="AB26" s="36" t="e">
        <f>AVERAGEIFS(RoadTra_BY!AJ$2:AJ$999,RoadTra_BY!$B$2:$B$999,'Road transport'!$C26,RoadTra_BY!$C$2:$C$999,'Road transport'!$AX26)</f>
        <v>#DIV/0!</v>
      </c>
      <c r="AC26" s="36" t="e">
        <f>AVERAGEIFS(RoadTra_BY!AK$2:AK$999,RoadTra_BY!$B$2:$B$999,'Road transport'!$C26,RoadTra_BY!$C$2:$C$999,'Road transport'!$AX26)</f>
        <v>#DIV/0!</v>
      </c>
      <c r="AD26" s="36" t="e">
        <f>AVERAGEIFS(RoadTra_BY!AL$2:AL$999,RoadTra_BY!$B$2:$B$999,'Road transport'!$C26,RoadTra_BY!$C$2:$C$999,'Road transport'!$AX26)</f>
        <v>#DIV/0!</v>
      </c>
      <c r="AE26" s="36" t="e">
        <f>AVERAGEIFS(RoadTra_BY!AM$2:AM$999,RoadTra_BY!$B$2:$B$999,'Road transport'!$C26,RoadTra_BY!$C$2:$C$999,'Road transport'!$AX26)</f>
        <v>#DIV/0!</v>
      </c>
      <c r="AF26" s="36" t="e">
        <f>AVERAGEIFS(RoadTra_BY!AN$2:AN$999,RoadTra_BY!$B$2:$B$999,'Road transport'!$C26,RoadTra_BY!$C$2:$C$999,'Road transport'!$AX26)</f>
        <v>#DIV/0!</v>
      </c>
      <c r="AG26" s="36" t="e">
        <f>AVERAGEIFS(RoadTra_BY!AO$2:AO$999,RoadTra_BY!$B$2:$B$999,'Road transport'!$C26,RoadTra_BY!$C$2:$C$999,'Road transport'!$AX26)</f>
        <v>#DIV/0!</v>
      </c>
      <c r="AH26" s="36" t="e">
        <f>AVERAGEIFS(RoadTra_BY!AP$2:AP$999,RoadTra_BY!$B$2:$B$999,'Road transport'!$C26,RoadTra_BY!$C$2:$C$999,'Road transport'!$AX26)</f>
        <v>#DIV/0!</v>
      </c>
      <c r="AI26" s="36" t="e">
        <f>AVERAGEIFS(RoadTra_BY!AQ$2:AQ$999,RoadTra_BY!$B$2:$B$999,'Road transport'!$C26,RoadTra_BY!$C$2:$C$999,'Road transport'!$AX26)</f>
        <v>#DIV/0!</v>
      </c>
      <c r="AJ26" s="36" t="e">
        <f>AVERAGEIFS(RoadTra_BY!AR$2:AR$999,RoadTra_BY!$B$2:$B$999,'Road transport'!$C26,RoadTra_BY!$C$2:$C$999,'Road transport'!$AX26)</f>
        <v>#DIV/0!</v>
      </c>
      <c r="AK26" s="36" t="e">
        <f>AVERAGEIFS(RoadTra_BY!AS$2:AS$999,RoadTra_BY!$B$2:$B$999,'Road transport'!$C26,RoadTra_BY!$C$2:$C$999,'Road transport'!$AX26)</f>
        <v>#DIV/0!</v>
      </c>
      <c r="AL26" s="36" t="e">
        <f>AVERAGEIFS(RoadTra_BY!AT$2:AT$999,RoadTra_BY!$B$2:$B$999,'Road transport'!$C26,RoadTra_BY!$C$2:$C$999,'Road transport'!$AX26)</f>
        <v>#DIV/0!</v>
      </c>
      <c r="AM26" s="36" t="e">
        <f>AVERAGEIFS(RoadTra_BY!AU$2:AU$999,RoadTra_BY!$B$2:$B$999,'Road transport'!$C26,RoadTra_BY!$C$2:$C$999,'Road transport'!$AX26)</f>
        <v>#DIV/0!</v>
      </c>
      <c r="AN26" s="36" t="e">
        <f>AVERAGEIFS(RoadTra_BY!AV$2:AV$999,RoadTra_BY!$B$2:$B$999,'Road transport'!$C26,RoadTra_BY!$C$2:$C$999,'Road transport'!$AX26)</f>
        <v>#DIV/0!</v>
      </c>
      <c r="AO26" s="36" t="e">
        <f>AVERAGEIFS(RoadTra_BY!AW$2:AW$999,RoadTra_BY!$B$2:$B$999,'Road transport'!$C26,RoadTra_BY!$C$2:$C$999,'Road transport'!$AX26)</f>
        <v>#DIV/0!</v>
      </c>
      <c r="AP26" s="36" t="e">
        <f>AVERAGEIFS(RoadTra_BY!AX$2:AX$999,RoadTra_BY!$B$2:$B$999,'Road transport'!$C26,RoadTra_BY!$C$2:$C$999,'Road transport'!$AX26)</f>
        <v>#DIV/0!</v>
      </c>
      <c r="AQ26" s="36" t="e">
        <f>AVERAGEIFS(RoadTra_BY!AY$2:AY$999,RoadTra_BY!$B$2:$B$999,'Road transport'!$C26,RoadTra_BY!$C$2:$C$999,'Road transport'!$AX26)</f>
        <v>#DIV/0!</v>
      </c>
      <c r="AR26" s="36" t="e">
        <f>AVERAGEIFS(RoadTra_BY!AZ$2:AZ$999,RoadTra_BY!$B$2:$B$999,'Road transport'!$C26,RoadTra_BY!$C$2:$C$999,'Road transport'!$AX26)</f>
        <v>#DIV/0!</v>
      </c>
      <c r="AS26" s="36" t="e">
        <f>AVERAGEIFS(RoadTra_BY!BA$2:BA$999,RoadTra_BY!$B$2:$B$999,'Road transport'!$C26,RoadTra_BY!$C$2:$C$999,'Road transport'!$AX26)</f>
        <v>#DIV/0!</v>
      </c>
      <c r="AT26" s="36" t="e">
        <f>AVERAGEIFS(RoadTra_BY!BB$2:BB$999,RoadTra_BY!$B$2:$B$999,'Road transport'!$C26,RoadTra_BY!$C$2:$C$999,'Road transport'!$AX26)</f>
        <v>#DIV/0!</v>
      </c>
      <c r="AU26" s="36" t="e">
        <f>AVERAGEIFS(RoadTra_BY!BC$2:BC$999,RoadTra_BY!$B$2:$B$999,'Road transport'!$C26,RoadTra_BY!$C$2:$C$999,'Road transport'!$AX26)</f>
        <v>#DIV/0!</v>
      </c>
      <c r="AV26" s="36" t="e">
        <f>AVERAGEIFS(RoadTra_BY!BD$2:BD$999,RoadTra_BY!$B$2:$B$999,'Road transport'!$C26,RoadTra_BY!$C$2:$C$999,'Road transport'!$AX26)</f>
        <v>#DIV/0!</v>
      </c>
      <c r="AW26" s="36" t="e">
        <f>AVERAGEIFS(RoadTra_BY!BE$2:BE$999,RoadTra_BY!$B$2:$B$999,'Road transport'!$C26,RoadTra_BY!$C$2:$C$999,'Road transport'!$AX26)</f>
        <v>#DIV/0!</v>
      </c>
      <c r="AX26" t="s">
        <v>103</v>
      </c>
    </row>
    <row r="27" spans="3:50">
      <c r="C27" t="s">
        <v>52</v>
      </c>
      <c r="D27" s="36" t="e">
        <f>AVERAGEIFS(RoadTra_BY!L$2:L$999,RoadTra_BY!$B$2:$B$999,'Road transport'!$C27,RoadTra_BY!$C$2:$C$999,'Road transport'!$AX27)</f>
        <v>#DIV/0!</v>
      </c>
      <c r="E27" s="36" t="e">
        <f>AVERAGEIFS(RoadTra_BY!M$2:M$999,RoadTra_BY!$B$2:$B$999,'Road transport'!$C27,RoadTra_BY!$C$2:$C$999,'Road transport'!$AX27)</f>
        <v>#DIV/0!</v>
      </c>
      <c r="F27" s="36" t="e">
        <f>AVERAGEIFS(RoadTra_BY!N$2:N$999,RoadTra_BY!$B$2:$B$999,'Road transport'!$C27,RoadTra_BY!$C$2:$C$999,'Road transport'!$AX27)</f>
        <v>#DIV/0!</v>
      </c>
      <c r="G27" s="36" t="e">
        <f>AVERAGEIFS(RoadTra_BY!O$2:O$999,RoadTra_BY!$B$2:$B$999,'Road transport'!$C27,RoadTra_BY!$C$2:$C$999,'Road transport'!$AX27)</f>
        <v>#DIV/0!</v>
      </c>
      <c r="H27" s="36" t="e">
        <f>AVERAGEIFS(RoadTra_BY!P$2:P$999,RoadTra_BY!$B$2:$B$999,'Road transport'!$C27,RoadTra_BY!$C$2:$C$999,'Road transport'!$AX27)</f>
        <v>#DIV/0!</v>
      </c>
      <c r="I27" s="36" t="e">
        <f>AVERAGEIFS(RoadTra_BY!Q$2:Q$999,RoadTra_BY!$B$2:$B$999,'Road transport'!$C27,RoadTra_BY!$C$2:$C$999,'Road transport'!$AX27)</f>
        <v>#DIV/0!</v>
      </c>
      <c r="J27" s="36" t="e">
        <f>AVERAGEIFS(RoadTra_BY!R$2:R$999,RoadTra_BY!$B$2:$B$999,'Road transport'!$C27,RoadTra_BY!$C$2:$C$999,'Road transport'!$AX27)</f>
        <v>#DIV/0!</v>
      </c>
      <c r="K27" s="36" t="e">
        <f>AVERAGEIFS(RoadTra_BY!S$2:S$999,RoadTra_BY!$B$2:$B$999,'Road transport'!$C27,RoadTra_BY!$C$2:$C$999,'Road transport'!$AX27)</f>
        <v>#DIV/0!</v>
      </c>
      <c r="L27" s="36" t="e">
        <f>AVERAGEIFS(RoadTra_BY!T$2:T$999,RoadTra_BY!$B$2:$B$999,'Road transport'!$C27,RoadTra_BY!$C$2:$C$999,'Road transport'!$AX27)</f>
        <v>#DIV/0!</v>
      </c>
      <c r="M27" s="36" t="e">
        <f>AVERAGEIFS(RoadTra_BY!U$2:U$999,RoadTra_BY!$B$2:$B$999,'Road transport'!$C27,RoadTra_BY!$C$2:$C$999,'Road transport'!$AX27)</f>
        <v>#DIV/0!</v>
      </c>
      <c r="N27" s="36" t="e">
        <f>AVERAGEIFS(RoadTra_BY!V$2:V$999,RoadTra_BY!$B$2:$B$999,'Road transport'!$C27,RoadTra_BY!$C$2:$C$999,'Road transport'!$AX27)</f>
        <v>#DIV/0!</v>
      </c>
      <c r="O27" s="36" t="e">
        <f>AVERAGEIFS(RoadTra_BY!W$2:W$999,RoadTra_BY!$B$2:$B$999,'Road transport'!$C27,RoadTra_BY!$C$2:$C$999,'Road transport'!$AX27)</f>
        <v>#DIV/0!</v>
      </c>
      <c r="P27" s="36" t="e">
        <f>AVERAGEIFS(RoadTra_BY!X$2:X$999,RoadTra_BY!$B$2:$B$999,'Road transport'!$C27,RoadTra_BY!$C$2:$C$999,'Road transport'!$AX27)</f>
        <v>#DIV/0!</v>
      </c>
      <c r="Q27" s="36" t="e">
        <f>AVERAGEIFS(RoadTra_BY!Y$2:Y$999,RoadTra_BY!$B$2:$B$999,'Road transport'!$C27,RoadTra_BY!$C$2:$C$999,'Road transport'!$AX27)</f>
        <v>#DIV/0!</v>
      </c>
      <c r="R27" s="36" t="e">
        <f>AVERAGEIFS(RoadTra_BY!Z$2:Z$999,RoadTra_BY!$B$2:$B$999,'Road transport'!$C27,RoadTra_BY!$C$2:$C$999,'Road transport'!$AX27)</f>
        <v>#DIV/0!</v>
      </c>
      <c r="S27" s="36" t="e">
        <f>AVERAGEIFS(RoadTra_BY!AA$2:AA$999,RoadTra_BY!$B$2:$B$999,'Road transport'!$C27,RoadTra_BY!$C$2:$C$999,'Road transport'!$AX27)</f>
        <v>#DIV/0!</v>
      </c>
      <c r="T27" s="36" t="e">
        <f>AVERAGEIFS(RoadTra_BY!AB$2:AB$999,RoadTra_BY!$B$2:$B$999,'Road transport'!$C27,RoadTra_BY!$C$2:$C$999,'Road transport'!$AX27)</f>
        <v>#DIV/0!</v>
      </c>
      <c r="U27" s="36" t="e">
        <f>AVERAGEIFS(RoadTra_BY!AC$2:AC$999,RoadTra_BY!$B$2:$B$999,'Road transport'!$C27,RoadTra_BY!$C$2:$C$999,'Road transport'!$AX27)</f>
        <v>#DIV/0!</v>
      </c>
      <c r="V27" s="36" t="e">
        <f>AVERAGEIFS(RoadTra_BY!AD$2:AD$999,RoadTra_BY!$B$2:$B$999,'Road transport'!$C27,RoadTra_BY!$C$2:$C$999,'Road transport'!$AX27)</f>
        <v>#DIV/0!</v>
      </c>
      <c r="W27" s="36" t="e">
        <f>AVERAGEIFS(RoadTra_BY!AE$2:AE$999,RoadTra_BY!$B$2:$B$999,'Road transport'!$C27,RoadTra_BY!$C$2:$C$999,'Road transport'!$AX27)</f>
        <v>#DIV/0!</v>
      </c>
      <c r="X27" s="36" t="e">
        <f>AVERAGEIFS(RoadTra_BY!AF$2:AF$999,RoadTra_BY!$B$2:$B$999,'Road transport'!$C27,RoadTra_BY!$C$2:$C$999,'Road transport'!$AX27)</f>
        <v>#DIV/0!</v>
      </c>
      <c r="Y27" s="36" t="e">
        <f>AVERAGEIFS(RoadTra_BY!AG$2:AG$999,RoadTra_BY!$B$2:$B$999,'Road transport'!$C27,RoadTra_BY!$C$2:$C$999,'Road transport'!$AX27)</f>
        <v>#DIV/0!</v>
      </c>
      <c r="Z27" s="36" t="e">
        <f>AVERAGEIFS(RoadTra_BY!AH$2:AH$999,RoadTra_BY!$B$2:$B$999,'Road transport'!$C27,RoadTra_BY!$C$2:$C$999,'Road transport'!$AX27)</f>
        <v>#DIV/0!</v>
      </c>
      <c r="AA27" s="36" t="e">
        <f>AVERAGEIFS(RoadTra_BY!AI$2:AI$999,RoadTra_BY!$B$2:$B$999,'Road transport'!$C27,RoadTra_BY!$C$2:$C$999,'Road transport'!$AX27)</f>
        <v>#DIV/0!</v>
      </c>
      <c r="AB27" s="36" t="e">
        <f>AVERAGEIFS(RoadTra_BY!AJ$2:AJ$999,RoadTra_BY!$B$2:$B$999,'Road transport'!$C27,RoadTra_BY!$C$2:$C$999,'Road transport'!$AX27)</f>
        <v>#DIV/0!</v>
      </c>
      <c r="AC27" s="36" t="e">
        <f>AVERAGEIFS(RoadTra_BY!AK$2:AK$999,RoadTra_BY!$B$2:$B$999,'Road transport'!$C27,RoadTra_BY!$C$2:$C$999,'Road transport'!$AX27)</f>
        <v>#DIV/0!</v>
      </c>
      <c r="AD27" s="36" t="e">
        <f>AVERAGEIFS(RoadTra_BY!AL$2:AL$999,RoadTra_BY!$B$2:$B$999,'Road transport'!$C27,RoadTra_BY!$C$2:$C$999,'Road transport'!$AX27)</f>
        <v>#DIV/0!</v>
      </c>
      <c r="AE27" s="36" t="e">
        <f>AVERAGEIFS(RoadTra_BY!AM$2:AM$999,RoadTra_BY!$B$2:$B$999,'Road transport'!$C27,RoadTra_BY!$C$2:$C$999,'Road transport'!$AX27)</f>
        <v>#DIV/0!</v>
      </c>
      <c r="AF27" s="36" t="e">
        <f>AVERAGEIFS(RoadTra_BY!AN$2:AN$999,RoadTra_BY!$B$2:$B$999,'Road transport'!$C27,RoadTra_BY!$C$2:$C$999,'Road transport'!$AX27)</f>
        <v>#DIV/0!</v>
      </c>
      <c r="AG27" s="36" t="e">
        <f>AVERAGEIFS(RoadTra_BY!AO$2:AO$999,RoadTra_BY!$B$2:$B$999,'Road transport'!$C27,RoadTra_BY!$C$2:$C$999,'Road transport'!$AX27)</f>
        <v>#DIV/0!</v>
      </c>
      <c r="AH27" s="36" t="e">
        <f>AVERAGEIFS(RoadTra_BY!AP$2:AP$999,RoadTra_BY!$B$2:$B$999,'Road transport'!$C27,RoadTra_BY!$C$2:$C$999,'Road transport'!$AX27)</f>
        <v>#DIV/0!</v>
      </c>
      <c r="AI27" s="36" t="e">
        <f>AVERAGEIFS(RoadTra_BY!AQ$2:AQ$999,RoadTra_BY!$B$2:$B$999,'Road transport'!$C27,RoadTra_BY!$C$2:$C$999,'Road transport'!$AX27)</f>
        <v>#DIV/0!</v>
      </c>
      <c r="AJ27" s="36" t="e">
        <f>AVERAGEIFS(RoadTra_BY!AR$2:AR$999,RoadTra_BY!$B$2:$B$999,'Road transport'!$C27,RoadTra_BY!$C$2:$C$999,'Road transport'!$AX27)</f>
        <v>#DIV/0!</v>
      </c>
      <c r="AK27" s="36" t="e">
        <f>AVERAGEIFS(RoadTra_BY!AS$2:AS$999,RoadTra_BY!$B$2:$B$999,'Road transport'!$C27,RoadTra_BY!$C$2:$C$999,'Road transport'!$AX27)</f>
        <v>#DIV/0!</v>
      </c>
      <c r="AL27" s="36" t="e">
        <f>AVERAGEIFS(RoadTra_BY!AT$2:AT$999,RoadTra_BY!$B$2:$B$999,'Road transport'!$C27,RoadTra_BY!$C$2:$C$999,'Road transport'!$AX27)</f>
        <v>#DIV/0!</v>
      </c>
      <c r="AM27" s="36" t="e">
        <f>AVERAGEIFS(RoadTra_BY!AU$2:AU$999,RoadTra_BY!$B$2:$B$999,'Road transport'!$C27,RoadTra_BY!$C$2:$C$999,'Road transport'!$AX27)</f>
        <v>#DIV/0!</v>
      </c>
      <c r="AN27" s="36" t="e">
        <f>AVERAGEIFS(RoadTra_BY!AV$2:AV$999,RoadTra_BY!$B$2:$B$999,'Road transport'!$C27,RoadTra_BY!$C$2:$C$999,'Road transport'!$AX27)</f>
        <v>#DIV/0!</v>
      </c>
      <c r="AO27" s="36" t="e">
        <f>AVERAGEIFS(RoadTra_BY!AW$2:AW$999,RoadTra_BY!$B$2:$B$999,'Road transport'!$C27,RoadTra_BY!$C$2:$C$999,'Road transport'!$AX27)</f>
        <v>#DIV/0!</v>
      </c>
      <c r="AP27" s="36" t="e">
        <f>AVERAGEIFS(RoadTra_BY!AX$2:AX$999,RoadTra_BY!$B$2:$B$999,'Road transport'!$C27,RoadTra_BY!$C$2:$C$999,'Road transport'!$AX27)</f>
        <v>#DIV/0!</v>
      </c>
      <c r="AQ27" s="36" t="e">
        <f>AVERAGEIFS(RoadTra_BY!AY$2:AY$999,RoadTra_BY!$B$2:$B$999,'Road transport'!$C27,RoadTra_BY!$C$2:$C$999,'Road transport'!$AX27)</f>
        <v>#DIV/0!</v>
      </c>
      <c r="AR27" s="36" t="e">
        <f>AVERAGEIFS(RoadTra_BY!AZ$2:AZ$999,RoadTra_BY!$B$2:$B$999,'Road transport'!$C27,RoadTra_BY!$C$2:$C$999,'Road transport'!$AX27)</f>
        <v>#DIV/0!</v>
      </c>
      <c r="AS27" s="36" t="e">
        <f>AVERAGEIFS(RoadTra_BY!BA$2:BA$999,RoadTra_BY!$B$2:$B$999,'Road transport'!$C27,RoadTra_BY!$C$2:$C$999,'Road transport'!$AX27)</f>
        <v>#DIV/0!</v>
      </c>
      <c r="AT27" s="36" t="e">
        <f>AVERAGEIFS(RoadTra_BY!BB$2:BB$999,RoadTra_BY!$B$2:$B$999,'Road transport'!$C27,RoadTra_BY!$C$2:$C$999,'Road transport'!$AX27)</f>
        <v>#DIV/0!</v>
      </c>
      <c r="AU27" s="36" t="e">
        <f>AVERAGEIFS(RoadTra_BY!BC$2:BC$999,RoadTra_BY!$B$2:$B$999,'Road transport'!$C27,RoadTra_BY!$C$2:$C$999,'Road transport'!$AX27)</f>
        <v>#DIV/0!</v>
      </c>
      <c r="AV27" s="36" t="e">
        <f>AVERAGEIFS(RoadTra_BY!BD$2:BD$999,RoadTra_BY!$B$2:$B$999,'Road transport'!$C27,RoadTra_BY!$C$2:$C$999,'Road transport'!$AX27)</f>
        <v>#DIV/0!</v>
      </c>
      <c r="AW27" s="36" t="e">
        <f>AVERAGEIFS(RoadTra_BY!BE$2:BE$999,RoadTra_BY!$B$2:$B$999,'Road transport'!$C27,RoadTra_BY!$C$2:$C$999,'Road transport'!$AX27)</f>
        <v>#DIV/0!</v>
      </c>
      <c r="AX27" t="s">
        <v>104</v>
      </c>
    </row>
    <row r="28" spans="3:50">
      <c r="C28" t="s">
        <v>52</v>
      </c>
      <c r="D28" s="36" t="e">
        <f>AVERAGEIFS(RoadTra_BY!L$2:L$999,RoadTra_BY!$B$2:$B$999,'Road transport'!$C28,RoadTra_BY!$C$2:$C$999,'Road transport'!$AX28)</f>
        <v>#DIV/0!</v>
      </c>
      <c r="E28" s="36" t="e">
        <f>AVERAGEIFS(RoadTra_BY!M$2:M$999,RoadTra_BY!$B$2:$B$999,'Road transport'!$C28,RoadTra_BY!$C$2:$C$999,'Road transport'!$AX28)</f>
        <v>#DIV/0!</v>
      </c>
      <c r="F28" s="36" t="e">
        <f>AVERAGEIFS(RoadTra_BY!N$2:N$999,RoadTra_BY!$B$2:$B$999,'Road transport'!$C28,RoadTra_BY!$C$2:$C$999,'Road transport'!$AX28)</f>
        <v>#DIV/0!</v>
      </c>
      <c r="G28" s="36" t="e">
        <f>AVERAGEIFS(RoadTra_BY!O$2:O$999,RoadTra_BY!$B$2:$B$999,'Road transport'!$C28,RoadTra_BY!$C$2:$C$999,'Road transport'!$AX28)</f>
        <v>#DIV/0!</v>
      </c>
      <c r="H28" s="36" t="e">
        <f>AVERAGEIFS(RoadTra_BY!P$2:P$999,RoadTra_BY!$B$2:$B$999,'Road transport'!$C28,RoadTra_BY!$C$2:$C$999,'Road transport'!$AX28)</f>
        <v>#DIV/0!</v>
      </c>
      <c r="I28" s="36" t="e">
        <f>AVERAGEIFS(RoadTra_BY!Q$2:Q$999,RoadTra_BY!$B$2:$B$999,'Road transport'!$C28,RoadTra_BY!$C$2:$C$999,'Road transport'!$AX28)</f>
        <v>#DIV/0!</v>
      </c>
      <c r="J28" s="36" t="e">
        <f>AVERAGEIFS(RoadTra_BY!R$2:R$999,RoadTra_BY!$B$2:$B$999,'Road transport'!$C28,RoadTra_BY!$C$2:$C$999,'Road transport'!$AX28)</f>
        <v>#DIV/0!</v>
      </c>
      <c r="K28" s="36" t="e">
        <f>AVERAGEIFS(RoadTra_BY!S$2:S$999,RoadTra_BY!$B$2:$B$999,'Road transport'!$C28,RoadTra_BY!$C$2:$C$999,'Road transport'!$AX28)</f>
        <v>#DIV/0!</v>
      </c>
      <c r="L28" s="36" t="e">
        <f>AVERAGEIFS(RoadTra_BY!T$2:T$999,RoadTra_BY!$B$2:$B$999,'Road transport'!$C28,RoadTra_BY!$C$2:$C$999,'Road transport'!$AX28)</f>
        <v>#DIV/0!</v>
      </c>
      <c r="M28" s="36" t="e">
        <f>AVERAGEIFS(RoadTra_BY!U$2:U$999,RoadTra_BY!$B$2:$B$999,'Road transport'!$C28,RoadTra_BY!$C$2:$C$999,'Road transport'!$AX28)</f>
        <v>#DIV/0!</v>
      </c>
      <c r="N28" s="36" t="e">
        <f>AVERAGEIFS(RoadTra_BY!V$2:V$999,RoadTra_BY!$B$2:$B$999,'Road transport'!$C28,RoadTra_BY!$C$2:$C$999,'Road transport'!$AX28)</f>
        <v>#DIV/0!</v>
      </c>
      <c r="O28" s="36" t="e">
        <f>AVERAGEIFS(RoadTra_BY!W$2:W$999,RoadTra_BY!$B$2:$B$999,'Road transport'!$C28,RoadTra_BY!$C$2:$C$999,'Road transport'!$AX28)</f>
        <v>#DIV/0!</v>
      </c>
      <c r="P28" s="36" t="e">
        <f>AVERAGEIFS(RoadTra_BY!X$2:X$999,RoadTra_BY!$B$2:$B$999,'Road transport'!$C28,RoadTra_BY!$C$2:$C$999,'Road transport'!$AX28)</f>
        <v>#DIV/0!</v>
      </c>
      <c r="Q28" s="36" t="e">
        <f>AVERAGEIFS(RoadTra_BY!Y$2:Y$999,RoadTra_BY!$B$2:$B$999,'Road transport'!$C28,RoadTra_BY!$C$2:$C$999,'Road transport'!$AX28)</f>
        <v>#DIV/0!</v>
      </c>
      <c r="R28" s="36" t="e">
        <f>AVERAGEIFS(RoadTra_BY!Z$2:Z$999,RoadTra_BY!$B$2:$B$999,'Road transport'!$C28,RoadTra_BY!$C$2:$C$999,'Road transport'!$AX28)</f>
        <v>#DIV/0!</v>
      </c>
      <c r="S28" s="36" t="e">
        <f>AVERAGEIFS(RoadTra_BY!AA$2:AA$999,RoadTra_BY!$B$2:$B$999,'Road transport'!$C28,RoadTra_BY!$C$2:$C$999,'Road transport'!$AX28)</f>
        <v>#DIV/0!</v>
      </c>
      <c r="T28" s="36" t="e">
        <f>AVERAGEIFS(RoadTra_BY!AB$2:AB$999,RoadTra_BY!$B$2:$B$999,'Road transport'!$C28,RoadTra_BY!$C$2:$C$999,'Road transport'!$AX28)</f>
        <v>#DIV/0!</v>
      </c>
      <c r="U28" s="36" t="e">
        <f>AVERAGEIFS(RoadTra_BY!AC$2:AC$999,RoadTra_BY!$B$2:$B$999,'Road transport'!$C28,RoadTra_BY!$C$2:$C$999,'Road transport'!$AX28)</f>
        <v>#DIV/0!</v>
      </c>
      <c r="V28" s="36" t="e">
        <f>AVERAGEIFS(RoadTra_BY!AD$2:AD$999,RoadTra_BY!$B$2:$B$999,'Road transport'!$C28,RoadTra_BY!$C$2:$C$999,'Road transport'!$AX28)</f>
        <v>#DIV/0!</v>
      </c>
      <c r="W28" s="36" t="e">
        <f>AVERAGEIFS(RoadTra_BY!AE$2:AE$999,RoadTra_BY!$B$2:$B$999,'Road transport'!$C28,RoadTra_BY!$C$2:$C$999,'Road transport'!$AX28)</f>
        <v>#DIV/0!</v>
      </c>
      <c r="X28" s="36" t="e">
        <f>AVERAGEIFS(RoadTra_BY!AF$2:AF$999,RoadTra_BY!$B$2:$B$999,'Road transport'!$C28,RoadTra_BY!$C$2:$C$999,'Road transport'!$AX28)</f>
        <v>#DIV/0!</v>
      </c>
      <c r="Y28" s="36" t="e">
        <f>AVERAGEIFS(RoadTra_BY!AG$2:AG$999,RoadTra_BY!$B$2:$B$999,'Road transport'!$C28,RoadTra_BY!$C$2:$C$999,'Road transport'!$AX28)</f>
        <v>#DIV/0!</v>
      </c>
      <c r="Z28" s="36" t="e">
        <f>AVERAGEIFS(RoadTra_BY!AH$2:AH$999,RoadTra_BY!$B$2:$B$999,'Road transport'!$C28,RoadTra_BY!$C$2:$C$999,'Road transport'!$AX28)</f>
        <v>#DIV/0!</v>
      </c>
      <c r="AA28" s="36" t="e">
        <f>AVERAGEIFS(RoadTra_BY!AI$2:AI$999,RoadTra_BY!$B$2:$B$999,'Road transport'!$C28,RoadTra_BY!$C$2:$C$999,'Road transport'!$AX28)</f>
        <v>#DIV/0!</v>
      </c>
      <c r="AB28" s="36" t="e">
        <f>AVERAGEIFS(RoadTra_BY!AJ$2:AJ$999,RoadTra_BY!$B$2:$B$999,'Road transport'!$C28,RoadTra_BY!$C$2:$C$999,'Road transport'!$AX28)</f>
        <v>#DIV/0!</v>
      </c>
      <c r="AC28" s="36" t="e">
        <f>AVERAGEIFS(RoadTra_BY!AK$2:AK$999,RoadTra_BY!$B$2:$B$999,'Road transport'!$C28,RoadTra_BY!$C$2:$C$999,'Road transport'!$AX28)</f>
        <v>#DIV/0!</v>
      </c>
      <c r="AD28" s="36" t="e">
        <f>AVERAGEIFS(RoadTra_BY!AL$2:AL$999,RoadTra_BY!$B$2:$B$999,'Road transport'!$C28,RoadTra_BY!$C$2:$C$999,'Road transport'!$AX28)</f>
        <v>#DIV/0!</v>
      </c>
      <c r="AE28" s="36" t="e">
        <f>AVERAGEIFS(RoadTra_BY!AM$2:AM$999,RoadTra_BY!$B$2:$B$999,'Road transport'!$C28,RoadTra_BY!$C$2:$C$999,'Road transport'!$AX28)</f>
        <v>#DIV/0!</v>
      </c>
      <c r="AF28" s="36" t="e">
        <f>AVERAGEIFS(RoadTra_BY!AN$2:AN$999,RoadTra_BY!$B$2:$B$999,'Road transport'!$C28,RoadTra_BY!$C$2:$C$999,'Road transport'!$AX28)</f>
        <v>#DIV/0!</v>
      </c>
      <c r="AG28" s="36" t="e">
        <f>AVERAGEIFS(RoadTra_BY!AO$2:AO$999,RoadTra_BY!$B$2:$B$999,'Road transport'!$C28,RoadTra_BY!$C$2:$C$999,'Road transport'!$AX28)</f>
        <v>#DIV/0!</v>
      </c>
      <c r="AH28" s="36" t="e">
        <f>AVERAGEIFS(RoadTra_BY!AP$2:AP$999,RoadTra_BY!$B$2:$B$999,'Road transport'!$C28,RoadTra_BY!$C$2:$C$999,'Road transport'!$AX28)</f>
        <v>#DIV/0!</v>
      </c>
      <c r="AI28" s="36" t="e">
        <f>AVERAGEIFS(RoadTra_BY!AQ$2:AQ$999,RoadTra_BY!$B$2:$B$999,'Road transport'!$C28,RoadTra_BY!$C$2:$C$999,'Road transport'!$AX28)</f>
        <v>#DIV/0!</v>
      </c>
      <c r="AJ28" s="36" t="e">
        <f>AVERAGEIFS(RoadTra_BY!AR$2:AR$999,RoadTra_BY!$B$2:$B$999,'Road transport'!$C28,RoadTra_BY!$C$2:$C$999,'Road transport'!$AX28)</f>
        <v>#DIV/0!</v>
      </c>
      <c r="AK28" s="36" t="e">
        <f>AVERAGEIFS(RoadTra_BY!AS$2:AS$999,RoadTra_BY!$B$2:$B$999,'Road transport'!$C28,RoadTra_BY!$C$2:$C$999,'Road transport'!$AX28)</f>
        <v>#DIV/0!</v>
      </c>
      <c r="AL28" s="36" t="e">
        <f>AVERAGEIFS(RoadTra_BY!AT$2:AT$999,RoadTra_BY!$B$2:$B$999,'Road transport'!$C28,RoadTra_BY!$C$2:$C$999,'Road transport'!$AX28)</f>
        <v>#DIV/0!</v>
      </c>
      <c r="AM28" s="36" t="e">
        <f>AVERAGEIFS(RoadTra_BY!AU$2:AU$999,RoadTra_BY!$B$2:$B$999,'Road transport'!$C28,RoadTra_BY!$C$2:$C$999,'Road transport'!$AX28)</f>
        <v>#DIV/0!</v>
      </c>
      <c r="AN28" s="36" t="e">
        <f>AVERAGEIFS(RoadTra_BY!AV$2:AV$999,RoadTra_BY!$B$2:$B$999,'Road transport'!$C28,RoadTra_BY!$C$2:$C$999,'Road transport'!$AX28)</f>
        <v>#DIV/0!</v>
      </c>
      <c r="AO28" s="36" t="e">
        <f>AVERAGEIFS(RoadTra_BY!AW$2:AW$999,RoadTra_BY!$B$2:$B$999,'Road transport'!$C28,RoadTra_BY!$C$2:$C$999,'Road transport'!$AX28)</f>
        <v>#DIV/0!</v>
      </c>
      <c r="AP28" s="36" t="e">
        <f>AVERAGEIFS(RoadTra_BY!AX$2:AX$999,RoadTra_BY!$B$2:$B$999,'Road transport'!$C28,RoadTra_BY!$C$2:$C$999,'Road transport'!$AX28)</f>
        <v>#DIV/0!</v>
      </c>
      <c r="AQ28" s="36" t="e">
        <f>AVERAGEIFS(RoadTra_BY!AY$2:AY$999,RoadTra_BY!$B$2:$B$999,'Road transport'!$C28,RoadTra_BY!$C$2:$C$999,'Road transport'!$AX28)</f>
        <v>#DIV/0!</v>
      </c>
      <c r="AR28" s="36" t="e">
        <f>AVERAGEIFS(RoadTra_BY!AZ$2:AZ$999,RoadTra_BY!$B$2:$B$999,'Road transport'!$C28,RoadTra_BY!$C$2:$C$999,'Road transport'!$AX28)</f>
        <v>#DIV/0!</v>
      </c>
      <c r="AS28" s="36" t="e">
        <f>AVERAGEIFS(RoadTra_BY!BA$2:BA$999,RoadTra_BY!$B$2:$B$999,'Road transport'!$C28,RoadTra_BY!$C$2:$C$999,'Road transport'!$AX28)</f>
        <v>#DIV/0!</v>
      </c>
      <c r="AT28" s="36" t="e">
        <f>AVERAGEIFS(RoadTra_BY!BB$2:BB$999,RoadTra_BY!$B$2:$B$999,'Road transport'!$C28,RoadTra_BY!$C$2:$C$999,'Road transport'!$AX28)</f>
        <v>#DIV/0!</v>
      </c>
      <c r="AU28" s="36" t="e">
        <f>AVERAGEIFS(RoadTra_BY!BC$2:BC$999,RoadTra_BY!$B$2:$B$999,'Road transport'!$C28,RoadTra_BY!$C$2:$C$999,'Road transport'!$AX28)</f>
        <v>#DIV/0!</v>
      </c>
      <c r="AV28" s="36" t="e">
        <f>AVERAGEIFS(RoadTra_BY!BD$2:BD$999,RoadTra_BY!$B$2:$B$999,'Road transport'!$C28,RoadTra_BY!$C$2:$C$999,'Road transport'!$AX28)</f>
        <v>#DIV/0!</v>
      </c>
      <c r="AW28" s="36" t="e">
        <f>AVERAGEIFS(RoadTra_BY!BE$2:BE$999,RoadTra_BY!$B$2:$B$999,'Road transport'!$C28,RoadTra_BY!$C$2:$C$999,'Road transport'!$AX28)</f>
        <v>#DIV/0!</v>
      </c>
      <c r="AX28" t="s">
        <v>105</v>
      </c>
    </row>
    <row r="31" spans="3:3">
      <c r="C31" t="s">
        <v>106</v>
      </c>
    </row>
    <row r="32" spans="3:50">
      <c r="C32" t="s">
        <v>71</v>
      </c>
      <c r="D32" t="str">
        <f>IF(RoadTra_BY!L$1="","\I:",RoadTra_BY!L$1)</f>
        <v>valfield</v>
      </c>
      <c r="E32" t="str">
        <f>IF(RoadTra_BY!M$1="","\I:",RoadTra_BY!M$1)</f>
        <v>\I:</v>
      </c>
      <c r="F32" t="str">
        <f>IF(RoadTra_BY!N$1="","\I:",RoadTra_BY!N$1)</f>
        <v>\I:</v>
      </c>
      <c r="G32" t="str">
        <f>IF(RoadTra_BY!O$1="","\I:",RoadTra_BY!O$1)</f>
        <v>\I:</v>
      </c>
      <c r="H32" t="str">
        <f>IF(RoadTra_BY!P$1="","\I:",RoadTra_BY!P$1)</f>
        <v>\I:</v>
      </c>
      <c r="I32" t="str">
        <f>IF(RoadTra_BY!Q$1="","\I:",RoadTra_BY!Q$1)</f>
        <v>\I:</v>
      </c>
      <c r="J32" t="str">
        <f>IF(RoadTra_BY!R$1="","\I:",RoadTra_BY!R$1)</f>
        <v>\I:</v>
      </c>
      <c r="K32" t="str">
        <f>IF(RoadTra_BY!S$1="","\I:",RoadTra_BY!S$1)</f>
        <v>\I:</v>
      </c>
      <c r="L32" t="str">
        <f>IF(RoadTra_BY!T$1="","\I:",RoadTra_BY!T$1)</f>
        <v>\I:</v>
      </c>
      <c r="M32" t="str">
        <f>IF(RoadTra_BY!U$1="","\I:",RoadTra_BY!U$1)</f>
        <v>\I:</v>
      </c>
      <c r="N32" t="str">
        <f>IF(RoadTra_BY!V$1="","\I:",RoadTra_BY!V$1)</f>
        <v>\I:</v>
      </c>
      <c r="O32" t="str">
        <f>IF(RoadTra_BY!W$1="","\I:",RoadTra_BY!W$1)</f>
        <v>\I:</v>
      </c>
      <c r="P32" t="str">
        <f>IF(RoadTra_BY!X$1="","\I:",RoadTra_BY!X$1)</f>
        <v>\I:</v>
      </c>
      <c r="Q32" t="str">
        <f>IF(RoadTra_BY!Y$1="","\I:",RoadTra_BY!Y$1)</f>
        <v>\I:</v>
      </c>
      <c r="R32" t="str">
        <f>IF(RoadTra_BY!Z$1="","\I:",RoadTra_BY!Z$1)</f>
        <v>\I:</v>
      </c>
      <c r="S32" t="str">
        <f>IF(RoadTra_BY!AA$1="","\I:",RoadTra_BY!AA$1)</f>
        <v>\I:</v>
      </c>
      <c r="T32" t="str">
        <f>IF(RoadTra_BY!AB$1="","\I:",RoadTra_BY!AB$1)</f>
        <v>\I:</v>
      </c>
      <c r="U32" t="str">
        <f>IF(RoadTra_BY!AC$1="","\I:",RoadTra_BY!AC$1)</f>
        <v>\I:</v>
      </c>
      <c r="V32" t="str">
        <f>IF(RoadTra_BY!AD$1="","\I:",RoadTra_BY!AD$1)</f>
        <v>\I:</v>
      </c>
      <c r="W32" t="str">
        <f>IF(RoadTra_BY!AE$1="","\I:",RoadTra_BY!AE$1)</f>
        <v>\I:</v>
      </c>
      <c r="X32" t="str">
        <f>IF(RoadTra_BY!AF$1="","\I:",RoadTra_BY!AF$1)</f>
        <v>\I:</v>
      </c>
      <c r="Y32" t="str">
        <f>IF(RoadTra_BY!AG$1="","\I:",RoadTra_BY!AG$1)</f>
        <v>\I:</v>
      </c>
      <c r="Z32" t="str">
        <f>IF(RoadTra_BY!AH$1="","\I:",RoadTra_BY!AH$1)</f>
        <v>\I:</v>
      </c>
      <c r="AA32" t="str">
        <f>IF(RoadTra_BY!AI$1="","\I:",RoadTra_BY!AI$1)</f>
        <v>\I:</v>
      </c>
      <c r="AB32" t="str">
        <f>IF(RoadTra_BY!AJ$1="","\I:",RoadTra_BY!AJ$1)</f>
        <v>\I:</v>
      </c>
      <c r="AC32" t="str">
        <f>IF(RoadTra_BY!AK$1="","\I:",RoadTra_BY!AK$1)</f>
        <v>\I:</v>
      </c>
      <c r="AD32" t="str">
        <f>IF(RoadTra_BY!AL$1="","\I:",RoadTra_BY!AL$1)</f>
        <v>\I:</v>
      </c>
      <c r="AE32" t="str">
        <f>IF(RoadTra_BY!AM$1="","\I:",RoadTra_BY!AM$1)</f>
        <v>\I:</v>
      </c>
      <c r="AF32" t="str">
        <f>IF(RoadTra_BY!AN$1="","\I:",RoadTra_BY!AN$1)</f>
        <v>\I:</v>
      </c>
      <c r="AG32" t="str">
        <f>IF(RoadTra_BY!AO$1="","\I:",RoadTra_BY!AO$1)</f>
        <v>\I:</v>
      </c>
      <c r="AH32" t="str">
        <f>IF(RoadTra_BY!AP$1="","\I:",RoadTra_BY!AP$1)</f>
        <v>\I:</v>
      </c>
      <c r="AI32" t="str">
        <f>IF(RoadTra_BY!AQ$1="","\I:",RoadTra_BY!AQ$1)</f>
        <v>\I:</v>
      </c>
      <c r="AJ32" t="str">
        <f>IF(RoadTra_BY!AR$1="","\I:",RoadTra_BY!AR$1)</f>
        <v>\I:</v>
      </c>
      <c r="AK32" t="str">
        <f>IF(RoadTra_BY!AS$1="","\I:",RoadTra_BY!AS$1)</f>
        <v>\I:</v>
      </c>
      <c r="AL32" t="str">
        <f>IF(RoadTra_BY!AT$1="","\I:",RoadTra_BY!AT$1)</f>
        <v>\I:</v>
      </c>
      <c r="AM32" t="str">
        <f>IF(RoadTra_BY!AU$1="","\I:",RoadTra_BY!AU$1)</f>
        <v>\I:</v>
      </c>
      <c r="AN32" t="str">
        <f>IF(RoadTra_BY!AV$1="","\I:",RoadTra_BY!AV$1)</f>
        <v>\I:</v>
      </c>
      <c r="AO32" t="str">
        <f>IF(RoadTra_BY!AW$1="","\I:",RoadTra_BY!AW$1)</f>
        <v>\I:</v>
      </c>
      <c r="AP32" t="str">
        <f>IF(RoadTra_BY!AX$1="","\I:",RoadTra_BY!AX$1)</f>
        <v>\I:</v>
      </c>
      <c r="AQ32" t="str">
        <f>IF(RoadTra_BY!AY$1="","\I:",RoadTra_BY!AY$1)</f>
        <v>\I:</v>
      </c>
      <c r="AR32" t="str">
        <f>IF(RoadTra_BY!AZ$1="","\I:",RoadTra_BY!AZ$1)</f>
        <v>\I:</v>
      </c>
      <c r="AS32" t="str">
        <f>IF(RoadTra_BY!BA$1="","\I:",RoadTra_BY!BA$1)</f>
        <v>\I:</v>
      </c>
      <c r="AT32" t="str">
        <f>IF(RoadTra_BY!BB$1="","\I:",RoadTra_BY!BB$1)</f>
        <v>\I:</v>
      </c>
      <c r="AU32" t="str">
        <f>IF(RoadTra_BY!BC$1="","\I:",RoadTra_BY!BC$1)</f>
        <v>\I:</v>
      </c>
      <c r="AV32" t="str">
        <f>IF(RoadTra_BY!BD$1="","\I:",RoadTra_BY!BD$1)</f>
        <v>\I:</v>
      </c>
      <c r="AW32" t="str">
        <f>IF(RoadTra_BY!BE$1="","\I:",RoadTra_BY!BE$1)</f>
        <v>\I:</v>
      </c>
      <c r="AX32" t="s">
        <v>45</v>
      </c>
    </row>
    <row r="33" spans="3:53">
      <c r="C33" t="s">
        <v>62</v>
      </c>
      <c r="D33" t="str">
        <f>"*"&amp;ROUND(SUMIFS(RoadTra_BY!L$2:L$79,RoadTra_BY!$B$2:$B$79,'Road transport'!$C33,RoadTra_BY!$C$2:$C$79,'Road transport'!$BA33),3)</f>
        <v>*0</v>
      </c>
      <c r="E33" t="str">
        <f>"*"&amp;ROUND(SUMIFS(RoadTra_BY!M$2:M$79,RoadTra_BY!$B$2:$B$79,'Road transport'!$C33,RoadTra_BY!$C$2:$C$79,'Road transport'!$BA33),3)</f>
        <v>*0</v>
      </c>
      <c r="F33" t="str">
        <f>"*"&amp;ROUND(SUMIFS(RoadTra_BY!N$2:N$79,RoadTra_BY!$B$2:$B$79,'Road transport'!$C33,RoadTra_BY!$C$2:$C$79,'Road transport'!$BA33),3)</f>
        <v>*0</v>
      </c>
      <c r="G33" t="str">
        <f>"*"&amp;ROUND(SUMIFS(RoadTra_BY!O$2:O$79,RoadTra_BY!$B$2:$B$79,'Road transport'!$C33,RoadTra_BY!$C$2:$C$79,'Road transport'!$BA33),3)</f>
        <v>*0</v>
      </c>
      <c r="H33" t="str">
        <f>"*"&amp;ROUND(SUMIFS(RoadTra_BY!P$2:P$79,RoadTra_BY!$B$2:$B$79,'Road transport'!$C33,RoadTra_BY!$C$2:$C$79,'Road transport'!$BA33),3)</f>
        <v>*0</v>
      </c>
      <c r="I33" t="str">
        <f>"*"&amp;ROUND(SUMIFS(RoadTra_BY!Q$2:Q$79,RoadTra_BY!$B$2:$B$79,'Road transport'!$C33,RoadTra_BY!$C$2:$C$79,'Road transport'!$BA33),3)</f>
        <v>*0</v>
      </c>
      <c r="J33" t="str">
        <f>"*"&amp;ROUND(SUMIFS(RoadTra_BY!R$2:R$79,RoadTra_BY!$B$2:$B$79,'Road transport'!$C33,RoadTra_BY!$C$2:$C$79,'Road transport'!$BA33),3)</f>
        <v>*0</v>
      </c>
      <c r="K33" t="str">
        <f>"*"&amp;ROUND(SUMIFS(RoadTra_BY!S$2:S$79,RoadTra_BY!$B$2:$B$79,'Road transport'!$C33,RoadTra_BY!$C$2:$C$79,'Road transport'!$BA33),3)</f>
        <v>*0</v>
      </c>
      <c r="L33" t="str">
        <f>"*"&amp;ROUND(SUMIFS(RoadTra_BY!T$2:T$79,RoadTra_BY!$B$2:$B$79,'Road transport'!$C33,RoadTra_BY!$C$2:$C$79,'Road transport'!$BA33),3)</f>
        <v>*0</v>
      </c>
      <c r="M33" t="str">
        <f>"*"&amp;ROUND(SUMIFS(RoadTra_BY!U$2:U$79,RoadTra_BY!$B$2:$B$79,'Road transport'!$C33,RoadTra_BY!$C$2:$C$79,'Road transport'!$BA33),3)</f>
        <v>*0</v>
      </c>
      <c r="N33" t="str">
        <f>"*"&amp;ROUND(SUMIFS(RoadTra_BY!V$2:V$79,RoadTra_BY!$B$2:$B$79,'Road transport'!$C33,RoadTra_BY!$C$2:$C$79,'Road transport'!$BA33),3)</f>
        <v>*0</v>
      </c>
      <c r="O33" t="str">
        <f>"*"&amp;ROUND(SUMIFS(RoadTra_BY!W$2:W$79,RoadTra_BY!$B$2:$B$79,'Road transport'!$C33,RoadTra_BY!$C$2:$C$79,'Road transport'!$BA33),3)</f>
        <v>*0</v>
      </c>
      <c r="P33" t="str">
        <f>"*"&amp;ROUND(SUMIFS(RoadTra_BY!X$2:X$79,RoadTra_BY!$B$2:$B$79,'Road transport'!$C33,RoadTra_BY!$C$2:$C$79,'Road transport'!$BA33),3)</f>
        <v>*0</v>
      </c>
      <c r="Q33" t="str">
        <f>"*"&amp;ROUND(SUMIFS(RoadTra_BY!Y$2:Y$79,RoadTra_BY!$B$2:$B$79,'Road transport'!$C33,RoadTra_BY!$C$2:$C$79,'Road transport'!$BA33),3)</f>
        <v>*0</v>
      </c>
      <c r="R33" t="str">
        <f>"*"&amp;ROUND(SUMIFS(RoadTra_BY!Z$2:Z$79,RoadTra_BY!$B$2:$B$79,'Road transport'!$C33,RoadTra_BY!$C$2:$C$79,'Road transport'!$BA33),3)</f>
        <v>*0</v>
      </c>
      <c r="S33" t="str">
        <f>"*"&amp;ROUND(SUMIFS(RoadTra_BY!AA$2:AA$79,RoadTra_BY!$B$2:$B$79,'Road transport'!$C33,RoadTra_BY!$C$2:$C$79,'Road transport'!$BA33),3)</f>
        <v>*0</v>
      </c>
      <c r="T33" t="str">
        <f>"*"&amp;ROUND(SUMIFS(RoadTra_BY!AB$2:AB$79,RoadTra_BY!$B$2:$B$79,'Road transport'!$C33,RoadTra_BY!$C$2:$C$79,'Road transport'!$BA33),3)</f>
        <v>*0</v>
      </c>
      <c r="U33" t="str">
        <f>"*"&amp;ROUND(SUMIFS(RoadTra_BY!AC$2:AC$79,RoadTra_BY!$B$2:$B$79,'Road transport'!$C33,RoadTra_BY!$C$2:$C$79,'Road transport'!$BA33),3)</f>
        <v>*0</v>
      </c>
      <c r="V33" t="str">
        <f>"*"&amp;ROUND(SUMIFS(RoadTra_BY!AD$2:AD$79,RoadTra_BY!$B$2:$B$79,'Road transport'!$C33,RoadTra_BY!$C$2:$C$79,'Road transport'!$BA33),3)</f>
        <v>*0</v>
      </c>
      <c r="W33" t="str">
        <f>"*"&amp;ROUND(SUMIFS(RoadTra_BY!AE$2:AE$79,RoadTra_BY!$B$2:$B$79,'Road transport'!$C33,RoadTra_BY!$C$2:$C$79,'Road transport'!$BA33),3)</f>
        <v>*0</v>
      </c>
      <c r="X33" t="str">
        <f>"*"&amp;ROUND(SUMIFS(RoadTra_BY!AF$2:AF$79,RoadTra_BY!$B$2:$B$79,'Road transport'!$C33,RoadTra_BY!$C$2:$C$79,'Road transport'!$BA33),3)</f>
        <v>*0</v>
      </c>
      <c r="Y33" t="str">
        <f>"*"&amp;ROUND(SUMIFS(RoadTra_BY!AG$2:AG$79,RoadTra_BY!$B$2:$B$79,'Road transport'!$C33,RoadTra_BY!$C$2:$C$79,'Road transport'!$BA33),3)</f>
        <v>*0</v>
      </c>
      <c r="Z33" t="str">
        <f>"*"&amp;ROUND(SUMIFS(RoadTra_BY!AH$2:AH$79,RoadTra_BY!$B$2:$B$79,'Road transport'!$C33,RoadTra_BY!$C$2:$C$79,'Road transport'!$BA33),3)</f>
        <v>*0</v>
      </c>
      <c r="AA33" t="str">
        <f>"*"&amp;ROUND(SUMIFS(RoadTra_BY!AI$2:AI$79,RoadTra_BY!$B$2:$B$79,'Road transport'!$C33,RoadTra_BY!$C$2:$C$79,'Road transport'!$BA33),3)</f>
        <v>*0</v>
      </c>
      <c r="AB33" t="str">
        <f>"*"&amp;ROUND(SUMIFS(RoadTra_BY!AJ$2:AJ$79,RoadTra_BY!$B$2:$B$79,'Road transport'!$C33,RoadTra_BY!$C$2:$C$79,'Road transport'!$BA33),3)</f>
        <v>*0</v>
      </c>
      <c r="AC33" t="str">
        <f>"*"&amp;ROUND(SUMIFS(RoadTra_BY!AK$2:AK$79,RoadTra_BY!$B$2:$B$79,'Road transport'!$C33,RoadTra_BY!$C$2:$C$79,'Road transport'!$BA33),3)</f>
        <v>*0</v>
      </c>
      <c r="AD33" t="str">
        <f>"*"&amp;ROUND(SUMIFS(RoadTra_BY!AL$2:AL$79,RoadTra_BY!$B$2:$B$79,'Road transport'!$C33,RoadTra_BY!$C$2:$C$79,'Road transport'!$BA33),3)</f>
        <v>*0</v>
      </c>
      <c r="AE33" t="str">
        <f>"*"&amp;ROUND(SUMIFS(RoadTra_BY!AM$2:AM$79,RoadTra_BY!$B$2:$B$79,'Road transport'!$C33,RoadTra_BY!$C$2:$C$79,'Road transport'!$BA33),3)</f>
        <v>*0</v>
      </c>
      <c r="AF33" t="str">
        <f>"*"&amp;ROUND(SUMIFS(RoadTra_BY!AN$2:AN$79,RoadTra_BY!$B$2:$B$79,'Road transport'!$C33,RoadTra_BY!$C$2:$C$79,'Road transport'!$BA33),3)</f>
        <v>*0</v>
      </c>
      <c r="AG33" t="str">
        <f>"*"&amp;ROUND(SUMIFS(RoadTra_BY!AO$2:AO$79,RoadTra_BY!$B$2:$B$79,'Road transport'!$C33,RoadTra_BY!$C$2:$C$79,'Road transport'!$BA33),3)</f>
        <v>*0</v>
      </c>
      <c r="AH33" t="str">
        <f>"*"&amp;ROUND(SUMIFS(RoadTra_BY!AP$2:AP$79,RoadTra_BY!$B$2:$B$79,'Road transport'!$C33,RoadTra_BY!$C$2:$C$79,'Road transport'!$BA33),3)</f>
        <v>*0</v>
      </c>
      <c r="AI33" t="str">
        <f>"*"&amp;ROUND(SUMIFS(RoadTra_BY!AQ$2:AQ$79,RoadTra_BY!$B$2:$B$79,'Road transport'!$C33,RoadTra_BY!$C$2:$C$79,'Road transport'!$BA33),3)</f>
        <v>*0</v>
      </c>
      <c r="AJ33" t="str">
        <f>"*"&amp;ROUND(SUMIFS(RoadTra_BY!AR$2:AR$79,RoadTra_BY!$B$2:$B$79,'Road transport'!$C33,RoadTra_BY!$C$2:$C$79,'Road transport'!$BA33),3)</f>
        <v>*0</v>
      </c>
      <c r="AK33" t="str">
        <f>"*"&amp;ROUND(SUMIFS(RoadTra_BY!AS$2:AS$79,RoadTra_BY!$B$2:$B$79,'Road transport'!$C33,RoadTra_BY!$C$2:$C$79,'Road transport'!$BA33),3)</f>
        <v>*0</v>
      </c>
      <c r="AL33" t="str">
        <f>"*"&amp;ROUND(SUMIFS(RoadTra_BY!AT$2:AT$79,RoadTra_BY!$B$2:$B$79,'Road transport'!$C33,RoadTra_BY!$C$2:$C$79,'Road transport'!$BA33),3)</f>
        <v>*0</v>
      </c>
      <c r="AM33" t="str">
        <f>"*"&amp;ROUND(SUMIFS(RoadTra_BY!AU$2:AU$79,RoadTra_BY!$B$2:$B$79,'Road transport'!$C33,RoadTra_BY!$C$2:$C$79,'Road transport'!$BA33),3)</f>
        <v>*0</v>
      </c>
      <c r="AN33" t="str">
        <f>"*"&amp;ROUND(SUMIFS(RoadTra_BY!AV$2:AV$79,RoadTra_BY!$B$2:$B$79,'Road transport'!$C33,RoadTra_BY!$C$2:$C$79,'Road transport'!$BA33),3)</f>
        <v>*0</v>
      </c>
      <c r="AO33" t="str">
        <f>"*"&amp;ROUND(SUMIFS(RoadTra_BY!AW$2:AW$79,RoadTra_BY!$B$2:$B$79,'Road transport'!$C33,RoadTra_BY!$C$2:$C$79,'Road transport'!$BA33),3)</f>
        <v>*0</v>
      </c>
      <c r="AP33" t="str">
        <f>"*"&amp;ROUND(SUMIFS(RoadTra_BY!AX$2:AX$79,RoadTra_BY!$B$2:$B$79,'Road transport'!$C33,RoadTra_BY!$C$2:$C$79,'Road transport'!$BA33),3)</f>
        <v>*0</v>
      </c>
      <c r="AQ33" t="str">
        <f>"*"&amp;ROUND(SUMIFS(RoadTra_BY!AY$2:AY$79,RoadTra_BY!$B$2:$B$79,'Road transport'!$C33,RoadTra_BY!$C$2:$C$79,'Road transport'!$BA33),3)</f>
        <v>*0</v>
      </c>
      <c r="AR33" t="str">
        <f>"*"&amp;ROUND(SUMIFS(RoadTra_BY!AZ$2:AZ$79,RoadTra_BY!$B$2:$B$79,'Road transport'!$C33,RoadTra_BY!$C$2:$C$79,'Road transport'!$BA33),3)</f>
        <v>*0</v>
      </c>
      <c r="AS33" t="str">
        <f>"*"&amp;ROUND(SUMIFS(RoadTra_BY!BA$2:BA$79,RoadTra_BY!$B$2:$B$79,'Road transport'!$C33,RoadTra_BY!$C$2:$C$79,'Road transport'!$BA33),3)</f>
        <v>*0</v>
      </c>
      <c r="AT33" t="str">
        <f>"*"&amp;ROUND(SUMIFS(RoadTra_BY!BB$2:BB$79,RoadTra_BY!$B$2:$B$79,'Road transport'!$C33,RoadTra_BY!$C$2:$C$79,'Road transport'!$BA33),3)</f>
        <v>*0</v>
      </c>
      <c r="AU33" t="str">
        <f>"*"&amp;ROUND(SUMIFS(RoadTra_BY!BC$2:BC$79,RoadTra_BY!$B$2:$B$79,'Road transport'!$C33,RoadTra_BY!$C$2:$C$79,'Road transport'!$BA33),3)</f>
        <v>*0</v>
      </c>
      <c r="AV33" t="str">
        <f>"*"&amp;ROUND(SUMIFS(RoadTra_BY!BD$2:BD$79,RoadTra_BY!$B$2:$B$79,'Road transport'!$C33,RoadTra_BY!$C$2:$C$79,'Road transport'!$BA33),3)</f>
        <v>*0</v>
      </c>
      <c r="AW33" t="str">
        <f>"*"&amp;ROUND(SUMIFS(RoadTra_BY!BE$2:BE$79,RoadTra_BY!$B$2:$B$79,'Road transport'!$C33,RoadTra_BY!$C$2:$C$79,'Road transport'!$BA33),3)</f>
        <v>*0</v>
      </c>
      <c r="AX33" t="str">
        <f>SUBSTITUTE(SUBSTITUTE(BA33,"gsl",""),"dsl","")&amp;"*"</f>
        <v>Trd_2w_*</v>
      </c>
      <c r="AZ33">
        <f t="shared" ref="AZ33:AZ38" si="0">IFERROR(IF(FIND("gsl",BA33)&gt;0,1,0),2)</f>
        <v>1</v>
      </c>
      <c r="BA33" t="s">
        <v>107</v>
      </c>
    </row>
    <row r="34" spans="3:53">
      <c r="C34" t="s">
        <v>62</v>
      </c>
      <c r="D34" t="str">
        <f>"*"&amp;ROUND(SUMIFS(RoadTra_BY!L$2:L$79,RoadTra_BY!$B$2:$B$79,'Road transport'!$C34,RoadTra_BY!$C$2:$C$79,'Road transport'!$BA34),3)</f>
        <v>*0</v>
      </c>
      <c r="E34" t="str">
        <f>"*"&amp;ROUND(SUMIFS(RoadTra_BY!M$2:M$79,RoadTra_BY!$B$2:$B$79,'Road transport'!$C34,RoadTra_BY!$C$2:$C$79,'Road transport'!$BA34),3)</f>
        <v>*0</v>
      </c>
      <c r="F34" t="str">
        <f>"*"&amp;ROUND(SUMIFS(RoadTra_BY!N$2:N$79,RoadTra_BY!$B$2:$B$79,'Road transport'!$C34,RoadTra_BY!$C$2:$C$79,'Road transport'!$BA34),3)</f>
        <v>*0</v>
      </c>
      <c r="G34" t="str">
        <f>"*"&amp;ROUND(SUMIFS(RoadTra_BY!O$2:O$79,RoadTra_BY!$B$2:$B$79,'Road transport'!$C34,RoadTra_BY!$C$2:$C$79,'Road transport'!$BA34),3)</f>
        <v>*0</v>
      </c>
      <c r="H34" t="str">
        <f>"*"&amp;ROUND(SUMIFS(RoadTra_BY!P$2:P$79,RoadTra_BY!$B$2:$B$79,'Road transport'!$C34,RoadTra_BY!$C$2:$C$79,'Road transport'!$BA34),3)</f>
        <v>*0</v>
      </c>
      <c r="I34" t="str">
        <f>"*"&amp;ROUND(SUMIFS(RoadTra_BY!Q$2:Q$79,RoadTra_BY!$B$2:$B$79,'Road transport'!$C34,RoadTra_BY!$C$2:$C$79,'Road transport'!$BA34),3)</f>
        <v>*0</v>
      </c>
      <c r="J34" t="str">
        <f>"*"&amp;ROUND(SUMIFS(RoadTra_BY!R$2:R$79,RoadTra_BY!$B$2:$B$79,'Road transport'!$C34,RoadTra_BY!$C$2:$C$79,'Road transport'!$BA34),3)</f>
        <v>*0</v>
      </c>
      <c r="K34" t="str">
        <f>"*"&amp;ROUND(SUMIFS(RoadTra_BY!S$2:S$79,RoadTra_BY!$B$2:$B$79,'Road transport'!$C34,RoadTra_BY!$C$2:$C$79,'Road transport'!$BA34),3)</f>
        <v>*0</v>
      </c>
      <c r="L34" t="str">
        <f>"*"&amp;ROUND(SUMIFS(RoadTra_BY!T$2:T$79,RoadTra_BY!$B$2:$B$79,'Road transport'!$C34,RoadTra_BY!$C$2:$C$79,'Road transport'!$BA34),3)</f>
        <v>*0</v>
      </c>
      <c r="M34" t="str">
        <f>"*"&amp;ROUND(SUMIFS(RoadTra_BY!U$2:U$79,RoadTra_BY!$B$2:$B$79,'Road transport'!$C34,RoadTra_BY!$C$2:$C$79,'Road transport'!$BA34),3)</f>
        <v>*0</v>
      </c>
      <c r="N34" t="str">
        <f>"*"&amp;ROUND(SUMIFS(RoadTra_BY!V$2:V$79,RoadTra_BY!$B$2:$B$79,'Road transport'!$C34,RoadTra_BY!$C$2:$C$79,'Road transport'!$BA34),3)</f>
        <v>*0</v>
      </c>
      <c r="O34" t="str">
        <f>"*"&amp;ROUND(SUMIFS(RoadTra_BY!W$2:W$79,RoadTra_BY!$B$2:$B$79,'Road transport'!$C34,RoadTra_BY!$C$2:$C$79,'Road transport'!$BA34),3)</f>
        <v>*0</v>
      </c>
      <c r="P34" t="str">
        <f>"*"&amp;ROUND(SUMIFS(RoadTra_BY!X$2:X$79,RoadTra_BY!$B$2:$B$79,'Road transport'!$C34,RoadTra_BY!$C$2:$C$79,'Road transport'!$BA34),3)</f>
        <v>*0</v>
      </c>
      <c r="Q34" t="str">
        <f>"*"&amp;ROUND(SUMIFS(RoadTra_BY!Y$2:Y$79,RoadTra_BY!$B$2:$B$79,'Road transport'!$C34,RoadTra_BY!$C$2:$C$79,'Road transport'!$BA34),3)</f>
        <v>*0</v>
      </c>
      <c r="R34" t="str">
        <f>"*"&amp;ROUND(SUMIFS(RoadTra_BY!Z$2:Z$79,RoadTra_BY!$B$2:$B$79,'Road transport'!$C34,RoadTra_BY!$C$2:$C$79,'Road transport'!$BA34),3)</f>
        <v>*0</v>
      </c>
      <c r="S34" t="str">
        <f>"*"&amp;ROUND(SUMIFS(RoadTra_BY!AA$2:AA$79,RoadTra_BY!$B$2:$B$79,'Road transport'!$C34,RoadTra_BY!$C$2:$C$79,'Road transport'!$BA34),3)</f>
        <v>*0</v>
      </c>
      <c r="T34" t="str">
        <f>"*"&amp;ROUND(SUMIFS(RoadTra_BY!AB$2:AB$79,RoadTra_BY!$B$2:$B$79,'Road transport'!$C34,RoadTra_BY!$C$2:$C$79,'Road transport'!$BA34),3)</f>
        <v>*0</v>
      </c>
      <c r="U34" t="str">
        <f>"*"&amp;ROUND(SUMIFS(RoadTra_BY!AC$2:AC$79,RoadTra_BY!$B$2:$B$79,'Road transport'!$C34,RoadTra_BY!$C$2:$C$79,'Road transport'!$BA34),3)</f>
        <v>*0</v>
      </c>
      <c r="V34" t="str">
        <f>"*"&amp;ROUND(SUMIFS(RoadTra_BY!AD$2:AD$79,RoadTra_BY!$B$2:$B$79,'Road transport'!$C34,RoadTra_BY!$C$2:$C$79,'Road transport'!$BA34),3)</f>
        <v>*0</v>
      </c>
      <c r="W34" t="str">
        <f>"*"&amp;ROUND(SUMIFS(RoadTra_BY!AE$2:AE$79,RoadTra_BY!$B$2:$B$79,'Road transport'!$C34,RoadTra_BY!$C$2:$C$79,'Road transport'!$BA34),3)</f>
        <v>*0</v>
      </c>
      <c r="X34" t="str">
        <f>"*"&amp;ROUND(SUMIFS(RoadTra_BY!AF$2:AF$79,RoadTra_BY!$B$2:$B$79,'Road transport'!$C34,RoadTra_BY!$C$2:$C$79,'Road transport'!$BA34),3)</f>
        <v>*0</v>
      </c>
      <c r="Y34" t="str">
        <f>"*"&amp;ROUND(SUMIFS(RoadTra_BY!AG$2:AG$79,RoadTra_BY!$B$2:$B$79,'Road transport'!$C34,RoadTra_BY!$C$2:$C$79,'Road transport'!$BA34),3)</f>
        <v>*0</v>
      </c>
      <c r="Z34" t="str">
        <f>"*"&amp;ROUND(SUMIFS(RoadTra_BY!AH$2:AH$79,RoadTra_BY!$B$2:$B$79,'Road transport'!$C34,RoadTra_BY!$C$2:$C$79,'Road transport'!$BA34),3)</f>
        <v>*0</v>
      </c>
      <c r="AA34" t="str">
        <f>"*"&amp;ROUND(SUMIFS(RoadTra_BY!AI$2:AI$79,RoadTra_BY!$B$2:$B$79,'Road transport'!$C34,RoadTra_BY!$C$2:$C$79,'Road transport'!$BA34),3)</f>
        <v>*0</v>
      </c>
      <c r="AB34" t="str">
        <f>"*"&amp;ROUND(SUMIFS(RoadTra_BY!AJ$2:AJ$79,RoadTra_BY!$B$2:$B$79,'Road transport'!$C34,RoadTra_BY!$C$2:$C$79,'Road transport'!$BA34),3)</f>
        <v>*0</v>
      </c>
      <c r="AC34" t="str">
        <f>"*"&amp;ROUND(SUMIFS(RoadTra_BY!AK$2:AK$79,RoadTra_BY!$B$2:$B$79,'Road transport'!$C34,RoadTra_BY!$C$2:$C$79,'Road transport'!$BA34),3)</f>
        <v>*0</v>
      </c>
      <c r="AD34" t="str">
        <f>"*"&amp;ROUND(SUMIFS(RoadTra_BY!AL$2:AL$79,RoadTra_BY!$B$2:$B$79,'Road transport'!$C34,RoadTra_BY!$C$2:$C$79,'Road transport'!$BA34),3)</f>
        <v>*0</v>
      </c>
      <c r="AE34" t="str">
        <f>"*"&amp;ROUND(SUMIFS(RoadTra_BY!AM$2:AM$79,RoadTra_BY!$B$2:$B$79,'Road transport'!$C34,RoadTra_BY!$C$2:$C$79,'Road transport'!$BA34),3)</f>
        <v>*0</v>
      </c>
      <c r="AF34" t="str">
        <f>"*"&amp;ROUND(SUMIFS(RoadTra_BY!AN$2:AN$79,RoadTra_BY!$B$2:$B$79,'Road transport'!$C34,RoadTra_BY!$C$2:$C$79,'Road transport'!$BA34),3)</f>
        <v>*0</v>
      </c>
      <c r="AG34" t="str">
        <f>"*"&amp;ROUND(SUMIFS(RoadTra_BY!AO$2:AO$79,RoadTra_BY!$B$2:$B$79,'Road transport'!$C34,RoadTra_BY!$C$2:$C$79,'Road transport'!$BA34),3)</f>
        <v>*0</v>
      </c>
      <c r="AH34" t="str">
        <f>"*"&amp;ROUND(SUMIFS(RoadTra_BY!AP$2:AP$79,RoadTra_BY!$B$2:$B$79,'Road transport'!$C34,RoadTra_BY!$C$2:$C$79,'Road transport'!$BA34),3)</f>
        <v>*0</v>
      </c>
      <c r="AI34" t="str">
        <f>"*"&amp;ROUND(SUMIFS(RoadTra_BY!AQ$2:AQ$79,RoadTra_BY!$B$2:$B$79,'Road transport'!$C34,RoadTra_BY!$C$2:$C$79,'Road transport'!$BA34),3)</f>
        <v>*0</v>
      </c>
      <c r="AJ34" t="str">
        <f>"*"&amp;ROUND(SUMIFS(RoadTra_BY!AR$2:AR$79,RoadTra_BY!$B$2:$B$79,'Road transport'!$C34,RoadTra_BY!$C$2:$C$79,'Road transport'!$BA34),3)</f>
        <v>*0</v>
      </c>
      <c r="AK34" t="str">
        <f>"*"&amp;ROUND(SUMIFS(RoadTra_BY!AS$2:AS$79,RoadTra_BY!$B$2:$B$79,'Road transport'!$C34,RoadTra_BY!$C$2:$C$79,'Road transport'!$BA34),3)</f>
        <v>*0</v>
      </c>
      <c r="AL34" t="str">
        <f>"*"&amp;ROUND(SUMIFS(RoadTra_BY!AT$2:AT$79,RoadTra_BY!$B$2:$B$79,'Road transport'!$C34,RoadTra_BY!$C$2:$C$79,'Road transport'!$BA34),3)</f>
        <v>*0</v>
      </c>
      <c r="AM34" t="str">
        <f>"*"&amp;ROUND(SUMIFS(RoadTra_BY!AU$2:AU$79,RoadTra_BY!$B$2:$B$79,'Road transport'!$C34,RoadTra_BY!$C$2:$C$79,'Road transport'!$BA34),3)</f>
        <v>*0</v>
      </c>
      <c r="AN34" t="str">
        <f>"*"&amp;ROUND(SUMIFS(RoadTra_BY!AV$2:AV$79,RoadTra_BY!$B$2:$B$79,'Road transport'!$C34,RoadTra_BY!$C$2:$C$79,'Road transport'!$BA34),3)</f>
        <v>*0</v>
      </c>
      <c r="AO34" t="str">
        <f>"*"&amp;ROUND(SUMIFS(RoadTra_BY!AW$2:AW$79,RoadTra_BY!$B$2:$B$79,'Road transport'!$C34,RoadTra_BY!$C$2:$C$79,'Road transport'!$BA34),3)</f>
        <v>*0</v>
      </c>
      <c r="AP34" t="str">
        <f>"*"&amp;ROUND(SUMIFS(RoadTra_BY!AX$2:AX$79,RoadTra_BY!$B$2:$B$79,'Road transport'!$C34,RoadTra_BY!$C$2:$C$79,'Road transport'!$BA34),3)</f>
        <v>*0</v>
      </c>
      <c r="AQ34" t="str">
        <f>"*"&amp;ROUND(SUMIFS(RoadTra_BY!AY$2:AY$79,RoadTra_BY!$B$2:$B$79,'Road transport'!$C34,RoadTra_BY!$C$2:$C$79,'Road transport'!$BA34),3)</f>
        <v>*0</v>
      </c>
      <c r="AR34" t="str">
        <f>"*"&amp;ROUND(SUMIFS(RoadTra_BY!AZ$2:AZ$79,RoadTra_BY!$B$2:$B$79,'Road transport'!$C34,RoadTra_BY!$C$2:$C$79,'Road transport'!$BA34),3)</f>
        <v>*0</v>
      </c>
      <c r="AS34" t="str">
        <f>"*"&amp;ROUND(SUMIFS(RoadTra_BY!BA$2:BA$79,RoadTra_BY!$B$2:$B$79,'Road transport'!$C34,RoadTra_BY!$C$2:$C$79,'Road transport'!$BA34),3)</f>
        <v>*0</v>
      </c>
      <c r="AT34" t="str">
        <f>"*"&amp;ROUND(SUMIFS(RoadTra_BY!BB$2:BB$79,RoadTra_BY!$B$2:$B$79,'Road transport'!$C34,RoadTra_BY!$C$2:$C$79,'Road transport'!$BA34),3)</f>
        <v>*0</v>
      </c>
      <c r="AU34" t="str">
        <f>"*"&amp;ROUND(SUMIFS(RoadTra_BY!BC$2:BC$79,RoadTra_BY!$B$2:$B$79,'Road transport'!$C34,RoadTra_BY!$C$2:$C$79,'Road transport'!$BA34),3)</f>
        <v>*0</v>
      </c>
      <c r="AV34" t="str">
        <f>"*"&amp;ROUND(SUMIFS(RoadTra_BY!BD$2:BD$79,RoadTra_BY!$B$2:$B$79,'Road transport'!$C34,RoadTra_BY!$C$2:$C$79,'Road transport'!$BA34),3)</f>
        <v>*0</v>
      </c>
      <c r="AW34" t="str">
        <f>"*"&amp;ROUND(SUMIFS(RoadTra_BY!BE$2:BE$79,RoadTra_BY!$B$2:$B$79,'Road transport'!$C34,RoadTra_BY!$C$2:$C$79,'Road transport'!$BA34),3)</f>
        <v>*0</v>
      </c>
      <c r="AX34" t="str">
        <f t="shared" ref="AX34:AX38" si="1">SUBSTITUTE(SUBSTITUTE(BA34,"gsl",""),"dsl","")&amp;"*"</f>
        <v>Trd_3w_*</v>
      </c>
      <c r="AZ34">
        <f t="shared" si="0"/>
        <v>1</v>
      </c>
      <c r="BA34" t="s">
        <v>108</v>
      </c>
    </row>
    <row r="35" spans="3:53">
      <c r="C35" t="s">
        <v>62</v>
      </c>
      <c r="D35" t="str">
        <f>"*"&amp;ROUND(SUMIFS(RoadTra_BY!L$2:L$79,RoadTra_BY!$B$2:$B$79,'Road transport'!$C35,RoadTra_BY!$C$2:$C$79,'Road transport'!$BA35),3)</f>
        <v>*0</v>
      </c>
      <c r="E35" t="str">
        <f>"*"&amp;ROUND(SUMIFS(RoadTra_BY!M$2:M$79,RoadTra_BY!$B$2:$B$79,'Road transport'!$C35,RoadTra_BY!$C$2:$C$79,'Road transport'!$BA35),3)</f>
        <v>*0</v>
      </c>
      <c r="F35" t="str">
        <f>"*"&amp;ROUND(SUMIFS(RoadTra_BY!N$2:N$79,RoadTra_BY!$B$2:$B$79,'Road transport'!$C35,RoadTra_BY!$C$2:$C$79,'Road transport'!$BA35),3)</f>
        <v>*0</v>
      </c>
      <c r="G35" t="str">
        <f>"*"&amp;ROUND(SUMIFS(RoadTra_BY!O$2:O$79,RoadTra_BY!$B$2:$B$79,'Road transport'!$C35,RoadTra_BY!$C$2:$C$79,'Road transport'!$BA35),3)</f>
        <v>*0</v>
      </c>
      <c r="H35" t="str">
        <f>"*"&amp;ROUND(SUMIFS(RoadTra_BY!P$2:P$79,RoadTra_BY!$B$2:$B$79,'Road transport'!$C35,RoadTra_BY!$C$2:$C$79,'Road transport'!$BA35),3)</f>
        <v>*0</v>
      </c>
      <c r="I35" t="str">
        <f>"*"&amp;ROUND(SUMIFS(RoadTra_BY!Q$2:Q$79,RoadTra_BY!$B$2:$B$79,'Road transport'!$C35,RoadTra_BY!$C$2:$C$79,'Road transport'!$BA35),3)</f>
        <v>*0</v>
      </c>
      <c r="J35" t="str">
        <f>"*"&amp;ROUND(SUMIFS(RoadTra_BY!R$2:R$79,RoadTra_BY!$B$2:$B$79,'Road transport'!$C35,RoadTra_BY!$C$2:$C$79,'Road transport'!$BA35),3)</f>
        <v>*0</v>
      </c>
      <c r="K35" t="str">
        <f>"*"&amp;ROUND(SUMIFS(RoadTra_BY!S$2:S$79,RoadTra_BY!$B$2:$B$79,'Road transport'!$C35,RoadTra_BY!$C$2:$C$79,'Road transport'!$BA35),3)</f>
        <v>*0</v>
      </c>
      <c r="L35" t="str">
        <f>"*"&amp;ROUND(SUMIFS(RoadTra_BY!T$2:T$79,RoadTra_BY!$B$2:$B$79,'Road transport'!$C35,RoadTra_BY!$C$2:$C$79,'Road transport'!$BA35),3)</f>
        <v>*0</v>
      </c>
      <c r="M35" t="str">
        <f>"*"&amp;ROUND(SUMIFS(RoadTra_BY!U$2:U$79,RoadTra_BY!$B$2:$B$79,'Road transport'!$C35,RoadTra_BY!$C$2:$C$79,'Road transport'!$BA35),3)</f>
        <v>*0</v>
      </c>
      <c r="N35" t="str">
        <f>"*"&amp;ROUND(SUMIFS(RoadTra_BY!V$2:V$79,RoadTra_BY!$B$2:$B$79,'Road transport'!$C35,RoadTra_BY!$C$2:$C$79,'Road transport'!$BA35),3)</f>
        <v>*0</v>
      </c>
      <c r="O35" t="str">
        <f>"*"&amp;ROUND(SUMIFS(RoadTra_BY!W$2:W$79,RoadTra_BY!$B$2:$B$79,'Road transport'!$C35,RoadTra_BY!$C$2:$C$79,'Road transport'!$BA35),3)</f>
        <v>*0</v>
      </c>
      <c r="P35" t="str">
        <f>"*"&amp;ROUND(SUMIFS(RoadTra_BY!X$2:X$79,RoadTra_BY!$B$2:$B$79,'Road transport'!$C35,RoadTra_BY!$C$2:$C$79,'Road transport'!$BA35),3)</f>
        <v>*0</v>
      </c>
      <c r="Q35" t="str">
        <f>"*"&amp;ROUND(SUMIFS(RoadTra_BY!Y$2:Y$79,RoadTra_BY!$B$2:$B$79,'Road transport'!$C35,RoadTra_BY!$C$2:$C$79,'Road transport'!$BA35),3)</f>
        <v>*0</v>
      </c>
      <c r="R35" t="str">
        <f>"*"&amp;ROUND(SUMIFS(RoadTra_BY!Z$2:Z$79,RoadTra_BY!$B$2:$B$79,'Road transport'!$C35,RoadTra_BY!$C$2:$C$79,'Road transport'!$BA35),3)</f>
        <v>*0</v>
      </c>
      <c r="S35" t="str">
        <f>"*"&amp;ROUND(SUMIFS(RoadTra_BY!AA$2:AA$79,RoadTra_BY!$B$2:$B$79,'Road transport'!$C35,RoadTra_BY!$C$2:$C$79,'Road transport'!$BA35),3)</f>
        <v>*0</v>
      </c>
      <c r="T35" t="str">
        <f>"*"&amp;ROUND(SUMIFS(RoadTra_BY!AB$2:AB$79,RoadTra_BY!$B$2:$B$79,'Road transport'!$C35,RoadTra_BY!$C$2:$C$79,'Road transport'!$BA35),3)</f>
        <v>*0</v>
      </c>
      <c r="U35" t="str">
        <f>"*"&amp;ROUND(SUMIFS(RoadTra_BY!AC$2:AC$79,RoadTra_BY!$B$2:$B$79,'Road transport'!$C35,RoadTra_BY!$C$2:$C$79,'Road transport'!$BA35),3)</f>
        <v>*0</v>
      </c>
      <c r="V35" t="str">
        <f>"*"&amp;ROUND(SUMIFS(RoadTra_BY!AD$2:AD$79,RoadTra_BY!$B$2:$B$79,'Road transport'!$C35,RoadTra_BY!$C$2:$C$79,'Road transport'!$BA35),3)</f>
        <v>*0</v>
      </c>
      <c r="W35" t="str">
        <f>"*"&amp;ROUND(SUMIFS(RoadTra_BY!AE$2:AE$79,RoadTra_BY!$B$2:$B$79,'Road transport'!$C35,RoadTra_BY!$C$2:$C$79,'Road transport'!$BA35),3)</f>
        <v>*0</v>
      </c>
      <c r="X35" t="str">
        <f>"*"&amp;ROUND(SUMIFS(RoadTra_BY!AF$2:AF$79,RoadTra_BY!$B$2:$B$79,'Road transport'!$C35,RoadTra_BY!$C$2:$C$79,'Road transport'!$BA35),3)</f>
        <v>*0</v>
      </c>
      <c r="Y35" t="str">
        <f>"*"&amp;ROUND(SUMIFS(RoadTra_BY!AG$2:AG$79,RoadTra_BY!$B$2:$B$79,'Road transport'!$C35,RoadTra_BY!$C$2:$C$79,'Road transport'!$BA35),3)</f>
        <v>*0</v>
      </c>
      <c r="Z35" t="str">
        <f>"*"&amp;ROUND(SUMIFS(RoadTra_BY!AH$2:AH$79,RoadTra_BY!$B$2:$B$79,'Road transport'!$C35,RoadTra_BY!$C$2:$C$79,'Road transport'!$BA35),3)</f>
        <v>*0</v>
      </c>
      <c r="AA35" t="str">
        <f>"*"&amp;ROUND(SUMIFS(RoadTra_BY!AI$2:AI$79,RoadTra_BY!$B$2:$B$79,'Road transport'!$C35,RoadTra_BY!$C$2:$C$79,'Road transport'!$BA35),3)</f>
        <v>*0</v>
      </c>
      <c r="AB35" t="str">
        <f>"*"&amp;ROUND(SUMIFS(RoadTra_BY!AJ$2:AJ$79,RoadTra_BY!$B$2:$B$79,'Road transport'!$C35,RoadTra_BY!$C$2:$C$79,'Road transport'!$BA35),3)</f>
        <v>*0</v>
      </c>
      <c r="AC35" t="str">
        <f>"*"&amp;ROUND(SUMIFS(RoadTra_BY!AK$2:AK$79,RoadTra_BY!$B$2:$B$79,'Road transport'!$C35,RoadTra_BY!$C$2:$C$79,'Road transport'!$BA35),3)</f>
        <v>*0</v>
      </c>
      <c r="AD35" t="str">
        <f>"*"&amp;ROUND(SUMIFS(RoadTra_BY!AL$2:AL$79,RoadTra_BY!$B$2:$B$79,'Road transport'!$C35,RoadTra_BY!$C$2:$C$79,'Road transport'!$BA35),3)</f>
        <v>*0</v>
      </c>
      <c r="AE35" t="str">
        <f>"*"&amp;ROUND(SUMIFS(RoadTra_BY!AM$2:AM$79,RoadTra_BY!$B$2:$B$79,'Road transport'!$C35,RoadTra_BY!$C$2:$C$79,'Road transport'!$BA35),3)</f>
        <v>*0</v>
      </c>
      <c r="AF35" t="str">
        <f>"*"&amp;ROUND(SUMIFS(RoadTra_BY!AN$2:AN$79,RoadTra_BY!$B$2:$B$79,'Road transport'!$C35,RoadTra_BY!$C$2:$C$79,'Road transport'!$BA35),3)</f>
        <v>*0</v>
      </c>
      <c r="AG35" t="str">
        <f>"*"&amp;ROUND(SUMIFS(RoadTra_BY!AO$2:AO$79,RoadTra_BY!$B$2:$B$79,'Road transport'!$C35,RoadTra_BY!$C$2:$C$79,'Road transport'!$BA35),3)</f>
        <v>*0</v>
      </c>
      <c r="AH35" t="str">
        <f>"*"&amp;ROUND(SUMIFS(RoadTra_BY!AP$2:AP$79,RoadTra_BY!$B$2:$B$79,'Road transport'!$C35,RoadTra_BY!$C$2:$C$79,'Road transport'!$BA35),3)</f>
        <v>*0</v>
      </c>
      <c r="AI35" t="str">
        <f>"*"&amp;ROUND(SUMIFS(RoadTra_BY!AQ$2:AQ$79,RoadTra_BY!$B$2:$B$79,'Road transport'!$C35,RoadTra_BY!$C$2:$C$79,'Road transport'!$BA35),3)</f>
        <v>*0</v>
      </c>
      <c r="AJ35" t="str">
        <f>"*"&amp;ROUND(SUMIFS(RoadTra_BY!AR$2:AR$79,RoadTra_BY!$B$2:$B$79,'Road transport'!$C35,RoadTra_BY!$C$2:$C$79,'Road transport'!$BA35),3)</f>
        <v>*0</v>
      </c>
      <c r="AK35" t="str">
        <f>"*"&amp;ROUND(SUMIFS(RoadTra_BY!AS$2:AS$79,RoadTra_BY!$B$2:$B$79,'Road transport'!$C35,RoadTra_BY!$C$2:$C$79,'Road transport'!$BA35),3)</f>
        <v>*0</v>
      </c>
      <c r="AL35" t="str">
        <f>"*"&amp;ROUND(SUMIFS(RoadTra_BY!AT$2:AT$79,RoadTra_BY!$B$2:$B$79,'Road transport'!$C35,RoadTra_BY!$C$2:$C$79,'Road transport'!$BA35),3)</f>
        <v>*0</v>
      </c>
      <c r="AM35" t="str">
        <f>"*"&amp;ROUND(SUMIFS(RoadTra_BY!AU$2:AU$79,RoadTra_BY!$B$2:$B$79,'Road transport'!$C35,RoadTra_BY!$C$2:$C$79,'Road transport'!$BA35),3)</f>
        <v>*0</v>
      </c>
      <c r="AN35" t="str">
        <f>"*"&amp;ROUND(SUMIFS(RoadTra_BY!AV$2:AV$79,RoadTra_BY!$B$2:$B$79,'Road transport'!$C35,RoadTra_BY!$C$2:$C$79,'Road transport'!$BA35),3)</f>
        <v>*0</v>
      </c>
      <c r="AO35" t="str">
        <f>"*"&amp;ROUND(SUMIFS(RoadTra_BY!AW$2:AW$79,RoadTra_BY!$B$2:$B$79,'Road transport'!$C35,RoadTra_BY!$C$2:$C$79,'Road transport'!$BA35),3)</f>
        <v>*0</v>
      </c>
      <c r="AP35" t="str">
        <f>"*"&amp;ROUND(SUMIFS(RoadTra_BY!AX$2:AX$79,RoadTra_BY!$B$2:$B$79,'Road transport'!$C35,RoadTra_BY!$C$2:$C$79,'Road transport'!$BA35),3)</f>
        <v>*0</v>
      </c>
      <c r="AQ35" t="str">
        <f>"*"&amp;ROUND(SUMIFS(RoadTra_BY!AY$2:AY$79,RoadTra_BY!$B$2:$B$79,'Road transport'!$C35,RoadTra_BY!$C$2:$C$79,'Road transport'!$BA35),3)</f>
        <v>*0</v>
      </c>
      <c r="AR35" t="str">
        <f>"*"&amp;ROUND(SUMIFS(RoadTra_BY!AZ$2:AZ$79,RoadTra_BY!$B$2:$B$79,'Road transport'!$C35,RoadTra_BY!$C$2:$C$79,'Road transport'!$BA35),3)</f>
        <v>*0</v>
      </c>
      <c r="AS35" t="str">
        <f>"*"&amp;ROUND(SUMIFS(RoadTra_BY!BA$2:BA$79,RoadTra_BY!$B$2:$B$79,'Road transport'!$C35,RoadTra_BY!$C$2:$C$79,'Road transport'!$BA35),3)</f>
        <v>*0</v>
      </c>
      <c r="AT35" t="str">
        <f>"*"&amp;ROUND(SUMIFS(RoadTra_BY!BB$2:BB$79,RoadTra_BY!$B$2:$B$79,'Road transport'!$C35,RoadTra_BY!$C$2:$C$79,'Road transport'!$BA35),3)</f>
        <v>*0</v>
      </c>
      <c r="AU35" t="str">
        <f>"*"&amp;ROUND(SUMIFS(RoadTra_BY!BC$2:BC$79,RoadTra_BY!$B$2:$B$79,'Road transport'!$C35,RoadTra_BY!$C$2:$C$79,'Road transport'!$BA35),3)</f>
        <v>*0</v>
      </c>
      <c r="AV35" t="str">
        <f>"*"&amp;ROUND(SUMIFS(RoadTra_BY!BD$2:BD$79,RoadTra_BY!$B$2:$B$79,'Road transport'!$C35,RoadTra_BY!$C$2:$C$79,'Road transport'!$BA35),3)</f>
        <v>*0</v>
      </c>
      <c r="AW35" t="str">
        <f>"*"&amp;ROUND(SUMIFS(RoadTra_BY!BE$2:BE$79,RoadTra_BY!$B$2:$B$79,'Road transport'!$C35,RoadTra_BY!$C$2:$C$79,'Road transport'!$BA35),3)</f>
        <v>*0</v>
      </c>
      <c r="AX35" t="str">
        <f t="shared" si="1"/>
        <v>Trd_bus_*</v>
      </c>
      <c r="AZ35">
        <f t="shared" si="0"/>
        <v>2</v>
      </c>
      <c r="BA35" t="s">
        <v>109</v>
      </c>
    </row>
    <row r="36" spans="3:53">
      <c r="C36" t="s">
        <v>62</v>
      </c>
      <c r="D36" t="str">
        <f>"*"&amp;ROUND(SUMIFS(RoadTra_BY!L$2:L$79,RoadTra_BY!$B$2:$B$79,'Road transport'!$C36,RoadTra_BY!$C$2:$C$79,'Road transport'!$BA36),3)</f>
        <v>*0</v>
      </c>
      <c r="E36" t="str">
        <f>"*"&amp;ROUND(SUMIFS(RoadTra_BY!M$2:M$79,RoadTra_BY!$B$2:$B$79,'Road transport'!$C36,RoadTra_BY!$C$2:$C$79,'Road transport'!$BA36),3)</f>
        <v>*0</v>
      </c>
      <c r="F36" t="str">
        <f>"*"&amp;ROUND(SUMIFS(RoadTra_BY!N$2:N$79,RoadTra_BY!$B$2:$B$79,'Road transport'!$C36,RoadTra_BY!$C$2:$C$79,'Road transport'!$BA36),3)</f>
        <v>*0</v>
      </c>
      <c r="G36" t="str">
        <f>"*"&amp;ROUND(SUMIFS(RoadTra_BY!O$2:O$79,RoadTra_BY!$B$2:$B$79,'Road transport'!$C36,RoadTra_BY!$C$2:$C$79,'Road transport'!$BA36),3)</f>
        <v>*0</v>
      </c>
      <c r="H36" t="str">
        <f>"*"&amp;ROUND(SUMIFS(RoadTra_BY!P$2:P$79,RoadTra_BY!$B$2:$B$79,'Road transport'!$C36,RoadTra_BY!$C$2:$C$79,'Road transport'!$BA36),3)</f>
        <v>*0</v>
      </c>
      <c r="I36" t="str">
        <f>"*"&amp;ROUND(SUMIFS(RoadTra_BY!Q$2:Q$79,RoadTra_BY!$B$2:$B$79,'Road transport'!$C36,RoadTra_BY!$C$2:$C$79,'Road transport'!$BA36),3)</f>
        <v>*0</v>
      </c>
      <c r="J36" t="str">
        <f>"*"&amp;ROUND(SUMIFS(RoadTra_BY!R$2:R$79,RoadTra_BY!$B$2:$B$79,'Road transport'!$C36,RoadTra_BY!$C$2:$C$79,'Road transport'!$BA36),3)</f>
        <v>*0</v>
      </c>
      <c r="K36" t="str">
        <f>"*"&amp;ROUND(SUMIFS(RoadTra_BY!S$2:S$79,RoadTra_BY!$B$2:$B$79,'Road transport'!$C36,RoadTra_BY!$C$2:$C$79,'Road transport'!$BA36),3)</f>
        <v>*0</v>
      </c>
      <c r="L36" t="str">
        <f>"*"&amp;ROUND(SUMIFS(RoadTra_BY!T$2:T$79,RoadTra_BY!$B$2:$B$79,'Road transport'!$C36,RoadTra_BY!$C$2:$C$79,'Road transport'!$BA36),3)</f>
        <v>*0</v>
      </c>
      <c r="M36" t="str">
        <f>"*"&amp;ROUND(SUMIFS(RoadTra_BY!U$2:U$79,RoadTra_BY!$B$2:$B$79,'Road transport'!$C36,RoadTra_BY!$C$2:$C$79,'Road transport'!$BA36),3)</f>
        <v>*0</v>
      </c>
      <c r="N36" t="str">
        <f>"*"&amp;ROUND(SUMIFS(RoadTra_BY!V$2:V$79,RoadTra_BY!$B$2:$B$79,'Road transport'!$C36,RoadTra_BY!$C$2:$C$79,'Road transport'!$BA36),3)</f>
        <v>*0</v>
      </c>
      <c r="O36" t="str">
        <f>"*"&amp;ROUND(SUMIFS(RoadTra_BY!W$2:W$79,RoadTra_BY!$B$2:$B$79,'Road transport'!$C36,RoadTra_BY!$C$2:$C$79,'Road transport'!$BA36),3)</f>
        <v>*0</v>
      </c>
      <c r="P36" t="str">
        <f>"*"&amp;ROUND(SUMIFS(RoadTra_BY!X$2:X$79,RoadTra_BY!$B$2:$B$79,'Road transport'!$C36,RoadTra_BY!$C$2:$C$79,'Road transport'!$BA36),3)</f>
        <v>*0</v>
      </c>
      <c r="Q36" t="str">
        <f>"*"&amp;ROUND(SUMIFS(RoadTra_BY!Y$2:Y$79,RoadTra_BY!$B$2:$B$79,'Road transport'!$C36,RoadTra_BY!$C$2:$C$79,'Road transport'!$BA36),3)</f>
        <v>*0</v>
      </c>
      <c r="R36" t="str">
        <f>"*"&amp;ROUND(SUMIFS(RoadTra_BY!Z$2:Z$79,RoadTra_BY!$B$2:$B$79,'Road transport'!$C36,RoadTra_BY!$C$2:$C$79,'Road transport'!$BA36),3)</f>
        <v>*0</v>
      </c>
      <c r="S36" t="str">
        <f>"*"&amp;ROUND(SUMIFS(RoadTra_BY!AA$2:AA$79,RoadTra_BY!$B$2:$B$79,'Road transport'!$C36,RoadTra_BY!$C$2:$C$79,'Road transport'!$BA36),3)</f>
        <v>*0</v>
      </c>
      <c r="T36" t="str">
        <f>"*"&amp;ROUND(SUMIFS(RoadTra_BY!AB$2:AB$79,RoadTra_BY!$B$2:$B$79,'Road transport'!$C36,RoadTra_BY!$C$2:$C$79,'Road transport'!$BA36),3)</f>
        <v>*0</v>
      </c>
      <c r="U36" t="str">
        <f>"*"&amp;ROUND(SUMIFS(RoadTra_BY!AC$2:AC$79,RoadTra_BY!$B$2:$B$79,'Road transport'!$C36,RoadTra_BY!$C$2:$C$79,'Road transport'!$BA36),3)</f>
        <v>*0</v>
      </c>
      <c r="V36" t="str">
        <f>"*"&amp;ROUND(SUMIFS(RoadTra_BY!AD$2:AD$79,RoadTra_BY!$B$2:$B$79,'Road transport'!$C36,RoadTra_BY!$C$2:$C$79,'Road transport'!$BA36),3)</f>
        <v>*0</v>
      </c>
      <c r="W36" t="str">
        <f>"*"&amp;ROUND(SUMIFS(RoadTra_BY!AE$2:AE$79,RoadTra_BY!$B$2:$B$79,'Road transport'!$C36,RoadTra_BY!$C$2:$C$79,'Road transport'!$BA36),3)</f>
        <v>*0</v>
      </c>
      <c r="X36" t="str">
        <f>"*"&amp;ROUND(SUMIFS(RoadTra_BY!AF$2:AF$79,RoadTra_BY!$B$2:$B$79,'Road transport'!$C36,RoadTra_BY!$C$2:$C$79,'Road transport'!$BA36),3)</f>
        <v>*0</v>
      </c>
      <c r="Y36" t="str">
        <f>"*"&amp;ROUND(SUMIFS(RoadTra_BY!AG$2:AG$79,RoadTra_BY!$B$2:$B$79,'Road transport'!$C36,RoadTra_BY!$C$2:$C$79,'Road transport'!$BA36),3)</f>
        <v>*0</v>
      </c>
      <c r="Z36" t="str">
        <f>"*"&amp;ROUND(SUMIFS(RoadTra_BY!AH$2:AH$79,RoadTra_BY!$B$2:$B$79,'Road transport'!$C36,RoadTra_BY!$C$2:$C$79,'Road transport'!$BA36),3)</f>
        <v>*0</v>
      </c>
      <c r="AA36" t="str">
        <f>"*"&amp;ROUND(SUMIFS(RoadTra_BY!AI$2:AI$79,RoadTra_BY!$B$2:$B$79,'Road transport'!$C36,RoadTra_BY!$C$2:$C$79,'Road transport'!$BA36),3)</f>
        <v>*0</v>
      </c>
      <c r="AB36" t="str">
        <f>"*"&amp;ROUND(SUMIFS(RoadTra_BY!AJ$2:AJ$79,RoadTra_BY!$B$2:$B$79,'Road transport'!$C36,RoadTra_BY!$C$2:$C$79,'Road transport'!$BA36),3)</f>
        <v>*0</v>
      </c>
      <c r="AC36" t="str">
        <f>"*"&amp;ROUND(SUMIFS(RoadTra_BY!AK$2:AK$79,RoadTra_BY!$B$2:$B$79,'Road transport'!$C36,RoadTra_BY!$C$2:$C$79,'Road transport'!$BA36),3)</f>
        <v>*0</v>
      </c>
      <c r="AD36" t="str">
        <f>"*"&amp;ROUND(SUMIFS(RoadTra_BY!AL$2:AL$79,RoadTra_BY!$B$2:$B$79,'Road transport'!$C36,RoadTra_BY!$C$2:$C$79,'Road transport'!$BA36),3)</f>
        <v>*0</v>
      </c>
      <c r="AE36" t="str">
        <f>"*"&amp;ROUND(SUMIFS(RoadTra_BY!AM$2:AM$79,RoadTra_BY!$B$2:$B$79,'Road transport'!$C36,RoadTra_BY!$C$2:$C$79,'Road transport'!$BA36),3)</f>
        <v>*0</v>
      </c>
      <c r="AF36" t="str">
        <f>"*"&amp;ROUND(SUMIFS(RoadTra_BY!AN$2:AN$79,RoadTra_BY!$B$2:$B$79,'Road transport'!$C36,RoadTra_BY!$C$2:$C$79,'Road transport'!$BA36),3)</f>
        <v>*0</v>
      </c>
      <c r="AG36" t="str">
        <f>"*"&amp;ROUND(SUMIFS(RoadTra_BY!AO$2:AO$79,RoadTra_BY!$B$2:$B$79,'Road transport'!$C36,RoadTra_BY!$C$2:$C$79,'Road transport'!$BA36),3)</f>
        <v>*0</v>
      </c>
      <c r="AH36" t="str">
        <f>"*"&amp;ROUND(SUMIFS(RoadTra_BY!AP$2:AP$79,RoadTra_BY!$B$2:$B$79,'Road transport'!$C36,RoadTra_BY!$C$2:$C$79,'Road transport'!$BA36),3)</f>
        <v>*0</v>
      </c>
      <c r="AI36" t="str">
        <f>"*"&amp;ROUND(SUMIFS(RoadTra_BY!AQ$2:AQ$79,RoadTra_BY!$B$2:$B$79,'Road transport'!$C36,RoadTra_BY!$C$2:$C$79,'Road transport'!$BA36),3)</f>
        <v>*0</v>
      </c>
      <c r="AJ36" t="str">
        <f>"*"&amp;ROUND(SUMIFS(RoadTra_BY!AR$2:AR$79,RoadTra_BY!$B$2:$B$79,'Road transport'!$C36,RoadTra_BY!$C$2:$C$79,'Road transport'!$BA36),3)</f>
        <v>*0</v>
      </c>
      <c r="AK36" t="str">
        <f>"*"&amp;ROUND(SUMIFS(RoadTra_BY!AS$2:AS$79,RoadTra_BY!$B$2:$B$79,'Road transport'!$C36,RoadTra_BY!$C$2:$C$79,'Road transport'!$BA36),3)</f>
        <v>*0</v>
      </c>
      <c r="AL36" t="str">
        <f>"*"&amp;ROUND(SUMIFS(RoadTra_BY!AT$2:AT$79,RoadTra_BY!$B$2:$B$79,'Road transport'!$C36,RoadTra_BY!$C$2:$C$79,'Road transport'!$BA36),3)</f>
        <v>*0</v>
      </c>
      <c r="AM36" t="str">
        <f>"*"&amp;ROUND(SUMIFS(RoadTra_BY!AU$2:AU$79,RoadTra_BY!$B$2:$B$79,'Road transport'!$C36,RoadTra_BY!$C$2:$C$79,'Road transport'!$BA36),3)</f>
        <v>*0</v>
      </c>
      <c r="AN36" t="str">
        <f>"*"&amp;ROUND(SUMIFS(RoadTra_BY!AV$2:AV$79,RoadTra_BY!$B$2:$B$79,'Road transport'!$C36,RoadTra_BY!$C$2:$C$79,'Road transport'!$BA36),3)</f>
        <v>*0</v>
      </c>
      <c r="AO36" t="str">
        <f>"*"&amp;ROUND(SUMIFS(RoadTra_BY!AW$2:AW$79,RoadTra_BY!$B$2:$B$79,'Road transport'!$C36,RoadTra_BY!$C$2:$C$79,'Road transport'!$BA36),3)</f>
        <v>*0</v>
      </c>
      <c r="AP36" t="str">
        <f>"*"&amp;ROUND(SUMIFS(RoadTra_BY!AX$2:AX$79,RoadTra_BY!$B$2:$B$79,'Road transport'!$C36,RoadTra_BY!$C$2:$C$79,'Road transport'!$BA36),3)</f>
        <v>*0</v>
      </c>
      <c r="AQ36" t="str">
        <f>"*"&amp;ROUND(SUMIFS(RoadTra_BY!AY$2:AY$79,RoadTra_BY!$B$2:$B$79,'Road transport'!$C36,RoadTra_BY!$C$2:$C$79,'Road transport'!$BA36),3)</f>
        <v>*0</v>
      </c>
      <c r="AR36" t="str">
        <f>"*"&amp;ROUND(SUMIFS(RoadTra_BY!AZ$2:AZ$79,RoadTra_BY!$B$2:$B$79,'Road transport'!$C36,RoadTra_BY!$C$2:$C$79,'Road transport'!$BA36),3)</f>
        <v>*0</v>
      </c>
      <c r="AS36" t="str">
        <f>"*"&amp;ROUND(SUMIFS(RoadTra_BY!BA$2:BA$79,RoadTra_BY!$B$2:$B$79,'Road transport'!$C36,RoadTra_BY!$C$2:$C$79,'Road transport'!$BA36),3)</f>
        <v>*0</v>
      </c>
      <c r="AT36" t="str">
        <f>"*"&amp;ROUND(SUMIFS(RoadTra_BY!BB$2:BB$79,RoadTra_BY!$B$2:$B$79,'Road transport'!$C36,RoadTra_BY!$C$2:$C$79,'Road transport'!$BA36),3)</f>
        <v>*0</v>
      </c>
      <c r="AU36" t="str">
        <f>"*"&amp;ROUND(SUMIFS(RoadTra_BY!BC$2:BC$79,RoadTra_BY!$B$2:$B$79,'Road transport'!$C36,RoadTra_BY!$C$2:$C$79,'Road transport'!$BA36),3)</f>
        <v>*0</v>
      </c>
      <c r="AV36" t="str">
        <f>"*"&amp;ROUND(SUMIFS(RoadTra_BY!BD$2:BD$79,RoadTra_BY!$B$2:$B$79,'Road transport'!$C36,RoadTra_BY!$C$2:$C$79,'Road transport'!$BA36),3)</f>
        <v>*0</v>
      </c>
      <c r="AW36" t="str">
        <f>"*"&amp;ROUND(SUMIFS(RoadTra_BY!BE$2:BE$79,RoadTra_BY!$B$2:$B$79,'Road transport'!$C36,RoadTra_BY!$C$2:$C$79,'Road transport'!$BA36),3)</f>
        <v>*0</v>
      </c>
      <c r="AX36" t="str">
        <f t="shared" si="1"/>
        <v>Trd_car_*</v>
      </c>
      <c r="AZ36">
        <f t="shared" si="0"/>
        <v>1</v>
      </c>
      <c r="BA36" t="s">
        <v>110</v>
      </c>
    </row>
    <row r="37" spans="3:53">
      <c r="C37" t="s">
        <v>62</v>
      </c>
      <c r="D37" t="str">
        <f>"*"&amp;ROUND(SUMIFS(RoadTra_BY!L$2:L$79,RoadTra_BY!$B$2:$B$79,'Road transport'!$C37,RoadTra_BY!$C$2:$C$79,'Road transport'!$BA37),3)</f>
        <v>*0</v>
      </c>
      <c r="E37" t="str">
        <f>"*"&amp;ROUND(SUMIFS(RoadTra_BY!M$2:M$79,RoadTra_BY!$B$2:$B$79,'Road transport'!$C37,RoadTra_BY!$C$2:$C$79,'Road transport'!$BA37),3)</f>
        <v>*0</v>
      </c>
      <c r="F37" t="str">
        <f>"*"&amp;ROUND(SUMIFS(RoadTra_BY!N$2:N$79,RoadTra_BY!$B$2:$B$79,'Road transport'!$C37,RoadTra_BY!$C$2:$C$79,'Road transport'!$BA37),3)</f>
        <v>*0</v>
      </c>
      <c r="G37" t="str">
        <f>"*"&amp;ROUND(SUMIFS(RoadTra_BY!O$2:O$79,RoadTra_BY!$B$2:$B$79,'Road transport'!$C37,RoadTra_BY!$C$2:$C$79,'Road transport'!$BA37),3)</f>
        <v>*0</v>
      </c>
      <c r="H37" t="str">
        <f>"*"&amp;ROUND(SUMIFS(RoadTra_BY!P$2:P$79,RoadTra_BY!$B$2:$B$79,'Road transport'!$C37,RoadTra_BY!$C$2:$C$79,'Road transport'!$BA37),3)</f>
        <v>*0</v>
      </c>
      <c r="I37" t="str">
        <f>"*"&amp;ROUND(SUMIFS(RoadTra_BY!Q$2:Q$79,RoadTra_BY!$B$2:$B$79,'Road transport'!$C37,RoadTra_BY!$C$2:$C$79,'Road transport'!$BA37),3)</f>
        <v>*0</v>
      </c>
      <c r="J37" t="str">
        <f>"*"&amp;ROUND(SUMIFS(RoadTra_BY!R$2:R$79,RoadTra_BY!$B$2:$B$79,'Road transport'!$C37,RoadTra_BY!$C$2:$C$79,'Road transport'!$BA37),3)</f>
        <v>*0</v>
      </c>
      <c r="K37" t="str">
        <f>"*"&amp;ROUND(SUMIFS(RoadTra_BY!S$2:S$79,RoadTra_BY!$B$2:$B$79,'Road transport'!$C37,RoadTra_BY!$C$2:$C$79,'Road transport'!$BA37),3)</f>
        <v>*0</v>
      </c>
      <c r="L37" t="str">
        <f>"*"&amp;ROUND(SUMIFS(RoadTra_BY!T$2:T$79,RoadTra_BY!$B$2:$B$79,'Road transport'!$C37,RoadTra_BY!$C$2:$C$79,'Road transport'!$BA37),3)</f>
        <v>*0</v>
      </c>
      <c r="M37" t="str">
        <f>"*"&amp;ROUND(SUMIFS(RoadTra_BY!U$2:U$79,RoadTra_BY!$B$2:$B$79,'Road transport'!$C37,RoadTra_BY!$C$2:$C$79,'Road transport'!$BA37),3)</f>
        <v>*0</v>
      </c>
      <c r="N37" t="str">
        <f>"*"&amp;ROUND(SUMIFS(RoadTra_BY!V$2:V$79,RoadTra_BY!$B$2:$B$79,'Road transport'!$C37,RoadTra_BY!$C$2:$C$79,'Road transport'!$BA37),3)</f>
        <v>*0</v>
      </c>
      <c r="O37" t="str">
        <f>"*"&amp;ROUND(SUMIFS(RoadTra_BY!W$2:W$79,RoadTra_BY!$B$2:$B$79,'Road transport'!$C37,RoadTra_BY!$C$2:$C$79,'Road transport'!$BA37),3)</f>
        <v>*0</v>
      </c>
      <c r="P37" t="str">
        <f>"*"&amp;ROUND(SUMIFS(RoadTra_BY!X$2:X$79,RoadTra_BY!$B$2:$B$79,'Road transport'!$C37,RoadTra_BY!$C$2:$C$79,'Road transport'!$BA37),3)</f>
        <v>*0</v>
      </c>
      <c r="Q37" t="str">
        <f>"*"&amp;ROUND(SUMIFS(RoadTra_BY!Y$2:Y$79,RoadTra_BY!$B$2:$B$79,'Road transport'!$C37,RoadTra_BY!$C$2:$C$79,'Road transport'!$BA37),3)</f>
        <v>*0</v>
      </c>
      <c r="R37" t="str">
        <f>"*"&amp;ROUND(SUMIFS(RoadTra_BY!Z$2:Z$79,RoadTra_BY!$B$2:$B$79,'Road transport'!$C37,RoadTra_BY!$C$2:$C$79,'Road transport'!$BA37),3)</f>
        <v>*0</v>
      </c>
      <c r="S37" t="str">
        <f>"*"&amp;ROUND(SUMIFS(RoadTra_BY!AA$2:AA$79,RoadTra_BY!$B$2:$B$79,'Road transport'!$C37,RoadTra_BY!$C$2:$C$79,'Road transport'!$BA37),3)</f>
        <v>*0</v>
      </c>
      <c r="T37" t="str">
        <f>"*"&amp;ROUND(SUMIFS(RoadTra_BY!AB$2:AB$79,RoadTra_BY!$B$2:$B$79,'Road transport'!$C37,RoadTra_BY!$C$2:$C$79,'Road transport'!$BA37),3)</f>
        <v>*0</v>
      </c>
      <c r="U37" t="str">
        <f>"*"&amp;ROUND(SUMIFS(RoadTra_BY!AC$2:AC$79,RoadTra_BY!$B$2:$B$79,'Road transport'!$C37,RoadTra_BY!$C$2:$C$79,'Road transport'!$BA37),3)</f>
        <v>*0</v>
      </c>
      <c r="V37" t="str">
        <f>"*"&amp;ROUND(SUMIFS(RoadTra_BY!AD$2:AD$79,RoadTra_BY!$B$2:$B$79,'Road transport'!$C37,RoadTra_BY!$C$2:$C$79,'Road transport'!$BA37),3)</f>
        <v>*0</v>
      </c>
      <c r="W37" t="str">
        <f>"*"&amp;ROUND(SUMIFS(RoadTra_BY!AE$2:AE$79,RoadTra_BY!$B$2:$B$79,'Road transport'!$C37,RoadTra_BY!$C$2:$C$79,'Road transport'!$BA37),3)</f>
        <v>*0</v>
      </c>
      <c r="X37" t="str">
        <f>"*"&amp;ROUND(SUMIFS(RoadTra_BY!AF$2:AF$79,RoadTra_BY!$B$2:$B$79,'Road transport'!$C37,RoadTra_BY!$C$2:$C$79,'Road transport'!$BA37),3)</f>
        <v>*0</v>
      </c>
      <c r="Y37" t="str">
        <f>"*"&amp;ROUND(SUMIFS(RoadTra_BY!AG$2:AG$79,RoadTra_BY!$B$2:$B$79,'Road transport'!$C37,RoadTra_BY!$C$2:$C$79,'Road transport'!$BA37),3)</f>
        <v>*0</v>
      </c>
      <c r="Z37" t="str">
        <f>"*"&amp;ROUND(SUMIFS(RoadTra_BY!AH$2:AH$79,RoadTra_BY!$B$2:$B$79,'Road transport'!$C37,RoadTra_BY!$C$2:$C$79,'Road transport'!$BA37),3)</f>
        <v>*0</v>
      </c>
      <c r="AA37" t="str">
        <f>"*"&amp;ROUND(SUMIFS(RoadTra_BY!AI$2:AI$79,RoadTra_BY!$B$2:$B$79,'Road transport'!$C37,RoadTra_BY!$C$2:$C$79,'Road transport'!$BA37),3)</f>
        <v>*0</v>
      </c>
      <c r="AB37" t="str">
        <f>"*"&amp;ROUND(SUMIFS(RoadTra_BY!AJ$2:AJ$79,RoadTra_BY!$B$2:$B$79,'Road transport'!$C37,RoadTra_BY!$C$2:$C$79,'Road transport'!$BA37),3)</f>
        <v>*0</v>
      </c>
      <c r="AC37" t="str">
        <f>"*"&amp;ROUND(SUMIFS(RoadTra_BY!AK$2:AK$79,RoadTra_BY!$B$2:$B$79,'Road transport'!$C37,RoadTra_BY!$C$2:$C$79,'Road transport'!$BA37),3)</f>
        <v>*0</v>
      </c>
      <c r="AD37" t="str">
        <f>"*"&amp;ROUND(SUMIFS(RoadTra_BY!AL$2:AL$79,RoadTra_BY!$B$2:$B$79,'Road transport'!$C37,RoadTra_BY!$C$2:$C$79,'Road transport'!$BA37),3)</f>
        <v>*0</v>
      </c>
      <c r="AE37" t="str">
        <f>"*"&amp;ROUND(SUMIFS(RoadTra_BY!AM$2:AM$79,RoadTra_BY!$B$2:$B$79,'Road transport'!$C37,RoadTra_BY!$C$2:$C$79,'Road transport'!$BA37),3)</f>
        <v>*0</v>
      </c>
      <c r="AF37" t="str">
        <f>"*"&amp;ROUND(SUMIFS(RoadTra_BY!AN$2:AN$79,RoadTra_BY!$B$2:$B$79,'Road transport'!$C37,RoadTra_BY!$C$2:$C$79,'Road transport'!$BA37),3)</f>
        <v>*0</v>
      </c>
      <c r="AG37" t="str">
        <f>"*"&amp;ROUND(SUMIFS(RoadTra_BY!AO$2:AO$79,RoadTra_BY!$B$2:$B$79,'Road transport'!$C37,RoadTra_BY!$C$2:$C$79,'Road transport'!$BA37),3)</f>
        <v>*0</v>
      </c>
      <c r="AH37" t="str">
        <f>"*"&amp;ROUND(SUMIFS(RoadTra_BY!AP$2:AP$79,RoadTra_BY!$B$2:$B$79,'Road transport'!$C37,RoadTra_BY!$C$2:$C$79,'Road transport'!$BA37),3)</f>
        <v>*0</v>
      </c>
      <c r="AI37" t="str">
        <f>"*"&amp;ROUND(SUMIFS(RoadTra_BY!AQ$2:AQ$79,RoadTra_BY!$B$2:$B$79,'Road transport'!$C37,RoadTra_BY!$C$2:$C$79,'Road transport'!$BA37),3)</f>
        <v>*0</v>
      </c>
      <c r="AJ37" t="str">
        <f>"*"&amp;ROUND(SUMIFS(RoadTra_BY!AR$2:AR$79,RoadTra_BY!$B$2:$B$79,'Road transport'!$C37,RoadTra_BY!$C$2:$C$79,'Road transport'!$BA37),3)</f>
        <v>*0</v>
      </c>
      <c r="AK37" t="str">
        <f>"*"&amp;ROUND(SUMIFS(RoadTra_BY!AS$2:AS$79,RoadTra_BY!$B$2:$B$79,'Road transport'!$C37,RoadTra_BY!$C$2:$C$79,'Road transport'!$BA37),3)</f>
        <v>*0</v>
      </c>
      <c r="AL37" t="str">
        <f>"*"&amp;ROUND(SUMIFS(RoadTra_BY!AT$2:AT$79,RoadTra_BY!$B$2:$B$79,'Road transport'!$C37,RoadTra_BY!$C$2:$C$79,'Road transport'!$BA37),3)</f>
        <v>*0</v>
      </c>
      <c r="AM37" t="str">
        <f>"*"&amp;ROUND(SUMIFS(RoadTra_BY!AU$2:AU$79,RoadTra_BY!$B$2:$B$79,'Road transport'!$C37,RoadTra_BY!$C$2:$C$79,'Road transport'!$BA37),3)</f>
        <v>*0</v>
      </c>
      <c r="AN37" t="str">
        <f>"*"&amp;ROUND(SUMIFS(RoadTra_BY!AV$2:AV$79,RoadTra_BY!$B$2:$B$79,'Road transport'!$C37,RoadTra_BY!$C$2:$C$79,'Road transport'!$BA37),3)</f>
        <v>*0</v>
      </c>
      <c r="AO37" t="str">
        <f>"*"&amp;ROUND(SUMIFS(RoadTra_BY!AW$2:AW$79,RoadTra_BY!$B$2:$B$79,'Road transport'!$C37,RoadTra_BY!$C$2:$C$79,'Road transport'!$BA37),3)</f>
        <v>*0</v>
      </c>
      <c r="AP37" t="str">
        <f>"*"&amp;ROUND(SUMIFS(RoadTra_BY!AX$2:AX$79,RoadTra_BY!$B$2:$B$79,'Road transport'!$C37,RoadTra_BY!$C$2:$C$79,'Road transport'!$BA37),3)</f>
        <v>*0</v>
      </c>
      <c r="AQ37" t="str">
        <f>"*"&amp;ROUND(SUMIFS(RoadTra_BY!AY$2:AY$79,RoadTra_BY!$B$2:$B$79,'Road transport'!$C37,RoadTra_BY!$C$2:$C$79,'Road transport'!$BA37),3)</f>
        <v>*0</v>
      </c>
      <c r="AR37" t="str">
        <f>"*"&amp;ROUND(SUMIFS(RoadTra_BY!AZ$2:AZ$79,RoadTra_BY!$B$2:$B$79,'Road transport'!$C37,RoadTra_BY!$C$2:$C$79,'Road transport'!$BA37),3)</f>
        <v>*0</v>
      </c>
      <c r="AS37" t="str">
        <f>"*"&amp;ROUND(SUMIFS(RoadTra_BY!BA$2:BA$79,RoadTra_BY!$B$2:$B$79,'Road transport'!$C37,RoadTra_BY!$C$2:$C$79,'Road transport'!$BA37),3)</f>
        <v>*0</v>
      </c>
      <c r="AT37" t="str">
        <f>"*"&amp;ROUND(SUMIFS(RoadTra_BY!BB$2:BB$79,RoadTra_BY!$B$2:$B$79,'Road transport'!$C37,RoadTra_BY!$C$2:$C$79,'Road transport'!$BA37),3)</f>
        <v>*0</v>
      </c>
      <c r="AU37" t="str">
        <f>"*"&amp;ROUND(SUMIFS(RoadTra_BY!BC$2:BC$79,RoadTra_BY!$B$2:$B$79,'Road transport'!$C37,RoadTra_BY!$C$2:$C$79,'Road transport'!$BA37),3)</f>
        <v>*0</v>
      </c>
      <c r="AV37" t="str">
        <f>"*"&amp;ROUND(SUMIFS(RoadTra_BY!BD$2:BD$79,RoadTra_BY!$B$2:$B$79,'Road transport'!$C37,RoadTra_BY!$C$2:$C$79,'Road transport'!$BA37),3)</f>
        <v>*0</v>
      </c>
      <c r="AW37" t="str">
        <f>"*"&amp;ROUND(SUMIFS(RoadTra_BY!BE$2:BE$79,RoadTra_BY!$B$2:$B$79,'Road transport'!$C37,RoadTra_BY!$C$2:$C$79,'Road transport'!$BA37),3)</f>
        <v>*0</v>
      </c>
      <c r="AX37" t="str">
        <f t="shared" si="1"/>
        <v>Trd_hdt_*</v>
      </c>
      <c r="AZ37">
        <f t="shared" si="0"/>
        <v>2</v>
      </c>
      <c r="BA37" t="s">
        <v>111</v>
      </c>
    </row>
    <row r="38" spans="3:53">
      <c r="C38" t="s">
        <v>62</v>
      </c>
      <c r="D38" t="str">
        <f>"*"&amp;ROUND(SUMIFS(RoadTra_BY!L$2:L$79,RoadTra_BY!$B$2:$B$79,'Road transport'!$C38,RoadTra_BY!$C$2:$C$79,'Road transport'!$BA38),3)</f>
        <v>*0</v>
      </c>
      <c r="E38" t="str">
        <f>"*"&amp;ROUND(SUMIFS(RoadTra_BY!M$2:M$79,RoadTra_BY!$B$2:$B$79,'Road transport'!$C38,RoadTra_BY!$C$2:$C$79,'Road transport'!$BA38),3)</f>
        <v>*0</v>
      </c>
      <c r="F38" t="str">
        <f>"*"&amp;ROUND(SUMIFS(RoadTra_BY!N$2:N$79,RoadTra_BY!$B$2:$B$79,'Road transport'!$C38,RoadTra_BY!$C$2:$C$79,'Road transport'!$BA38),3)</f>
        <v>*0</v>
      </c>
      <c r="G38" t="str">
        <f>"*"&amp;ROUND(SUMIFS(RoadTra_BY!O$2:O$79,RoadTra_BY!$B$2:$B$79,'Road transport'!$C38,RoadTra_BY!$C$2:$C$79,'Road transport'!$BA38),3)</f>
        <v>*0</v>
      </c>
      <c r="H38" t="str">
        <f>"*"&amp;ROUND(SUMIFS(RoadTra_BY!P$2:P$79,RoadTra_BY!$B$2:$B$79,'Road transport'!$C38,RoadTra_BY!$C$2:$C$79,'Road transport'!$BA38),3)</f>
        <v>*0</v>
      </c>
      <c r="I38" t="str">
        <f>"*"&amp;ROUND(SUMIFS(RoadTra_BY!Q$2:Q$79,RoadTra_BY!$B$2:$B$79,'Road transport'!$C38,RoadTra_BY!$C$2:$C$79,'Road transport'!$BA38),3)</f>
        <v>*0</v>
      </c>
      <c r="J38" t="str">
        <f>"*"&amp;ROUND(SUMIFS(RoadTra_BY!R$2:R$79,RoadTra_BY!$B$2:$B$79,'Road transport'!$C38,RoadTra_BY!$C$2:$C$79,'Road transport'!$BA38),3)</f>
        <v>*0</v>
      </c>
      <c r="K38" t="str">
        <f>"*"&amp;ROUND(SUMIFS(RoadTra_BY!S$2:S$79,RoadTra_BY!$B$2:$B$79,'Road transport'!$C38,RoadTra_BY!$C$2:$C$79,'Road transport'!$BA38),3)</f>
        <v>*0</v>
      </c>
      <c r="L38" t="str">
        <f>"*"&amp;ROUND(SUMIFS(RoadTra_BY!T$2:T$79,RoadTra_BY!$B$2:$B$79,'Road transport'!$C38,RoadTra_BY!$C$2:$C$79,'Road transport'!$BA38),3)</f>
        <v>*0</v>
      </c>
      <c r="M38" t="str">
        <f>"*"&amp;ROUND(SUMIFS(RoadTra_BY!U$2:U$79,RoadTra_BY!$B$2:$B$79,'Road transport'!$C38,RoadTra_BY!$C$2:$C$79,'Road transport'!$BA38),3)</f>
        <v>*0</v>
      </c>
      <c r="N38" t="str">
        <f>"*"&amp;ROUND(SUMIFS(RoadTra_BY!V$2:V$79,RoadTra_BY!$B$2:$B$79,'Road transport'!$C38,RoadTra_BY!$C$2:$C$79,'Road transport'!$BA38),3)</f>
        <v>*0</v>
      </c>
      <c r="O38" t="str">
        <f>"*"&amp;ROUND(SUMIFS(RoadTra_BY!W$2:W$79,RoadTra_BY!$B$2:$B$79,'Road transport'!$C38,RoadTra_BY!$C$2:$C$79,'Road transport'!$BA38),3)</f>
        <v>*0</v>
      </c>
      <c r="P38" t="str">
        <f>"*"&amp;ROUND(SUMIFS(RoadTra_BY!X$2:X$79,RoadTra_BY!$B$2:$B$79,'Road transport'!$C38,RoadTra_BY!$C$2:$C$79,'Road transport'!$BA38),3)</f>
        <v>*0</v>
      </c>
      <c r="Q38" t="str">
        <f>"*"&amp;ROUND(SUMIFS(RoadTra_BY!Y$2:Y$79,RoadTra_BY!$B$2:$B$79,'Road transport'!$C38,RoadTra_BY!$C$2:$C$79,'Road transport'!$BA38),3)</f>
        <v>*0</v>
      </c>
      <c r="R38" t="str">
        <f>"*"&amp;ROUND(SUMIFS(RoadTra_BY!Z$2:Z$79,RoadTra_BY!$B$2:$B$79,'Road transport'!$C38,RoadTra_BY!$C$2:$C$79,'Road transport'!$BA38),3)</f>
        <v>*0</v>
      </c>
      <c r="S38" t="str">
        <f>"*"&amp;ROUND(SUMIFS(RoadTra_BY!AA$2:AA$79,RoadTra_BY!$B$2:$B$79,'Road transport'!$C38,RoadTra_BY!$C$2:$C$79,'Road transport'!$BA38),3)</f>
        <v>*0</v>
      </c>
      <c r="T38" t="str">
        <f>"*"&amp;ROUND(SUMIFS(RoadTra_BY!AB$2:AB$79,RoadTra_BY!$B$2:$B$79,'Road transport'!$C38,RoadTra_BY!$C$2:$C$79,'Road transport'!$BA38),3)</f>
        <v>*0</v>
      </c>
      <c r="U38" t="str">
        <f>"*"&amp;ROUND(SUMIFS(RoadTra_BY!AC$2:AC$79,RoadTra_BY!$B$2:$B$79,'Road transport'!$C38,RoadTra_BY!$C$2:$C$79,'Road transport'!$BA38),3)</f>
        <v>*0</v>
      </c>
      <c r="V38" t="str">
        <f>"*"&amp;ROUND(SUMIFS(RoadTra_BY!AD$2:AD$79,RoadTra_BY!$B$2:$B$79,'Road transport'!$C38,RoadTra_BY!$C$2:$C$79,'Road transport'!$BA38),3)</f>
        <v>*0</v>
      </c>
      <c r="W38" t="str">
        <f>"*"&amp;ROUND(SUMIFS(RoadTra_BY!AE$2:AE$79,RoadTra_BY!$B$2:$B$79,'Road transport'!$C38,RoadTra_BY!$C$2:$C$79,'Road transport'!$BA38),3)</f>
        <v>*0</v>
      </c>
      <c r="X38" t="str">
        <f>"*"&amp;ROUND(SUMIFS(RoadTra_BY!AF$2:AF$79,RoadTra_BY!$B$2:$B$79,'Road transport'!$C38,RoadTra_BY!$C$2:$C$79,'Road transport'!$BA38),3)</f>
        <v>*0</v>
      </c>
      <c r="Y38" t="str">
        <f>"*"&amp;ROUND(SUMIFS(RoadTra_BY!AG$2:AG$79,RoadTra_BY!$B$2:$B$79,'Road transport'!$C38,RoadTra_BY!$C$2:$C$79,'Road transport'!$BA38),3)</f>
        <v>*0</v>
      </c>
      <c r="Z38" t="str">
        <f>"*"&amp;ROUND(SUMIFS(RoadTra_BY!AH$2:AH$79,RoadTra_BY!$B$2:$B$79,'Road transport'!$C38,RoadTra_BY!$C$2:$C$79,'Road transport'!$BA38),3)</f>
        <v>*0</v>
      </c>
      <c r="AA38" t="str">
        <f>"*"&amp;ROUND(SUMIFS(RoadTra_BY!AI$2:AI$79,RoadTra_BY!$B$2:$B$79,'Road transport'!$C38,RoadTra_BY!$C$2:$C$79,'Road transport'!$BA38),3)</f>
        <v>*0</v>
      </c>
      <c r="AB38" t="str">
        <f>"*"&amp;ROUND(SUMIFS(RoadTra_BY!AJ$2:AJ$79,RoadTra_BY!$B$2:$B$79,'Road transport'!$C38,RoadTra_BY!$C$2:$C$79,'Road transport'!$BA38),3)</f>
        <v>*0</v>
      </c>
      <c r="AC38" t="str">
        <f>"*"&amp;ROUND(SUMIFS(RoadTra_BY!AK$2:AK$79,RoadTra_BY!$B$2:$B$79,'Road transport'!$C38,RoadTra_BY!$C$2:$C$79,'Road transport'!$BA38),3)</f>
        <v>*0</v>
      </c>
      <c r="AD38" t="str">
        <f>"*"&amp;ROUND(SUMIFS(RoadTra_BY!AL$2:AL$79,RoadTra_BY!$B$2:$B$79,'Road transport'!$C38,RoadTra_BY!$C$2:$C$79,'Road transport'!$BA38),3)</f>
        <v>*0</v>
      </c>
      <c r="AE38" t="str">
        <f>"*"&amp;ROUND(SUMIFS(RoadTra_BY!AM$2:AM$79,RoadTra_BY!$B$2:$B$79,'Road transport'!$C38,RoadTra_BY!$C$2:$C$79,'Road transport'!$BA38),3)</f>
        <v>*0</v>
      </c>
      <c r="AF38" t="str">
        <f>"*"&amp;ROUND(SUMIFS(RoadTra_BY!AN$2:AN$79,RoadTra_BY!$B$2:$B$79,'Road transport'!$C38,RoadTra_BY!$C$2:$C$79,'Road transport'!$BA38),3)</f>
        <v>*0</v>
      </c>
      <c r="AG38" t="str">
        <f>"*"&amp;ROUND(SUMIFS(RoadTra_BY!AO$2:AO$79,RoadTra_BY!$B$2:$B$79,'Road transport'!$C38,RoadTra_BY!$C$2:$C$79,'Road transport'!$BA38),3)</f>
        <v>*0</v>
      </c>
      <c r="AH38" t="str">
        <f>"*"&amp;ROUND(SUMIFS(RoadTra_BY!AP$2:AP$79,RoadTra_BY!$B$2:$B$79,'Road transport'!$C38,RoadTra_BY!$C$2:$C$79,'Road transport'!$BA38),3)</f>
        <v>*0</v>
      </c>
      <c r="AI38" t="str">
        <f>"*"&amp;ROUND(SUMIFS(RoadTra_BY!AQ$2:AQ$79,RoadTra_BY!$B$2:$B$79,'Road transport'!$C38,RoadTra_BY!$C$2:$C$79,'Road transport'!$BA38),3)</f>
        <v>*0</v>
      </c>
      <c r="AJ38" t="str">
        <f>"*"&amp;ROUND(SUMIFS(RoadTra_BY!AR$2:AR$79,RoadTra_BY!$B$2:$B$79,'Road transport'!$C38,RoadTra_BY!$C$2:$C$79,'Road transport'!$BA38),3)</f>
        <v>*0</v>
      </c>
      <c r="AK38" t="str">
        <f>"*"&amp;ROUND(SUMIFS(RoadTra_BY!AS$2:AS$79,RoadTra_BY!$B$2:$B$79,'Road transport'!$C38,RoadTra_BY!$C$2:$C$79,'Road transport'!$BA38),3)</f>
        <v>*0</v>
      </c>
      <c r="AL38" t="str">
        <f>"*"&amp;ROUND(SUMIFS(RoadTra_BY!AT$2:AT$79,RoadTra_BY!$B$2:$B$79,'Road transport'!$C38,RoadTra_BY!$C$2:$C$79,'Road transport'!$BA38),3)</f>
        <v>*0</v>
      </c>
      <c r="AM38" t="str">
        <f>"*"&amp;ROUND(SUMIFS(RoadTra_BY!AU$2:AU$79,RoadTra_BY!$B$2:$B$79,'Road transport'!$C38,RoadTra_BY!$C$2:$C$79,'Road transport'!$BA38),3)</f>
        <v>*0</v>
      </c>
      <c r="AN38" t="str">
        <f>"*"&amp;ROUND(SUMIFS(RoadTra_BY!AV$2:AV$79,RoadTra_BY!$B$2:$B$79,'Road transport'!$C38,RoadTra_BY!$C$2:$C$79,'Road transport'!$BA38),3)</f>
        <v>*0</v>
      </c>
      <c r="AO38" t="str">
        <f>"*"&amp;ROUND(SUMIFS(RoadTra_BY!AW$2:AW$79,RoadTra_BY!$B$2:$B$79,'Road transport'!$C38,RoadTra_BY!$C$2:$C$79,'Road transport'!$BA38),3)</f>
        <v>*0</v>
      </c>
      <c r="AP38" t="str">
        <f>"*"&amp;ROUND(SUMIFS(RoadTra_BY!AX$2:AX$79,RoadTra_BY!$B$2:$B$79,'Road transport'!$C38,RoadTra_BY!$C$2:$C$79,'Road transport'!$BA38),3)</f>
        <v>*0</v>
      </c>
      <c r="AQ38" t="str">
        <f>"*"&amp;ROUND(SUMIFS(RoadTra_BY!AY$2:AY$79,RoadTra_BY!$B$2:$B$79,'Road transport'!$C38,RoadTra_BY!$C$2:$C$79,'Road transport'!$BA38),3)</f>
        <v>*0</v>
      </c>
      <c r="AR38" t="str">
        <f>"*"&amp;ROUND(SUMIFS(RoadTra_BY!AZ$2:AZ$79,RoadTra_BY!$B$2:$B$79,'Road transport'!$C38,RoadTra_BY!$C$2:$C$79,'Road transport'!$BA38),3)</f>
        <v>*0</v>
      </c>
      <c r="AS38" t="str">
        <f>"*"&amp;ROUND(SUMIFS(RoadTra_BY!BA$2:BA$79,RoadTra_BY!$B$2:$B$79,'Road transport'!$C38,RoadTra_BY!$C$2:$C$79,'Road transport'!$BA38),3)</f>
        <v>*0</v>
      </c>
      <c r="AT38" t="str">
        <f>"*"&amp;ROUND(SUMIFS(RoadTra_BY!BB$2:BB$79,RoadTra_BY!$B$2:$B$79,'Road transport'!$C38,RoadTra_BY!$C$2:$C$79,'Road transport'!$BA38),3)</f>
        <v>*0</v>
      </c>
      <c r="AU38" t="str">
        <f>"*"&amp;ROUND(SUMIFS(RoadTra_BY!BC$2:BC$79,RoadTra_BY!$B$2:$B$79,'Road transport'!$C38,RoadTra_BY!$C$2:$C$79,'Road transport'!$BA38),3)</f>
        <v>*0</v>
      </c>
      <c r="AV38" t="str">
        <f>"*"&amp;ROUND(SUMIFS(RoadTra_BY!BD$2:BD$79,RoadTra_BY!$B$2:$B$79,'Road transport'!$C38,RoadTra_BY!$C$2:$C$79,'Road transport'!$BA38),3)</f>
        <v>*0</v>
      </c>
      <c r="AW38" t="str">
        <f>"*"&amp;ROUND(SUMIFS(RoadTra_BY!BE$2:BE$79,RoadTra_BY!$B$2:$B$79,'Road transport'!$C38,RoadTra_BY!$C$2:$C$79,'Road transport'!$BA38),3)</f>
        <v>*0</v>
      </c>
      <c r="AX38" t="str">
        <f t="shared" si="1"/>
        <v>Trd_lcv_*</v>
      </c>
      <c r="AZ38">
        <f t="shared" si="0"/>
        <v>2</v>
      </c>
      <c r="BA38" t="s">
        <v>112</v>
      </c>
    </row>
    <row r="45" spans="5:5">
      <c r="E45" s="37"/>
    </row>
    <row r="48" spans="2:2">
      <c r="B48" t="s">
        <v>106</v>
      </c>
    </row>
    <row r="49" spans="2:9">
      <c r="B49" t="s">
        <v>71</v>
      </c>
      <c r="C49" t="s">
        <v>75</v>
      </c>
      <c r="D49" t="s">
        <v>48</v>
      </c>
      <c r="E49" t="s">
        <v>49</v>
      </c>
      <c r="I49" t="s">
        <v>113</v>
      </c>
    </row>
    <row r="50" spans="2:5">
      <c r="B50" t="s">
        <v>62</v>
      </c>
      <c r="C50" t="s">
        <v>114</v>
      </c>
      <c r="D50" t="s">
        <v>59</v>
      </c>
      <c r="E50" t="s">
        <v>115</v>
      </c>
    </row>
    <row r="53" spans="2:2">
      <c r="B53" t="s">
        <v>69</v>
      </c>
    </row>
    <row r="54" spans="2:8">
      <c r="B54" t="s">
        <v>71</v>
      </c>
      <c r="C54" t="s">
        <v>75</v>
      </c>
      <c r="D54" t="s">
        <v>116</v>
      </c>
      <c r="E54" t="s">
        <v>96</v>
      </c>
      <c r="F54" t="s">
        <v>50</v>
      </c>
      <c r="G54" t="s">
        <v>117</v>
      </c>
      <c r="H54" t="s">
        <v>49</v>
      </c>
    </row>
    <row r="55" spans="2:5">
      <c r="B55" t="s">
        <v>91</v>
      </c>
      <c r="C55">
        <v>10</v>
      </c>
      <c r="D55" t="s">
        <v>118</v>
      </c>
      <c r="E55" s="60" t="s">
        <v>119</v>
      </c>
    </row>
    <row r="56" spans="2:8">
      <c r="B56" t="s">
        <v>120</v>
      </c>
      <c r="C56">
        <v>1</v>
      </c>
      <c r="F56" t="s">
        <v>121</v>
      </c>
      <c r="G56" t="s">
        <v>58</v>
      </c>
      <c r="H56" t="str">
        <f>F56</f>
        <v>AuxStoIN</v>
      </c>
    </row>
    <row r="62" spans="8:8">
      <c r="H62" s="33"/>
    </row>
    <row r="63" spans="8:53">
      <c r="H63" s="33"/>
      <c r="BA63" s="31"/>
    </row>
    <row r="65" s="30" customFormat="1" spans="1:106">
      <c r="A65" s="31"/>
      <c r="B65" s="38" t="s">
        <v>69</v>
      </c>
      <c r="C65" s="39"/>
      <c r="D65" s="38"/>
      <c r="E65" s="38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Y65" s="31"/>
      <c r="AZ65" s="31"/>
      <c r="BB65" s="31"/>
      <c r="BC65" s="31"/>
      <c r="BD65" s="31"/>
      <c r="BE65" s="31"/>
      <c r="BF65" s="31"/>
      <c r="BG65" s="31"/>
      <c r="BH65" s="31"/>
      <c r="BI65" s="31"/>
      <c r="CO65" s="52"/>
      <c r="CP65" s="52"/>
      <c r="CR65" s="52"/>
      <c r="CS65" s="52"/>
      <c r="CT65" s="52"/>
      <c r="CU65" s="52"/>
      <c r="CW65" s="33"/>
      <c r="CX65" s="55" t="s">
        <v>69</v>
      </c>
      <c r="CY65" s="33"/>
      <c r="CZ65" s="33"/>
      <c r="DA65" s="33"/>
      <c r="DB65" s="33"/>
    </row>
    <row r="66" s="31" customFormat="1" spans="2:106">
      <c r="B66" s="38" t="s">
        <v>71</v>
      </c>
      <c r="C66" s="38" t="s">
        <v>76</v>
      </c>
      <c r="D66" s="38" t="s">
        <v>45</v>
      </c>
      <c r="E66" s="38" t="s">
        <v>50</v>
      </c>
      <c r="F66" s="31" t="s">
        <v>3</v>
      </c>
      <c r="G66" s="31" t="s">
        <v>5</v>
      </c>
      <c r="H66" s="31" t="s">
        <v>6</v>
      </c>
      <c r="I66" s="31" t="s">
        <v>7</v>
      </c>
      <c r="J66" s="31" t="s">
        <v>8</v>
      </c>
      <c r="K66" s="31" t="s">
        <v>9</v>
      </c>
      <c r="L66" s="31" t="s">
        <v>10</v>
      </c>
      <c r="M66" s="31" t="s">
        <v>11</v>
      </c>
      <c r="N66" s="31" t="s">
        <v>12</v>
      </c>
      <c r="O66" s="31" t="s">
        <v>13</v>
      </c>
      <c r="P66" s="31" t="s">
        <v>14</v>
      </c>
      <c r="Q66" s="31" t="s">
        <v>15</v>
      </c>
      <c r="R66" s="31" t="s">
        <v>16</v>
      </c>
      <c r="S66" s="31" t="s">
        <v>17</v>
      </c>
      <c r="T66" s="31" t="s">
        <v>18</v>
      </c>
      <c r="U66" s="31" t="s">
        <v>19</v>
      </c>
      <c r="V66" s="31" t="s">
        <v>20</v>
      </c>
      <c r="W66" s="31" t="s">
        <v>21</v>
      </c>
      <c r="X66" s="31" t="s">
        <v>22</v>
      </c>
      <c r="Y66" s="31" t="s">
        <v>23</v>
      </c>
      <c r="Z66" s="31" t="s">
        <v>24</v>
      </c>
      <c r="AA66" s="31" t="s">
        <v>25</v>
      </c>
      <c r="AB66" s="31" t="s">
        <v>26</v>
      </c>
      <c r="AC66" s="31" t="s">
        <v>27</v>
      </c>
      <c r="AD66" s="31" t="s">
        <v>28</v>
      </c>
      <c r="AE66" s="31" t="s">
        <v>29</v>
      </c>
      <c r="AF66" s="31" t="s">
        <v>30</v>
      </c>
      <c r="AG66" s="31" t="s">
        <v>31</v>
      </c>
      <c r="AH66" s="31" t="s">
        <v>32</v>
      </c>
      <c r="AI66" s="31" t="s">
        <v>33</v>
      </c>
      <c r="AJ66" s="31" t="s">
        <v>34</v>
      </c>
      <c r="AK66" s="31" t="s">
        <v>35</v>
      </c>
      <c r="AL66" s="31" t="s">
        <v>36</v>
      </c>
      <c r="AM66" s="31" t="s">
        <v>37</v>
      </c>
      <c r="AN66" s="31" t="s">
        <v>122</v>
      </c>
      <c r="CQ66" s="53"/>
      <c r="CR66" s="53"/>
      <c r="CT66" s="53"/>
      <c r="CU66" s="53"/>
      <c r="CW66" t="s">
        <v>71</v>
      </c>
      <c r="CX66" t="s">
        <v>76</v>
      </c>
      <c r="CY66" t="s">
        <v>45</v>
      </c>
      <c r="CZ66" t="s">
        <v>50</v>
      </c>
      <c r="DA66" s="58" t="s">
        <v>77</v>
      </c>
      <c r="DB66" s="58" t="s">
        <v>44</v>
      </c>
    </row>
    <row r="67" s="31" customFormat="1" ht="14.5" spans="2:106">
      <c r="B67" s="40" t="s">
        <v>123</v>
      </c>
      <c r="C67" s="38" t="s">
        <v>124</v>
      </c>
      <c r="D67" s="39" t="s">
        <v>125</v>
      </c>
      <c r="E67" s="39" t="s">
        <v>126</v>
      </c>
      <c r="F67" s="31">
        <f t="shared" ref="F67:L68" si="2">D77/1000</f>
        <v>0</v>
      </c>
      <c r="G67" s="31">
        <f t="shared" si="2"/>
        <v>310</v>
      </c>
      <c r="H67" s="31">
        <f t="shared" si="2"/>
        <v>6200</v>
      </c>
      <c r="I67" s="31">
        <f t="shared" si="2"/>
        <v>0</v>
      </c>
      <c r="J67" s="31">
        <f t="shared" si="2"/>
        <v>0</v>
      </c>
      <c r="K67" s="31">
        <f t="shared" si="2"/>
        <v>0</v>
      </c>
      <c r="L67" s="31">
        <f t="shared" si="2"/>
        <v>250</v>
      </c>
      <c r="M67" s="31">
        <v>2000</v>
      </c>
      <c r="N67" s="31">
        <f t="shared" ref="N67:W68" si="3">L77/1000</f>
        <v>0</v>
      </c>
      <c r="O67" s="31">
        <f t="shared" si="3"/>
        <v>0</v>
      </c>
      <c r="P67" s="31">
        <f t="shared" si="3"/>
        <v>0</v>
      </c>
      <c r="Q67" s="31">
        <f t="shared" si="3"/>
        <v>0</v>
      </c>
      <c r="R67" s="31">
        <f t="shared" si="3"/>
        <v>0</v>
      </c>
      <c r="S67" s="31">
        <f t="shared" si="3"/>
        <v>0</v>
      </c>
      <c r="T67" s="31">
        <f t="shared" si="3"/>
        <v>0</v>
      </c>
      <c r="U67" s="31">
        <f t="shared" si="3"/>
        <v>0</v>
      </c>
      <c r="V67" s="31">
        <f t="shared" si="3"/>
        <v>0</v>
      </c>
      <c r="W67" s="31">
        <f t="shared" si="3"/>
        <v>0</v>
      </c>
      <c r="X67" s="31">
        <f t="shared" ref="X67:AG68" si="4">V77/1000</f>
        <v>0</v>
      </c>
      <c r="Y67" s="31">
        <f t="shared" si="4"/>
        <v>12250</v>
      </c>
      <c r="Z67" s="31">
        <f t="shared" si="4"/>
        <v>0</v>
      </c>
      <c r="AA67" s="31">
        <f t="shared" si="4"/>
        <v>1930</v>
      </c>
      <c r="AB67" s="31">
        <f t="shared" si="4"/>
        <v>0</v>
      </c>
      <c r="AC67" s="31">
        <f t="shared" si="4"/>
        <v>0</v>
      </c>
      <c r="AD67" s="31">
        <f t="shared" si="4"/>
        <v>3300</v>
      </c>
      <c r="AE67" s="31">
        <f t="shared" si="4"/>
        <v>0</v>
      </c>
      <c r="AF67" s="31">
        <f t="shared" si="4"/>
        <v>0</v>
      </c>
      <c r="AG67" s="31">
        <f t="shared" si="4"/>
        <v>0</v>
      </c>
      <c r="AH67" s="31">
        <f t="shared" ref="AH67:AM68" si="5">AF77/1000</f>
        <v>60</v>
      </c>
      <c r="AI67" s="31">
        <f t="shared" si="5"/>
        <v>0</v>
      </c>
      <c r="AJ67" s="31">
        <f t="shared" si="5"/>
        <v>0</v>
      </c>
      <c r="AK67" s="31">
        <f t="shared" si="5"/>
        <v>0</v>
      </c>
      <c r="AL67" s="31">
        <f t="shared" si="5"/>
        <v>0</v>
      </c>
      <c r="AM67" s="31">
        <f t="shared" si="5"/>
        <v>0</v>
      </c>
      <c r="AN67" s="31" t="str">
        <f>E67</f>
        <v>m_lithium</v>
      </c>
      <c r="CQ67" s="53"/>
      <c r="CR67" s="53"/>
      <c r="CT67" s="53"/>
      <c r="CU67" s="53"/>
      <c r="CW67" s="56" t="s">
        <v>123</v>
      </c>
      <c r="CX67" t="s">
        <v>124</v>
      </c>
      <c r="CY67" s="33" t="s">
        <v>127</v>
      </c>
      <c r="CZ67" s="33" t="s">
        <v>126</v>
      </c>
      <c r="DA67" s="58">
        <v>0</v>
      </c>
      <c r="DB67" s="58">
        <v>5</v>
      </c>
    </row>
    <row r="68" s="31" customFormat="1" ht="14.5" spans="2:106">
      <c r="B68" s="40" t="s">
        <v>123</v>
      </c>
      <c r="C68" s="38" t="s">
        <v>124</v>
      </c>
      <c r="D68" s="39" t="s">
        <v>128</v>
      </c>
      <c r="E68" s="39" t="s">
        <v>129</v>
      </c>
      <c r="F68" s="31">
        <f t="shared" si="2"/>
        <v>0</v>
      </c>
      <c r="G68" s="31">
        <f t="shared" si="2"/>
        <v>0</v>
      </c>
      <c r="H68" s="31">
        <f t="shared" si="2"/>
        <v>21000</v>
      </c>
      <c r="I68" s="31">
        <f t="shared" si="2"/>
        <v>0</v>
      </c>
      <c r="J68" s="31">
        <f t="shared" si="2"/>
        <v>0</v>
      </c>
      <c r="K68" s="31">
        <f t="shared" si="2"/>
        <v>0</v>
      </c>
      <c r="L68" s="31">
        <f t="shared" si="2"/>
        <v>16000</v>
      </c>
      <c r="M68" s="31">
        <f>K78/1000</f>
        <v>2100</v>
      </c>
      <c r="N68" s="31">
        <f t="shared" si="3"/>
        <v>0</v>
      </c>
      <c r="O68" s="31">
        <f t="shared" si="3"/>
        <v>0</v>
      </c>
      <c r="P68" s="31">
        <f t="shared" si="3"/>
        <v>0</v>
      </c>
      <c r="Q68" s="31">
        <f t="shared" si="3"/>
        <v>0</v>
      </c>
      <c r="R68" s="31">
        <f t="shared" si="3"/>
        <v>0</v>
      </c>
      <c r="S68" s="31">
        <f t="shared" si="3"/>
        <v>0</v>
      </c>
      <c r="T68" s="31">
        <f t="shared" si="3"/>
        <v>0</v>
      </c>
      <c r="U68" s="31">
        <f t="shared" si="3"/>
        <v>0</v>
      </c>
      <c r="V68" s="31">
        <f t="shared" si="3"/>
        <v>0</v>
      </c>
      <c r="W68" s="31">
        <f t="shared" si="3"/>
        <v>0</v>
      </c>
      <c r="X68" s="31">
        <f t="shared" si="4"/>
        <v>0</v>
      </c>
      <c r="Y68" s="31">
        <f t="shared" si="4"/>
        <v>16000</v>
      </c>
      <c r="Z68" s="31">
        <f t="shared" si="4"/>
        <v>0</v>
      </c>
      <c r="AA68" s="31">
        <f t="shared" si="4"/>
        <v>2570</v>
      </c>
      <c r="AB68" s="31">
        <f t="shared" si="4"/>
        <v>0</v>
      </c>
      <c r="AC68" s="31">
        <f t="shared" si="4"/>
        <v>0</v>
      </c>
      <c r="AD68" s="31">
        <f t="shared" si="4"/>
        <v>52900</v>
      </c>
      <c r="AE68" s="31">
        <f t="shared" si="4"/>
        <v>7500</v>
      </c>
      <c r="AF68" s="31">
        <f t="shared" si="4"/>
        <v>0</v>
      </c>
      <c r="AG68" s="31">
        <f t="shared" si="4"/>
        <v>0</v>
      </c>
      <c r="AH68" s="31">
        <f t="shared" si="5"/>
        <v>0</v>
      </c>
      <c r="AI68" s="31">
        <f t="shared" si="5"/>
        <v>0</v>
      </c>
      <c r="AJ68" s="31">
        <f t="shared" si="5"/>
        <v>0</v>
      </c>
      <c r="AK68" s="31">
        <f t="shared" si="5"/>
        <v>0</v>
      </c>
      <c r="AL68" s="31">
        <f t="shared" si="5"/>
        <v>0</v>
      </c>
      <c r="AM68" s="31">
        <f t="shared" si="5"/>
        <v>0</v>
      </c>
      <c r="AN68" s="31" t="str">
        <f t="shared" ref="AN68:AN73" si="6">E68</f>
        <v>m_nickel</v>
      </c>
      <c r="CQ68" s="53"/>
      <c r="CR68" s="53"/>
      <c r="CT68" s="53"/>
      <c r="CU68" s="53"/>
      <c r="CW68" s="56" t="s">
        <v>123</v>
      </c>
      <c r="CX68" t="s">
        <v>124</v>
      </c>
      <c r="CY68" s="33" t="s">
        <v>127</v>
      </c>
      <c r="CZ68" s="33" t="s">
        <v>129</v>
      </c>
      <c r="DA68" s="58">
        <v>0</v>
      </c>
      <c r="DB68" s="58">
        <v>5</v>
      </c>
    </row>
    <row r="69" s="32" customFormat="1" ht="14.5" spans="2:106">
      <c r="B69" s="41" t="s">
        <v>123</v>
      </c>
      <c r="C69" s="32" t="s">
        <v>124</v>
      </c>
      <c r="D69" s="42" t="s">
        <v>130</v>
      </c>
      <c r="E69" s="42" t="s">
        <v>131</v>
      </c>
      <c r="F69" s="43">
        <v>0</v>
      </c>
      <c r="G69" s="43">
        <f>E79/10000</f>
        <v>410</v>
      </c>
      <c r="H69" s="43">
        <f>F79/10000</f>
        <v>150</v>
      </c>
      <c r="I69" s="43">
        <f>G79/10000</f>
        <v>0</v>
      </c>
      <c r="J69" s="43">
        <f>H79/10000</f>
        <v>0</v>
      </c>
      <c r="K69" s="43">
        <f>I79/10000</f>
        <v>0</v>
      </c>
      <c r="L69" s="43">
        <f t="shared" ref="L69:AM69" si="7">J79/10000</f>
        <v>0</v>
      </c>
      <c r="M69" s="43">
        <f t="shared" si="7"/>
        <v>14</v>
      </c>
      <c r="N69" s="43">
        <f t="shared" si="7"/>
        <v>0</v>
      </c>
      <c r="O69" s="43">
        <f t="shared" si="7"/>
        <v>0</v>
      </c>
      <c r="P69" s="43">
        <f t="shared" si="7"/>
        <v>0</v>
      </c>
      <c r="Q69" s="43">
        <f t="shared" si="7"/>
        <v>0</v>
      </c>
      <c r="R69" s="43">
        <f t="shared" si="7"/>
        <v>0</v>
      </c>
      <c r="S69" s="43">
        <f t="shared" si="7"/>
        <v>0</v>
      </c>
      <c r="T69" s="43">
        <f t="shared" si="7"/>
        <v>0</v>
      </c>
      <c r="U69" s="43">
        <f t="shared" si="7"/>
        <v>0</v>
      </c>
      <c r="V69" s="43">
        <f t="shared" si="7"/>
        <v>0</v>
      </c>
      <c r="W69" s="43">
        <f t="shared" si="7"/>
        <v>0</v>
      </c>
      <c r="X69" s="43">
        <f t="shared" si="7"/>
        <v>0</v>
      </c>
      <c r="Y69" s="43">
        <f t="shared" si="7"/>
        <v>50</v>
      </c>
      <c r="Z69" s="43">
        <f t="shared" si="7"/>
        <v>3.6</v>
      </c>
      <c r="AA69" s="43">
        <f t="shared" si="7"/>
        <v>28.9</v>
      </c>
      <c r="AB69" s="43">
        <f t="shared" si="7"/>
        <v>0</v>
      </c>
      <c r="AC69" s="43">
        <f t="shared" si="7"/>
        <v>0</v>
      </c>
      <c r="AD69" s="43">
        <f t="shared" si="7"/>
        <v>151.7</v>
      </c>
      <c r="AE69" s="43">
        <f t="shared" si="7"/>
        <v>25</v>
      </c>
      <c r="AF69" s="43">
        <f t="shared" si="7"/>
        <v>0</v>
      </c>
      <c r="AG69" s="43">
        <f t="shared" si="7"/>
        <v>0</v>
      </c>
      <c r="AH69" s="43">
        <f t="shared" si="7"/>
        <v>0</v>
      </c>
      <c r="AI69" s="43">
        <f t="shared" si="7"/>
        <v>0</v>
      </c>
      <c r="AJ69" s="43">
        <f t="shared" si="7"/>
        <v>0</v>
      </c>
      <c r="AK69" s="43">
        <f t="shared" si="7"/>
        <v>3.6</v>
      </c>
      <c r="AL69" s="43">
        <f t="shared" si="7"/>
        <v>0</v>
      </c>
      <c r="AM69" s="43">
        <f t="shared" si="7"/>
        <v>0</v>
      </c>
      <c r="AN69" s="31" t="str">
        <f t="shared" si="6"/>
        <v>m_cobalt</v>
      </c>
      <c r="CQ69" s="54"/>
      <c r="CR69" s="54"/>
      <c r="CT69" s="54"/>
      <c r="CU69" s="54"/>
      <c r="CW69" s="41" t="s">
        <v>123</v>
      </c>
      <c r="CX69" s="32" t="s">
        <v>124</v>
      </c>
      <c r="CY69" s="42" t="s">
        <v>127</v>
      </c>
      <c r="CZ69" s="42" t="s">
        <v>131</v>
      </c>
      <c r="DA69" s="54">
        <v>0</v>
      </c>
      <c r="DB69" s="54">
        <v>5</v>
      </c>
    </row>
    <row r="70" s="31" customFormat="1" ht="14.5" spans="2:106">
      <c r="B70" s="40" t="s">
        <v>123</v>
      </c>
      <c r="C70" s="38" t="s">
        <v>124</v>
      </c>
      <c r="D70" s="39" t="s">
        <v>132</v>
      </c>
      <c r="E70" s="44" t="s">
        <v>133</v>
      </c>
      <c r="F70" s="45">
        <f t="shared" ref="F70:Z70" si="8">D80/1000</f>
        <v>0</v>
      </c>
      <c r="G70" s="45">
        <f t="shared" si="8"/>
        <v>74000</v>
      </c>
      <c r="H70" s="45">
        <f t="shared" si="8"/>
        <v>270000</v>
      </c>
      <c r="I70" s="45">
        <f t="shared" si="8"/>
        <v>0</v>
      </c>
      <c r="J70" s="45">
        <f t="shared" si="8"/>
        <v>0</v>
      </c>
      <c r="K70" s="45">
        <f t="shared" si="8"/>
        <v>0</v>
      </c>
      <c r="L70" s="45">
        <f t="shared" si="8"/>
        <v>270000</v>
      </c>
      <c r="M70" s="45">
        <f t="shared" si="8"/>
        <v>280000</v>
      </c>
      <c r="N70" s="45">
        <f t="shared" si="8"/>
        <v>0</v>
      </c>
      <c r="O70" s="45">
        <f t="shared" si="8"/>
        <v>0</v>
      </c>
      <c r="P70" s="45">
        <f t="shared" si="8"/>
        <v>0</v>
      </c>
      <c r="Q70" s="45">
        <f t="shared" si="8"/>
        <v>0</v>
      </c>
      <c r="R70" s="45">
        <f t="shared" si="8"/>
        <v>0</v>
      </c>
      <c r="S70" s="45">
        <f t="shared" si="8"/>
        <v>0</v>
      </c>
      <c r="T70" s="45">
        <f t="shared" si="8"/>
        <v>0</v>
      </c>
      <c r="U70" s="45">
        <f t="shared" si="8"/>
        <v>34000</v>
      </c>
      <c r="V70" s="45">
        <f t="shared" si="8"/>
        <v>0</v>
      </c>
      <c r="W70" s="45">
        <f t="shared" si="8"/>
        <v>0</v>
      </c>
      <c r="X70" s="45">
        <f t="shared" si="8"/>
        <v>0</v>
      </c>
      <c r="Y70" s="45">
        <f t="shared" si="8"/>
        <v>275000</v>
      </c>
      <c r="Z70" s="45">
        <f t="shared" si="8"/>
        <v>0</v>
      </c>
      <c r="AA70" s="51">
        <v>100</v>
      </c>
      <c r="AB70" s="31">
        <f t="shared" ref="AB70:AM73" si="9">Z80/1000</f>
        <v>0</v>
      </c>
      <c r="AC70" s="31">
        <f t="shared" si="9"/>
        <v>0</v>
      </c>
      <c r="AD70" s="31">
        <f t="shared" si="9"/>
        <v>5000</v>
      </c>
      <c r="AE70" s="31">
        <f t="shared" si="9"/>
        <v>0</v>
      </c>
      <c r="AF70" s="31">
        <f t="shared" si="9"/>
        <v>0</v>
      </c>
      <c r="AG70" s="38">
        <f t="shared" si="9"/>
        <v>640000</v>
      </c>
      <c r="AH70" s="31">
        <f t="shared" si="9"/>
        <v>0</v>
      </c>
      <c r="AI70" s="31">
        <f t="shared" si="9"/>
        <v>0</v>
      </c>
      <c r="AJ70" s="31">
        <f t="shared" si="9"/>
        <v>0</v>
      </c>
      <c r="AK70" s="31">
        <f t="shared" si="9"/>
        <v>0</v>
      </c>
      <c r="AL70" s="31">
        <f t="shared" si="9"/>
        <v>0</v>
      </c>
      <c r="AM70" s="31">
        <f t="shared" si="9"/>
        <v>140000</v>
      </c>
      <c r="AN70" s="31" t="str">
        <f t="shared" si="6"/>
        <v>m_manganese</v>
      </c>
      <c r="CQ70" s="53"/>
      <c r="CR70" s="53"/>
      <c r="CT70" s="53"/>
      <c r="CU70" s="53"/>
      <c r="CW70" s="56" t="s">
        <v>123</v>
      </c>
      <c r="CX70" t="s">
        <v>124</v>
      </c>
      <c r="CY70" s="33" t="s">
        <v>127</v>
      </c>
      <c r="CZ70" s="57" t="s">
        <v>133</v>
      </c>
      <c r="DA70" s="58">
        <v>0</v>
      </c>
      <c r="DB70" s="58">
        <v>5</v>
      </c>
    </row>
    <row r="71" s="31" customFormat="1" ht="14.5" spans="2:106">
      <c r="B71" s="40" t="s">
        <v>123</v>
      </c>
      <c r="C71" s="38" t="s">
        <v>124</v>
      </c>
      <c r="D71" s="39" t="s">
        <v>134</v>
      </c>
      <c r="E71" s="39" t="s">
        <v>135</v>
      </c>
      <c r="F71" s="31">
        <f t="shared" ref="F71:L73" si="10">D81/1000</f>
        <v>0</v>
      </c>
      <c r="G71" s="31">
        <f t="shared" si="10"/>
        <v>0</v>
      </c>
      <c r="H71" s="31">
        <f t="shared" si="10"/>
        <v>0</v>
      </c>
      <c r="I71" s="31">
        <f t="shared" si="10"/>
        <v>0</v>
      </c>
      <c r="J71" s="31">
        <f t="shared" si="10"/>
        <v>0</v>
      </c>
      <c r="K71" s="31">
        <f t="shared" si="10"/>
        <v>0</v>
      </c>
      <c r="L71" s="31">
        <f t="shared" si="10"/>
        <v>0</v>
      </c>
      <c r="M71" s="50">
        <v>41500</v>
      </c>
      <c r="N71" s="31">
        <f t="shared" ref="N71:Z73" si="11">L81/1000</f>
        <v>0</v>
      </c>
      <c r="O71" s="31">
        <f t="shared" si="11"/>
        <v>0</v>
      </c>
      <c r="P71" s="31">
        <f t="shared" si="11"/>
        <v>0</v>
      </c>
      <c r="Q71" s="31">
        <f t="shared" si="11"/>
        <v>0</v>
      </c>
      <c r="R71" s="31">
        <f t="shared" si="11"/>
        <v>0</v>
      </c>
      <c r="S71" s="31">
        <f t="shared" si="11"/>
        <v>0</v>
      </c>
      <c r="T71" s="31">
        <f t="shared" si="11"/>
        <v>0</v>
      </c>
      <c r="U71" s="31">
        <f t="shared" si="11"/>
        <v>0</v>
      </c>
      <c r="V71" s="31">
        <f t="shared" si="11"/>
        <v>0</v>
      </c>
      <c r="W71" s="31">
        <f t="shared" si="11"/>
        <v>0</v>
      </c>
      <c r="X71" s="31">
        <f t="shared" si="11"/>
        <v>0</v>
      </c>
      <c r="Y71" s="31">
        <f t="shared" si="11"/>
        <v>0</v>
      </c>
      <c r="Z71" s="31">
        <f t="shared" si="11"/>
        <v>0</v>
      </c>
      <c r="AA71" s="50">
        <v>3650</v>
      </c>
      <c r="AB71" s="31">
        <f t="shared" si="9"/>
        <v>0</v>
      </c>
      <c r="AC71" s="31">
        <f t="shared" si="9"/>
        <v>0</v>
      </c>
      <c r="AD71" s="31">
        <f t="shared" si="9"/>
        <v>0</v>
      </c>
      <c r="AE71" s="31">
        <f t="shared" si="9"/>
        <v>0</v>
      </c>
      <c r="AF71" s="31">
        <f t="shared" si="9"/>
        <v>0</v>
      </c>
      <c r="AG71" s="31">
        <f t="shared" si="9"/>
        <v>0</v>
      </c>
      <c r="AH71" s="31">
        <f t="shared" si="9"/>
        <v>0</v>
      </c>
      <c r="AI71" s="31">
        <f t="shared" si="9"/>
        <v>0</v>
      </c>
      <c r="AJ71" s="31">
        <f t="shared" si="9"/>
        <v>0</v>
      </c>
      <c r="AK71" s="31">
        <f t="shared" si="9"/>
        <v>0</v>
      </c>
      <c r="AL71" s="31">
        <f t="shared" si="9"/>
        <v>0</v>
      </c>
      <c r="AM71" s="31">
        <f t="shared" si="9"/>
        <v>0</v>
      </c>
      <c r="AN71" s="31" t="str">
        <f t="shared" si="6"/>
        <v>m_aluminum</v>
      </c>
      <c r="CQ71" s="53"/>
      <c r="CR71" s="53"/>
      <c r="CT71" s="53"/>
      <c r="CU71" s="53"/>
      <c r="CW71" s="56" t="s">
        <v>123</v>
      </c>
      <c r="CX71" t="s">
        <v>124</v>
      </c>
      <c r="CY71" s="33" t="s">
        <v>127</v>
      </c>
      <c r="CZ71" s="33" t="s">
        <v>135</v>
      </c>
      <c r="DA71" s="58">
        <v>0</v>
      </c>
      <c r="DB71" s="58">
        <v>5</v>
      </c>
    </row>
    <row r="72" s="31" customFormat="1" ht="14.5" spans="2:106">
      <c r="B72" s="40" t="s">
        <v>123</v>
      </c>
      <c r="C72" s="38" t="s">
        <v>124</v>
      </c>
      <c r="D72" s="39" t="s">
        <v>136</v>
      </c>
      <c r="E72" s="39" t="s">
        <v>137</v>
      </c>
      <c r="F72" s="31">
        <f t="shared" si="10"/>
        <v>0</v>
      </c>
      <c r="G72" s="31">
        <f t="shared" si="10"/>
        <v>50000</v>
      </c>
      <c r="H72" s="31">
        <f t="shared" si="10"/>
        <v>97000</v>
      </c>
      <c r="I72" s="31">
        <f t="shared" si="10"/>
        <v>0</v>
      </c>
      <c r="J72" s="31">
        <f t="shared" si="10"/>
        <v>0</v>
      </c>
      <c r="K72" s="31">
        <f t="shared" si="10"/>
        <v>0</v>
      </c>
      <c r="L72" s="31">
        <f t="shared" si="10"/>
        <v>0</v>
      </c>
      <c r="M72" s="31">
        <f>K82/1000</f>
        <v>27000</v>
      </c>
      <c r="N72" s="31">
        <f t="shared" si="11"/>
        <v>0</v>
      </c>
      <c r="O72" s="31">
        <f t="shared" si="11"/>
        <v>0</v>
      </c>
      <c r="P72" s="31">
        <f t="shared" si="11"/>
        <v>0</v>
      </c>
      <c r="Q72" s="31">
        <f t="shared" si="11"/>
        <v>0</v>
      </c>
      <c r="R72" s="31">
        <f t="shared" si="11"/>
        <v>0</v>
      </c>
      <c r="S72" s="31">
        <f t="shared" si="11"/>
        <v>0</v>
      </c>
      <c r="T72" s="31">
        <f t="shared" si="11"/>
        <v>0</v>
      </c>
      <c r="U72" s="31">
        <f t="shared" si="11"/>
        <v>0</v>
      </c>
      <c r="V72" s="31">
        <f t="shared" si="11"/>
        <v>0</v>
      </c>
      <c r="W72" s="31">
        <f t="shared" si="11"/>
        <v>0</v>
      </c>
      <c r="X72" s="31">
        <f t="shared" si="11"/>
        <v>0</v>
      </c>
      <c r="Y72" s="31">
        <f t="shared" si="11"/>
        <v>324000</v>
      </c>
      <c r="Z72" s="31">
        <f t="shared" si="11"/>
        <v>0</v>
      </c>
      <c r="AA72" s="31">
        <f>Y82/1000</f>
        <v>51600</v>
      </c>
      <c r="AB72" s="31">
        <f t="shared" si="9"/>
        <v>0</v>
      </c>
      <c r="AC72" s="31">
        <f t="shared" si="9"/>
        <v>30000</v>
      </c>
      <c r="AD72" s="31">
        <f t="shared" si="9"/>
        <v>244000</v>
      </c>
      <c r="AE72" s="31">
        <f t="shared" si="9"/>
        <v>62000</v>
      </c>
      <c r="AF72" s="31">
        <f t="shared" si="9"/>
        <v>0</v>
      </c>
      <c r="AG72" s="31">
        <f t="shared" si="9"/>
        <v>0</v>
      </c>
      <c r="AH72" s="31">
        <f t="shared" si="9"/>
        <v>0</v>
      </c>
      <c r="AI72" s="31">
        <f t="shared" si="9"/>
        <v>0</v>
      </c>
      <c r="AJ72" s="31">
        <f t="shared" si="9"/>
        <v>0</v>
      </c>
      <c r="AK72" s="31">
        <f t="shared" si="9"/>
        <v>0</v>
      </c>
      <c r="AL72" s="31">
        <f t="shared" si="9"/>
        <v>0</v>
      </c>
      <c r="AM72" s="31">
        <f t="shared" si="9"/>
        <v>0</v>
      </c>
      <c r="AN72" s="31" t="str">
        <f t="shared" si="6"/>
        <v>m_copper</v>
      </c>
      <c r="CQ72" s="53"/>
      <c r="CR72" s="53"/>
      <c r="CT72" s="53"/>
      <c r="CU72" s="53"/>
      <c r="CW72" s="56" t="s">
        <v>123</v>
      </c>
      <c r="CX72" t="s">
        <v>124</v>
      </c>
      <c r="CY72" s="33" t="s">
        <v>127</v>
      </c>
      <c r="CZ72" s="33" t="s">
        <v>137</v>
      </c>
      <c r="DA72" s="58">
        <v>0</v>
      </c>
      <c r="DB72" s="58">
        <v>5</v>
      </c>
    </row>
    <row r="73" s="30" customFormat="1" ht="14.5" spans="1:106">
      <c r="A73" s="31"/>
      <c r="B73" s="40" t="s">
        <v>123</v>
      </c>
      <c r="C73" s="38" t="s">
        <v>124</v>
      </c>
      <c r="D73" s="39" t="s">
        <v>138</v>
      </c>
      <c r="E73" s="39" t="s">
        <v>139</v>
      </c>
      <c r="F73" s="31">
        <f t="shared" si="10"/>
        <v>0</v>
      </c>
      <c r="G73" s="31">
        <f t="shared" si="10"/>
        <v>69000</v>
      </c>
      <c r="H73" s="31">
        <f t="shared" si="10"/>
        <v>0</v>
      </c>
      <c r="I73" s="31">
        <f t="shared" si="10"/>
        <v>0</v>
      </c>
      <c r="J73" s="31">
        <f t="shared" si="10"/>
        <v>0</v>
      </c>
      <c r="K73" s="31">
        <f t="shared" si="10"/>
        <v>0</v>
      </c>
      <c r="L73" s="31">
        <f t="shared" si="10"/>
        <v>74000</v>
      </c>
      <c r="M73" s="31">
        <f>K83/1000</f>
        <v>52000</v>
      </c>
      <c r="N73" s="31">
        <f t="shared" si="11"/>
        <v>0</v>
      </c>
      <c r="O73" s="31">
        <f t="shared" si="11"/>
        <v>0</v>
      </c>
      <c r="P73" s="31">
        <f t="shared" si="11"/>
        <v>0</v>
      </c>
      <c r="Q73" s="31">
        <f t="shared" si="11"/>
        <v>0</v>
      </c>
      <c r="R73" s="31">
        <f t="shared" si="11"/>
        <v>0</v>
      </c>
      <c r="S73" s="31">
        <f t="shared" si="11"/>
        <v>0</v>
      </c>
      <c r="T73" s="31">
        <f t="shared" si="11"/>
        <v>0</v>
      </c>
      <c r="U73" s="31">
        <f t="shared" si="11"/>
        <v>8000</v>
      </c>
      <c r="V73" s="31">
        <f t="shared" si="11"/>
        <v>0</v>
      </c>
      <c r="W73" s="31">
        <f t="shared" si="11"/>
        <v>0</v>
      </c>
      <c r="X73" s="31">
        <f t="shared" si="11"/>
        <v>0</v>
      </c>
      <c r="Y73" s="31">
        <f t="shared" si="11"/>
        <v>77100</v>
      </c>
      <c r="Z73" s="31">
        <f t="shared" si="11"/>
        <v>90000</v>
      </c>
      <c r="AA73" s="31">
        <f>Y83/1000</f>
        <v>5700</v>
      </c>
      <c r="AB73" s="31">
        <f t="shared" si="9"/>
        <v>600</v>
      </c>
      <c r="AC73" s="31">
        <f t="shared" si="9"/>
        <v>0</v>
      </c>
      <c r="AD73" s="31">
        <f t="shared" si="9"/>
        <v>12900</v>
      </c>
      <c r="AE73" s="31">
        <f t="shared" si="9"/>
        <v>14000</v>
      </c>
      <c r="AF73" s="31">
        <f t="shared" si="9"/>
        <v>0</v>
      </c>
      <c r="AG73" s="31">
        <f t="shared" si="9"/>
        <v>0</v>
      </c>
      <c r="AH73" s="31">
        <f t="shared" si="9"/>
        <v>0</v>
      </c>
      <c r="AI73" s="31">
        <f t="shared" si="9"/>
        <v>0</v>
      </c>
      <c r="AJ73" s="31">
        <f t="shared" si="9"/>
        <v>0</v>
      </c>
      <c r="AK73" s="31">
        <f t="shared" si="9"/>
        <v>90000</v>
      </c>
      <c r="AL73" s="31">
        <f t="shared" si="9"/>
        <v>0</v>
      </c>
      <c r="AM73" s="31">
        <f t="shared" si="9"/>
        <v>0</v>
      </c>
      <c r="AN73" s="31" t="str">
        <f t="shared" si="6"/>
        <v>m_graphite</v>
      </c>
      <c r="AY73" s="31"/>
      <c r="BB73" s="31"/>
      <c r="CQ73" s="52"/>
      <c r="CR73" s="53"/>
      <c r="CT73" s="52"/>
      <c r="CU73" s="52"/>
      <c r="CW73" s="56" t="s">
        <v>123</v>
      </c>
      <c r="CX73" t="s">
        <v>124</v>
      </c>
      <c r="CY73" s="33" t="s">
        <v>127</v>
      </c>
      <c r="CZ73" s="33" t="s">
        <v>139</v>
      </c>
      <c r="DA73" s="58">
        <v>0</v>
      </c>
      <c r="DB73" s="58">
        <v>5</v>
      </c>
    </row>
    <row r="74" s="33" customFormat="1"/>
    <row r="75" s="33" customFormat="1" spans="5:5">
      <c r="E75" s="33" t="s">
        <v>140</v>
      </c>
    </row>
    <row r="76" s="33" customFormat="1"/>
    <row r="77" s="33" customFormat="1" spans="4:37">
      <c r="D77" s="46">
        <v>0</v>
      </c>
      <c r="E77" s="46">
        <v>310000</v>
      </c>
      <c r="F77" s="46">
        <v>6200000</v>
      </c>
      <c r="G77" s="46">
        <v>0</v>
      </c>
      <c r="H77" s="46"/>
      <c r="I77" s="46"/>
      <c r="J77" s="46">
        <v>250000</v>
      </c>
      <c r="K77" s="46">
        <v>2000000</v>
      </c>
      <c r="L77" s="46"/>
      <c r="M77" s="46">
        <v>0</v>
      </c>
      <c r="N77" s="46">
        <v>0</v>
      </c>
      <c r="O77" s="46">
        <v>0</v>
      </c>
      <c r="P77" s="46">
        <v>0</v>
      </c>
      <c r="Q77" s="46"/>
      <c r="R77" s="46"/>
      <c r="S77" s="46">
        <v>0</v>
      </c>
      <c r="T77" s="46"/>
      <c r="U77" s="46"/>
      <c r="V77" s="46">
        <v>0</v>
      </c>
      <c r="W77" s="46">
        <v>12250000</v>
      </c>
      <c r="X77" s="46">
        <v>0</v>
      </c>
      <c r="Y77" s="46">
        <v>1930000</v>
      </c>
      <c r="Z77" s="46">
        <v>0</v>
      </c>
      <c r="AA77" s="46">
        <v>0</v>
      </c>
      <c r="AB77" s="46">
        <v>3300000</v>
      </c>
      <c r="AC77" s="46">
        <v>0</v>
      </c>
      <c r="AD77" s="46">
        <v>0</v>
      </c>
      <c r="AE77" s="46">
        <v>0</v>
      </c>
      <c r="AF77" s="46">
        <v>60000</v>
      </c>
      <c r="AG77" s="46">
        <v>0</v>
      </c>
      <c r="AH77" s="46"/>
      <c r="AI77" s="46">
        <v>0</v>
      </c>
      <c r="AJ77" s="46">
        <v>0</v>
      </c>
      <c r="AK77" s="46">
        <v>0</v>
      </c>
    </row>
    <row r="78" s="33" customFormat="1" spans="4:37">
      <c r="D78" s="46">
        <v>0</v>
      </c>
      <c r="E78" s="46">
        <v>0</v>
      </c>
      <c r="F78" s="46">
        <v>21000000</v>
      </c>
      <c r="G78" s="46">
        <v>0</v>
      </c>
      <c r="H78" s="46"/>
      <c r="I78" s="46"/>
      <c r="J78" s="46">
        <v>16000000</v>
      </c>
      <c r="K78" s="46">
        <v>2100000</v>
      </c>
      <c r="L78" s="46"/>
      <c r="M78" s="46">
        <v>0</v>
      </c>
      <c r="N78" s="46">
        <v>0</v>
      </c>
      <c r="O78" s="46">
        <v>0</v>
      </c>
      <c r="P78" s="46">
        <v>0</v>
      </c>
      <c r="Q78" s="46"/>
      <c r="R78" s="46"/>
      <c r="S78" s="46">
        <v>0</v>
      </c>
      <c r="T78" s="46"/>
      <c r="U78" s="46"/>
      <c r="V78" s="46">
        <v>0</v>
      </c>
      <c r="W78" s="46">
        <v>16000000</v>
      </c>
      <c r="X78" s="46">
        <v>0</v>
      </c>
      <c r="Y78" s="46">
        <v>2570000</v>
      </c>
      <c r="Z78" s="46">
        <v>0</v>
      </c>
      <c r="AA78" s="46">
        <v>0</v>
      </c>
      <c r="AB78" s="46">
        <v>52900000</v>
      </c>
      <c r="AC78" s="46">
        <v>7500000</v>
      </c>
      <c r="AD78" s="46">
        <v>0</v>
      </c>
      <c r="AE78" s="46">
        <v>0</v>
      </c>
      <c r="AF78" s="46">
        <v>0</v>
      </c>
      <c r="AG78" s="46">
        <v>0</v>
      </c>
      <c r="AH78" s="46"/>
      <c r="AI78" s="46">
        <v>0</v>
      </c>
      <c r="AJ78" s="46">
        <v>0</v>
      </c>
      <c r="AK78" s="46">
        <v>0</v>
      </c>
    </row>
    <row r="79" s="33" customFormat="1" spans="4:37">
      <c r="D79" s="46">
        <v>13000</v>
      </c>
      <c r="E79" s="46">
        <v>4100000</v>
      </c>
      <c r="F79" s="46">
        <v>1500000</v>
      </c>
      <c r="G79" s="46">
        <v>0</v>
      </c>
      <c r="H79" s="46"/>
      <c r="I79" s="46"/>
      <c r="J79" s="46">
        <v>0</v>
      </c>
      <c r="K79" s="46">
        <v>140000</v>
      </c>
      <c r="L79" s="46"/>
      <c r="M79" s="46">
        <v>0</v>
      </c>
      <c r="N79" s="46">
        <v>0</v>
      </c>
      <c r="O79" s="46">
        <v>0</v>
      </c>
      <c r="P79" s="46">
        <v>0</v>
      </c>
      <c r="Q79" s="46"/>
      <c r="R79" s="46"/>
      <c r="S79" s="46">
        <v>0</v>
      </c>
      <c r="T79" s="46"/>
      <c r="U79" s="46"/>
      <c r="V79" s="46">
        <v>0</v>
      </c>
      <c r="W79" s="46">
        <v>500000</v>
      </c>
      <c r="X79" s="46">
        <v>36000</v>
      </c>
      <c r="Y79" s="46">
        <v>289000</v>
      </c>
      <c r="Z79" s="46">
        <v>0</v>
      </c>
      <c r="AA79" s="46">
        <v>0</v>
      </c>
      <c r="AB79" s="46">
        <v>1517000</v>
      </c>
      <c r="AC79" s="46">
        <v>250000</v>
      </c>
      <c r="AD79" s="46">
        <v>0</v>
      </c>
      <c r="AE79" s="46">
        <v>0</v>
      </c>
      <c r="AF79" s="46">
        <v>0</v>
      </c>
      <c r="AG79" s="46">
        <v>0</v>
      </c>
      <c r="AH79" s="46"/>
      <c r="AI79" s="46">
        <v>36000</v>
      </c>
      <c r="AJ79" s="46">
        <v>0</v>
      </c>
      <c r="AK79" s="46">
        <v>0</v>
      </c>
    </row>
    <row r="80" s="33" customFormat="1" spans="4:37">
      <c r="D80" s="46">
        <v>0</v>
      </c>
      <c r="E80" s="46">
        <v>74000000</v>
      </c>
      <c r="F80" s="46">
        <v>270000000</v>
      </c>
      <c r="G80" s="46">
        <v>0</v>
      </c>
      <c r="H80" s="46"/>
      <c r="I80" s="46"/>
      <c r="J80" s="46">
        <v>270000000</v>
      </c>
      <c r="K80" s="46">
        <v>280000000</v>
      </c>
      <c r="L80" s="46"/>
      <c r="M80" s="46">
        <v>0</v>
      </c>
      <c r="N80" s="46">
        <v>0</v>
      </c>
      <c r="O80" s="46">
        <v>0</v>
      </c>
      <c r="P80" s="46">
        <v>0</v>
      </c>
      <c r="Q80" s="46"/>
      <c r="R80" s="46"/>
      <c r="S80" s="46">
        <v>34000000</v>
      </c>
      <c r="T80" s="46"/>
      <c r="U80" s="46"/>
      <c r="V80" s="46">
        <v>0</v>
      </c>
      <c r="W80" s="46">
        <v>275000000</v>
      </c>
      <c r="X80" s="46">
        <v>0</v>
      </c>
      <c r="Y80" s="46">
        <v>0</v>
      </c>
      <c r="Z80" s="46">
        <v>0</v>
      </c>
      <c r="AA80" s="46">
        <v>0</v>
      </c>
      <c r="AB80" s="46">
        <v>5000000</v>
      </c>
      <c r="AC80" s="46">
        <v>0</v>
      </c>
      <c r="AD80" s="46">
        <v>0</v>
      </c>
      <c r="AE80" s="46">
        <v>640000000</v>
      </c>
      <c r="AF80" s="46">
        <v>0</v>
      </c>
      <c r="AG80" s="46">
        <v>0</v>
      </c>
      <c r="AH80" s="46"/>
      <c r="AI80" s="46">
        <v>0</v>
      </c>
      <c r="AJ80" s="46">
        <v>0</v>
      </c>
      <c r="AK80" s="46">
        <v>140000000</v>
      </c>
    </row>
    <row r="81" s="33" customFormat="1" spans="4:37"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>
        <v>0</v>
      </c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</row>
    <row r="82" s="33" customFormat="1" spans="4:37">
      <c r="D82" s="46">
        <v>0</v>
      </c>
      <c r="E82" s="46">
        <v>50000000</v>
      </c>
      <c r="F82" s="46">
        <v>97000000</v>
      </c>
      <c r="G82" s="46">
        <v>0</v>
      </c>
      <c r="H82" s="46"/>
      <c r="I82" s="46"/>
      <c r="J82" s="46">
        <v>0</v>
      </c>
      <c r="K82" s="46">
        <v>27000000</v>
      </c>
      <c r="L82" s="46"/>
      <c r="M82" s="46">
        <v>0</v>
      </c>
      <c r="N82" s="46">
        <v>0</v>
      </c>
      <c r="O82" s="46">
        <v>0</v>
      </c>
      <c r="P82" s="46">
        <v>0</v>
      </c>
      <c r="Q82" s="46"/>
      <c r="R82" s="46"/>
      <c r="S82" s="46">
        <v>0</v>
      </c>
      <c r="T82" s="46"/>
      <c r="U82" s="46"/>
      <c r="V82" s="46">
        <v>0</v>
      </c>
      <c r="W82" s="46">
        <v>324000000</v>
      </c>
      <c r="X82" s="46">
        <v>0</v>
      </c>
      <c r="Y82" s="46">
        <v>51600000</v>
      </c>
      <c r="Z82" s="46">
        <v>0</v>
      </c>
      <c r="AA82" s="46">
        <v>30000000</v>
      </c>
      <c r="AB82" s="46">
        <v>244000000</v>
      </c>
      <c r="AC82" s="46">
        <v>62000000</v>
      </c>
      <c r="AD82" s="46">
        <v>0</v>
      </c>
      <c r="AE82" s="46">
        <v>0</v>
      </c>
      <c r="AF82" s="46">
        <v>0</v>
      </c>
      <c r="AG82" s="46">
        <v>0</v>
      </c>
      <c r="AH82" s="46"/>
      <c r="AI82" s="46">
        <v>0</v>
      </c>
      <c r="AJ82" s="46">
        <v>0</v>
      </c>
      <c r="AK82" s="46">
        <v>0</v>
      </c>
    </row>
    <row r="83" s="33" customFormat="1" spans="4:37">
      <c r="D83" s="46">
        <v>0</v>
      </c>
      <c r="E83" s="46">
        <v>69000000</v>
      </c>
      <c r="F83" s="46">
        <v>0</v>
      </c>
      <c r="G83" s="46">
        <v>0</v>
      </c>
      <c r="H83" s="46"/>
      <c r="I83" s="46"/>
      <c r="J83" s="46">
        <v>74000000</v>
      </c>
      <c r="K83" s="46">
        <v>52000000</v>
      </c>
      <c r="L83" s="46"/>
      <c r="M83" s="46">
        <v>0</v>
      </c>
      <c r="N83" s="46">
        <v>0</v>
      </c>
      <c r="O83" s="46">
        <v>0</v>
      </c>
      <c r="P83" s="46">
        <v>0</v>
      </c>
      <c r="Q83" s="46"/>
      <c r="R83" s="46"/>
      <c r="S83" s="46">
        <v>8000000</v>
      </c>
      <c r="T83" s="46"/>
      <c r="U83" s="46"/>
      <c r="V83" s="46">
        <v>0</v>
      </c>
      <c r="W83" s="46">
        <v>77100000</v>
      </c>
      <c r="X83" s="46">
        <v>90000000</v>
      </c>
      <c r="Y83" s="46">
        <v>5700000</v>
      </c>
      <c r="Z83" s="46">
        <v>600000</v>
      </c>
      <c r="AA83" s="46">
        <v>0</v>
      </c>
      <c r="AB83" s="46">
        <v>12900000</v>
      </c>
      <c r="AC83" s="46">
        <v>14000000</v>
      </c>
      <c r="AD83" s="46">
        <v>0</v>
      </c>
      <c r="AE83" s="46">
        <v>0</v>
      </c>
      <c r="AF83" s="46">
        <v>0</v>
      </c>
      <c r="AG83" s="46">
        <v>0</v>
      </c>
      <c r="AH83" s="46"/>
      <c r="AI83" s="46">
        <v>90000000</v>
      </c>
      <c r="AJ83" s="46">
        <v>0</v>
      </c>
      <c r="AK83" s="46">
        <v>0</v>
      </c>
    </row>
    <row r="84" s="33" customFormat="1"/>
    <row r="88" spans="2:2">
      <c r="B88" t="s">
        <v>141</v>
      </c>
    </row>
    <row r="91" spans="8:12">
      <c r="H91" s="33"/>
      <c r="I91" s="33"/>
      <c r="J91" s="33"/>
      <c r="K91" s="33"/>
      <c r="L91" s="33"/>
    </row>
    <row r="92" spans="4:12">
      <c r="D92" s="33"/>
      <c r="H92" s="33"/>
      <c r="I92" s="33"/>
      <c r="J92" s="33"/>
      <c r="K92" s="33"/>
      <c r="L92" s="33"/>
    </row>
    <row r="93" spans="3:12">
      <c r="C93" s="33"/>
      <c r="D93" s="33"/>
      <c r="F93" s="33"/>
      <c r="H93" s="33"/>
      <c r="I93" s="33"/>
      <c r="J93" s="33"/>
      <c r="K93" s="33"/>
      <c r="L93" s="33"/>
    </row>
    <row r="94" spans="3:12">
      <c r="C94" s="33"/>
      <c r="D94" s="33"/>
      <c r="H94" s="33"/>
      <c r="I94" s="33"/>
      <c r="J94" s="33"/>
      <c r="K94" s="33"/>
      <c r="L94" s="33"/>
    </row>
    <row r="95" spans="3:12">
      <c r="C95" s="33"/>
      <c r="D95" s="33"/>
      <c r="F95" s="33"/>
      <c r="H95" s="33"/>
      <c r="I95" s="33"/>
      <c r="J95" s="33"/>
      <c r="K95" s="33"/>
      <c r="L95" s="33"/>
    </row>
    <row r="96" spans="3:12">
      <c r="C96" s="33"/>
      <c r="D96" s="33"/>
      <c r="H96" s="33"/>
      <c r="I96" s="33"/>
      <c r="J96" s="33"/>
      <c r="K96" s="33"/>
      <c r="L96" s="33"/>
    </row>
    <row r="97" spans="3:12">
      <c r="C97" s="33"/>
      <c r="D97" s="33"/>
      <c r="F97" s="33"/>
      <c r="H97" s="33"/>
      <c r="I97" s="33"/>
      <c r="J97" s="33"/>
      <c r="K97" s="33"/>
      <c r="L97" s="33"/>
    </row>
    <row r="98" spans="3:12">
      <c r="C98" s="33"/>
      <c r="D98" s="33"/>
      <c r="H98" s="33"/>
      <c r="I98" s="33"/>
      <c r="J98" s="33"/>
      <c r="K98" s="33"/>
      <c r="L98" s="33"/>
    </row>
    <row r="99" spans="3:6">
      <c r="C99" s="33"/>
      <c r="F99" s="33"/>
    </row>
    <row r="100" spans="3:4">
      <c r="C100" s="33"/>
      <c r="D100" s="33"/>
    </row>
    <row r="101" spans="3:7">
      <c r="C101" s="33"/>
      <c r="D101" s="47"/>
      <c r="E101" s="47"/>
      <c r="F101" s="47"/>
      <c r="G101" s="47"/>
    </row>
    <row r="102" spans="3:26">
      <c r="C102" s="33"/>
      <c r="D102" t="s">
        <v>69</v>
      </c>
      <c r="M102" s="33"/>
      <c r="N102" t="s">
        <v>69</v>
      </c>
      <c r="Y102" s="33"/>
      <c r="Z102" t="s">
        <v>69</v>
      </c>
    </row>
    <row r="103" spans="3:29">
      <c r="C103" s="33" t="s">
        <v>71</v>
      </c>
      <c r="D103" s="47" t="s">
        <v>45</v>
      </c>
      <c r="E103" s="47" t="s">
        <v>44</v>
      </c>
      <c r="F103" s="47" t="s">
        <v>11</v>
      </c>
      <c r="G103" s="47" t="s">
        <v>25</v>
      </c>
      <c r="L103" t="s">
        <v>77</v>
      </c>
      <c r="M103" s="33" t="s">
        <v>71</v>
      </c>
      <c r="N103" s="47" t="s">
        <v>45</v>
      </c>
      <c r="O103" s="47" t="s">
        <v>44</v>
      </c>
      <c r="P103" s="47" t="s">
        <v>11</v>
      </c>
      <c r="Q103" s="47" t="s">
        <v>25</v>
      </c>
      <c r="X103" t="s">
        <v>77</v>
      </c>
      <c r="Y103" s="33" t="s">
        <v>71</v>
      </c>
      <c r="Z103" s="47" t="s">
        <v>45</v>
      </c>
      <c r="AA103" s="47" t="s">
        <v>44</v>
      </c>
      <c r="AB103" s="47" t="s">
        <v>11</v>
      </c>
      <c r="AC103" s="47" t="s">
        <v>25</v>
      </c>
    </row>
    <row r="104" spans="3:29">
      <c r="C104" s="33" t="s">
        <v>142</v>
      </c>
      <c r="D104" s="47" t="s">
        <v>143</v>
      </c>
      <c r="E104" s="47">
        <v>7.11384396954065</v>
      </c>
      <c r="F104" s="48">
        <v>5.40179852616065</v>
      </c>
      <c r="G104" s="48">
        <v>8.85540744288872</v>
      </c>
      <c r="L104">
        <v>2050</v>
      </c>
      <c r="M104" s="33" t="s">
        <v>142</v>
      </c>
      <c r="N104" s="47" t="s">
        <v>143</v>
      </c>
      <c r="O104" s="47">
        <f>E104*0.313</f>
        <v>2.22663316246622</v>
      </c>
      <c r="P104" s="47">
        <f>F104*0.313</f>
        <v>1.69076293868828</v>
      </c>
      <c r="Q104" s="47">
        <f>G104*0.313</f>
        <v>2.77174252962417</v>
      </c>
      <c r="X104">
        <v>0</v>
      </c>
      <c r="Y104" s="33" t="s">
        <v>142</v>
      </c>
      <c r="Z104" s="47" t="s">
        <v>143</v>
      </c>
      <c r="AA104" s="47">
        <v>5</v>
      </c>
      <c r="AB104" s="47">
        <v>5</v>
      </c>
      <c r="AC104" s="47">
        <v>5</v>
      </c>
    </row>
    <row r="105" spans="3:29">
      <c r="C105" s="33" t="s">
        <v>142</v>
      </c>
      <c r="D105" s="47" t="s">
        <v>144</v>
      </c>
      <c r="E105" s="47">
        <v>7.11384396954065</v>
      </c>
      <c r="F105" s="48">
        <v>5.40179852616065</v>
      </c>
      <c r="G105" s="48">
        <v>8.85540744288872</v>
      </c>
      <c r="L105">
        <v>2050</v>
      </c>
      <c r="M105" s="33" t="s">
        <v>142</v>
      </c>
      <c r="N105" s="47" t="s">
        <v>144</v>
      </c>
      <c r="O105" s="47">
        <f t="shared" ref="O105:O124" si="12">E105*0.313</f>
        <v>2.22663316246622</v>
      </c>
      <c r="P105" s="47">
        <f t="shared" ref="P105:P124" si="13">F105*0.313</f>
        <v>1.69076293868828</v>
      </c>
      <c r="Q105" s="47">
        <f t="shared" ref="Q105:Q124" si="14">G105*0.313</f>
        <v>2.77174252962417</v>
      </c>
      <c r="X105">
        <v>0</v>
      </c>
      <c r="Y105" s="33" t="s">
        <v>142</v>
      </c>
      <c r="Z105" s="47" t="s">
        <v>144</v>
      </c>
      <c r="AA105" s="47">
        <v>5</v>
      </c>
      <c r="AB105" s="47">
        <v>5</v>
      </c>
      <c r="AC105" s="47">
        <v>5</v>
      </c>
    </row>
    <row r="106" spans="3:29">
      <c r="C106" s="33" t="s">
        <v>142</v>
      </c>
      <c r="D106" s="47" t="s">
        <v>145</v>
      </c>
      <c r="E106" s="47">
        <v>7.62975445836404</v>
      </c>
      <c r="F106" s="48">
        <v>5.79354797347089</v>
      </c>
      <c r="G106" s="48">
        <v>9.49761967575534</v>
      </c>
      <c r="L106">
        <v>2050</v>
      </c>
      <c r="M106" s="33" t="s">
        <v>142</v>
      </c>
      <c r="N106" s="47" t="s">
        <v>145</v>
      </c>
      <c r="O106" s="47">
        <f t="shared" si="12"/>
        <v>2.38811314546794</v>
      </c>
      <c r="P106" s="47">
        <f t="shared" si="13"/>
        <v>1.81338051569639</v>
      </c>
      <c r="Q106" s="47">
        <f t="shared" si="14"/>
        <v>2.97275495851142</v>
      </c>
      <c r="X106">
        <v>0</v>
      </c>
      <c r="Y106" s="33" t="s">
        <v>142</v>
      </c>
      <c r="Z106" s="47" t="s">
        <v>145</v>
      </c>
      <c r="AA106" s="47">
        <v>5</v>
      </c>
      <c r="AB106" s="47">
        <v>5</v>
      </c>
      <c r="AC106" s="47">
        <v>5</v>
      </c>
    </row>
    <row r="107" spans="3:29">
      <c r="C107" s="33" t="s">
        <v>142</v>
      </c>
      <c r="D107" s="47" t="s">
        <v>146</v>
      </c>
      <c r="E107" s="47">
        <v>7.47097081798084</v>
      </c>
      <c r="F107" s="48">
        <v>5.67297781871776</v>
      </c>
      <c r="G107" s="48">
        <v>9.29996366985999</v>
      </c>
      <c r="L107">
        <v>2050</v>
      </c>
      <c r="M107" s="33" t="s">
        <v>142</v>
      </c>
      <c r="N107" s="47" t="s">
        <v>146</v>
      </c>
      <c r="O107" s="47">
        <f t="shared" si="12"/>
        <v>2.338413866028</v>
      </c>
      <c r="P107" s="47">
        <f t="shared" si="13"/>
        <v>1.77564205725866</v>
      </c>
      <c r="Q107" s="47">
        <f t="shared" si="14"/>
        <v>2.91088862866618</v>
      </c>
      <c r="X107">
        <v>0</v>
      </c>
      <c r="Y107" s="33" t="s">
        <v>142</v>
      </c>
      <c r="Z107" s="47" t="s">
        <v>146</v>
      </c>
      <c r="AA107" s="47">
        <v>5</v>
      </c>
      <c r="AB107" s="47">
        <v>5</v>
      </c>
      <c r="AC107" s="47">
        <v>5</v>
      </c>
    </row>
    <row r="108" spans="3:29">
      <c r="C108" s="33" t="s">
        <v>142</v>
      </c>
      <c r="D108" s="47" t="s">
        <v>147</v>
      </c>
      <c r="E108" s="47">
        <v>7.51643520019651</v>
      </c>
      <c r="F108" s="48">
        <v>5.70750058953574</v>
      </c>
      <c r="G108" s="48">
        <v>9.35655836403832</v>
      </c>
      <c r="L108">
        <v>2050</v>
      </c>
      <c r="M108" s="33" t="s">
        <v>142</v>
      </c>
      <c r="N108" s="47" t="s">
        <v>147</v>
      </c>
      <c r="O108" s="47">
        <f t="shared" si="12"/>
        <v>2.35264421766151</v>
      </c>
      <c r="P108" s="47">
        <f t="shared" si="13"/>
        <v>1.78644768452469</v>
      </c>
      <c r="Q108" s="47">
        <f t="shared" si="14"/>
        <v>2.92860276794399</v>
      </c>
      <c r="X108">
        <v>0</v>
      </c>
      <c r="Y108" s="33" t="s">
        <v>142</v>
      </c>
      <c r="Z108" s="47" t="s">
        <v>147</v>
      </c>
      <c r="AA108" s="47">
        <v>5</v>
      </c>
      <c r="AB108" s="47">
        <v>5</v>
      </c>
      <c r="AC108" s="47">
        <v>5</v>
      </c>
    </row>
    <row r="109" spans="3:29">
      <c r="C109" s="33" t="s">
        <v>142</v>
      </c>
      <c r="D109" s="47" t="s">
        <v>148</v>
      </c>
      <c r="E109" s="47">
        <v>7.55036263817244</v>
      </c>
      <c r="F109" s="48">
        <v>5.73326293294031</v>
      </c>
      <c r="G109" s="48">
        <v>9.39879167280766</v>
      </c>
      <c r="L109">
        <v>2050</v>
      </c>
      <c r="M109" s="33" t="s">
        <v>142</v>
      </c>
      <c r="N109" s="47" t="s">
        <v>148</v>
      </c>
      <c r="O109" s="47">
        <f t="shared" si="12"/>
        <v>2.36326350574797</v>
      </c>
      <c r="P109" s="47">
        <f t="shared" si="13"/>
        <v>1.79451129801032</v>
      </c>
      <c r="Q109" s="47">
        <f t="shared" si="14"/>
        <v>2.9418217935888</v>
      </c>
      <c r="X109">
        <v>0</v>
      </c>
      <c r="Y109" s="33" t="s">
        <v>142</v>
      </c>
      <c r="Z109" s="47" t="s">
        <v>148</v>
      </c>
      <c r="AA109" s="47">
        <v>5</v>
      </c>
      <c r="AB109" s="47">
        <v>5</v>
      </c>
      <c r="AC109" s="47">
        <v>5</v>
      </c>
    </row>
    <row r="110" spans="3:29">
      <c r="C110" s="33" t="s">
        <v>142</v>
      </c>
      <c r="D110" s="47" t="s">
        <v>149</v>
      </c>
      <c r="E110" s="47">
        <v>7.62975445836404</v>
      </c>
      <c r="F110" s="48">
        <v>5.79354797347089</v>
      </c>
      <c r="G110" s="48">
        <v>9.49761967575534</v>
      </c>
      <c r="L110">
        <v>2050</v>
      </c>
      <c r="M110" s="33" t="s">
        <v>142</v>
      </c>
      <c r="N110" s="47" t="s">
        <v>149</v>
      </c>
      <c r="O110" s="47">
        <f t="shared" si="12"/>
        <v>2.38811314546794</v>
      </c>
      <c r="P110" s="47">
        <f t="shared" si="13"/>
        <v>1.81338051569639</v>
      </c>
      <c r="Q110" s="47">
        <f t="shared" si="14"/>
        <v>2.97275495851142</v>
      </c>
      <c r="X110">
        <v>0</v>
      </c>
      <c r="Y110" s="33" t="s">
        <v>142</v>
      </c>
      <c r="Z110" s="47" t="s">
        <v>149</v>
      </c>
      <c r="AA110" s="47">
        <v>5</v>
      </c>
      <c r="AB110" s="47">
        <v>5</v>
      </c>
      <c r="AC110" s="47">
        <v>5</v>
      </c>
    </row>
    <row r="111" spans="3:29">
      <c r="C111" s="33" t="s">
        <v>142</v>
      </c>
      <c r="D111" s="47" t="s">
        <v>150</v>
      </c>
      <c r="E111" s="47">
        <v>4.18384600835176</v>
      </c>
      <c r="F111" s="48">
        <v>3.17694532056006</v>
      </c>
      <c r="G111" s="48">
        <v>5.20810707442889</v>
      </c>
      <c r="L111">
        <v>2050</v>
      </c>
      <c r="M111" s="33" t="s">
        <v>142</v>
      </c>
      <c r="N111" s="47" t="s">
        <v>150</v>
      </c>
      <c r="O111" s="47">
        <f t="shared" si="12"/>
        <v>1.3095438006141</v>
      </c>
      <c r="P111" s="47">
        <f t="shared" si="13"/>
        <v>0.994383885335299</v>
      </c>
      <c r="Q111" s="47">
        <f t="shared" si="14"/>
        <v>1.63013751429624</v>
      </c>
      <c r="X111">
        <v>0</v>
      </c>
      <c r="Y111" s="33" t="s">
        <v>142</v>
      </c>
      <c r="Z111" s="47" t="s">
        <v>150</v>
      </c>
      <c r="AA111" s="47">
        <v>5</v>
      </c>
      <c r="AB111" s="47">
        <v>5</v>
      </c>
      <c r="AC111" s="47">
        <v>5</v>
      </c>
    </row>
    <row r="112" spans="3:29">
      <c r="C112" s="33" t="s">
        <v>142</v>
      </c>
      <c r="D112" s="47" t="s">
        <v>151</v>
      </c>
      <c r="E112" s="47">
        <v>4.18384600835176</v>
      </c>
      <c r="F112" s="48">
        <v>3.17694532056006</v>
      </c>
      <c r="G112" s="48">
        <v>5.20810707442889</v>
      </c>
      <c r="L112">
        <v>2050</v>
      </c>
      <c r="M112" s="33" t="s">
        <v>142</v>
      </c>
      <c r="N112" s="47" t="s">
        <v>151</v>
      </c>
      <c r="O112" s="47">
        <f t="shared" si="12"/>
        <v>1.3095438006141</v>
      </c>
      <c r="P112" s="47">
        <f t="shared" si="13"/>
        <v>0.994383885335299</v>
      </c>
      <c r="Q112" s="47">
        <f t="shared" si="14"/>
        <v>1.63013751429624</v>
      </c>
      <c r="X112">
        <v>0</v>
      </c>
      <c r="Y112" s="33" t="s">
        <v>142</v>
      </c>
      <c r="Z112" s="47" t="s">
        <v>151</v>
      </c>
      <c r="AA112" s="47">
        <v>5</v>
      </c>
      <c r="AB112" s="47">
        <v>5</v>
      </c>
      <c r="AC112" s="47">
        <v>5</v>
      </c>
    </row>
    <row r="113" spans="3:29">
      <c r="C113" s="33" t="s">
        <v>142</v>
      </c>
      <c r="D113" s="47" t="s">
        <v>152</v>
      </c>
      <c r="E113" s="47">
        <v>4.18384600835176</v>
      </c>
      <c r="F113" s="48">
        <v>3.17694532056006</v>
      </c>
      <c r="G113" s="48">
        <v>5.20810707442889</v>
      </c>
      <c r="L113">
        <v>2050</v>
      </c>
      <c r="M113" s="33" t="s">
        <v>142</v>
      </c>
      <c r="N113" s="47" t="s">
        <v>152</v>
      </c>
      <c r="O113" s="47">
        <f t="shared" si="12"/>
        <v>1.3095438006141</v>
      </c>
      <c r="P113" s="47">
        <f t="shared" si="13"/>
        <v>0.994383885335299</v>
      </c>
      <c r="Q113" s="47">
        <f t="shared" si="14"/>
        <v>1.63013751429624</v>
      </c>
      <c r="X113">
        <v>0</v>
      </c>
      <c r="Y113" s="33" t="s">
        <v>142</v>
      </c>
      <c r="Z113" s="47" t="s">
        <v>152</v>
      </c>
      <c r="AA113" s="47">
        <v>5</v>
      </c>
      <c r="AB113" s="47">
        <v>5</v>
      </c>
      <c r="AC113" s="47">
        <v>5</v>
      </c>
    </row>
    <row r="114" spans="3:29">
      <c r="C114" s="33" t="s">
        <v>142</v>
      </c>
      <c r="D114" s="47" t="s">
        <v>153</v>
      </c>
      <c r="E114" s="47">
        <v>4.18384600835176</v>
      </c>
      <c r="F114" s="48">
        <v>3.17694532056006</v>
      </c>
      <c r="G114" s="48">
        <v>5.20810707442889</v>
      </c>
      <c r="L114">
        <v>2050</v>
      </c>
      <c r="M114" s="33" t="s">
        <v>142</v>
      </c>
      <c r="N114" s="47" t="s">
        <v>153</v>
      </c>
      <c r="O114" s="47">
        <f t="shared" si="12"/>
        <v>1.3095438006141</v>
      </c>
      <c r="P114" s="47">
        <f t="shared" si="13"/>
        <v>0.994383885335299</v>
      </c>
      <c r="Q114" s="47">
        <f t="shared" si="14"/>
        <v>1.63013751429624</v>
      </c>
      <c r="X114">
        <v>0</v>
      </c>
      <c r="Y114" s="33" t="s">
        <v>142</v>
      </c>
      <c r="Z114" s="47" t="s">
        <v>153</v>
      </c>
      <c r="AA114" s="47">
        <v>5</v>
      </c>
      <c r="AB114" s="47">
        <v>5</v>
      </c>
      <c r="AC114" s="47">
        <v>5</v>
      </c>
    </row>
    <row r="115" spans="3:29">
      <c r="C115" s="33" t="s">
        <v>142</v>
      </c>
      <c r="D115" s="47" t="s">
        <v>154</v>
      </c>
      <c r="E115" s="47">
        <v>4.18384600835176</v>
      </c>
      <c r="F115" s="48">
        <v>3.17694532056006</v>
      </c>
      <c r="G115" s="48">
        <v>5.20810707442889</v>
      </c>
      <c r="L115">
        <v>2050</v>
      </c>
      <c r="M115" s="33" t="s">
        <v>142</v>
      </c>
      <c r="N115" s="47" t="s">
        <v>154</v>
      </c>
      <c r="O115" s="47">
        <f t="shared" si="12"/>
        <v>1.3095438006141</v>
      </c>
      <c r="P115" s="47">
        <f t="shared" si="13"/>
        <v>0.994383885335299</v>
      </c>
      <c r="Q115" s="47">
        <f t="shared" si="14"/>
        <v>1.63013751429624</v>
      </c>
      <c r="X115">
        <v>0</v>
      </c>
      <c r="Y115" s="33" t="s">
        <v>142</v>
      </c>
      <c r="Z115" s="47" t="s">
        <v>154</v>
      </c>
      <c r="AA115" s="47">
        <v>5</v>
      </c>
      <c r="AB115" s="47">
        <v>5</v>
      </c>
      <c r="AC115" s="47">
        <v>5</v>
      </c>
    </row>
    <row r="116" spans="3:29">
      <c r="C116" s="33" t="s">
        <v>142</v>
      </c>
      <c r="D116" s="47" t="s">
        <v>155</v>
      </c>
      <c r="E116" s="47">
        <v>4.18384600835176</v>
      </c>
      <c r="F116" s="48">
        <v>3.17694532056006</v>
      </c>
      <c r="G116" s="48">
        <v>5.20810707442889</v>
      </c>
      <c r="L116">
        <v>2050</v>
      </c>
      <c r="M116" s="33" t="s">
        <v>142</v>
      </c>
      <c r="N116" s="47" t="s">
        <v>155</v>
      </c>
      <c r="O116" s="47">
        <f t="shared" si="12"/>
        <v>1.3095438006141</v>
      </c>
      <c r="P116" s="47">
        <f t="shared" si="13"/>
        <v>0.994383885335299</v>
      </c>
      <c r="Q116" s="47">
        <f t="shared" si="14"/>
        <v>1.63013751429624</v>
      </c>
      <c r="X116">
        <v>0</v>
      </c>
      <c r="Y116" s="33" t="s">
        <v>142</v>
      </c>
      <c r="Z116" s="47" t="s">
        <v>155</v>
      </c>
      <c r="AA116" s="47">
        <v>5</v>
      </c>
      <c r="AB116" s="47">
        <v>5</v>
      </c>
      <c r="AC116" s="47">
        <v>5</v>
      </c>
    </row>
    <row r="117" spans="3:29">
      <c r="C117" s="33" t="s">
        <v>142</v>
      </c>
      <c r="D117" s="47" t="s">
        <v>156</v>
      </c>
      <c r="E117" s="47">
        <v>4.18384600835176</v>
      </c>
      <c r="F117" s="48">
        <v>3.17694532056006</v>
      </c>
      <c r="G117" s="48">
        <v>5.20810707442889</v>
      </c>
      <c r="L117">
        <v>2050</v>
      </c>
      <c r="M117" s="33" t="s">
        <v>142</v>
      </c>
      <c r="N117" s="47" t="s">
        <v>156</v>
      </c>
      <c r="O117" s="47">
        <f t="shared" si="12"/>
        <v>1.3095438006141</v>
      </c>
      <c r="P117" s="47">
        <f t="shared" si="13"/>
        <v>0.994383885335299</v>
      </c>
      <c r="Q117" s="47">
        <f t="shared" si="14"/>
        <v>1.63013751429624</v>
      </c>
      <c r="X117">
        <v>0</v>
      </c>
      <c r="Y117" s="33" t="s">
        <v>142</v>
      </c>
      <c r="Z117" s="47" t="s">
        <v>156</v>
      </c>
      <c r="AA117" s="47">
        <v>5</v>
      </c>
      <c r="AB117" s="47">
        <v>5</v>
      </c>
      <c r="AC117" s="47">
        <v>5</v>
      </c>
    </row>
    <row r="118" spans="3:29">
      <c r="C118" s="33" t="s">
        <v>142</v>
      </c>
      <c r="D118" s="47" t="s">
        <v>157</v>
      </c>
      <c r="E118" s="47">
        <v>3.56556266273643</v>
      </c>
      <c r="F118" s="48">
        <v>2.70746042741341</v>
      </c>
      <c r="G118" s="48">
        <v>4.4384597641857</v>
      </c>
      <c r="L118">
        <v>2050</v>
      </c>
      <c r="M118" s="33" t="s">
        <v>142</v>
      </c>
      <c r="N118" s="47" t="s">
        <v>157</v>
      </c>
      <c r="O118" s="47">
        <f t="shared" si="12"/>
        <v>1.1160211134365</v>
      </c>
      <c r="P118" s="47">
        <f t="shared" si="13"/>
        <v>0.847435113780397</v>
      </c>
      <c r="Q118" s="47">
        <f t="shared" si="14"/>
        <v>1.38923790619012</v>
      </c>
      <c r="X118">
        <v>0</v>
      </c>
      <c r="Y118" s="33" t="s">
        <v>142</v>
      </c>
      <c r="Z118" s="47" t="s">
        <v>157</v>
      </c>
      <c r="AA118" s="47">
        <v>5</v>
      </c>
      <c r="AB118" s="47">
        <v>5</v>
      </c>
      <c r="AC118" s="47">
        <v>5</v>
      </c>
    </row>
    <row r="119" spans="3:29">
      <c r="C119" s="33" t="s">
        <v>142</v>
      </c>
      <c r="D119" s="47" t="s">
        <v>158</v>
      </c>
      <c r="E119" s="47">
        <v>3.60087708179809</v>
      </c>
      <c r="F119" s="48">
        <v>2.73427597641857</v>
      </c>
      <c r="G119" s="48">
        <v>4.48241960206338</v>
      </c>
      <c r="L119">
        <v>2050</v>
      </c>
      <c r="M119" s="33" t="s">
        <v>142</v>
      </c>
      <c r="N119" s="47" t="s">
        <v>158</v>
      </c>
      <c r="O119" s="47">
        <f t="shared" si="12"/>
        <v>1.1270745266028</v>
      </c>
      <c r="P119" s="47">
        <f t="shared" si="13"/>
        <v>0.855828380619012</v>
      </c>
      <c r="Q119" s="47">
        <f t="shared" si="14"/>
        <v>1.40299733544584</v>
      </c>
      <c r="X119">
        <v>0</v>
      </c>
      <c r="Y119" s="33" t="s">
        <v>142</v>
      </c>
      <c r="Z119" s="47" t="s">
        <v>158</v>
      </c>
      <c r="AA119" s="47">
        <v>5</v>
      </c>
      <c r="AB119" s="47">
        <v>5</v>
      </c>
      <c r="AC119" s="47">
        <v>5</v>
      </c>
    </row>
    <row r="120" spans="3:29">
      <c r="C120" s="33" t="s">
        <v>142</v>
      </c>
      <c r="D120" s="47" t="s">
        <v>159</v>
      </c>
      <c r="E120" s="47">
        <v>3.56556266273643</v>
      </c>
      <c r="F120" s="48">
        <v>2.70746042741341</v>
      </c>
      <c r="G120" s="48">
        <v>4.4384597641857</v>
      </c>
      <c r="L120">
        <v>2050</v>
      </c>
      <c r="M120" s="33" t="s">
        <v>142</v>
      </c>
      <c r="N120" s="47" t="s">
        <v>159</v>
      </c>
      <c r="O120" s="47">
        <f t="shared" si="12"/>
        <v>1.1160211134365</v>
      </c>
      <c r="P120" s="47">
        <f t="shared" si="13"/>
        <v>0.847435113780397</v>
      </c>
      <c r="Q120" s="47">
        <f t="shared" si="14"/>
        <v>1.38923790619012</v>
      </c>
      <c r="X120">
        <v>0</v>
      </c>
      <c r="Y120" s="33" t="s">
        <v>142</v>
      </c>
      <c r="Z120" s="47" t="s">
        <v>159</v>
      </c>
      <c r="AA120" s="47">
        <v>5</v>
      </c>
      <c r="AB120" s="47">
        <v>5</v>
      </c>
      <c r="AC120" s="47">
        <v>5</v>
      </c>
    </row>
    <row r="121" spans="3:29">
      <c r="C121" s="33" t="s">
        <v>142</v>
      </c>
      <c r="D121" s="47" t="s">
        <v>160</v>
      </c>
      <c r="E121" s="47">
        <v>3.56645369688037</v>
      </c>
      <c r="F121" s="48">
        <v>2.70813706705969</v>
      </c>
      <c r="G121" s="48">
        <v>4.43956890198968</v>
      </c>
      <c r="L121">
        <v>2050</v>
      </c>
      <c r="M121" s="33" t="s">
        <v>142</v>
      </c>
      <c r="N121" s="47" t="s">
        <v>160</v>
      </c>
      <c r="O121" s="47">
        <f t="shared" si="12"/>
        <v>1.11630000712356</v>
      </c>
      <c r="P121" s="47">
        <f t="shared" si="13"/>
        <v>0.847646901989683</v>
      </c>
      <c r="Q121" s="47">
        <f t="shared" si="14"/>
        <v>1.38958506632277</v>
      </c>
      <c r="X121">
        <v>0</v>
      </c>
      <c r="Y121" s="33" t="s">
        <v>142</v>
      </c>
      <c r="Z121" s="47" t="s">
        <v>160</v>
      </c>
      <c r="AA121" s="47">
        <v>5</v>
      </c>
      <c r="AB121" s="47">
        <v>5</v>
      </c>
      <c r="AC121" s="47">
        <v>5</v>
      </c>
    </row>
    <row r="122" spans="3:29">
      <c r="C122" s="33" t="s">
        <v>142</v>
      </c>
      <c r="D122" s="47" t="s">
        <v>161</v>
      </c>
      <c r="E122" s="47">
        <v>3.56585961680177</v>
      </c>
      <c r="F122" s="48">
        <v>2.70768592483419</v>
      </c>
      <c r="G122" s="48">
        <v>4.43882940309506</v>
      </c>
      <c r="L122">
        <v>2050</v>
      </c>
      <c r="M122" s="33" t="s">
        <v>142</v>
      </c>
      <c r="N122" s="47" t="s">
        <v>161</v>
      </c>
      <c r="O122" s="47">
        <f t="shared" si="12"/>
        <v>1.11611406005895</v>
      </c>
      <c r="P122" s="47">
        <f t="shared" si="13"/>
        <v>0.847505694473101</v>
      </c>
      <c r="Q122" s="47">
        <f t="shared" si="14"/>
        <v>1.38935360316875</v>
      </c>
      <c r="X122">
        <v>0</v>
      </c>
      <c r="Y122" s="33" t="s">
        <v>142</v>
      </c>
      <c r="Z122" s="47" t="s">
        <v>161</v>
      </c>
      <c r="AA122" s="47">
        <v>5</v>
      </c>
      <c r="AB122" s="47">
        <v>5</v>
      </c>
      <c r="AC122" s="47">
        <v>5</v>
      </c>
    </row>
    <row r="123" spans="3:29">
      <c r="C123" s="33" t="s">
        <v>142</v>
      </c>
      <c r="D123" s="47" t="s">
        <v>162</v>
      </c>
      <c r="E123" s="47">
        <v>3.56556266273643</v>
      </c>
      <c r="F123" s="48">
        <v>2.70746042741341</v>
      </c>
      <c r="G123" s="48">
        <v>4.4384597641857</v>
      </c>
      <c r="L123">
        <v>2050</v>
      </c>
      <c r="M123" s="33" t="s">
        <v>142</v>
      </c>
      <c r="N123" s="47" t="s">
        <v>162</v>
      </c>
      <c r="O123" s="47">
        <f t="shared" si="12"/>
        <v>1.1160211134365</v>
      </c>
      <c r="P123" s="47">
        <f t="shared" si="13"/>
        <v>0.847435113780397</v>
      </c>
      <c r="Q123" s="47">
        <f t="shared" si="14"/>
        <v>1.38923790619012</v>
      </c>
      <c r="X123">
        <v>0</v>
      </c>
      <c r="Y123" s="33" t="s">
        <v>142</v>
      </c>
      <c r="Z123" s="47" t="s">
        <v>162</v>
      </c>
      <c r="AA123" s="47">
        <v>5</v>
      </c>
      <c r="AB123" s="47">
        <v>5</v>
      </c>
      <c r="AC123" s="47">
        <v>5</v>
      </c>
    </row>
    <row r="124" spans="3:29">
      <c r="C124" s="33" t="s">
        <v>142</v>
      </c>
      <c r="D124" s="49" t="s">
        <v>163</v>
      </c>
      <c r="E124" s="47">
        <v>3.56496890198968</v>
      </c>
      <c r="F124" s="48">
        <v>2.70700957995578</v>
      </c>
      <c r="G124" s="48">
        <v>4.43772063375092</v>
      </c>
      <c r="L124">
        <v>2050</v>
      </c>
      <c r="M124" s="33" t="s">
        <v>142</v>
      </c>
      <c r="N124" s="49" t="s">
        <v>163</v>
      </c>
      <c r="O124" s="47">
        <f t="shared" si="12"/>
        <v>1.11583526632277</v>
      </c>
      <c r="P124" s="47">
        <f t="shared" si="13"/>
        <v>0.847293998526159</v>
      </c>
      <c r="Q124" s="47">
        <f t="shared" si="14"/>
        <v>1.38900655836404</v>
      </c>
      <c r="X124">
        <v>0</v>
      </c>
      <c r="Y124" s="33" t="s">
        <v>142</v>
      </c>
      <c r="Z124" s="47" t="s">
        <v>163</v>
      </c>
      <c r="AA124" s="47">
        <v>5</v>
      </c>
      <c r="AB124" s="47">
        <v>5</v>
      </c>
      <c r="AC124" s="47">
        <v>5</v>
      </c>
    </row>
    <row r="132" spans="3:25">
      <c r="C132" s="33"/>
      <c r="D132" t="s">
        <v>69</v>
      </c>
      <c r="M132" s="33"/>
      <c r="Y132" s="33"/>
    </row>
    <row r="133" spans="3:29">
      <c r="C133" s="33" t="s">
        <v>71</v>
      </c>
      <c r="D133" s="47" t="s">
        <v>45</v>
      </c>
      <c r="E133" s="47" t="s">
        <v>44</v>
      </c>
      <c r="F133" s="47"/>
      <c r="G133" s="47"/>
      <c r="M133" s="33"/>
      <c r="N133" s="33"/>
      <c r="O133" s="33"/>
      <c r="P133" s="33"/>
      <c r="Q133" s="33"/>
      <c r="Y133" s="33"/>
      <c r="Z133" s="33"/>
      <c r="AA133" s="33"/>
      <c r="AB133" s="33"/>
      <c r="AC133" s="33"/>
    </row>
    <row r="134" spans="3:29">
      <c r="C134" s="33" t="s">
        <v>164</v>
      </c>
      <c r="D134" s="47" t="s">
        <v>143</v>
      </c>
      <c r="E134" s="47">
        <v>0.001</v>
      </c>
      <c r="F134" s="48"/>
      <c r="G134" s="48"/>
      <c r="M134" s="33"/>
      <c r="N134" s="33"/>
      <c r="O134" s="33"/>
      <c r="P134" s="33"/>
      <c r="Q134" s="33"/>
      <c r="Y134" s="33"/>
      <c r="Z134" s="33"/>
      <c r="AA134" s="33"/>
      <c r="AB134" s="33"/>
      <c r="AC134" s="33"/>
    </row>
    <row r="135" spans="3:29">
      <c r="C135" s="33" t="s">
        <v>164</v>
      </c>
      <c r="D135" s="47" t="s">
        <v>144</v>
      </c>
      <c r="E135" s="47">
        <f>E134</f>
        <v>0.001</v>
      </c>
      <c r="F135" s="48"/>
      <c r="G135" s="48"/>
      <c r="M135" s="33"/>
      <c r="N135" s="33"/>
      <c r="O135" s="33"/>
      <c r="P135" s="33"/>
      <c r="Q135" s="33"/>
      <c r="Y135" s="33"/>
      <c r="Z135" s="33"/>
      <c r="AA135" s="33"/>
      <c r="AB135" s="33"/>
      <c r="AC135" s="33"/>
    </row>
    <row r="136" spans="3:29">
      <c r="C136" s="33" t="s">
        <v>164</v>
      </c>
      <c r="D136" s="47" t="s">
        <v>145</v>
      </c>
      <c r="E136" s="47">
        <f t="shared" ref="E136:E154" si="15">E135</f>
        <v>0.001</v>
      </c>
      <c r="F136" s="48"/>
      <c r="G136" s="48"/>
      <c r="M136" s="33"/>
      <c r="N136" s="33"/>
      <c r="O136" s="33"/>
      <c r="P136" s="33"/>
      <c r="Q136" s="33"/>
      <c r="Y136" s="33"/>
      <c r="Z136" s="33"/>
      <c r="AA136" s="33"/>
      <c r="AB136" s="33"/>
      <c r="AC136" s="33"/>
    </row>
    <row r="137" spans="3:29">
      <c r="C137" s="33" t="s">
        <v>164</v>
      </c>
      <c r="D137" s="47" t="s">
        <v>146</v>
      </c>
      <c r="E137" s="47">
        <f t="shared" si="15"/>
        <v>0.001</v>
      </c>
      <c r="F137" s="48"/>
      <c r="G137" s="48"/>
      <c r="M137" s="33"/>
      <c r="N137" s="33"/>
      <c r="O137" s="33"/>
      <c r="P137" s="33"/>
      <c r="Q137" s="33"/>
      <c r="Y137" s="33"/>
      <c r="Z137" s="33"/>
      <c r="AA137" s="33"/>
      <c r="AB137" s="33"/>
      <c r="AC137" s="33"/>
    </row>
    <row r="138" spans="3:29">
      <c r="C138" s="33" t="s">
        <v>164</v>
      </c>
      <c r="D138" s="47" t="s">
        <v>147</v>
      </c>
      <c r="E138" s="47">
        <f t="shared" si="15"/>
        <v>0.001</v>
      </c>
      <c r="F138" s="48"/>
      <c r="G138" s="48"/>
      <c r="M138" s="33"/>
      <c r="N138" s="33"/>
      <c r="O138" s="33"/>
      <c r="P138" s="33"/>
      <c r="Q138" s="33"/>
      <c r="Y138" s="33"/>
      <c r="Z138" s="33"/>
      <c r="AA138" s="33"/>
      <c r="AB138" s="33"/>
      <c r="AC138" s="33"/>
    </row>
    <row r="139" spans="3:29">
      <c r="C139" s="33" t="s">
        <v>164</v>
      </c>
      <c r="D139" s="47" t="s">
        <v>148</v>
      </c>
      <c r="E139" s="47">
        <f t="shared" si="15"/>
        <v>0.001</v>
      </c>
      <c r="F139" s="48"/>
      <c r="G139" s="48"/>
      <c r="M139" s="33"/>
      <c r="N139" s="33"/>
      <c r="O139" s="33"/>
      <c r="P139" s="33"/>
      <c r="Q139" s="33"/>
      <c r="Y139" s="33"/>
      <c r="Z139" s="33"/>
      <c r="AA139" s="33"/>
      <c r="AB139" s="33"/>
      <c r="AC139" s="33"/>
    </row>
    <row r="140" spans="3:29">
      <c r="C140" s="33" t="s">
        <v>164</v>
      </c>
      <c r="D140" s="47" t="s">
        <v>149</v>
      </c>
      <c r="E140" s="47">
        <f t="shared" si="15"/>
        <v>0.001</v>
      </c>
      <c r="F140" s="48"/>
      <c r="G140" s="48"/>
      <c r="M140" s="33"/>
      <c r="N140" s="33"/>
      <c r="O140" s="33"/>
      <c r="P140" s="33"/>
      <c r="Q140" s="33"/>
      <c r="Y140" s="33"/>
      <c r="Z140" s="33"/>
      <c r="AA140" s="33"/>
      <c r="AB140" s="33"/>
      <c r="AC140" s="33"/>
    </row>
    <row r="141" spans="3:29">
      <c r="C141" s="33" t="s">
        <v>164</v>
      </c>
      <c r="D141" s="47" t="s">
        <v>150</v>
      </c>
      <c r="E141" s="47">
        <f t="shared" si="15"/>
        <v>0.001</v>
      </c>
      <c r="F141" s="48"/>
      <c r="G141" s="48"/>
      <c r="M141" s="33"/>
      <c r="N141" s="33"/>
      <c r="O141" s="33"/>
      <c r="P141" s="33"/>
      <c r="Q141" s="33"/>
      <c r="Y141" s="33"/>
      <c r="Z141" s="33"/>
      <c r="AA141" s="33"/>
      <c r="AB141" s="33"/>
      <c r="AC141" s="33"/>
    </row>
    <row r="142" spans="3:29">
      <c r="C142" s="33" t="s">
        <v>164</v>
      </c>
      <c r="D142" s="47" t="s">
        <v>151</v>
      </c>
      <c r="E142" s="47">
        <f t="shared" si="15"/>
        <v>0.001</v>
      </c>
      <c r="F142" s="48"/>
      <c r="G142" s="48"/>
      <c r="M142" s="33"/>
      <c r="N142" s="33"/>
      <c r="O142" s="33"/>
      <c r="P142" s="33"/>
      <c r="Q142" s="33"/>
      <c r="Y142" s="33"/>
      <c r="Z142" s="33"/>
      <c r="AA142" s="33"/>
      <c r="AB142" s="33"/>
      <c r="AC142" s="33"/>
    </row>
    <row r="143" spans="3:29">
      <c r="C143" s="33" t="s">
        <v>164</v>
      </c>
      <c r="D143" s="47" t="s">
        <v>152</v>
      </c>
      <c r="E143" s="47">
        <f t="shared" si="15"/>
        <v>0.001</v>
      </c>
      <c r="F143" s="48"/>
      <c r="G143" s="48"/>
      <c r="M143" s="33"/>
      <c r="N143" s="33"/>
      <c r="O143" s="33"/>
      <c r="P143" s="33"/>
      <c r="Q143" s="33"/>
      <c r="Y143" s="33"/>
      <c r="Z143" s="33"/>
      <c r="AA143" s="33"/>
      <c r="AB143" s="33"/>
      <c r="AC143" s="33"/>
    </row>
    <row r="144" spans="3:29">
      <c r="C144" s="33" t="s">
        <v>164</v>
      </c>
      <c r="D144" s="47" t="s">
        <v>153</v>
      </c>
      <c r="E144" s="47">
        <f t="shared" si="15"/>
        <v>0.001</v>
      </c>
      <c r="F144" s="48"/>
      <c r="G144" s="48"/>
      <c r="M144" s="33"/>
      <c r="N144" s="33"/>
      <c r="O144" s="33"/>
      <c r="P144" s="33"/>
      <c r="Q144" s="33"/>
      <c r="Y144" s="33"/>
      <c r="Z144" s="33"/>
      <c r="AA144" s="33"/>
      <c r="AB144" s="33"/>
      <c r="AC144" s="33"/>
    </row>
    <row r="145" spans="3:29">
      <c r="C145" s="33" t="s">
        <v>164</v>
      </c>
      <c r="D145" s="47" t="s">
        <v>154</v>
      </c>
      <c r="E145" s="47">
        <f t="shared" si="15"/>
        <v>0.001</v>
      </c>
      <c r="F145" s="48"/>
      <c r="G145" s="48"/>
      <c r="M145" s="33"/>
      <c r="N145" s="33"/>
      <c r="O145" s="33"/>
      <c r="P145" s="33"/>
      <c r="Q145" s="33"/>
      <c r="Y145" s="33"/>
      <c r="Z145" s="33"/>
      <c r="AA145" s="33"/>
      <c r="AB145" s="33"/>
      <c r="AC145" s="33"/>
    </row>
    <row r="146" spans="3:29">
      <c r="C146" s="33" t="s">
        <v>164</v>
      </c>
      <c r="D146" s="47" t="s">
        <v>155</v>
      </c>
      <c r="E146" s="47">
        <f t="shared" si="15"/>
        <v>0.001</v>
      </c>
      <c r="F146" s="48"/>
      <c r="G146" s="48"/>
      <c r="M146" s="33"/>
      <c r="N146" s="33"/>
      <c r="O146" s="33"/>
      <c r="P146" s="33"/>
      <c r="Q146" s="33"/>
      <c r="Y146" s="33"/>
      <c r="Z146" s="33"/>
      <c r="AA146" s="33"/>
      <c r="AB146" s="33"/>
      <c r="AC146" s="33"/>
    </row>
    <row r="147" spans="3:29">
      <c r="C147" s="33" t="s">
        <v>164</v>
      </c>
      <c r="D147" s="47" t="s">
        <v>156</v>
      </c>
      <c r="E147" s="47">
        <f t="shared" si="15"/>
        <v>0.001</v>
      </c>
      <c r="F147" s="48"/>
      <c r="G147" s="48"/>
      <c r="M147" s="33"/>
      <c r="N147" s="33"/>
      <c r="O147" s="33"/>
      <c r="P147" s="33"/>
      <c r="Q147" s="33"/>
      <c r="Y147" s="33"/>
      <c r="Z147" s="33"/>
      <c r="AA147" s="33"/>
      <c r="AB147" s="33"/>
      <c r="AC147" s="33"/>
    </row>
    <row r="148" spans="3:29">
      <c r="C148" s="33" t="s">
        <v>164</v>
      </c>
      <c r="D148" s="47" t="s">
        <v>157</v>
      </c>
      <c r="E148" s="47">
        <f t="shared" si="15"/>
        <v>0.001</v>
      </c>
      <c r="F148" s="48"/>
      <c r="G148" s="48"/>
      <c r="M148" s="33"/>
      <c r="N148" s="33"/>
      <c r="O148" s="33"/>
      <c r="P148" s="33"/>
      <c r="Q148" s="33"/>
      <c r="Y148" s="33"/>
      <c r="Z148" s="33"/>
      <c r="AA148" s="33"/>
      <c r="AB148" s="33"/>
      <c r="AC148" s="33"/>
    </row>
    <row r="149" spans="3:29">
      <c r="C149" s="33" t="s">
        <v>164</v>
      </c>
      <c r="D149" s="47" t="s">
        <v>158</v>
      </c>
      <c r="E149" s="47">
        <f t="shared" si="15"/>
        <v>0.001</v>
      </c>
      <c r="F149" s="48"/>
      <c r="G149" s="48"/>
      <c r="M149" s="33"/>
      <c r="N149" s="33"/>
      <c r="O149" s="33"/>
      <c r="P149" s="33"/>
      <c r="Q149" s="33"/>
      <c r="Y149" s="33"/>
      <c r="Z149" s="33"/>
      <c r="AA149" s="33"/>
      <c r="AB149" s="33"/>
      <c r="AC149" s="33"/>
    </row>
    <row r="150" spans="3:29">
      <c r="C150" s="33" t="s">
        <v>164</v>
      </c>
      <c r="D150" s="47" t="s">
        <v>159</v>
      </c>
      <c r="E150" s="47">
        <f t="shared" si="15"/>
        <v>0.001</v>
      </c>
      <c r="F150" s="48"/>
      <c r="G150" s="48"/>
      <c r="M150" s="33"/>
      <c r="N150" s="33"/>
      <c r="O150" s="33"/>
      <c r="P150" s="33"/>
      <c r="Q150" s="33"/>
      <c r="Y150" s="33"/>
      <c r="Z150" s="33"/>
      <c r="AA150" s="33"/>
      <c r="AB150" s="33"/>
      <c r="AC150" s="33"/>
    </row>
    <row r="151" spans="3:29">
      <c r="C151" s="33" t="s">
        <v>164</v>
      </c>
      <c r="D151" s="47" t="s">
        <v>160</v>
      </c>
      <c r="E151" s="47">
        <f t="shared" si="15"/>
        <v>0.001</v>
      </c>
      <c r="F151" s="48"/>
      <c r="G151" s="48"/>
      <c r="M151" s="33"/>
      <c r="N151" s="33"/>
      <c r="O151" s="33"/>
      <c r="P151" s="33"/>
      <c r="Q151" s="33"/>
      <c r="Y151" s="33"/>
      <c r="Z151" s="33"/>
      <c r="AA151" s="33"/>
      <c r="AB151" s="33"/>
      <c r="AC151" s="33"/>
    </row>
    <row r="152" spans="3:29">
      <c r="C152" s="33" t="s">
        <v>164</v>
      </c>
      <c r="D152" s="47" t="s">
        <v>161</v>
      </c>
      <c r="E152" s="47">
        <f t="shared" si="15"/>
        <v>0.001</v>
      </c>
      <c r="F152" s="48"/>
      <c r="G152" s="48"/>
      <c r="M152" s="33"/>
      <c r="N152" s="33"/>
      <c r="O152" s="33"/>
      <c r="P152" s="33"/>
      <c r="Q152" s="33"/>
      <c r="Y152" s="33"/>
      <c r="Z152" s="33"/>
      <c r="AA152" s="33"/>
      <c r="AB152" s="33"/>
      <c r="AC152" s="33"/>
    </row>
    <row r="153" spans="3:29">
      <c r="C153" s="33" t="s">
        <v>164</v>
      </c>
      <c r="D153" s="47" t="s">
        <v>162</v>
      </c>
      <c r="E153" s="47">
        <f t="shared" si="15"/>
        <v>0.001</v>
      </c>
      <c r="F153" s="48"/>
      <c r="G153" s="48"/>
      <c r="M153" s="33"/>
      <c r="N153" s="33"/>
      <c r="O153" s="33"/>
      <c r="P153" s="33"/>
      <c r="Q153" s="33"/>
      <c r="Y153" s="33"/>
      <c r="Z153" s="33"/>
      <c r="AA153" s="33"/>
      <c r="AB153" s="33"/>
      <c r="AC153" s="33"/>
    </row>
    <row r="154" spans="3:29">
      <c r="C154" s="33" t="s">
        <v>164</v>
      </c>
      <c r="D154" s="49" t="s">
        <v>163</v>
      </c>
      <c r="E154" s="47">
        <f t="shared" si="15"/>
        <v>0.001</v>
      </c>
      <c r="F154" s="48"/>
      <c r="G154" s="48"/>
      <c r="M154" s="33"/>
      <c r="N154" s="33"/>
      <c r="O154" s="33"/>
      <c r="P154" s="33"/>
      <c r="Q154" s="33"/>
      <c r="Y154" s="33"/>
      <c r="Z154" s="33"/>
      <c r="AA154" s="33"/>
      <c r="AB154" s="33"/>
      <c r="AC154" s="33"/>
    </row>
  </sheetData>
  <sortState ref="AZ33:BA38">
    <sortCondition ref="AZ33:AZ38"/>
  </sortState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workbookViewId="0">
      <selection activeCell="A1" sqref="A1"/>
    </sheetView>
  </sheetViews>
  <sheetFormatPr defaultColWidth="9" defaultRowHeight="12.5"/>
  <cols>
    <col min="3" max="3" width="11.6363636363636" customWidth="1"/>
    <col min="12" max="28" width="5.27272727272727" customWidth="1"/>
  </cols>
  <sheetData>
    <row r="1" spans="1:12">
      <c r="A1" t="s">
        <v>165</v>
      </c>
      <c r="B1" t="s">
        <v>71</v>
      </c>
      <c r="C1" t="s">
        <v>45</v>
      </c>
      <c r="D1" t="s">
        <v>47</v>
      </c>
      <c r="E1" t="s">
        <v>166</v>
      </c>
      <c r="F1" t="s">
        <v>167</v>
      </c>
      <c r="G1" t="s">
        <v>77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D4:AW82"/>
  <sheetViews>
    <sheetView tabSelected="1" zoomScale="48" zoomScaleNormal="48" workbookViewId="0">
      <selection activeCell="M43" sqref="M43"/>
    </sheetView>
  </sheetViews>
  <sheetFormatPr defaultColWidth="8.72727272727273" defaultRowHeight="12.5"/>
  <cols>
    <col min="10" max="10" width="11.4545454545455" customWidth="1"/>
    <col min="11" max="11" width="20.0909090909091" customWidth="1"/>
    <col min="12" max="12" width="11.1818181818182" customWidth="1"/>
    <col min="13" max="13" width="9.09090909090909"/>
    <col min="17" max="17" width="40.4545454545455" customWidth="1"/>
    <col min="18" max="18" width="44.7272727272727" customWidth="1"/>
    <col min="19" max="22" width="12.8181818181818"/>
    <col min="23" max="23" width="20.0909090909091" customWidth="1"/>
    <col min="24" max="26" width="12.8181818181818"/>
    <col min="29" max="29" width="20.0909090909091" customWidth="1"/>
    <col min="35" max="35" width="15.6363636363636" customWidth="1"/>
    <col min="41" max="41" width="15.9090909090909" customWidth="1"/>
    <col min="47" max="47" width="14.6363636363636" customWidth="1"/>
    <col min="48" max="48" width="33.5454545454545" customWidth="1"/>
  </cols>
  <sheetData>
    <row r="4" s="1" customFormat="1" ht="14.5" spans="4:49">
      <c r="D4" s="5"/>
      <c r="E4" s="5"/>
      <c r="F4" s="5"/>
      <c r="G4" s="5"/>
      <c r="H4" s="6"/>
      <c r="I4" s="6"/>
      <c r="J4" s="5"/>
      <c r="K4" s="5"/>
      <c r="L4" s="13" t="s">
        <v>173</v>
      </c>
      <c r="M4" s="5"/>
      <c r="N4" s="6"/>
      <c r="O4" s="6"/>
      <c r="P4" s="6"/>
      <c r="Q4" s="6"/>
      <c r="R4" s="13" t="s">
        <v>173</v>
      </c>
      <c r="S4" s="6"/>
      <c r="T4" s="6"/>
      <c r="U4" s="6"/>
      <c r="V4" s="6"/>
      <c r="W4" s="6"/>
      <c r="X4" s="13" t="s">
        <v>173</v>
      </c>
      <c r="Y4" s="6"/>
      <c r="Z4" s="6"/>
      <c r="AA4" s="6"/>
      <c r="AB4" s="6"/>
      <c r="AC4" s="6"/>
      <c r="AD4" s="13" t="s">
        <v>173</v>
      </c>
      <c r="AE4" s="6"/>
      <c r="AF4" s="6"/>
      <c r="AG4" s="6"/>
      <c r="AH4" s="6"/>
      <c r="AI4" s="6"/>
      <c r="AJ4" s="13" t="s">
        <v>173</v>
      </c>
      <c r="AK4" s="6"/>
      <c r="AL4" s="6"/>
      <c r="AM4" s="6"/>
      <c r="AN4" s="6"/>
      <c r="AO4" s="6"/>
      <c r="AP4" s="13" t="s">
        <v>173</v>
      </c>
      <c r="AQ4" s="6"/>
      <c r="AR4" s="1"/>
      <c r="AS4" s="1"/>
      <c r="AT4" s="6"/>
      <c r="AU4" s="6"/>
      <c r="AV4" s="13" t="s">
        <v>173</v>
      </c>
      <c r="AW4" s="6"/>
    </row>
    <row r="5" s="1" customFormat="1" ht="14.5" spans="4:49">
      <c r="D5" s="5"/>
      <c r="E5" s="5"/>
      <c r="F5" s="7"/>
      <c r="G5" s="5"/>
      <c r="H5" s="6"/>
      <c r="I5" s="6"/>
      <c r="J5" s="13" t="s">
        <v>76</v>
      </c>
      <c r="K5" s="13" t="s">
        <v>45</v>
      </c>
      <c r="L5" s="13" t="s">
        <v>50</v>
      </c>
      <c r="M5" s="13" t="s">
        <v>25</v>
      </c>
      <c r="N5" s="6"/>
      <c r="O5" s="6"/>
      <c r="P5" s="13" t="s">
        <v>76</v>
      </c>
      <c r="Q5" s="13" t="s">
        <v>45</v>
      </c>
      <c r="R5" s="13" t="s">
        <v>50</v>
      </c>
      <c r="S5" s="13" t="s">
        <v>25</v>
      </c>
      <c r="T5" s="6"/>
      <c r="U5" s="6"/>
      <c r="V5" s="13" t="s">
        <v>76</v>
      </c>
      <c r="W5" s="13" t="s">
        <v>45</v>
      </c>
      <c r="X5" s="13" t="s">
        <v>50</v>
      </c>
      <c r="Y5" s="13" t="s">
        <v>25</v>
      </c>
      <c r="Z5" s="6"/>
      <c r="AA5" s="6"/>
      <c r="AB5" s="13" t="s">
        <v>76</v>
      </c>
      <c r="AC5" s="13" t="s">
        <v>45</v>
      </c>
      <c r="AD5" s="13" t="s">
        <v>50</v>
      </c>
      <c r="AE5" s="13" t="s">
        <v>25</v>
      </c>
      <c r="AF5" s="6"/>
      <c r="AG5" s="6"/>
      <c r="AH5" s="13" t="s">
        <v>76</v>
      </c>
      <c r="AI5" s="13" t="s">
        <v>45</v>
      </c>
      <c r="AJ5" s="13" t="s">
        <v>50</v>
      </c>
      <c r="AK5" s="13" t="s">
        <v>25</v>
      </c>
      <c r="AL5" s="6"/>
      <c r="AM5" s="6"/>
      <c r="AN5" s="13" t="s">
        <v>76</v>
      </c>
      <c r="AO5" s="13" t="s">
        <v>45</v>
      </c>
      <c r="AP5" s="13" t="s">
        <v>50</v>
      </c>
      <c r="AQ5" s="13" t="s">
        <v>25</v>
      </c>
      <c r="AR5" s="1"/>
      <c r="AS5" s="1"/>
      <c r="AT5" s="13" t="s">
        <v>76</v>
      </c>
      <c r="AU5" s="13" t="s">
        <v>45</v>
      </c>
      <c r="AV5" s="13" t="s">
        <v>50</v>
      </c>
      <c r="AW5" s="13" t="s">
        <v>25</v>
      </c>
    </row>
    <row r="6" s="1" customFormat="1" ht="16" spans="4:49">
      <c r="D6" s="5"/>
      <c r="E6" s="8"/>
      <c r="F6" s="7"/>
      <c r="G6" s="9"/>
      <c r="H6" s="6"/>
      <c r="I6" s="6"/>
      <c r="J6" s="5" t="s">
        <v>81</v>
      </c>
      <c r="K6" s="8" t="s">
        <v>174</v>
      </c>
      <c r="L6" s="7" t="s">
        <v>60</v>
      </c>
      <c r="M6" s="9">
        <f>T65</f>
        <v>76.8000000000001</v>
      </c>
      <c r="N6" s="6"/>
      <c r="O6" s="6"/>
      <c r="P6" s="5" t="s">
        <v>81</v>
      </c>
      <c r="Q6" s="8" t="s">
        <v>175</v>
      </c>
      <c r="R6" s="7" t="s">
        <v>60</v>
      </c>
      <c r="S6" s="18">
        <f>U65</f>
        <v>71.3</v>
      </c>
      <c r="T6" s="6"/>
      <c r="U6" s="6"/>
      <c r="V6" s="5" t="s">
        <v>81</v>
      </c>
      <c r="W6" s="8" t="s">
        <v>176</v>
      </c>
      <c r="X6" s="7" t="s">
        <v>60</v>
      </c>
      <c r="Y6" s="18">
        <f>V65</f>
        <v>71.2</v>
      </c>
      <c r="Z6" s="6"/>
      <c r="AA6" s="6"/>
      <c r="AB6" s="5" t="s">
        <v>81</v>
      </c>
      <c r="AC6" s="8" t="s">
        <v>177</v>
      </c>
      <c r="AD6" s="7" t="s">
        <v>60</v>
      </c>
      <c r="AE6" s="18">
        <f>W65</f>
        <v>72.5</v>
      </c>
      <c r="AF6" s="6"/>
      <c r="AG6" s="6"/>
      <c r="AH6" s="5" t="s">
        <v>81</v>
      </c>
      <c r="AI6" s="8" t="s">
        <v>178</v>
      </c>
      <c r="AJ6" s="7" t="s">
        <v>60</v>
      </c>
      <c r="AK6" s="18">
        <f>X65</f>
        <v>77</v>
      </c>
      <c r="AL6" s="6"/>
      <c r="AM6" s="6"/>
      <c r="AN6" s="5" t="s">
        <v>81</v>
      </c>
      <c r="AO6" s="8" t="s">
        <v>179</v>
      </c>
      <c r="AP6" s="7" t="s">
        <v>60</v>
      </c>
      <c r="AQ6" s="18">
        <f>Y65</f>
        <v>42.4</v>
      </c>
      <c r="AT6" s="5" t="s">
        <v>81</v>
      </c>
      <c r="AU6" s="8" t="s">
        <v>180</v>
      </c>
      <c r="AV6" s="7" t="s">
        <v>60</v>
      </c>
      <c r="AW6" s="18">
        <f>Z65</f>
        <v>47.2</v>
      </c>
    </row>
    <row r="7" s="1" customFormat="1" ht="16" spans="4:49">
      <c r="D7" s="5"/>
      <c r="E7" s="8"/>
      <c r="F7" s="7"/>
      <c r="G7" s="9"/>
      <c r="H7" s="6"/>
      <c r="I7" s="6"/>
      <c r="J7" s="5" t="s">
        <v>81</v>
      </c>
      <c r="K7" s="8" t="s">
        <v>174</v>
      </c>
      <c r="L7" s="7" t="s">
        <v>181</v>
      </c>
      <c r="M7" s="9">
        <f>T66</f>
        <v>202.6</v>
      </c>
      <c r="N7" s="6"/>
      <c r="O7" s="6"/>
      <c r="P7" s="5" t="s">
        <v>81</v>
      </c>
      <c r="Q7" s="8" t="s">
        <v>175</v>
      </c>
      <c r="R7" s="7" t="s">
        <v>181</v>
      </c>
      <c r="S7" s="18">
        <f>U66</f>
        <v>191.3</v>
      </c>
      <c r="T7" s="6"/>
      <c r="U7" s="6"/>
      <c r="V7" s="5" t="s">
        <v>81</v>
      </c>
      <c r="W7" s="8" t="s">
        <v>176</v>
      </c>
      <c r="X7" s="7" t="s">
        <v>181</v>
      </c>
      <c r="Y7" s="18">
        <f>V66</f>
        <v>191.5</v>
      </c>
      <c r="Z7" s="6"/>
      <c r="AA7" s="6"/>
      <c r="AB7" s="5" t="s">
        <v>81</v>
      </c>
      <c r="AC7" s="8" t="s">
        <v>177</v>
      </c>
      <c r="AD7" s="7" t="s">
        <v>181</v>
      </c>
      <c r="AE7" s="18">
        <f>W66</f>
        <v>185.9</v>
      </c>
      <c r="AF7" s="6"/>
      <c r="AG7" s="6"/>
      <c r="AH7" s="5" t="s">
        <v>81</v>
      </c>
      <c r="AI7" s="8" t="s">
        <v>178</v>
      </c>
      <c r="AJ7" s="7" t="s">
        <v>181</v>
      </c>
      <c r="AK7" s="18">
        <f>X66</f>
        <v>198.2</v>
      </c>
      <c r="AL7" s="6"/>
      <c r="AM7" s="6"/>
      <c r="AN7" s="5" t="s">
        <v>81</v>
      </c>
      <c r="AO7" s="8" t="s">
        <v>179</v>
      </c>
      <c r="AP7" s="7" t="s">
        <v>181</v>
      </c>
      <c r="AQ7" s="18">
        <f>Y66</f>
        <v>76.8</v>
      </c>
      <c r="AT7" s="5" t="s">
        <v>81</v>
      </c>
      <c r="AU7" s="8" t="s">
        <v>180</v>
      </c>
      <c r="AV7" s="7" t="s">
        <v>181</v>
      </c>
      <c r="AW7" s="18">
        <f>Z66</f>
        <v>155.5</v>
      </c>
    </row>
    <row r="8" s="1" customFormat="1" ht="14.5" customHeight="1" spans="4:49">
      <c r="D8" s="5"/>
      <c r="E8" s="8"/>
      <c r="F8" s="7"/>
      <c r="G8" s="9"/>
      <c r="H8" s="6"/>
      <c r="I8" s="6"/>
      <c r="J8" s="5" t="s">
        <v>81</v>
      </c>
      <c r="K8" s="8" t="s">
        <v>174</v>
      </c>
      <c r="L8" s="7" t="s">
        <v>182</v>
      </c>
      <c r="M8" s="9">
        <f>T67</f>
        <v>583.8</v>
      </c>
      <c r="N8" s="6"/>
      <c r="O8" s="6"/>
      <c r="P8" s="5" t="s">
        <v>81</v>
      </c>
      <c r="Q8" s="8" t="s">
        <v>175</v>
      </c>
      <c r="R8" s="7" t="s">
        <v>182</v>
      </c>
      <c r="S8" s="18">
        <f>U67</f>
        <v>556.1</v>
      </c>
      <c r="T8" s="6"/>
      <c r="U8" s="6"/>
      <c r="V8" s="5" t="s">
        <v>81</v>
      </c>
      <c r="W8" s="8" t="s">
        <v>176</v>
      </c>
      <c r="X8" s="7" t="s">
        <v>182</v>
      </c>
      <c r="Y8" s="18">
        <f>V67</f>
        <v>557.9</v>
      </c>
      <c r="Z8" s="6"/>
      <c r="AA8" s="6"/>
      <c r="AB8" s="5" t="s">
        <v>81</v>
      </c>
      <c r="AC8" s="8" t="s">
        <v>177</v>
      </c>
      <c r="AD8" s="7" t="s">
        <v>182</v>
      </c>
      <c r="AE8" s="18">
        <f>W67</f>
        <v>550.5</v>
      </c>
      <c r="AF8" s="6"/>
      <c r="AG8" s="6"/>
      <c r="AH8" s="5" t="s">
        <v>81</v>
      </c>
      <c r="AI8" s="8" t="s">
        <v>178</v>
      </c>
      <c r="AJ8" s="7" t="s">
        <v>182</v>
      </c>
      <c r="AK8" s="18">
        <f>X67</f>
        <v>594.2</v>
      </c>
      <c r="AL8" s="6"/>
      <c r="AM8" s="6"/>
      <c r="AN8" s="5" t="s">
        <v>81</v>
      </c>
      <c r="AO8" s="8" t="s">
        <v>179</v>
      </c>
      <c r="AP8" s="7" t="s">
        <v>182</v>
      </c>
      <c r="AQ8" s="18">
        <f>Y67</f>
        <v>409.9</v>
      </c>
      <c r="AT8" s="5" t="s">
        <v>81</v>
      </c>
      <c r="AU8" s="8" t="s">
        <v>180</v>
      </c>
      <c r="AV8" s="7" t="s">
        <v>182</v>
      </c>
      <c r="AW8" s="18">
        <f>Z67</f>
        <v>477</v>
      </c>
    </row>
    <row r="9" s="1" customFormat="1" ht="16" spans="4:49">
      <c r="D9" s="5"/>
      <c r="E9" s="8"/>
      <c r="F9" s="7"/>
      <c r="G9" s="9"/>
      <c r="H9" s="6"/>
      <c r="I9" s="6"/>
      <c r="J9" s="5" t="s">
        <v>81</v>
      </c>
      <c r="K9" s="8" t="s">
        <v>174</v>
      </c>
      <c r="L9" s="7" t="s">
        <v>183</v>
      </c>
      <c r="M9" s="9">
        <f>T68</f>
        <v>127.5</v>
      </c>
      <c r="N9" s="6"/>
      <c r="O9" s="6"/>
      <c r="P9" s="5" t="s">
        <v>81</v>
      </c>
      <c r="Q9" s="8" t="s">
        <v>175</v>
      </c>
      <c r="R9" s="7" t="s">
        <v>183</v>
      </c>
      <c r="S9" s="18">
        <f>U68</f>
        <v>133.7</v>
      </c>
      <c r="T9" s="6"/>
      <c r="U9" s="6"/>
      <c r="V9" s="5" t="s">
        <v>81</v>
      </c>
      <c r="W9" s="8" t="s">
        <v>176</v>
      </c>
      <c r="X9" s="7" t="s">
        <v>183</v>
      </c>
      <c r="Y9" s="18">
        <f>V68</f>
        <v>140.3</v>
      </c>
      <c r="Z9" s="6"/>
      <c r="AA9" s="6"/>
      <c r="AB9" s="5" t="s">
        <v>81</v>
      </c>
      <c r="AC9" s="8" t="s">
        <v>177</v>
      </c>
      <c r="AD9" s="7" t="s">
        <v>183</v>
      </c>
      <c r="AE9" s="18">
        <f>W68</f>
        <v>149.9</v>
      </c>
      <c r="AF9" s="6"/>
      <c r="AG9" s="6"/>
      <c r="AH9" s="5" t="s">
        <v>81</v>
      </c>
      <c r="AI9" s="8" t="s">
        <v>178</v>
      </c>
      <c r="AJ9" s="7" t="s">
        <v>183</v>
      </c>
      <c r="AK9" s="18">
        <f>X68</f>
        <v>160.8</v>
      </c>
      <c r="AL9" s="6"/>
      <c r="AM9" s="6"/>
      <c r="AN9" s="5" t="s">
        <v>81</v>
      </c>
      <c r="AO9" s="8" t="s">
        <v>179</v>
      </c>
      <c r="AP9" s="7" t="s">
        <v>183</v>
      </c>
      <c r="AQ9" s="18">
        <f>Y68</f>
        <v>57</v>
      </c>
      <c r="AT9" s="5" t="s">
        <v>81</v>
      </c>
      <c r="AU9" s="8" t="s">
        <v>180</v>
      </c>
      <c r="AV9" s="7" t="s">
        <v>183</v>
      </c>
      <c r="AW9" s="18">
        <f>Z68</f>
        <v>95.2</v>
      </c>
    </row>
    <row r="10" s="1" customFormat="1" ht="16" spans="4:9">
      <c r="D10" s="6"/>
      <c r="E10" s="8"/>
      <c r="F10" s="1"/>
      <c r="G10" s="9"/>
      <c r="H10" s="6"/>
      <c r="I10" s="6"/>
    </row>
    <row r="13" s="2" customFormat="1"/>
    <row r="14" s="3" customFormat="1" ht="14.5" spans="4:49">
      <c r="D14" s="10"/>
      <c r="E14" s="10"/>
      <c r="F14" s="10"/>
      <c r="G14" s="10"/>
      <c r="H14" s="11"/>
      <c r="I14" s="11"/>
      <c r="J14" s="10"/>
      <c r="K14" s="10"/>
      <c r="L14" s="14"/>
      <c r="M14" s="10"/>
      <c r="N14" s="11"/>
      <c r="O14" s="11"/>
      <c r="P14" s="11"/>
      <c r="Q14" s="11"/>
      <c r="R14" s="14"/>
      <c r="S14" s="11"/>
      <c r="T14" s="11"/>
      <c r="U14" s="11"/>
      <c r="V14" s="11"/>
      <c r="W14" s="11"/>
      <c r="X14" s="14"/>
      <c r="Y14" s="11"/>
      <c r="Z14" s="11"/>
      <c r="AA14" s="11"/>
      <c r="AB14" s="11"/>
      <c r="AC14" s="11"/>
      <c r="AD14" s="14"/>
      <c r="AE14" s="11"/>
      <c r="AF14" s="11"/>
      <c r="AG14" s="11"/>
      <c r="AH14" s="11"/>
      <c r="AI14" s="11"/>
      <c r="AJ14" s="14"/>
      <c r="AK14" s="11"/>
      <c r="AL14" s="11"/>
      <c r="AM14" s="11"/>
      <c r="AN14" s="11"/>
      <c r="AO14" s="11"/>
      <c r="AP14" s="14"/>
      <c r="AQ14" s="11"/>
      <c r="AT14" s="11"/>
      <c r="AU14" s="11"/>
      <c r="AV14" s="14"/>
      <c r="AW14" s="11"/>
    </row>
    <row r="15" s="3" customFormat="1" ht="14.5" spans="4:49">
      <c r="D15" s="10"/>
      <c r="E15" s="10"/>
      <c r="F15" s="12"/>
      <c r="G15" s="10"/>
      <c r="H15" s="11"/>
      <c r="I15" s="11"/>
      <c r="J15" s="14"/>
      <c r="K15" s="14"/>
      <c r="L15" s="14"/>
      <c r="M15" s="14"/>
      <c r="N15" s="11"/>
      <c r="O15" s="11"/>
      <c r="P15" s="14"/>
      <c r="Q15" s="14"/>
      <c r="R15" s="14"/>
      <c r="S15" s="14"/>
      <c r="T15" s="11"/>
      <c r="U15" s="11"/>
      <c r="V15" s="14"/>
      <c r="W15" s="14"/>
      <c r="X15" s="14"/>
      <c r="Y15" s="14"/>
      <c r="Z15" s="11"/>
      <c r="AA15" s="11"/>
      <c r="AB15" s="14"/>
      <c r="AC15" s="14"/>
      <c r="AD15" s="14"/>
      <c r="AE15" s="14"/>
      <c r="AF15" s="11"/>
      <c r="AG15" s="11"/>
      <c r="AH15" s="14"/>
      <c r="AI15" s="14"/>
      <c r="AJ15" s="14"/>
      <c r="AK15" s="14"/>
      <c r="AL15" s="11"/>
      <c r="AM15" s="11"/>
      <c r="AN15" s="14"/>
      <c r="AO15" s="14"/>
      <c r="AP15" s="14"/>
      <c r="AQ15" s="14"/>
      <c r="AT15" s="14"/>
      <c r="AU15" s="14"/>
      <c r="AV15" s="14"/>
      <c r="AW15" s="14"/>
    </row>
    <row r="16" s="4" customFormat="1" ht="16" spans="10:49">
      <c r="J16" s="10"/>
      <c r="K16" s="15"/>
      <c r="L16" s="12"/>
      <c r="M16" s="16"/>
      <c r="N16" s="11"/>
      <c r="O16" s="11"/>
      <c r="P16" s="10"/>
      <c r="Q16" s="15"/>
      <c r="R16" s="12"/>
      <c r="S16" s="19"/>
      <c r="T16" s="11"/>
      <c r="U16" s="11"/>
      <c r="V16" s="10"/>
      <c r="W16" s="15"/>
      <c r="X16" s="12"/>
      <c r="Y16" s="19"/>
      <c r="Z16" s="11"/>
      <c r="AA16" s="11"/>
      <c r="AB16" s="10"/>
      <c r="AC16" s="15"/>
      <c r="AD16" s="12"/>
      <c r="AE16" s="19"/>
      <c r="AF16" s="11"/>
      <c r="AG16" s="11"/>
      <c r="AH16" s="10"/>
      <c r="AI16" s="15"/>
      <c r="AJ16" s="12"/>
      <c r="AK16" s="19"/>
      <c r="AL16" s="11"/>
      <c r="AM16" s="11"/>
      <c r="AN16" s="10"/>
      <c r="AO16" s="15"/>
      <c r="AP16" s="12"/>
      <c r="AQ16" s="19"/>
      <c r="AR16" s="3"/>
      <c r="AS16" s="3"/>
      <c r="AT16" s="10"/>
      <c r="AU16" s="15"/>
      <c r="AV16" s="12"/>
      <c r="AW16" s="19"/>
    </row>
    <row r="17" s="4" customFormat="1" ht="16" spans="10:49">
      <c r="J17" s="10"/>
      <c r="K17" s="15"/>
      <c r="L17" s="12"/>
      <c r="M17" s="16"/>
      <c r="N17" s="11"/>
      <c r="O17" s="11"/>
      <c r="P17" s="10"/>
      <c r="Q17" s="15"/>
      <c r="R17" s="12"/>
      <c r="S17" s="19"/>
      <c r="T17" s="11"/>
      <c r="U17" s="11"/>
      <c r="V17" s="10"/>
      <c r="W17" s="15"/>
      <c r="X17" s="12"/>
      <c r="Y17" s="19"/>
      <c r="Z17" s="11"/>
      <c r="AA17" s="11"/>
      <c r="AB17" s="10"/>
      <c r="AC17" s="15"/>
      <c r="AD17" s="12"/>
      <c r="AE17" s="19"/>
      <c r="AF17" s="11"/>
      <c r="AG17" s="11"/>
      <c r="AH17" s="10"/>
      <c r="AI17" s="15"/>
      <c r="AJ17" s="12"/>
      <c r="AK17" s="19"/>
      <c r="AL17" s="11"/>
      <c r="AM17" s="11"/>
      <c r="AN17" s="10"/>
      <c r="AO17" s="15"/>
      <c r="AP17" s="12"/>
      <c r="AQ17" s="19"/>
      <c r="AR17" s="3"/>
      <c r="AS17" s="3"/>
      <c r="AT17" s="10"/>
      <c r="AU17" s="15"/>
      <c r="AV17" s="12"/>
      <c r="AW17" s="19"/>
    </row>
    <row r="18" s="4" customFormat="1" ht="16" spans="10:49">
      <c r="J18" s="10"/>
      <c r="K18" s="15"/>
      <c r="L18" s="12"/>
      <c r="M18" s="16"/>
      <c r="N18" s="11"/>
      <c r="O18" s="11"/>
      <c r="P18" s="10"/>
      <c r="Q18" s="15"/>
      <c r="R18" s="12"/>
      <c r="S18" s="19"/>
      <c r="T18" s="11"/>
      <c r="U18" s="11"/>
      <c r="V18" s="10"/>
      <c r="W18" s="15"/>
      <c r="X18" s="12"/>
      <c r="Y18" s="19"/>
      <c r="Z18" s="11"/>
      <c r="AA18" s="11"/>
      <c r="AB18" s="10"/>
      <c r="AC18" s="15"/>
      <c r="AD18" s="12"/>
      <c r="AE18" s="19"/>
      <c r="AF18" s="11"/>
      <c r="AG18" s="11"/>
      <c r="AH18" s="10"/>
      <c r="AI18" s="15"/>
      <c r="AJ18" s="12"/>
      <c r="AK18" s="19"/>
      <c r="AL18" s="11"/>
      <c r="AM18" s="11"/>
      <c r="AN18" s="10"/>
      <c r="AO18" s="15"/>
      <c r="AP18" s="12"/>
      <c r="AQ18" s="19"/>
      <c r="AR18" s="3"/>
      <c r="AS18" s="3"/>
      <c r="AT18" s="10"/>
      <c r="AU18" s="15"/>
      <c r="AV18" s="12"/>
      <c r="AW18" s="19"/>
    </row>
    <row r="19" s="4" customFormat="1" ht="16" spans="10:49">
      <c r="J19" s="10"/>
      <c r="K19" s="15"/>
      <c r="L19" s="12"/>
      <c r="M19" s="16"/>
      <c r="N19" s="11"/>
      <c r="O19" s="11"/>
      <c r="P19" s="10"/>
      <c r="Q19" s="15"/>
      <c r="R19" s="12"/>
      <c r="S19" s="19"/>
      <c r="T19" s="11"/>
      <c r="U19" s="11"/>
      <c r="V19" s="10"/>
      <c r="W19" s="15"/>
      <c r="X19" s="12"/>
      <c r="Y19" s="19"/>
      <c r="Z19" s="11"/>
      <c r="AA19" s="11"/>
      <c r="AB19" s="10"/>
      <c r="AC19" s="15"/>
      <c r="AD19" s="12"/>
      <c r="AE19" s="19"/>
      <c r="AF19" s="11"/>
      <c r="AG19" s="11"/>
      <c r="AH19" s="10"/>
      <c r="AI19" s="15"/>
      <c r="AJ19" s="12"/>
      <c r="AK19" s="19"/>
      <c r="AL19" s="11"/>
      <c r="AM19" s="11"/>
      <c r="AN19" s="10"/>
      <c r="AO19" s="15"/>
      <c r="AP19" s="12"/>
      <c r="AQ19" s="19"/>
      <c r="AR19" s="3"/>
      <c r="AS19" s="3"/>
      <c r="AT19" s="10"/>
      <c r="AU19" s="15"/>
      <c r="AV19" s="12"/>
      <c r="AW19" s="19"/>
    </row>
    <row r="20" s="4" customFormat="1"/>
    <row r="21" s="2" customFormat="1" spans="16:19">
      <c r="P21" s="4"/>
      <c r="Q21" s="4"/>
      <c r="R21" s="4"/>
      <c r="S21" s="4"/>
    </row>
    <row r="22" spans="16:19">
      <c r="P22" s="17"/>
      <c r="Q22" s="17"/>
      <c r="R22" s="17"/>
      <c r="S22" s="17"/>
    </row>
    <row r="24" s="1" customFormat="1" ht="14.5" spans="4:49">
      <c r="D24" s="5"/>
      <c r="E24" s="5"/>
      <c r="F24" s="5"/>
      <c r="G24" s="5"/>
      <c r="H24" s="6"/>
      <c r="I24" s="6"/>
      <c r="J24" s="5"/>
      <c r="K24" s="5"/>
      <c r="L24" s="13" t="s">
        <v>173</v>
      </c>
      <c r="M24" s="5"/>
      <c r="N24" s="6"/>
      <c r="O24" s="6"/>
      <c r="P24" s="6"/>
      <c r="Q24" s="6"/>
      <c r="R24" s="13" t="s">
        <v>173</v>
      </c>
      <c r="S24" s="6"/>
      <c r="T24" s="6"/>
      <c r="U24" s="6"/>
      <c r="V24" s="6"/>
      <c r="W24" s="6"/>
      <c r="X24" s="13" t="s">
        <v>173</v>
      </c>
      <c r="Y24" s="6"/>
      <c r="Z24" s="6"/>
      <c r="AA24" s="6"/>
      <c r="AB24" s="6"/>
      <c r="AC24" s="6"/>
      <c r="AD24" s="13" t="s">
        <v>173</v>
      </c>
      <c r="AE24" s="6"/>
      <c r="AF24" s="6"/>
      <c r="AG24" s="6"/>
      <c r="AH24" s="6"/>
      <c r="AI24" s="6"/>
      <c r="AJ24" s="13" t="s">
        <v>173</v>
      </c>
      <c r="AK24" s="6"/>
      <c r="AL24" s="6"/>
      <c r="AM24" s="6"/>
      <c r="AN24" s="6"/>
      <c r="AO24" s="6"/>
      <c r="AP24" s="13" t="s">
        <v>173</v>
      </c>
      <c r="AQ24" s="6"/>
      <c r="AT24" s="6"/>
      <c r="AU24" s="6"/>
      <c r="AV24" s="13" t="s">
        <v>173</v>
      </c>
      <c r="AW24" s="6"/>
    </row>
    <row r="25" s="1" customFormat="1" ht="14.5" spans="4:49">
      <c r="D25" s="5"/>
      <c r="E25" s="5"/>
      <c r="F25" s="7"/>
      <c r="G25" s="5"/>
      <c r="H25" s="6"/>
      <c r="I25" s="6"/>
      <c r="J25" s="13" t="s">
        <v>76</v>
      </c>
      <c r="K25" s="13" t="s">
        <v>45</v>
      </c>
      <c r="L25" s="13" t="s">
        <v>50</v>
      </c>
      <c r="M25" s="13" t="s">
        <v>11</v>
      </c>
      <c r="N25" s="6"/>
      <c r="O25" s="6"/>
      <c r="P25" s="13" t="s">
        <v>76</v>
      </c>
      <c r="Q25" s="13" t="s">
        <v>45</v>
      </c>
      <c r="R25" s="13" t="s">
        <v>50</v>
      </c>
      <c r="S25" s="13" t="s">
        <v>11</v>
      </c>
      <c r="T25" s="6"/>
      <c r="U25" s="6"/>
      <c r="V25" s="13" t="s">
        <v>76</v>
      </c>
      <c r="W25" s="13" t="s">
        <v>45</v>
      </c>
      <c r="X25" s="13" t="s">
        <v>50</v>
      </c>
      <c r="Y25" s="13" t="s">
        <v>11</v>
      </c>
      <c r="Z25" s="6"/>
      <c r="AA25" s="6"/>
      <c r="AB25" s="13" t="s">
        <v>76</v>
      </c>
      <c r="AC25" s="13" t="s">
        <v>45</v>
      </c>
      <c r="AD25" s="13" t="s">
        <v>50</v>
      </c>
      <c r="AE25" s="13" t="s">
        <v>11</v>
      </c>
      <c r="AF25" s="6"/>
      <c r="AG25" s="6"/>
      <c r="AH25" s="13" t="s">
        <v>76</v>
      </c>
      <c r="AI25" s="13" t="s">
        <v>45</v>
      </c>
      <c r="AJ25" s="13" t="s">
        <v>50</v>
      </c>
      <c r="AK25" s="13" t="s">
        <v>11</v>
      </c>
      <c r="AL25" s="6"/>
      <c r="AM25" s="6"/>
      <c r="AN25" s="13" t="s">
        <v>76</v>
      </c>
      <c r="AO25" s="13" t="s">
        <v>45</v>
      </c>
      <c r="AP25" s="13" t="s">
        <v>50</v>
      </c>
      <c r="AQ25" s="13" t="s">
        <v>11</v>
      </c>
      <c r="AT25" s="13" t="s">
        <v>76</v>
      </c>
      <c r="AU25" s="13" t="s">
        <v>45</v>
      </c>
      <c r="AV25" s="13" t="s">
        <v>50</v>
      </c>
      <c r="AW25" s="13" t="s">
        <v>11</v>
      </c>
    </row>
    <row r="26" ht="16" spans="10:49">
      <c r="J26" s="5" t="s">
        <v>81</v>
      </c>
      <c r="K26" s="8" t="s">
        <v>174</v>
      </c>
      <c r="L26" s="7" t="s">
        <v>60</v>
      </c>
      <c r="M26" s="9">
        <f>T73</f>
        <v>77.4</v>
      </c>
      <c r="N26" s="6"/>
      <c r="O26" s="6"/>
      <c r="P26" s="5" t="s">
        <v>81</v>
      </c>
      <c r="Q26" s="8" t="s">
        <v>175</v>
      </c>
      <c r="R26" s="7" t="s">
        <v>60</v>
      </c>
      <c r="S26" s="18">
        <f>U73</f>
        <v>72</v>
      </c>
      <c r="T26" s="6"/>
      <c r="U26" s="6"/>
      <c r="V26" s="5" t="s">
        <v>81</v>
      </c>
      <c r="W26" s="8" t="s">
        <v>176</v>
      </c>
      <c r="X26" s="7" t="s">
        <v>60</v>
      </c>
      <c r="Y26" s="18">
        <f>V73</f>
        <v>71.9</v>
      </c>
      <c r="Z26" s="6"/>
      <c r="AA26" s="6"/>
      <c r="AB26" s="5" t="s">
        <v>81</v>
      </c>
      <c r="AC26" s="8" t="s">
        <v>177</v>
      </c>
      <c r="AD26" s="7" t="s">
        <v>60</v>
      </c>
      <c r="AE26" s="18">
        <f>W73</f>
        <v>73.1</v>
      </c>
      <c r="AF26" s="6"/>
      <c r="AG26" s="6"/>
      <c r="AH26" s="5" t="s">
        <v>81</v>
      </c>
      <c r="AI26" s="8" t="s">
        <v>178</v>
      </c>
      <c r="AJ26" s="7" t="s">
        <v>60</v>
      </c>
      <c r="AK26" s="18">
        <f>X73</f>
        <v>77.6999999999999</v>
      </c>
      <c r="AL26" s="6"/>
      <c r="AM26" s="6"/>
      <c r="AN26" s="5" t="s">
        <v>81</v>
      </c>
      <c r="AO26" s="8" t="s">
        <v>179</v>
      </c>
      <c r="AP26" s="7" t="s">
        <v>60</v>
      </c>
      <c r="AQ26" s="18">
        <f>Y73</f>
        <v>43.1</v>
      </c>
      <c r="AR26" s="1"/>
      <c r="AS26" s="1"/>
      <c r="AT26" s="5" t="s">
        <v>81</v>
      </c>
      <c r="AU26" s="8" t="s">
        <v>180</v>
      </c>
      <c r="AV26" s="7" t="s">
        <v>60</v>
      </c>
      <c r="AW26" s="18">
        <f>Z73</f>
        <v>47.8</v>
      </c>
    </row>
    <row r="27" ht="16" spans="10:49">
      <c r="J27" s="5" t="s">
        <v>81</v>
      </c>
      <c r="K27" s="8" t="s">
        <v>174</v>
      </c>
      <c r="L27" s="7" t="s">
        <v>181</v>
      </c>
      <c r="M27" s="9">
        <f>T74</f>
        <v>236.6</v>
      </c>
      <c r="N27" s="6"/>
      <c r="O27" s="6"/>
      <c r="P27" s="5" t="s">
        <v>81</v>
      </c>
      <c r="Q27" s="8" t="s">
        <v>175</v>
      </c>
      <c r="R27" s="7" t="s">
        <v>181</v>
      </c>
      <c r="S27" s="18">
        <f>U74</f>
        <v>225.2</v>
      </c>
      <c r="T27" s="6"/>
      <c r="U27" s="6"/>
      <c r="V27" s="5" t="s">
        <v>81</v>
      </c>
      <c r="W27" s="8" t="s">
        <v>176</v>
      </c>
      <c r="X27" s="7" t="s">
        <v>181</v>
      </c>
      <c r="Y27" s="18">
        <f>V74</f>
        <v>225.5</v>
      </c>
      <c r="Z27" s="6"/>
      <c r="AA27" s="6"/>
      <c r="AB27" s="5" t="s">
        <v>81</v>
      </c>
      <c r="AC27" s="8" t="s">
        <v>177</v>
      </c>
      <c r="AD27" s="7" t="s">
        <v>181</v>
      </c>
      <c r="AE27" s="18">
        <f>W74</f>
        <v>219.8</v>
      </c>
      <c r="AF27" s="6"/>
      <c r="AG27" s="6"/>
      <c r="AH27" s="5" t="s">
        <v>81</v>
      </c>
      <c r="AI27" s="8" t="s">
        <v>178</v>
      </c>
      <c r="AJ27" s="7" t="s">
        <v>181</v>
      </c>
      <c r="AK27" s="18">
        <f>X74</f>
        <v>232.2</v>
      </c>
      <c r="AL27" s="6"/>
      <c r="AM27" s="6"/>
      <c r="AN27" s="5" t="s">
        <v>81</v>
      </c>
      <c r="AO27" s="8" t="s">
        <v>179</v>
      </c>
      <c r="AP27" s="7" t="s">
        <v>181</v>
      </c>
      <c r="AQ27" s="18">
        <f>Y74</f>
        <v>110.8</v>
      </c>
      <c r="AR27" s="1"/>
      <c r="AS27" s="1"/>
      <c r="AT27" s="5" t="s">
        <v>81</v>
      </c>
      <c r="AU27" s="8" t="s">
        <v>180</v>
      </c>
      <c r="AV27" s="7" t="s">
        <v>181</v>
      </c>
      <c r="AW27" s="18">
        <f>Z74</f>
        <v>189.5</v>
      </c>
    </row>
    <row r="28" ht="16" spans="10:49">
      <c r="J28" s="5" t="s">
        <v>81</v>
      </c>
      <c r="K28" s="8" t="s">
        <v>174</v>
      </c>
      <c r="L28" s="7" t="s">
        <v>182</v>
      </c>
      <c r="M28" s="9">
        <f>T75</f>
        <v>559.8</v>
      </c>
      <c r="N28" s="6"/>
      <c r="O28" s="6"/>
      <c r="P28" s="5" t="s">
        <v>81</v>
      </c>
      <c r="Q28" s="8" t="s">
        <v>175</v>
      </c>
      <c r="R28" s="7" t="s">
        <v>182</v>
      </c>
      <c r="S28" s="18">
        <f>U75</f>
        <v>532.1</v>
      </c>
      <c r="T28" s="6"/>
      <c r="U28" s="6"/>
      <c r="V28" s="5" t="s">
        <v>81</v>
      </c>
      <c r="W28" s="8" t="s">
        <v>176</v>
      </c>
      <c r="X28" s="7" t="s">
        <v>182</v>
      </c>
      <c r="Y28" s="18">
        <f>V75</f>
        <v>533.9</v>
      </c>
      <c r="Z28" s="6"/>
      <c r="AA28" s="6"/>
      <c r="AB28" s="5" t="s">
        <v>81</v>
      </c>
      <c r="AC28" s="8" t="s">
        <v>177</v>
      </c>
      <c r="AD28" s="7" t="s">
        <v>182</v>
      </c>
      <c r="AE28" s="18">
        <f>W75</f>
        <v>526.4</v>
      </c>
      <c r="AF28" s="6"/>
      <c r="AG28" s="6"/>
      <c r="AH28" s="5" t="s">
        <v>81</v>
      </c>
      <c r="AI28" s="8" t="s">
        <v>178</v>
      </c>
      <c r="AJ28" s="7" t="s">
        <v>182</v>
      </c>
      <c r="AK28" s="18">
        <f>X75</f>
        <v>570.2</v>
      </c>
      <c r="AL28" s="6"/>
      <c r="AM28" s="6"/>
      <c r="AN28" s="5" t="s">
        <v>81</v>
      </c>
      <c r="AO28" s="8" t="s">
        <v>179</v>
      </c>
      <c r="AP28" s="7" t="s">
        <v>182</v>
      </c>
      <c r="AQ28" s="18">
        <f>Y75</f>
        <v>385.8</v>
      </c>
      <c r="AR28" s="1"/>
      <c r="AS28" s="1"/>
      <c r="AT28" s="5" t="s">
        <v>81</v>
      </c>
      <c r="AU28" s="8" t="s">
        <v>180</v>
      </c>
      <c r="AV28" s="7" t="s">
        <v>182</v>
      </c>
      <c r="AW28" s="18">
        <f>Z75</f>
        <v>453</v>
      </c>
    </row>
    <row r="29" ht="16" spans="10:49">
      <c r="J29" s="5" t="s">
        <v>81</v>
      </c>
      <c r="K29" s="8" t="s">
        <v>174</v>
      </c>
      <c r="L29" s="7" t="s">
        <v>183</v>
      </c>
      <c r="M29" s="9">
        <f>T76</f>
        <v>127.7</v>
      </c>
      <c r="N29" s="6"/>
      <c r="O29" s="6"/>
      <c r="P29" s="5" t="s">
        <v>81</v>
      </c>
      <c r="Q29" s="8" t="s">
        <v>175</v>
      </c>
      <c r="R29" s="7" t="s">
        <v>183</v>
      </c>
      <c r="S29" s="18">
        <f>U76</f>
        <v>134</v>
      </c>
      <c r="T29" s="6"/>
      <c r="U29" s="6"/>
      <c r="V29" s="5" t="s">
        <v>81</v>
      </c>
      <c r="W29" s="8" t="s">
        <v>176</v>
      </c>
      <c r="X29" s="7" t="s">
        <v>183</v>
      </c>
      <c r="Y29" s="18">
        <f>V76</f>
        <v>140.6</v>
      </c>
      <c r="Z29" s="6"/>
      <c r="AA29" s="6"/>
      <c r="AB29" s="5" t="s">
        <v>81</v>
      </c>
      <c r="AC29" s="8" t="s">
        <v>177</v>
      </c>
      <c r="AD29" s="7" t="s">
        <v>183</v>
      </c>
      <c r="AE29" s="18">
        <f>W76</f>
        <v>150.2</v>
      </c>
      <c r="AF29" s="6"/>
      <c r="AG29" s="6"/>
      <c r="AH29" s="5" t="s">
        <v>81</v>
      </c>
      <c r="AI29" s="8" t="s">
        <v>178</v>
      </c>
      <c r="AJ29" s="7" t="s">
        <v>183</v>
      </c>
      <c r="AK29" s="18">
        <f>X76</f>
        <v>161.1</v>
      </c>
      <c r="AL29" s="6"/>
      <c r="AM29" s="6"/>
      <c r="AN29" s="5" t="s">
        <v>81</v>
      </c>
      <c r="AO29" s="8" t="s">
        <v>179</v>
      </c>
      <c r="AP29" s="7" t="s">
        <v>183</v>
      </c>
      <c r="AQ29" s="18">
        <f>Y76</f>
        <v>57.2</v>
      </c>
      <c r="AR29" s="1"/>
      <c r="AS29" s="1"/>
      <c r="AT29" s="5" t="s">
        <v>81</v>
      </c>
      <c r="AU29" s="8" t="s">
        <v>180</v>
      </c>
      <c r="AV29" s="7" t="s">
        <v>183</v>
      </c>
      <c r="AW29" s="18">
        <f>Z76</f>
        <v>95.5</v>
      </c>
    </row>
    <row r="42" ht="14.5" spans="17:26">
      <c r="Q42" s="20" t="s">
        <v>184</v>
      </c>
      <c r="R42" s="20"/>
      <c r="S42" s="20"/>
      <c r="T42" s="20"/>
      <c r="U42" s="20"/>
      <c r="V42" s="20"/>
      <c r="W42" s="20"/>
      <c r="X42" s="20"/>
      <c r="Y42" s="20"/>
      <c r="Z42" s="20"/>
    </row>
    <row r="43" ht="15.5" spans="17:26">
      <c r="Q43" s="21" t="s">
        <v>185</v>
      </c>
      <c r="R43" s="21" t="s">
        <v>186</v>
      </c>
      <c r="S43" s="22" t="s">
        <v>187</v>
      </c>
      <c r="T43" s="22"/>
      <c r="U43" s="22"/>
      <c r="V43" s="22"/>
      <c r="W43" s="22"/>
      <c r="X43" s="22"/>
      <c r="Y43" s="22"/>
      <c r="Z43" s="22"/>
    </row>
    <row r="44" ht="15.5" spans="17:26">
      <c r="Q44" s="21"/>
      <c r="R44" s="21"/>
      <c r="S44" s="22" t="s">
        <v>188</v>
      </c>
      <c r="T44" s="22" t="s">
        <v>189</v>
      </c>
      <c r="U44" s="22" t="s">
        <v>190</v>
      </c>
      <c r="V44" s="22" t="s">
        <v>191</v>
      </c>
      <c r="W44" s="22" t="s">
        <v>192</v>
      </c>
      <c r="X44" s="22" t="s">
        <v>193</v>
      </c>
      <c r="Y44" s="22" t="s">
        <v>194</v>
      </c>
      <c r="Z44" s="22" t="s">
        <v>195</v>
      </c>
    </row>
    <row r="45" ht="15.5" spans="17:26">
      <c r="Q45" s="21" t="s">
        <v>196</v>
      </c>
      <c r="R45" s="23" t="s">
        <v>197</v>
      </c>
      <c r="S45" s="24">
        <v>1211.3</v>
      </c>
      <c r="T45" s="24">
        <v>990.7</v>
      </c>
      <c r="U45" s="24">
        <v>952.4</v>
      </c>
      <c r="V45" s="24">
        <v>961</v>
      </c>
      <c r="W45" s="24">
        <v>958.7</v>
      </c>
      <c r="X45" s="24">
        <v>1030.2</v>
      </c>
      <c r="Y45" s="24">
        <v>586.1</v>
      </c>
      <c r="Z45" s="24">
        <v>775</v>
      </c>
    </row>
    <row r="46" ht="15.5" spans="17:26">
      <c r="Q46" s="21"/>
      <c r="R46" s="23" t="s">
        <v>198</v>
      </c>
      <c r="S46" s="24">
        <v>1103.7</v>
      </c>
      <c r="T46" s="24">
        <v>913.9</v>
      </c>
      <c r="U46" s="24">
        <v>881.1</v>
      </c>
      <c r="V46" s="24">
        <v>889.8</v>
      </c>
      <c r="W46" s="24">
        <v>886.2</v>
      </c>
      <c r="X46" s="24">
        <v>953.2</v>
      </c>
      <c r="Y46" s="24">
        <v>543.7</v>
      </c>
      <c r="Z46" s="24">
        <v>727.8</v>
      </c>
    </row>
    <row r="47" ht="15.5" spans="17:26">
      <c r="Q47" s="21"/>
      <c r="R47" s="23" t="s">
        <v>199</v>
      </c>
      <c r="S47" s="24">
        <v>267.3</v>
      </c>
      <c r="T47" s="24">
        <v>202.6</v>
      </c>
      <c r="U47" s="24">
        <v>191.3</v>
      </c>
      <c r="V47" s="24">
        <v>191.5</v>
      </c>
      <c r="W47" s="24">
        <v>185.9</v>
      </c>
      <c r="X47" s="24">
        <v>198.2</v>
      </c>
      <c r="Y47" s="24">
        <v>76.8</v>
      </c>
      <c r="Z47" s="24">
        <v>155.5</v>
      </c>
    </row>
    <row r="48" ht="15.5" spans="17:26">
      <c r="Q48" s="21"/>
      <c r="R48" s="23" t="s">
        <v>200</v>
      </c>
      <c r="S48" s="24">
        <v>692.5</v>
      </c>
      <c r="T48" s="24">
        <v>583.8</v>
      </c>
      <c r="U48" s="24">
        <v>556.1</v>
      </c>
      <c r="V48" s="24">
        <v>557.9</v>
      </c>
      <c r="W48" s="24">
        <v>550.5</v>
      </c>
      <c r="X48" s="24">
        <v>594.2</v>
      </c>
      <c r="Y48" s="24">
        <v>409.9</v>
      </c>
      <c r="Z48" s="24">
        <v>477</v>
      </c>
    </row>
    <row r="49" ht="15.5" spans="17:26">
      <c r="Q49" s="21"/>
      <c r="R49" s="23" t="s">
        <v>201</v>
      </c>
      <c r="S49" s="24">
        <v>144</v>
      </c>
      <c r="T49" s="24">
        <v>127.5</v>
      </c>
      <c r="U49" s="24">
        <v>133.7</v>
      </c>
      <c r="V49" s="24">
        <v>140.3</v>
      </c>
      <c r="W49" s="24">
        <v>149.9</v>
      </c>
      <c r="X49" s="24">
        <v>160.8</v>
      </c>
      <c r="Y49" s="24">
        <v>57</v>
      </c>
      <c r="Z49" s="24">
        <v>95.2</v>
      </c>
    </row>
    <row r="50" ht="15.5" spans="17:26">
      <c r="Q50" s="21" t="s">
        <v>202</v>
      </c>
      <c r="R50" s="23" t="s">
        <v>197</v>
      </c>
      <c r="S50" s="24">
        <v>1217.1</v>
      </c>
      <c r="T50" s="24">
        <v>996.4</v>
      </c>
      <c r="U50" s="24">
        <v>958.2</v>
      </c>
      <c r="V50" s="24">
        <v>966.8</v>
      </c>
      <c r="W50" s="24">
        <v>964.4</v>
      </c>
      <c r="X50" s="24">
        <v>1036</v>
      </c>
      <c r="Y50" s="24">
        <v>591.9</v>
      </c>
      <c r="Z50" s="24">
        <v>780.8</v>
      </c>
    </row>
    <row r="51" ht="15.5" spans="17:26">
      <c r="Q51" s="21"/>
      <c r="R51" s="23" t="s">
        <v>198</v>
      </c>
      <c r="S51" s="24">
        <v>1109.8</v>
      </c>
      <c r="T51" s="24">
        <v>920</v>
      </c>
      <c r="U51" s="24">
        <v>887.2</v>
      </c>
      <c r="V51" s="24">
        <v>895.9</v>
      </c>
      <c r="W51" s="24">
        <v>892.3</v>
      </c>
      <c r="X51" s="24">
        <v>959.3</v>
      </c>
      <c r="Y51" s="24">
        <v>549.8</v>
      </c>
      <c r="Z51" s="24">
        <v>733.9</v>
      </c>
    </row>
    <row r="52" ht="15.5" spans="17:26">
      <c r="Q52" s="21"/>
      <c r="R52" s="23" t="s">
        <v>199</v>
      </c>
      <c r="S52" s="24">
        <v>280.2</v>
      </c>
      <c r="T52" s="24">
        <v>215.6</v>
      </c>
      <c r="U52" s="24">
        <v>204.2</v>
      </c>
      <c r="V52" s="24">
        <v>204.5</v>
      </c>
      <c r="W52" s="24">
        <v>198.8</v>
      </c>
      <c r="X52" s="24">
        <v>211.1</v>
      </c>
      <c r="Y52" s="24">
        <v>89.8</v>
      </c>
      <c r="Z52" s="24">
        <v>168.5</v>
      </c>
    </row>
    <row r="53" ht="15.5" spans="17:26">
      <c r="Q53" s="21"/>
      <c r="R53" s="23" t="s">
        <v>200</v>
      </c>
      <c r="S53" s="24">
        <v>684.6</v>
      </c>
      <c r="T53" s="24">
        <v>575.9</v>
      </c>
      <c r="U53" s="24">
        <v>548.2</v>
      </c>
      <c r="V53" s="24">
        <v>550</v>
      </c>
      <c r="W53" s="24">
        <v>542.6</v>
      </c>
      <c r="X53" s="24">
        <v>586.3</v>
      </c>
      <c r="Y53" s="24">
        <v>402</v>
      </c>
      <c r="Z53" s="24">
        <v>469.1</v>
      </c>
    </row>
    <row r="54" ht="15.5" spans="17:26">
      <c r="Q54" s="21"/>
      <c r="R54" s="23" t="s">
        <v>201</v>
      </c>
      <c r="S54" s="24">
        <v>145</v>
      </c>
      <c r="T54" s="24">
        <v>128.5</v>
      </c>
      <c r="U54" s="24">
        <v>134.7</v>
      </c>
      <c r="V54" s="24">
        <v>141.3</v>
      </c>
      <c r="W54" s="24">
        <v>150.9</v>
      </c>
      <c r="X54" s="24">
        <v>161.9</v>
      </c>
      <c r="Y54" s="24">
        <v>58</v>
      </c>
      <c r="Z54" s="24">
        <v>96.3</v>
      </c>
    </row>
    <row r="55" ht="15.5" spans="17:26">
      <c r="Q55" s="21" t="s">
        <v>11</v>
      </c>
      <c r="R55" s="23" t="s">
        <v>197</v>
      </c>
      <c r="S55" s="24">
        <v>1222.2</v>
      </c>
      <c r="T55" s="24">
        <v>1001.5</v>
      </c>
      <c r="U55" s="24">
        <v>963.3</v>
      </c>
      <c r="V55" s="24">
        <v>971.9</v>
      </c>
      <c r="W55" s="24">
        <v>969.5</v>
      </c>
      <c r="X55" s="24">
        <v>1041.1</v>
      </c>
      <c r="Y55" s="24">
        <v>597</v>
      </c>
      <c r="Z55" s="24">
        <v>785.8</v>
      </c>
    </row>
    <row r="56" ht="15.5" spans="17:26">
      <c r="Q56" s="21"/>
      <c r="R56" s="23" t="s">
        <v>198</v>
      </c>
      <c r="S56" s="24">
        <v>1113.9</v>
      </c>
      <c r="T56" s="24">
        <v>924.1</v>
      </c>
      <c r="U56" s="24">
        <v>891.3</v>
      </c>
      <c r="V56" s="24">
        <v>900</v>
      </c>
      <c r="W56" s="24">
        <v>896.4</v>
      </c>
      <c r="X56" s="24">
        <v>963.4</v>
      </c>
      <c r="Y56" s="24">
        <v>553.9</v>
      </c>
      <c r="Z56" s="24">
        <v>738</v>
      </c>
    </row>
    <row r="57" ht="15.5" spans="17:26">
      <c r="Q57" s="21"/>
      <c r="R57" s="23" t="s">
        <v>199</v>
      </c>
      <c r="S57" s="24">
        <v>301.2</v>
      </c>
      <c r="T57" s="24">
        <v>236.6</v>
      </c>
      <c r="U57" s="24">
        <v>225.2</v>
      </c>
      <c r="V57" s="24">
        <v>225.5</v>
      </c>
      <c r="W57" s="24">
        <v>219.8</v>
      </c>
      <c r="X57" s="24">
        <v>232.2</v>
      </c>
      <c r="Y57" s="24">
        <v>110.8</v>
      </c>
      <c r="Z57" s="24">
        <v>189.5</v>
      </c>
    </row>
    <row r="58" ht="15.5" spans="17:26">
      <c r="Q58" s="21"/>
      <c r="R58" s="23" t="s">
        <v>200</v>
      </c>
      <c r="S58" s="24">
        <v>668.4</v>
      </c>
      <c r="T58" s="24">
        <v>559.8</v>
      </c>
      <c r="U58" s="24">
        <v>532.1</v>
      </c>
      <c r="V58" s="24">
        <v>533.9</v>
      </c>
      <c r="W58" s="24">
        <v>526.4</v>
      </c>
      <c r="X58" s="24">
        <v>570.2</v>
      </c>
      <c r="Y58" s="24">
        <v>385.8</v>
      </c>
      <c r="Z58" s="24">
        <v>453</v>
      </c>
    </row>
    <row r="59" ht="15.5" spans="17:26">
      <c r="Q59" s="21"/>
      <c r="R59" s="23" t="s">
        <v>201</v>
      </c>
      <c r="S59" s="24">
        <v>144.2</v>
      </c>
      <c r="T59" s="24">
        <v>127.7</v>
      </c>
      <c r="U59" s="24">
        <v>134</v>
      </c>
      <c r="V59" s="24">
        <v>140.6</v>
      </c>
      <c r="W59" s="24">
        <v>150.2</v>
      </c>
      <c r="X59" s="24">
        <v>161.1</v>
      </c>
      <c r="Y59" s="24">
        <v>57.2</v>
      </c>
      <c r="Z59" s="24">
        <v>95.5</v>
      </c>
    </row>
    <row r="60" ht="15.5" spans="17:26">
      <c r="Q60" s="22"/>
      <c r="R60" s="22"/>
      <c r="S60" s="24"/>
      <c r="T60" s="24"/>
      <c r="U60" s="24"/>
      <c r="V60" s="24"/>
      <c r="W60" s="24"/>
      <c r="X60" s="24"/>
      <c r="Y60" s="24"/>
      <c r="Z60" s="24"/>
    </row>
    <row r="61" ht="15.5" spans="17:26">
      <c r="Q61" s="22" t="s">
        <v>203</v>
      </c>
      <c r="R61" s="22"/>
      <c r="S61" s="22"/>
      <c r="T61" s="22"/>
      <c r="U61" s="22"/>
      <c r="V61" s="22"/>
      <c r="W61" s="22"/>
      <c r="X61" s="22"/>
      <c r="Y61" s="22"/>
      <c r="Z61" s="22"/>
    </row>
    <row r="62" ht="14.5" spans="17:26"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4.5" spans="17:26"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5" spans="17:26">
      <c r="Q64" s="20"/>
      <c r="R64" s="20"/>
      <c r="S64" s="22" t="s">
        <v>188</v>
      </c>
      <c r="T64" s="22" t="s">
        <v>189</v>
      </c>
      <c r="U64" s="22" t="s">
        <v>190</v>
      </c>
      <c r="V64" s="22" t="s">
        <v>191</v>
      </c>
      <c r="W64" s="22" t="s">
        <v>192</v>
      </c>
      <c r="X64" s="22" t="s">
        <v>193</v>
      </c>
      <c r="Y64" s="22" t="s">
        <v>194</v>
      </c>
      <c r="Z64" s="22" t="s">
        <v>195</v>
      </c>
    </row>
    <row r="65" ht="14.5" spans="17:26">
      <c r="Q65" s="25" t="s">
        <v>196</v>
      </c>
      <c r="R65" s="25" t="s">
        <v>60</v>
      </c>
      <c r="S65" s="26">
        <f t="shared" ref="S65:Z65" si="0">S45-S46</f>
        <v>107.6</v>
      </c>
      <c r="T65" s="27">
        <f t="shared" si="0"/>
        <v>76.8000000000001</v>
      </c>
      <c r="U65" s="27">
        <f t="shared" si="0"/>
        <v>71.3</v>
      </c>
      <c r="V65" s="27">
        <f t="shared" si="0"/>
        <v>71.2</v>
      </c>
      <c r="W65" s="27">
        <f t="shared" si="0"/>
        <v>72.5</v>
      </c>
      <c r="X65" s="27">
        <f t="shared" si="0"/>
        <v>77</v>
      </c>
      <c r="Y65" s="27">
        <f t="shared" si="0"/>
        <v>42.4</v>
      </c>
      <c r="Z65" s="27">
        <f t="shared" si="0"/>
        <v>47.2</v>
      </c>
    </row>
    <row r="66" ht="15.5" spans="17:26">
      <c r="Q66" s="25"/>
      <c r="R66" s="28" t="s">
        <v>199</v>
      </c>
      <c r="S66" s="26">
        <f t="shared" ref="S66:Z66" si="1">S47</f>
        <v>267.3</v>
      </c>
      <c r="T66" s="27">
        <f t="shared" si="1"/>
        <v>202.6</v>
      </c>
      <c r="U66" s="27">
        <f t="shared" si="1"/>
        <v>191.3</v>
      </c>
      <c r="V66" s="27">
        <f t="shared" si="1"/>
        <v>191.5</v>
      </c>
      <c r="W66" s="27">
        <f t="shared" si="1"/>
        <v>185.9</v>
      </c>
      <c r="X66" s="27">
        <f t="shared" si="1"/>
        <v>198.2</v>
      </c>
      <c r="Y66" s="27">
        <f t="shared" si="1"/>
        <v>76.8</v>
      </c>
      <c r="Z66" s="27">
        <f t="shared" si="1"/>
        <v>155.5</v>
      </c>
    </row>
    <row r="67" ht="15.5" spans="17:26">
      <c r="Q67" s="25"/>
      <c r="R67" s="28" t="s">
        <v>200</v>
      </c>
      <c r="S67" s="26">
        <f t="shared" ref="S67:Z67" si="2">S48</f>
        <v>692.5</v>
      </c>
      <c r="T67" s="27">
        <f t="shared" si="2"/>
        <v>583.8</v>
      </c>
      <c r="U67" s="27">
        <f t="shared" si="2"/>
        <v>556.1</v>
      </c>
      <c r="V67" s="27">
        <f t="shared" si="2"/>
        <v>557.9</v>
      </c>
      <c r="W67" s="27">
        <f t="shared" si="2"/>
        <v>550.5</v>
      </c>
      <c r="X67" s="27">
        <f t="shared" si="2"/>
        <v>594.2</v>
      </c>
      <c r="Y67" s="27">
        <f t="shared" si="2"/>
        <v>409.9</v>
      </c>
      <c r="Z67" s="27">
        <f t="shared" si="2"/>
        <v>477</v>
      </c>
    </row>
    <row r="68" ht="15.5" spans="17:26">
      <c r="Q68" s="25"/>
      <c r="R68" s="28" t="s">
        <v>201</v>
      </c>
      <c r="S68" s="26">
        <f t="shared" ref="S68:Z68" si="3">S49</f>
        <v>144</v>
      </c>
      <c r="T68" s="27">
        <f t="shared" si="3"/>
        <v>127.5</v>
      </c>
      <c r="U68" s="27">
        <f t="shared" si="3"/>
        <v>133.7</v>
      </c>
      <c r="V68" s="27">
        <f t="shared" si="3"/>
        <v>140.3</v>
      </c>
      <c r="W68" s="27">
        <f t="shared" si="3"/>
        <v>149.9</v>
      </c>
      <c r="X68" s="27">
        <f t="shared" si="3"/>
        <v>160.8</v>
      </c>
      <c r="Y68" s="27">
        <f t="shared" si="3"/>
        <v>57</v>
      </c>
      <c r="Z68" s="27">
        <f t="shared" si="3"/>
        <v>95.2</v>
      </c>
    </row>
    <row r="69" ht="14.5" spans="17:26">
      <c r="Q69" s="25" t="s">
        <v>202</v>
      </c>
      <c r="R69" s="25" t="s">
        <v>60</v>
      </c>
      <c r="S69" s="26">
        <f t="shared" ref="S69:Z69" si="4">S50-S51</f>
        <v>107.3</v>
      </c>
      <c r="T69" s="27">
        <f t="shared" si="4"/>
        <v>76.4</v>
      </c>
      <c r="U69" s="27">
        <f t="shared" si="4"/>
        <v>71</v>
      </c>
      <c r="V69" s="27">
        <f t="shared" si="4"/>
        <v>70.9</v>
      </c>
      <c r="W69" s="27">
        <f t="shared" si="4"/>
        <v>72.1</v>
      </c>
      <c r="X69" s="27">
        <f t="shared" si="4"/>
        <v>76.7</v>
      </c>
      <c r="Y69" s="27">
        <f t="shared" si="4"/>
        <v>42.1</v>
      </c>
      <c r="Z69" s="27">
        <f t="shared" si="4"/>
        <v>46.9</v>
      </c>
    </row>
    <row r="70" ht="15.5" spans="17:26">
      <c r="Q70" s="25"/>
      <c r="R70" s="28" t="s">
        <v>199</v>
      </c>
      <c r="S70" s="26">
        <f t="shared" ref="S70:Z70" si="5">S52</f>
        <v>280.2</v>
      </c>
      <c r="T70" s="27">
        <f t="shared" si="5"/>
        <v>215.6</v>
      </c>
      <c r="U70" s="27">
        <f t="shared" si="5"/>
        <v>204.2</v>
      </c>
      <c r="V70" s="27">
        <f t="shared" si="5"/>
        <v>204.5</v>
      </c>
      <c r="W70" s="27">
        <f t="shared" si="5"/>
        <v>198.8</v>
      </c>
      <c r="X70" s="27">
        <f t="shared" si="5"/>
        <v>211.1</v>
      </c>
      <c r="Y70" s="27">
        <f t="shared" si="5"/>
        <v>89.8</v>
      </c>
      <c r="Z70" s="27">
        <f t="shared" si="5"/>
        <v>168.5</v>
      </c>
    </row>
    <row r="71" ht="15.5" spans="17:26">
      <c r="Q71" s="25"/>
      <c r="R71" s="28" t="s">
        <v>200</v>
      </c>
      <c r="S71" s="26">
        <f t="shared" ref="S71:Z71" si="6">S53</f>
        <v>684.6</v>
      </c>
      <c r="T71" s="27">
        <f t="shared" si="6"/>
        <v>575.9</v>
      </c>
      <c r="U71" s="27">
        <f t="shared" si="6"/>
        <v>548.2</v>
      </c>
      <c r="V71" s="27">
        <f t="shared" si="6"/>
        <v>550</v>
      </c>
      <c r="W71" s="27">
        <f t="shared" si="6"/>
        <v>542.6</v>
      </c>
      <c r="X71" s="27">
        <f t="shared" si="6"/>
        <v>586.3</v>
      </c>
      <c r="Y71" s="27">
        <f t="shared" si="6"/>
        <v>402</v>
      </c>
      <c r="Z71" s="27">
        <f t="shared" si="6"/>
        <v>469.1</v>
      </c>
    </row>
    <row r="72" ht="15.5" spans="17:26">
      <c r="Q72" s="25"/>
      <c r="R72" s="28" t="s">
        <v>201</v>
      </c>
      <c r="S72" s="26">
        <f t="shared" ref="S72:Z72" si="7">S54</f>
        <v>145</v>
      </c>
      <c r="T72" s="27">
        <f t="shared" si="7"/>
        <v>128.5</v>
      </c>
      <c r="U72" s="27">
        <f t="shared" si="7"/>
        <v>134.7</v>
      </c>
      <c r="V72" s="27">
        <f t="shared" si="7"/>
        <v>141.3</v>
      </c>
      <c r="W72" s="27">
        <f t="shared" si="7"/>
        <v>150.9</v>
      </c>
      <c r="X72" s="27">
        <f t="shared" si="7"/>
        <v>161.9</v>
      </c>
      <c r="Y72" s="27">
        <f t="shared" si="7"/>
        <v>58</v>
      </c>
      <c r="Z72" s="27">
        <f t="shared" si="7"/>
        <v>96.3</v>
      </c>
    </row>
    <row r="73" ht="14.5" spans="17:26">
      <c r="Q73" s="25" t="s">
        <v>11</v>
      </c>
      <c r="R73" s="25" t="s">
        <v>60</v>
      </c>
      <c r="S73" s="26">
        <f t="shared" ref="S73:Z73" si="8">S55-S56</f>
        <v>108.3</v>
      </c>
      <c r="T73" s="27">
        <f t="shared" si="8"/>
        <v>77.4</v>
      </c>
      <c r="U73" s="27">
        <f t="shared" si="8"/>
        <v>72</v>
      </c>
      <c r="V73" s="27">
        <f t="shared" si="8"/>
        <v>71.9</v>
      </c>
      <c r="W73" s="27">
        <f t="shared" si="8"/>
        <v>73.1</v>
      </c>
      <c r="X73" s="27">
        <f t="shared" si="8"/>
        <v>77.6999999999999</v>
      </c>
      <c r="Y73" s="27">
        <f t="shared" si="8"/>
        <v>43.1</v>
      </c>
      <c r="Z73" s="27">
        <f t="shared" si="8"/>
        <v>47.8</v>
      </c>
    </row>
    <row r="74" ht="15.5" spans="17:26">
      <c r="Q74" s="25"/>
      <c r="R74" s="28" t="s">
        <v>199</v>
      </c>
      <c r="S74" s="26">
        <f t="shared" ref="S74:Z74" si="9">S57</f>
        <v>301.2</v>
      </c>
      <c r="T74" s="27">
        <f t="shared" si="9"/>
        <v>236.6</v>
      </c>
      <c r="U74" s="27">
        <f t="shared" si="9"/>
        <v>225.2</v>
      </c>
      <c r="V74" s="27">
        <f t="shared" si="9"/>
        <v>225.5</v>
      </c>
      <c r="W74" s="27">
        <f t="shared" si="9"/>
        <v>219.8</v>
      </c>
      <c r="X74" s="27">
        <f t="shared" si="9"/>
        <v>232.2</v>
      </c>
      <c r="Y74" s="27">
        <f t="shared" si="9"/>
        <v>110.8</v>
      </c>
      <c r="Z74" s="27">
        <f t="shared" si="9"/>
        <v>189.5</v>
      </c>
    </row>
    <row r="75" ht="15.5" spans="17:26">
      <c r="Q75" s="25"/>
      <c r="R75" s="28" t="s">
        <v>200</v>
      </c>
      <c r="S75" s="26">
        <f t="shared" ref="S75:Z75" si="10">S58</f>
        <v>668.4</v>
      </c>
      <c r="T75" s="27">
        <f t="shared" si="10"/>
        <v>559.8</v>
      </c>
      <c r="U75" s="27">
        <f t="shared" si="10"/>
        <v>532.1</v>
      </c>
      <c r="V75" s="27">
        <f t="shared" si="10"/>
        <v>533.9</v>
      </c>
      <c r="W75" s="27">
        <f t="shared" si="10"/>
        <v>526.4</v>
      </c>
      <c r="X75" s="27">
        <f t="shared" si="10"/>
        <v>570.2</v>
      </c>
      <c r="Y75" s="27">
        <f t="shared" si="10"/>
        <v>385.8</v>
      </c>
      <c r="Z75" s="27">
        <f t="shared" si="10"/>
        <v>453</v>
      </c>
    </row>
    <row r="76" ht="15.5" spans="17:26">
      <c r="Q76" s="25"/>
      <c r="R76" s="28" t="s">
        <v>201</v>
      </c>
      <c r="S76" s="26">
        <f t="shared" ref="S76:Z76" si="11">S59</f>
        <v>144.2</v>
      </c>
      <c r="T76" s="27">
        <f t="shared" si="11"/>
        <v>127.7</v>
      </c>
      <c r="U76" s="27">
        <f t="shared" si="11"/>
        <v>134</v>
      </c>
      <c r="V76" s="27">
        <f t="shared" si="11"/>
        <v>140.6</v>
      </c>
      <c r="W76" s="27">
        <f t="shared" si="11"/>
        <v>150.2</v>
      </c>
      <c r="X76" s="27">
        <f t="shared" si="11"/>
        <v>161.1</v>
      </c>
      <c r="Y76" s="27">
        <f t="shared" si="11"/>
        <v>57.2</v>
      </c>
      <c r="Z76" s="27">
        <f t="shared" si="11"/>
        <v>95.5</v>
      </c>
    </row>
    <row r="77" ht="14.5" spans="17:26"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4.5" spans="17:26"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4.5" spans="17:26">
      <c r="Q79" s="25" t="s">
        <v>204</v>
      </c>
      <c r="R79" s="25" t="s">
        <v>60</v>
      </c>
      <c r="S79" s="29">
        <f t="shared" ref="S79:Z79" si="12">AVERAGE(S65,S69,S73)</f>
        <v>107.733333333333</v>
      </c>
      <c r="T79" s="20">
        <f t="shared" si="12"/>
        <v>76.8666666666667</v>
      </c>
      <c r="U79" s="20">
        <f t="shared" si="12"/>
        <v>71.4333333333333</v>
      </c>
      <c r="V79" s="20">
        <f t="shared" si="12"/>
        <v>71.3333333333333</v>
      </c>
      <c r="W79" s="20">
        <f t="shared" si="12"/>
        <v>72.5666666666667</v>
      </c>
      <c r="X79" s="20">
        <f t="shared" si="12"/>
        <v>77.1333333333333</v>
      </c>
      <c r="Y79" s="20">
        <f t="shared" si="12"/>
        <v>42.5333333333333</v>
      </c>
      <c r="Z79" s="20">
        <f t="shared" si="12"/>
        <v>47.3</v>
      </c>
    </row>
    <row r="80" ht="15.5" spans="17:26">
      <c r="Q80" s="25"/>
      <c r="R80" s="28" t="s">
        <v>199</v>
      </c>
      <c r="S80" s="29">
        <f t="shared" ref="S80:Z80" si="13">AVERAGE(S66,S70,S74)</f>
        <v>282.9</v>
      </c>
      <c r="T80" s="20">
        <f t="shared" si="13"/>
        <v>218.266666666667</v>
      </c>
      <c r="U80" s="20">
        <f t="shared" si="13"/>
        <v>206.9</v>
      </c>
      <c r="V80" s="20">
        <f t="shared" si="13"/>
        <v>207.166666666667</v>
      </c>
      <c r="W80" s="20">
        <f t="shared" si="13"/>
        <v>201.5</v>
      </c>
      <c r="X80" s="20">
        <f t="shared" si="13"/>
        <v>213.833333333333</v>
      </c>
      <c r="Y80" s="20">
        <f t="shared" si="13"/>
        <v>92.4666666666667</v>
      </c>
      <c r="Z80" s="20">
        <f t="shared" si="13"/>
        <v>171.166666666667</v>
      </c>
    </row>
    <row r="81" ht="15.5" spans="17:26">
      <c r="Q81" s="25"/>
      <c r="R81" s="28" t="s">
        <v>200</v>
      </c>
      <c r="S81" s="29">
        <f t="shared" ref="S81:Z81" si="14">AVERAGE(S67,S71,S75)</f>
        <v>681.833333333333</v>
      </c>
      <c r="T81" s="20">
        <f t="shared" si="14"/>
        <v>573.166666666667</v>
      </c>
      <c r="U81" s="20">
        <f t="shared" si="14"/>
        <v>545.466666666667</v>
      </c>
      <c r="V81" s="20">
        <f t="shared" si="14"/>
        <v>547.266666666667</v>
      </c>
      <c r="W81" s="20">
        <f t="shared" si="14"/>
        <v>539.833333333333</v>
      </c>
      <c r="X81" s="20">
        <f t="shared" si="14"/>
        <v>583.566666666667</v>
      </c>
      <c r="Y81" s="20">
        <f t="shared" si="14"/>
        <v>399.233333333333</v>
      </c>
      <c r="Z81" s="20">
        <f t="shared" si="14"/>
        <v>466.366666666667</v>
      </c>
    </row>
    <row r="82" ht="15.5" spans="17:26">
      <c r="Q82" s="25"/>
      <c r="R82" s="28" t="s">
        <v>201</v>
      </c>
      <c r="S82" s="29">
        <f t="shared" ref="S82:Z82" si="15">AVERAGE(S68,S72,S76)</f>
        <v>144.4</v>
      </c>
      <c r="T82" s="20">
        <f t="shared" si="15"/>
        <v>127.9</v>
      </c>
      <c r="U82" s="20">
        <f t="shared" si="15"/>
        <v>134.133333333333</v>
      </c>
      <c r="V82" s="20">
        <f t="shared" si="15"/>
        <v>140.733333333333</v>
      </c>
      <c r="W82" s="20">
        <f t="shared" si="15"/>
        <v>150.333333333333</v>
      </c>
      <c r="X82" s="20">
        <f t="shared" si="15"/>
        <v>161.266666666667</v>
      </c>
      <c r="Y82" s="20">
        <f t="shared" si="15"/>
        <v>57.4</v>
      </c>
      <c r="Z82" s="20">
        <f t="shared" si="15"/>
        <v>95.6666666666667</v>
      </c>
    </row>
  </sheetData>
  <mergeCells count="9">
    <mergeCell ref="Q43:Q44"/>
    <mergeCell ref="Q45:Q49"/>
    <mergeCell ref="Q50:Q54"/>
    <mergeCell ref="Q55:Q59"/>
    <mergeCell ref="Q65:Q68"/>
    <mergeCell ref="Q69:Q72"/>
    <mergeCell ref="Q73:Q76"/>
    <mergeCell ref="Q79:Q82"/>
    <mergeCell ref="R43:R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Dell Computer Corporation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TechSelection</vt:lpstr>
      <vt:lpstr>Road transport</vt:lpstr>
      <vt:lpstr>RoadTra_BY</vt:lpstr>
      <vt:lpstr>added_EnergyUse_for_Manu_Recy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2001-09-28T18:48:00Z</dcterms:created>
  <cp:lastPrinted>2001-09-28T20:39:00Z</cp:lastPrinted>
  <dcterms:modified xsi:type="dcterms:W3CDTF">2025-12-03T15:52:20Z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{EB3971F8-0E88-4138-9B5F-5661BAE86EB6}</vt:lpwstr>
  </property>
  <property fmtid="{D5CDD505-2E9C-101B-9397-08002B2CF9AE}" pid="3" name="SaveCode">
    <vt:r8>471264078594048</vt:r8>
  </property>
  <property fmtid="{D5CDD505-2E9C-101B-9397-08002B2CF9AE}" pid="4" name="ICV">
    <vt:lpwstr>45D5F3D94C4940779DA6D9ECCC51C81A_12</vt:lpwstr>
  </property>
  <property fmtid="{D5CDD505-2E9C-101B-9397-08002B2CF9AE}" pid="5" name="KSOProductBuildVer">
    <vt:lpwstr>1033-12.2.0.23155</vt:lpwstr>
  </property>
</Properties>
</file>