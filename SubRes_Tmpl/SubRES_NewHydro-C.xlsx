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IEMM\MIG_KiNESYS\IEMM_V70_KiNESYS_CEA-11-2\SubRes_Tmpl\"/>
    </mc:Choice>
  </mc:AlternateContent>
  <xr:revisionPtr revIDLastSave="0" documentId="13_ncr:1_{C612B761-9604-4AAC-AE54-4D5E5C282064}" xr6:coauthVersionLast="47" xr6:coauthVersionMax="47" xr10:uidLastSave="{00000000-0000-0000-0000-000000000000}"/>
  <bookViews>
    <workbookView xWindow="3920" yWindow="3920" windowWidth="28800" windowHeight="15380" xr2:uid="{00000000-000D-0000-FFFF-FFFF00000000}"/>
  </bookViews>
  <sheets>
    <sheet name="ELC_NewHydro" sheetId="2" r:id="rId1"/>
    <sheet name="ELC_BuildRate" sheetId="4" r:id="rId2"/>
  </sheets>
  <definedNames>
    <definedName name="_xlnm._FilterDatabase" localSheetId="0" hidden="1">ELC_NewHydro!$J$4:$N$460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4" l="1"/>
  <c r="O49" i="4" s="1"/>
  <c r="O58" i="4" s="1"/>
  <c r="O67" i="4" s="1"/>
  <c r="O76" i="4" s="1"/>
  <c r="O85" i="4" s="1"/>
  <c r="O94" i="4" s="1"/>
  <c r="O103" i="4" s="1"/>
  <c r="O112" i="4" s="1"/>
  <c r="O121" i="4" s="1"/>
  <c r="O130" i="4" s="1"/>
  <c r="O139" i="4" s="1"/>
  <c r="O148" i="4" s="1"/>
  <c r="N37" i="4"/>
  <c r="N46" i="4" s="1"/>
  <c r="N55" i="4" s="1"/>
  <c r="N64" i="4" s="1"/>
  <c r="N73" i="4" s="1"/>
  <c r="N82" i="4" s="1"/>
  <c r="N91" i="4" s="1"/>
  <c r="N100" i="4" s="1"/>
  <c r="N109" i="4" s="1"/>
  <c r="N118" i="4" s="1"/>
  <c r="N127" i="4" s="1"/>
  <c r="N136" i="4" s="1"/>
  <c r="N145" i="4" s="1"/>
  <c r="B33" i="4"/>
  <c r="B42" i="4" s="1"/>
  <c r="Q31" i="4"/>
  <c r="Q40" i="4" s="1"/>
  <c r="Q49" i="4" s="1"/>
  <c r="Q58" i="4" s="1"/>
  <c r="Q67" i="4" s="1"/>
  <c r="Q76" i="4" s="1"/>
  <c r="Q85" i="4" s="1"/>
  <c r="Q94" i="4" s="1"/>
  <c r="Q103" i="4" s="1"/>
  <c r="Q112" i="4" s="1"/>
  <c r="Q121" i="4" s="1"/>
  <c r="Q130" i="4" s="1"/>
  <c r="Q139" i="4" s="1"/>
  <c r="Q148" i="4" s="1"/>
  <c r="N30" i="4"/>
  <c r="N39" i="4" s="1"/>
  <c r="N48" i="4" s="1"/>
  <c r="N57" i="4" s="1"/>
  <c r="N66" i="4" s="1"/>
  <c r="N75" i="4" s="1"/>
  <c r="N84" i="4" s="1"/>
  <c r="N93" i="4" s="1"/>
  <c r="N102" i="4" s="1"/>
  <c r="N111" i="4" s="1"/>
  <c r="N120" i="4" s="1"/>
  <c r="N129" i="4" s="1"/>
  <c r="N138" i="4" s="1"/>
  <c r="N147" i="4" s="1"/>
  <c r="B30" i="4"/>
  <c r="P28" i="4"/>
  <c r="P37" i="4" s="1"/>
  <c r="P46" i="4" s="1"/>
  <c r="P55" i="4" s="1"/>
  <c r="P64" i="4" s="1"/>
  <c r="P73" i="4" s="1"/>
  <c r="P82" i="4" s="1"/>
  <c r="P91" i="4" s="1"/>
  <c r="P100" i="4" s="1"/>
  <c r="P109" i="4" s="1"/>
  <c r="P118" i="4" s="1"/>
  <c r="P127" i="4" s="1"/>
  <c r="P136" i="4" s="1"/>
  <c r="P145" i="4" s="1"/>
  <c r="A27" i="4"/>
  <c r="A36" i="4" s="1"/>
  <c r="A45" i="4" s="1"/>
  <c r="A54" i="4" s="1"/>
  <c r="A63" i="4" s="1"/>
  <c r="A72" i="4" s="1"/>
  <c r="A81" i="4" s="1"/>
  <c r="A90" i="4" s="1"/>
  <c r="A99" i="4" s="1"/>
  <c r="A108" i="4" s="1"/>
  <c r="A117" i="4" s="1"/>
  <c r="A126" i="4" s="1"/>
  <c r="A135" i="4" s="1"/>
  <c r="A144" i="4" s="1"/>
  <c r="O25" i="4"/>
  <c r="O34" i="4" s="1"/>
  <c r="O43" i="4" s="1"/>
  <c r="O52" i="4" s="1"/>
  <c r="O61" i="4" s="1"/>
  <c r="O70" i="4" s="1"/>
  <c r="O79" i="4" s="1"/>
  <c r="O88" i="4" s="1"/>
  <c r="O97" i="4" s="1"/>
  <c r="O106" i="4" s="1"/>
  <c r="O115" i="4" s="1"/>
  <c r="O124" i="4" s="1"/>
  <c r="O133" i="4" s="1"/>
  <c r="O142" i="4" s="1"/>
  <c r="P24" i="4"/>
  <c r="P33" i="4" s="1"/>
  <c r="P42" i="4" s="1"/>
  <c r="P51" i="4" s="1"/>
  <c r="P60" i="4" s="1"/>
  <c r="P69" i="4" s="1"/>
  <c r="P78" i="4" s="1"/>
  <c r="P87" i="4" s="1"/>
  <c r="P96" i="4" s="1"/>
  <c r="P105" i="4" s="1"/>
  <c r="P114" i="4" s="1"/>
  <c r="P123" i="4" s="1"/>
  <c r="P132" i="4" s="1"/>
  <c r="P141" i="4" s="1"/>
  <c r="N24" i="4"/>
  <c r="N33" i="4" s="1"/>
  <c r="N42" i="4" s="1"/>
  <c r="N51" i="4" s="1"/>
  <c r="N60" i="4" s="1"/>
  <c r="N69" i="4" s="1"/>
  <c r="N78" i="4" s="1"/>
  <c r="N87" i="4" s="1"/>
  <c r="N96" i="4" s="1"/>
  <c r="N105" i="4" s="1"/>
  <c r="N114" i="4" s="1"/>
  <c r="N123" i="4" s="1"/>
  <c r="N132" i="4" s="1"/>
  <c r="N141" i="4" s="1"/>
  <c r="Q22" i="4"/>
  <c r="P22" i="4"/>
  <c r="P31" i="4" s="1"/>
  <c r="P40" i="4" s="1"/>
  <c r="P49" i="4" s="1"/>
  <c r="P58" i="4" s="1"/>
  <c r="P67" i="4" s="1"/>
  <c r="P76" i="4" s="1"/>
  <c r="P85" i="4" s="1"/>
  <c r="P94" i="4" s="1"/>
  <c r="P103" i="4" s="1"/>
  <c r="P112" i="4" s="1"/>
  <c r="P121" i="4" s="1"/>
  <c r="P130" i="4" s="1"/>
  <c r="P139" i="4" s="1"/>
  <c r="P148" i="4" s="1"/>
  <c r="O22" i="4"/>
  <c r="O31" i="4" s="1"/>
  <c r="N22" i="4"/>
  <c r="N31" i="4" s="1"/>
  <c r="N40" i="4" s="1"/>
  <c r="N49" i="4" s="1"/>
  <c r="N58" i="4" s="1"/>
  <c r="N67" i="4" s="1"/>
  <c r="N76" i="4" s="1"/>
  <c r="N85" i="4" s="1"/>
  <c r="N94" i="4" s="1"/>
  <c r="N103" i="4" s="1"/>
  <c r="N112" i="4" s="1"/>
  <c r="N121" i="4" s="1"/>
  <c r="N130" i="4" s="1"/>
  <c r="N139" i="4" s="1"/>
  <c r="N148" i="4" s="1"/>
  <c r="B22" i="4"/>
  <c r="B31" i="4" s="1"/>
  <c r="A22" i="4"/>
  <c r="A31" i="4" s="1"/>
  <c r="A40" i="4" s="1"/>
  <c r="A49" i="4" s="1"/>
  <c r="A58" i="4" s="1"/>
  <c r="A67" i="4" s="1"/>
  <c r="A76" i="4" s="1"/>
  <c r="A85" i="4" s="1"/>
  <c r="A94" i="4" s="1"/>
  <c r="A103" i="4" s="1"/>
  <c r="A112" i="4" s="1"/>
  <c r="A121" i="4" s="1"/>
  <c r="A130" i="4" s="1"/>
  <c r="A139" i="4" s="1"/>
  <c r="A148" i="4" s="1"/>
  <c r="Q21" i="4"/>
  <c r="Q30" i="4" s="1"/>
  <c r="Q39" i="4" s="1"/>
  <c r="Q48" i="4" s="1"/>
  <c r="Q57" i="4" s="1"/>
  <c r="Q66" i="4" s="1"/>
  <c r="Q75" i="4" s="1"/>
  <c r="Q84" i="4" s="1"/>
  <c r="Q93" i="4" s="1"/>
  <c r="Q102" i="4" s="1"/>
  <c r="Q111" i="4" s="1"/>
  <c r="Q120" i="4" s="1"/>
  <c r="Q129" i="4" s="1"/>
  <c r="Q138" i="4" s="1"/>
  <c r="Q147" i="4" s="1"/>
  <c r="P21" i="4"/>
  <c r="P30" i="4" s="1"/>
  <c r="P39" i="4" s="1"/>
  <c r="P48" i="4" s="1"/>
  <c r="P57" i="4" s="1"/>
  <c r="P66" i="4" s="1"/>
  <c r="P75" i="4" s="1"/>
  <c r="P84" i="4" s="1"/>
  <c r="P93" i="4" s="1"/>
  <c r="P102" i="4" s="1"/>
  <c r="P111" i="4" s="1"/>
  <c r="P120" i="4" s="1"/>
  <c r="P129" i="4" s="1"/>
  <c r="P138" i="4" s="1"/>
  <c r="P147" i="4" s="1"/>
  <c r="O21" i="4"/>
  <c r="O30" i="4" s="1"/>
  <c r="O39" i="4" s="1"/>
  <c r="O48" i="4" s="1"/>
  <c r="O57" i="4" s="1"/>
  <c r="O66" i="4" s="1"/>
  <c r="O75" i="4" s="1"/>
  <c r="O84" i="4" s="1"/>
  <c r="O93" i="4" s="1"/>
  <c r="O102" i="4" s="1"/>
  <c r="O111" i="4" s="1"/>
  <c r="O120" i="4" s="1"/>
  <c r="O129" i="4" s="1"/>
  <c r="O138" i="4" s="1"/>
  <c r="O147" i="4" s="1"/>
  <c r="N21" i="4"/>
  <c r="B21" i="4"/>
  <c r="A21" i="4"/>
  <c r="A30" i="4" s="1"/>
  <c r="A39" i="4" s="1"/>
  <c r="A48" i="4" s="1"/>
  <c r="A57" i="4" s="1"/>
  <c r="A66" i="4" s="1"/>
  <c r="A75" i="4" s="1"/>
  <c r="A84" i="4" s="1"/>
  <c r="A93" i="4" s="1"/>
  <c r="A102" i="4" s="1"/>
  <c r="A111" i="4" s="1"/>
  <c r="A120" i="4" s="1"/>
  <c r="A129" i="4" s="1"/>
  <c r="A138" i="4" s="1"/>
  <c r="A147" i="4" s="1"/>
  <c r="Q20" i="4"/>
  <c r="Q29" i="4" s="1"/>
  <c r="Q38" i="4" s="1"/>
  <c r="Q47" i="4" s="1"/>
  <c r="Q56" i="4" s="1"/>
  <c r="Q65" i="4" s="1"/>
  <c r="Q74" i="4" s="1"/>
  <c r="Q83" i="4" s="1"/>
  <c r="Q92" i="4" s="1"/>
  <c r="Q101" i="4" s="1"/>
  <c r="Q110" i="4" s="1"/>
  <c r="Q119" i="4" s="1"/>
  <c r="Q128" i="4" s="1"/>
  <c r="Q137" i="4" s="1"/>
  <c r="Q146" i="4" s="1"/>
  <c r="P20" i="4"/>
  <c r="P29" i="4" s="1"/>
  <c r="P38" i="4" s="1"/>
  <c r="P47" i="4" s="1"/>
  <c r="P56" i="4" s="1"/>
  <c r="P65" i="4" s="1"/>
  <c r="P74" i="4" s="1"/>
  <c r="P83" i="4" s="1"/>
  <c r="P92" i="4" s="1"/>
  <c r="P101" i="4" s="1"/>
  <c r="P110" i="4" s="1"/>
  <c r="P119" i="4" s="1"/>
  <c r="P128" i="4" s="1"/>
  <c r="P137" i="4" s="1"/>
  <c r="P146" i="4" s="1"/>
  <c r="O20" i="4"/>
  <c r="O29" i="4" s="1"/>
  <c r="O38" i="4" s="1"/>
  <c r="O47" i="4" s="1"/>
  <c r="O56" i="4" s="1"/>
  <c r="O65" i="4" s="1"/>
  <c r="O74" i="4" s="1"/>
  <c r="O83" i="4" s="1"/>
  <c r="O92" i="4" s="1"/>
  <c r="O101" i="4" s="1"/>
  <c r="O110" i="4" s="1"/>
  <c r="O119" i="4" s="1"/>
  <c r="O128" i="4" s="1"/>
  <c r="O137" i="4" s="1"/>
  <c r="O146" i="4" s="1"/>
  <c r="N20" i="4"/>
  <c r="N29" i="4" s="1"/>
  <c r="N38" i="4" s="1"/>
  <c r="N47" i="4" s="1"/>
  <c r="N56" i="4" s="1"/>
  <c r="N65" i="4" s="1"/>
  <c r="N74" i="4" s="1"/>
  <c r="N83" i="4" s="1"/>
  <c r="N92" i="4" s="1"/>
  <c r="N101" i="4" s="1"/>
  <c r="N110" i="4" s="1"/>
  <c r="N119" i="4" s="1"/>
  <c r="N128" i="4" s="1"/>
  <c r="N137" i="4" s="1"/>
  <c r="N146" i="4" s="1"/>
  <c r="B20" i="4"/>
  <c r="A20" i="4"/>
  <c r="A29" i="4" s="1"/>
  <c r="A38" i="4" s="1"/>
  <c r="A47" i="4" s="1"/>
  <c r="A56" i="4" s="1"/>
  <c r="A65" i="4" s="1"/>
  <c r="A74" i="4" s="1"/>
  <c r="A83" i="4" s="1"/>
  <c r="A92" i="4" s="1"/>
  <c r="A101" i="4" s="1"/>
  <c r="A110" i="4" s="1"/>
  <c r="A119" i="4" s="1"/>
  <c r="A128" i="4" s="1"/>
  <c r="A137" i="4" s="1"/>
  <c r="A146" i="4" s="1"/>
  <c r="Q19" i="4"/>
  <c r="Q28" i="4" s="1"/>
  <c r="Q37" i="4" s="1"/>
  <c r="Q46" i="4" s="1"/>
  <c r="Q55" i="4" s="1"/>
  <c r="Q64" i="4" s="1"/>
  <c r="Q73" i="4" s="1"/>
  <c r="Q82" i="4" s="1"/>
  <c r="Q91" i="4" s="1"/>
  <c r="Q100" i="4" s="1"/>
  <c r="Q109" i="4" s="1"/>
  <c r="Q118" i="4" s="1"/>
  <c r="Q127" i="4" s="1"/>
  <c r="Q136" i="4" s="1"/>
  <c r="Q145" i="4" s="1"/>
  <c r="P19" i="4"/>
  <c r="O19" i="4"/>
  <c r="O28" i="4" s="1"/>
  <c r="O37" i="4" s="1"/>
  <c r="O46" i="4" s="1"/>
  <c r="O55" i="4" s="1"/>
  <c r="O64" i="4" s="1"/>
  <c r="O73" i="4" s="1"/>
  <c r="O82" i="4" s="1"/>
  <c r="O91" i="4" s="1"/>
  <c r="O100" i="4" s="1"/>
  <c r="O109" i="4" s="1"/>
  <c r="O118" i="4" s="1"/>
  <c r="O127" i="4" s="1"/>
  <c r="O136" i="4" s="1"/>
  <c r="O145" i="4" s="1"/>
  <c r="N19" i="4"/>
  <c r="N28" i="4" s="1"/>
  <c r="B19" i="4"/>
  <c r="B28" i="4" s="1"/>
  <c r="B37" i="4" s="1"/>
  <c r="A19" i="4"/>
  <c r="A28" i="4" s="1"/>
  <c r="A37" i="4" s="1"/>
  <c r="A46" i="4" s="1"/>
  <c r="A55" i="4" s="1"/>
  <c r="A64" i="4" s="1"/>
  <c r="A73" i="4" s="1"/>
  <c r="A82" i="4" s="1"/>
  <c r="A91" i="4" s="1"/>
  <c r="A100" i="4" s="1"/>
  <c r="A109" i="4" s="1"/>
  <c r="A118" i="4" s="1"/>
  <c r="A127" i="4" s="1"/>
  <c r="A136" i="4" s="1"/>
  <c r="A145" i="4" s="1"/>
  <c r="Q18" i="4"/>
  <c r="Q27" i="4" s="1"/>
  <c r="Q36" i="4" s="1"/>
  <c r="Q45" i="4" s="1"/>
  <c r="Q54" i="4" s="1"/>
  <c r="Q63" i="4" s="1"/>
  <c r="Q72" i="4" s="1"/>
  <c r="Q81" i="4" s="1"/>
  <c r="Q90" i="4" s="1"/>
  <c r="Q99" i="4" s="1"/>
  <c r="Q108" i="4" s="1"/>
  <c r="Q117" i="4" s="1"/>
  <c r="Q126" i="4" s="1"/>
  <c r="Q135" i="4" s="1"/>
  <c r="Q144" i="4" s="1"/>
  <c r="P18" i="4"/>
  <c r="P27" i="4" s="1"/>
  <c r="P36" i="4" s="1"/>
  <c r="P45" i="4" s="1"/>
  <c r="P54" i="4" s="1"/>
  <c r="P63" i="4" s="1"/>
  <c r="P72" i="4" s="1"/>
  <c r="P81" i="4" s="1"/>
  <c r="P90" i="4" s="1"/>
  <c r="P99" i="4" s="1"/>
  <c r="P108" i="4" s="1"/>
  <c r="P117" i="4" s="1"/>
  <c r="P126" i="4" s="1"/>
  <c r="P135" i="4" s="1"/>
  <c r="P144" i="4" s="1"/>
  <c r="O18" i="4"/>
  <c r="O27" i="4" s="1"/>
  <c r="O36" i="4" s="1"/>
  <c r="O45" i="4" s="1"/>
  <c r="O54" i="4" s="1"/>
  <c r="O63" i="4" s="1"/>
  <c r="O72" i="4" s="1"/>
  <c r="O81" i="4" s="1"/>
  <c r="O90" i="4" s="1"/>
  <c r="O99" i="4" s="1"/>
  <c r="O108" i="4" s="1"/>
  <c r="O117" i="4" s="1"/>
  <c r="O126" i="4" s="1"/>
  <c r="O135" i="4" s="1"/>
  <c r="O144" i="4" s="1"/>
  <c r="N18" i="4"/>
  <c r="N27" i="4" s="1"/>
  <c r="N36" i="4" s="1"/>
  <c r="N45" i="4" s="1"/>
  <c r="N54" i="4" s="1"/>
  <c r="N63" i="4" s="1"/>
  <c r="N72" i="4" s="1"/>
  <c r="N81" i="4" s="1"/>
  <c r="N90" i="4" s="1"/>
  <c r="N99" i="4" s="1"/>
  <c r="N108" i="4" s="1"/>
  <c r="N117" i="4" s="1"/>
  <c r="N126" i="4" s="1"/>
  <c r="N135" i="4" s="1"/>
  <c r="N144" i="4" s="1"/>
  <c r="B18" i="4"/>
  <c r="B27" i="4" s="1"/>
  <c r="A18" i="4"/>
  <c r="Q17" i="4"/>
  <c r="Q26" i="4" s="1"/>
  <c r="Q35" i="4" s="1"/>
  <c r="Q44" i="4" s="1"/>
  <c r="Q53" i="4" s="1"/>
  <c r="Q62" i="4" s="1"/>
  <c r="Q71" i="4" s="1"/>
  <c r="Q80" i="4" s="1"/>
  <c r="Q89" i="4" s="1"/>
  <c r="Q98" i="4" s="1"/>
  <c r="Q107" i="4" s="1"/>
  <c r="Q116" i="4" s="1"/>
  <c r="Q125" i="4" s="1"/>
  <c r="Q134" i="4" s="1"/>
  <c r="Q143" i="4" s="1"/>
  <c r="P17" i="4"/>
  <c r="P26" i="4" s="1"/>
  <c r="P35" i="4" s="1"/>
  <c r="P44" i="4" s="1"/>
  <c r="P53" i="4" s="1"/>
  <c r="P62" i="4" s="1"/>
  <c r="P71" i="4" s="1"/>
  <c r="P80" i="4" s="1"/>
  <c r="P89" i="4" s="1"/>
  <c r="P98" i="4" s="1"/>
  <c r="P107" i="4" s="1"/>
  <c r="P116" i="4" s="1"/>
  <c r="P125" i="4" s="1"/>
  <c r="P134" i="4" s="1"/>
  <c r="P143" i="4" s="1"/>
  <c r="O17" i="4"/>
  <c r="O26" i="4" s="1"/>
  <c r="O35" i="4" s="1"/>
  <c r="O44" i="4" s="1"/>
  <c r="O53" i="4" s="1"/>
  <c r="O62" i="4" s="1"/>
  <c r="O71" i="4" s="1"/>
  <c r="O80" i="4" s="1"/>
  <c r="O89" i="4" s="1"/>
  <c r="O98" i="4" s="1"/>
  <c r="O107" i="4" s="1"/>
  <c r="O116" i="4" s="1"/>
  <c r="O125" i="4" s="1"/>
  <c r="O134" i="4" s="1"/>
  <c r="O143" i="4" s="1"/>
  <c r="N17" i="4"/>
  <c r="N26" i="4" s="1"/>
  <c r="N35" i="4" s="1"/>
  <c r="N44" i="4" s="1"/>
  <c r="N53" i="4" s="1"/>
  <c r="N62" i="4" s="1"/>
  <c r="N71" i="4" s="1"/>
  <c r="N80" i="4" s="1"/>
  <c r="N89" i="4" s="1"/>
  <c r="N98" i="4" s="1"/>
  <c r="N107" i="4" s="1"/>
  <c r="N116" i="4" s="1"/>
  <c r="N125" i="4" s="1"/>
  <c r="N134" i="4" s="1"/>
  <c r="N143" i="4" s="1"/>
  <c r="B17" i="4"/>
  <c r="B26" i="4" s="1"/>
  <c r="B35" i="4" s="1"/>
  <c r="A17" i="4"/>
  <c r="A26" i="4" s="1"/>
  <c r="A35" i="4" s="1"/>
  <c r="A44" i="4" s="1"/>
  <c r="A53" i="4" s="1"/>
  <c r="A62" i="4" s="1"/>
  <c r="A71" i="4" s="1"/>
  <c r="A80" i="4" s="1"/>
  <c r="A89" i="4" s="1"/>
  <c r="A98" i="4" s="1"/>
  <c r="A107" i="4" s="1"/>
  <c r="A116" i="4" s="1"/>
  <c r="A125" i="4" s="1"/>
  <c r="A134" i="4" s="1"/>
  <c r="A143" i="4" s="1"/>
  <c r="Q16" i="4"/>
  <c r="Q25" i="4" s="1"/>
  <c r="Q34" i="4" s="1"/>
  <c r="Q43" i="4" s="1"/>
  <c r="Q52" i="4" s="1"/>
  <c r="Q61" i="4" s="1"/>
  <c r="Q70" i="4" s="1"/>
  <c r="Q79" i="4" s="1"/>
  <c r="Q88" i="4" s="1"/>
  <c r="Q97" i="4" s="1"/>
  <c r="Q106" i="4" s="1"/>
  <c r="Q115" i="4" s="1"/>
  <c r="Q124" i="4" s="1"/>
  <c r="Q133" i="4" s="1"/>
  <c r="Q142" i="4" s="1"/>
  <c r="P16" i="4"/>
  <c r="P25" i="4" s="1"/>
  <c r="P34" i="4" s="1"/>
  <c r="P43" i="4" s="1"/>
  <c r="P52" i="4" s="1"/>
  <c r="P61" i="4" s="1"/>
  <c r="P70" i="4" s="1"/>
  <c r="P79" i="4" s="1"/>
  <c r="P88" i="4" s="1"/>
  <c r="P97" i="4" s="1"/>
  <c r="P106" i="4" s="1"/>
  <c r="P115" i="4" s="1"/>
  <c r="P124" i="4" s="1"/>
  <c r="P133" i="4" s="1"/>
  <c r="P142" i="4" s="1"/>
  <c r="O16" i="4"/>
  <c r="N16" i="4"/>
  <c r="N25" i="4" s="1"/>
  <c r="N34" i="4" s="1"/>
  <c r="N43" i="4" s="1"/>
  <c r="N52" i="4" s="1"/>
  <c r="N61" i="4" s="1"/>
  <c r="N70" i="4" s="1"/>
  <c r="N79" i="4" s="1"/>
  <c r="N88" i="4" s="1"/>
  <c r="N97" i="4" s="1"/>
  <c r="N106" i="4" s="1"/>
  <c r="N115" i="4" s="1"/>
  <c r="N124" i="4" s="1"/>
  <c r="N133" i="4" s="1"/>
  <c r="N142" i="4" s="1"/>
  <c r="B16" i="4"/>
  <c r="A16" i="4"/>
  <c r="A25" i="4" s="1"/>
  <c r="A34" i="4" s="1"/>
  <c r="A43" i="4" s="1"/>
  <c r="A52" i="4" s="1"/>
  <c r="A61" i="4" s="1"/>
  <c r="A70" i="4" s="1"/>
  <c r="A79" i="4" s="1"/>
  <c r="A88" i="4" s="1"/>
  <c r="A97" i="4" s="1"/>
  <c r="A106" i="4" s="1"/>
  <c r="A115" i="4" s="1"/>
  <c r="A124" i="4" s="1"/>
  <c r="A133" i="4" s="1"/>
  <c r="A142" i="4" s="1"/>
  <c r="Q15" i="4"/>
  <c r="Q24" i="4" s="1"/>
  <c r="Q33" i="4" s="1"/>
  <c r="Q42" i="4" s="1"/>
  <c r="Q51" i="4" s="1"/>
  <c r="Q60" i="4" s="1"/>
  <c r="Q69" i="4" s="1"/>
  <c r="Q78" i="4" s="1"/>
  <c r="Q87" i="4" s="1"/>
  <c r="Q96" i="4" s="1"/>
  <c r="Q105" i="4" s="1"/>
  <c r="Q114" i="4" s="1"/>
  <c r="Q123" i="4" s="1"/>
  <c r="Q132" i="4" s="1"/>
  <c r="Q141" i="4" s="1"/>
  <c r="P15" i="4"/>
  <c r="O15" i="4"/>
  <c r="O24" i="4" s="1"/>
  <c r="O33" i="4" s="1"/>
  <c r="O42" i="4" s="1"/>
  <c r="O51" i="4" s="1"/>
  <c r="O60" i="4" s="1"/>
  <c r="O69" i="4" s="1"/>
  <c r="O78" i="4" s="1"/>
  <c r="O87" i="4" s="1"/>
  <c r="O96" i="4" s="1"/>
  <c r="O105" i="4" s="1"/>
  <c r="O114" i="4" s="1"/>
  <c r="O123" i="4" s="1"/>
  <c r="O132" i="4" s="1"/>
  <c r="O141" i="4" s="1"/>
  <c r="N15" i="4"/>
  <c r="B15" i="4"/>
  <c r="B24" i="4" s="1"/>
  <c r="A15" i="4"/>
  <c r="A24" i="4" s="1"/>
  <c r="A33" i="4" s="1"/>
  <c r="A42" i="4" s="1"/>
  <c r="A51" i="4" s="1"/>
  <c r="A60" i="4" s="1"/>
  <c r="A69" i="4" s="1"/>
  <c r="A78" i="4" s="1"/>
  <c r="A87" i="4" s="1"/>
  <c r="A96" i="4" s="1"/>
  <c r="A105" i="4" s="1"/>
  <c r="A114" i="4" s="1"/>
  <c r="A123" i="4" s="1"/>
  <c r="A132" i="4" s="1"/>
  <c r="A141" i="4" s="1"/>
  <c r="Q14" i="4"/>
  <c r="Q23" i="4" s="1"/>
  <c r="Q32" i="4" s="1"/>
  <c r="Q41" i="4" s="1"/>
  <c r="Q50" i="4" s="1"/>
  <c r="Q59" i="4" s="1"/>
  <c r="Q68" i="4" s="1"/>
  <c r="Q77" i="4" s="1"/>
  <c r="Q86" i="4" s="1"/>
  <c r="Q95" i="4" s="1"/>
  <c r="Q104" i="4" s="1"/>
  <c r="Q113" i="4" s="1"/>
  <c r="Q122" i="4" s="1"/>
  <c r="Q131" i="4" s="1"/>
  <c r="Q140" i="4" s="1"/>
  <c r="P14" i="4"/>
  <c r="P23" i="4" s="1"/>
  <c r="P32" i="4" s="1"/>
  <c r="P41" i="4" s="1"/>
  <c r="P50" i="4" s="1"/>
  <c r="P59" i="4" s="1"/>
  <c r="P68" i="4" s="1"/>
  <c r="P77" i="4" s="1"/>
  <c r="P86" i="4" s="1"/>
  <c r="P95" i="4" s="1"/>
  <c r="P104" i="4" s="1"/>
  <c r="P113" i="4" s="1"/>
  <c r="P122" i="4" s="1"/>
  <c r="P131" i="4" s="1"/>
  <c r="P140" i="4" s="1"/>
  <c r="O14" i="4"/>
  <c r="O23" i="4" s="1"/>
  <c r="O32" i="4" s="1"/>
  <c r="O41" i="4" s="1"/>
  <c r="O50" i="4" s="1"/>
  <c r="O59" i="4" s="1"/>
  <c r="O68" i="4" s="1"/>
  <c r="O77" i="4" s="1"/>
  <c r="O86" i="4" s="1"/>
  <c r="O95" i="4" s="1"/>
  <c r="O104" i="4" s="1"/>
  <c r="O113" i="4" s="1"/>
  <c r="O122" i="4" s="1"/>
  <c r="O131" i="4" s="1"/>
  <c r="O140" i="4" s="1"/>
  <c r="N14" i="4"/>
  <c r="N23" i="4" s="1"/>
  <c r="N32" i="4" s="1"/>
  <c r="N41" i="4" s="1"/>
  <c r="N50" i="4" s="1"/>
  <c r="N59" i="4" s="1"/>
  <c r="N68" i="4" s="1"/>
  <c r="N77" i="4" s="1"/>
  <c r="N86" i="4" s="1"/>
  <c r="N95" i="4" s="1"/>
  <c r="N104" i="4" s="1"/>
  <c r="N113" i="4" s="1"/>
  <c r="N122" i="4" s="1"/>
  <c r="N131" i="4" s="1"/>
  <c r="N140" i="4" s="1"/>
  <c r="B14" i="4"/>
  <c r="B23" i="4" s="1"/>
  <c r="A14" i="4"/>
  <c r="A23" i="4" s="1"/>
  <c r="A32" i="4" s="1"/>
  <c r="A41" i="4" s="1"/>
  <c r="A50" i="4" s="1"/>
  <c r="A59" i="4" s="1"/>
  <c r="A68" i="4" s="1"/>
  <c r="A77" i="4" s="1"/>
  <c r="A86" i="4" s="1"/>
  <c r="A95" i="4" s="1"/>
  <c r="A104" i="4" s="1"/>
  <c r="A113" i="4" s="1"/>
  <c r="A122" i="4" s="1"/>
  <c r="A131" i="4" s="1"/>
  <c r="A140" i="4" s="1"/>
  <c r="E13" i="4"/>
  <c r="L13" i="4" s="1"/>
  <c r="F12" i="4"/>
  <c r="E12" i="4"/>
  <c r="L12" i="4" s="1"/>
  <c r="E11" i="4"/>
  <c r="L11" i="4" s="1"/>
  <c r="E10" i="4"/>
  <c r="L10" i="4" s="1"/>
  <c r="E9" i="4"/>
  <c r="F9" i="4" s="1"/>
  <c r="E8" i="4"/>
  <c r="L8" i="4" s="1"/>
  <c r="E7" i="4"/>
  <c r="F7" i="4" s="1"/>
  <c r="E6" i="4"/>
  <c r="L6" i="4" s="1"/>
  <c r="E5" i="4"/>
  <c r="L5" i="4" s="1"/>
  <c r="E20" i="4" l="1"/>
  <c r="E17" i="4"/>
  <c r="L17" i="4" s="1"/>
  <c r="E15" i="4"/>
  <c r="F15" i="4" s="1"/>
  <c r="L9" i="4"/>
  <c r="F10" i="4"/>
  <c r="E21" i="4"/>
  <c r="E16" i="4"/>
  <c r="L20" i="4"/>
  <c r="F20" i="4"/>
  <c r="B46" i="4"/>
  <c r="E37" i="4"/>
  <c r="B36" i="4"/>
  <c r="E27" i="4"/>
  <c r="B51" i="4"/>
  <c r="E42" i="4"/>
  <c r="L16" i="4"/>
  <c r="F16" i="4"/>
  <c r="L21" i="4"/>
  <c r="F21" i="4"/>
  <c r="B44" i="4"/>
  <c r="E35" i="4"/>
  <c r="B39" i="4"/>
  <c r="E30" i="4"/>
  <c r="F13" i="4"/>
  <c r="F17" i="4"/>
  <c r="E18" i="4"/>
  <c r="B25" i="4"/>
  <c r="E26" i="4"/>
  <c r="E33" i="4"/>
  <c r="L7" i="4"/>
  <c r="F5" i="4"/>
  <c r="F8" i="4"/>
  <c r="E19" i="4"/>
  <c r="B29" i="4"/>
  <c r="F11" i="4"/>
  <c r="E24" i="4"/>
  <c r="F6" i="4"/>
  <c r="B32" i="4"/>
  <c r="E23" i="4"/>
  <c r="B40" i="4"/>
  <c r="E31" i="4"/>
  <c r="E14" i="4"/>
  <c r="E22" i="4"/>
  <c r="E28" i="4"/>
  <c r="L15" i="4" l="1"/>
  <c r="L23" i="4"/>
  <c r="F23" i="4"/>
  <c r="F42" i="4"/>
  <c r="L42" i="4"/>
  <c r="L33" i="4"/>
  <c r="F33" i="4"/>
  <c r="B60" i="4"/>
  <c r="E51" i="4"/>
  <c r="L28" i="4"/>
  <c r="F28" i="4"/>
  <c r="L24" i="4"/>
  <c r="F24" i="4"/>
  <c r="L26" i="4"/>
  <c r="F26" i="4"/>
  <c r="L35" i="4"/>
  <c r="F35" i="4"/>
  <c r="L27" i="4"/>
  <c r="F27" i="4"/>
  <c r="B48" i="4"/>
  <c r="E39" i="4"/>
  <c r="B34" i="4"/>
  <c r="E25" i="4"/>
  <c r="L14" i="4"/>
  <c r="F14" i="4"/>
  <c r="B38" i="4"/>
  <c r="E29" i="4"/>
  <c r="L18" i="4"/>
  <c r="F18" i="4"/>
  <c r="L37" i="4"/>
  <c r="F37" i="4"/>
  <c r="L22" i="4"/>
  <c r="F22" i="4"/>
  <c r="E44" i="4"/>
  <c r="B53" i="4"/>
  <c r="L31" i="4"/>
  <c r="F31" i="4"/>
  <c r="L19" i="4"/>
  <c r="F19" i="4"/>
  <c r="B55" i="4"/>
  <c r="E46" i="4"/>
  <c r="F30" i="4"/>
  <c r="L30" i="4"/>
  <c r="B41" i="4"/>
  <c r="E32" i="4"/>
  <c r="B45" i="4"/>
  <c r="E36" i="4"/>
  <c r="B49" i="4"/>
  <c r="E40" i="4"/>
  <c r="F51" i="4" l="1"/>
  <c r="L51" i="4"/>
  <c r="B58" i="4"/>
  <c r="E49" i="4"/>
  <c r="B64" i="4"/>
  <c r="E55" i="4"/>
  <c r="B69" i="4"/>
  <c r="E60" i="4"/>
  <c r="L40" i="4"/>
  <c r="F40" i="4"/>
  <c r="L25" i="4"/>
  <c r="F25" i="4"/>
  <c r="L39" i="4"/>
  <c r="F39" i="4"/>
  <c r="B54" i="4"/>
  <c r="E45" i="4"/>
  <c r="E34" i="4"/>
  <c r="B43" i="4"/>
  <c r="L32" i="4"/>
  <c r="F32" i="4"/>
  <c r="E41" i="4"/>
  <c r="B50" i="4"/>
  <c r="B57" i="4"/>
  <c r="E48" i="4"/>
  <c r="F46" i="4"/>
  <c r="L46" i="4"/>
  <c r="L29" i="4"/>
  <c r="F29" i="4"/>
  <c r="L36" i="4"/>
  <c r="F36" i="4"/>
  <c r="B62" i="4"/>
  <c r="E53" i="4"/>
  <c r="L44" i="4"/>
  <c r="F44" i="4"/>
  <c r="B47" i="4"/>
  <c r="E38" i="4"/>
  <c r="L45" i="4" l="1"/>
  <c r="F45" i="4"/>
  <c r="B66" i="4"/>
  <c r="E57" i="4"/>
  <c r="B59" i="4"/>
  <c r="E50" i="4"/>
  <c r="L55" i="4"/>
  <c r="F55" i="4"/>
  <c r="B52" i="4"/>
  <c r="E43" i="4"/>
  <c r="L53" i="4"/>
  <c r="F53" i="4"/>
  <c r="B71" i="4"/>
  <c r="E62" i="4"/>
  <c r="L41" i="4"/>
  <c r="F41" i="4"/>
  <c r="E64" i="4"/>
  <c r="B73" i="4"/>
  <c r="F34" i="4"/>
  <c r="L34" i="4"/>
  <c r="L48" i="4"/>
  <c r="F48" i="4"/>
  <c r="B63" i="4"/>
  <c r="E54" i="4"/>
  <c r="F38" i="4"/>
  <c r="L38" i="4"/>
  <c r="L49" i="4"/>
  <c r="F49" i="4"/>
  <c r="L60" i="4"/>
  <c r="F60" i="4"/>
  <c r="B78" i="4"/>
  <c r="E69" i="4"/>
  <c r="B56" i="4"/>
  <c r="E47" i="4"/>
  <c r="E58" i="4"/>
  <c r="B67" i="4"/>
  <c r="L69" i="4" l="1"/>
  <c r="F69" i="4"/>
  <c r="B87" i="4"/>
  <c r="E78" i="4"/>
  <c r="B72" i="4"/>
  <c r="E63" i="4"/>
  <c r="L47" i="4"/>
  <c r="F47" i="4"/>
  <c r="F50" i="4"/>
  <c r="L50" i="4"/>
  <c r="B80" i="4"/>
  <c r="E71" i="4"/>
  <c r="B68" i="4"/>
  <c r="E59" i="4"/>
  <c r="F62" i="4"/>
  <c r="L62" i="4"/>
  <c r="L57" i="4"/>
  <c r="F57" i="4"/>
  <c r="F54" i="4"/>
  <c r="L54" i="4"/>
  <c r="B76" i="4"/>
  <c r="E67" i="4"/>
  <c r="F58" i="4"/>
  <c r="L58" i="4"/>
  <c r="B75" i="4"/>
  <c r="E66" i="4"/>
  <c r="B82" i="4"/>
  <c r="E73" i="4"/>
  <c r="L43" i="4"/>
  <c r="F43" i="4"/>
  <c r="B65" i="4"/>
  <c r="E56" i="4"/>
  <c r="L64" i="4"/>
  <c r="F64" i="4"/>
  <c r="B61" i="4"/>
  <c r="E52" i="4"/>
  <c r="L56" i="4" l="1"/>
  <c r="F56" i="4"/>
  <c r="B74" i="4"/>
  <c r="E65" i="4"/>
  <c r="L63" i="4"/>
  <c r="F63" i="4"/>
  <c r="E76" i="4"/>
  <c r="B85" i="4"/>
  <c r="B77" i="4"/>
  <c r="E68" i="4"/>
  <c r="E72" i="4"/>
  <c r="B81" i="4"/>
  <c r="L59" i="4"/>
  <c r="F59" i="4"/>
  <c r="L52" i="4"/>
  <c r="F52" i="4"/>
  <c r="F71" i="4"/>
  <c r="L71" i="4"/>
  <c r="F78" i="4"/>
  <c r="L78" i="4"/>
  <c r="L67" i="4"/>
  <c r="F67" i="4"/>
  <c r="L73" i="4"/>
  <c r="F73" i="4"/>
  <c r="E61" i="4"/>
  <c r="B70" i="4"/>
  <c r="B91" i="4"/>
  <c r="E82" i="4"/>
  <c r="B89" i="4"/>
  <c r="E80" i="4"/>
  <c r="B96" i="4"/>
  <c r="E87" i="4"/>
  <c r="F66" i="4"/>
  <c r="L66" i="4"/>
  <c r="B84" i="4"/>
  <c r="E75" i="4"/>
  <c r="B79" i="4" l="1"/>
  <c r="E70" i="4"/>
  <c r="L61" i="4"/>
  <c r="F61" i="4"/>
  <c r="B86" i="4"/>
  <c r="E77" i="4"/>
  <c r="L87" i="4"/>
  <c r="F87" i="4"/>
  <c r="E85" i="4"/>
  <c r="B94" i="4"/>
  <c r="E96" i="4"/>
  <c r="B105" i="4"/>
  <c r="L76" i="4"/>
  <c r="F76" i="4"/>
  <c r="L68" i="4"/>
  <c r="F68" i="4"/>
  <c r="L80" i="4"/>
  <c r="F80" i="4"/>
  <c r="F75" i="4"/>
  <c r="L75" i="4"/>
  <c r="F82" i="4"/>
  <c r="L82" i="4"/>
  <c r="E81" i="4"/>
  <c r="B90" i="4"/>
  <c r="L65" i="4"/>
  <c r="F65" i="4"/>
  <c r="E89" i="4"/>
  <c r="B98" i="4"/>
  <c r="E84" i="4"/>
  <c r="B93" i="4"/>
  <c r="B100" i="4"/>
  <c r="E91" i="4"/>
  <c r="L72" i="4"/>
  <c r="F72" i="4"/>
  <c r="E74" i="4"/>
  <c r="B83" i="4"/>
  <c r="F91" i="4" l="1"/>
  <c r="L91" i="4"/>
  <c r="B109" i="4"/>
  <c r="E100" i="4"/>
  <c r="L81" i="4"/>
  <c r="F81" i="4"/>
  <c r="B88" i="4"/>
  <c r="E79" i="4"/>
  <c r="B102" i="4"/>
  <c r="E93" i="4"/>
  <c r="L77" i="4"/>
  <c r="F77" i="4"/>
  <c r="L84" i="4"/>
  <c r="F84" i="4"/>
  <c r="B95" i="4"/>
  <c r="E86" i="4"/>
  <c r="B92" i="4"/>
  <c r="E83" i="4"/>
  <c r="B107" i="4"/>
  <c r="E98" i="4"/>
  <c r="B114" i="4"/>
  <c r="E105" i="4"/>
  <c r="B99" i="4"/>
  <c r="E90" i="4"/>
  <c r="F74" i="4"/>
  <c r="L74" i="4"/>
  <c r="L89" i="4"/>
  <c r="F89" i="4"/>
  <c r="L96" i="4"/>
  <c r="F96" i="4"/>
  <c r="L85" i="4"/>
  <c r="F85" i="4"/>
  <c r="B103" i="4"/>
  <c r="E94" i="4"/>
  <c r="F70" i="4"/>
  <c r="L70" i="4"/>
  <c r="F90" i="4" l="1"/>
  <c r="L90" i="4"/>
  <c r="F86" i="4"/>
  <c r="L86" i="4"/>
  <c r="F79" i="4"/>
  <c r="L79" i="4"/>
  <c r="B108" i="4"/>
  <c r="E99" i="4"/>
  <c r="B104" i="4"/>
  <c r="E95" i="4"/>
  <c r="B97" i="4"/>
  <c r="E88" i="4"/>
  <c r="F105" i="4"/>
  <c r="L105" i="4"/>
  <c r="F98" i="4"/>
  <c r="L98" i="4"/>
  <c r="L100" i="4"/>
  <c r="F100" i="4"/>
  <c r="B123" i="4"/>
  <c r="E114" i="4"/>
  <c r="B116" i="4"/>
  <c r="E107" i="4"/>
  <c r="B118" i="4"/>
  <c r="E109" i="4"/>
  <c r="F94" i="4"/>
  <c r="L94" i="4"/>
  <c r="L83" i="4"/>
  <c r="F83" i="4"/>
  <c r="L93" i="4"/>
  <c r="F93" i="4"/>
  <c r="B112" i="4"/>
  <c r="E103" i="4"/>
  <c r="E92" i="4"/>
  <c r="B101" i="4"/>
  <c r="B111" i="4"/>
  <c r="E102" i="4"/>
  <c r="L92" i="4" l="1"/>
  <c r="F92" i="4"/>
  <c r="B113" i="4"/>
  <c r="E104" i="4"/>
  <c r="L103" i="4"/>
  <c r="F103" i="4"/>
  <c r="L109" i="4"/>
  <c r="F109" i="4"/>
  <c r="L99" i="4"/>
  <c r="F99" i="4"/>
  <c r="B121" i="4"/>
  <c r="E112" i="4"/>
  <c r="B125" i="4"/>
  <c r="E116" i="4"/>
  <c r="L107" i="4"/>
  <c r="F107" i="4"/>
  <c r="F114" i="4"/>
  <c r="L114" i="4"/>
  <c r="L88" i="4"/>
  <c r="F88" i="4"/>
  <c r="B117" i="4"/>
  <c r="E108" i="4"/>
  <c r="B120" i="4"/>
  <c r="E111" i="4"/>
  <c r="B132" i="4"/>
  <c r="E123" i="4"/>
  <c r="E97" i="4"/>
  <c r="B106" i="4"/>
  <c r="B127" i="4"/>
  <c r="E118" i="4"/>
  <c r="F102" i="4"/>
  <c r="L102" i="4"/>
  <c r="B110" i="4"/>
  <c r="E101" i="4"/>
  <c r="F95" i="4"/>
  <c r="L95" i="4"/>
  <c r="L111" i="4" l="1"/>
  <c r="F111" i="4"/>
  <c r="L116" i="4"/>
  <c r="F116" i="4"/>
  <c r="B136" i="4"/>
  <c r="E127" i="4"/>
  <c r="B126" i="4"/>
  <c r="E117" i="4"/>
  <c r="B134" i="4"/>
  <c r="E125" i="4"/>
  <c r="B141" i="4"/>
  <c r="E141" i="4" s="1"/>
  <c r="E132" i="4"/>
  <c r="L118" i="4"/>
  <c r="F118" i="4"/>
  <c r="L112" i="4"/>
  <c r="F112" i="4"/>
  <c r="L104" i="4"/>
  <c r="F104" i="4"/>
  <c r="B129" i="4"/>
  <c r="E120" i="4"/>
  <c r="L108" i="4"/>
  <c r="F108" i="4"/>
  <c r="B115" i="4"/>
  <c r="E106" i="4"/>
  <c r="F97" i="4"/>
  <c r="L97" i="4"/>
  <c r="B130" i="4"/>
  <c r="E121" i="4"/>
  <c r="B122" i="4"/>
  <c r="E113" i="4"/>
  <c r="B119" i="4"/>
  <c r="E110" i="4"/>
  <c r="L101" i="4"/>
  <c r="F101" i="4"/>
  <c r="L123" i="4"/>
  <c r="F123" i="4"/>
  <c r="L110" i="4" l="1"/>
  <c r="F110" i="4"/>
  <c r="F106" i="4"/>
  <c r="L106" i="4"/>
  <c r="L117" i="4"/>
  <c r="F117" i="4"/>
  <c r="B128" i="4"/>
  <c r="E119" i="4"/>
  <c r="B124" i="4"/>
  <c r="E115" i="4"/>
  <c r="B135" i="4"/>
  <c r="E126" i="4"/>
  <c r="L125" i="4"/>
  <c r="F125" i="4"/>
  <c r="L127" i="4"/>
  <c r="F127" i="4"/>
  <c r="F121" i="4"/>
  <c r="L121" i="4"/>
  <c r="L120" i="4"/>
  <c r="F120" i="4"/>
  <c r="L132" i="4"/>
  <c r="F132" i="4"/>
  <c r="B143" i="4"/>
  <c r="E143" i="4" s="1"/>
  <c r="E134" i="4"/>
  <c r="F113" i="4"/>
  <c r="L113" i="4"/>
  <c r="B131" i="4"/>
  <c r="E122" i="4"/>
  <c r="B145" i="4"/>
  <c r="E145" i="4" s="1"/>
  <c r="E136" i="4"/>
  <c r="B139" i="4"/>
  <c r="E130" i="4"/>
  <c r="B138" i="4"/>
  <c r="E129" i="4"/>
  <c r="L141" i="4"/>
  <c r="F141" i="4"/>
  <c r="L119" i="4" l="1"/>
  <c r="F119" i="4"/>
  <c r="B148" i="4"/>
  <c r="E148" i="4" s="1"/>
  <c r="E139" i="4"/>
  <c r="L143" i="4"/>
  <c r="F143" i="4"/>
  <c r="B137" i="4"/>
  <c r="E128" i="4"/>
  <c r="L136" i="4"/>
  <c r="F136" i="4"/>
  <c r="E124" i="4"/>
  <c r="B133" i="4"/>
  <c r="F130" i="4"/>
  <c r="L130" i="4"/>
  <c r="F145" i="4"/>
  <c r="L145" i="4"/>
  <c r="L126" i="4"/>
  <c r="F126" i="4"/>
  <c r="B147" i="4"/>
  <c r="E147" i="4" s="1"/>
  <c r="E138" i="4"/>
  <c r="L134" i="4"/>
  <c r="F134" i="4"/>
  <c r="F122" i="4"/>
  <c r="L122" i="4"/>
  <c r="B140" i="4"/>
  <c r="E140" i="4" s="1"/>
  <c r="E131" i="4"/>
  <c r="B144" i="4"/>
  <c r="E144" i="4" s="1"/>
  <c r="E135" i="4"/>
  <c r="F129" i="4"/>
  <c r="L129" i="4"/>
  <c r="L115" i="4"/>
  <c r="F115" i="4"/>
  <c r="L147" i="4" l="1"/>
  <c r="F147" i="4"/>
  <c r="L131" i="4"/>
  <c r="F131" i="4"/>
  <c r="L128" i="4"/>
  <c r="F128" i="4"/>
  <c r="L124" i="4"/>
  <c r="F124" i="4"/>
  <c r="L140" i="4"/>
  <c r="F140" i="4"/>
  <c r="B146" i="4"/>
  <c r="E146" i="4" s="1"/>
  <c r="E137" i="4"/>
  <c r="L148" i="4"/>
  <c r="F148" i="4"/>
  <c r="L135" i="4"/>
  <c r="F135" i="4"/>
  <c r="F138" i="4"/>
  <c r="L138" i="4"/>
  <c r="B142" i="4"/>
  <c r="E142" i="4" s="1"/>
  <c r="E133" i="4"/>
  <c r="L139" i="4"/>
  <c r="F139" i="4"/>
  <c r="L144" i="4"/>
  <c r="F144" i="4"/>
  <c r="L142" i="4" l="1"/>
  <c r="F142" i="4"/>
  <c r="F146" i="4"/>
  <c r="L146" i="4"/>
  <c r="L133" i="4"/>
  <c r="F133" i="4"/>
  <c r="F137" i="4"/>
  <c r="L13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N4" authorId="0" shapeId="0" xr:uid="{BF2402B4-FAD5-4C17-8CE1-BE2492F0C7AB}">
      <text>
        <r>
          <rPr>
            <b/>
            <sz val="9"/>
            <color rgb="FF000000"/>
            <rFont val="Tahoma"/>
            <family val="2"/>
          </rPr>
          <t>Amit Kanudia: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24-08-2019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default values; will be replaced in behavior control scenario
</t>
        </r>
      </text>
    </comment>
  </commentList>
</comments>
</file>

<file path=xl/sharedStrings.xml><?xml version="1.0" encoding="utf-8"?>
<sst xmlns="http://schemas.openxmlformats.org/spreadsheetml/2006/main" count="4429" uniqueCount="931">
  <si>
    <t>Sets</t>
  </si>
  <si>
    <t>TechName</t>
  </si>
  <si>
    <t>TechDesc</t>
  </si>
  <si>
    <t>Tact</t>
  </si>
  <si>
    <t>Tcap</t>
  </si>
  <si>
    <t>Tslvl</t>
  </si>
  <si>
    <t>PrimaryCG</t>
  </si>
  <si>
    <t>Comm-OUT</t>
  </si>
  <si>
    <t>INVCOST</t>
  </si>
  <si>
    <t>LIFE</t>
  </si>
  <si>
    <t>ELIFE</t>
  </si>
  <si>
    <t>AF</t>
  </si>
  <si>
    <t>EBldRateStep_Sol_1</t>
  </si>
  <si>
    <t>PRE</t>
  </si>
  <si>
    <t>GW</t>
  </si>
  <si>
    <t>DumGrid</t>
  </si>
  <si>
    <t>AFR</t>
  </si>
  <si>
    <t>EBldRateStep_Sol_2</t>
  </si>
  <si>
    <t>ANZ</t>
  </si>
  <si>
    <t>EBldRateStep_Sol_3</t>
  </si>
  <si>
    <t>BRZ</t>
  </si>
  <si>
    <t>EBldRateStep_Win_1</t>
  </si>
  <si>
    <t>CAN</t>
  </si>
  <si>
    <t>EBldRateStep_Win_2</t>
  </si>
  <si>
    <t>CHI</t>
  </si>
  <si>
    <t>EBldRateStep_Win_3</t>
  </si>
  <si>
    <t>CSA</t>
  </si>
  <si>
    <t>EBldRateStep_Hyd_1</t>
  </si>
  <si>
    <t>EUR</t>
  </si>
  <si>
    <t>EBldRateStep_Hyd_2</t>
  </si>
  <si>
    <t>IND</t>
  </si>
  <si>
    <t>EBldRateStep_Hyd_3</t>
  </si>
  <si>
    <t>JPN</t>
  </si>
  <si>
    <t>MID</t>
  </si>
  <si>
    <t>MXC</t>
  </si>
  <si>
    <t>OAS</t>
  </si>
  <si>
    <t>RUS</t>
  </si>
  <si>
    <t>SKO</t>
  </si>
  <si>
    <t>URA</t>
  </si>
  <si>
    <t>USA</t>
  </si>
  <si>
    <t>DeACT FI_Process</t>
  </si>
  <si>
    <t>DeACT FI_T: USD10~FX~2015</t>
  </si>
  <si>
    <t>~FI_Process</t>
  </si>
  <si>
    <t>~FI_T: INVCOST~USD21</t>
  </si>
  <si>
    <t>Comm-IN</t>
  </si>
  <si>
    <t>CAP_BND</t>
  </si>
  <si>
    <t>*NCAP_COST</t>
  </si>
  <si>
    <t>NCAP_AFA</t>
  </si>
  <si>
    <t>EN_Hydro_AFG-1</t>
  </si>
  <si>
    <t>ELCHYD</t>
  </si>
  <si>
    <t>ELC</t>
  </si>
  <si>
    <t>EN_Hydro_ALB-1</t>
  </si>
  <si>
    <t>EN_Hydro_DZA-1</t>
  </si>
  <si>
    <t>EN_Hydro_AGO-1</t>
  </si>
  <si>
    <t>EN_Hydro_ARG-1</t>
  </si>
  <si>
    <t>EN_Hydro_ARM-1</t>
  </si>
  <si>
    <t>EN_Hydro_AUS-1</t>
  </si>
  <si>
    <t>EN_Hydro_AUT-1</t>
  </si>
  <si>
    <t>EN_Hydro_AZE-1</t>
  </si>
  <si>
    <t>EN_Hydro_BGD-1</t>
  </si>
  <si>
    <t>EN_Hydro_BLR-1</t>
  </si>
  <si>
    <t>EN_Hydro_BEL-1</t>
  </si>
  <si>
    <t>EN_Hydro_BLZ-1</t>
  </si>
  <si>
    <t>EN_Hydro_BEN-1</t>
  </si>
  <si>
    <t>EN_Hydro_BTN-1</t>
  </si>
  <si>
    <t>EN_Hydro_BOL-1</t>
  </si>
  <si>
    <t>EN_Hydro_BIH-1</t>
  </si>
  <si>
    <t>EN_Hydro_BRA-1</t>
  </si>
  <si>
    <t>EN_Hydro_BGR-1</t>
  </si>
  <si>
    <t>EN_Hydro_BFA-1</t>
  </si>
  <si>
    <t>EN_Hydro_BDI-1</t>
  </si>
  <si>
    <t>EN_Hydro_KHM-1</t>
  </si>
  <si>
    <t>EN_Hydro_CMR-1</t>
  </si>
  <si>
    <t>EN_Hydro_CAN-1</t>
  </si>
  <si>
    <t>EN_Hydro_CAF-1</t>
  </si>
  <si>
    <t>EN_Hydro_CHL-1</t>
  </si>
  <si>
    <t>EN_Hydro_CHN-1</t>
  </si>
  <si>
    <t>EN_Hydro_COL-1</t>
  </si>
  <si>
    <t>EN_Hydro_COM-1</t>
  </si>
  <si>
    <t>EN_Hydro_COG-1</t>
  </si>
  <si>
    <t>EN_Hydro_CRI-1</t>
  </si>
  <si>
    <t>EN_Hydro_HRV-1</t>
  </si>
  <si>
    <t>EN_Hydro_CUB-1</t>
  </si>
  <si>
    <t>EN_Hydro_CZE-1</t>
  </si>
  <si>
    <t>EN_Hydro_CIV-1</t>
  </si>
  <si>
    <t>EN_Hydro_DNK-1</t>
  </si>
  <si>
    <t>EN_Hydro_DMA-1</t>
  </si>
  <si>
    <t>EN_Hydro_DOM-1</t>
  </si>
  <si>
    <t>EN_Hydro_ECU-1</t>
  </si>
  <si>
    <t>EN_Hydro_EGY-1</t>
  </si>
  <si>
    <t>EN_Hydro_SLV-1</t>
  </si>
  <si>
    <t>EN_Hydro_GNQ-1</t>
  </si>
  <si>
    <t>EN_Hydro_EST-1</t>
  </si>
  <si>
    <t>EN_Hydro_ETH-1</t>
  </si>
  <si>
    <t>EN_Hydro_FJI-1</t>
  </si>
  <si>
    <t>EN_Hydro_FIN-1</t>
  </si>
  <si>
    <t>EN_Hydro_FRA-1</t>
  </si>
  <si>
    <t>EN_Hydro_GUF-1</t>
  </si>
  <si>
    <t>EN_Hydro_PYF-1</t>
  </si>
  <si>
    <t>EN_Hydro_GAB-1</t>
  </si>
  <si>
    <t>EN_Hydro_GEO-1</t>
  </si>
  <si>
    <t>EN_Hydro_DEU-1</t>
  </si>
  <si>
    <t>EN_Hydro_GHA-1</t>
  </si>
  <si>
    <t>EN_Hydro_GRC-1</t>
  </si>
  <si>
    <t>EN_Hydro_GTM-1</t>
  </si>
  <si>
    <t>EN_Hydro_GIN-1</t>
  </si>
  <si>
    <t>EN_Hydro_HTI-1</t>
  </si>
  <si>
    <t>EN_Hydro_HND-1</t>
  </si>
  <si>
    <t>EN_Hydro_HUN-1</t>
  </si>
  <si>
    <t>EN_Hydro_ISL-1</t>
  </si>
  <si>
    <t>EN_Hydro_IND-1</t>
  </si>
  <si>
    <t>EN_Hydro_IDN-1</t>
  </si>
  <si>
    <t>EN_Hydro_IRN-1</t>
  </si>
  <si>
    <t>EN_Hydro_IRQ-1</t>
  </si>
  <si>
    <t>EN_Hydro_IRL-1</t>
  </si>
  <si>
    <t>EN_Hydro_ISR-1</t>
  </si>
  <si>
    <t>EN_Hydro_ITA-1</t>
  </si>
  <si>
    <t>EN_Hydro_JAM-1</t>
  </si>
  <si>
    <t>EN_Hydro_JPN-1</t>
  </si>
  <si>
    <t>EN_Hydro_JOR-1</t>
  </si>
  <si>
    <t>EN_Hydro_KAZ-1</t>
  </si>
  <si>
    <t>EN_Hydro_KEN-1</t>
  </si>
  <si>
    <t>EN_Hydro_KSV-1</t>
  </si>
  <si>
    <t>EN_Hydro_KGZ-1</t>
  </si>
  <si>
    <t>EN_Hydro_LAO-1</t>
  </si>
  <si>
    <t>EN_Hydro_LVA-1</t>
  </si>
  <si>
    <t>EN_Hydro_LBN-1</t>
  </si>
  <si>
    <t>EN_Hydro_LSO-1</t>
  </si>
  <si>
    <t>EN_Hydro_LTU-1</t>
  </si>
  <si>
    <t>EN_Hydro_LUX-1</t>
  </si>
  <si>
    <t>EN_Hydro_MKD-1</t>
  </si>
  <si>
    <t>EN_Hydro_MDG-1</t>
  </si>
  <si>
    <t>EN_Hydro_MWI-1</t>
  </si>
  <si>
    <t>EN_Hydro_MYS-1</t>
  </si>
  <si>
    <t>EN_Hydro_MLI-1</t>
  </si>
  <si>
    <t>EN_Hydro_MRT-1</t>
  </si>
  <si>
    <t>EN_Hydro_MUS-1</t>
  </si>
  <si>
    <t>EN_Hydro_MEX-1</t>
  </si>
  <si>
    <t>EN_Hydro_MDA-1</t>
  </si>
  <si>
    <t>EN_Hydro_MNE-1</t>
  </si>
  <si>
    <t>EN_Hydro_MAR-1</t>
  </si>
  <si>
    <t>EN_Hydro_MOZ-1</t>
  </si>
  <si>
    <t>EN_Hydro_MMR-1</t>
  </si>
  <si>
    <t>EN_Hydro_NPL-1</t>
  </si>
  <si>
    <t>EN_Hydro_NLD-1</t>
  </si>
  <si>
    <t>EN_Hydro_NCL-1</t>
  </si>
  <si>
    <t>EN_Hydro_NZL-1</t>
  </si>
  <si>
    <t>EN_Hydro_NIC-1</t>
  </si>
  <si>
    <t>EN_Hydro_NGA-1</t>
  </si>
  <si>
    <t>EN_Hydro_PRK-1</t>
  </si>
  <si>
    <t>EN_Hydro_NOR-1</t>
  </si>
  <si>
    <t>EN_Hydro_PAK-1</t>
  </si>
  <si>
    <t>EN_Hydro_PAN-1</t>
  </si>
  <si>
    <t>EN_Hydro_PNG-1</t>
  </si>
  <si>
    <t>EN_Hydro_PRY-1</t>
  </si>
  <si>
    <t>EN_Hydro_PER-1</t>
  </si>
  <si>
    <t>EN_Hydro_PHL-1</t>
  </si>
  <si>
    <t>EN_Hydro_POL-1</t>
  </si>
  <si>
    <t>EN_Hydro_PRT-1</t>
  </si>
  <si>
    <t>EN_Hydro_PRI-1</t>
  </si>
  <si>
    <t>EN_Hydro_ROM-1</t>
  </si>
  <si>
    <t>EN_Hydro_RUS-1</t>
  </si>
  <si>
    <t>EN_Hydro_RWA-1</t>
  </si>
  <si>
    <t>EN_Hydro_STP-1</t>
  </si>
  <si>
    <t>EN_Hydro_SRB-1</t>
  </si>
  <si>
    <t>EN_Hydro_SLE-1</t>
  </si>
  <si>
    <t>EN_Hydro_SVK-1</t>
  </si>
  <si>
    <t>EN_Hydro_SVN-1</t>
  </si>
  <si>
    <t>EN_Hydro_ZAF-1</t>
  </si>
  <si>
    <t>EN_Hydro_KOR-1</t>
  </si>
  <si>
    <t>EN_Hydro_ESP-1</t>
  </si>
  <si>
    <t>EN_Hydro_LKA-1</t>
  </si>
  <si>
    <t>EN_Hydro_SDN-1</t>
  </si>
  <si>
    <t>EN_Hydro_SUR-1</t>
  </si>
  <si>
    <t>EN_Hydro_SWZ-1</t>
  </si>
  <si>
    <t>EN_Hydro_SWE-1</t>
  </si>
  <si>
    <t>EN_Hydro_CHE-1</t>
  </si>
  <si>
    <t>EN_Hydro_SYR-1</t>
  </si>
  <si>
    <t>EN_Hydro_TWN-1</t>
  </si>
  <si>
    <t>EN_Hydro_TJK-1</t>
  </si>
  <si>
    <t>EN_Hydro_TZA-1</t>
  </si>
  <si>
    <t>EN_Hydro_THA-1</t>
  </si>
  <si>
    <t>EN_Hydro_TGO-1</t>
  </si>
  <si>
    <t>EN_Hydro_TUN-1</t>
  </si>
  <si>
    <t>EN_Hydro_TUR-1</t>
  </si>
  <si>
    <t>EN_Hydro_TKM-1</t>
  </si>
  <si>
    <t>EN_Hydro_UGA-1</t>
  </si>
  <si>
    <t>EN_Hydro_UKR-1</t>
  </si>
  <si>
    <t>EN_Hydro_GBR-1</t>
  </si>
  <si>
    <t>EN_Hydro_USA-1</t>
  </si>
  <si>
    <t>EN_Hydro_URY-1</t>
  </si>
  <si>
    <t>EN_Hydro_UZB-1</t>
  </si>
  <si>
    <t>EN_Hydro_VEN-1</t>
  </si>
  <si>
    <t>EN_Hydro_VNM-1</t>
  </si>
  <si>
    <t>EN_Hydro_ZMB-1</t>
  </si>
  <si>
    <t>EN_Hydro_ZWE-1</t>
  </si>
  <si>
    <t>EN_Hydro_AFG-2</t>
  </si>
  <si>
    <t>EN_Hydro_ALB-2</t>
  </si>
  <si>
    <t>EN_Hydro_DZA-2</t>
  </si>
  <si>
    <t>EN_Hydro_AGO-2</t>
  </si>
  <si>
    <t>EN_Hydro_ARG-2</t>
  </si>
  <si>
    <t>EN_Hydro_ARM-2</t>
  </si>
  <si>
    <t>EN_Hydro_AUS-2</t>
  </si>
  <si>
    <t>EN_Hydro_AUT-2</t>
  </si>
  <si>
    <t>EN_Hydro_AZE-2</t>
  </si>
  <si>
    <t>EN_Hydro_BGD-2</t>
  </si>
  <si>
    <t>EN_Hydro_BLR-2</t>
  </si>
  <si>
    <t>EN_Hydro_BEL-2</t>
  </si>
  <si>
    <t>EN_Hydro_BLZ-2</t>
  </si>
  <si>
    <t>EN_Hydro_BEN-2</t>
  </si>
  <si>
    <t>EN_Hydro_BTN-2</t>
  </si>
  <si>
    <t>EN_Hydro_BOL-2</t>
  </si>
  <si>
    <t>EN_Hydro_BIH-2</t>
  </si>
  <si>
    <t>EN_Hydro_BRA-2</t>
  </si>
  <si>
    <t>EN_Hydro_BGR-2</t>
  </si>
  <si>
    <t>EN_Hydro_BFA-2</t>
  </si>
  <si>
    <t>EN_Hydro_BDI-2</t>
  </si>
  <si>
    <t>EN_Hydro_KHM-2</t>
  </si>
  <si>
    <t>EN_Hydro_CMR-2</t>
  </si>
  <si>
    <t>EN_Hydro_CAN-2</t>
  </si>
  <si>
    <t>EN_Hydro_CAF-2</t>
  </si>
  <si>
    <t>EN_Hydro_CHL-2</t>
  </si>
  <si>
    <t>EN_Hydro_CHN-2</t>
  </si>
  <si>
    <t>EN_Hydro_COL-2</t>
  </si>
  <si>
    <t>EN_Hydro_COM-2</t>
  </si>
  <si>
    <t>EN_Hydro_COG-2</t>
  </si>
  <si>
    <t>EN_Hydro_CRI-2</t>
  </si>
  <si>
    <t>EN_Hydro_HRV-2</t>
  </si>
  <si>
    <t>EN_Hydro_CUB-2</t>
  </si>
  <si>
    <t>EN_Hydro_CZE-2</t>
  </si>
  <si>
    <t>EN_Hydro_CIV-2</t>
  </si>
  <si>
    <t>EN_Hydro_DNK-2</t>
  </si>
  <si>
    <t>EN_Hydro_DMA-2</t>
  </si>
  <si>
    <t>EN_Hydro_DOM-2</t>
  </si>
  <si>
    <t>EN_Hydro_ECU-2</t>
  </si>
  <si>
    <t>EN_Hydro_EGY-2</t>
  </si>
  <si>
    <t>EN_Hydro_SLV-2</t>
  </si>
  <si>
    <t>EN_Hydro_GNQ-2</t>
  </si>
  <si>
    <t>EN_Hydro_EST-2</t>
  </si>
  <si>
    <t>EN_Hydro_ETH-2</t>
  </si>
  <si>
    <t>EN_Hydro_FJI-2</t>
  </si>
  <si>
    <t>EN_Hydro_FIN-2</t>
  </si>
  <si>
    <t>EN_Hydro_FRA-2</t>
  </si>
  <si>
    <t>EN_Hydro_GUF-2</t>
  </si>
  <si>
    <t>EN_Hydro_PYF-2</t>
  </si>
  <si>
    <t>EN_Hydro_GAB-2</t>
  </si>
  <si>
    <t>EN_Hydro_GEO-2</t>
  </si>
  <si>
    <t>EN_Hydro_DEU-2</t>
  </si>
  <si>
    <t>EN_Hydro_GHA-2</t>
  </si>
  <si>
    <t>EN_Hydro_GRC-2</t>
  </si>
  <si>
    <t>EN_Hydro_GTM-2</t>
  </si>
  <si>
    <t>EN_Hydro_GIN-2</t>
  </si>
  <si>
    <t>EN_Hydro_HTI-2</t>
  </si>
  <si>
    <t>EN_Hydro_HND-2</t>
  </si>
  <si>
    <t>EN_Hydro_HUN-2</t>
  </si>
  <si>
    <t>EN_Hydro_ISL-2</t>
  </si>
  <si>
    <t>EN_Hydro_IND-2</t>
  </si>
  <si>
    <t>EN_Hydro_IDN-2</t>
  </si>
  <si>
    <t>EN_Hydro_IRN-2</t>
  </si>
  <si>
    <t>EN_Hydro_IRQ-2</t>
  </si>
  <si>
    <t>EN_Hydro_IRL-2</t>
  </si>
  <si>
    <t>EN_Hydro_ISR-2</t>
  </si>
  <si>
    <t>EN_Hydro_ITA-2</t>
  </si>
  <si>
    <t>EN_Hydro_JAM-2</t>
  </si>
  <si>
    <t>EN_Hydro_JPN-2</t>
  </si>
  <si>
    <t>EN_Hydro_JOR-2</t>
  </si>
  <si>
    <t>EN_Hydro_KAZ-2</t>
  </si>
  <si>
    <t>EN_Hydro_KEN-2</t>
  </si>
  <si>
    <t>EN_Hydro_KSV-2</t>
  </si>
  <si>
    <t>EN_Hydro_KGZ-2</t>
  </si>
  <si>
    <t>EN_Hydro_LAO-2</t>
  </si>
  <si>
    <t>EN_Hydro_LVA-2</t>
  </si>
  <si>
    <t>EN_Hydro_LBN-2</t>
  </si>
  <si>
    <t>EN_Hydro_LSO-2</t>
  </si>
  <si>
    <t>EN_Hydro_LTU-2</t>
  </si>
  <si>
    <t>EN_Hydro_LUX-2</t>
  </si>
  <si>
    <t>EN_Hydro_MKD-2</t>
  </si>
  <si>
    <t>EN_Hydro_MDG-2</t>
  </si>
  <si>
    <t>EN_Hydro_MWI-2</t>
  </si>
  <si>
    <t>EN_Hydro_MYS-2</t>
  </si>
  <si>
    <t>EN_Hydro_MLI-2</t>
  </si>
  <si>
    <t>EN_Hydro_MRT-2</t>
  </si>
  <si>
    <t>EN_Hydro_MUS-2</t>
  </si>
  <si>
    <t>EN_Hydro_MEX-2</t>
  </si>
  <si>
    <t>EN_Hydro_MDA-2</t>
  </si>
  <si>
    <t>EN_Hydro_MNE-2</t>
  </si>
  <si>
    <t>EN_Hydro_MAR-2</t>
  </si>
  <si>
    <t>EN_Hydro_MOZ-2</t>
  </si>
  <si>
    <t>EN_Hydro_MMR-2</t>
  </si>
  <si>
    <t>EN_Hydro_NPL-2</t>
  </si>
  <si>
    <t>EN_Hydro_NLD-2</t>
  </si>
  <si>
    <t>EN_Hydro_NCL-2</t>
  </si>
  <si>
    <t>EN_Hydro_NZL-2</t>
  </si>
  <si>
    <t>EN_Hydro_NIC-2</t>
  </si>
  <si>
    <t>EN_Hydro_NGA-2</t>
  </si>
  <si>
    <t>EN_Hydro_PRK-2</t>
  </si>
  <si>
    <t>EN_Hydro_NOR-2</t>
  </si>
  <si>
    <t>EN_Hydro_PAK-2</t>
  </si>
  <si>
    <t>EN_Hydro_PAN-2</t>
  </si>
  <si>
    <t>EN_Hydro_PNG-2</t>
  </si>
  <si>
    <t>EN_Hydro_PRY-2</t>
  </si>
  <si>
    <t>EN_Hydro_PER-2</t>
  </si>
  <si>
    <t>EN_Hydro_PHL-2</t>
  </si>
  <si>
    <t>EN_Hydro_POL-2</t>
  </si>
  <si>
    <t>EN_Hydro_PRT-2</t>
  </si>
  <si>
    <t>EN_Hydro_PRI-2</t>
  </si>
  <si>
    <t>EN_Hydro_ROM-2</t>
  </si>
  <si>
    <t>EN_Hydro_RUS-2</t>
  </si>
  <si>
    <t>EN_Hydro_RWA-2</t>
  </si>
  <si>
    <t>EN_Hydro_STP-2</t>
  </si>
  <si>
    <t>EN_Hydro_SRB-2</t>
  </si>
  <si>
    <t>EN_Hydro_SLE-2</t>
  </si>
  <si>
    <t>EN_Hydro_SVK-2</t>
  </si>
  <si>
    <t>EN_Hydro_SVN-2</t>
  </si>
  <si>
    <t>EN_Hydro_ZAF-2</t>
  </si>
  <si>
    <t>EN_Hydro_KOR-2</t>
  </si>
  <si>
    <t>EN_Hydro_ESP-2</t>
  </si>
  <si>
    <t>EN_Hydro_LKA-2</t>
  </si>
  <si>
    <t>EN_Hydro_SDN-2</t>
  </si>
  <si>
    <t>EN_Hydro_SUR-2</t>
  </si>
  <si>
    <t>EN_Hydro_SWZ-2</t>
  </si>
  <si>
    <t>EN_Hydro_SWE-2</t>
  </si>
  <si>
    <t>EN_Hydro_CHE-2</t>
  </si>
  <si>
    <t>EN_Hydro_SYR-2</t>
  </si>
  <si>
    <t>EN_Hydro_TWN-2</t>
  </si>
  <si>
    <t>EN_Hydro_TJK-2</t>
  </si>
  <si>
    <t>EN_Hydro_TZA-2</t>
  </si>
  <si>
    <t>EN_Hydro_THA-2</t>
  </si>
  <si>
    <t>EN_Hydro_TGO-2</t>
  </si>
  <si>
    <t>EN_Hydro_TUN-2</t>
  </si>
  <si>
    <t>EN_Hydro_TUR-2</t>
  </si>
  <si>
    <t>EN_Hydro_TKM-2</t>
  </si>
  <si>
    <t>EN_Hydro_UGA-2</t>
  </si>
  <si>
    <t>EN_Hydro_UKR-2</t>
  </si>
  <si>
    <t>EN_Hydro_GBR-2</t>
  </si>
  <si>
    <t>EN_Hydro_USA-2</t>
  </si>
  <si>
    <t>EN_Hydro_URY-2</t>
  </si>
  <si>
    <t>EN_Hydro_UZB-2</t>
  </si>
  <si>
    <t>EN_Hydro_VEN-2</t>
  </si>
  <si>
    <t>EN_Hydro_VNM-2</t>
  </si>
  <si>
    <t>EN_Hydro_ZMB-2</t>
  </si>
  <si>
    <t>EN_Hydro_ZWE-2</t>
  </si>
  <si>
    <t>EN_Hydro_AFG-3</t>
  </si>
  <si>
    <t>EN_Hydro_ALB-3</t>
  </si>
  <si>
    <t>EN_Hydro_DZA-3</t>
  </si>
  <si>
    <t>EN_Hydro_AGO-3</t>
  </si>
  <si>
    <t>EN_Hydro_ARG-3</t>
  </si>
  <si>
    <t>EN_Hydro_ARM-3</t>
  </si>
  <si>
    <t>EN_Hydro_AUS-3</t>
  </si>
  <si>
    <t>EN_Hydro_AUT-3</t>
  </si>
  <si>
    <t>EN_Hydro_AZE-3</t>
  </si>
  <si>
    <t>EN_Hydro_BGD-3</t>
  </si>
  <si>
    <t>EN_Hydro_BLR-3</t>
  </si>
  <si>
    <t>EN_Hydro_BEL-3</t>
  </si>
  <si>
    <t>EN_Hydro_BLZ-3</t>
  </si>
  <si>
    <t>EN_Hydro_BEN-3</t>
  </si>
  <si>
    <t>EN_Hydro_BTN-3</t>
  </si>
  <si>
    <t>EN_Hydro_BOL-3</t>
  </si>
  <si>
    <t>EN_Hydro_BIH-3</t>
  </si>
  <si>
    <t>EN_Hydro_BRA-3</t>
  </si>
  <si>
    <t>EN_Hydro_BGR-3</t>
  </si>
  <si>
    <t>EN_Hydro_BFA-3</t>
  </si>
  <si>
    <t>EN_Hydro_BDI-3</t>
  </si>
  <si>
    <t>EN_Hydro_KHM-3</t>
  </si>
  <si>
    <t>EN_Hydro_CMR-3</t>
  </si>
  <si>
    <t>EN_Hydro_CAN-3</t>
  </si>
  <si>
    <t>EN_Hydro_CAF-3</t>
  </si>
  <si>
    <t>EN_Hydro_CHL-3</t>
  </si>
  <si>
    <t>EN_Hydro_CHN-3</t>
  </si>
  <si>
    <t>EN_Hydro_COL-3</t>
  </si>
  <si>
    <t>EN_Hydro_COM-3</t>
  </si>
  <si>
    <t>EN_Hydro_COG-3</t>
  </si>
  <si>
    <t>EN_Hydro_CRI-3</t>
  </si>
  <si>
    <t>EN_Hydro_HRV-3</t>
  </si>
  <si>
    <t>EN_Hydro_CUB-3</t>
  </si>
  <si>
    <t>EN_Hydro_CZE-3</t>
  </si>
  <si>
    <t>EN_Hydro_CIV-3</t>
  </si>
  <si>
    <t>EN_Hydro_DNK-3</t>
  </si>
  <si>
    <t>EN_Hydro_DMA-3</t>
  </si>
  <si>
    <t>EN_Hydro_DOM-3</t>
  </si>
  <si>
    <t>EN_Hydro_ECU-3</t>
  </si>
  <si>
    <t>EN_Hydro_EGY-3</t>
  </si>
  <si>
    <t>EN_Hydro_SLV-3</t>
  </si>
  <si>
    <t>EN_Hydro_GNQ-3</t>
  </si>
  <si>
    <t>EN_Hydro_EST-3</t>
  </si>
  <si>
    <t>EN_Hydro_ETH-3</t>
  </si>
  <si>
    <t>EN_Hydro_FJI-3</t>
  </si>
  <si>
    <t>EN_Hydro_FIN-3</t>
  </si>
  <si>
    <t>EN_Hydro_FRA-3</t>
  </si>
  <si>
    <t>EN_Hydro_GUF-3</t>
  </si>
  <si>
    <t>EN_Hydro_PYF-3</t>
  </si>
  <si>
    <t>EN_Hydro_GAB-3</t>
  </si>
  <si>
    <t>EN_Hydro_GEO-3</t>
  </si>
  <si>
    <t>EN_Hydro_DEU-3</t>
  </si>
  <si>
    <t>EN_Hydro_GHA-3</t>
  </si>
  <si>
    <t>EN_Hydro_GRC-3</t>
  </si>
  <si>
    <t>EN_Hydro_GTM-3</t>
  </si>
  <si>
    <t>EN_Hydro_GIN-3</t>
  </si>
  <si>
    <t>EN_Hydro_HTI-3</t>
  </si>
  <si>
    <t>EN_Hydro_HND-3</t>
  </si>
  <si>
    <t>EN_Hydro_HUN-3</t>
  </si>
  <si>
    <t>EN_Hydro_ISL-3</t>
  </si>
  <si>
    <t>EN_Hydro_IND-3</t>
  </si>
  <si>
    <t>EN_Hydro_IDN-3</t>
  </si>
  <si>
    <t>EN_Hydro_IRN-3</t>
  </si>
  <si>
    <t>EN_Hydro_IRQ-3</t>
  </si>
  <si>
    <t>EN_Hydro_IRL-3</t>
  </si>
  <si>
    <t>EN_Hydro_ISR-3</t>
  </si>
  <si>
    <t>EN_Hydro_ITA-3</t>
  </si>
  <si>
    <t>EN_Hydro_JAM-3</t>
  </si>
  <si>
    <t>EN_Hydro_JPN-3</t>
  </si>
  <si>
    <t>EN_Hydro_JOR-3</t>
  </si>
  <si>
    <t>EN_Hydro_KAZ-3</t>
  </si>
  <si>
    <t>EN_Hydro_KEN-3</t>
  </si>
  <si>
    <t>EN_Hydro_KSV-3</t>
  </si>
  <si>
    <t>EN_Hydro_KGZ-3</t>
  </si>
  <si>
    <t>EN_Hydro_LAO-3</t>
  </si>
  <si>
    <t>EN_Hydro_LVA-3</t>
  </si>
  <si>
    <t>EN_Hydro_LBN-3</t>
  </si>
  <si>
    <t>EN_Hydro_LSO-3</t>
  </si>
  <si>
    <t>EN_Hydro_LTU-3</t>
  </si>
  <si>
    <t>EN_Hydro_LUX-3</t>
  </si>
  <si>
    <t>EN_Hydro_MKD-3</t>
  </si>
  <si>
    <t>EN_Hydro_MDG-3</t>
  </si>
  <si>
    <t>EN_Hydro_MWI-3</t>
  </si>
  <si>
    <t>EN_Hydro_MYS-3</t>
  </si>
  <si>
    <t>EN_Hydro_MLI-3</t>
  </si>
  <si>
    <t>EN_Hydro_MRT-3</t>
  </si>
  <si>
    <t>EN_Hydro_MUS-3</t>
  </si>
  <si>
    <t>EN_Hydro_MEX-3</t>
  </si>
  <si>
    <t>EN_Hydro_MDA-3</t>
  </si>
  <si>
    <t>EN_Hydro_MNE-3</t>
  </si>
  <si>
    <t>EN_Hydro_MAR-3</t>
  </si>
  <si>
    <t>EN_Hydro_MOZ-3</t>
  </si>
  <si>
    <t>EN_Hydro_MMR-3</t>
  </si>
  <si>
    <t>EN_Hydro_NPL-3</t>
  </si>
  <si>
    <t>EN_Hydro_NLD-3</t>
  </si>
  <si>
    <t>EN_Hydro_NCL-3</t>
  </si>
  <si>
    <t>EN_Hydro_NZL-3</t>
  </si>
  <si>
    <t>EN_Hydro_NIC-3</t>
  </si>
  <si>
    <t>EN_Hydro_NGA-3</t>
  </si>
  <si>
    <t>EN_Hydro_PRK-3</t>
  </si>
  <si>
    <t>EN_Hydro_NOR-3</t>
  </si>
  <si>
    <t>EN_Hydro_PAK-3</t>
  </si>
  <si>
    <t>EN_Hydro_PAN-3</t>
  </si>
  <si>
    <t>EN_Hydro_PNG-3</t>
  </si>
  <si>
    <t>EN_Hydro_PRY-3</t>
  </si>
  <si>
    <t>EN_Hydro_PER-3</t>
  </si>
  <si>
    <t>EN_Hydro_PHL-3</t>
  </si>
  <si>
    <t>EN_Hydro_POL-3</t>
  </si>
  <si>
    <t>EN_Hydro_PRT-3</t>
  </si>
  <si>
    <t>EN_Hydro_PRI-3</t>
  </si>
  <si>
    <t>EN_Hydro_ROM-3</t>
  </si>
  <si>
    <t>EN_Hydro_RUS-3</t>
  </si>
  <si>
    <t>EN_Hydro_RWA-3</t>
  </si>
  <si>
    <t>EN_Hydro_STP-3</t>
  </si>
  <si>
    <t>EN_Hydro_SRB-3</t>
  </si>
  <si>
    <t>EN_Hydro_SLE-3</t>
  </si>
  <si>
    <t>EN_Hydro_SVK-3</t>
  </si>
  <si>
    <t>EN_Hydro_SVN-3</t>
  </si>
  <si>
    <t>EN_Hydro_ZAF-3</t>
  </si>
  <si>
    <t>EN_Hydro_KOR-3</t>
  </si>
  <si>
    <t>EN_Hydro_ESP-3</t>
  </si>
  <si>
    <t>EN_Hydro_LKA-3</t>
  </si>
  <si>
    <t>EN_Hydro_SDN-3</t>
  </si>
  <si>
    <t>EN_Hydro_SUR-3</t>
  </si>
  <si>
    <t>EN_Hydro_SWZ-3</t>
  </si>
  <si>
    <t>EN_Hydro_SWE-3</t>
  </si>
  <si>
    <t>EN_Hydro_CHE-3</t>
  </si>
  <si>
    <t>EN_Hydro_SYR-3</t>
  </si>
  <si>
    <t>EN_Hydro_TWN-3</t>
  </si>
  <si>
    <t>EN_Hydro_TJK-3</t>
  </si>
  <si>
    <t>EN_Hydro_TZA-3</t>
  </si>
  <si>
    <t>EN_Hydro_THA-3</t>
  </si>
  <si>
    <t>EN_Hydro_TGO-3</t>
  </si>
  <si>
    <t>EN_Hydro_TUN-3</t>
  </si>
  <si>
    <t>EN_Hydro_TUR-3</t>
  </si>
  <si>
    <t>EN_Hydro_TKM-3</t>
  </si>
  <si>
    <t>EN_Hydro_UGA-3</t>
  </si>
  <si>
    <t>EN_Hydro_UKR-3</t>
  </si>
  <si>
    <t>EN_Hydro_GBR-3</t>
  </si>
  <si>
    <t>EN_Hydro_USA-3</t>
  </si>
  <si>
    <t>EN_Hydro_URY-3</t>
  </si>
  <si>
    <t>EN_Hydro_UZB-3</t>
  </si>
  <si>
    <t>EN_Hydro_VEN-3</t>
  </si>
  <si>
    <t>EN_Hydro_VNM-3</t>
  </si>
  <si>
    <t>EN_Hydro_ZMB-3</t>
  </si>
  <si>
    <t>EN_Hydro_ZWE-3</t>
  </si>
  <si>
    <t>TACT</t>
  </si>
  <si>
    <t>TCAP</t>
  </si>
  <si>
    <t>ELE</t>
  </si>
  <si>
    <t>New Hydro Potential - Afghanistan - Step 1</t>
  </si>
  <si>
    <t>PJ</t>
  </si>
  <si>
    <t>DAYNITE</t>
  </si>
  <si>
    <t>New Hydro Potential - Angola - Step 1</t>
  </si>
  <si>
    <t>New Hydro Potential - Albania - Step 1</t>
  </si>
  <si>
    <t>New Hydro Potential - Argentina - Step 1</t>
  </si>
  <si>
    <t>New Hydro Potential - Armenia - Step 1</t>
  </si>
  <si>
    <t>New Hydro Potential - Australia - Step 1</t>
  </si>
  <si>
    <t>New Hydro Potential - Austria - Step 1</t>
  </si>
  <si>
    <t>New Hydro Potential - Azerbaijan - Step 1</t>
  </si>
  <si>
    <t>New Hydro Potential - Burundi - Step 1</t>
  </si>
  <si>
    <t>New Hydro Potential - Belgium - Step 1</t>
  </si>
  <si>
    <t>New Hydro Potential - Benin - Step 1</t>
  </si>
  <si>
    <t>New Hydro Potential - Burkina Faso - Step 1</t>
  </si>
  <si>
    <t>New Hydro Potential - Bangladesh - Step 1</t>
  </si>
  <si>
    <t>New Hydro Potential - Bulgaria - Step 1</t>
  </si>
  <si>
    <t>New Hydro Potential - Bosnia and Herzegovina - Step 1</t>
  </si>
  <si>
    <t>New Hydro Potential - Belarus - Step 1</t>
  </si>
  <si>
    <t>New Hydro Potential - Belize - Step 1</t>
  </si>
  <si>
    <t>New Hydro Potential - Bolivia - Step 1</t>
  </si>
  <si>
    <t>New Hydro Potential - Brazil - Step 1</t>
  </si>
  <si>
    <t>New Hydro Potential - Bhutan - Step 1</t>
  </si>
  <si>
    <t>New Hydro Potential - Central African Republic - Step 1</t>
  </si>
  <si>
    <t>New Hydro Potential - Canada - Step 1</t>
  </si>
  <si>
    <t>New Hydro Potential - Switzerland - Step 1</t>
  </si>
  <si>
    <t>New Hydro Potential - Chile - Step 1</t>
  </si>
  <si>
    <t>New Hydro Potential - China - Step 1</t>
  </si>
  <si>
    <t>New Hydro Potential - Ivory Coast - Step 1</t>
  </si>
  <si>
    <t>New Hydro Potential - Cameroon - Step 1</t>
  </si>
  <si>
    <t>New Hydro Potential - Republic of Congo - Step 1</t>
  </si>
  <si>
    <t>New Hydro Potential - Colombia - Step 1</t>
  </si>
  <si>
    <t>New Hydro Potential - Comoros - Step 1</t>
  </si>
  <si>
    <t>New Hydro Potential - Costa Rica - Step 1</t>
  </si>
  <si>
    <t>New Hydro Potential - Cuba - Step 1</t>
  </si>
  <si>
    <t>New Hydro Potential - Czech Republic - Step 1</t>
  </si>
  <si>
    <t>New Hydro Potential - Germany - Step 1</t>
  </si>
  <si>
    <t>New Hydro Potential - Dominica - Step 1</t>
  </si>
  <si>
    <t>New Hydro Potential - Denmark - Step 1</t>
  </si>
  <si>
    <t>New Hydro Potential - Dominican Republic - Step 1</t>
  </si>
  <si>
    <t>New Hydro Potential - Algeria - Step 1</t>
  </si>
  <si>
    <t>New Hydro Potential - Ecuador - Step 1</t>
  </si>
  <si>
    <t>New Hydro Potential - Egypt - Step 1</t>
  </si>
  <si>
    <t>New Hydro Potential - Spain - Step 1</t>
  </si>
  <si>
    <t>New Hydro Potential - Estonia - Step 1</t>
  </si>
  <si>
    <t>New Hydro Potential - Ethiopia - Step 1</t>
  </si>
  <si>
    <t>New Hydro Potential - Finland - Step 1</t>
  </si>
  <si>
    <t>New Hydro Potential - Fiji - Step 1</t>
  </si>
  <si>
    <t>New Hydro Potential - France - Step 1</t>
  </si>
  <si>
    <t>New Hydro Potential - Gabon - Step 1</t>
  </si>
  <si>
    <t>New Hydro Potential - United Kingdom - Step 1</t>
  </si>
  <si>
    <t>New Hydro Potential - Georgia - Step 1</t>
  </si>
  <si>
    <t>New Hydro Potential - Ghana - Step 1</t>
  </si>
  <si>
    <t>New Hydro Potential - Guinea - Step 1</t>
  </si>
  <si>
    <t>New Hydro Potential - Equatorial Guinea - Step 1</t>
  </si>
  <si>
    <t>New Hydro Potential - Greece - Step 1</t>
  </si>
  <si>
    <t>New Hydro Potential - Guatemala - Step 1</t>
  </si>
  <si>
    <t>New Hydro Potential - French Guiana - Step 1</t>
  </si>
  <si>
    <t>New Hydro Potential - Honduras - Step 1</t>
  </si>
  <si>
    <t>New Hydro Potential - Croatia - Step 1</t>
  </si>
  <si>
    <t>New Hydro Potential - Haiti - Step 1</t>
  </si>
  <si>
    <t>New Hydro Potential - Hungary - Step 1</t>
  </si>
  <si>
    <t>New Hydro Potential - Indonesia - Step 1</t>
  </si>
  <si>
    <t>New Hydro Potential - India - Step 1</t>
  </si>
  <si>
    <t>New Hydro Potential - Ireland - Step 1</t>
  </si>
  <si>
    <t>New Hydro Potential - Iran - Step 1</t>
  </si>
  <si>
    <t>New Hydro Potential - Iraq - Step 1</t>
  </si>
  <si>
    <t>New Hydro Potential - Iceland - Step 1</t>
  </si>
  <si>
    <t>New Hydro Potential - Israel - Step 1</t>
  </si>
  <si>
    <t>New Hydro Potential - Italy - Step 1</t>
  </si>
  <si>
    <t>New Hydro Potential - Jamaica - Step 1</t>
  </si>
  <si>
    <t>New Hydro Potential - Jordan - Step 1</t>
  </si>
  <si>
    <t>New Hydro Potential - Japan - Step 1</t>
  </si>
  <si>
    <t>New Hydro Potential - Kazakhstan - Step 1</t>
  </si>
  <si>
    <t>New Hydro Potential - Kenya - Step 1</t>
  </si>
  <si>
    <t>New Hydro Potential - Kyrgyz Republic - Step 1</t>
  </si>
  <si>
    <t>New Hydro Potential - Cambodia - Step 1</t>
  </si>
  <si>
    <t>New Hydro Potential - South Korea - Step 1</t>
  </si>
  <si>
    <t>New Hydro Potential - Kosovo - Step 1</t>
  </si>
  <si>
    <t>New Hydro Potential - Laos - Step 1</t>
  </si>
  <si>
    <t>New Hydro Potential - Lebanon - Step 1</t>
  </si>
  <si>
    <t>New Hydro Potential - Sri Lanka - Step 1</t>
  </si>
  <si>
    <t>New Hydro Potential - Lesotho - Step 1</t>
  </si>
  <si>
    <t>New Hydro Potential - Lithuania - Step 1</t>
  </si>
  <si>
    <t>New Hydro Potential - Luxembourg - Step 1</t>
  </si>
  <si>
    <t>New Hydro Potential - Latvia - Step 1</t>
  </si>
  <si>
    <t>New Hydro Potential - Morocco - Step 1</t>
  </si>
  <si>
    <t>New Hydro Potential - Moldova - Step 1</t>
  </si>
  <si>
    <t>New Hydro Potential - Madagascar - Step 1</t>
  </si>
  <si>
    <t>New Hydro Potential - Mexico - Step 1</t>
  </si>
  <si>
    <t>New Hydro Potential - Macedonia - Step 1</t>
  </si>
  <si>
    <t>New Hydro Potential - Mali - Step 1</t>
  </si>
  <si>
    <t>New Hydro Potential - Myanmar - Step 1</t>
  </si>
  <si>
    <t>New Hydro Potential - Montenegro - Step 1</t>
  </si>
  <si>
    <t>New Hydro Potential - Mozambique - Step 1</t>
  </si>
  <si>
    <t>New Hydro Potential - Mauritania - Step 1</t>
  </si>
  <si>
    <t>New Hydro Potential - Mauritius - Step 1</t>
  </si>
  <si>
    <t>New Hydro Potential - Malawi - Step 1</t>
  </si>
  <si>
    <t>New Hydro Potential - Malaysia - Step 1</t>
  </si>
  <si>
    <t>New Hydro Potential - New Caledonia - Step 1</t>
  </si>
  <si>
    <t>New Hydro Potential - Nigeria - Step 1</t>
  </si>
  <si>
    <t>New Hydro Potential - Nicaragua - Step 1</t>
  </si>
  <si>
    <t>New Hydro Potential - Netherlands - Step 1</t>
  </si>
  <si>
    <t>New Hydro Potential - Norway - Step 1</t>
  </si>
  <si>
    <t>New Hydro Potential - Nepal - Step 1</t>
  </si>
  <si>
    <t>New Hydro Potential - New Zealand - Step 1</t>
  </si>
  <si>
    <t>New Hydro Potential - Pakistan - Step 1</t>
  </si>
  <si>
    <t>New Hydro Potential - Panama - Step 1</t>
  </si>
  <si>
    <t>New Hydro Potential - Peru - Step 1</t>
  </si>
  <si>
    <t>New Hydro Potential - Philippines - Step 1</t>
  </si>
  <si>
    <t>New Hydro Potential - Papua New Guinea - Step 1</t>
  </si>
  <si>
    <t>New Hydro Potential - Poland - Step 1</t>
  </si>
  <si>
    <t>New Hydro Potential - Puerto Rico - Step 1</t>
  </si>
  <si>
    <t>New Hydro Potential - Dem. People^s Rep. Korea - Step 1</t>
  </si>
  <si>
    <t>New Hydro Potential - Portugal - Step 1</t>
  </si>
  <si>
    <t>New Hydro Potential - Paraguay - Step 1</t>
  </si>
  <si>
    <t>New Hydro Potential - French Polynesia - Step 1</t>
  </si>
  <si>
    <t>New Hydro Potential - Romania - Step 1</t>
  </si>
  <si>
    <t>New Hydro Potential - Russia - Step 1</t>
  </si>
  <si>
    <t>New Hydro Potential - Rwanda - Step 1</t>
  </si>
  <si>
    <t>New Hydro Potential - Sudan - Step 1</t>
  </si>
  <si>
    <t>New Hydro Potential - Sierra Leone - Step 1</t>
  </si>
  <si>
    <t>New Hydro Potential - El Salvador - Step 1</t>
  </si>
  <si>
    <t>New Hydro Potential - Serbia - Step 1</t>
  </si>
  <si>
    <t>New Hydro Potential - Sao Tome and Principe - Step 1</t>
  </si>
  <si>
    <t>New Hydro Potential - Suriname - Step 1</t>
  </si>
  <si>
    <t>New Hydro Potential - Slovak Republic - Step 1</t>
  </si>
  <si>
    <t>New Hydro Potential - Slovenia - Step 1</t>
  </si>
  <si>
    <t>New Hydro Potential - Sweden - Step 1</t>
  </si>
  <si>
    <t>New Hydro Potential - Swaziland - Step 1</t>
  </si>
  <si>
    <t>New Hydro Potential - Syrian Arab Republic - Step 1</t>
  </si>
  <si>
    <t>New Hydro Potential - Togo - Step 1</t>
  </si>
  <si>
    <t>New Hydro Potential - Thailand - Step 1</t>
  </si>
  <si>
    <t>New Hydro Potential - Tajikistan - Step 1</t>
  </si>
  <si>
    <t>New Hydro Potential - Turkmenistan - Step 1</t>
  </si>
  <si>
    <t>New Hydro Potential - Tunisia - Step 1</t>
  </si>
  <si>
    <t>New Hydro Potential - Turkey - Step 1</t>
  </si>
  <si>
    <t>New Hydro Potential - Taiwan - Step 1</t>
  </si>
  <si>
    <t>New Hydro Potential - Tanzania - Step 1</t>
  </si>
  <si>
    <t>New Hydro Potential - Uganda - Step 1</t>
  </si>
  <si>
    <t>New Hydro Potential - Ukraine - Step 1</t>
  </si>
  <si>
    <t>New Hydro Potential - Uruguay - Step 1</t>
  </si>
  <si>
    <t>New Hydro Potential - United States - Step 1</t>
  </si>
  <si>
    <t>New Hydro Potential - Uzbekistan - Step 1</t>
  </si>
  <si>
    <t>New Hydro Potential - Venezuela - Step 1</t>
  </si>
  <si>
    <t>New Hydro Potential - Vietnam - Step 1</t>
  </si>
  <si>
    <t>New Hydro Potential - South Africa - Step 1</t>
  </si>
  <si>
    <t>New Hydro Potential - Zambia - Step 1</t>
  </si>
  <si>
    <t>New Hydro Potential - Zimbabwe - Step 1</t>
  </si>
  <si>
    <t>New Hydro Potential - Afghanistan - Step 2</t>
  </si>
  <si>
    <t>New Hydro Potential - Angola - Step 2</t>
  </si>
  <si>
    <t>New Hydro Potential - Albania - Step 2</t>
  </si>
  <si>
    <t>New Hydro Potential - Argentina - Step 2</t>
  </si>
  <si>
    <t>New Hydro Potential - Armenia - Step 2</t>
  </si>
  <si>
    <t>New Hydro Potential - Australia - Step 2</t>
  </si>
  <si>
    <t>New Hydro Potential - Austria - Step 2</t>
  </si>
  <si>
    <t>New Hydro Potential - Azerbaijan - Step 2</t>
  </si>
  <si>
    <t>New Hydro Potential - Burundi - Step 2</t>
  </si>
  <si>
    <t>New Hydro Potential - Belgium - Step 2</t>
  </si>
  <si>
    <t>New Hydro Potential - Benin - Step 2</t>
  </si>
  <si>
    <t>New Hydro Potential - Burkina Faso - Step 2</t>
  </si>
  <si>
    <t>New Hydro Potential - Bangladesh - Step 2</t>
  </si>
  <si>
    <t>New Hydro Potential - Bulgaria - Step 2</t>
  </si>
  <si>
    <t>New Hydro Potential - Bosnia and Herzegovina - Step 2</t>
  </si>
  <si>
    <t>New Hydro Potential - Belarus - Step 2</t>
  </si>
  <si>
    <t>New Hydro Potential - Belize - Step 2</t>
  </si>
  <si>
    <t>New Hydro Potential - Bolivia - Step 2</t>
  </si>
  <si>
    <t>New Hydro Potential - Brazil - Step 2</t>
  </si>
  <si>
    <t>New Hydro Potential - Bhutan - Step 2</t>
  </si>
  <si>
    <t>New Hydro Potential - Central African Republic - Step 2</t>
  </si>
  <si>
    <t>New Hydro Potential - Canada - Step 2</t>
  </si>
  <si>
    <t>New Hydro Potential - Switzerland - Step 2</t>
  </si>
  <si>
    <t>New Hydro Potential - Chile - Step 2</t>
  </si>
  <si>
    <t>New Hydro Potential - China - Step 2</t>
  </si>
  <si>
    <t>New Hydro Potential - Ivory Coast - Step 2</t>
  </si>
  <si>
    <t>New Hydro Potential - Cameroon - Step 2</t>
  </si>
  <si>
    <t>New Hydro Potential - Republic of Congo - Step 2</t>
  </si>
  <si>
    <t>New Hydro Potential - Colombia - Step 2</t>
  </si>
  <si>
    <t>New Hydro Potential - Comoros - Step 2</t>
  </si>
  <si>
    <t>New Hydro Potential - Costa Rica - Step 2</t>
  </si>
  <si>
    <t>New Hydro Potential - Cuba - Step 2</t>
  </si>
  <si>
    <t>New Hydro Potential - Czech Republic - Step 2</t>
  </si>
  <si>
    <t>New Hydro Potential - Germany - Step 2</t>
  </si>
  <si>
    <t>New Hydro Potential - Dominica - Step 2</t>
  </si>
  <si>
    <t>New Hydro Potential - Denmark - Step 2</t>
  </si>
  <si>
    <t>New Hydro Potential - Dominican Republic - Step 2</t>
  </si>
  <si>
    <t>New Hydro Potential - Algeria - Step 2</t>
  </si>
  <si>
    <t>New Hydro Potential - Ecuador - Step 2</t>
  </si>
  <si>
    <t>New Hydro Potential - Egypt - Step 2</t>
  </si>
  <si>
    <t>New Hydro Potential - Spain - Step 2</t>
  </si>
  <si>
    <t>New Hydro Potential - Estonia - Step 2</t>
  </si>
  <si>
    <t>New Hydro Potential - Ethiopia - Step 2</t>
  </si>
  <si>
    <t>New Hydro Potential - Finland - Step 2</t>
  </si>
  <si>
    <t>New Hydro Potential - Fiji - Step 2</t>
  </si>
  <si>
    <t>New Hydro Potential - France - Step 2</t>
  </si>
  <si>
    <t>New Hydro Potential - Gabon - Step 2</t>
  </si>
  <si>
    <t>New Hydro Potential - United Kingdom - Step 2</t>
  </si>
  <si>
    <t>New Hydro Potential - Georgia - Step 2</t>
  </si>
  <si>
    <t>New Hydro Potential - Ghana - Step 2</t>
  </si>
  <si>
    <t>New Hydro Potential - Guinea - Step 2</t>
  </si>
  <si>
    <t>New Hydro Potential - Equatorial Guinea - Step 2</t>
  </si>
  <si>
    <t>New Hydro Potential - Greece - Step 2</t>
  </si>
  <si>
    <t>New Hydro Potential - Guatemala - Step 2</t>
  </si>
  <si>
    <t>New Hydro Potential - French Guiana - Step 2</t>
  </si>
  <si>
    <t>New Hydro Potential - Honduras - Step 2</t>
  </si>
  <si>
    <t>New Hydro Potential - Croatia - Step 2</t>
  </si>
  <si>
    <t>New Hydro Potential - Haiti - Step 2</t>
  </si>
  <si>
    <t>New Hydro Potential - Hungary - Step 2</t>
  </si>
  <si>
    <t>New Hydro Potential - Indonesia - Step 2</t>
  </si>
  <si>
    <t>New Hydro Potential - India - Step 2</t>
  </si>
  <si>
    <t>New Hydro Potential - Ireland - Step 2</t>
  </si>
  <si>
    <t>New Hydro Potential - Iran - Step 2</t>
  </si>
  <si>
    <t>New Hydro Potential - Iraq - Step 2</t>
  </si>
  <si>
    <t>New Hydro Potential - Iceland - Step 2</t>
  </si>
  <si>
    <t>New Hydro Potential - Israel - Step 2</t>
  </si>
  <si>
    <t>New Hydro Potential - Italy - Step 2</t>
  </si>
  <si>
    <t>New Hydro Potential - Jamaica - Step 2</t>
  </si>
  <si>
    <t>New Hydro Potential - Jordan - Step 2</t>
  </si>
  <si>
    <t>New Hydro Potential - Japan - Step 2</t>
  </si>
  <si>
    <t>New Hydro Potential - Kazakhstan - Step 2</t>
  </si>
  <si>
    <t>New Hydro Potential - Kenya - Step 2</t>
  </si>
  <si>
    <t>New Hydro Potential - Kyrgyz Republic - Step 2</t>
  </si>
  <si>
    <t>New Hydro Potential - Cambodia - Step 2</t>
  </si>
  <si>
    <t>New Hydro Potential - South Korea - Step 2</t>
  </si>
  <si>
    <t>New Hydro Potential - Kosovo - Step 2</t>
  </si>
  <si>
    <t>New Hydro Potential - Laos - Step 2</t>
  </si>
  <si>
    <t>New Hydro Potential - Lebanon - Step 2</t>
  </si>
  <si>
    <t>New Hydro Potential - Sri Lanka - Step 2</t>
  </si>
  <si>
    <t>New Hydro Potential - Lesotho - Step 2</t>
  </si>
  <si>
    <t>New Hydro Potential - Lithuania - Step 2</t>
  </si>
  <si>
    <t>New Hydro Potential - Luxembourg - Step 2</t>
  </si>
  <si>
    <t>New Hydro Potential - Latvia - Step 2</t>
  </si>
  <si>
    <t>New Hydro Potential - Morocco - Step 2</t>
  </si>
  <si>
    <t>New Hydro Potential - Moldova - Step 2</t>
  </si>
  <si>
    <t>New Hydro Potential - Madagascar - Step 2</t>
  </si>
  <si>
    <t>New Hydro Potential - Mexico - Step 2</t>
  </si>
  <si>
    <t>New Hydro Potential - Macedonia - Step 2</t>
  </si>
  <si>
    <t>New Hydro Potential - Mali - Step 2</t>
  </si>
  <si>
    <t>New Hydro Potential - Myanmar - Step 2</t>
  </si>
  <si>
    <t>New Hydro Potential - Montenegro - Step 2</t>
  </si>
  <si>
    <t>New Hydro Potential - Mozambique - Step 2</t>
  </si>
  <si>
    <t>New Hydro Potential - Mauritania - Step 2</t>
  </si>
  <si>
    <t>New Hydro Potential - Mauritius - Step 2</t>
  </si>
  <si>
    <t>New Hydro Potential - Malawi - Step 2</t>
  </si>
  <si>
    <t>New Hydro Potential - Malaysia - Step 2</t>
  </si>
  <si>
    <t>New Hydro Potential - New Caledonia - Step 2</t>
  </si>
  <si>
    <t>New Hydro Potential - Nigeria - Step 2</t>
  </si>
  <si>
    <t>New Hydro Potential - Nicaragua - Step 2</t>
  </si>
  <si>
    <t>New Hydro Potential - Netherlands - Step 2</t>
  </si>
  <si>
    <t>New Hydro Potential - Norway - Step 2</t>
  </si>
  <si>
    <t>New Hydro Potential - Nepal - Step 2</t>
  </si>
  <si>
    <t>New Hydro Potential - New Zealand - Step 2</t>
  </si>
  <si>
    <t>New Hydro Potential - Pakistan - Step 2</t>
  </si>
  <si>
    <t>New Hydro Potential - Panama - Step 2</t>
  </si>
  <si>
    <t>New Hydro Potential - Peru - Step 2</t>
  </si>
  <si>
    <t>New Hydro Potential - Philippines - Step 2</t>
  </si>
  <si>
    <t>New Hydro Potential - Papua New Guinea - Step 2</t>
  </si>
  <si>
    <t>New Hydro Potential - Poland - Step 2</t>
  </si>
  <si>
    <t>New Hydro Potential - Puerto Rico - Step 2</t>
  </si>
  <si>
    <t>New Hydro Potential - Dem. People^s Rep. Korea - Step 2</t>
  </si>
  <si>
    <t>New Hydro Potential - Portugal - Step 2</t>
  </si>
  <si>
    <t>New Hydro Potential - Paraguay - Step 2</t>
  </si>
  <si>
    <t>New Hydro Potential - French Polynesia - Step 2</t>
  </si>
  <si>
    <t>New Hydro Potential - Romania - Step 2</t>
  </si>
  <si>
    <t>New Hydro Potential - Russia - Step 2</t>
  </si>
  <si>
    <t>New Hydro Potential - Rwanda - Step 2</t>
  </si>
  <si>
    <t>New Hydro Potential - Sudan - Step 2</t>
  </si>
  <si>
    <t>New Hydro Potential - Sierra Leone - Step 2</t>
  </si>
  <si>
    <t>New Hydro Potential - El Salvador - Step 2</t>
  </si>
  <si>
    <t>New Hydro Potential - Serbia - Step 2</t>
  </si>
  <si>
    <t>New Hydro Potential - Sao Tome and Principe - Step 2</t>
  </si>
  <si>
    <t>New Hydro Potential - Suriname - Step 2</t>
  </si>
  <si>
    <t>New Hydro Potential - Slovak Republic - Step 2</t>
  </si>
  <si>
    <t>New Hydro Potential - Slovenia - Step 2</t>
  </si>
  <si>
    <t>New Hydro Potential - Sweden - Step 2</t>
  </si>
  <si>
    <t>New Hydro Potential - Swaziland - Step 2</t>
  </si>
  <si>
    <t>New Hydro Potential - Syrian Arab Republic - Step 2</t>
  </si>
  <si>
    <t>New Hydro Potential - Togo - Step 2</t>
  </si>
  <si>
    <t>New Hydro Potential - Thailand - Step 2</t>
  </si>
  <si>
    <t>New Hydro Potential - Tajikistan - Step 2</t>
  </si>
  <si>
    <t>New Hydro Potential - Turkmenistan - Step 2</t>
  </si>
  <si>
    <t>New Hydro Potential - Tunisia - Step 2</t>
  </si>
  <si>
    <t>New Hydro Potential - Turkey - Step 2</t>
  </si>
  <si>
    <t>New Hydro Potential - Taiwan - Step 2</t>
  </si>
  <si>
    <t>New Hydro Potential - Tanzania - Step 2</t>
  </si>
  <si>
    <t>New Hydro Potential - Uganda - Step 2</t>
  </si>
  <si>
    <t>New Hydro Potential - Ukraine - Step 2</t>
  </si>
  <si>
    <t>New Hydro Potential - Uruguay - Step 2</t>
  </si>
  <si>
    <t>New Hydro Potential - United States - Step 2</t>
  </si>
  <si>
    <t>New Hydro Potential - Uzbekistan - Step 2</t>
  </si>
  <si>
    <t>New Hydro Potential - Venezuela - Step 2</t>
  </si>
  <si>
    <t>New Hydro Potential - Vietnam - Step 2</t>
  </si>
  <si>
    <t>New Hydro Potential - South Africa - Step 2</t>
  </si>
  <si>
    <t>New Hydro Potential - Zambia - Step 2</t>
  </si>
  <si>
    <t>New Hydro Potential - Zimbabwe - Step 2</t>
  </si>
  <si>
    <t>New Hydro Potential - Afghanistan - Step 3</t>
  </si>
  <si>
    <t>New Hydro Potential - Angola - Step 3</t>
  </si>
  <si>
    <t>New Hydro Potential - Albania - Step 3</t>
  </si>
  <si>
    <t>New Hydro Potential - Argentina - Step 3</t>
  </si>
  <si>
    <t>New Hydro Potential - Armenia - Step 3</t>
  </si>
  <si>
    <t>New Hydro Potential - Australia - Step 3</t>
  </si>
  <si>
    <t>New Hydro Potential - Austria - Step 3</t>
  </si>
  <si>
    <t>New Hydro Potential - Azerbaijan - Step 3</t>
  </si>
  <si>
    <t>New Hydro Potential - Burundi - Step 3</t>
  </si>
  <si>
    <t>New Hydro Potential - Belgium - Step 3</t>
  </si>
  <si>
    <t>New Hydro Potential - Benin - Step 3</t>
  </si>
  <si>
    <t>New Hydro Potential - Burkina Faso - Step 3</t>
  </si>
  <si>
    <t>New Hydro Potential - Bangladesh - Step 3</t>
  </si>
  <si>
    <t>New Hydro Potential - Bulgaria - Step 3</t>
  </si>
  <si>
    <t>New Hydro Potential - Bosnia and Herzegovina - Step 3</t>
  </si>
  <si>
    <t>New Hydro Potential - Belarus - Step 3</t>
  </si>
  <si>
    <t>New Hydro Potential - Belize - Step 3</t>
  </si>
  <si>
    <t>New Hydro Potential - Bolivia - Step 3</t>
  </si>
  <si>
    <t>New Hydro Potential - Brazil - Step 3</t>
  </si>
  <si>
    <t>New Hydro Potential - Bhutan - Step 3</t>
  </si>
  <si>
    <t>New Hydro Potential - Central African Republic - Step 3</t>
  </si>
  <si>
    <t>New Hydro Potential - Canada - Step 3</t>
  </si>
  <si>
    <t>New Hydro Potential - Switzerland - Step 3</t>
  </si>
  <si>
    <t>New Hydro Potential - Chile - Step 3</t>
  </si>
  <si>
    <t>New Hydro Potential - China - Step 3</t>
  </si>
  <si>
    <t>New Hydro Potential - Ivory Coast - Step 3</t>
  </si>
  <si>
    <t>New Hydro Potential - Cameroon - Step 3</t>
  </si>
  <si>
    <t>New Hydro Potential - Republic of Congo - Step 3</t>
  </si>
  <si>
    <t>New Hydro Potential - Colombia - Step 3</t>
  </si>
  <si>
    <t>New Hydro Potential - Comoros - Step 3</t>
  </si>
  <si>
    <t>New Hydro Potential - Costa Rica - Step 3</t>
  </si>
  <si>
    <t>New Hydro Potential - Cuba - Step 3</t>
  </si>
  <si>
    <t>New Hydro Potential - Czech Republic - Step 3</t>
  </si>
  <si>
    <t>New Hydro Potential - Germany - Step 3</t>
  </si>
  <si>
    <t>New Hydro Potential - Dominica - Step 3</t>
  </si>
  <si>
    <t>New Hydro Potential - Denmark - Step 3</t>
  </si>
  <si>
    <t>New Hydro Potential - Dominican Republic - Step 3</t>
  </si>
  <si>
    <t>New Hydro Potential - Algeria - Step 3</t>
  </si>
  <si>
    <t>New Hydro Potential - Ecuador - Step 3</t>
  </si>
  <si>
    <t>New Hydro Potential - Egypt - Step 3</t>
  </si>
  <si>
    <t>New Hydro Potential - Spain - Step 3</t>
  </si>
  <si>
    <t>New Hydro Potential - Estonia - Step 3</t>
  </si>
  <si>
    <t>New Hydro Potential - Ethiopia - Step 3</t>
  </si>
  <si>
    <t>New Hydro Potential - Finland - Step 3</t>
  </si>
  <si>
    <t>New Hydro Potential - Fiji - Step 3</t>
  </si>
  <si>
    <t>New Hydro Potential - France - Step 3</t>
  </si>
  <si>
    <t>New Hydro Potential - Gabon - Step 3</t>
  </si>
  <si>
    <t>New Hydro Potential - United Kingdom - Step 3</t>
  </si>
  <si>
    <t>New Hydro Potential - Georgia - Step 3</t>
  </si>
  <si>
    <t>New Hydro Potential - Ghana - Step 3</t>
  </si>
  <si>
    <t>New Hydro Potential - Guinea - Step 3</t>
  </si>
  <si>
    <t>New Hydro Potential - Equatorial Guinea - Step 3</t>
  </si>
  <si>
    <t>New Hydro Potential - Greece - Step 3</t>
  </si>
  <si>
    <t>New Hydro Potential - Guatemala - Step 3</t>
  </si>
  <si>
    <t>New Hydro Potential - French Guiana - Step 3</t>
  </si>
  <si>
    <t>New Hydro Potential - Honduras - Step 3</t>
  </si>
  <si>
    <t>New Hydro Potential - Croatia - Step 3</t>
  </si>
  <si>
    <t>New Hydro Potential - Haiti - Step 3</t>
  </si>
  <si>
    <t>New Hydro Potential - Hungary - Step 3</t>
  </si>
  <si>
    <t>New Hydro Potential - Indonesia - Step 3</t>
  </si>
  <si>
    <t>New Hydro Potential - India - Step 3</t>
  </si>
  <si>
    <t>New Hydro Potential - Ireland - Step 3</t>
  </si>
  <si>
    <t>New Hydro Potential - Iran - Step 3</t>
  </si>
  <si>
    <t>New Hydro Potential - Iraq - Step 3</t>
  </si>
  <si>
    <t>New Hydro Potential - Iceland - Step 3</t>
  </si>
  <si>
    <t>New Hydro Potential - Israel - Step 3</t>
  </si>
  <si>
    <t>New Hydro Potential - Italy - Step 3</t>
  </si>
  <si>
    <t>New Hydro Potential - Jamaica - Step 3</t>
  </si>
  <si>
    <t>New Hydro Potential - Jordan - Step 3</t>
  </si>
  <si>
    <t>New Hydro Potential - Japan - Step 3</t>
  </si>
  <si>
    <t>New Hydro Potential - Kazakhstan - Step 3</t>
  </si>
  <si>
    <t>New Hydro Potential - Kenya - Step 3</t>
  </si>
  <si>
    <t>New Hydro Potential - Kyrgyz Republic - Step 3</t>
  </si>
  <si>
    <t>New Hydro Potential - Cambodia - Step 3</t>
  </si>
  <si>
    <t>New Hydro Potential - South Korea - Step 3</t>
  </si>
  <si>
    <t>New Hydro Potential - Kosovo - Step 3</t>
  </si>
  <si>
    <t>New Hydro Potential - Laos - Step 3</t>
  </si>
  <si>
    <t>New Hydro Potential - Lebanon - Step 3</t>
  </si>
  <si>
    <t>New Hydro Potential - Sri Lanka - Step 3</t>
  </si>
  <si>
    <t>New Hydro Potential - Lesotho - Step 3</t>
  </si>
  <si>
    <t>New Hydro Potential - Lithuania - Step 3</t>
  </si>
  <si>
    <t>New Hydro Potential - Luxembourg - Step 3</t>
  </si>
  <si>
    <t>New Hydro Potential - Latvia - Step 3</t>
  </si>
  <si>
    <t>New Hydro Potential - Morocco - Step 3</t>
  </si>
  <si>
    <t>New Hydro Potential - Moldova - Step 3</t>
  </si>
  <si>
    <t>New Hydro Potential - Madagascar - Step 3</t>
  </si>
  <si>
    <t>New Hydro Potential - Mexico - Step 3</t>
  </si>
  <si>
    <t>New Hydro Potential - Macedonia - Step 3</t>
  </si>
  <si>
    <t>New Hydro Potential - Mali - Step 3</t>
  </si>
  <si>
    <t>New Hydro Potential - Myanmar - Step 3</t>
  </si>
  <si>
    <t>New Hydro Potential - Montenegro - Step 3</t>
  </si>
  <si>
    <t>New Hydro Potential - Mozambique - Step 3</t>
  </si>
  <si>
    <t>New Hydro Potential - Mauritania - Step 3</t>
  </si>
  <si>
    <t>New Hydro Potential - Mauritius - Step 3</t>
  </si>
  <si>
    <t>New Hydro Potential - Malawi - Step 3</t>
  </si>
  <si>
    <t>New Hydro Potential - Malaysia - Step 3</t>
  </si>
  <si>
    <t>New Hydro Potential - New Caledonia - Step 3</t>
  </si>
  <si>
    <t>New Hydro Potential - Nigeria - Step 3</t>
  </si>
  <si>
    <t>New Hydro Potential - Nicaragua - Step 3</t>
  </si>
  <si>
    <t>New Hydro Potential - Netherlands - Step 3</t>
  </si>
  <si>
    <t>New Hydro Potential - Norway - Step 3</t>
  </si>
  <si>
    <t>New Hydro Potential - Nepal - Step 3</t>
  </si>
  <si>
    <t>New Hydro Potential - New Zealand - Step 3</t>
  </si>
  <si>
    <t>New Hydro Potential - Pakistan - Step 3</t>
  </si>
  <si>
    <t>New Hydro Potential - Panama - Step 3</t>
  </si>
  <si>
    <t>New Hydro Potential - Peru - Step 3</t>
  </si>
  <si>
    <t>New Hydro Potential - Philippines - Step 3</t>
  </si>
  <si>
    <t>New Hydro Potential - Papua New Guinea - Step 3</t>
  </si>
  <si>
    <t>New Hydro Potential - Poland - Step 3</t>
  </si>
  <si>
    <t>New Hydro Potential - Puerto Rico - Step 3</t>
  </si>
  <si>
    <t>New Hydro Potential - Dem. People^s Rep. Korea - Step 3</t>
  </si>
  <si>
    <t>New Hydro Potential - Portugal - Step 3</t>
  </si>
  <si>
    <t>New Hydro Potential - Paraguay - Step 3</t>
  </si>
  <si>
    <t>New Hydro Potential - French Polynesia - Step 3</t>
  </si>
  <si>
    <t>New Hydro Potential - Romania - Step 3</t>
  </si>
  <si>
    <t>New Hydro Potential - Russia - Step 3</t>
  </si>
  <si>
    <t>New Hydro Potential - Rwanda - Step 3</t>
  </si>
  <si>
    <t>New Hydro Potential - Sudan - Step 3</t>
  </si>
  <si>
    <t>New Hydro Potential - Sierra Leone - Step 3</t>
  </si>
  <si>
    <t>New Hydro Potential - El Salvador - Step 3</t>
  </si>
  <si>
    <t>New Hydro Potential - Serbia - Step 3</t>
  </si>
  <si>
    <t>New Hydro Potential - Sao Tome and Principe - Step 3</t>
  </si>
  <si>
    <t>New Hydro Potential - Suriname - Step 3</t>
  </si>
  <si>
    <t>New Hydro Potential - Slovak Republic - Step 3</t>
  </si>
  <si>
    <t>New Hydro Potential - Slovenia - Step 3</t>
  </si>
  <si>
    <t>New Hydro Potential - Sweden - Step 3</t>
  </si>
  <si>
    <t>New Hydro Potential - Swaziland - Step 3</t>
  </si>
  <si>
    <t>New Hydro Potential - Syrian Arab Republic - Step 3</t>
  </si>
  <si>
    <t>New Hydro Potential - Togo - Step 3</t>
  </si>
  <si>
    <t>New Hydro Potential - Thailand - Step 3</t>
  </si>
  <si>
    <t>New Hydro Potential - Tajikistan - Step 3</t>
  </si>
  <si>
    <t>New Hydro Potential - Turkmenistan - Step 3</t>
  </si>
  <si>
    <t>New Hydro Potential - Tunisia - Step 3</t>
  </si>
  <si>
    <t>New Hydro Potential - Turkey - Step 3</t>
  </si>
  <si>
    <t>New Hydro Potential - Taiwan - Step 3</t>
  </si>
  <si>
    <t>New Hydro Potential - Tanzania - Step 3</t>
  </si>
  <si>
    <t>New Hydro Potential - Uganda - Step 3</t>
  </si>
  <si>
    <t>New Hydro Potential - Ukraine - Step 3</t>
  </si>
  <si>
    <t>New Hydro Potential - Uruguay - Step 3</t>
  </si>
  <si>
    <t>New Hydro Potential - United States - Step 3</t>
  </si>
  <si>
    <t>New Hydro Potential - Uzbekistan - Step 3</t>
  </si>
  <si>
    <t>New Hydro Potential - Venezuela - Step 3</t>
  </si>
  <si>
    <t>New Hydro Potential - Vietnam - Step 3</t>
  </si>
  <si>
    <t>New Hydro Potential - South Africa - Step 3</t>
  </si>
  <si>
    <t>New Hydro Potential - Zambia - Step 3</t>
  </si>
  <si>
    <t>New Hydro Potential - Zimbabwe - Step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</si>
</sst>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5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5" borderId="0" xfId="42"/>
  </cellXfs>
  <cellStyles count="43">
    <cellStyle name="20% - Accent1" xfId="20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1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2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9" builtinId="29" customBuiltin="1"/>
    <cellStyle name="Accent2" xfId="1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2" xr:uid="{A9538ADE-1965-433B-80EA-9988559879E2}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442"/>
  <sheetViews>
    <sheetView tabSelected="1" zoomScale="85" zoomScaleNormal="85" workbookViewId="0">
      <selection activeCell="L4" sqref="L4"/>
    </sheetView>
  </sheetViews>
  <sheetFormatPr defaultColWidth="8.86328125" defaultRowHeight="14.25" x14ac:dyDescent="0.45"/>
  <cols>
    <col min="3" max="3" width="17.265625" bestFit="1" customWidth="1"/>
    <col min="4" max="4" width="47.73046875" bestFit="1" customWidth="1"/>
    <col min="5" max="5" width="5.3984375" bestFit="1" customWidth="1"/>
    <col min="6" max="6" width="5" bestFit="1" customWidth="1"/>
    <col min="7" max="7" width="8.3984375" bestFit="1" customWidth="1"/>
    <col min="8" max="8" width="10.265625" bestFit="1" customWidth="1"/>
    <col min="10" max="10" width="15.3984375" bestFit="1" customWidth="1"/>
    <col min="11" max="11" width="9.3984375" bestFit="1" customWidth="1"/>
    <col min="12" max="12" width="21.3984375" bestFit="1" customWidth="1"/>
    <col min="13" max="14" width="9.1328125" customWidth="1"/>
  </cols>
  <sheetData>
    <row r="3" spans="2:15" x14ac:dyDescent="0.45">
      <c r="B3" s="1" t="s">
        <v>42</v>
      </c>
      <c r="C3" s="1"/>
      <c r="D3" s="1"/>
      <c r="E3" s="1"/>
      <c r="F3" s="1"/>
      <c r="G3" s="1"/>
      <c r="H3" s="1"/>
      <c r="L3" t="s">
        <v>43</v>
      </c>
    </row>
    <row r="4" spans="2:15" x14ac:dyDescent="0.45">
      <c r="B4" t="s">
        <v>0</v>
      </c>
      <c r="C4" t="s">
        <v>1</v>
      </c>
      <c r="D4" t="s">
        <v>2</v>
      </c>
      <c r="E4" t="s">
        <v>488</v>
      </c>
      <c r="F4" t="s">
        <v>489</v>
      </c>
      <c r="G4" t="s">
        <v>5</v>
      </c>
      <c r="J4" t="s">
        <v>1</v>
      </c>
      <c r="K4" t="s">
        <v>44</v>
      </c>
      <c r="L4" t="s">
        <v>7</v>
      </c>
      <c r="M4" t="s">
        <v>45</v>
      </c>
      <c r="N4" t="s">
        <v>46</v>
      </c>
      <c r="O4" t="s">
        <v>47</v>
      </c>
    </row>
    <row r="5" spans="2:15" x14ac:dyDescent="0.45">
      <c r="B5" t="s">
        <v>490</v>
      </c>
      <c r="C5" t="s">
        <v>48</v>
      </c>
      <c r="D5" t="s">
        <v>491</v>
      </c>
      <c r="E5" t="s">
        <v>492</v>
      </c>
      <c r="F5" t="s">
        <v>14</v>
      </c>
      <c r="G5" t="s">
        <v>493</v>
      </c>
      <c r="J5" t="s">
        <v>48</v>
      </c>
      <c r="K5" t="s">
        <v>49</v>
      </c>
      <c r="L5" t="s">
        <v>50</v>
      </c>
      <c r="M5">
        <v>0.11</v>
      </c>
    </row>
    <row r="6" spans="2:15" x14ac:dyDescent="0.45">
      <c r="B6" t="s">
        <v>490</v>
      </c>
      <c r="C6" t="s">
        <v>53</v>
      </c>
      <c r="D6" t="s">
        <v>494</v>
      </c>
      <c r="E6" t="s">
        <v>492</v>
      </c>
      <c r="F6" t="s">
        <v>14</v>
      </c>
      <c r="G6" t="s">
        <v>493</v>
      </c>
      <c r="J6" t="s">
        <v>51</v>
      </c>
      <c r="K6" t="s">
        <v>49</v>
      </c>
      <c r="L6" t="s">
        <v>50</v>
      </c>
      <c r="M6">
        <v>7.8000000000000014E-2</v>
      </c>
    </row>
    <row r="7" spans="2:15" x14ac:dyDescent="0.45">
      <c r="B7" t="s">
        <v>490</v>
      </c>
      <c r="C7" t="s">
        <v>51</v>
      </c>
      <c r="D7" t="s">
        <v>495</v>
      </c>
      <c r="E7" t="s">
        <v>492</v>
      </c>
      <c r="F7" t="s">
        <v>14</v>
      </c>
      <c r="G7" t="s">
        <v>493</v>
      </c>
      <c r="J7" t="s">
        <v>52</v>
      </c>
      <c r="K7" t="s">
        <v>49</v>
      </c>
      <c r="L7" t="s">
        <v>50</v>
      </c>
      <c r="M7">
        <v>0.06</v>
      </c>
    </row>
    <row r="8" spans="2:15" x14ac:dyDescent="0.45">
      <c r="B8" t="s">
        <v>490</v>
      </c>
      <c r="C8" t="s">
        <v>54</v>
      </c>
      <c r="D8" t="s">
        <v>496</v>
      </c>
      <c r="E8" t="s">
        <v>492</v>
      </c>
      <c r="F8" t="s">
        <v>14</v>
      </c>
      <c r="G8" t="s">
        <v>493</v>
      </c>
      <c r="J8" t="s">
        <v>53</v>
      </c>
      <c r="K8" t="s">
        <v>49</v>
      </c>
      <c r="L8" t="s">
        <v>50</v>
      </c>
      <c r="M8">
        <v>3.23376058733996</v>
      </c>
      <c r="N8">
        <v>1656.3022519999997</v>
      </c>
    </row>
    <row r="9" spans="2:15" x14ac:dyDescent="0.45">
      <c r="B9" t="s">
        <v>490</v>
      </c>
      <c r="C9" t="s">
        <v>55</v>
      </c>
      <c r="D9" t="s">
        <v>497</v>
      </c>
      <c r="E9" t="s">
        <v>492</v>
      </c>
      <c r="F9" t="s">
        <v>14</v>
      </c>
      <c r="G9" t="s">
        <v>493</v>
      </c>
      <c r="J9" t="s">
        <v>54</v>
      </c>
      <c r="K9" t="s">
        <v>49</v>
      </c>
      <c r="L9" t="s">
        <v>50</v>
      </c>
      <c r="M9">
        <v>4.4907733202870199</v>
      </c>
      <c r="N9">
        <v>2798.5861039999995</v>
      </c>
    </row>
    <row r="10" spans="2:15" x14ac:dyDescent="0.45">
      <c r="B10" t="s">
        <v>490</v>
      </c>
      <c r="C10" t="s">
        <v>56</v>
      </c>
      <c r="D10" t="s">
        <v>498</v>
      </c>
      <c r="E10" t="s">
        <v>492</v>
      </c>
      <c r="F10" t="s">
        <v>14</v>
      </c>
      <c r="G10" t="s">
        <v>493</v>
      </c>
      <c r="J10" t="s">
        <v>55</v>
      </c>
      <c r="K10" t="s">
        <v>49</v>
      </c>
      <c r="L10" t="s">
        <v>50</v>
      </c>
      <c r="M10">
        <v>0.31</v>
      </c>
    </row>
    <row r="11" spans="2:15" x14ac:dyDescent="0.45">
      <c r="B11" t="s">
        <v>490</v>
      </c>
      <c r="C11" t="s">
        <v>57</v>
      </c>
      <c r="D11" t="s">
        <v>499</v>
      </c>
      <c r="E11" t="s">
        <v>492</v>
      </c>
      <c r="F11" t="s">
        <v>14</v>
      </c>
      <c r="G11" t="s">
        <v>493</v>
      </c>
      <c r="J11" t="s">
        <v>56</v>
      </c>
      <c r="K11" t="s">
        <v>49</v>
      </c>
      <c r="L11" t="s">
        <v>50</v>
      </c>
      <c r="M11">
        <v>6.0892517642175168</v>
      </c>
      <c r="N11">
        <v>2358.0159199999994</v>
      </c>
    </row>
    <row r="12" spans="2:15" x14ac:dyDescent="0.45">
      <c r="B12" t="s">
        <v>490</v>
      </c>
      <c r="C12" t="s">
        <v>58</v>
      </c>
      <c r="D12" t="s">
        <v>500</v>
      </c>
      <c r="E12" t="s">
        <v>492</v>
      </c>
      <c r="F12" t="s">
        <v>14</v>
      </c>
      <c r="G12" t="s">
        <v>493</v>
      </c>
      <c r="J12" t="s">
        <v>57</v>
      </c>
      <c r="K12" t="s">
        <v>49</v>
      </c>
      <c r="L12" t="s">
        <v>50</v>
      </c>
      <c r="M12">
        <v>1.1299999999999999</v>
      </c>
    </row>
    <row r="13" spans="2:15" x14ac:dyDescent="0.45">
      <c r="B13" t="s">
        <v>490</v>
      </c>
      <c r="C13" t="s">
        <v>70</v>
      </c>
      <c r="D13" t="s">
        <v>501</v>
      </c>
      <c r="E13" t="s">
        <v>492</v>
      </c>
      <c r="F13" t="s">
        <v>14</v>
      </c>
      <c r="G13" t="s">
        <v>493</v>
      </c>
      <c r="J13" t="s">
        <v>58</v>
      </c>
      <c r="K13" t="s">
        <v>49</v>
      </c>
      <c r="L13" t="s">
        <v>50</v>
      </c>
      <c r="M13">
        <v>0.24400000000000002</v>
      </c>
    </row>
    <row r="14" spans="2:15" x14ac:dyDescent="0.45">
      <c r="B14" t="s">
        <v>490</v>
      </c>
      <c r="C14" t="s">
        <v>61</v>
      </c>
      <c r="D14" t="s">
        <v>502</v>
      </c>
      <c r="E14" t="s">
        <v>492</v>
      </c>
      <c r="F14" t="s">
        <v>14</v>
      </c>
      <c r="G14" t="s">
        <v>493</v>
      </c>
      <c r="J14" t="s">
        <v>59</v>
      </c>
      <c r="K14" t="s">
        <v>49</v>
      </c>
      <c r="L14" t="s">
        <v>50</v>
      </c>
      <c r="M14">
        <v>0.06</v>
      </c>
    </row>
    <row r="15" spans="2:15" x14ac:dyDescent="0.45">
      <c r="B15" t="s">
        <v>490</v>
      </c>
      <c r="C15" t="s">
        <v>63</v>
      </c>
      <c r="D15" t="s">
        <v>503</v>
      </c>
      <c r="E15" t="s">
        <v>492</v>
      </c>
      <c r="F15" t="s">
        <v>14</v>
      </c>
      <c r="G15" t="s">
        <v>493</v>
      </c>
      <c r="J15" t="s">
        <v>60</v>
      </c>
      <c r="K15" t="s">
        <v>49</v>
      </c>
      <c r="L15" t="s">
        <v>50</v>
      </c>
      <c r="M15">
        <v>0.02</v>
      </c>
    </row>
    <row r="16" spans="2:15" x14ac:dyDescent="0.45">
      <c r="B16" t="s">
        <v>490</v>
      </c>
      <c r="C16" t="s">
        <v>69</v>
      </c>
      <c r="D16" t="s">
        <v>504</v>
      </c>
      <c r="E16" t="s">
        <v>492</v>
      </c>
      <c r="F16" t="s">
        <v>14</v>
      </c>
      <c r="G16" t="s">
        <v>493</v>
      </c>
      <c r="J16" t="s">
        <v>61</v>
      </c>
      <c r="K16" t="s">
        <v>49</v>
      </c>
      <c r="L16" t="s">
        <v>50</v>
      </c>
      <c r="M16">
        <v>0.03</v>
      </c>
    </row>
    <row r="17" spans="2:14" x14ac:dyDescent="0.45">
      <c r="B17" t="s">
        <v>490</v>
      </c>
      <c r="C17" t="s">
        <v>59</v>
      </c>
      <c r="D17" t="s">
        <v>505</v>
      </c>
      <c r="E17" t="s">
        <v>492</v>
      </c>
      <c r="F17" t="s">
        <v>14</v>
      </c>
      <c r="G17" t="s">
        <v>493</v>
      </c>
      <c r="J17" t="s">
        <v>62</v>
      </c>
      <c r="K17" t="s">
        <v>49</v>
      </c>
      <c r="L17" t="s">
        <v>50</v>
      </c>
      <c r="M17">
        <v>0.01</v>
      </c>
    </row>
    <row r="18" spans="2:14" x14ac:dyDescent="0.45">
      <c r="B18" t="s">
        <v>490</v>
      </c>
      <c r="C18" t="s">
        <v>68</v>
      </c>
      <c r="D18" t="s">
        <v>506</v>
      </c>
      <c r="E18" t="s">
        <v>492</v>
      </c>
      <c r="F18" t="s">
        <v>14</v>
      </c>
      <c r="G18" t="s">
        <v>493</v>
      </c>
      <c r="J18" t="s">
        <v>63</v>
      </c>
      <c r="K18" t="s">
        <v>49</v>
      </c>
      <c r="L18" t="s">
        <v>50</v>
      </c>
      <c r="M18">
        <v>0</v>
      </c>
    </row>
    <row r="19" spans="2:14" x14ac:dyDescent="0.45">
      <c r="B19" t="s">
        <v>490</v>
      </c>
      <c r="C19" t="s">
        <v>66</v>
      </c>
      <c r="D19" t="s">
        <v>507</v>
      </c>
      <c r="E19" t="s">
        <v>492</v>
      </c>
      <c r="F19" t="s">
        <v>14</v>
      </c>
      <c r="G19" t="s">
        <v>493</v>
      </c>
      <c r="J19" t="s">
        <v>64</v>
      </c>
      <c r="K19" t="s">
        <v>49</v>
      </c>
      <c r="L19" t="s">
        <v>50</v>
      </c>
      <c r="M19">
        <v>6.3040000000000003</v>
      </c>
      <c r="N19">
        <v>1964.7514879999997</v>
      </c>
    </row>
    <row r="20" spans="2:14" x14ac:dyDescent="0.45">
      <c r="B20" t="s">
        <v>490</v>
      </c>
      <c r="C20" t="s">
        <v>60</v>
      </c>
      <c r="D20" t="s">
        <v>508</v>
      </c>
      <c r="E20" t="s">
        <v>492</v>
      </c>
      <c r="F20" t="s">
        <v>14</v>
      </c>
      <c r="G20" t="s">
        <v>493</v>
      </c>
      <c r="J20" t="s">
        <v>65</v>
      </c>
      <c r="K20" t="s">
        <v>49</v>
      </c>
      <c r="L20" t="s">
        <v>50</v>
      </c>
      <c r="M20">
        <v>9.5734968713005202</v>
      </c>
      <c r="N20">
        <v>1632.3690560000002</v>
      </c>
    </row>
    <row r="21" spans="2:14" x14ac:dyDescent="0.45">
      <c r="B21" t="s">
        <v>490</v>
      </c>
      <c r="C21" t="s">
        <v>62</v>
      </c>
      <c r="D21" t="s">
        <v>509</v>
      </c>
      <c r="E21" t="s">
        <v>492</v>
      </c>
      <c r="F21" t="s">
        <v>14</v>
      </c>
      <c r="G21" t="s">
        <v>493</v>
      </c>
      <c r="J21" t="s">
        <v>66</v>
      </c>
      <c r="K21" t="s">
        <v>49</v>
      </c>
      <c r="L21" t="s">
        <v>50</v>
      </c>
      <c r="M21">
        <v>0.30200000000000005</v>
      </c>
    </row>
    <row r="22" spans="2:14" x14ac:dyDescent="0.45">
      <c r="B22" t="s">
        <v>490</v>
      </c>
      <c r="C22" t="s">
        <v>65</v>
      </c>
      <c r="D22" t="s">
        <v>510</v>
      </c>
      <c r="E22" t="s">
        <v>492</v>
      </c>
      <c r="F22" t="s">
        <v>14</v>
      </c>
      <c r="G22" t="s">
        <v>493</v>
      </c>
      <c r="J22" t="s">
        <v>67</v>
      </c>
      <c r="K22" t="s">
        <v>49</v>
      </c>
      <c r="L22" t="s">
        <v>50</v>
      </c>
      <c r="M22">
        <v>103.874</v>
      </c>
      <c r="N22">
        <v>1443</v>
      </c>
    </row>
    <row r="23" spans="2:14" x14ac:dyDescent="0.45">
      <c r="B23" t="s">
        <v>490</v>
      </c>
      <c r="C23" t="s">
        <v>67</v>
      </c>
      <c r="D23" t="s">
        <v>511</v>
      </c>
      <c r="E23" t="s">
        <v>492</v>
      </c>
      <c r="F23" t="s">
        <v>14</v>
      </c>
      <c r="G23" t="s">
        <v>493</v>
      </c>
      <c r="J23" t="s">
        <v>68</v>
      </c>
      <c r="K23" t="s">
        <v>49</v>
      </c>
      <c r="L23" t="s">
        <v>50</v>
      </c>
      <c r="M23">
        <v>0.41699999999999993</v>
      </c>
    </row>
    <row r="24" spans="2:14" x14ac:dyDescent="0.45">
      <c r="B24" t="s">
        <v>490</v>
      </c>
      <c r="C24" t="s">
        <v>64</v>
      </c>
      <c r="D24" t="s">
        <v>512</v>
      </c>
      <c r="E24" t="s">
        <v>492</v>
      </c>
      <c r="F24" t="s">
        <v>14</v>
      </c>
      <c r="G24" t="s">
        <v>493</v>
      </c>
      <c r="J24" t="s">
        <v>69</v>
      </c>
      <c r="K24" t="s">
        <v>49</v>
      </c>
      <c r="L24" t="s">
        <v>50</v>
      </c>
      <c r="M24">
        <v>0.01</v>
      </c>
    </row>
    <row r="25" spans="2:14" x14ac:dyDescent="0.45">
      <c r="B25" t="s">
        <v>490</v>
      </c>
      <c r="C25" t="s">
        <v>74</v>
      </c>
      <c r="D25" t="s">
        <v>513</v>
      </c>
      <c r="E25" t="s">
        <v>492</v>
      </c>
      <c r="F25" t="s">
        <v>14</v>
      </c>
      <c r="G25" t="s">
        <v>493</v>
      </c>
      <c r="J25" t="s">
        <v>70</v>
      </c>
      <c r="K25" t="s">
        <v>49</v>
      </c>
      <c r="L25" t="s">
        <v>50</v>
      </c>
      <c r="M25">
        <v>0</v>
      </c>
    </row>
    <row r="26" spans="2:14" x14ac:dyDescent="0.45">
      <c r="B26" t="s">
        <v>490</v>
      </c>
      <c r="C26" t="s">
        <v>73</v>
      </c>
      <c r="D26" t="s">
        <v>514</v>
      </c>
      <c r="E26" t="s">
        <v>492</v>
      </c>
      <c r="F26" t="s">
        <v>14</v>
      </c>
      <c r="G26" t="s">
        <v>493</v>
      </c>
      <c r="J26" t="s">
        <v>71</v>
      </c>
      <c r="K26" t="s">
        <v>49</v>
      </c>
      <c r="L26" t="s">
        <v>50</v>
      </c>
      <c r="M26">
        <v>0.17</v>
      </c>
    </row>
    <row r="27" spans="2:14" x14ac:dyDescent="0.45">
      <c r="B27" t="s">
        <v>490</v>
      </c>
      <c r="C27" t="s">
        <v>176</v>
      </c>
      <c r="D27" t="s">
        <v>515</v>
      </c>
      <c r="E27" t="s">
        <v>492</v>
      </c>
      <c r="F27" t="s">
        <v>14</v>
      </c>
      <c r="G27" t="s">
        <v>493</v>
      </c>
      <c r="J27" t="s">
        <v>72</v>
      </c>
      <c r="K27" t="s">
        <v>49</v>
      </c>
      <c r="L27" t="s">
        <v>50</v>
      </c>
      <c r="M27">
        <v>7.9062994672754892</v>
      </c>
      <c r="N27">
        <v>2410.9087999999997</v>
      </c>
    </row>
    <row r="28" spans="2:14" x14ac:dyDescent="0.45">
      <c r="B28" t="s">
        <v>490</v>
      </c>
      <c r="C28" t="s">
        <v>75</v>
      </c>
      <c r="D28" t="s">
        <v>516</v>
      </c>
      <c r="E28" t="s">
        <v>492</v>
      </c>
      <c r="F28" t="s">
        <v>14</v>
      </c>
      <c r="G28" t="s">
        <v>493</v>
      </c>
      <c r="J28" t="s">
        <v>73</v>
      </c>
      <c r="K28" t="s">
        <v>49</v>
      </c>
      <c r="L28" t="s">
        <v>50</v>
      </c>
      <c r="M28">
        <v>7.6693672129810997</v>
      </c>
      <c r="N28">
        <v>6006.2230400000017</v>
      </c>
    </row>
    <row r="29" spans="2:14" x14ac:dyDescent="0.45">
      <c r="B29" t="s">
        <v>490</v>
      </c>
      <c r="C29" t="s">
        <v>76</v>
      </c>
      <c r="D29" t="s">
        <v>517</v>
      </c>
      <c r="E29" t="s">
        <v>492</v>
      </c>
      <c r="F29" t="s">
        <v>14</v>
      </c>
      <c r="G29" t="s">
        <v>493</v>
      </c>
      <c r="J29" t="s">
        <v>74</v>
      </c>
      <c r="K29" t="s">
        <v>49</v>
      </c>
      <c r="L29" t="s">
        <v>50</v>
      </c>
      <c r="M29">
        <v>3.894648540196485</v>
      </c>
      <c r="N29">
        <v>1892.0575039999999</v>
      </c>
    </row>
    <row r="30" spans="2:14" x14ac:dyDescent="0.45">
      <c r="B30" t="s">
        <v>490</v>
      </c>
      <c r="C30" t="s">
        <v>84</v>
      </c>
      <c r="D30" t="s">
        <v>518</v>
      </c>
      <c r="E30" t="s">
        <v>492</v>
      </c>
      <c r="F30" t="s">
        <v>14</v>
      </c>
      <c r="G30" t="s">
        <v>493</v>
      </c>
      <c r="J30" t="s">
        <v>75</v>
      </c>
      <c r="K30" t="s">
        <v>49</v>
      </c>
      <c r="L30" t="s">
        <v>50</v>
      </c>
      <c r="M30">
        <v>1.09058761415525</v>
      </c>
      <c r="N30">
        <v>2229.6398719999993</v>
      </c>
    </row>
    <row r="31" spans="2:14" x14ac:dyDescent="0.45">
      <c r="B31" t="s">
        <v>490</v>
      </c>
      <c r="C31" t="s">
        <v>72</v>
      </c>
      <c r="D31" t="s">
        <v>519</v>
      </c>
      <c r="E31" t="s">
        <v>492</v>
      </c>
      <c r="F31" t="s">
        <v>14</v>
      </c>
      <c r="G31" t="s">
        <v>493</v>
      </c>
      <c r="J31" t="s">
        <v>76</v>
      </c>
      <c r="K31" t="s">
        <v>49</v>
      </c>
      <c r="L31" t="s">
        <v>50</v>
      </c>
      <c r="M31">
        <v>72.18035388127899</v>
      </c>
      <c r="N31">
        <v>1372.4983999999999</v>
      </c>
    </row>
    <row r="32" spans="2:14" x14ac:dyDescent="0.45">
      <c r="B32" t="s">
        <v>490</v>
      </c>
      <c r="C32" t="s">
        <v>79</v>
      </c>
      <c r="D32" t="s">
        <v>520</v>
      </c>
      <c r="E32" t="s">
        <v>492</v>
      </c>
      <c r="F32" t="s">
        <v>14</v>
      </c>
      <c r="G32" t="s">
        <v>493</v>
      </c>
      <c r="J32" t="s">
        <v>77</v>
      </c>
      <c r="K32" t="s">
        <v>49</v>
      </c>
      <c r="L32" t="s">
        <v>50</v>
      </c>
      <c r="M32">
        <v>16.4045295908318</v>
      </c>
      <c r="N32">
        <v>1336.7795000000001</v>
      </c>
    </row>
    <row r="33" spans="2:14" x14ac:dyDescent="0.45">
      <c r="B33" t="s">
        <v>490</v>
      </c>
      <c r="C33" t="s">
        <v>77</v>
      </c>
      <c r="D33" t="s">
        <v>521</v>
      </c>
      <c r="E33" t="s">
        <v>492</v>
      </c>
      <c r="F33" t="s">
        <v>14</v>
      </c>
      <c r="G33" t="s">
        <v>493</v>
      </c>
      <c r="J33" t="s">
        <v>78</v>
      </c>
      <c r="K33" t="s">
        <v>49</v>
      </c>
      <c r="L33" t="s">
        <v>50</v>
      </c>
      <c r="M33">
        <v>0</v>
      </c>
    </row>
    <row r="34" spans="2:14" x14ac:dyDescent="0.45">
      <c r="B34" t="s">
        <v>490</v>
      </c>
      <c r="C34" t="s">
        <v>78</v>
      </c>
      <c r="D34" t="s">
        <v>522</v>
      </c>
      <c r="E34" t="s">
        <v>492</v>
      </c>
      <c r="F34" t="s">
        <v>14</v>
      </c>
      <c r="G34" t="s">
        <v>493</v>
      </c>
      <c r="J34" t="s">
        <v>79</v>
      </c>
      <c r="K34" t="s">
        <v>49</v>
      </c>
      <c r="L34" t="s">
        <v>50</v>
      </c>
      <c r="M34">
        <v>15.75195035460993</v>
      </c>
      <c r="N34">
        <v>3838.6573999999996</v>
      </c>
    </row>
    <row r="35" spans="2:14" x14ac:dyDescent="0.45">
      <c r="B35" t="s">
        <v>490</v>
      </c>
      <c r="C35" t="s">
        <v>80</v>
      </c>
      <c r="D35" t="s">
        <v>523</v>
      </c>
      <c r="E35" t="s">
        <v>492</v>
      </c>
      <c r="F35" t="s">
        <v>14</v>
      </c>
      <c r="G35" t="s">
        <v>493</v>
      </c>
      <c r="J35" t="s">
        <v>80</v>
      </c>
      <c r="K35" t="s">
        <v>49</v>
      </c>
      <c r="L35" t="s">
        <v>50</v>
      </c>
      <c r="M35">
        <v>3.6000000000000032E-2</v>
      </c>
    </row>
    <row r="36" spans="2:14" x14ac:dyDescent="0.45">
      <c r="B36" t="s">
        <v>490</v>
      </c>
      <c r="C36" t="s">
        <v>82</v>
      </c>
      <c r="D36" t="s">
        <v>524</v>
      </c>
      <c r="E36" t="s">
        <v>492</v>
      </c>
      <c r="F36" t="s">
        <v>14</v>
      </c>
      <c r="G36" t="s">
        <v>493</v>
      </c>
      <c r="J36" t="s">
        <v>81</v>
      </c>
      <c r="K36" t="s">
        <v>49</v>
      </c>
      <c r="L36" t="s">
        <v>50</v>
      </c>
      <c r="M36">
        <v>0.46</v>
      </c>
    </row>
    <row r="37" spans="2:14" x14ac:dyDescent="0.45">
      <c r="B37" t="s">
        <v>490</v>
      </c>
      <c r="C37" t="s">
        <v>83</v>
      </c>
      <c r="D37" t="s">
        <v>525</v>
      </c>
      <c r="E37" t="s">
        <v>492</v>
      </c>
      <c r="F37" t="s">
        <v>14</v>
      </c>
      <c r="G37" t="s">
        <v>493</v>
      </c>
      <c r="J37" t="s">
        <v>82</v>
      </c>
      <c r="K37" t="s">
        <v>49</v>
      </c>
      <c r="L37" t="s">
        <v>50</v>
      </c>
      <c r="M37">
        <v>0.02</v>
      </c>
    </row>
    <row r="38" spans="2:14" x14ac:dyDescent="0.45">
      <c r="B38" t="s">
        <v>490</v>
      </c>
      <c r="C38" t="s">
        <v>101</v>
      </c>
      <c r="D38" t="s">
        <v>526</v>
      </c>
      <c r="E38" t="s">
        <v>492</v>
      </c>
      <c r="F38" t="s">
        <v>14</v>
      </c>
      <c r="G38" t="s">
        <v>493</v>
      </c>
      <c r="J38" t="s">
        <v>83</v>
      </c>
      <c r="K38" t="s">
        <v>49</v>
      </c>
      <c r="L38" t="s">
        <v>50</v>
      </c>
      <c r="M38">
        <v>0.27</v>
      </c>
    </row>
    <row r="39" spans="2:14" x14ac:dyDescent="0.45">
      <c r="B39" t="s">
        <v>490</v>
      </c>
      <c r="C39" t="s">
        <v>86</v>
      </c>
      <c r="D39" t="s">
        <v>527</v>
      </c>
      <c r="E39" t="s">
        <v>492</v>
      </c>
      <c r="F39" t="s">
        <v>14</v>
      </c>
      <c r="G39" t="s">
        <v>493</v>
      </c>
      <c r="J39" t="s">
        <v>84</v>
      </c>
      <c r="K39" t="s">
        <v>49</v>
      </c>
      <c r="L39" t="s">
        <v>50</v>
      </c>
      <c r="M39">
        <v>0</v>
      </c>
    </row>
    <row r="40" spans="2:14" x14ac:dyDescent="0.45">
      <c r="B40" t="s">
        <v>490</v>
      </c>
      <c r="C40" t="s">
        <v>85</v>
      </c>
      <c r="D40" t="s">
        <v>528</v>
      </c>
      <c r="E40" t="s">
        <v>492</v>
      </c>
      <c r="F40" t="s">
        <v>14</v>
      </c>
      <c r="G40" t="s">
        <v>493</v>
      </c>
      <c r="J40" t="s">
        <v>85</v>
      </c>
      <c r="K40" t="s">
        <v>49</v>
      </c>
      <c r="L40" t="s">
        <v>50</v>
      </c>
      <c r="M40">
        <v>0</v>
      </c>
    </row>
    <row r="41" spans="2:14" x14ac:dyDescent="0.45">
      <c r="B41" t="s">
        <v>490</v>
      </c>
      <c r="C41" t="s">
        <v>87</v>
      </c>
      <c r="D41" t="s">
        <v>529</v>
      </c>
      <c r="E41" t="s">
        <v>492</v>
      </c>
      <c r="F41" t="s">
        <v>14</v>
      </c>
      <c r="G41" t="s">
        <v>493</v>
      </c>
      <c r="J41" t="s">
        <v>86</v>
      </c>
      <c r="K41" t="s">
        <v>49</v>
      </c>
      <c r="L41" t="s">
        <v>50</v>
      </c>
      <c r="M41">
        <v>0</v>
      </c>
    </row>
    <row r="42" spans="2:14" x14ac:dyDescent="0.45">
      <c r="B42" t="s">
        <v>490</v>
      </c>
      <c r="C42" t="s">
        <v>52</v>
      </c>
      <c r="D42" t="s">
        <v>530</v>
      </c>
      <c r="E42" t="s">
        <v>492</v>
      </c>
      <c r="F42" t="s">
        <v>14</v>
      </c>
      <c r="G42" t="s">
        <v>493</v>
      </c>
      <c r="J42" t="s">
        <v>87</v>
      </c>
      <c r="K42" t="s">
        <v>49</v>
      </c>
      <c r="L42" t="s">
        <v>50</v>
      </c>
      <c r="M42">
        <v>0.14000000000000001</v>
      </c>
    </row>
    <row r="43" spans="2:14" x14ac:dyDescent="0.45">
      <c r="B43" t="s">
        <v>490</v>
      </c>
      <c r="C43" t="s">
        <v>88</v>
      </c>
      <c r="D43" t="s">
        <v>531</v>
      </c>
      <c r="E43" t="s">
        <v>492</v>
      </c>
      <c r="F43" t="s">
        <v>14</v>
      </c>
      <c r="G43" t="s">
        <v>493</v>
      </c>
      <c r="J43" t="s">
        <v>88</v>
      </c>
      <c r="K43" t="s">
        <v>49</v>
      </c>
      <c r="L43" t="s">
        <v>50</v>
      </c>
      <c r="M43">
        <v>0</v>
      </c>
    </row>
    <row r="44" spans="2:14" x14ac:dyDescent="0.45">
      <c r="B44" t="s">
        <v>490</v>
      </c>
      <c r="C44" t="s">
        <v>89</v>
      </c>
      <c r="D44" t="s">
        <v>532</v>
      </c>
      <c r="E44" t="s">
        <v>492</v>
      </c>
      <c r="F44" t="s">
        <v>14</v>
      </c>
      <c r="G44" t="s">
        <v>493</v>
      </c>
      <c r="J44" t="s">
        <v>89</v>
      </c>
      <c r="K44" t="s">
        <v>49</v>
      </c>
      <c r="L44" t="s">
        <v>50</v>
      </c>
      <c r="M44">
        <v>18.248443337484435</v>
      </c>
    </row>
    <row r="45" spans="2:14" x14ac:dyDescent="0.45">
      <c r="B45" t="s">
        <v>490</v>
      </c>
      <c r="C45" t="s">
        <v>170</v>
      </c>
      <c r="D45" t="s">
        <v>533</v>
      </c>
      <c r="E45" t="s">
        <v>492</v>
      </c>
      <c r="F45" t="s">
        <v>14</v>
      </c>
      <c r="G45" t="s">
        <v>493</v>
      </c>
      <c r="J45" t="s">
        <v>90</v>
      </c>
      <c r="K45" t="s">
        <v>49</v>
      </c>
      <c r="L45" t="s">
        <v>50</v>
      </c>
      <c r="M45">
        <v>0.12</v>
      </c>
    </row>
    <row r="46" spans="2:14" x14ac:dyDescent="0.45">
      <c r="B46" t="s">
        <v>490</v>
      </c>
      <c r="C46" t="s">
        <v>92</v>
      </c>
      <c r="D46" t="s">
        <v>534</v>
      </c>
      <c r="E46" t="s">
        <v>492</v>
      </c>
      <c r="F46" t="s">
        <v>14</v>
      </c>
      <c r="G46" t="s">
        <v>493</v>
      </c>
      <c r="J46" t="s">
        <v>91</v>
      </c>
      <c r="K46" t="s">
        <v>49</v>
      </c>
      <c r="L46" t="s">
        <v>50</v>
      </c>
      <c r="M46">
        <v>0.03</v>
      </c>
    </row>
    <row r="47" spans="2:14" x14ac:dyDescent="0.45">
      <c r="B47" t="s">
        <v>490</v>
      </c>
      <c r="C47" t="s">
        <v>93</v>
      </c>
      <c r="D47" t="s">
        <v>535</v>
      </c>
      <c r="E47" t="s">
        <v>492</v>
      </c>
      <c r="F47" t="s">
        <v>14</v>
      </c>
      <c r="G47" t="s">
        <v>493</v>
      </c>
      <c r="J47" t="s">
        <v>92</v>
      </c>
      <c r="K47" t="s">
        <v>49</v>
      </c>
      <c r="L47" t="s">
        <v>50</v>
      </c>
      <c r="M47">
        <v>0</v>
      </c>
    </row>
    <row r="48" spans="2:14" x14ac:dyDescent="0.45">
      <c r="B48" t="s">
        <v>490</v>
      </c>
      <c r="C48" t="s">
        <v>95</v>
      </c>
      <c r="D48" t="s">
        <v>536</v>
      </c>
      <c r="E48" t="s">
        <v>492</v>
      </c>
      <c r="F48" t="s">
        <v>14</v>
      </c>
      <c r="G48" t="s">
        <v>493</v>
      </c>
      <c r="J48" t="s">
        <v>93</v>
      </c>
      <c r="K48" t="s">
        <v>49</v>
      </c>
      <c r="L48" t="s">
        <v>50</v>
      </c>
      <c r="M48">
        <v>16.518234894340001</v>
      </c>
      <c r="N48">
        <v>1655.8441040000002</v>
      </c>
    </row>
    <row r="49" spans="2:14" x14ac:dyDescent="0.45">
      <c r="B49" t="s">
        <v>490</v>
      </c>
      <c r="C49" t="s">
        <v>94</v>
      </c>
      <c r="D49" t="s">
        <v>537</v>
      </c>
      <c r="E49" t="s">
        <v>492</v>
      </c>
      <c r="F49" t="s">
        <v>14</v>
      </c>
      <c r="G49" t="s">
        <v>493</v>
      </c>
      <c r="J49" t="s">
        <v>94</v>
      </c>
      <c r="K49" t="s">
        <v>49</v>
      </c>
      <c r="L49" t="s">
        <v>50</v>
      </c>
      <c r="M49">
        <v>0.03</v>
      </c>
    </row>
    <row r="50" spans="2:14" x14ac:dyDescent="0.45">
      <c r="B50" t="s">
        <v>490</v>
      </c>
      <c r="C50" t="s">
        <v>96</v>
      </c>
      <c r="D50" t="s">
        <v>538</v>
      </c>
      <c r="E50" t="s">
        <v>492</v>
      </c>
      <c r="F50" t="s">
        <v>14</v>
      </c>
      <c r="G50" t="s">
        <v>493</v>
      </c>
      <c r="J50" t="s">
        <v>95</v>
      </c>
      <c r="K50" t="s">
        <v>49</v>
      </c>
      <c r="L50" t="s">
        <v>50</v>
      </c>
      <c r="M50">
        <v>0.8</v>
      </c>
    </row>
    <row r="51" spans="2:14" x14ac:dyDescent="0.45">
      <c r="B51" t="s">
        <v>490</v>
      </c>
      <c r="C51" t="s">
        <v>99</v>
      </c>
      <c r="D51" t="s">
        <v>539</v>
      </c>
      <c r="E51" t="s">
        <v>492</v>
      </c>
      <c r="F51" t="s">
        <v>14</v>
      </c>
      <c r="G51" t="s">
        <v>493</v>
      </c>
      <c r="J51" t="s">
        <v>96</v>
      </c>
      <c r="K51" t="s">
        <v>49</v>
      </c>
      <c r="L51" t="s">
        <v>50</v>
      </c>
      <c r="M51">
        <v>0.501</v>
      </c>
      <c r="N51">
        <v>4521.9636799999998</v>
      </c>
    </row>
    <row r="52" spans="2:14" x14ac:dyDescent="0.45">
      <c r="B52" t="s">
        <v>490</v>
      </c>
      <c r="C52" t="s">
        <v>188</v>
      </c>
      <c r="D52" t="s">
        <v>540</v>
      </c>
      <c r="E52" t="s">
        <v>492</v>
      </c>
      <c r="F52" t="s">
        <v>14</v>
      </c>
      <c r="G52" t="s">
        <v>493</v>
      </c>
      <c r="J52" t="s">
        <v>97</v>
      </c>
      <c r="K52" t="s">
        <v>49</v>
      </c>
      <c r="L52" t="s">
        <v>50</v>
      </c>
      <c r="M52">
        <v>0.03</v>
      </c>
    </row>
    <row r="53" spans="2:14" x14ac:dyDescent="0.45">
      <c r="B53" t="s">
        <v>490</v>
      </c>
      <c r="C53" t="s">
        <v>100</v>
      </c>
      <c r="D53" t="s">
        <v>541</v>
      </c>
      <c r="E53" t="s">
        <v>492</v>
      </c>
      <c r="F53" t="s">
        <v>14</v>
      </c>
      <c r="G53" t="s">
        <v>493</v>
      </c>
      <c r="J53" t="s">
        <v>98</v>
      </c>
      <c r="K53" t="s">
        <v>49</v>
      </c>
      <c r="L53" t="s">
        <v>50</v>
      </c>
      <c r="M53">
        <v>0.01</v>
      </c>
    </row>
    <row r="54" spans="2:14" x14ac:dyDescent="0.45">
      <c r="B54" t="s">
        <v>490</v>
      </c>
      <c r="C54" t="s">
        <v>102</v>
      </c>
      <c r="D54" t="s">
        <v>542</v>
      </c>
      <c r="E54" t="s">
        <v>492</v>
      </c>
      <c r="F54" t="s">
        <v>14</v>
      </c>
      <c r="G54" t="s">
        <v>493</v>
      </c>
      <c r="J54" t="s">
        <v>99</v>
      </c>
      <c r="K54" t="s">
        <v>49</v>
      </c>
      <c r="L54" t="s">
        <v>50</v>
      </c>
      <c r="M54">
        <v>21.357534246575341</v>
      </c>
      <c r="N54">
        <v>1568.3281999999999</v>
      </c>
    </row>
    <row r="55" spans="2:14" x14ac:dyDescent="0.45">
      <c r="B55" t="s">
        <v>490</v>
      </c>
      <c r="C55" t="s">
        <v>105</v>
      </c>
      <c r="D55" t="s">
        <v>543</v>
      </c>
      <c r="E55" t="s">
        <v>492</v>
      </c>
      <c r="F55" t="s">
        <v>14</v>
      </c>
      <c r="G55" t="s">
        <v>493</v>
      </c>
      <c r="J55" t="s">
        <v>100</v>
      </c>
      <c r="K55" t="s">
        <v>49</v>
      </c>
      <c r="L55" t="s">
        <v>50</v>
      </c>
      <c r="M55">
        <v>0.33700000000000002</v>
      </c>
    </row>
    <row r="56" spans="2:14" x14ac:dyDescent="0.45">
      <c r="B56" t="s">
        <v>490</v>
      </c>
      <c r="C56" t="s">
        <v>91</v>
      </c>
      <c r="D56" t="s">
        <v>544</v>
      </c>
      <c r="E56" t="s">
        <v>492</v>
      </c>
      <c r="F56" t="s">
        <v>14</v>
      </c>
      <c r="G56" t="s">
        <v>493</v>
      </c>
      <c r="J56" t="s">
        <v>101</v>
      </c>
      <c r="K56" t="s">
        <v>49</v>
      </c>
      <c r="L56" t="s">
        <v>50</v>
      </c>
      <c r="M56">
        <v>1.1100000000000001</v>
      </c>
    </row>
    <row r="57" spans="2:14" x14ac:dyDescent="0.45">
      <c r="B57" t="s">
        <v>490</v>
      </c>
      <c r="C57" t="s">
        <v>103</v>
      </c>
      <c r="D57" t="s">
        <v>545</v>
      </c>
      <c r="E57" t="s">
        <v>492</v>
      </c>
      <c r="F57" t="s">
        <v>14</v>
      </c>
      <c r="G57" t="s">
        <v>493</v>
      </c>
      <c r="J57" t="s">
        <v>102</v>
      </c>
      <c r="K57" t="s">
        <v>49</v>
      </c>
      <c r="L57" t="s">
        <v>50</v>
      </c>
      <c r="M57">
        <v>0.4</v>
      </c>
    </row>
    <row r="58" spans="2:14" x14ac:dyDescent="0.45">
      <c r="B58" t="s">
        <v>490</v>
      </c>
      <c r="C58" t="s">
        <v>104</v>
      </c>
      <c r="D58" t="s">
        <v>546</v>
      </c>
      <c r="E58" t="s">
        <v>492</v>
      </c>
      <c r="F58" t="s">
        <v>14</v>
      </c>
      <c r="G58" t="s">
        <v>493</v>
      </c>
      <c r="J58" t="s">
        <v>103</v>
      </c>
      <c r="K58" t="s">
        <v>49</v>
      </c>
      <c r="L58" t="s">
        <v>50</v>
      </c>
      <c r="M58">
        <v>0.67</v>
      </c>
    </row>
    <row r="59" spans="2:14" x14ac:dyDescent="0.45">
      <c r="B59" t="s">
        <v>490</v>
      </c>
      <c r="C59" t="s">
        <v>97</v>
      </c>
      <c r="D59" t="s">
        <v>547</v>
      </c>
      <c r="E59" t="s">
        <v>492</v>
      </c>
      <c r="F59" t="s">
        <v>14</v>
      </c>
      <c r="G59" t="s">
        <v>493</v>
      </c>
      <c r="J59" t="s">
        <v>104</v>
      </c>
      <c r="K59" t="s">
        <v>49</v>
      </c>
      <c r="L59" t="s">
        <v>50</v>
      </c>
      <c r="M59">
        <v>0</v>
      </c>
    </row>
    <row r="60" spans="2:14" x14ac:dyDescent="0.45">
      <c r="B60" t="s">
        <v>490</v>
      </c>
      <c r="C60" t="s">
        <v>107</v>
      </c>
      <c r="D60" t="s">
        <v>548</v>
      </c>
      <c r="E60" t="s">
        <v>492</v>
      </c>
      <c r="F60" t="s">
        <v>14</v>
      </c>
      <c r="G60" t="s">
        <v>493</v>
      </c>
      <c r="J60" t="s">
        <v>105</v>
      </c>
      <c r="K60" t="s">
        <v>49</v>
      </c>
      <c r="L60" t="s">
        <v>50</v>
      </c>
      <c r="M60">
        <v>0</v>
      </c>
    </row>
    <row r="61" spans="2:14" x14ac:dyDescent="0.45">
      <c r="B61" t="s">
        <v>490</v>
      </c>
      <c r="C61" t="s">
        <v>81</v>
      </c>
      <c r="D61" t="s">
        <v>549</v>
      </c>
      <c r="E61" t="s">
        <v>492</v>
      </c>
      <c r="F61" t="s">
        <v>14</v>
      </c>
      <c r="G61" t="s">
        <v>493</v>
      </c>
      <c r="J61" t="s">
        <v>106</v>
      </c>
      <c r="K61" t="s">
        <v>49</v>
      </c>
      <c r="L61" t="s">
        <v>50</v>
      </c>
      <c r="M61">
        <v>0.02</v>
      </c>
    </row>
    <row r="62" spans="2:14" x14ac:dyDescent="0.45">
      <c r="B62" t="s">
        <v>490</v>
      </c>
      <c r="C62" t="s">
        <v>106</v>
      </c>
      <c r="D62" t="s">
        <v>550</v>
      </c>
      <c r="E62" t="s">
        <v>492</v>
      </c>
      <c r="F62" t="s">
        <v>14</v>
      </c>
      <c r="G62" t="s">
        <v>493</v>
      </c>
      <c r="J62" t="s">
        <v>107</v>
      </c>
      <c r="K62" t="s">
        <v>49</v>
      </c>
      <c r="L62" t="s">
        <v>50</v>
      </c>
      <c r="M62">
        <v>1.3000000000000012E-2</v>
      </c>
    </row>
    <row r="63" spans="2:14" x14ac:dyDescent="0.45">
      <c r="B63" t="s">
        <v>490</v>
      </c>
      <c r="C63" t="s">
        <v>108</v>
      </c>
      <c r="D63" t="s">
        <v>551</v>
      </c>
      <c r="E63" t="s">
        <v>492</v>
      </c>
      <c r="F63" t="s">
        <v>14</v>
      </c>
      <c r="G63" t="s">
        <v>493</v>
      </c>
      <c r="J63" t="s">
        <v>108</v>
      </c>
      <c r="K63" t="s">
        <v>49</v>
      </c>
      <c r="L63" t="s">
        <v>50</v>
      </c>
      <c r="M63">
        <v>0.01</v>
      </c>
    </row>
    <row r="64" spans="2:14" x14ac:dyDescent="0.45">
      <c r="B64" t="s">
        <v>490</v>
      </c>
      <c r="C64" t="s">
        <v>111</v>
      </c>
      <c r="D64" t="s">
        <v>552</v>
      </c>
      <c r="E64" t="s">
        <v>492</v>
      </c>
      <c r="F64" t="s">
        <v>14</v>
      </c>
      <c r="G64" t="s">
        <v>493</v>
      </c>
      <c r="J64" t="s">
        <v>109</v>
      </c>
      <c r="K64" t="s">
        <v>49</v>
      </c>
      <c r="L64" t="s">
        <v>50</v>
      </c>
      <c r="M64">
        <v>0.4</v>
      </c>
    </row>
    <row r="65" spans="2:14" x14ac:dyDescent="0.45">
      <c r="B65" t="s">
        <v>490</v>
      </c>
      <c r="C65" t="s">
        <v>110</v>
      </c>
      <c r="D65" t="s">
        <v>553</v>
      </c>
      <c r="E65" t="s">
        <v>492</v>
      </c>
      <c r="F65" t="s">
        <v>14</v>
      </c>
      <c r="G65" t="s">
        <v>493</v>
      </c>
      <c r="J65" t="s">
        <v>110</v>
      </c>
      <c r="K65" t="s">
        <v>49</v>
      </c>
      <c r="L65" t="s">
        <v>50</v>
      </c>
      <c r="M65">
        <v>47.668534246575305</v>
      </c>
      <c r="N65">
        <v>1401.633284</v>
      </c>
    </row>
    <row r="66" spans="2:14" x14ac:dyDescent="0.45">
      <c r="B66" t="s">
        <v>490</v>
      </c>
      <c r="C66" t="s">
        <v>114</v>
      </c>
      <c r="D66" t="s">
        <v>554</v>
      </c>
      <c r="E66" t="s">
        <v>492</v>
      </c>
      <c r="F66" t="s">
        <v>14</v>
      </c>
      <c r="G66" t="s">
        <v>493</v>
      </c>
      <c r="J66" t="s">
        <v>111</v>
      </c>
      <c r="K66" t="s">
        <v>49</v>
      </c>
      <c r="L66" t="s">
        <v>50</v>
      </c>
      <c r="M66">
        <v>31.954651393481303</v>
      </c>
      <c r="N66">
        <v>1703.5274119999999</v>
      </c>
    </row>
    <row r="67" spans="2:14" x14ac:dyDescent="0.45">
      <c r="B67" t="s">
        <v>490</v>
      </c>
      <c r="C67" t="s">
        <v>112</v>
      </c>
      <c r="D67" t="s">
        <v>555</v>
      </c>
      <c r="E67" t="s">
        <v>492</v>
      </c>
      <c r="F67" t="s">
        <v>14</v>
      </c>
      <c r="G67" t="s">
        <v>493</v>
      </c>
      <c r="J67" t="s">
        <v>112</v>
      </c>
      <c r="K67" t="s">
        <v>49</v>
      </c>
      <c r="L67" t="s">
        <v>50</v>
      </c>
      <c r="M67">
        <v>1.2750000000000001</v>
      </c>
    </row>
    <row r="68" spans="2:14" x14ac:dyDescent="0.45">
      <c r="B68" t="s">
        <v>490</v>
      </c>
      <c r="C68" t="s">
        <v>113</v>
      </c>
      <c r="D68" t="s">
        <v>556</v>
      </c>
      <c r="E68" t="s">
        <v>492</v>
      </c>
      <c r="F68" t="s">
        <v>14</v>
      </c>
      <c r="G68" t="s">
        <v>493</v>
      </c>
      <c r="J68" t="s">
        <v>113</v>
      </c>
      <c r="K68" t="s">
        <v>49</v>
      </c>
      <c r="L68" t="s">
        <v>50</v>
      </c>
      <c r="M68">
        <v>0.22100000000000003</v>
      </c>
    </row>
    <row r="69" spans="2:14" x14ac:dyDescent="0.45">
      <c r="B69" t="s">
        <v>490</v>
      </c>
      <c r="C69" t="s">
        <v>109</v>
      </c>
      <c r="D69" t="s">
        <v>557</v>
      </c>
      <c r="E69" t="s">
        <v>492</v>
      </c>
      <c r="F69" t="s">
        <v>14</v>
      </c>
      <c r="G69" t="s">
        <v>493</v>
      </c>
      <c r="J69" t="s">
        <v>114</v>
      </c>
      <c r="K69" t="s">
        <v>49</v>
      </c>
      <c r="L69" t="s">
        <v>50</v>
      </c>
      <c r="M69">
        <v>0.06</v>
      </c>
    </row>
    <row r="70" spans="2:14" x14ac:dyDescent="0.45">
      <c r="B70" t="s">
        <v>490</v>
      </c>
      <c r="C70" t="s">
        <v>115</v>
      </c>
      <c r="D70" t="s">
        <v>558</v>
      </c>
      <c r="E70" t="s">
        <v>492</v>
      </c>
      <c r="F70" t="s">
        <v>14</v>
      </c>
      <c r="G70" t="s">
        <v>493</v>
      </c>
      <c r="J70" t="s">
        <v>115</v>
      </c>
      <c r="K70" t="s">
        <v>49</v>
      </c>
      <c r="L70" t="s">
        <v>50</v>
      </c>
      <c r="M70">
        <v>0</v>
      </c>
    </row>
    <row r="71" spans="2:14" x14ac:dyDescent="0.45">
      <c r="B71" t="s">
        <v>490</v>
      </c>
      <c r="C71" t="s">
        <v>116</v>
      </c>
      <c r="D71" t="s">
        <v>559</v>
      </c>
      <c r="E71" t="s">
        <v>492</v>
      </c>
      <c r="F71" t="s">
        <v>14</v>
      </c>
      <c r="G71" t="s">
        <v>493</v>
      </c>
      <c r="J71" t="s">
        <v>116</v>
      </c>
      <c r="K71" t="s">
        <v>49</v>
      </c>
      <c r="L71" t="s">
        <v>50</v>
      </c>
      <c r="M71">
        <v>6.1390000000000002</v>
      </c>
      <c r="N71">
        <v>2552.6499799999997</v>
      </c>
    </row>
    <row r="72" spans="2:14" x14ac:dyDescent="0.45">
      <c r="B72" t="s">
        <v>490</v>
      </c>
      <c r="C72" t="s">
        <v>117</v>
      </c>
      <c r="D72" t="s">
        <v>560</v>
      </c>
      <c r="E72" t="s">
        <v>492</v>
      </c>
      <c r="F72" t="s">
        <v>14</v>
      </c>
      <c r="G72" t="s">
        <v>493</v>
      </c>
      <c r="J72" t="s">
        <v>117</v>
      </c>
      <c r="K72" t="s">
        <v>49</v>
      </c>
      <c r="L72" t="s">
        <v>50</v>
      </c>
      <c r="M72">
        <v>0.01</v>
      </c>
    </row>
    <row r="73" spans="2:14" x14ac:dyDescent="0.45">
      <c r="B73" t="s">
        <v>490</v>
      </c>
      <c r="C73" t="s">
        <v>119</v>
      </c>
      <c r="D73" t="s">
        <v>561</v>
      </c>
      <c r="E73" t="s">
        <v>492</v>
      </c>
      <c r="F73" t="s">
        <v>14</v>
      </c>
      <c r="G73" t="s">
        <v>493</v>
      </c>
      <c r="J73" t="s">
        <v>118</v>
      </c>
      <c r="K73" t="s">
        <v>49</v>
      </c>
      <c r="L73" t="s">
        <v>50</v>
      </c>
      <c r="M73">
        <v>3.5045662100456627E-2</v>
      </c>
      <c r="N73">
        <v>6018.7323200000001</v>
      </c>
    </row>
    <row r="74" spans="2:14" x14ac:dyDescent="0.45">
      <c r="B74" t="s">
        <v>490</v>
      </c>
      <c r="C74" t="s">
        <v>118</v>
      </c>
      <c r="D74" t="s">
        <v>562</v>
      </c>
      <c r="E74" t="s">
        <v>492</v>
      </c>
      <c r="F74" t="s">
        <v>14</v>
      </c>
      <c r="G74" t="s">
        <v>493</v>
      </c>
      <c r="J74" t="s">
        <v>119</v>
      </c>
      <c r="K74" t="s">
        <v>49</v>
      </c>
      <c r="L74" t="s">
        <v>50</v>
      </c>
      <c r="M74">
        <v>0</v>
      </c>
    </row>
    <row r="75" spans="2:14" x14ac:dyDescent="0.45">
      <c r="B75" t="s">
        <v>490</v>
      </c>
      <c r="C75" t="s">
        <v>120</v>
      </c>
      <c r="D75" t="s">
        <v>563</v>
      </c>
      <c r="E75" t="s">
        <v>492</v>
      </c>
      <c r="F75" t="s">
        <v>14</v>
      </c>
      <c r="G75" t="s">
        <v>493</v>
      </c>
      <c r="J75" t="s">
        <v>120</v>
      </c>
      <c r="K75" t="s">
        <v>49</v>
      </c>
      <c r="L75" t="s">
        <v>50</v>
      </c>
      <c r="M75">
        <v>0.41499999999999992</v>
      </c>
    </row>
    <row r="76" spans="2:14" x14ac:dyDescent="0.45">
      <c r="B76" t="s">
        <v>490</v>
      </c>
      <c r="C76" t="s">
        <v>121</v>
      </c>
      <c r="D76" t="s">
        <v>564</v>
      </c>
      <c r="E76" t="s">
        <v>492</v>
      </c>
      <c r="F76" t="s">
        <v>14</v>
      </c>
      <c r="G76" t="s">
        <v>493</v>
      </c>
      <c r="J76" t="s">
        <v>121</v>
      </c>
      <c r="K76" t="s">
        <v>49</v>
      </c>
      <c r="L76" t="s">
        <v>50</v>
      </c>
      <c r="M76">
        <v>0.2</v>
      </c>
    </row>
    <row r="77" spans="2:14" x14ac:dyDescent="0.45">
      <c r="B77" t="s">
        <v>490</v>
      </c>
      <c r="C77" t="s">
        <v>123</v>
      </c>
      <c r="D77" t="s">
        <v>565</v>
      </c>
      <c r="E77" t="s">
        <v>492</v>
      </c>
      <c r="F77" t="s">
        <v>14</v>
      </c>
      <c r="G77" t="s">
        <v>493</v>
      </c>
      <c r="J77" t="s">
        <v>122</v>
      </c>
      <c r="K77" t="s">
        <v>49</v>
      </c>
      <c r="L77" t="s">
        <v>50</v>
      </c>
      <c r="M77">
        <v>0.01</v>
      </c>
    </row>
    <row r="78" spans="2:14" x14ac:dyDescent="0.45">
      <c r="B78" t="s">
        <v>490</v>
      </c>
      <c r="C78" t="s">
        <v>71</v>
      </c>
      <c r="D78" t="s">
        <v>566</v>
      </c>
      <c r="E78" t="s">
        <v>492</v>
      </c>
      <c r="F78" t="s">
        <v>14</v>
      </c>
      <c r="G78" t="s">
        <v>493</v>
      </c>
      <c r="J78" t="s">
        <v>123</v>
      </c>
      <c r="K78" t="s">
        <v>49</v>
      </c>
      <c r="L78" t="s">
        <v>50</v>
      </c>
      <c r="M78">
        <v>0.53</v>
      </c>
    </row>
    <row r="79" spans="2:14" x14ac:dyDescent="0.45">
      <c r="B79" t="s">
        <v>490</v>
      </c>
      <c r="C79" t="s">
        <v>169</v>
      </c>
      <c r="D79" t="s">
        <v>567</v>
      </c>
      <c r="E79" t="s">
        <v>492</v>
      </c>
      <c r="F79" t="s">
        <v>14</v>
      </c>
      <c r="G79" t="s">
        <v>493</v>
      </c>
      <c r="J79" t="s">
        <v>124</v>
      </c>
      <c r="K79" t="s">
        <v>49</v>
      </c>
      <c r="L79" t="s">
        <v>50</v>
      </c>
      <c r="M79">
        <v>1.8427784949069201</v>
      </c>
      <c r="N79">
        <v>4907</v>
      </c>
    </row>
    <row r="80" spans="2:14" x14ac:dyDescent="0.45">
      <c r="B80" t="s">
        <v>490</v>
      </c>
      <c r="C80" t="s">
        <v>122</v>
      </c>
      <c r="D80" t="s">
        <v>568</v>
      </c>
      <c r="E80" t="s">
        <v>492</v>
      </c>
      <c r="F80" t="s">
        <v>14</v>
      </c>
      <c r="G80" t="s">
        <v>493</v>
      </c>
      <c r="J80" t="s">
        <v>125</v>
      </c>
      <c r="K80" t="s">
        <v>49</v>
      </c>
      <c r="L80" t="s">
        <v>50</v>
      </c>
      <c r="M80">
        <v>0.39</v>
      </c>
    </row>
    <row r="81" spans="2:14" x14ac:dyDescent="0.45">
      <c r="B81" t="s">
        <v>490</v>
      </c>
      <c r="C81" t="s">
        <v>124</v>
      </c>
      <c r="D81" t="s">
        <v>569</v>
      </c>
      <c r="E81" t="s">
        <v>492</v>
      </c>
      <c r="F81" t="s">
        <v>14</v>
      </c>
      <c r="G81" t="s">
        <v>493</v>
      </c>
      <c r="J81" t="s">
        <v>126</v>
      </c>
      <c r="K81" t="s">
        <v>49</v>
      </c>
      <c r="L81" t="s">
        <v>50</v>
      </c>
      <c r="M81">
        <v>0.06</v>
      </c>
    </row>
    <row r="82" spans="2:14" x14ac:dyDescent="0.45">
      <c r="B82" t="s">
        <v>490</v>
      </c>
      <c r="C82" t="s">
        <v>126</v>
      </c>
      <c r="D82" t="s">
        <v>570</v>
      </c>
      <c r="E82" t="s">
        <v>492</v>
      </c>
      <c r="F82" t="s">
        <v>14</v>
      </c>
      <c r="G82" t="s">
        <v>493</v>
      </c>
      <c r="J82" t="s">
        <v>127</v>
      </c>
      <c r="K82" t="s">
        <v>49</v>
      </c>
      <c r="L82" t="s">
        <v>50</v>
      </c>
      <c r="M82">
        <v>0.02</v>
      </c>
    </row>
    <row r="83" spans="2:14" x14ac:dyDescent="0.45">
      <c r="B83" t="s">
        <v>490</v>
      </c>
      <c r="C83" t="s">
        <v>171</v>
      </c>
      <c r="D83" t="s">
        <v>571</v>
      </c>
      <c r="E83" t="s">
        <v>492</v>
      </c>
      <c r="F83" t="s">
        <v>14</v>
      </c>
      <c r="G83" t="s">
        <v>493</v>
      </c>
      <c r="J83" t="s">
        <v>128</v>
      </c>
      <c r="K83" t="s">
        <v>49</v>
      </c>
      <c r="L83" t="s">
        <v>50</v>
      </c>
      <c r="M83">
        <v>0.03</v>
      </c>
    </row>
    <row r="84" spans="2:14" x14ac:dyDescent="0.45">
      <c r="B84" t="s">
        <v>490</v>
      </c>
      <c r="C84" t="s">
        <v>127</v>
      </c>
      <c r="D84" t="s">
        <v>572</v>
      </c>
      <c r="E84" t="s">
        <v>492</v>
      </c>
      <c r="F84" t="s">
        <v>14</v>
      </c>
      <c r="G84" t="s">
        <v>493</v>
      </c>
      <c r="J84" t="s">
        <v>129</v>
      </c>
      <c r="K84" t="s">
        <v>49</v>
      </c>
      <c r="L84" t="s">
        <v>50</v>
      </c>
      <c r="M84">
        <v>0.01</v>
      </c>
    </row>
    <row r="85" spans="2:14" x14ac:dyDescent="0.45">
      <c r="B85" t="s">
        <v>490</v>
      </c>
      <c r="C85" t="s">
        <v>128</v>
      </c>
      <c r="D85" t="s">
        <v>573</v>
      </c>
      <c r="E85" t="s">
        <v>492</v>
      </c>
      <c r="F85" t="s">
        <v>14</v>
      </c>
      <c r="G85" t="s">
        <v>493</v>
      </c>
      <c r="J85" t="s">
        <v>130</v>
      </c>
      <c r="K85" t="s">
        <v>49</v>
      </c>
      <c r="L85" t="s">
        <v>50</v>
      </c>
      <c r="M85">
        <v>0.17</v>
      </c>
    </row>
    <row r="86" spans="2:14" x14ac:dyDescent="0.45">
      <c r="B86" t="s">
        <v>490</v>
      </c>
      <c r="C86" t="s">
        <v>129</v>
      </c>
      <c r="D86" t="s">
        <v>574</v>
      </c>
      <c r="E86" t="s">
        <v>492</v>
      </c>
      <c r="F86" t="s">
        <v>14</v>
      </c>
      <c r="G86" t="s">
        <v>493</v>
      </c>
      <c r="J86" t="s">
        <v>131</v>
      </c>
      <c r="K86" t="s">
        <v>49</v>
      </c>
      <c r="L86" t="s">
        <v>50</v>
      </c>
      <c r="M86">
        <v>0.90085672580282994</v>
      </c>
      <c r="N86">
        <v>3102.7832360000002</v>
      </c>
    </row>
    <row r="87" spans="2:14" x14ac:dyDescent="0.45">
      <c r="B87" t="s">
        <v>490</v>
      </c>
      <c r="C87" t="s">
        <v>125</v>
      </c>
      <c r="D87" t="s">
        <v>575</v>
      </c>
      <c r="E87" t="s">
        <v>492</v>
      </c>
      <c r="F87" t="s">
        <v>14</v>
      </c>
      <c r="G87" t="s">
        <v>493</v>
      </c>
      <c r="J87" t="s">
        <v>132</v>
      </c>
      <c r="K87" t="s">
        <v>49</v>
      </c>
      <c r="L87" t="s">
        <v>50</v>
      </c>
      <c r="M87">
        <v>0.09</v>
      </c>
    </row>
    <row r="88" spans="2:14" x14ac:dyDescent="0.45">
      <c r="B88" t="s">
        <v>490</v>
      </c>
      <c r="C88" t="s">
        <v>140</v>
      </c>
      <c r="D88" t="s">
        <v>576</v>
      </c>
      <c r="E88" t="s">
        <v>492</v>
      </c>
      <c r="F88" t="s">
        <v>14</v>
      </c>
      <c r="G88" t="s">
        <v>493</v>
      </c>
      <c r="J88" t="s">
        <v>133</v>
      </c>
      <c r="K88" t="s">
        <v>49</v>
      </c>
      <c r="L88" t="s">
        <v>50</v>
      </c>
      <c r="M88">
        <v>2.8295500207554998</v>
      </c>
      <c r="N88">
        <v>1029.9920360000001</v>
      </c>
    </row>
    <row r="89" spans="2:14" x14ac:dyDescent="0.45">
      <c r="B89" t="s">
        <v>490</v>
      </c>
      <c r="C89" t="s">
        <v>138</v>
      </c>
      <c r="D89" t="s">
        <v>577</v>
      </c>
      <c r="E89" t="s">
        <v>492</v>
      </c>
      <c r="F89" t="s">
        <v>14</v>
      </c>
      <c r="G89" t="s">
        <v>493</v>
      </c>
      <c r="J89" t="s">
        <v>134</v>
      </c>
      <c r="K89" t="s">
        <v>49</v>
      </c>
      <c r="L89" t="s">
        <v>50</v>
      </c>
      <c r="M89">
        <v>0.04</v>
      </c>
    </row>
    <row r="90" spans="2:14" x14ac:dyDescent="0.45">
      <c r="B90" t="s">
        <v>490</v>
      </c>
      <c r="C90" t="s">
        <v>131</v>
      </c>
      <c r="D90" t="s">
        <v>578</v>
      </c>
      <c r="E90" t="s">
        <v>492</v>
      </c>
      <c r="F90" t="s">
        <v>14</v>
      </c>
      <c r="G90" t="s">
        <v>493</v>
      </c>
      <c r="J90" t="s">
        <v>135</v>
      </c>
      <c r="K90" t="s">
        <v>49</v>
      </c>
      <c r="L90" t="s">
        <v>50</v>
      </c>
      <c r="M90">
        <v>0.02</v>
      </c>
    </row>
    <row r="91" spans="2:14" x14ac:dyDescent="0.45">
      <c r="B91" t="s">
        <v>490</v>
      </c>
      <c r="C91" t="s">
        <v>137</v>
      </c>
      <c r="D91" t="s">
        <v>579</v>
      </c>
      <c r="E91" t="s">
        <v>492</v>
      </c>
      <c r="F91" t="s">
        <v>14</v>
      </c>
      <c r="G91" t="s">
        <v>493</v>
      </c>
      <c r="J91" t="s">
        <v>136</v>
      </c>
      <c r="K91" t="s">
        <v>49</v>
      </c>
      <c r="L91" t="s">
        <v>50</v>
      </c>
      <c r="M91">
        <v>0.02</v>
      </c>
    </row>
    <row r="92" spans="2:14" x14ac:dyDescent="0.45">
      <c r="B92" t="s">
        <v>490</v>
      </c>
      <c r="C92" t="s">
        <v>130</v>
      </c>
      <c r="D92" t="s">
        <v>580</v>
      </c>
      <c r="E92" t="s">
        <v>492</v>
      </c>
      <c r="F92" t="s">
        <v>14</v>
      </c>
      <c r="G92" t="s">
        <v>493</v>
      </c>
      <c r="J92" t="s">
        <v>137</v>
      </c>
      <c r="K92" t="s">
        <v>49</v>
      </c>
      <c r="L92" t="s">
        <v>50</v>
      </c>
      <c r="M92">
        <v>4.5573107968773003</v>
      </c>
      <c r="N92">
        <v>1259.340224</v>
      </c>
    </row>
    <row r="93" spans="2:14" x14ac:dyDescent="0.45">
      <c r="B93" t="s">
        <v>490</v>
      </c>
      <c r="C93" t="s">
        <v>134</v>
      </c>
      <c r="D93" t="s">
        <v>581</v>
      </c>
      <c r="E93" t="s">
        <v>492</v>
      </c>
      <c r="F93" t="s">
        <v>14</v>
      </c>
      <c r="G93" t="s">
        <v>493</v>
      </c>
      <c r="J93" t="s">
        <v>138</v>
      </c>
      <c r="K93" t="s">
        <v>49</v>
      </c>
      <c r="L93" t="s">
        <v>50</v>
      </c>
      <c r="M93">
        <v>0.02</v>
      </c>
    </row>
    <row r="94" spans="2:14" x14ac:dyDescent="0.45">
      <c r="B94" t="s">
        <v>490</v>
      </c>
      <c r="C94" t="s">
        <v>142</v>
      </c>
      <c r="D94" t="s">
        <v>582</v>
      </c>
      <c r="E94" t="s">
        <v>492</v>
      </c>
      <c r="F94" t="s">
        <v>14</v>
      </c>
      <c r="G94" t="s">
        <v>493</v>
      </c>
      <c r="J94" t="s">
        <v>139</v>
      </c>
      <c r="K94" t="s">
        <v>49</v>
      </c>
      <c r="L94" t="s">
        <v>50</v>
      </c>
      <c r="M94">
        <v>3.282</v>
      </c>
      <c r="N94">
        <v>2165.5359439999997</v>
      </c>
    </row>
    <row r="95" spans="2:14" x14ac:dyDescent="0.45">
      <c r="B95" t="s">
        <v>490</v>
      </c>
      <c r="C95" t="s">
        <v>139</v>
      </c>
      <c r="D95" t="s">
        <v>583</v>
      </c>
      <c r="E95" t="s">
        <v>492</v>
      </c>
      <c r="F95" t="s">
        <v>14</v>
      </c>
      <c r="G95" t="s">
        <v>493</v>
      </c>
      <c r="J95" t="s">
        <v>140</v>
      </c>
      <c r="K95" t="s">
        <v>49</v>
      </c>
      <c r="L95" t="s">
        <v>50</v>
      </c>
      <c r="M95">
        <v>0.33</v>
      </c>
    </row>
    <row r="96" spans="2:14" x14ac:dyDescent="0.45">
      <c r="B96" t="s">
        <v>490</v>
      </c>
      <c r="C96" t="s">
        <v>141</v>
      </c>
      <c r="D96" t="s">
        <v>584</v>
      </c>
      <c r="E96" t="s">
        <v>492</v>
      </c>
      <c r="F96" t="s">
        <v>14</v>
      </c>
      <c r="G96" t="s">
        <v>493</v>
      </c>
      <c r="J96" t="s">
        <v>141</v>
      </c>
      <c r="K96" t="s">
        <v>49</v>
      </c>
      <c r="L96" t="s">
        <v>50</v>
      </c>
      <c r="M96">
        <v>0.67834444033074182</v>
      </c>
      <c r="N96">
        <v>2232.1785200000004</v>
      </c>
    </row>
    <row r="97" spans="2:14" x14ac:dyDescent="0.45">
      <c r="B97" t="s">
        <v>490</v>
      </c>
      <c r="C97" t="s">
        <v>135</v>
      </c>
      <c r="D97" t="s">
        <v>585</v>
      </c>
      <c r="E97" t="s">
        <v>492</v>
      </c>
      <c r="F97" t="s">
        <v>14</v>
      </c>
      <c r="G97" t="s">
        <v>493</v>
      </c>
      <c r="J97" t="s">
        <v>142</v>
      </c>
      <c r="K97" t="s">
        <v>49</v>
      </c>
      <c r="L97" t="s">
        <v>50</v>
      </c>
      <c r="M97">
        <v>12.5902073474471</v>
      </c>
      <c r="N97">
        <v>927.06992000000014</v>
      </c>
    </row>
    <row r="98" spans="2:14" x14ac:dyDescent="0.45">
      <c r="B98" t="s">
        <v>490</v>
      </c>
      <c r="C98" t="s">
        <v>136</v>
      </c>
      <c r="D98" t="s">
        <v>586</v>
      </c>
      <c r="E98" t="s">
        <v>492</v>
      </c>
      <c r="F98" t="s">
        <v>14</v>
      </c>
      <c r="G98" t="s">
        <v>493</v>
      </c>
      <c r="J98" t="s">
        <v>143</v>
      </c>
      <c r="K98" t="s">
        <v>49</v>
      </c>
      <c r="L98" t="s">
        <v>50</v>
      </c>
      <c r="M98">
        <v>5.1753243732230505</v>
      </c>
      <c r="N98">
        <v>1595.4290120000003</v>
      </c>
    </row>
    <row r="99" spans="2:14" x14ac:dyDescent="0.45">
      <c r="B99" t="s">
        <v>490</v>
      </c>
      <c r="C99" t="s">
        <v>132</v>
      </c>
      <c r="D99" t="s">
        <v>587</v>
      </c>
      <c r="E99" t="s">
        <v>492</v>
      </c>
      <c r="F99" t="s">
        <v>14</v>
      </c>
      <c r="G99" t="s">
        <v>493</v>
      </c>
      <c r="J99" t="s">
        <v>144</v>
      </c>
      <c r="K99" t="s">
        <v>49</v>
      </c>
      <c r="L99" t="s">
        <v>50</v>
      </c>
      <c r="M99">
        <v>0.01</v>
      </c>
    </row>
    <row r="100" spans="2:14" x14ac:dyDescent="0.45">
      <c r="B100" t="s">
        <v>490</v>
      </c>
      <c r="C100" t="s">
        <v>133</v>
      </c>
      <c r="D100" t="s">
        <v>588</v>
      </c>
      <c r="E100" t="s">
        <v>492</v>
      </c>
      <c r="F100" t="s">
        <v>14</v>
      </c>
      <c r="G100" t="s">
        <v>493</v>
      </c>
      <c r="J100" t="s">
        <v>145</v>
      </c>
      <c r="K100" t="s">
        <v>49</v>
      </c>
      <c r="L100" t="s">
        <v>50</v>
      </c>
      <c r="M100">
        <v>0.02</v>
      </c>
    </row>
    <row r="101" spans="2:14" x14ac:dyDescent="0.45">
      <c r="B101" t="s">
        <v>490</v>
      </c>
      <c r="C101" t="s">
        <v>145</v>
      </c>
      <c r="D101" t="s">
        <v>589</v>
      </c>
      <c r="E101" t="s">
        <v>492</v>
      </c>
      <c r="F101" t="s">
        <v>14</v>
      </c>
      <c r="G101" t="s">
        <v>493</v>
      </c>
      <c r="J101" t="s">
        <v>146</v>
      </c>
      <c r="K101" t="s">
        <v>49</v>
      </c>
      <c r="L101" t="s">
        <v>50</v>
      </c>
      <c r="M101">
        <v>0.16402542752260721</v>
      </c>
      <c r="N101">
        <v>2757.7890319999997</v>
      </c>
    </row>
    <row r="102" spans="2:14" x14ac:dyDescent="0.45">
      <c r="B102" t="s">
        <v>490</v>
      </c>
      <c r="C102" t="s">
        <v>148</v>
      </c>
      <c r="D102" t="s">
        <v>590</v>
      </c>
      <c r="E102" t="s">
        <v>492</v>
      </c>
      <c r="F102" t="s">
        <v>14</v>
      </c>
      <c r="G102" t="s">
        <v>493</v>
      </c>
      <c r="J102" t="s">
        <v>147</v>
      </c>
      <c r="K102" t="s">
        <v>49</v>
      </c>
      <c r="L102" t="s">
        <v>50</v>
      </c>
      <c r="M102">
        <v>0.03</v>
      </c>
    </row>
    <row r="103" spans="2:14" x14ac:dyDescent="0.45">
      <c r="B103" t="s">
        <v>490</v>
      </c>
      <c r="C103" t="s">
        <v>147</v>
      </c>
      <c r="D103" t="s">
        <v>591</v>
      </c>
      <c r="E103" t="s">
        <v>492</v>
      </c>
      <c r="F103" t="s">
        <v>14</v>
      </c>
      <c r="G103" t="s">
        <v>493</v>
      </c>
      <c r="J103" t="s">
        <v>148</v>
      </c>
      <c r="K103" t="s">
        <v>49</v>
      </c>
      <c r="L103" t="s">
        <v>50</v>
      </c>
      <c r="M103">
        <v>1.7397321156773198</v>
      </c>
      <c r="N103">
        <v>2201</v>
      </c>
    </row>
    <row r="104" spans="2:14" x14ac:dyDescent="0.45">
      <c r="B104" t="s">
        <v>490</v>
      </c>
      <c r="C104" t="s">
        <v>144</v>
      </c>
      <c r="D104" t="s">
        <v>592</v>
      </c>
      <c r="E104" t="s">
        <v>492</v>
      </c>
      <c r="F104" t="s">
        <v>14</v>
      </c>
      <c r="G104" t="s">
        <v>493</v>
      </c>
      <c r="J104" t="s">
        <v>149</v>
      </c>
      <c r="K104" t="s">
        <v>49</v>
      </c>
      <c r="L104" t="s">
        <v>50</v>
      </c>
      <c r="M104">
        <v>0.78200000000000003</v>
      </c>
    </row>
    <row r="105" spans="2:14" x14ac:dyDescent="0.45">
      <c r="B105" t="s">
        <v>490</v>
      </c>
      <c r="C105" t="s">
        <v>150</v>
      </c>
      <c r="D105" t="s">
        <v>593</v>
      </c>
      <c r="E105" t="s">
        <v>492</v>
      </c>
      <c r="F105" t="s">
        <v>14</v>
      </c>
      <c r="G105" t="s">
        <v>493</v>
      </c>
      <c r="J105" t="s">
        <v>150</v>
      </c>
      <c r="K105" t="s">
        <v>49</v>
      </c>
      <c r="L105" t="s">
        <v>50</v>
      </c>
      <c r="M105">
        <v>4.3280000000000003</v>
      </c>
    </row>
    <row r="106" spans="2:14" x14ac:dyDescent="0.45">
      <c r="B106" t="s">
        <v>490</v>
      </c>
      <c r="C106" t="s">
        <v>143</v>
      </c>
      <c r="D106" t="s">
        <v>594</v>
      </c>
      <c r="E106" t="s">
        <v>492</v>
      </c>
      <c r="F106" t="s">
        <v>14</v>
      </c>
      <c r="G106" t="s">
        <v>493</v>
      </c>
      <c r="J106" t="s">
        <v>151</v>
      </c>
      <c r="K106" t="s">
        <v>49</v>
      </c>
      <c r="L106" t="s">
        <v>50</v>
      </c>
      <c r="M106">
        <v>5.29808573292331</v>
      </c>
      <c r="N106">
        <v>1699.1982199999998</v>
      </c>
    </row>
    <row r="107" spans="2:14" x14ac:dyDescent="0.45">
      <c r="B107" t="s">
        <v>490</v>
      </c>
      <c r="C107" t="s">
        <v>146</v>
      </c>
      <c r="D107" t="s">
        <v>595</v>
      </c>
      <c r="E107" t="s">
        <v>492</v>
      </c>
      <c r="F107" t="s">
        <v>14</v>
      </c>
      <c r="G107" t="s">
        <v>493</v>
      </c>
      <c r="J107" t="s">
        <v>152</v>
      </c>
      <c r="K107" t="s">
        <v>49</v>
      </c>
      <c r="L107" t="s">
        <v>50</v>
      </c>
      <c r="M107">
        <v>0.27600000000000002</v>
      </c>
    </row>
    <row r="108" spans="2:14" x14ac:dyDescent="0.45">
      <c r="B108" t="s">
        <v>490</v>
      </c>
      <c r="C108" t="s">
        <v>151</v>
      </c>
      <c r="D108" t="s">
        <v>596</v>
      </c>
      <c r="E108" t="s">
        <v>492</v>
      </c>
      <c r="F108" t="s">
        <v>14</v>
      </c>
      <c r="G108" t="s">
        <v>493</v>
      </c>
      <c r="J108" t="s">
        <v>153</v>
      </c>
      <c r="K108" t="s">
        <v>49</v>
      </c>
      <c r="L108" t="s">
        <v>50</v>
      </c>
      <c r="M108">
        <v>20.828228933167303</v>
      </c>
      <c r="N108">
        <v>1811.5390879999998</v>
      </c>
    </row>
    <row r="109" spans="2:14" x14ac:dyDescent="0.45">
      <c r="B109" t="s">
        <v>490</v>
      </c>
      <c r="C109" t="s">
        <v>152</v>
      </c>
      <c r="D109" t="s">
        <v>597</v>
      </c>
      <c r="E109" t="s">
        <v>492</v>
      </c>
      <c r="F109" t="s">
        <v>14</v>
      </c>
      <c r="G109" t="s">
        <v>493</v>
      </c>
      <c r="J109" t="s">
        <v>154</v>
      </c>
      <c r="K109" t="s">
        <v>49</v>
      </c>
      <c r="L109" t="s">
        <v>50</v>
      </c>
      <c r="M109">
        <v>2.2000000000000002</v>
      </c>
    </row>
    <row r="110" spans="2:14" x14ac:dyDescent="0.45">
      <c r="B110" t="s">
        <v>490</v>
      </c>
      <c r="C110" t="s">
        <v>155</v>
      </c>
      <c r="D110" t="s">
        <v>598</v>
      </c>
      <c r="E110" t="s">
        <v>492</v>
      </c>
      <c r="F110" t="s">
        <v>14</v>
      </c>
      <c r="G110" t="s">
        <v>493</v>
      </c>
      <c r="J110" t="s">
        <v>155</v>
      </c>
      <c r="K110" t="s">
        <v>49</v>
      </c>
      <c r="L110" t="s">
        <v>50</v>
      </c>
      <c r="M110">
        <v>2.7954882437129402</v>
      </c>
      <c r="N110">
        <v>1918.2166159999999</v>
      </c>
    </row>
    <row r="111" spans="2:14" x14ac:dyDescent="0.45">
      <c r="B111" t="s">
        <v>490</v>
      </c>
      <c r="C111" t="s">
        <v>156</v>
      </c>
      <c r="D111" t="s">
        <v>599</v>
      </c>
      <c r="E111" t="s">
        <v>492</v>
      </c>
      <c r="F111" t="s">
        <v>14</v>
      </c>
      <c r="G111" t="s">
        <v>493</v>
      </c>
      <c r="J111" t="s">
        <v>156</v>
      </c>
      <c r="K111" t="s">
        <v>49</v>
      </c>
      <c r="L111" t="s">
        <v>50</v>
      </c>
      <c r="M111">
        <v>0.73099999999999998</v>
      </c>
    </row>
    <row r="112" spans="2:14" x14ac:dyDescent="0.45">
      <c r="B112" t="s">
        <v>490</v>
      </c>
      <c r="C112" t="s">
        <v>153</v>
      </c>
      <c r="D112" t="s">
        <v>600</v>
      </c>
      <c r="E112" t="s">
        <v>492</v>
      </c>
      <c r="F112" t="s">
        <v>14</v>
      </c>
      <c r="G112" t="s">
        <v>493</v>
      </c>
      <c r="J112" t="s">
        <v>157</v>
      </c>
      <c r="K112" t="s">
        <v>49</v>
      </c>
      <c r="L112" t="s">
        <v>50</v>
      </c>
      <c r="M112">
        <v>0.14000000000000001</v>
      </c>
    </row>
    <row r="113" spans="2:14" x14ac:dyDescent="0.45">
      <c r="B113" t="s">
        <v>490</v>
      </c>
      <c r="C113" t="s">
        <v>157</v>
      </c>
      <c r="D113" t="s">
        <v>601</v>
      </c>
      <c r="E113" t="s">
        <v>492</v>
      </c>
      <c r="F113" t="s">
        <v>14</v>
      </c>
      <c r="G113" t="s">
        <v>493</v>
      </c>
      <c r="J113" t="s">
        <v>158</v>
      </c>
      <c r="K113" t="s">
        <v>49</v>
      </c>
      <c r="L113" t="s">
        <v>50</v>
      </c>
      <c r="M113">
        <v>0</v>
      </c>
    </row>
    <row r="114" spans="2:14" x14ac:dyDescent="0.45">
      <c r="B114" t="s">
        <v>490</v>
      </c>
      <c r="C114" t="s">
        <v>159</v>
      </c>
      <c r="D114" t="s">
        <v>602</v>
      </c>
      <c r="E114" t="s">
        <v>492</v>
      </c>
      <c r="F114" t="s">
        <v>14</v>
      </c>
      <c r="G114" t="s">
        <v>493</v>
      </c>
      <c r="J114" t="s">
        <v>159</v>
      </c>
      <c r="K114" t="s">
        <v>49</v>
      </c>
      <c r="L114" t="s">
        <v>50</v>
      </c>
      <c r="M114">
        <v>0.03</v>
      </c>
    </row>
    <row r="115" spans="2:14" x14ac:dyDescent="0.45">
      <c r="B115" t="s">
        <v>490</v>
      </c>
      <c r="C115" t="s">
        <v>149</v>
      </c>
      <c r="D115" t="s">
        <v>603</v>
      </c>
      <c r="E115" t="s">
        <v>492</v>
      </c>
      <c r="F115" t="s">
        <v>14</v>
      </c>
      <c r="G115" t="s">
        <v>493</v>
      </c>
      <c r="J115" t="s">
        <v>160</v>
      </c>
      <c r="K115" t="s">
        <v>49</v>
      </c>
      <c r="L115" t="s">
        <v>50</v>
      </c>
      <c r="M115">
        <v>1.5959999999999999</v>
      </c>
    </row>
    <row r="116" spans="2:14" x14ac:dyDescent="0.45">
      <c r="B116" t="s">
        <v>490</v>
      </c>
      <c r="C116" t="s">
        <v>158</v>
      </c>
      <c r="D116" t="s">
        <v>604</v>
      </c>
      <c r="E116" t="s">
        <v>492</v>
      </c>
      <c r="F116" t="s">
        <v>14</v>
      </c>
      <c r="G116" t="s">
        <v>493</v>
      </c>
      <c r="J116" t="s">
        <v>161</v>
      </c>
      <c r="K116" t="s">
        <v>49</v>
      </c>
      <c r="L116" t="s">
        <v>50</v>
      </c>
      <c r="M116">
        <v>0</v>
      </c>
      <c r="N116">
        <v>3237.2133199999994</v>
      </c>
    </row>
    <row r="117" spans="2:14" x14ac:dyDescent="0.45">
      <c r="B117" t="s">
        <v>490</v>
      </c>
      <c r="C117" t="s">
        <v>154</v>
      </c>
      <c r="D117" t="s">
        <v>605</v>
      </c>
      <c r="E117" t="s">
        <v>492</v>
      </c>
      <c r="F117" t="s">
        <v>14</v>
      </c>
      <c r="G117" t="s">
        <v>493</v>
      </c>
      <c r="J117" t="s">
        <v>162</v>
      </c>
      <c r="K117" t="s">
        <v>49</v>
      </c>
      <c r="L117" t="s">
        <v>50</v>
      </c>
      <c r="M117">
        <v>0.03</v>
      </c>
    </row>
    <row r="118" spans="2:14" x14ac:dyDescent="0.45">
      <c r="B118" t="s">
        <v>490</v>
      </c>
      <c r="C118" t="s">
        <v>98</v>
      </c>
      <c r="D118" t="s">
        <v>606</v>
      </c>
      <c r="E118" t="s">
        <v>492</v>
      </c>
      <c r="F118" t="s">
        <v>14</v>
      </c>
      <c r="G118" t="s">
        <v>493</v>
      </c>
      <c r="J118" t="s">
        <v>163</v>
      </c>
      <c r="K118" t="s">
        <v>49</v>
      </c>
      <c r="L118" t="s">
        <v>50</v>
      </c>
      <c r="M118">
        <v>0</v>
      </c>
    </row>
    <row r="119" spans="2:14" x14ac:dyDescent="0.45">
      <c r="B119" t="s">
        <v>490</v>
      </c>
      <c r="C119" t="s">
        <v>160</v>
      </c>
      <c r="D119" t="s">
        <v>607</v>
      </c>
      <c r="E119" t="s">
        <v>492</v>
      </c>
      <c r="F119" t="s">
        <v>14</v>
      </c>
      <c r="G119" t="s">
        <v>493</v>
      </c>
      <c r="J119" t="s">
        <v>164</v>
      </c>
      <c r="K119" t="s">
        <v>49</v>
      </c>
      <c r="L119" t="s">
        <v>50</v>
      </c>
      <c r="M119">
        <v>0.46700000000000008</v>
      </c>
    </row>
    <row r="120" spans="2:14" x14ac:dyDescent="0.45">
      <c r="B120" t="s">
        <v>490</v>
      </c>
      <c r="C120" t="s">
        <v>161</v>
      </c>
      <c r="D120" t="s">
        <v>608</v>
      </c>
      <c r="E120" t="s">
        <v>492</v>
      </c>
      <c r="F120" t="s">
        <v>14</v>
      </c>
      <c r="G120" t="s">
        <v>493</v>
      </c>
      <c r="J120" t="s">
        <v>165</v>
      </c>
      <c r="K120" t="s">
        <v>49</v>
      </c>
      <c r="L120" t="s">
        <v>50</v>
      </c>
      <c r="M120">
        <v>0.01</v>
      </c>
    </row>
    <row r="121" spans="2:14" x14ac:dyDescent="0.45">
      <c r="B121" t="s">
        <v>490</v>
      </c>
      <c r="C121" t="s">
        <v>162</v>
      </c>
      <c r="D121" t="s">
        <v>609</v>
      </c>
      <c r="E121" t="s">
        <v>492</v>
      </c>
      <c r="F121" t="s">
        <v>14</v>
      </c>
      <c r="G121" t="s">
        <v>493</v>
      </c>
      <c r="J121" t="s">
        <v>166</v>
      </c>
      <c r="K121" t="s">
        <v>49</v>
      </c>
      <c r="L121" t="s">
        <v>50</v>
      </c>
      <c r="M121">
        <v>0.4</v>
      </c>
    </row>
    <row r="122" spans="2:14" x14ac:dyDescent="0.45">
      <c r="B122" t="s">
        <v>490</v>
      </c>
      <c r="C122" t="s">
        <v>172</v>
      </c>
      <c r="D122" t="s">
        <v>610</v>
      </c>
      <c r="E122" t="s">
        <v>492</v>
      </c>
      <c r="F122" t="s">
        <v>14</v>
      </c>
      <c r="G122" t="s">
        <v>493</v>
      </c>
      <c r="J122" t="s">
        <v>167</v>
      </c>
      <c r="K122" t="s">
        <v>49</v>
      </c>
      <c r="L122" t="s">
        <v>50</v>
      </c>
      <c r="M122">
        <v>0.32</v>
      </c>
    </row>
    <row r="123" spans="2:14" x14ac:dyDescent="0.45">
      <c r="B123" t="s">
        <v>490</v>
      </c>
      <c r="C123" t="s">
        <v>165</v>
      </c>
      <c r="D123" t="s">
        <v>611</v>
      </c>
      <c r="E123" t="s">
        <v>492</v>
      </c>
      <c r="F123" t="s">
        <v>14</v>
      </c>
      <c r="G123" t="s">
        <v>493</v>
      </c>
      <c r="J123" t="s">
        <v>168</v>
      </c>
      <c r="K123" t="s">
        <v>49</v>
      </c>
      <c r="L123" t="s">
        <v>50</v>
      </c>
      <c r="M123">
        <v>0.97599999999999998</v>
      </c>
      <c r="N123">
        <v>1907.079152</v>
      </c>
    </row>
    <row r="124" spans="2:14" x14ac:dyDescent="0.45">
      <c r="B124" t="s">
        <v>490</v>
      </c>
      <c r="C124" t="s">
        <v>90</v>
      </c>
      <c r="D124" t="s">
        <v>612</v>
      </c>
      <c r="E124" t="s">
        <v>492</v>
      </c>
      <c r="F124" t="s">
        <v>14</v>
      </c>
      <c r="G124" t="s">
        <v>493</v>
      </c>
      <c r="J124" t="s">
        <v>169</v>
      </c>
      <c r="K124" t="s">
        <v>49</v>
      </c>
      <c r="L124" t="s">
        <v>50</v>
      </c>
      <c r="M124">
        <v>0.44</v>
      </c>
    </row>
    <row r="125" spans="2:14" x14ac:dyDescent="0.45">
      <c r="B125" t="s">
        <v>490</v>
      </c>
      <c r="C125" t="s">
        <v>164</v>
      </c>
      <c r="D125" t="s">
        <v>613</v>
      </c>
      <c r="E125" t="s">
        <v>492</v>
      </c>
      <c r="F125" t="s">
        <v>14</v>
      </c>
      <c r="G125" t="s">
        <v>493</v>
      </c>
      <c r="J125" t="s">
        <v>170</v>
      </c>
      <c r="K125" t="s">
        <v>49</v>
      </c>
      <c r="L125" t="s">
        <v>50</v>
      </c>
      <c r="M125">
        <v>4.26</v>
      </c>
    </row>
    <row r="126" spans="2:14" x14ac:dyDescent="0.45">
      <c r="B126" t="s">
        <v>490</v>
      </c>
      <c r="C126" t="s">
        <v>163</v>
      </c>
      <c r="D126" t="s">
        <v>614</v>
      </c>
      <c r="E126" t="s">
        <v>492</v>
      </c>
      <c r="F126" t="s">
        <v>14</v>
      </c>
      <c r="G126" t="s">
        <v>493</v>
      </c>
      <c r="J126" t="s">
        <v>171</v>
      </c>
      <c r="K126" t="s">
        <v>49</v>
      </c>
      <c r="L126" t="s">
        <v>50</v>
      </c>
      <c r="M126">
        <v>0.252</v>
      </c>
    </row>
    <row r="127" spans="2:14" x14ac:dyDescent="0.45">
      <c r="B127" t="s">
        <v>490</v>
      </c>
      <c r="C127" t="s">
        <v>173</v>
      </c>
      <c r="D127" t="s">
        <v>615</v>
      </c>
      <c r="E127" t="s">
        <v>492</v>
      </c>
      <c r="F127" t="s">
        <v>14</v>
      </c>
      <c r="G127" t="s">
        <v>493</v>
      </c>
      <c r="J127" t="s">
        <v>172</v>
      </c>
      <c r="K127" t="s">
        <v>49</v>
      </c>
      <c r="L127" t="s">
        <v>50</v>
      </c>
      <c r="M127">
        <v>24.575209577332899</v>
      </c>
      <c r="N127">
        <v>1647.6876679999998</v>
      </c>
    </row>
    <row r="128" spans="2:14" x14ac:dyDescent="0.45">
      <c r="B128" t="s">
        <v>490</v>
      </c>
      <c r="C128" t="s">
        <v>166</v>
      </c>
      <c r="D128" t="s">
        <v>616</v>
      </c>
      <c r="E128" t="s">
        <v>492</v>
      </c>
      <c r="F128" t="s">
        <v>14</v>
      </c>
      <c r="G128" t="s">
        <v>493</v>
      </c>
      <c r="J128" t="s">
        <v>173</v>
      </c>
      <c r="K128" t="s">
        <v>49</v>
      </c>
      <c r="L128" t="s">
        <v>50</v>
      </c>
      <c r="M128">
        <v>0.05</v>
      </c>
    </row>
    <row r="129" spans="2:14" x14ac:dyDescent="0.45">
      <c r="B129" t="s">
        <v>490</v>
      </c>
      <c r="C129" t="s">
        <v>167</v>
      </c>
      <c r="D129" t="s">
        <v>617</v>
      </c>
      <c r="E129" t="s">
        <v>492</v>
      </c>
      <c r="F129" t="s">
        <v>14</v>
      </c>
      <c r="G129" t="s">
        <v>493</v>
      </c>
      <c r="J129" t="s">
        <v>174</v>
      </c>
      <c r="K129" t="s">
        <v>49</v>
      </c>
      <c r="L129" t="s">
        <v>50</v>
      </c>
      <c r="M129">
        <v>0.02</v>
      </c>
    </row>
    <row r="130" spans="2:14" x14ac:dyDescent="0.45">
      <c r="B130" t="s">
        <v>490</v>
      </c>
      <c r="C130" t="s">
        <v>175</v>
      </c>
      <c r="D130" t="s">
        <v>618</v>
      </c>
      <c r="E130" t="s">
        <v>492</v>
      </c>
      <c r="F130" t="s">
        <v>14</v>
      </c>
      <c r="G130" t="s">
        <v>493</v>
      </c>
      <c r="J130" t="s">
        <v>175</v>
      </c>
      <c r="K130" t="s">
        <v>49</v>
      </c>
      <c r="L130" t="s">
        <v>50</v>
      </c>
      <c r="M130">
        <v>3.5739999999999998</v>
      </c>
    </row>
    <row r="131" spans="2:14" x14ac:dyDescent="0.45">
      <c r="B131" t="s">
        <v>490</v>
      </c>
      <c r="C131" t="s">
        <v>174</v>
      </c>
      <c r="D131" t="s">
        <v>619</v>
      </c>
      <c r="E131" t="s">
        <v>492</v>
      </c>
      <c r="F131" t="s">
        <v>14</v>
      </c>
      <c r="G131" t="s">
        <v>493</v>
      </c>
      <c r="J131" t="s">
        <v>176</v>
      </c>
      <c r="K131" t="s">
        <v>49</v>
      </c>
      <c r="L131" t="s">
        <v>50</v>
      </c>
      <c r="M131">
        <v>2.1950000000000003</v>
      </c>
    </row>
    <row r="132" spans="2:14" x14ac:dyDescent="0.45">
      <c r="B132" t="s">
        <v>490</v>
      </c>
      <c r="C132" t="s">
        <v>177</v>
      </c>
      <c r="D132" t="s">
        <v>620</v>
      </c>
      <c r="E132" t="s">
        <v>492</v>
      </c>
      <c r="F132" t="s">
        <v>14</v>
      </c>
      <c r="G132" t="s">
        <v>493</v>
      </c>
      <c r="J132" t="s">
        <v>177</v>
      </c>
      <c r="K132" t="s">
        <v>49</v>
      </c>
      <c r="L132" t="s">
        <v>50</v>
      </c>
      <c r="M132">
        <v>0</v>
      </c>
    </row>
    <row r="133" spans="2:14" x14ac:dyDescent="0.45">
      <c r="B133" t="s">
        <v>490</v>
      </c>
      <c r="C133" t="s">
        <v>182</v>
      </c>
      <c r="D133" t="s">
        <v>621</v>
      </c>
      <c r="E133" t="s">
        <v>492</v>
      </c>
      <c r="F133" t="s">
        <v>14</v>
      </c>
      <c r="G133" t="s">
        <v>493</v>
      </c>
      <c r="J133" t="s">
        <v>178</v>
      </c>
      <c r="K133" t="s">
        <v>49</v>
      </c>
      <c r="L133" t="s">
        <v>50</v>
      </c>
      <c r="M133">
        <v>0.52</v>
      </c>
    </row>
    <row r="134" spans="2:14" x14ac:dyDescent="0.45">
      <c r="B134" t="s">
        <v>490</v>
      </c>
      <c r="C134" t="s">
        <v>181</v>
      </c>
      <c r="D134" t="s">
        <v>622</v>
      </c>
      <c r="E134" t="s">
        <v>492</v>
      </c>
      <c r="F134" t="s">
        <v>14</v>
      </c>
      <c r="G134" t="s">
        <v>493</v>
      </c>
      <c r="J134" t="s">
        <v>179</v>
      </c>
      <c r="K134" t="s">
        <v>49</v>
      </c>
      <c r="L134" t="s">
        <v>50</v>
      </c>
      <c r="M134">
        <v>0.26218762972187992</v>
      </c>
      <c r="N134">
        <v>3125</v>
      </c>
    </row>
    <row r="135" spans="2:14" x14ac:dyDescent="0.45">
      <c r="B135" t="s">
        <v>490</v>
      </c>
      <c r="C135" t="s">
        <v>179</v>
      </c>
      <c r="D135" t="s">
        <v>623</v>
      </c>
      <c r="E135" t="s">
        <v>492</v>
      </c>
      <c r="F135" t="s">
        <v>14</v>
      </c>
      <c r="G135" t="s">
        <v>493</v>
      </c>
      <c r="J135" t="s">
        <v>180</v>
      </c>
      <c r="K135" t="s">
        <v>49</v>
      </c>
      <c r="L135" t="s">
        <v>50</v>
      </c>
      <c r="M135">
        <v>2.4279807204464743</v>
      </c>
      <c r="N135">
        <v>1262.8144399999999</v>
      </c>
    </row>
    <row r="136" spans="2:14" x14ac:dyDescent="0.45">
      <c r="B136" t="s">
        <v>490</v>
      </c>
      <c r="C136" t="s">
        <v>185</v>
      </c>
      <c r="D136" t="s">
        <v>624</v>
      </c>
      <c r="E136" t="s">
        <v>492</v>
      </c>
      <c r="F136" t="s">
        <v>14</v>
      </c>
      <c r="G136" t="s">
        <v>493</v>
      </c>
      <c r="J136" t="s">
        <v>181</v>
      </c>
      <c r="K136" t="s">
        <v>49</v>
      </c>
      <c r="L136" t="s">
        <v>50</v>
      </c>
      <c r="M136">
        <v>0.36399999999999999</v>
      </c>
    </row>
    <row r="137" spans="2:14" x14ac:dyDescent="0.45">
      <c r="B137" t="s">
        <v>490</v>
      </c>
      <c r="C137" t="s">
        <v>183</v>
      </c>
      <c r="D137" t="s">
        <v>625</v>
      </c>
      <c r="E137" t="s">
        <v>492</v>
      </c>
      <c r="F137" t="s">
        <v>14</v>
      </c>
      <c r="G137" t="s">
        <v>493</v>
      </c>
      <c r="J137" t="s">
        <v>182</v>
      </c>
      <c r="K137" t="s">
        <v>49</v>
      </c>
      <c r="L137" t="s">
        <v>50</v>
      </c>
      <c r="M137">
        <v>0.02</v>
      </c>
    </row>
    <row r="138" spans="2:14" x14ac:dyDescent="0.45">
      <c r="B138" t="s">
        <v>490</v>
      </c>
      <c r="C138" t="s">
        <v>184</v>
      </c>
      <c r="D138" t="s">
        <v>626</v>
      </c>
      <c r="E138" t="s">
        <v>492</v>
      </c>
      <c r="F138" t="s">
        <v>14</v>
      </c>
      <c r="G138" t="s">
        <v>493</v>
      </c>
      <c r="J138" t="s">
        <v>183</v>
      </c>
      <c r="K138" t="s">
        <v>49</v>
      </c>
      <c r="L138" t="s">
        <v>50</v>
      </c>
      <c r="M138">
        <v>0.02</v>
      </c>
    </row>
    <row r="139" spans="2:14" x14ac:dyDescent="0.45">
      <c r="B139" t="s">
        <v>490</v>
      </c>
      <c r="C139" t="s">
        <v>178</v>
      </c>
      <c r="D139" t="s">
        <v>627</v>
      </c>
      <c r="E139" t="s">
        <v>492</v>
      </c>
      <c r="F139" t="s">
        <v>14</v>
      </c>
      <c r="G139" t="s">
        <v>493</v>
      </c>
      <c r="J139" t="s">
        <v>184</v>
      </c>
      <c r="K139" t="s">
        <v>49</v>
      </c>
      <c r="L139" t="s">
        <v>50</v>
      </c>
      <c r="M139">
        <v>9.0153424657533989</v>
      </c>
      <c r="N139">
        <v>1266</v>
      </c>
    </row>
    <row r="140" spans="2:14" x14ac:dyDescent="0.45">
      <c r="B140" t="s">
        <v>490</v>
      </c>
      <c r="C140" t="s">
        <v>180</v>
      </c>
      <c r="D140" t="s">
        <v>628</v>
      </c>
      <c r="E140" t="s">
        <v>492</v>
      </c>
      <c r="F140" t="s">
        <v>14</v>
      </c>
      <c r="G140" t="s">
        <v>493</v>
      </c>
      <c r="J140" t="s">
        <v>185</v>
      </c>
      <c r="K140" t="s">
        <v>49</v>
      </c>
      <c r="L140" t="s">
        <v>50</v>
      </c>
      <c r="M140">
        <v>0</v>
      </c>
    </row>
    <row r="141" spans="2:14" x14ac:dyDescent="0.45">
      <c r="B141" t="s">
        <v>490</v>
      </c>
      <c r="C141" t="s">
        <v>186</v>
      </c>
      <c r="D141" t="s">
        <v>629</v>
      </c>
      <c r="E141" t="s">
        <v>492</v>
      </c>
      <c r="F141" t="s">
        <v>14</v>
      </c>
      <c r="G141" t="s">
        <v>493</v>
      </c>
      <c r="J141" t="s">
        <v>186</v>
      </c>
      <c r="K141" t="s">
        <v>49</v>
      </c>
      <c r="L141" t="s">
        <v>50</v>
      </c>
      <c r="M141">
        <v>0.51214670164189002</v>
      </c>
      <c r="N141">
        <v>2436.4625959999994</v>
      </c>
    </row>
    <row r="142" spans="2:14" x14ac:dyDescent="0.45">
      <c r="B142" t="s">
        <v>490</v>
      </c>
      <c r="C142" t="s">
        <v>187</v>
      </c>
      <c r="D142" t="s">
        <v>630</v>
      </c>
      <c r="E142" t="s">
        <v>492</v>
      </c>
      <c r="F142" t="s">
        <v>14</v>
      </c>
      <c r="G142" t="s">
        <v>493</v>
      </c>
      <c r="J142" t="s">
        <v>187</v>
      </c>
      <c r="K142" t="s">
        <v>49</v>
      </c>
      <c r="L142" t="s">
        <v>50</v>
      </c>
      <c r="M142">
        <v>1.046</v>
      </c>
    </row>
    <row r="143" spans="2:14" x14ac:dyDescent="0.45">
      <c r="B143" t="s">
        <v>490</v>
      </c>
      <c r="C143" t="s">
        <v>190</v>
      </c>
      <c r="D143" t="s">
        <v>631</v>
      </c>
      <c r="E143" t="s">
        <v>492</v>
      </c>
      <c r="F143" t="s">
        <v>14</v>
      </c>
      <c r="G143" t="s">
        <v>493</v>
      </c>
      <c r="J143" t="s">
        <v>188</v>
      </c>
      <c r="K143" t="s">
        <v>49</v>
      </c>
      <c r="L143" t="s">
        <v>50</v>
      </c>
      <c r="M143">
        <v>0.28600000000000003</v>
      </c>
    </row>
    <row r="144" spans="2:14" x14ac:dyDescent="0.45">
      <c r="B144" t="s">
        <v>490</v>
      </c>
      <c r="C144" t="s">
        <v>189</v>
      </c>
      <c r="D144" t="s">
        <v>632</v>
      </c>
      <c r="E144" t="s">
        <v>492</v>
      </c>
      <c r="F144" t="s">
        <v>14</v>
      </c>
      <c r="G144" t="s">
        <v>493</v>
      </c>
      <c r="J144" t="s">
        <v>189</v>
      </c>
      <c r="K144" t="s">
        <v>49</v>
      </c>
      <c r="L144" t="s">
        <v>50</v>
      </c>
      <c r="M144">
        <v>17.920720700152202</v>
      </c>
      <c r="N144">
        <v>3162.9635599999997</v>
      </c>
    </row>
    <row r="145" spans="2:14" x14ac:dyDescent="0.45">
      <c r="B145" t="s">
        <v>490</v>
      </c>
      <c r="C145" t="s">
        <v>191</v>
      </c>
      <c r="D145" t="s">
        <v>633</v>
      </c>
      <c r="E145" t="s">
        <v>492</v>
      </c>
      <c r="F145" t="s">
        <v>14</v>
      </c>
      <c r="G145" t="s">
        <v>493</v>
      </c>
      <c r="J145" t="s">
        <v>190</v>
      </c>
      <c r="K145" t="s">
        <v>49</v>
      </c>
      <c r="L145" t="s">
        <v>50</v>
      </c>
      <c r="M145">
        <v>0.38</v>
      </c>
    </row>
    <row r="146" spans="2:14" x14ac:dyDescent="0.45">
      <c r="B146" t="s">
        <v>490</v>
      </c>
      <c r="C146" t="s">
        <v>192</v>
      </c>
      <c r="D146" t="s">
        <v>634</v>
      </c>
      <c r="E146" t="s">
        <v>492</v>
      </c>
      <c r="F146" t="s">
        <v>14</v>
      </c>
      <c r="G146" t="s">
        <v>493</v>
      </c>
      <c r="J146" t="s">
        <v>191</v>
      </c>
      <c r="K146" t="s">
        <v>49</v>
      </c>
      <c r="L146" t="s">
        <v>50</v>
      </c>
      <c r="M146">
        <v>0.43</v>
      </c>
    </row>
    <row r="147" spans="2:14" x14ac:dyDescent="0.45">
      <c r="B147" t="s">
        <v>490</v>
      </c>
      <c r="C147" t="s">
        <v>193</v>
      </c>
      <c r="D147" t="s">
        <v>635</v>
      </c>
      <c r="E147" t="s">
        <v>492</v>
      </c>
      <c r="F147" t="s">
        <v>14</v>
      </c>
      <c r="G147" t="s">
        <v>493</v>
      </c>
      <c r="J147" t="s">
        <v>192</v>
      </c>
      <c r="K147" t="s">
        <v>49</v>
      </c>
      <c r="L147" t="s">
        <v>50</v>
      </c>
      <c r="M147">
        <v>15.3846460812935</v>
      </c>
      <c r="N147">
        <v>1025.5656079999999</v>
      </c>
    </row>
    <row r="148" spans="2:14" x14ac:dyDescent="0.45">
      <c r="B148" t="s">
        <v>490</v>
      </c>
      <c r="C148" t="s">
        <v>168</v>
      </c>
      <c r="D148" t="s">
        <v>636</v>
      </c>
      <c r="E148" t="s">
        <v>492</v>
      </c>
      <c r="F148" t="s">
        <v>14</v>
      </c>
      <c r="G148" t="s">
        <v>493</v>
      </c>
      <c r="J148" t="s">
        <v>193</v>
      </c>
      <c r="K148" t="s">
        <v>49</v>
      </c>
      <c r="L148" t="s">
        <v>50</v>
      </c>
      <c r="M148">
        <v>1.4019999999999999</v>
      </c>
      <c r="N148">
        <v>2457.7134800000003</v>
      </c>
    </row>
    <row r="149" spans="2:14" x14ac:dyDescent="0.45">
      <c r="B149" t="s">
        <v>490</v>
      </c>
      <c r="C149" t="s">
        <v>194</v>
      </c>
      <c r="D149" t="s">
        <v>637</v>
      </c>
      <c r="E149" t="s">
        <v>492</v>
      </c>
      <c r="F149" t="s">
        <v>14</v>
      </c>
      <c r="G149" t="s">
        <v>493</v>
      </c>
      <c r="J149" t="s">
        <v>194</v>
      </c>
      <c r="K149" t="s">
        <v>49</v>
      </c>
      <c r="L149" t="s">
        <v>50</v>
      </c>
      <c r="M149">
        <v>9.2579999999999991</v>
      </c>
      <c r="N149">
        <v>953.32013599999982</v>
      </c>
    </row>
    <row r="150" spans="2:14" x14ac:dyDescent="0.45">
      <c r="B150" t="s">
        <v>490</v>
      </c>
      <c r="C150" t="s">
        <v>195</v>
      </c>
      <c r="D150" t="s">
        <v>638</v>
      </c>
      <c r="E150" t="s">
        <v>492</v>
      </c>
      <c r="F150" t="s">
        <v>14</v>
      </c>
      <c r="G150" t="s">
        <v>493</v>
      </c>
      <c r="J150" t="s">
        <v>195</v>
      </c>
      <c r="K150" t="s">
        <v>49</v>
      </c>
      <c r="L150" t="s">
        <v>50</v>
      </c>
      <c r="M150">
        <v>0.19</v>
      </c>
    </row>
    <row r="151" spans="2:14" x14ac:dyDescent="0.45">
      <c r="B151" t="s">
        <v>490</v>
      </c>
      <c r="C151" t="s">
        <v>196</v>
      </c>
      <c r="D151" t="s">
        <v>639</v>
      </c>
      <c r="E151" t="s">
        <v>492</v>
      </c>
      <c r="F151" t="s">
        <v>14</v>
      </c>
      <c r="G151" t="s">
        <v>493</v>
      </c>
      <c r="J151" t="s">
        <v>196</v>
      </c>
      <c r="K151" t="s">
        <v>49</v>
      </c>
      <c r="L151" t="s">
        <v>50</v>
      </c>
      <c r="M151">
        <v>0.22</v>
      </c>
    </row>
    <row r="152" spans="2:14" x14ac:dyDescent="0.45">
      <c r="B152" t="s">
        <v>490</v>
      </c>
      <c r="C152" t="s">
        <v>199</v>
      </c>
      <c r="D152" t="s">
        <v>640</v>
      </c>
      <c r="E152" t="s">
        <v>492</v>
      </c>
      <c r="F152" t="s">
        <v>14</v>
      </c>
      <c r="G152" t="s">
        <v>493</v>
      </c>
      <c r="J152" t="s">
        <v>197</v>
      </c>
      <c r="K152" t="s">
        <v>49</v>
      </c>
      <c r="L152" t="s">
        <v>50</v>
      </c>
      <c r="M152">
        <v>0.8</v>
      </c>
    </row>
    <row r="153" spans="2:14" x14ac:dyDescent="0.45">
      <c r="B153" t="s">
        <v>490</v>
      </c>
      <c r="C153" t="s">
        <v>197</v>
      </c>
      <c r="D153" t="s">
        <v>641</v>
      </c>
      <c r="E153" t="s">
        <v>492</v>
      </c>
      <c r="F153" t="s">
        <v>14</v>
      </c>
      <c r="G153" t="s">
        <v>493</v>
      </c>
      <c r="J153" t="s">
        <v>198</v>
      </c>
      <c r="K153" t="s">
        <v>49</v>
      </c>
      <c r="L153" t="s">
        <v>50</v>
      </c>
      <c r="M153">
        <v>0.11</v>
      </c>
    </row>
    <row r="154" spans="2:14" x14ac:dyDescent="0.45">
      <c r="B154" t="s">
        <v>490</v>
      </c>
      <c r="C154" t="s">
        <v>200</v>
      </c>
      <c r="D154" t="s">
        <v>642</v>
      </c>
      <c r="E154" t="s">
        <v>492</v>
      </c>
      <c r="F154" t="s">
        <v>14</v>
      </c>
      <c r="G154" t="s">
        <v>493</v>
      </c>
      <c r="J154" t="s">
        <v>199</v>
      </c>
      <c r="K154" t="s">
        <v>49</v>
      </c>
      <c r="L154" t="s">
        <v>50</v>
      </c>
      <c r="M154">
        <v>7.1846561912436231</v>
      </c>
      <c r="N154">
        <v>5735.8018399999992</v>
      </c>
    </row>
    <row r="155" spans="2:14" x14ac:dyDescent="0.45">
      <c r="B155" t="s">
        <v>490</v>
      </c>
      <c r="C155" t="s">
        <v>201</v>
      </c>
      <c r="D155" t="s">
        <v>643</v>
      </c>
      <c r="E155" t="s">
        <v>492</v>
      </c>
      <c r="F155" t="s">
        <v>14</v>
      </c>
      <c r="G155" t="s">
        <v>493</v>
      </c>
      <c r="J155" t="s">
        <v>200</v>
      </c>
      <c r="K155" t="s">
        <v>49</v>
      </c>
      <c r="L155" t="s">
        <v>50</v>
      </c>
      <c r="M155">
        <v>1.4366256251358989</v>
      </c>
      <c r="N155">
        <v>4434.8367199999993</v>
      </c>
    </row>
    <row r="156" spans="2:14" x14ac:dyDescent="0.45">
      <c r="B156" t="s">
        <v>490</v>
      </c>
      <c r="C156" t="s">
        <v>202</v>
      </c>
      <c r="D156" t="s">
        <v>644</v>
      </c>
      <c r="E156" t="s">
        <v>492</v>
      </c>
      <c r="F156" t="s">
        <v>14</v>
      </c>
      <c r="G156" t="s">
        <v>493</v>
      </c>
      <c r="J156" t="s">
        <v>201</v>
      </c>
      <c r="K156" t="s">
        <v>49</v>
      </c>
      <c r="L156" t="s">
        <v>50</v>
      </c>
      <c r="M156">
        <v>0.62</v>
      </c>
    </row>
    <row r="157" spans="2:14" x14ac:dyDescent="0.45">
      <c r="B157" t="s">
        <v>490</v>
      </c>
      <c r="C157" t="s">
        <v>203</v>
      </c>
      <c r="D157" t="s">
        <v>645</v>
      </c>
      <c r="E157" t="s">
        <v>492</v>
      </c>
      <c r="F157" t="s">
        <v>14</v>
      </c>
      <c r="G157" t="s">
        <v>493</v>
      </c>
      <c r="J157" t="s">
        <v>202</v>
      </c>
      <c r="K157" t="s">
        <v>49</v>
      </c>
      <c r="L157" t="s">
        <v>50</v>
      </c>
      <c r="M157">
        <v>5.4112515566625223</v>
      </c>
      <c r="N157">
        <v>3633.6296000000002</v>
      </c>
    </row>
    <row r="158" spans="2:14" x14ac:dyDescent="0.45">
      <c r="B158" t="s">
        <v>490</v>
      </c>
      <c r="C158" t="s">
        <v>204</v>
      </c>
      <c r="D158" t="s">
        <v>646</v>
      </c>
      <c r="E158" t="s">
        <v>492</v>
      </c>
      <c r="F158" t="s">
        <v>14</v>
      </c>
      <c r="G158" t="s">
        <v>493</v>
      </c>
      <c r="J158" t="s">
        <v>203</v>
      </c>
      <c r="K158" t="s">
        <v>49</v>
      </c>
      <c r="L158" t="s">
        <v>50</v>
      </c>
      <c r="M158">
        <v>3.99</v>
      </c>
    </row>
    <row r="159" spans="2:14" x14ac:dyDescent="0.45">
      <c r="B159" t="s">
        <v>490</v>
      </c>
      <c r="C159" t="s">
        <v>216</v>
      </c>
      <c r="D159" t="s">
        <v>647</v>
      </c>
      <c r="E159" t="s">
        <v>492</v>
      </c>
      <c r="F159" t="s">
        <v>14</v>
      </c>
      <c r="G159" t="s">
        <v>493</v>
      </c>
      <c r="J159" t="s">
        <v>204</v>
      </c>
      <c r="K159" t="s">
        <v>49</v>
      </c>
      <c r="L159" t="s">
        <v>50</v>
      </c>
      <c r="M159">
        <v>0.56000000000000005</v>
      </c>
    </row>
    <row r="160" spans="2:14" x14ac:dyDescent="0.45">
      <c r="B160" t="s">
        <v>490</v>
      </c>
      <c r="C160" t="s">
        <v>207</v>
      </c>
      <c r="D160" t="s">
        <v>648</v>
      </c>
      <c r="E160" t="s">
        <v>492</v>
      </c>
      <c r="F160" t="s">
        <v>14</v>
      </c>
      <c r="G160" t="s">
        <v>493</v>
      </c>
      <c r="J160" t="s">
        <v>205</v>
      </c>
      <c r="K160" t="s">
        <v>49</v>
      </c>
      <c r="L160" t="s">
        <v>50</v>
      </c>
      <c r="M160">
        <v>0.12</v>
      </c>
    </row>
    <row r="161" spans="2:14" x14ac:dyDescent="0.45">
      <c r="B161" t="s">
        <v>490</v>
      </c>
      <c r="C161" t="s">
        <v>209</v>
      </c>
      <c r="D161" t="s">
        <v>649</v>
      </c>
      <c r="E161" t="s">
        <v>492</v>
      </c>
      <c r="F161" t="s">
        <v>14</v>
      </c>
      <c r="G161" t="s">
        <v>493</v>
      </c>
      <c r="J161" t="s">
        <v>206</v>
      </c>
      <c r="K161" t="s">
        <v>49</v>
      </c>
      <c r="L161" t="s">
        <v>50</v>
      </c>
      <c r="M161">
        <v>0.04</v>
      </c>
    </row>
    <row r="162" spans="2:14" x14ac:dyDescent="0.45">
      <c r="B162" t="s">
        <v>490</v>
      </c>
      <c r="C162" t="s">
        <v>215</v>
      </c>
      <c r="D162" t="s">
        <v>650</v>
      </c>
      <c r="E162" t="s">
        <v>492</v>
      </c>
      <c r="F162" t="s">
        <v>14</v>
      </c>
      <c r="G162" t="s">
        <v>493</v>
      </c>
      <c r="J162" t="s">
        <v>207</v>
      </c>
      <c r="K162" t="s">
        <v>49</v>
      </c>
      <c r="L162" t="s">
        <v>50</v>
      </c>
      <c r="M162">
        <v>0.06</v>
      </c>
    </row>
    <row r="163" spans="2:14" x14ac:dyDescent="0.45">
      <c r="B163" t="s">
        <v>490</v>
      </c>
      <c r="C163" t="s">
        <v>205</v>
      </c>
      <c r="D163" t="s">
        <v>651</v>
      </c>
      <c r="E163" t="s">
        <v>492</v>
      </c>
      <c r="F163" t="s">
        <v>14</v>
      </c>
      <c r="G163" t="s">
        <v>493</v>
      </c>
      <c r="J163" t="s">
        <v>208</v>
      </c>
      <c r="K163" t="s">
        <v>49</v>
      </c>
      <c r="L163" t="s">
        <v>50</v>
      </c>
      <c r="M163">
        <v>0.03</v>
      </c>
    </row>
    <row r="164" spans="2:14" x14ac:dyDescent="0.45">
      <c r="B164" t="s">
        <v>490</v>
      </c>
      <c r="C164" t="s">
        <v>214</v>
      </c>
      <c r="D164" t="s">
        <v>652</v>
      </c>
      <c r="E164" t="s">
        <v>492</v>
      </c>
      <c r="F164" t="s">
        <v>14</v>
      </c>
      <c r="G164" t="s">
        <v>493</v>
      </c>
      <c r="J164" t="s">
        <v>209</v>
      </c>
      <c r="K164" t="s">
        <v>49</v>
      </c>
      <c r="L164" t="s">
        <v>50</v>
      </c>
      <c r="M164">
        <v>0</v>
      </c>
    </row>
    <row r="165" spans="2:14" x14ac:dyDescent="0.45">
      <c r="B165" t="s">
        <v>490</v>
      </c>
      <c r="C165" t="s">
        <v>212</v>
      </c>
      <c r="D165" t="s">
        <v>653</v>
      </c>
      <c r="E165" t="s">
        <v>492</v>
      </c>
      <c r="F165" t="s">
        <v>14</v>
      </c>
      <c r="G165" t="s">
        <v>493</v>
      </c>
      <c r="J165" t="s">
        <v>210</v>
      </c>
      <c r="K165" t="s">
        <v>49</v>
      </c>
      <c r="L165" t="s">
        <v>50</v>
      </c>
      <c r="M165">
        <v>1.986</v>
      </c>
      <c r="N165">
        <v>2353.5448160000001</v>
      </c>
    </row>
    <row r="166" spans="2:14" x14ac:dyDescent="0.45">
      <c r="B166" t="s">
        <v>490</v>
      </c>
      <c r="C166" t="s">
        <v>206</v>
      </c>
      <c r="D166" t="s">
        <v>654</v>
      </c>
      <c r="E166" t="s">
        <v>492</v>
      </c>
      <c r="F166" t="s">
        <v>14</v>
      </c>
      <c r="G166" t="s">
        <v>493</v>
      </c>
      <c r="J166" t="s">
        <v>211</v>
      </c>
      <c r="K166" t="s">
        <v>49</v>
      </c>
      <c r="L166" t="s">
        <v>50</v>
      </c>
      <c r="M166">
        <v>1.3041391848469512</v>
      </c>
      <c r="N166">
        <v>3491.2270399999998</v>
      </c>
    </row>
    <row r="167" spans="2:14" x14ac:dyDescent="0.45">
      <c r="B167" t="s">
        <v>490</v>
      </c>
      <c r="C167" t="s">
        <v>208</v>
      </c>
      <c r="D167" t="s">
        <v>655</v>
      </c>
      <c r="E167" t="s">
        <v>492</v>
      </c>
      <c r="F167" t="s">
        <v>14</v>
      </c>
      <c r="G167" t="s">
        <v>493</v>
      </c>
      <c r="J167" t="s">
        <v>212</v>
      </c>
      <c r="K167" t="s">
        <v>49</v>
      </c>
      <c r="L167" t="s">
        <v>50</v>
      </c>
      <c r="M167">
        <v>1.04</v>
      </c>
    </row>
    <row r="168" spans="2:14" x14ac:dyDescent="0.45">
      <c r="B168" t="s">
        <v>490</v>
      </c>
      <c r="C168" t="s">
        <v>211</v>
      </c>
      <c r="D168" t="s">
        <v>656</v>
      </c>
      <c r="E168" t="s">
        <v>492</v>
      </c>
      <c r="F168" t="s">
        <v>14</v>
      </c>
      <c r="G168" t="s">
        <v>493</v>
      </c>
      <c r="J168" t="s">
        <v>213</v>
      </c>
      <c r="K168" t="s">
        <v>49</v>
      </c>
      <c r="L168" t="s">
        <v>50</v>
      </c>
      <c r="M168">
        <v>35.629296975962831</v>
      </c>
      <c r="N168">
        <v>4310.5848799999994</v>
      </c>
    </row>
    <row r="169" spans="2:14" x14ac:dyDescent="0.45">
      <c r="B169" t="s">
        <v>490</v>
      </c>
      <c r="C169" t="s">
        <v>213</v>
      </c>
      <c r="D169" t="s">
        <v>657</v>
      </c>
      <c r="E169" t="s">
        <v>492</v>
      </c>
      <c r="F169" t="s">
        <v>14</v>
      </c>
      <c r="G169" t="s">
        <v>493</v>
      </c>
      <c r="J169" t="s">
        <v>214</v>
      </c>
      <c r="K169" t="s">
        <v>49</v>
      </c>
      <c r="L169" t="s">
        <v>50</v>
      </c>
      <c r="M169">
        <v>1.1299999999999999</v>
      </c>
    </row>
    <row r="170" spans="2:14" x14ac:dyDescent="0.45">
      <c r="B170" t="s">
        <v>490</v>
      </c>
      <c r="C170" t="s">
        <v>210</v>
      </c>
      <c r="D170" t="s">
        <v>658</v>
      </c>
      <c r="E170" t="s">
        <v>492</v>
      </c>
      <c r="F170" t="s">
        <v>14</v>
      </c>
      <c r="G170" t="s">
        <v>493</v>
      </c>
      <c r="J170" t="s">
        <v>215</v>
      </c>
      <c r="K170" t="s">
        <v>49</v>
      </c>
      <c r="L170" t="s">
        <v>50</v>
      </c>
      <c r="M170">
        <v>0.02</v>
      </c>
    </row>
    <row r="171" spans="2:14" x14ac:dyDescent="0.45">
      <c r="B171" t="s">
        <v>490</v>
      </c>
      <c r="C171" t="s">
        <v>220</v>
      </c>
      <c r="D171" t="s">
        <v>659</v>
      </c>
      <c r="E171" t="s">
        <v>492</v>
      </c>
      <c r="F171" t="s">
        <v>14</v>
      </c>
      <c r="G171" t="s">
        <v>493</v>
      </c>
      <c r="J171" t="s">
        <v>216</v>
      </c>
      <c r="K171" t="s">
        <v>49</v>
      </c>
      <c r="L171" t="s">
        <v>50</v>
      </c>
      <c r="M171">
        <v>1.7000000000000001E-2</v>
      </c>
    </row>
    <row r="172" spans="2:14" x14ac:dyDescent="0.45">
      <c r="B172" t="s">
        <v>490</v>
      </c>
      <c r="C172" t="s">
        <v>219</v>
      </c>
      <c r="D172" t="s">
        <v>660</v>
      </c>
      <c r="E172" t="s">
        <v>492</v>
      </c>
      <c r="F172" t="s">
        <v>14</v>
      </c>
      <c r="G172" t="s">
        <v>493</v>
      </c>
      <c r="J172" t="s">
        <v>217</v>
      </c>
      <c r="K172" t="s">
        <v>49</v>
      </c>
      <c r="L172" t="s">
        <v>50</v>
      </c>
      <c r="M172">
        <v>0.63</v>
      </c>
    </row>
    <row r="173" spans="2:14" x14ac:dyDescent="0.45">
      <c r="B173" t="s">
        <v>490</v>
      </c>
      <c r="C173" t="s">
        <v>322</v>
      </c>
      <c r="D173" t="s">
        <v>661</v>
      </c>
      <c r="E173" t="s">
        <v>492</v>
      </c>
      <c r="F173" t="s">
        <v>14</v>
      </c>
      <c r="G173" t="s">
        <v>493</v>
      </c>
      <c r="J173" t="s">
        <v>218</v>
      </c>
      <c r="K173" t="s">
        <v>49</v>
      </c>
      <c r="L173" t="s">
        <v>50</v>
      </c>
      <c r="M173">
        <v>0.39989916286149274</v>
      </c>
      <c r="N173">
        <v>3417.1699999999992</v>
      </c>
    </row>
    <row r="174" spans="2:14" x14ac:dyDescent="0.45">
      <c r="B174" t="s">
        <v>490</v>
      </c>
      <c r="C174" t="s">
        <v>221</v>
      </c>
      <c r="D174" t="s">
        <v>662</v>
      </c>
      <c r="E174" t="s">
        <v>492</v>
      </c>
      <c r="F174" t="s">
        <v>14</v>
      </c>
      <c r="G174" t="s">
        <v>493</v>
      </c>
      <c r="J174" t="s">
        <v>219</v>
      </c>
      <c r="K174" t="s">
        <v>49</v>
      </c>
      <c r="L174" t="s">
        <v>50</v>
      </c>
      <c r="M174">
        <v>3.2494424739073704</v>
      </c>
      <c r="N174">
        <v>8253.4784</v>
      </c>
    </row>
    <row r="175" spans="2:14" x14ac:dyDescent="0.45">
      <c r="B175" t="s">
        <v>490</v>
      </c>
      <c r="C175" t="s">
        <v>222</v>
      </c>
      <c r="D175" t="s">
        <v>663</v>
      </c>
      <c r="E175" t="s">
        <v>492</v>
      </c>
      <c r="F175" t="s">
        <v>14</v>
      </c>
      <c r="G175" t="s">
        <v>493</v>
      </c>
      <c r="J175" t="s">
        <v>220</v>
      </c>
      <c r="K175" t="s">
        <v>49</v>
      </c>
      <c r="L175" t="s">
        <v>50</v>
      </c>
      <c r="M175">
        <v>1.5468451639684515</v>
      </c>
      <c r="N175">
        <v>4699.660280000001</v>
      </c>
    </row>
    <row r="176" spans="2:14" x14ac:dyDescent="0.45">
      <c r="B176" t="s">
        <v>490</v>
      </c>
      <c r="C176" t="s">
        <v>230</v>
      </c>
      <c r="D176" t="s">
        <v>664</v>
      </c>
      <c r="E176" t="s">
        <v>492</v>
      </c>
      <c r="F176" t="s">
        <v>14</v>
      </c>
      <c r="G176" t="s">
        <v>493</v>
      </c>
      <c r="J176" t="s">
        <v>221</v>
      </c>
      <c r="K176" t="s">
        <v>49</v>
      </c>
      <c r="L176" t="s">
        <v>50</v>
      </c>
      <c r="M176">
        <v>1.5709784056316587</v>
      </c>
      <c r="N176">
        <v>4274.4761599999993</v>
      </c>
    </row>
    <row r="177" spans="2:14" x14ac:dyDescent="0.45">
      <c r="B177" t="s">
        <v>490</v>
      </c>
      <c r="C177" t="s">
        <v>218</v>
      </c>
      <c r="D177" t="s">
        <v>665</v>
      </c>
      <c r="E177" t="s">
        <v>492</v>
      </c>
      <c r="F177" t="s">
        <v>14</v>
      </c>
      <c r="G177" t="s">
        <v>493</v>
      </c>
      <c r="J177" t="s">
        <v>222</v>
      </c>
      <c r="K177" t="s">
        <v>49</v>
      </c>
      <c r="L177" t="s">
        <v>50</v>
      </c>
      <c r="M177">
        <v>23.213895547945228</v>
      </c>
      <c r="N177">
        <v>2155.7825600000001</v>
      </c>
    </row>
    <row r="178" spans="2:14" x14ac:dyDescent="0.45">
      <c r="B178" t="s">
        <v>490</v>
      </c>
      <c r="C178" t="s">
        <v>225</v>
      </c>
      <c r="D178" t="s">
        <v>666</v>
      </c>
      <c r="E178" t="s">
        <v>492</v>
      </c>
      <c r="F178" t="s">
        <v>14</v>
      </c>
      <c r="G178" t="s">
        <v>493</v>
      </c>
      <c r="J178" t="s">
        <v>223</v>
      </c>
      <c r="K178" t="s">
        <v>49</v>
      </c>
      <c r="L178" t="s">
        <v>50</v>
      </c>
      <c r="M178">
        <v>9.0457001522070328</v>
      </c>
      <c r="N178">
        <v>2905.1751560000002</v>
      </c>
    </row>
    <row r="179" spans="2:14" x14ac:dyDescent="0.45">
      <c r="B179" t="s">
        <v>490</v>
      </c>
      <c r="C179" t="s">
        <v>223</v>
      </c>
      <c r="D179" t="s">
        <v>667</v>
      </c>
      <c r="E179" t="s">
        <v>492</v>
      </c>
      <c r="F179" t="s">
        <v>14</v>
      </c>
      <c r="G179" t="s">
        <v>493</v>
      </c>
      <c r="J179" t="s">
        <v>224</v>
      </c>
      <c r="K179" t="s">
        <v>49</v>
      </c>
      <c r="L179" t="s">
        <v>50</v>
      </c>
      <c r="M179">
        <v>0</v>
      </c>
    </row>
    <row r="180" spans="2:14" x14ac:dyDescent="0.45">
      <c r="B180" t="s">
        <v>490</v>
      </c>
      <c r="C180" t="s">
        <v>224</v>
      </c>
      <c r="D180" t="s">
        <v>668</v>
      </c>
      <c r="E180" t="s">
        <v>492</v>
      </c>
      <c r="F180" t="s">
        <v>14</v>
      </c>
      <c r="G180" t="s">
        <v>493</v>
      </c>
      <c r="J180" t="s">
        <v>225</v>
      </c>
      <c r="K180" t="s">
        <v>49</v>
      </c>
      <c r="L180" t="s">
        <v>50</v>
      </c>
      <c r="M180">
        <v>1.5447413290585832</v>
      </c>
      <c r="N180">
        <v>6853.6829599999992</v>
      </c>
    </row>
    <row r="181" spans="2:14" x14ac:dyDescent="0.45">
      <c r="B181" t="s">
        <v>490</v>
      </c>
      <c r="C181" t="s">
        <v>226</v>
      </c>
      <c r="D181" t="s">
        <v>669</v>
      </c>
      <c r="E181" t="s">
        <v>492</v>
      </c>
      <c r="F181" t="s">
        <v>14</v>
      </c>
      <c r="G181" t="s">
        <v>493</v>
      </c>
      <c r="J181" t="s">
        <v>226</v>
      </c>
      <c r="K181" t="s">
        <v>49</v>
      </c>
      <c r="L181" t="s">
        <v>50</v>
      </c>
      <c r="M181">
        <v>1.06</v>
      </c>
    </row>
    <row r="182" spans="2:14" x14ac:dyDescent="0.45">
      <c r="B182" t="s">
        <v>490</v>
      </c>
      <c r="C182" t="s">
        <v>228</v>
      </c>
      <c r="D182" t="s">
        <v>670</v>
      </c>
      <c r="E182" t="s">
        <v>492</v>
      </c>
      <c r="F182" t="s">
        <v>14</v>
      </c>
      <c r="G182" t="s">
        <v>493</v>
      </c>
      <c r="J182" t="s">
        <v>227</v>
      </c>
      <c r="K182" t="s">
        <v>49</v>
      </c>
      <c r="L182" t="s">
        <v>50</v>
      </c>
      <c r="M182">
        <v>0.92</v>
      </c>
    </row>
    <row r="183" spans="2:14" x14ac:dyDescent="0.45">
      <c r="B183" t="s">
        <v>490</v>
      </c>
      <c r="C183" t="s">
        <v>229</v>
      </c>
      <c r="D183" t="s">
        <v>671</v>
      </c>
      <c r="E183" t="s">
        <v>492</v>
      </c>
      <c r="F183" t="s">
        <v>14</v>
      </c>
      <c r="G183" t="s">
        <v>493</v>
      </c>
      <c r="J183" t="s">
        <v>228</v>
      </c>
      <c r="K183" t="s">
        <v>49</v>
      </c>
      <c r="L183" t="s">
        <v>50</v>
      </c>
      <c r="M183">
        <v>0.03</v>
      </c>
    </row>
    <row r="184" spans="2:14" x14ac:dyDescent="0.45">
      <c r="B184" t="s">
        <v>490</v>
      </c>
      <c r="C184" t="s">
        <v>247</v>
      </c>
      <c r="D184" t="s">
        <v>672</v>
      </c>
      <c r="E184" t="s">
        <v>492</v>
      </c>
      <c r="F184" t="s">
        <v>14</v>
      </c>
      <c r="G184" t="s">
        <v>493</v>
      </c>
      <c r="J184" t="s">
        <v>229</v>
      </c>
      <c r="K184" t="s">
        <v>49</v>
      </c>
      <c r="L184" t="s">
        <v>50</v>
      </c>
      <c r="M184">
        <v>0.53</v>
      </c>
    </row>
    <row r="185" spans="2:14" x14ac:dyDescent="0.45">
      <c r="B185" t="s">
        <v>490</v>
      </c>
      <c r="C185" t="s">
        <v>232</v>
      </c>
      <c r="D185" t="s">
        <v>673</v>
      </c>
      <c r="E185" t="s">
        <v>492</v>
      </c>
      <c r="F185" t="s">
        <v>14</v>
      </c>
      <c r="G185" t="s">
        <v>493</v>
      </c>
      <c r="J185" t="s">
        <v>230</v>
      </c>
      <c r="K185" t="s">
        <v>49</v>
      </c>
      <c r="L185" t="s">
        <v>50</v>
      </c>
      <c r="M185">
        <v>0.17499999999999993</v>
      </c>
    </row>
    <row r="186" spans="2:14" x14ac:dyDescent="0.45">
      <c r="B186" t="s">
        <v>490</v>
      </c>
      <c r="C186" t="s">
        <v>231</v>
      </c>
      <c r="D186" t="s">
        <v>674</v>
      </c>
      <c r="E186" t="s">
        <v>492</v>
      </c>
      <c r="F186" t="s">
        <v>14</v>
      </c>
      <c r="G186" t="s">
        <v>493</v>
      </c>
      <c r="J186" t="s">
        <v>231</v>
      </c>
      <c r="K186" t="s">
        <v>49</v>
      </c>
      <c r="L186" t="s">
        <v>50</v>
      </c>
      <c r="M186">
        <v>0</v>
      </c>
    </row>
    <row r="187" spans="2:14" x14ac:dyDescent="0.45">
      <c r="B187" t="s">
        <v>490</v>
      </c>
      <c r="C187" t="s">
        <v>233</v>
      </c>
      <c r="D187" t="s">
        <v>675</v>
      </c>
      <c r="E187" t="s">
        <v>492</v>
      </c>
      <c r="F187" t="s">
        <v>14</v>
      </c>
      <c r="G187" t="s">
        <v>493</v>
      </c>
      <c r="J187" t="s">
        <v>232</v>
      </c>
      <c r="K187" t="s">
        <v>49</v>
      </c>
      <c r="L187" t="s">
        <v>50</v>
      </c>
      <c r="M187">
        <v>0</v>
      </c>
    </row>
    <row r="188" spans="2:14" x14ac:dyDescent="0.45">
      <c r="B188" t="s">
        <v>490</v>
      </c>
      <c r="C188" t="s">
        <v>198</v>
      </c>
      <c r="D188" t="s">
        <v>676</v>
      </c>
      <c r="E188" t="s">
        <v>492</v>
      </c>
      <c r="F188" t="s">
        <v>14</v>
      </c>
      <c r="G188" t="s">
        <v>493</v>
      </c>
      <c r="J188" t="s">
        <v>233</v>
      </c>
      <c r="K188" t="s">
        <v>49</v>
      </c>
      <c r="L188" t="s">
        <v>50</v>
      </c>
      <c r="M188">
        <v>0.27</v>
      </c>
    </row>
    <row r="189" spans="2:14" x14ac:dyDescent="0.45">
      <c r="B189" t="s">
        <v>490</v>
      </c>
      <c r="C189" t="s">
        <v>234</v>
      </c>
      <c r="D189" t="s">
        <v>677</v>
      </c>
      <c r="E189" t="s">
        <v>492</v>
      </c>
      <c r="F189" t="s">
        <v>14</v>
      </c>
      <c r="G189" t="s">
        <v>493</v>
      </c>
      <c r="J189" t="s">
        <v>234</v>
      </c>
      <c r="K189" t="s">
        <v>49</v>
      </c>
      <c r="L189" t="s">
        <v>50</v>
      </c>
      <c r="M189">
        <v>1.0320000000000005</v>
      </c>
    </row>
    <row r="190" spans="2:14" x14ac:dyDescent="0.45">
      <c r="B190" t="s">
        <v>490</v>
      </c>
      <c r="C190" t="s">
        <v>235</v>
      </c>
      <c r="D190" t="s">
        <v>678</v>
      </c>
      <c r="E190" t="s">
        <v>492</v>
      </c>
      <c r="F190" t="s">
        <v>14</v>
      </c>
      <c r="G190" t="s">
        <v>493</v>
      </c>
      <c r="J190" t="s">
        <v>235</v>
      </c>
      <c r="K190" t="s">
        <v>49</v>
      </c>
      <c r="L190" t="s">
        <v>50</v>
      </c>
      <c r="M190">
        <v>0.80713989207136549</v>
      </c>
    </row>
    <row r="191" spans="2:14" x14ac:dyDescent="0.45">
      <c r="B191" t="s">
        <v>490</v>
      </c>
      <c r="C191" t="s">
        <v>316</v>
      </c>
      <c r="D191" t="s">
        <v>679</v>
      </c>
      <c r="E191" t="s">
        <v>492</v>
      </c>
      <c r="F191" t="s">
        <v>14</v>
      </c>
      <c r="G191" t="s">
        <v>493</v>
      </c>
      <c r="J191" t="s">
        <v>236</v>
      </c>
      <c r="K191" t="s">
        <v>49</v>
      </c>
      <c r="L191" t="s">
        <v>50</v>
      </c>
      <c r="M191">
        <v>0.24</v>
      </c>
    </row>
    <row r="192" spans="2:14" x14ac:dyDescent="0.45">
      <c r="B192" t="s">
        <v>490</v>
      </c>
      <c r="C192" t="s">
        <v>238</v>
      </c>
      <c r="D192" t="s">
        <v>680</v>
      </c>
      <c r="E192" t="s">
        <v>492</v>
      </c>
      <c r="F192" t="s">
        <v>14</v>
      </c>
      <c r="G192" t="s">
        <v>493</v>
      </c>
      <c r="J192" t="s">
        <v>237</v>
      </c>
      <c r="K192" t="s">
        <v>49</v>
      </c>
      <c r="L192" t="s">
        <v>50</v>
      </c>
      <c r="M192">
        <v>0.06</v>
      </c>
    </row>
    <row r="193" spans="2:14" x14ac:dyDescent="0.45">
      <c r="B193" t="s">
        <v>490</v>
      </c>
      <c r="C193" t="s">
        <v>239</v>
      </c>
      <c r="D193" t="s">
        <v>681</v>
      </c>
      <c r="E193" t="s">
        <v>492</v>
      </c>
      <c r="F193" t="s">
        <v>14</v>
      </c>
      <c r="G193" t="s">
        <v>493</v>
      </c>
      <c r="J193" t="s">
        <v>238</v>
      </c>
      <c r="K193" t="s">
        <v>49</v>
      </c>
      <c r="L193" t="s">
        <v>50</v>
      </c>
      <c r="M193">
        <v>0</v>
      </c>
    </row>
    <row r="194" spans="2:14" x14ac:dyDescent="0.45">
      <c r="B194" t="s">
        <v>490</v>
      </c>
      <c r="C194" t="s">
        <v>241</v>
      </c>
      <c r="D194" t="s">
        <v>682</v>
      </c>
      <c r="E194" t="s">
        <v>492</v>
      </c>
      <c r="F194" t="s">
        <v>14</v>
      </c>
      <c r="G194" t="s">
        <v>493</v>
      </c>
      <c r="J194" t="s">
        <v>239</v>
      </c>
      <c r="K194" t="s">
        <v>49</v>
      </c>
      <c r="L194" t="s">
        <v>50</v>
      </c>
      <c r="M194">
        <v>8.679645853244125</v>
      </c>
      <c r="N194">
        <v>3503.1581600000004</v>
      </c>
    </row>
    <row r="195" spans="2:14" x14ac:dyDescent="0.45">
      <c r="B195" t="s">
        <v>490</v>
      </c>
      <c r="C195" t="s">
        <v>240</v>
      </c>
      <c r="D195" t="s">
        <v>683</v>
      </c>
      <c r="E195" t="s">
        <v>492</v>
      </c>
      <c r="F195" t="s">
        <v>14</v>
      </c>
      <c r="G195" t="s">
        <v>493</v>
      </c>
      <c r="J195" t="s">
        <v>240</v>
      </c>
      <c r="K195" t="s">
        <v>49</v>
      </c>
      <c r="L195" t="s">
        <v>50</v>
      </c>
      <c r="M195">
        <v>0.06</v>
      </c>
    </row>
    <row r="196" spans="2:14" x14ac:dyDescent="0.45">
      <c r="B196" t="s">
        <v>490</v>
      </c>
      <c r="C196" t="s">
        <v>242</v>
      </c>
      <c r="D196" t="s">
        <v>684</v>
      </c>
      <c r="E196" t="s">
        <v>492</v>
      </c>
      <c r="F196" t="s">
        <v>14</v>
      </c>
      <c r="G196" t="s">
        <v>493</v>
      </c>
      <c r="J196" t="s">
        <v>241</v>
      </c>
      <c r="K196" t="s">
        <v>49</v>
      </c>
      <c r="L196" t="s">
        <v>50</v>
      </c>
      <c r="M196">
        <v>1.6</v>
      </c>
    </row>
    <row r="197" spans="2:14" x14ac:dyDescent="0.45">
      <c r="B197" t="s">
        <v>490</v>
      </c>
      <c r="C197" t="s">
        <v>245</v>
      </c>
      <c r="D197" t="s">
        <v>685</v>
      </c>
      <c r="E197" t="s">
        <v>492</v>
      </c>
      <c r="F197" t="s">
        <v>14</v>
      </c>
      <c r="G197" t="s">
        <v>493</v>
      </c>
      <c r="J197" t="s">
        <v>242</v>
      </c>
      <c r="K197" t="s">
        <v>49</v>
      </c>
      <c r="L197" t="s">
        <v>50</v>
      </c>
      <c r="M197">
        <v>0.94099999999999995</v>
      </c>
      <c r="N197">
        <v>8653.0044799999996</v>
      </c>
    </row>
    <row r="198" spans="2:14" x14ac:dyDescent="0.45">
      <c r="B198" t="s">
        <v>490</v>
      </c>
      <c r="C198" t="s">
        <v>334</v>
      </c>
      <c r="D198" t="s">
        <v>686</v>
      </c>
      <c r="E198" t="s">
        <v>492</v>
      </c>
      <c r="F198" t="s">
        <v>14</v>
      </c>
      <c r="G198" t="s">
        <v>493</v>
      </c>
      <c r="J198" t="s">
        <v>243</v>
      </c>
      <c r="K198" t="s">
        <v>49</v>
      </c>
      <c r="L198" t="s">
        <v>50</v>
      </c>
      <c r="M198">
        <v>0.06</v>
      </c>
    </row>
    <row r="199" spans="2:14" x14ac:dyDescent="0.45">
      <c r="B199" t="s">
        <v>490</v>
      </c>
      <c r="C199" t="s">
        <v>246</v>
      </c>
      <c r="D199" t="s">
        <v>687</v>
      </c>
      <c r="E199" t="s">
        <v>492</v>
      </c>
      <c r="F199" t="s">
        <v>14</v>
      </c>
      <c r="G199" t="s">
        <v>493</v>
      </c>
      <c r="J199" t="s">
        <v>244</v>
      </c>
      <c r="K199" t="s">
        <v>49</v>
      </c>
      <c r="L199" t="s">
        <v>50</v>
      </c>
      <c r="M199">
        <v>0.02</v>
      </c>
    </row>
    <row r="200" spans="2:14" x14ac:dyDescent="0.45">
      <c r="B200" t="s">
        <v>490</v>
      </c>
      <c r="C200" t="s">
        <v>248</v>
      </c>
      <c r="D200" t="s">
        <v>688</v>
      </c>
      <c r="E200" t="s">
        <v>492</v>
      </c>
      <c r="F200" t="s">
        <v>14</v>
      </c>
      <c r="G200" t="s">
        <v>493</v>
      </c>
      <c r="J200" t="s">
        <v>245</v>
      </c>
      <c r="K200" t="s">
        <v>49</v>
      </c>
      <c r="L200" t="s">
        <v>50</v>
      </c>
      <c r="M200">
        <v>5.5540068493150727</v>
      </c>
      <c r="N200">
        <v>4135.9279999999999</v>
      </c>
    </row>
    <row r="201" spans="2:14" x14ac:dyDescent="0.45">
      <c r="B201" t="s">
        <v>490</v>
      </c>
      <c r="C201" t="s">
        <v>251</v>
      </c>
      <c r="D201" t="s">
        <v>689</v>
      </c>
      <c r="E201" t="s">
        <v>492</v>
      </c>
      <c r="F201" t="s">
        <v>14</v>
      </c>
      <c r="G201" t="s">
        <v>493</v>
      </c>
      <c r="J201" t="s">
        <v>246</v>
      </c>
      <c r="K201" t="s">
        <v>49</v>
      </c>
      <c r="L201" t="s">
        <v>50</v>
      </c>
      <c r="M201">
        <v>1.36</v>
      </c>
    </row>
    <row r="202" spans="2:14" x14ac:dyDescent="0.45">
      <c r="B202" t="s">
        <v>490</v>
      </c>
      <c r="C202" t="s">
        <v>237</v>
      </c>
      <c r="D202" t="s">
        <v>690</v>
      </c>
      <c r="E202" t="s">
        <v>492</v>
      </c>
      <c r="F202" t="s">
        <v>14</v>
      </c>
      <c r="G202" t="s">
        <v>493</v>
      </c>
      <c r="J202" t="s">
        <v>247</v>
      </c>
      <c r="K202" t="s">
        <v>49</v>
      </c>
      <c r="L202" t="s">
        <v>50</v>
      </c>
      <c r="M202">
        <v>2.23</v>
      </c>
    </row>
    <row r="203" spans="2:14" x14ac:dyDescent="0.45">
      <c r="B203" t="s">
        <v>490</v>
      </c>
      <c r="C203" t="s">
        <v>249</v>
      </c>
      <c r="D203" t="s">
        <v>691</v>
      </c>
      <c r="E203" t="s">
        <v>492</v>
      </c>
      <c r="F203" t="s">
        <v>14</v>
      </c>
      <c r="G203" t="s">
        <v>493</v>
      </c>
      <c r="J203" t="s">
        <v>248</v>
      </c>
      <c r="K203" t="s">
        <v>49</v>
      </c>
      <c r="L203" t="s">
        <v>50</v>
      </c>
      <c r="M203">
        <v>0.79</v>
      </c>
    </row>
    <row r="204" spans="2:14" x14ac:dyDescent="0.45">
      <c r="B204" t="s">
        <v>490</v>
      </c>
      <c r="C204" t="s">
        <v>250</v>
      </c>
      <c r="D204" t="s">
        <v>692</v>
      </c>
      <c r="E204" t="s">
        <v>492</v>
      </c>
      <c r="F204" t="s">
        <v>14</v>
      </c>
      <c r="G204" t="s">
        <v>493</v>
      </c>
      <c r="J204" t="s">
        <v>249</v>
      </c>
      <c r="K204" t="s">
        <v>49</v>
      </c>
      <c r="L204" t="s">
        <v>50</v>
      </c>
      <c r="M204">
        <v>1.35</v>
      </c>
    </row>
    <row r="205" spans="2:14" x14ac:dyDescent="0.45">
      <c r="B205" t="s">
        <v>490</v>
      </c>
      <c r="C205" t="s">
        <v>243</v>
      </c>
      <c r="D205" t="s">
        <v>693</v>
      </c>
      <c r="E205" t="s">
        <v>492</v>
      </c>
      <c r="F205" t="s">
        <v>14</v>
      </c>
      <c r="G205" t="s">
        <v>493</v>
      </c>
      <c r="J205" t="s">
        <v>250</v>
      </c>
      <c r="K205" t="s">
        <v>49</v>
      </c>
      <c r="L205" t="s">
        <v>50</v>
      </c>
      <c r="M205">
        <v>0.43299999999999994</v>
      </c>
    </row>
    <row r="206" spans="2:14" x14ac:dyDescent="0.45">
      <c r="B206" t="s">
        <v>490</v>
      </c>
      <c r="C206" t="s">
        <v>253</v>
      </c>
      <c r="D206" t="s">
        <v>694</v>
      </c>
      <c r="E206" t="s">
        <v>492</v>
      </c>
      <c r="F206" t="s">
        <v>14</v>
      </c>
      <c r="G206" t="s">
        <v>493</v>
      </c>
      <c r="J206" t="s">
        <v>251</v>
      </c>
      <c r="K206" t="s">
        <v>49</v>
      </c>
      <c r="L206" t="s">
        <v>50</v>
      </c>
      <c r="M206">
        <v>0</v>
      </c>
    </row>
    <row r="207" spans="2:14" x14ac:dyDescent="0.45">
      <c r="B207" t="s">
        <v>490</v>
      </c>
      <c r="C207" t="s">
        <v>227</v>
      </c>
      <c r="D207" t="s">
        <v>695</v>
      </c>
      <c r="E207" t="s">
        <v>492</v>
      </c>
      <c r="F207" t="s">
        <v>14</v>
      </c>
      <c r="G207" t="s">
        <v>493</v>
      </c>
      <c r="J207" t="s">
        <v>252</v>
      </c>
      <c r="K207" t="s">
        <v>49</v>
      </c>
      <c r="L207" t="s">
        <v>50</v>
      </c>
      <c r="M207">
        <v>0.03</v>
      </c>
    </row>
    <row r="208" spans="2:14" x14ac:dyDescent="0.45">
      <c r="B208" t="s">
        <v>490</v>
      </c>
      <c r="C208" t="s">
        <v>252</v>
      </c>
      <c r="D208" t="s">
        <v>696</v>
      </c>
      <c r="E208" t="s">
        <v>492</v>
      </c>
      <c r="F208" t="s">
        <v>14</v>
      </c>
      <c r="G208" t="s">
        <v>493</v>
      </c>
      <c r="J208" t="s">
        <v>253</v>
      </c>
      <c r="K208" t="s">
        <v>49</v>
      </c>
      <c r="L208" t="s">
        <v>50</v>
      </c>
      <c r="M208">
        <v>0.28000000000000003</v>
      </c>
    </row>
    <row r="209" spans="2:14" x14ac:dyDescent="0.45">
      <c r="B209" t="s">
        <v>490</v>
      </c>
      <c r="C209" t="s">
        <v>254</v>
      </c>
      <c r="D209" t="s">
        <v>697</v>
      </c>
      <c r="E209" t="s">
        <v>492</v>
      </c>
      <c r="F209" t="s">
        <v>14</v>
      </c>
      <c r="G209" t="s">
        <v>493</v>
      </c>
      <c r="J209" t="s">
        <v>254</v>
      </c>
      <c r="K209" t="s">
        <v>49</v>
      </c>
      <c r="L209" t="s">
        <v>50</v>
      </c>
      <c r="M209">
        <v>0.03</v>
      </c>
    </row>
    <row r="210" spans="2:14" x14ac:dyDescent="0.45">
      <c r="B210" t="s">
        <v>490</v>
      </c>
      <c r="C210" t="s">
        <v>257</v>
      </c>
      <c r="D210" t="s">
        <v>698</v>
      </c>
      <c r="E210" t="s">
        <v>492</v>
      </c>
      <c r="F210" t="s">
        <v>14</v>
      </c>
      <c r="G210" t="s">
        <v>493</v>
      </c>
      <c r="J210" t="s">
        <v>255</v>
      </c>
      <c r="K210" t="s">
        <v>49</v>
      </c>
      <c r="L210" t="s">
        <v>50</v>
      </c>
      <c r="M210">
        <v>0.99</v>
      </c>
    </row>
    <row r="211" spans="2:14" x14ac:dyDescent="0.45">
      <c r="B211" t="s">
        <v>490</v>
      </c>
      <c r="C211" t="s">
        <v>256</v>
      </c>
      <c r="D211" t="s">
        <v>699</v>
      </c>
      <c r="E211" t="s">
        <v>492</v>
      </c>
      <c r="F211" t="s">
        <v>14</v>
      </c>
      <c r="G211" t="s">
        <v>493</v>
      </c>
      <c r="J211" t="s">
        <v>256</v>
      </c>
      <c r="K211" t="s">
        <v>49</v>
      </c>
      <c r="L211" t="s">
        <v>50</v>
      </c>
      <c r="M211">
        <v>6.5066002490659827</v>
      </c>
      <c r="N211">
        <v>1795.0711640000002</v>
      </c>
    </row>
    <row r="212" spans="2:14" x14ac:dyDescent="0.45">
      <c r="B212" t="s">
        <v>490</v>
      </c>
      <c r="C212" t="s">
        <v>260</v>
      </c>
      <c r="D212" t="s">
        <v>700</v>
      </c>
      <c r="E212" t="s">
        <v>492</v>
      </c>
      <c r="F212" t="s">
        <v>14</v>
      </c>
      <c r="G212" t="s">
        <v>493</v>
      </c>
      <c r="J212" t="s">
        <v>257</v>
      </c>
      <c r="K212" t="s">
        <v>49</v>
      </c>
      <c r="L212" t="s">
        <v>50</v>
      </c>
      <c r="M212">
        <v>18.889121791843799</v>
      </c>
      <c r="N212">
        <v>2798.1095599999994</v>
      </c>
    </row>
    <row r="213" spans="2:14" x14ac:dyDescent="0.45">
      <c r="B213" t="s">
        <v>490</v>
      </c>
      <c r="C213" t="s">
        <v>258</v>
      </c>
      <c r="D213" t="s">
        <v>701</v>
      </c>
      <c r="E213" t="s">
        <v>492</v>
      </c>
      <c r="F213" t="s">
        <v>14</v>
      </c>
      <c r="G213" t="s">
        <v>493</v>
      </c>
      <c r="J213" t="s">
        <v>258</v>
      </c>
      <c r="K213" t="s">
        <v>49</v>
      </c>
      <c r="L213" t="s">
        <v>50</v>
      </c>
      <c r="M213">
        <v>5.08</v>
      </c>
    </row>
    <row r="214" spans="2:14" x14ac:dyDescent="0.45">
      <c r="B214" t="s">
        <v>490</v>
      </c>
      <c r="C214" t="s">
        <v>259</v>
      </c>
      <c r="D214" t="s">
        <v>702</v>
      </c>
      <c r="E214" t="s">
        <v>492</v>
      </c>
      <c r="F214" t="s">
        <v>14</v>
      </c>
      <c r="G214" t="s">
        <v>493</v>
      </c>
      <c r="J214" t="s">
        <v>259</v>
      </c>
      <c r="K214" t="s">
        <v>49</v>
      </c>
      <c r="L214" t="s">
        <v>50</v>
      </c>
      <c r="M214">
        <v>1.26</v>
      </c>
    </row>
    <row r="215" spans="2:14" x14ac:dyDescent="0.45">
      <c r="B215" t="s">
        <v>490</v>
      </c>
      <c r="C215" t="s">
        <v>255</v>
      </c>
      <c r="D215" t="s">
        <v>703</v>
      </c>
      <c r="E215" t="s">
        <v>492</v>
      </c>
      <c r="F215" t="s">
        <v>14</v>
      </c>
      <c r="G215" t="s">
        <v>493</v>
      </c>
      <c r="J215" t="s">
        <v>260</v>
      </c>
      <c r="K215" t="s">
        <v>49</v>
      </c>
      <c r="L215" t="s">
        <v>50</v>
      </c>
      <c r="M215">
        <v>0.12</v>
      </c>
    </row>
    <row r="216" spans="2:14" x14ac:dyDescent="0.45">
      <c r="B216" t="s">
        <v>490</v>
      </c>
      <c r="C216" t="s">
        <v>261</v>
      </c>
      <c r="D216" t="s">
        <v>704</v>
      </c>
      <c r="E216" t="s">
        <v>492</v>
      </c>
      <c r="F216" t="s">
        <v>14</v>
      </c>
      <c r="G216" t="s">
        <v>493</v>
      </c>
      <c r="J216" t="s">
        <v>261</v>
      </c>
      <c r="K216" t="s">
        <v>49</v>
      </c>
      <c r="L216" t="s">
        <v>50</v>
      </c>
      <c r="M216">
        <v>0</v>
      </c>
    </row>
    <row r="217" spans="2:14" x14ac:dyDescent="0.45">
      <c r="B217" t="s">
        <v>490</v>
      </c>
      <c r="C217" t="s">
        <v>262</v>
      </c>
      <c r="D217" t="s">
        <v>705</v>
      </c>
      <c r="E217" t="s">
        <v>492</v>
      </c>
      <c r="F217" t="s">
        <v>14</v>
      </c>
      <c r="G217" t="s">
        <v>493</v>
      </c>
      <c r="J217" t="s">
        <v>262</v>
      </c>
      <c r="K217" t="s">
        <v>49</v>
      </c>
      <c r="L217" t="s">
        <v>50</v>
      </c>
      <c r="M217">
        <v>1.3440000000000001</v>
      </c>
      <c r="N217">
        <v>4197.4669999999987</v>
      </c>
    </row>
    <row r="218" spans="2:14" x14ac:dyDescent="0.45">
      <c r="B218" t="s">
        <v>490</v>
      </c>
      <c r="C218" t="s">
        <v>263</v>
      </c>
      <c r="D218" t="s">
        <v>706</v>
      </c>
      <c r="E218" t="s">
        <v>492</v>
      </c>
      <c r="F218" t="s">
        <v>14</v>
      </c>
      <c r="G218" t="s">
        <v>493</v>
      </c>
      <c r="J218" t="s">
        <v>263</v>
      </c>
      <c r="K218" t="s">
        <v>49</v>
      </c>
      <c r="L218" t="s">
        <v>50</v>
      </c>
      <c r="M218">
        <v>0.01</v>
      </c>
    </row>
    <row r="219" spans="2:14" x14ac:dyDescent="0.45">
      <c r="B219" t="s">
        <v>490</v>
      </c>
      <c r="C219" t="s">
        <v>265</v>
      </c>
      <c r="D219" t="s">
        <v>707</v>
      </c>
      <c r="E219" t="s">
        <v>492</v>
      </c>
      <c r="F219" t="s">
        <v>14</v>
      </c>
      <c r="G219" t="s">
        <v>493</v>
      </c>
      <c r="J219" t="s">
        <v>264</v>
      </c>
      <c r="K219" t="s">
        <v>49</v>
      </c>
      <c r="L219" t="s">
        <v>50</v>
      </c>
      <c r="M219">
        <v>4.6619373776908078E-2</v>
      </c>
      <c r="N219">
        <v>9449.9542400000009</v>
      </c>
    </row>
    <row r="220" spans="2:14" x14ac:dyDescent="0.45">
      <c r="B220" t="s">
        <v>490</v>
      </c>
      <c r="C220" t="s">
        <v>264</v>
      </c>
      <c r="D220" t="s">
        <v>708</v>
      </c>
      <c r="E220" t="s">
        <v>492</v>
      </c>
      <c r="F220" t="s">
        <v>14</v>
      </c>
      <c r="G220" t="s">
        <v>493</v>
      </c>
      <c r="J220" t="s">
        <v>265</v>
      </c>
      <c r="K220" t="s">
        <v>49</v>
      </c>
      <c r="L220" t="s">
        <v>50</v>
      </c>
      <c r="M220">
        <v>0.01</v>
      </c>
    </row>
    <row r="221" spans="2:14" x14ac:dyDescent="0.45">
      <c r="B221" t="s">
        <v>490</v>
      </c>
      <c r="C221" t="s">
        <v>266</v>
      </c>
      <c r="D221" t="s">
        <v>709</v>
      </c>
      <c r="E221" t="s">
        <v>492</v>
      </c>
      <c r="F221" t="s">
        <v>14</v>
      </c>
      <c r="G221" t="s">
        <v>493</v>
      </c>
      <c r="J221" t="s">
        <v>266</v>
      </c>
      <c r="K221" t="s">
        <v>49</v>
      </c>
      <c r="L221" t="s">
        <v>50</v>
      </c>
      <c r="M221">
        <v>1.1399999999999999</v>
      </c>
    </row>
    <row r="222" spans="2:14" x14ac:dyDescent="0.45">
      <c r="B222" t="s">
        <v>490</v>
      </c>
      <c r="C222" t="s">
        <v>267</v>
      </c>
      <c r="D222" t="s">
        <v>710</v>
      </c>
      <c r="E222" t="s">
        <v>492</v>
      </c>
      <c r="F222" t="s">
        <v>14</v>
      </c>
      <c r="G222" t="s">
        <v>493</v>
      </c>
      <c r="J222" t="s">
        <v>267</v>
      </c>
      <c r="K222" t="s">
        <v>49</v>
      </c>
      <c r="L222" t="s">
        <v>50</v>
      </c>
      <c r="M222">
        <v>0.41</v>
      </c>
    </row>
    <row r="223" spans="2:14" x14ac:dyDescent="0.45">
      <c r="B223" t="s">
        <v>490</v>
      </c>
      <c r="C223" t="s">
        <v>269</v>
      </c>
      <c r="D223" t="s">
        <v>711</v>
      </c>
      <c r="E223" t="s">
        <v>492</v>
      </c>
      <c r="F223" t="s">
        <v>14</v>
      </c>
      <c r="G223" t="s">
        <v>493</v>
      </c>
      <c r="J223" t="s">
        <v>268</v>
      </c>
      <c r="K223" t="s">
        <v>49</v>
      </c>
      <c r="L223" t="s">
        <v>50</v>
      </c>
      <c r="M223">
        <v>0.02</v>
      </c>
    </row>
    <row r="224" spans="2:14" x14ac:dyDescent="0.45">
      <c r="B224" t="s">
        <v>490</v>
      </c>
      <c r="C224" t="s">
        <v>217</v>
      </c>
      <c r="D224" t="s">
        <v>712</v>
      </c>
      <c r="E224" t="s">
        <v>492</v>
      </c>
      <c r="F224" t="s">
        <v>14</v>
      </c>
      <c r="G224" t="s">
        <v>493</v>
      </c>
      <c r="J224" t="s">
        <v>269</v>
      </c>
      <c r="K224" t="s">
        <v>49</v>
      </c>
      <c r="L224" t="s">
        <v>50</v>
      </c>
      <c r="M224">
        <v>1.55</v>
      </c>
    </row>
    <row r="225" spans="2:14" x14ac:dyDescent="0.45">
      <c r="B225" t="s">
        <v>490</v>
      </c>
      <c r="C225" t="s">
        <v>315</v>
      </c>
      <c r="D225" t="s">
        <v>713</v>
      </c>
      <c r="E225" t="s">
        <v>492</v>
      </c>
      <c r="F225" t="s">
        <v>14</v>
      </c>
      <c r="G225" t="s">
        <v>493</v>
      </c>
      <c r="J225" t="s">
        <v>270</v>
      </c>
      <c r="K225" t="s">
        <v>49</v>
      </c>
      <c r="L225" t="s">
        <v>50</v>
      </c>
      <c r="M225">
        <v>2.4487284861257459</v>
      </c>
      <c r="N225">
        <v>8386</v>
      </c>
    </row>
    <row r="226" spans="2:14" x14ac:dyDescent="0.45">
      <c r="B226" t="s">
        <v>490</v>
      </c>
      <c r="C226" t="s">
        <v>268</v>
      </c>
      <c r="D226" t="s">
        <v>714</v>
      </c>
      <c r="E226" t="s">
        <v>492</v>
      </c>
      <c r="F226" t="s">
        <v>14</v>
      </c>
      <c r="G226" t="s">
        <v>493</v>
      </c>
      <c r="J226" t="s">
        <v>271</v>
      </c>
      <c r="K226" t="s">
        <v>49</v>
      </c>
      <c r="L226" t="s">
        <v>50</v>
      </c>
      <c r="M226">
        <v>0.79</v>
      </c>
    </row>
    <row r="227" spans="2:14" x14ac:dyDescent="0.45">
      <c r="B227" t="s">
        <v>490</v>
      </c>
      <c r="C227" t="s">
        <v>270</v>
      </c>
      <c r="D227" t="s">
        <v>715</v>
      </c>
      <c r="E227" t="s">
        <v>492</v>
      </c>
      <c r="F227" t="s">
        <v>14</v>
      </c>
      <c r="G227" t="s">
        <v>493</v>
      </c>
      <c r="J227" t="s">
        <v>272</v>
      </c>
      <c r="K227" t="s">
        <v>49</v>
      </c>
      <c r="L227" t="s">
        <v>50</v>
      </c>
      <c r="M227">
        <v>0.11</v>
      </c>
    </row>
    <row r="228" spans="2:14" x14ac:dyDescent="0.45">
      <c r="B228" t="s">
        <v>490</v>
      </c>
      <c r="C228" t="s">
        <v>272</v>
      </c>
      <c r="D228" t="s">
        <v>716</v>
      </c>
      <c r="E228" t="s">
        <v>492</v>
      </c>
      <c r="F228" t="s">
        <v>14</v>
      </c>
      <c r="G228" t="s">
        <v>493</v>
      </c>
      <c r="J228" t="s">
        <v>273</v>
      </c>
      <c r="K228" t="s">
        <v>49</v>
      </c>
      <c r="L228" t="s">
        <v>50</v>
      </c>
      <c r="M228">
        <v>0.04</v>
      </c>
    </row>
    <row r="229" spans="2:14" x14ac:dyDescent="0.45">
      <c r="B229" t="s">
        <v>490</v>
      </c>
      <c r="C229" t="s">
        <v>317</v>
      </c>
      <c r="D229" t="s">
        <v>717</v>
      </c>
      <c r="E229" t="s">
        <v>492</v>
      </c>
      <c r="F229" t="s">
        <v>14</v>
      </c>
      <c r="G229" t="s">
        <v>493</v>
      </c>
      <c r="J229" t="s">
        <v>274</v>
      </c>
      <c r="K229" t="s">
        <v>49</v>
      </c>
      <c r="L229" t="s">
        <v>50</v>
      </c>
      <c r="M229">
        <v>0.06</v>
      </c>
    </row>
    <row r="230" spans="2:14" x14ac:dyDescent="0.45">
      <c r="B230" t="s">
        <v>490</v>
      </c>
      <c r="C230" t="s">
        <v>273</v>
      </c>
      <c r="D230" t="s">
        <v>718</v>
      </c>
      <c r="E230" t="s">
        <v>492</v>
      </c>
      <c r="F230" t="s">
        <v>14</v>
      </c>
      <c r="G230" t="s">
        <v>493</v>
      </c>
      <c r="J230" t="s">
        <v>275</v>
      </c>
      <c r="K230" t="s">
        <v>49</v>
      </c>
      <c r="L230" t="s">
        <v>50</v>
      </c>
      <c r="M230">
        <v>0.02</v>
      </c>
    </row>
    <row r="231" spans="2:14" x14ac:dyDescent="0.45">
      <c r="B231" t="s">
        <v>490</v>
      </c>
      <c r="C231" t="s">
        <v>274</v>
      </c>
      <c r="D231" t="s">
        <v>719</v>
      </c>
      <c r="E231" t="s">
        <v>492</v>
      </c>
      <c r="F231" t="s">
        <v>14</v>
      </c>
      <c r="G231" t="s">
        <v>493</v>
      </c>
      <c r="J231" t="s">
        <v>276</v>
      </c>
      <c r="K231" t="s">
        <v>49</v>
      </c>
      <c r="L231" t="s">
        <v>50</v>
      </c>
      <c r="M231">
        <v>0.34</v>
      </c>
    </row>
    <row r="232" spans="2:14" x14ac:dyDescent="0.45">
      <c r="B232" t="s">
        <v>490</v>
      </c>
      <c r="C232" t="s">
        <v>275</v>
      </c>
      <c r="D232" t="s">
        <v>720</v>
      </c>
      <c r="E232" t="s">
        <v>492</v>
      </c>
      <c r="F232" t="s">
        <v>14</v>
      </c>
      <c r="G232" t="s">
        <v>493</v>
      </c>
      <c r="J232" t="s">
        <v>277</v>
      </c>
      <c r="K232" t="s">
        <v>49</v>
      </c>
      <c r="L232" t="s">
        <v>50</v>
      </c>
      <c r="M232">
        <v>0.56603226289393027</v>
      </c>
      <c r="N232">
        <v>5343.8356399999993</v>
      </c>
    </row>
    <row r="233" spans="2:14" x14ac:dyDescent="0.45">
      <c r="B233" t="s">
        <v>490</v>
      </c>
      <c r="C233" t="s">
        <v>271</v>
      </c>
      <c r="D233" t="s">
        <v>721</v>
      </c>
      <c r="E233" t="s">
        <v>492</v>
      </c>
      <c r="F233" t="s">
        <v>14</v>
      </c>
      <c r="G233" t="s">
        <v>493</v>
      </c>
      <c r="J233" t="s">
        <v>278</v>
      </c>
      <c r="K233" t="s">
        <v>49</v>
      </c>
      <c r="L233" t="s">
        <v>50</v>
      </c>
      <c r="M233">
        <v>0.18</v>
      </c>
    </row>
    <row r="234" spans="2:14" x14ac:dyDescent="0.45">
      <c r="B234" t="s">
        <v>490</v>
      </c>
      <c r="C234" t="s">
        <v>286</v>
      </c>
      <c r="D234" t="s">
        <v>722</v>
      </c>
      <c r="E234" t="s">
        <v>492</v>
      </c>
      <c r="F234" t="s">
        <v>14</v>
      </c>
      <c r="G234" t="s">
        <v>493</v>
      </c>
      <c r="J234" t="s">
        <v>279</v>
      </c>
      <c r="K234" t="s">
        <v>49</v>
      </c>
      <c r="L234" t="s">
        <v>50</v>
      </c>
      <c r="M234">
        <v>1.5606721322817219</v>
      </c>
      <c r="N234">
        <v>1641.4540519999998</v>
      </c>
    </row>
    <row r="235" spans="2:14" x14ac:dyDescent="0.45">
      <c r="B235" t="s">
        <v>490</v>
      </c>
      <c r="C235" t="s">
        <v>284</v>
      </c>
      <c r="D235" t="s">
        <v>723</v>
      </c>
      <c r="E235" t="s">
        <v>492</v>
      </c>
      <c r="F235" t="s">
        <v>14</v>
      </c>
      <c r="G235" t="s">
        <v>493</v>
      </c>
      <c r="J235" t="s">
        <v>280</v>
      </c>
      <c r="K235" t="s">
        <v>49</v>
      </c>
      <c r="L235" t="s">
        <v>50</v>
      </c>
      <c r="M235">
        <v>0.08</v>
      </c>
    </row>
    <row r="236" spans="2:14" x14ac:dyDescent="0.45">
      <c r="B236" t="s">
        <v>490</v>
      </c>
      <c r="C236" t="s">
        <v>277</v>
      </c>
      <c r="D236" t="s">
        <v>724</v>
      </c>
      <c r="E236" t="s">
        <v>492</v>
      </c>
      <c r="F236" t="s">
        <v>14</v>
      </c>
      <c r="G236" t="s">
        <v>493</v>
      </c>
      <c r="J236" t="s">
        <v>281</v>
      </c>
      <c r="K236" t="s">
        <v>49</v>
      </c>
      <c r="L236" t="s">
        <v>50</v>
      </c>
      <c r="M236">
        <v>0.05</v>
      </c>
    </row>
    <row r="237" spans="2:14" x14ac:dyDescent="0.45">
      <c r="B237" t="s">
        <v>490</v>
      </c>
      <c r="C237" t="s">
        <v>283</v>
      </c>
      <c r="D237" t="s">
        <v>725</v>
      </c>
      <c r="E237" t="s">
        <v>492</v>
      </c>
      <c r="F237" t="s">
        <v>14</v>
      </c>
      <c r="G237" t="s">
        <v>493</v>
      </c>
      <c r="J237" t="s">
        <v>282</v>
      </c>
      <c r="K237" t="s">
        <v>49</v>
      </c>
      <c r="L237" t="s">
        <v>50</v>
      </c>
      <c r="M237">
        <v>0.03</v>
      </c>
    </row>
    <row r="238" spans="2:14" x14ac:dyDescent="0.45">
      <c r="B238" t="s">
        <v>490</v>
      </c>
      <c r="C238" t="s">
        <v>276</v>
      </c>
      <c r="D238" t="s">
        <v>726</v>
      </c>
      <c r="E238" t="s">
        <v>492</v>
      </c>
      <c r="F238" t="s">
        <v>14</v>
      </c>
      <c r="G238" t="s">
        <v>493</v>
      </c>
      <c r="J238" t="s">
        <v>283</v>
      </c>
      <c r="K238" t="s">
        <v>49</v>
      </c>
      <c r="L238" t="s">
        <v>50</v>
      </c>
      <c r="M238">
        <v>2.1751988510826328</v>
      </c>
      <c r="N238">
        <v>2196.548096</v>
      </c>
    </row>
    <row r="239" spans="2:14" x14ac:dyDescent="0.45">
      <c r="B239" t="s">
        <v>490</v>
      </c>
      <c r="C239" t="s">
        <v>280</v>
      </c>
      <c r="D239" t="s">
        <v>727</v>
      </c>
      <c r="E239" t="s">
        <v>492</v>
      </c>
      <c r="F239" t="s">
        <v>14</v>
      </c>
      <c r="G239" t="s">
        <v>493</v>
      </c>
      <c r="J239" t="s">
        <v>284</v>
      </c>
      <c r="K239" t="s">
        <v>49</v>
      </c>
      <c r="L239" t="s">
        <v>50</v>
      </c>
      <c r="M239">
        <v>0.04</v>
      </c>
    </row>
    <row r="240" spans="2:14" x14ac:dyDescent="0.45">
      <c r="B240" t="s">
        <v>490</v>
      </c>
      <c r="C240" t="s">
        <v>288</v>
      </c>
      <c r="D240" t="s">
        <v>728</v>
      </c>
      <c r="E240" t="s">
        <v>492</v>
      </c>
      <c r="F240" t="s">
        <v>14</v>
      </c>
      <c r="G240" t="s">
        <v>493</v>
      </c>
      <c r="J240" t="s">
        <v>285</v>
      </c>
      <c r="K240" t="s">
        <v>49</v>
      </c>
      <c r="L240" t="s">
        <v>50</v>
      </c>
      <c r="M240">
        <v>0.51800000000000002</v>
      </c>
      <c r="N240">
        <v>3746.1780800000001</v>
      </c>
    </row>
    <row r="241" spans="2:14" x14ac:dyDescent="0.45">
      <c r="B241" t="s">
        <v>490</v>
      </c>
      <c r="C241" t="s">
        <v>285</v>
      </c>
      <c r="D241" t="s">
        <v>729</v>
      </c>
      <c r="E241" t="s">
        <v>492</v>
      </c>
      <c r="F241" t="s">
        <v>14</v>
      </c>
      <c r="G241" t="s">
        <v>493</v>
      </c>
      <c r="J241" t="s">
        <v>286</v>
      </c>
      <c r="K241" t="s">
        <v>49</v>
      </c>
      <c r="L241" t="s">
        <v>50</v>
      </c>
      <c r="M241">
        <v>0.65</v>
      </c>
    </row>
    <row r="242" spans="2:14" x14ac:dyDescent="0.45">
      <c r="B242" t="s">
        <v>490</v>
      </c>
      <c r="C242" t="s">
        <v>287</v>
      </c>
      <c r="D242" t="s">
        <v>730</v>
      </c>
      <c r="E242" t="s">
        <v>492</v>
      </c>
      <c r="F242" t="s">
        <v>14</v>
      </c>
      <c r="G242" t="s">
        <v>493</v>
      </c>
      <c r="J242" t="s">
        <v>287</v>
      </c>
      <c r="K242" t="s">
        <v>49</v>
      </c>
      <c r="L242" t="s">
        <v>50</v>
      </c>
      <c r="M242">
        <v>0.82291589534739817</v>
      </c>
      <c r="N242">
        <v>3976.9813039999999</v>
      </c>
    </row>
    <row r="243" spans="2:14" x14ac:dyDescent="0.45">
      <c r="B243" t="s">
        <v>490</v>
      </c>
      <c r="C243" t="s">
        <v>281</v>
      </c>
      <c r="D243" t="s">
        <v>731</v>
      </c>
      <c r="E243" t="s">
        <v>492</v>
      </c>
      <c r="F243" t="s">
        <v>14</v>
      </c>
      <c r="G243" t="s">
        <v>493</v>
      </c>
      <c r="J243" t="s">
        <v>288</v>
      </c>
      <c r="K243" t="s">
        <v>49</v>
      </c>
      <c r="L243" t="s">
        <v>50</v>
      </c>
      <c r="M243">
        <v>12.731008717310129</v>
      </c>
      <c r="N243">
        <v>1550.3649439999999</v>
      </c>
    </row>
    <row r="244" spans="2:14" x14ac:dyDescent="0.45">
      <c r="B244" t="s">
        <v>490</v>
      </c>
      <c r="C244" t="s">
        <v>282</v>
      </c>
      <c r="D244" t="s">
        <v>732</v>
      </c>
      <c r="E244" t="s">
        <v>492</v>
      </c>
      <c r="F244" t="s">
        <v>14</v>
      </c>
      <c r="G244" t="s">
        <v>493</v>
      </c>
      <c r="J244" t="s">
        <v>289</v>
      </c>
      <c r="K244" t="s">
        <v>49</v>
      </c>
      <c r="L244" t="s">
        <v>50</v>
      </c>
      <c r="M244">
        <v>1.2608555182217636</v>
      </c>
      <c r="N244">
        <v>2050.8876920000002</v>
      </c>
    </row>
    <row r="245" spans="2:14" x14ac:dyDescent="0.45">
      <c r="B245" t="s">
        <v>490</v>
      </c>
      <c r="C245" t="s">
        <v>278</v>
      </c>
      <c r="D245" t="s">
        <v>733</v>
      </c>
      <c r="E245" t="s">
        <v>492</v>
      </c>
      <c r="F245" t="s">
        <v>14</v>
      </c>
      <c r="G245" t="s">
        <v>493</v>
      </c>
      <c r="J245" t="s">
        <v>290</v>
      </c>
      <c r="K245" t="s">
        <v>49</v>
      </c>
      <c r="L245" t="s">
        <v>50</v>
      </c>
      <c r="M245">
        <v>0.02</v>
      </c>
    </row>
    <row r="246" spans="2:14" x14ac:dyDescent="0.45">
      <c r="B246" t="s">
        <v>490</v>
      </c>
      <c r="C246" t="s">
        <v>279</v>
      </c>
      <c r="D246" t="s">
        <v>734</v>
      </c>
      <c r="E246" t="s">
        <v>492</v>
      </c>
      <c r="F246" t="s">
        <v>14</v>
      </c>
      <c r="G246" t="s">
        <v>493</v>
      </c>
      <c r="J246" t="s">
        <v>291</v>
      </c>
      <c r="K246" t="s">
        <v>49</v>
      </c>
      <c r="L246" t="s">
        <v>50</v>
      </c>
      <c r="M246">
        <v>0.04</v>
      </c>
    </row>
    <row r="247" spans="2:14" x14ac:dyDescent="0.45">
      <c r="B247" t="s">
        <v>490</v>
      </c>
      <c r="C247" t="s">
        <v>291</v>
      </c>
      <c r="D247" t="s">
        <v>735</v>
      </c>
      <c r="E247" t="s">
        <v>492</v>
      </c>
      <c r="F247" t="s">
        <v>14</v>
      </c>
      <c r="G247" t="s">
        <v>493</v>
      </c>
      <c r="J247" t="s">
        <v>292</v>
      </c>
      <c r="K247" t="s">
        <v>49</v>
      </c>
      <c r="L247" t="s">
        <v>50</v>
      </c>
      <c r="M247">
        <v>0.24666935267257581</v>
      </c>
      <c r="N247">
        <v>3816.6102319999995</v>
      </c>
    </row>
    <row r="248" spans="2:14" x14ac:dyDescent="0.45">
      <c r="B248" t="s">
        <v>490</v>
      </c>
      <c r="C248" t="s">
        <v>294</v>
      </c>
      <c r="D248" t="s">
        <v>736</v>
      </c>
      <c r="E248" t="s">
        <v>492</v>
      </c>
      <c r="F248" t="s">
        <v>14</v>
      </c>
      <c r="G248" t="s">
        <v>493</v>
      </c>
      <c r="J248" t="s">
        <v>293</v>
      </c>
      <c r="K248" t="s">
        <v>49</v>
      </c>
      <c r="L248" t="s">
        <v>50</v>
      </c>
      <c r="M248">
        <v>0.06</v>
      </c>
    </row>
    <row r="249" spans="2:14" x14ac:dyDescent="0.45">
      <c r="B249" t="s">
        <v>490</v>
      </c>
      <c r="C249" t="s">
        <v>293</v>
      </c>
      <c r="D249" t="s">
        <v>737</v>
      </c>
      <c r="E249" t="s">
        <v>492</v>
      </c>
      <c r="F249" t="s">
        <v>14</v>
      </c>
      <c r="G249" t="s">
        <v>493</v>
      </c>
      <c r="J249" t="s">
        <v>294</v>
      </c>
      <c r="K249" t="s">
        <v>49</v>
      </c>
      <c r="L249" t="s">
        <v>50</v>
      </c>
      <c r="M249">
        <v>0.9731883907568839</v>
      </c>
      <c r="N249">
        <v>3710</v>
      </c>
    </row>
    <row r="250" spans="2:14" x14ac:dyDescent="0.45">
      <c r="B250" t="s">
        <v>490</v>
      </c>
      <c r="C250" t="s">
        <v>290</v>
      </c>
      <c r="D250" t="s">
        <v>738</v>
      </c>
      <c r="E250" t="s">
        <v>492</v>
      </c>
      <c r="F250" t="s">
        <v>14</v>
      </c>
      <c r="G250" t="s">
        <v>493</v>
      </c>
      <c r="J250" t="s">
        <v>295</v>
      </c>
      <c r="K250" t="s">
        <v>49</v>
      </c>
      <c r="L250" t="s">
        <v>50</v>
      </c>
      <c r="M250">
        <v>2.5</v>
      </c>
    </row>
    <row r="251" spans="2:14" x14ac:dyDescent="0.45">
      <c r="B251" t="s">
        <v>490</v>
      </c>
      <c r="C251" t="s">
        <v>296</v>
      </c>
      <c r="D251" t="s">
        <v>739</v>
      </c>
      <c r="E251" t="s">
        <v>492</v>
      </c>
      <c r="F251" t="s">
        <v>14</v>
      </c>
      <c r="G251" t="s">
        <v>493</v>
      </c>
      <c r="J251" t="s">
        <v>296</v>
      </c>
      <c r="K251" t="s">
        <v>49</v>
      </c>
      <c r="L251" t="s">
        <v>50</v>
      </c>
      <c r="M251">
        <v>10</v>
      </c>
    </row>
    <row r="252" spans="2:14" x14ac:dyDescent="0.45">
      <c r="B252" t="s">
        <v>490</v>
      </c>
      <c r="C252" t="s">
        <v>289</v>
      </c>
      <c r="D252" t="s">
        <v>740</v>
      </c>
      <c r="E252" t="s">
        <v>492</v>
      </c>
      <c r="F252" t="s">
        <v>14</v>
      </c>
      <c r="G252" t="s">
        <v>493</v>
      </c>
      <c r="J252" t="s">
        <v>297</v>
      </c>
      <c r="K252" t="s">
        <v>49</v>
      </c>
      <c r="L252" t="s">
        <v>50</v>
      </c>
      <c r="M252">
        <v>2.2728520175193401</v>
      </c>
      <c r="N252">
        <v>2357.6953039999994</v>
      </c>
    </row>
    <row r="253" spans="2:14" x14ac:dyDescent="0.45">
      <c r="B253" t="s">
        <v>490</v>
      </c>
      <c r="C253" t="s">
        <v>292</v>
      </c>
      <c r="D253" t="s">
        <v>741</v>
      </c>
      <c r="E253" t="s">
        <v>492</v>
      </c>
      <c r="F253" t="s">
        <v>14</v>
      </c>
      <c r="G253" t="s">
        <v>493</v>
      </c>
      <c r="J253" t="s">
        <v>298</v>
      </c>
      <c r="K253" t="s">
        <v>49</v>
      </c>
      <c r="L253" t="s">
        <v>50</v>
      </c>
      <c r="M253">
        <v>0.86</v>
      </c>
    </row>
    <row r="254" spans="2:14" x14ac:dyDescent="0.45">
      <c r="B254" t="s">
        <v>490</v>
      </c>
      <c r="C254" t="s">
        <v>297</v>
      </c>
      <c r="D254" t="s">
        <v>742</v>
      </c>
      <c r="E254" t="s">
        <v>492</v>
      </c>
      <c r="F254" t="s">
        <v>14</v>
      </c>
      <c r="G254" t="s">
        <v>493</v>
      </c>
      <c r="J254" t="s">
        <v>299</v>
      </c>
      <c r="K254" t="s">
        <v>49</v>
      </c>
      <c r="L254" t="s">
        <v>50</v>
      </c>
      <c r="M254">
        <v>3.4485574927355742</v>
      </c>
      <c r="N254">
        <v>3103.6110559999997</v>
      </c>
    </row>
    <row r="255" spans="2:14" x14ac:dyDescent="0.45">
      <c r="B255" t="s">
        <v>490</v>
      </c>
      <c r="C255" t="s">
        <v>298</v>
      </c>
      <c r="D255" t="s">
        <v>743</v>
      </c>
      <c r="E255" t="s">
        <v>492</v>
      </c>
      <c r="F255" t="s">
        <v>14</v>
      </c>
      <c r="G255" t="s">
        <v>493</v>
      </c>
      <c r="J255" t="s">
        <v>300</v>
      </c>
      <c r="K255" t="s">
        <v>49</v>
      </c>
      <c r="L255" t="s">
        <v>50</v>
      </c>
      <c r="M255">
        <v>4.41</v>
      </c>
    </row>
    <row r="256" spans="2:14" x14ac:dyDescent="0.45">
      <c r="B256" t="s">
        <v>490</v>
      </c>
      <c r="C256" t="s">
        <v>301</v>
      </c>
      <c r="D256" t="s">
        <v>744</v>
      </c>
      <c r="E256" t="s">
        <v>492</v>
      </c>
      <c r="F256" t="s">
        <v>14</v>
      </c>
      <c r="G256" t="s">
        <v>493</v>
      </c>
      <c r="J256" t="s">
        <v>301</v>
      </c>
      <c r="K256" t="s">
        <v>49</v>
      </c>
      <c r="L256" t="s">
        <v>50</v>
      </c>
      <c r="M256">
        <v>9.0833214066653021</v>
      </c>
      <c r="N256">
        <v>3336.919640000001</v>
      </c>
    </row>
    <row r="257" spans="2:14" x14ac:dyDescent="0.45">
      <c r="B257" t="s">
        <v>490</v>
      </c>
      <c r="C257" t="s">
        <v>302</v>
      </c>
      <c r="D257" t="s">
        <v>745</v>
      </c>
      <c r="E257" t="s">
        <v>492</v>
      </c>
      <c r="F257" t="s">
        <v>14</v>
      </c>
      <c r="G257" t="s">
        <v>493</v>
      </c>
      <c r="J257" t="s">
        <v>302</v>
      </c>
      <c r="K257" t="s">
        <v>49</v>
      </c>
      <c r="L257" t="s">
        <v>50</v>
      </c>
      <c r="M257">
        <v>1.77</v>
      </c>
    </row>
    <row r="258" spans="2:14" x14ac:dyDescent="0.45">
      <c r="B258" t="s">
        <v>490</v>
      </c>
      <c r="C258" t="s">
        <v>299</v>
      </c>
      <c r="D258" t="s">
        <v>746</v>
      </c>
      <c r="E258" t="s">
        <v>492</v>
      </c>
      <c r="F258" t="s">
        <v>14</v>
      </c>
      <c r="G258" t="s">
        <v>493</v>
      </c>
      <c r="J258" t="s">
        <v>303</v>
      </c>
      <c r="K258" t="s">
        <v>49</v>
      </c>
      <c r="L258" t="s">
        <v>50</v>
      </c>
      <c r="M258">
        <v>0.28000000000000003</v>
      </c>
    </row>
    <row r="259" spans="2:14" x14ac:dyDescent="0.45">
      <c r="B259" t="s">
        <v>490</v>
      </c>
      <c r="C259" t="s">
        <v>303</v>
      </c>
      <c r="D259" t="s">
        <v>747</v>
      </c>
      <c r="E259" t="s">
        <v>492</v>
      </c>
      <c r="F259" t="s">
        <v>14</v>
      </c>
      <c r="G259" t="s">
        <v>493</v>
      </c>
      <c r="J259" t="s">
        <v>304</v>
      </c>
      <c r="K259" t="s">
        <v>49</v>
      </c>
      <c r="L259" t="s">
        <v>50</v>
      </c>
      <c r="M259">
        <v>2.0390000000000001</v>
      </c>
    </row>
    <row r="260" spans="2:14" x14ac:dyDescent="0.45">
      <c r="B260" t="s">
        <v>490</v>
      </c>
      <c r="C260" t="s">
        <v>305</v>
      </c>
      <c r="D260" t="s">
        <v>748</v>
      </c>
      <c r="E260" t="s">
        <v>492</v>
      </c>
      <c r="F260" t="s">
        <v>14</v>
      </c>
      <c r="G260" t="s">
        <v>493</v>
      </c>
      <c r="J260" t="s">
        <v>305</v>
      </c>
      <c r="K260" t="s">
        <v>49</v>
      </c>
      <c r="L260" t="s">
        <v>50</v>
      </c>
      <c r="M260">
        <v>0.05</v>
      </c>
    </row>
    <row r="261" spans="2:14" x14ac:dyDescent="0.45">
      <c r="B261" t="s">
        <v>490</v>
      </c>
      <c r="C261" t="s">
        <v>295</v>
      </c>
      <c r="D261" t="s">
        <v>749</v>
      </c>
      <c r="E261" t="s">
        <v>492</v>
      </c>
      <c r="F261" t="s">
        <v>14</v>
      </c>
      <c r="G261" t="s">
        <v>493</v>
      </c>
      <c r="J261" t="s">
        <v>306</v>
      </c>
      <c r="K261" t="s">
        <v>49</v>
      </c>
      <c r="L261" t="s">
        <v>50</v>
      </c>
      <c r="M261">
        <v>3.31</v>
      </c>
    </row>
    <row r="262" spans="2:14" x14ac:dyDescent="0.45">
      <c r="B262" t="s">
        <v>490</v>
      </c>
      <c r="C262" t="s">
        <v>304</v>
      </c>
      <c r="D262" t="s">
        <v>750</v>
      </c>
      <c r="E262" t="s">
        <v>492</v>
      </c>
      <c r="F262" t="s">
        <v>14</v>
      </c>
      <c r="G262" t="s">
        <v>493</v>
      </c>
      <c r="J262" t="s">
        <v>307</v>
      </c>
      <c r="K262" t="s">
        <v>49</v>
      </c>
      <c r="L262" t="s">
        <v>50</v>
      </c>
      <c r="M262">
        <v>3.7962447377213486</v>
      </c>
      <c r="N262">
        <v>6313.0595599999988</v>
      </c>
    </row>
    <row r="263" spans="2:14" x14ac:dyDescent="0.45">
      <c r="B263" t="s">
        <v>490</v>
      </c>
      <c r="C263" t="s">
        <v>300</v>
      </c>
      <c r="D263" t="s">
        <v>751</v>
      </c>
      <c r="E263" t="s">
        <v>492</v>
      </c>
      <c r="F263" t="s">
        <v>14</v>
      </c>
      <c r="G263" t="s">
        <v>493</v>
      </c>
      <c r="J263" t="s">
        <v>308</v>
      </c>
      <c r="K263" t="s">
        <v>49</v>
      </c>
      <c r="L263" t="s">
        <v>50</v>
      </c>
      <c r="M263">
        <v>0.05</v>
      </c>
    </row>
    <row r="264" spans="2:14" x14ac:dyDescent="0.45">
      <c r="B264" t="s">
        <v>490</v>
      </c>
      <c r="C264" t="s">
        <v>244</v>
      </c>
      <c r="D264" t="s">
        <v>752</v>
      </c>
      <c r="E264" t="s">
        <v>492</v>
      </c>
      <c r="F264" t="s">
        <v>14</v>
      </c>
      <c r="G264" t="s">
        <v>493</v>
      </c>
      <c r="J264" t="s">
        <v>309</v>
      </c>
      <c r="K264" t="s">
        <v>49</v>
      </c>
      <c r="L264" t="s">
        <v>50</v>
      </c>
      <c r="M264">
        <v>0</v>
      </c>
    </row>
    <row r="265" spans="2:14" x14ac:dyDescent="0.45">
      <c r="B265" t="s">
        <v>490</v>
      </c>
      <c r="C265" t="s">
        <v>306</v>
      </c>
      <c r="D265" t="s">
        <v>753</v>
      </c>
      <c r="E265" t="s">
        <v>492</v>
      </c>
      <c r="F265" t="s">
        <v>14</v>
      </c>
      <c r="G265" t="s">
        <v>493</v>
      </c>
      <c r="J265" t="s">
        <v>310</v>
      </c>
      <c r="K265" t="s">
        <v>49</v>
      </c>
      <c r="L265" t="s">
        <v>50</v>
      </c>
      <c r="M265">
        <v>1.1100000000000001</v>
      </c>
    </row>
    <row r="266" spans="2:14" x14ac:dyDescent="0.45">
      <c r="B266" t="s">
        <v>490</v>
      </c>
      <c r="C266" t="s">
        <v>307</v>
      </c>
      <c r="D266" t="s">
        <v>754</v>
      </c>
      <c r="E266" t="s">
        <v>492</v>
      </c>
      <c r="F266" t="s">
        <v>14</v>
      </c>
      <c r="G266" t="s">
        <v>493</v>
      </c>
      <c r="J266" t="s">
        <v>311</v>
      </c>
      <c r="K266" t="s">
        <v>49</v>
      </c>
      <c r="L266" t="s">
        <v>50</v>
      </c>
      <c r="M266">
        <v>0.03</v>
      </c>
    </row>
    <row r="267" spans="2:14" x14ac:dyDescent="0.45">
      <c r="B267" t="s">
        <v>490</v>
      </c>
      <c r="C267" t="s">
        <v>308</v>
      </c>
      <c r="D267" t="s">
        <v>755</v>
      </c>
      <c r="E267" t="s">
        <v>492</v>
      </c>
      <c r="F267" t="s">
        <v>14</v>
      </c>
      <c r="G267" t="s">
        <v>493</v>
      </c>
      <c r="J267" t="s">
        <v>312</v>
      </c>
      <c r="K267" t="s">
        <v>49</v>
      </c>
      <c r="L267" t="s">
        <v>50</v>
      </c>
      <c r="M267">
        <v>0.8</v>
      </c>
    </row>
    <row r="268" spans="2:14" x14ac:dyDescent="0.45">
      <c r="B268" t="s">
        <v>490</v>
      </c>
      <c r="C268" t="s">
        <v>318</v>
      </c>
      <c r="D268" t="s">
        <v>756</v>
      </c>
      <c r="E268" t="s">
        <v>492</v>
      </c>
      <c r="F268" t="s">
        <v>14</v>
      </c>
      <c r="G268" t="s">
        <v>493</v>
      </c>
      <c r="J268" t="s">
        <v>313</v>
      </c>
      <c r="K268" t="s">
        <v>49</v>
      </c>
      <c r="L268" t="s">
        <v>50</v>
      </c>
      <c r="M268">
        <v>0.65</v>
      </c>
    </row>
    <row r="269" spans="2:14" x14ac:dyDescent="0.45">
      <c r="B269" t="s">
        <v>490</v>
      </c>
      <c r="C269" t="s">
        <v>311</v>
      </c>
      <c r="D269" t="s">
        <v>757</v>
      </c>
      <c r="E269" t="s">
        <v>492</v>
      </c>
      <c r="F269" t="s">
        <v>14</v>
      </c>
      <c r="G269" t="s">
        <v>493</v>
      </c>
      <c r="J269" t="s">
        <v>314</v>
      </c>
      <c r="K269" t="s">
        <v>49</v>
      </c>
      <c r="L269" t="s">
        <v>50</v>
      </c>
      <c r="M269">
        <v>0.92300000000000004</v>
      </c>
      <c r="N269">
        <v>4391.5325359999997</v>
      </c>
    </row>
    <row r="270" spans="2:14" x14ac:dyDescent="0.45">
      <c r="B270" t="s">
        <v>490</v>
      </c>
      <c r="C270" t="s">
        <v>236</v>
      </c>
      <c r="D270" t="s">
        <v>758</v>
      </c>
      <c r="E270" t="s">
        <v>492</v>
      </c>
      <c r="F270" t="s">
        <v>14</v>
      </c>
      <c r="G270" t="s">
        <v>493</v>
      </c>
      <c r="J270" t="s">
        <v>315</v>
      </c>
      <c r="K270" t="s">
        <v>49</v>
      </c>
      <c r="L270" t="s">
        <v>50</v>
      </c>
      <c r="M270">
        <v>0.89</v>
      </c>
    </row>
    <row r="271" spans="2:14" x14ac:dyDescent="0.45">
      <c r="B271" t="s">
        <v>490</v>
      </c>
      <c r="C271" t="s">
        <v>310</v>
      </c>
      <c r="D271" t="s">
        <v>759</v>
      </c>
      <c r="E271" t="s">
        <v>492</v>
      </c>
      <c r="F271" t="s">
        <v>14</v>
      </c>
      <c r="G271" t="s">
        <v>493</v>
      </c>
      <c r="J271" t="s">
        <v>316</v>
      </c>
      <c r="K271" t="s">
        <v>49</v>
      </c>
      <c r="L271" t="s">
        <v>50</v>
      </c>
      <c r="M271">
        <v>8.51</v>
      </c>
    </row>
    <row r="272" spans="2:14" x14ac:dyDescent="0.45">
      <c r="B272" t="s">
        <v>490</v>
      </c>
      <c r="C272" t="s">
        <v>309</v>
      </c>
      <c r="D272" t="s">
        <v>760</v>
      </c>
      <c r="E272" t="s">
        <v>492</v>
      </c>
      <c r="F272" t="s">
        <v>14</v>
      </c>
      <c r="G272" t="s">
        <v>493</v>
      </c>
      <c r="J272" t="s">
        <v>317</v>
      </c>
      <c r="K272" t="s">
        <v>49</v>
      </c>
      <c r="L272" t="s">
        <v>50</v>
      </c>
      <c r="M272">
        <v>0.81</v>
      </c>
    </row>
    <row r="273" spans="2:14" x14ac:dyDescent="0.45">
      <c r="B273" t="s">
        <v>490</v>
      </c>
      <c r="C273" t="s">
        <v>319</v>
      </c>
      <c r="D273" t="s">
        <v>761</v>
      </c>
      <c r="E273" t="s">
        <v>492</v>
      </c>
      <c r="F273" t="s">
        <v>14</v>
      </c>
      <c r="G273" t="s">
        <v>493</v>
      </c>
      <c r="J273" t="s">
        <v>318</v>
      </c>
      <c r="K273" t="s">
        <v>49</v>
      </c>
      <c r="L273" t="s">
        <v>50</v>
      </c>
      <c r="M273">
        <v>0.72620302072357035</v>
      </c>
      <c r="N273">
        <v>4504.5838399999993</v>
      </c>
    </row>
    <row r="274" spans="2:14" x14ac:dyDescent="0.45">
      <c r="B274" t="s">
        <v>490</v>
      </c>
      <c r="C274" t="s">
        <v>312</v>
      </c>
      <c r="D274" t="s">
        <v>762</v>
      </c>
      <c r="E274" t="s">
        <v>492</v>
      </c>
      <c r="F274" t="s">
        <v>14</v>
      </c>
      <c r="G274" t="s">
        <v>493</v>
      </c>
      <c r="J274" t="s">
        <v>319</v>
      </c>
      <c r="K274" t="s">
        <v>49</v>
      </c>
      <c r="L274" t="s">
        <v>50</v>
      </c>
      <c r="M274">
        <v>0.09</v>
      </c>
    </row>
    <row r="275" spans="2:14" x14ac:dyDescent="0.45">
      <c r="B275" t="s">
        <v>490</v>
      </c>
      <c r="C275" t="s">
        <v>313</v>
      </c>
      <c r="D275" t="s">
        <v>763</v>
      </c>
      <c r="E275" t="s">
        <v>492</v>
      </c>
      <c r="F275" t="s">
        <v>14</v>
      </c>
      <c r="G275" t="s">
        <v>493</v>
      </c>
      <c r="J275" t="s">
        <v>320</v>
      </c>
      <c r="K275" t="s">
        <v>49</v>
      </c>
      <c r="L275" t="s">
        <v>50</v>
      </c>
      <c r="M275">
        <v>0.03</v>
      </c>
    </row>
    <row r="276" spans="2:14" x14ac:dyDescent="0.45">
      <c r="B276" t="s">
        <v>490</v>
      </c>
      <c r="C276" t="s">
        <v>321</v>
      </c>
      <c r="D276" t="s">
        <v>764</v>
      </c>
      <c r="E276" t="s">
        <v>492</v>
      </c>
      <c r="F276" t="s">
        <v>14</v>
      </c>
      <c r="G276" t="s">
        <v>493</v>
      </c>
      <c r="J276" t="s">
        <v>321</v>
      </c>
      <c r="K276" t="s">
        <v>49</v>
      </c>
      <c r="L276" t="s">
        <v>50</v>
      </c>
      <c r="M276">
        <v>8.16</v>
      </c>
    </row>
    <row r="277" spans="2:14" x14ac:dyDescent="0.45">
      <c r="B277" t="s">
        <v>490</v>
      </c>
      <c r="C277" t="s">
        <v>320</v>
      </c>
      <c r="D277" t="s">
        <v>765</v>
      </c>
      <c r="E277" t="s">
        <v>492</v>
      </c>
      <c r="F277" t="s">
        <v>14</v>
      </c>
      <c r="G277" t="s">
        <v>493</v>
      </c>
      <c r="J277" t="s">
        <v>322</v>
      </c>
      <c r="K277" t="s">
        <v>49</v>
      </c>
      <c r="L277" t="s">
        <v>50</v>
      </c>
      <c r="M277">
        <v>6.92</v>
      </c>
    </row>
    <row r="278" spans="2:14" x14ac:dyDescent="0.45">
      <c r="B278" t="s">
        <v>490</v>
      </c>
      <c r="C278" t="s">
        <v>323</v>
      </c>
      <c r="D278" t="s">
        <v>766</v>
      </c>
      <c r="E278" t="s">
        <v>492</v>
      </c>
      <c r="F278" t="s">
        <v>14</v>
      </c>
      <c r="G278" t="s">
        <v>493</v>
      </c>
      <c r="J278" t="s">
        <v>323</v>
      </c>
      <c r="K278" t="s">
        <v>49</v>
      </c>
      <c r="L278" t="s">
        <v>50</v>
      </c>
      <c r="M278">
        <v>0</v>
      </c>
    </row>
    <row r="279" spans="2:14" x14ac:dyDescent="0.45">
      <c r="B279" t="s">
        <v>490</v>
      </c>
      <c r="C279" t="s">
        <v>328</v>
      </c>
      <c r="D279" t="s">
        <v>767</v>
      </c>
      <c r="E279" t="s">
        <v>492</v>
      </c>
      <c r="F279" t="s">
        <v>14</v>
      </c>
      <c r="G279" t="s">
        <v>493</v>
      </c>
      <c r="J279" t="s">
        <v>324</v>
      </c>
      <c r="K279" t="s">
        <v>49</v>
      </c>
      <c r="L279" t="s">
        <v>50</v>
      </c>
      <c r="M279">
        <v>1.04</v>
      </c>
    </row>
    <row r="280" spans="2:14" x14ac:dyDescent="0.45">
      <c r="B280" t="s">
        <v>490</v>
      </c>
      <c r="C280" t="s">
        <v>327</v>
      </c>
      <c r="D280" t="s">
        <v>768</v>
      </c>
      <c r="E280" t="s">
        <v>492</v>
      </c>
      <c r="F280" t="s">
        <v>14</v>
      </c>
      <c r="G280" t="s">
        <v>493</v>
      </c>
      <c r="J280" t="s">
        <v>325</v>
      </c>
      <c r="K280" t="s">
        <v>49</v>
      </c>
      <c r="L280" t="s">
        <v>50</v>
      </c>
      <c r="M280">
        <v>0.44155354919053541</v>
      </c>
      <c r="N280">
        <v>5726</v>
      </c>
    </row>
    <row r="281" spans="2:14" x14ac:dyDescent="0.45">
      <c r="B281" t="s">
        <v>490</v>
      </c>
      <c r="C281" t="s">
        <v>325</v>
      </c>
      <c r="D281" t="s">
        <v>769</v>
      </c>
      <c r="E281" t="s">
        <v>492</v>
      </c>
      <c r="F281" t="s">
        <v>14</v>
      </c>
      <c r="G281" t="s">
        <v>493</v>
      </c>
      <c r="J281" t="s">
        <v>326</v>
      </c>
      <c r="K281" t="s">
        <v>49</v>
      </c>
      <c r="L281" t="s">
        <v>50</v>
      </c>
      <c r="M281">
        <v>2.9362049720953833</v>
      </c>
      <c r="N281">
        <v>2798.6964799999996</v>
      </c>
    </row>
    <row r="282" spans="2:14" x14ac:dyDescent="0.45">
      <c r="B282" t="s">
        <v>490</v>
      </c>
      <c r="C282" t="s">
        <v>331</v>
      </c>
      <c r="D282" t="s">
        <v>770</v>
      </c>
      <c r="E282" t="s">
        <v>492</v>
      </c>
      <c r="F282" t="s">
        <v>14</v>
      </c>
      <c r="G282" t="s">
        <v>493</v>
      </c>
      <c r="J282" t="s">
        <v>327</v>
      </c>
      <c r="K282" t="s">
        <v>49</v>
      </c>
      <c r="L282" t="s">
        <v>50</v>
      </c>
      <c r="M282">
        <v>1.75</v>
      </c>
    </row>
    <row r="283" spans="2:14" x14ac:dyDescent="0.45">
      <c r="B283" t="s">
        <v>490</v>
      </c>
      <c r="C283" t="s">
        <v>329</v>
      </c>
      <c r="D283" t="s">
        <v>771</v>
      </c>
      <c r="E283" t="s">
        <v>492</v>
      </c>
      <c r="F283" t="s">
        <v>14</v>
      </c>
      <c r="G283" t="s">
        <v>493</v>
      </c>
      <c r="J283" t="s">
        <v>328</v>
      </c>
      <c r="K283" t="s">
        <v>49</v>
      </c>
      <c r="L283" t="s">
        <v>50</v>
      </c>
      <c r="M283">
        <v>0.03</v>
      </c>
    </row>
    <row r="284" spans="2:14" x14ac:dyDescent="0.45">
      <c r="B284" t="s">
        <v>490</v>
      </c>
      <c r="C284" t="s">
        <v>330</v>
      </c>
      <c r="D284" t="s">
        <v>772</v>
      </c>
      <c r="E284" t="s">
        <v>492</v>
      </c>
      <c r="F284" t="s">
        <v>14</v>
      </c>
      <c r="G284" t="s">
        <v>493</v>
      </c>
      <c r="J284" t="s">
        <v>329</v>
      </c>
      <c r="K284" t="s">
        <v>49</v>
      </c>
      <c r="L284" t="s">
        <v>50</v>
      </c>
      <c r="M284">
        <v>0.03</v>
      </c>
    </row>
    <row r="285" spans="2:14" x14ac:dyDescent="0.45">
      <c r="B285" t="s">
        <v>490</v>
      </c>
      <c r="C285" t="s">
        <v>324</v>
      </c>
      <c r="D285" t="s">
        <v>773</v>
      </c>
      <c r="E285" t="s">
        <v>492</v>
      </c>
      <c r="F285" t="s">
        <v>14</v>
      </c>
      <c r="G285" t="s">
        <v>493</v>
      </c>
      <c r="J285" t="s">
        <v>330</v>
      </c>
      <c r="K285" t="s">
        <v>49</v>
      </c>
      <c r="L285" t="s">
        <v>50</v>
      </c>
      <c r="M285">
        <v>8.8000979525703418</v>
      </c>
      <c r="N285">
        <v>4359</v>
      </c>
    </row>
    <row r="286" spans="2:14" x14ac:dyDescent="0.45">
      <c r="B286" t="s">
        <v>490</v>
      </c>
      <c r="C286" t="s">
        <v>326</v>
      </c>
      <c r="D286" t="s">
        <v>774</v>
      </c>
      <c r="E286" t="s">
        <v>492</v>
      </c>
      <c r="F286" t="s">
        <v>14</v>
      </c>
      <c r="G286" t="s">
        <v>493</v>
      </c>
      <c r="J286" t="s">
        <v>331</v>
      </c>
      <c r="K286" t="s">
        <v>49</v>
      </c>
      <c r="L286" t="s">
        <v>50</v>
      </c>
      <c r="M286">
        <v>0</v>
      </c>
    </row>
    <row r="287" spans="2:14" x14ac:dyDescent="0.45">
      <c r="B287" t="s">
        <v>490</v>
      </c>
      <c r="C287" t="s">
        <v>332</v>
      </c>
      <c r="D287" t="s">
        <v>775</v>
      </c>
      <c r="E287" t="s">
        <v>492</v>
      </c>
      <c r="F287" t="s">
        <v>14</v>
      </c>
      <c r="G287" t="s">
        <v>493</v>
      </c>
      <c r="J287" t="s">
        <v>332</v>
      </c>
      <c r="K287" t="s">
        <v>49</v>
      </c>
      <c r="L287" t="s">
        <v>50</v>
      </c>
      <c r="M287">
        <v>9.7618332847566318</v>
      </c>
      <c r="N287">
        <v>4070.0440400000002</v>
      </c>
    </row>
    <row r="288" spans="2:14" x14ac:dyDescent="0.45">
      <c r="B288" t="s">
        <v>490</v>
      </c>
      <c r="C288" t="s">
        <v>333</v>
      </c>
      <c r="D288" t="s">
        <v>776</v>
      </c>
      <c r="E288" t="s">
        <v>492</v>
      </c>
      <c r="F288" t="s">
        <v>14</v>
      </c>
      <c r="G288" t="s">
        <v>493</v>
      </c>
      <c r="J288" t="s">
        <v>333</v>
      </c>
      <c r="K288" t="s">
        <v>49</v>
      </c>
      <c r="L288" t="s">
        <v>50</v>
      </c>
      <c r="M288">
        <v>2.73</v>
      </c>
    </row>
    <row r="289" spans="2:14" x14ac:dyDescent="0.45">
      <c r="B289" t="s">
        <v>490</v>
      </c>
      <c r="C289" t="s">
        <v>336</v>
      </c>
      <c r="D289" t="s">
        <v>777</v>
      </c>
      <c r="E289" t="s">
        <v>492</v>
      </c>
      <c r="F289" t="s">
        <v>14</v>
      </c>
      <c r="G289" t="s">
        <v>493</v>
      </c>
      <c r="J289" t="s">
        <v>334</v>
      </c>
      <c r="K289" t="s">
        <v>49</v>
      </c>
      <c r="L289" t="s">
        <v>50</v>
      </c>
      <c r="M289">
        <v>0.85</v>
      </c>
    </row>
    <row r="290" spans="2:14" x14ac:dyDescent="0.45">
      <c r="B290" t="s">
        <v>490</v>
      </c>
      <c r="C290" t="s">
        <v>335</v>
      </c>
      <c r="D290" t="s">
        <v>778</v>
      </c>
      <c r="E290" t="s">
        <v>492</v>
      </c>
      <c r="F290" t="s">
        <v>14</v>
      </c>
      <c r="G290" t="s">
        <v>493</v>
      </c>
      <c r="J290" t="s">
        <v>335</v>
      </c>
      <c r="K290" t="s">
        <v>49</v>
      </c>
      <c r="L290" t="s">
        <v>50</v>
      </c>
      <c r="M290">
        <v>9.3129209109003703</v>
      </c>
      <c r="N290">
        <v>6726.2687599999999</v>
      </c>
    </row>
    <row r="291" spans="2:14" x14ac:dyDescent="0.45">
      <c r="B291" t="s">
        <v>490</v>
      </c>
      <c r="C291" t="s">
        <v>337</v>
      </c>
      <c r="D291" t="s">
        <v>779</v>
      </c>
      <c r="E291" t="s">
        <v>492</v>
      </c>
      <c r="F291" t="s">
        <v>14</v>
      </c>
      <c r="G291" t="s">
        <v>493</v>
      </c>
      <c r="J291" t="s">
        <v>336</v>
      </c>
      <c r="K291" t="s">
        <v>49</v>
      </c>
      <c r="L291" t="s">
        <v>50</v>
      </c>
      <c r="M291">
        <v>0.77</v>
      </c>
    </row>
    <row r="292" spans="2:14" x14ac:dyDescent="0.45">
      <c r="B292" t="s">
        <v>490</v>
      </c>
      <c r="C292" t="s">
        <v>338</v>
      </c>
      <c r="D292" t="s">
        <v>780</v>
      </c>
      <c r="E292" t="s">
        <v>492</v>
      </c>
      <c r="F292" t="s">
        <v>14</v>
      </c>
      <c r="G292" t="s">
        <v>493</v>
      </c>
      <c r="J292" t="s">
        <v>337</v>
      </c>
      <c r="K292" t="s">
        <v>49</v>
      </c>
      <c r="L292" t="s">
        <v>50</v>
      </c>
      <c r="M292">
        <v>0.87</v>
      </c>
    </row>
    <row r="293" spans="2:14" x14ac:dyDescent="0.45">
      <c r="B293" t="s">
        <v>490</v>
      </c>
      <c r="C293" t="s">
        <v>339</v>
      </c>
      <c r="D293" t="s">
        <v>781</v>
      </c>
      <c r="E293" t="s">
        <v>492</v>
      </c>
      <c r="F293" t="s">
        <v>14</v>
      </c>
      <c r="G293" t="s">
        <v>493</v>
      </c>
      <c r="J293" t="s">
        <v>338</v>
      </c>
      <c r="K293" t="s">
        <v>49</v>
      </c>
      <c r="L293" t="s">
        <v>50</v>
      </c>
      <c r="M293">
        <v>1.7323152930608927</v>
      </c>
      <c r="N293">
        <v>2178.7679239999998</v>
      </c>
    </row>
    <row r="294" spans="2:14" x14ac:dyDescent="0.45">
      <c r="B294" t="s">
        <v>490</v>
      </c>
      <c r="C294" t="s">
        <v>314</v>
      </c>
      <c r="D294" t="s">
        <v>782</v>
      </c>
      <c r="E294" t="s">
        <v>492</v>
      </c>
      <c r="F294" t="s">
        <v>14</v>
      </c>
      <c r="G294" t="s">
        <v>493</v>
      </c>
      <c r="J294" t="s">
        <v>339</v>
      </c>
      <c r="K294" t="s">
        <v>49</v>
      </c>
      <c r="L294" t="s">
        <v>50</v>
      </c>
      <c r="M294">
        <v>4.617</v>
      </c>
      <c r="N294">
        <v>4958.7547999999997</v>
      </c>
    </row>
    <row r="295" spans="2:14" x14ac:dyDescent="0.45">
      <c r="B295" t="s">
        <v>490</v>
      </c>
      <c r="C295" t="s">
        <v>340</v>
      </c>
      <c r="D295" t="s">
        <v>783</v>
      </c>
      <c r="E295" t="s">
        <v>492</v>
      </c>
      <c r="F295" t="s">
        <v>14</v>
      </c>
      <c r="G295" t="s">
        <v>493</v>
      </c>
      <c r="J295" t="s">
        <v>340</v>
      </c>
      <c r="K295" t="s">
        <v>49</v>
      </c>
      <c r="L295" t="s">
        <v>50</v>
      </c>
      <c r="M295">
        <v>1.907</v>
      </c>
      <c r="N295">
        <v>9169.0473199999997</v>
      </c>
    </row>
    <row r="296" spans="2:14" x14ac:dyDescent="0.45">
      <c r="B296" t="s">
        <v>490</v>
      </c>
      <c r="C296" t="s">
        <v>341</v>
      </c>
      <c r="D296" t="s">
        <v>784</v>
      </c>
      <c r="E296" t="s">
        <v>492</v>
      </c>
      <c r="F296" t="s">
        <v>14</v>
      </c>
      <c r="G296" t="s">
        <v>493</v>
      </c>
      <c r="J296" t="s">
        <v>341</v>
      </c>
      <c r="K296" t="s">
        <v>49</v>
      </c>
      <c r="L296" t="s">
        <v>50</v>
      </c>
      <c r="M296">
        <v>0.38</v>
      </c>
    </row>
    <row r="297" spans="2:14" x14ac:dyDescent="0.45">
      <c r="B297" t="s">
        <v>490</v>
      </c>
      <c r="C297" t="s">
        <v>342</v>
      </c>
      <c r="D297" t="s">
        <v>785</v>
      </c>
      <c r="E297" t="s">
        <v>492</v>
      </c>
      <c r="F297" t="s">
        <v>14</v>
      </c>
      <c r="G297" t="s">
        <v>493</v>
      </c>
      <c r="J297" t="s">
        <v>342</v>
      </c>
      <c r="K297" t="s">
        <v>49</v>
      </c>
      <c r="L297" t="s">
        <v>50</v>
      </c>
      <c r="M297">
        <v>0.44</v>
      </c>
    </row>
    <row r="298" spans="2:14" x14ac:dyDescent="0.45">
      <c r="B298" t="s">
        <v>490</v>
      </c>
      <c r="C298" t="s">
        <v>345</v>
      </c>
      <c r="D298" t="s">
        <v>786</v>
      </c>
      <c r="E298" t="s">
        <v>492</v>
      </c>
      <c r="F298" t="s">
        <v>14</v>
      </c>
      <c r="G298" t="s">
        <v>493</v>
      </c>
      <c r="J298" t="s">
        <v>343</v>
      </c>
      <c r="K298" t="s">
        <v>49</v>
      </c>
      <c r="L298" t="s">
        <v>50</v>
      </c>
      <c r="M298">
        <v>1.61</v>
      </c>
    </row>
    <row r="299" spans="2:14" x14ac:dyDescent="0.45">
      <c r="B299" t="s">
        <v>490</v>
      </c>
      <c r="C299" t="s">
        <v>343</v>
      </c>
      <c r="D299" t="s">
        <v>787</v>
      </c>
      <c r="E299" t="s">
        <v>492</v>
      </c>
      <c r="F299" t="s">
        <v>14</v>
      </c>
      <c r="G299" t="s">
        <v>493</v>
      </c>
      <c r="J299" t="s">
        <v>344</v>
      </c>
      <c r="K299" t="s">
        <v>49</v>
      </c>
      <c r="L299" t="s">
        <v>50</v>
      </c>
      <c r="M299">
        <v>0.23</v>
      </c>
    </row>
    <row r="300" spans="2:14" x14ac:dyDescent="0.45">
      <c r="B300" t="s">
        <v>490</v>
      </c>
      <c r="C300" t="s">
        <v>346</v>
      </c>
      <c r="D300" t="s">
        <v>788</v>
      </c>
      <c r="E300" t="s">
        <v>492</v>
      </c>
      <c r="F300" t="s">
        <v>14</v>
      </c>
      <c r="G300" t="s">
        <v>493</v>
      </c>
      <c r="J300" t="s">
        <v>345</v>
      </c>
      <c r="K300" t="s">
        <v>49</v>
      </c>
      <c r="L300" t="s">
        <v>50</v>
      </c>
      <c r="M300">
        <v>1.6911778135911959</v>
      </c>
      <c r="N300">
        <v>7947.7105999999985</v>
      </c>
    </row>
    <row r="301" spans="2:14" x14ac:dyDescent="0.45">
      <c r="B301" t="s">
        <v>490</v>
      </c>
      <c r="C301" t="s">
        <v>347</v>
      </c>
      <c r="D301" t="s">
        <v>789</v>
      </c>
      <c r="E301" t="s">
        <v>492</v>
      </c>
      <c r="F301" t="s">
        <v>14</v>
      </c>
      <c r="G301" t="s">
        <v>493</v>
      </c>
      <c r="J301" t="s">
        <v>346</v>
      </c>
      <c r="K301" t="s">
        <v>49</v>
      </c>
      <c r="L301" t="s">
        <v>50</v>
      </c>
      <c r="M301">
        <v>1.510957001522069</v>
      </c>
      <c r="N301">
        <v>6606.6684799999994</v>
      </c>
    </row>
    <row r="302" spans="2:14" x14ac:dyDescent="0.45">
      <c r="B302" t="s">
        <v>490</v>
      </c>
      <c r="C302" t="s">
        <v>348</v>
      </c>
      <c r="D302" t="s">
        <v>790</v>
      </c>
      <c r="E302" t="s">
        <v>492</v>
      </c>
      <c r="F302" t="s">
        <v>14</v>
      </c>
      <c r="G302" t="s">
        <v>493</v>
      </c>
      <c r="J302" t="s">
        <v>347</v>
      </c>
      <c r="K302" t="s">
        <v>49</v>
      </c>
      <c r="L302" t="s">
        <v>50</v>
      </c>
      <c r="M302">
        <v>1.25</v>
      </c>
    </row>
    <row r="303" spans="2:14" x14ac:dyDescent="0.45">
      <c r="B303" t="s">
        <v>490</v>
      </c>
      <c r="C303" t="s">
        <v>349</v>
      </c>
      <c r="D303" t="s">
        <v>791</v>
      </c>
      <c r="E303" t="s">
        <v>492</v>
      </c>
      <c r="F303" t="s">
        <v>14</v>
      </c>
      <c r="G303" t="s">
        <v>493</v>
      </c>
      <c r="J303" t="s">
        <v>348</v>
      </c>
      <c r="K303" t="s">
        <v>49</v>
      </c>
      <c r="L303" t="s">
        <v>50</v>
      </c>
      <c r="M303">
        <v>1.6137717932752231</v>
      </c>
      <c r="N303">
        <v>3959.9045599999999</v>
      </c>
    </row>
    <row r="304" spans="2:14" x14ac:dyDescent="0.45">
      <c r="B304" t="s">
        <v>490</v>
      </c>
      <c r="C304" t="s">
        <v>350</v>
      </c>
      <c r="D304" t="s">
        <v>792</v>
      </c>
      <c r="E304" t="s">
        <v>492</v>
      </c>
      <c r="F304" t="s">
        <v>14</v>
      </c>
      <c r="G304" t="s">
        <v>493</v>
      </c>
      <c r="J304" t="s">
        <v>349</v>
      </c>
      <c r="K304" t="s">
        <v>49</v>
      </c>
      <c r="L304" t="s">
        <v>50</v>
      </c>
      <c r="M304">
        <v>7.98</v>
      </c>
    </row>
    <row r="305" spans="2:14" x14ac:dyDescent="0.45">
      <c r="B305" t="s">
        <v>490</v>
      </c>
      <c r="C305" t="s">
        <v>362</v>
      </c>
      <c r="D305" t="s">
        <v>793</v>
      </c>
      <c r="E305" t="s">
        <v>492</v>
      </c>
      <c r="F305" t="s">
        <v>14</v>
      </c>
      <c r="G305" t="s">
        <v>493</v>
      </c>
      <c r="J305" t="s">
        <v>350</v>
      </c>
      <c r="K305" t="s">
        <v>49</v>
      </c>
      <c r="L305" t="s">
        <v>50</v>
      </c>
      <c r="M305">
        <v>1.1200000000000001</v>
      </c>
    </row>
    <row r="306" spans="2:14" x14ac:dyDescent="0.45">
      <c r="B306" t="s">
        <v>490</v>
      </c>
      <c r="C306" t="s">
        <v>353</v>
      </c>
      <c r="D306" t="s">
        <v>794</v>
      </c>
      <c r="E306" t="s">
        <v>492</v>
      </c>
      <c r="F306" t="s">
        <v>14</v>
      </c>
      <c r="G306" t="s">
        <v>493</v>
      </c>
      <c r="J306" t="s">
        <v>351</v>
      </c>
      <c r="K306" t="s">
        <v>49</v>
      </c>
      <c r="L306" t="s">
        <v>50</v>
      </c>
      <c r="M306">
        <v>0.23</v>
      </c>
    </row>
    <row r="307" spans="2:14" x14ac:dyDescent="0.45">
      <c r="B307" t="s">
        <v>490</v>
      </c>
      <c r="C307" t="s">
        <v>355</v>
      </c>
      <c r="D307" t="s">
        <v>795</v>
      </c>
      <c r="E307" t="s">
        <v>492</v>
      </c>
      <c r="F307" t="s">
        <v>14</v>
      </c>
      <c r="G307" t="s">
        <v>493</v>
      </c>
      <c r="J307" t="s">
        <v>352</v>
      </c>
      <c r="K307" t="s">
        <v>49</v>
      </c>
      <c r="L307" t="s">
        <v>50</v>
      </c>
      <c r="M307">
        <v>7.0000000000000007E-2</v>
      </c>
    </row>
    <row r="308" spans="2:14" x14ac:dyDescent="0.45">
      <c r="B308" t="s">
        <v>490</v>
      </c>
      <c r="C308" t="s">
        <v>361</v>
      </c>
      <c r="D308" t="s">
        <v>796</v>
      </c>
      <c r="E308" t="s">
        <v>492</v>
      </c>
      <c r="F308" t="s">
        <v>14</v>
      </c>
      <c r="G308" t="s">
        <v>493</v>
      </c>
      <c r="J308" t="s">
        <v>353</v>
      </c>
      <c r="K308" t="s">
        <v>49</v>
      </c>
      <c r="L308" t="s">
        <v>50</v>
      </c>
      <c r="M308">
        <v>0.12</v>
      </c>
    </row>
    <row r="309" spans="2:14" x14ac:dyDescent="0.45">
      <c r="B309" t="s">
        <v>490</v>
      </c>
      <c r="C309" t="s">
        <v>351</v>
      </c>
      <c r="D309" t="s">
        <v>797</v>
      </c>
      <c r="E309" t="s">
        <v>492</v>
      </c>
      <c r="F309" t="s">
        <v>14</v>
      </c>
      <c r="G309" t="s">
        <v>493</v>
      </c>
      <c r="J309" t="s">
        <v>354</v>
      </c>
      <c r="K309" t="s">
        <v>49</v>
      </c>
      <c r="L309" t="s">
        <v>50</v>
      </c>
      <c r="M309">
        <v>0.05</v>
      </c>
    </row>
    <row r="310" spans="2:14" x14ac:dyDescent="0.45">
      <c r="B310" t="s">
        <v>490</v>
      </c>
      <c r="C310" t="s">
        <v>360</v>
      </c>
      <c r="D310" t="s">
        <v>798</v>
      </c>
      <c r="E310" t="s">
        <v>492</v>
      </c>
      <c r="F310" t="s">
        <v>14</v>
      </c>
      <c r="G310" t="s">
        <v>493</v>
      </c>
      <c r="J310" t="s">
        <v>355</v>
      </c>
      <c r="K310" t="s">
        <v>49</v>
      </c>
      <c r="L310" t="s">
        <v>50</v>
      </c>
      <c r="M310">
        <v>0</v>
      </c>
    </row>
    <row r="311" spans="2:14" x14ac:dyDescent="0.45">
      <c r="B311" t="s">
        <v>490</v>
      </c>
      <c r="C311" t="s">
        <v>358</v>
      </c>
      <c r="D311" t="s">
        <v>799</v>
      </c>
      <c r="E311" t="s">
        <v>492</v>
      </c>
      <c r="F311" t="s">
        <v>14</v>
      </c>
      <c r="G311" t="s">
        <v>493</v>
      </c>
      <c r="J311" t="s">
        <v>356</v>
      </c>
      <c r="K311" t="s">
        <v>49</v>
      </c>
      <c r="L311" t="s">
        <v>50</v>
      </c>
      <c r="M311">
        <v>1.964</v>
      </c>
      <c r="N311">
        <v>5593.5919999999996</v>
      </c>
    </row>
    <row r="312" spans="2:14" x14ac:dyDescent="0.45">
      <c r="B312" t="s">
        <v>490</v>
      </c>
      <c r="C312" t="s">
        <v>352</v>
      </c>
      <c r="D312" t="s">
        <v>800</v>
      </c>
      <c r="E312" t="s">
        <v>492</v>
      </c>
      <c r="F312" t="s">
        <v>14</v>
      </c>
      <c r="G312" t="s">
        <v>493</v>
      </c>
      <c r="J312" t="s">
        <v>357</v>
      </c>
      <c r="K312" t="s">
        <v>49</v>
      </c>
      <c r="L312" t="s">
        <v>50</v>
      </c>
      <c r="M312">
        <v>1.281944444444445</v>
      </c>
      <c r="N312">
        <v>4577.3268799999996</v>
      </c>
    </row>
    <row r="313" spans="2:14" x14ac:dyDescent="0.45">
      <c r="B313" t="s">
        <v>490</v>
      </c>
      <c r="C313" t="s">
        <v>354</v>
      </c>
      <c r="D313" t="s">
        <v>801</v>
      </c>
      <c r="E313" t="s">
        <v>492</v>
      </c>
      <c r="F313" t="s">
        <v>14</v>
      </c>
      <c r="G313" t="s">
        <v>493</v>
      </c>
      <c r="J313" t="s">
        <v>358</v>
      </c>
      <c r="K313" t="s">
        <v>49</v>
      </c>
      <c r="L313" t="s">
        <v>50</v>
      </c>
      <c r="M313">
        <v>2.08</v>
      </c>
    </row>
    <row r="314" spans="2:14" x14ac:dyDescent="0.45">
      <c r="B314" t="s">
        <v>490</v>
      </c>
      <c r="C314" t="s">
        <v>357</v>
      </c>
      <c r="D314" t="s">
        <v>802</v>
      </c>
      <c r="E314" t="s">
        <v>492</v>
      </c>
      <c r="F314" t="s">
        <v>14</v>
      </c>
      <c r="G314" t="s">
        <v>493</v>
      </c>
      <c r="J314" t="s">
        <v>359</v>
      </c>
      <c r="K314" t="s">
        <v>49</v>
      </c>
      <c r="L314" t="s">
        <v>50</v>
      </c>
      <c r="M314">
        <v>13.892015163263494</v>
      </c>
      <c r="N314">
        <v>6852.5178800000003</v>
      </c>
    </row>
    <row r="315" spans="2:14" x14ac:dyDescent="0.45">
      <c r="B315" t="s">
        <v>490</v>
      </c>
      <c r="C315" t="s">
        <v>359</v>
      </c>
      <c r="D315" t="s">
        <v>803</v>
      </c>
      <c r="E315" t="s">
        <v>492</v>
      </c>
      <c r="F315" t="s">
        <v>14</v>
      </c>
      <c r="G315" t="s">
        <v>493</v>
      </c>
      <c r="J315" t="s">
        <v>360</v>
      </c>
      <c r="K315" t="s">
        <v>49</v>
      </c>
      <c r="L315" t="s">
        <v>50</v>
      </c>
      <c r="M315">
        <v>2.27</v>
      </c>
    </row>
    <row r="316" spans="2:14" x14ac:dyDescent="0.45">
      <c r="B316" t="s">
        <v>490</v>
      </c>
      <c r="C316" t="s">
        <v>356</v>
      </c>
      <c r="D316" t="s">
        <v>804</v>
      </c>
      <c r="E316" t="s">
        <v>492</v>
      </c>
      <c r="F316" t="s">
        <v>14</v>
      </c>
      <c r="G316" t="s">
        <v>493</v>
      </c>
      <c r="J316" t="s">
        <v>361</v>
      </c>
      <c r="K316" t="s">
        <v>49</v>
      </c>
      <c r="L316" t="s">
        <v>50</v>
      </c>
      <c r="M316">
        <v>0.03</v>
      </c>
    </row>
    <row r="317" spans="2:14" x14ac:dyDescent="0.45">
      <c r="B317" t="s">
        <v>490</v>
      </c>
      <c r="C317" t="s">
        <v>366</v>
      </c>
      <c r="D317" t="s">
        <v>805</v>
      </c>
      <c r="E317" t="s">
        <v>492</v>
      </c>
      <c r="F317" t="s">
        <v>14</v>
      </c>
      <c r="G317" t="s">
        <v>493</v>
      </c>
      <c r="J317" t="s">
        <v>362</v>
      </c>
      <c r="K317" t="s">
        <v>49</v>
      </c>
      <c r="L317" t="s">
        <v>50</v>
      </c>
      <c r="M317">
        <v>0.05</v>
      </c>
    </row>
    <row r="318" spans="2:14" x14ac:dyDescent="0.45">
      <c r="B318" t="s">
        <v>490</v>
      </c>
      <c r="C318" t="s">
        <v>365</v>
      </c>
      <c r="D318" t="s">
        <v>806</v>
      </c>
      <c r="E318" t="s">
        <v>492</v>
      </c>
      <c r="F318" t="s">
        <v>14</v>
      </c>
      <c r="G318" t="s">
        <v>493</v>
      </c>
      <c r="J318" t="s">
        <v>363</v>
      </c>
      <c r="K318" t="s">
        <v>49</v>
      </c>
      <c r="L318" t="s">
        <v>50</v>
      </c>
      <c r="M318">
        <v>1.27</v>
      </c>
    </row>
    <row r="319" spans="2:14" x14ac:dyDescent="0.45">
      <c r="B319" t="s">
        <v>490</v>
      </c>
      <c r="C319" t="s">
        <v>468</v>
      </c>
      <c r="D319" t="s">
        <v>807</v>
      </c>
      <c r="E319" t="s">
        <v>492</v>
      </c>
      <c r="F319" t="s">
        <v>14</v>
      </c>
      <c r="G319" t="s">
        <v>493</v>
      </c>
      <c r="J319" t="s">
        <v>364</v>
      </c>
      <c r="K319" t="s">
        <v>49</v>
      </c>
      <c r="L319" t="s">
        <v>50</v>
      </c>
      <c r="M319">
        <v>2.4643531202435298</v>
      </c>
      <c r="N319">
        <v>5291.1967999999997</v>
      </c>
    </row>
    <row r="320" spans="2:14" x14ac:dyDescent="0.45">
      <c r="B320" t="s">
        <v>490</v>
      </c>
      <c r="C320" t="s">
        <v>367</v>
      </c>
      <c r="D320" t="s">
        <v>808</v>
      </c>
      <c r="E320" t="s">
        <v>492</v>
      </c>
      <c r="F320" t="s">
        <v>14</v>
      </c>
      <c r="G320" t="s">
        <v>493</v>
      </c>
      <c r="J320" t="s">
        <v>365</v>
      </c>
      <c r="K320" t="s">
        <v>49</v>
      </c>
      <c r="L320" t="s">
        <v>50</v>
      </c>
      <c r="M320">
        <v>2.3004519324853252</v>
      </c>
      <c r="N320">
        <v>11624.11616</v>
      </c>
    </row>
    <row r="321" spans="2:14" x14ac:dyDescent="0.45">
      <c r="B321" t="s">
        <v>490</v>
      </c>
      <c r="C321" t="s">
        <v>368</v>
      </c>
      <c r="D321" t="s">
        <v>809</v>
      </c>
      <c r="E321" t="s">
        <v>492</v>
      </c>
      <c r="F321" t="s">
        <v>14</v>
      </c>
      <c r="G321" t="s">
        <v>493</v>
      </c>
      <c r="J321" t="s">
        <v>366</v>
      </c>
      <c r="K321" t="s">
        <v>49</v>
      </c>
      <c r="L321" t="s">
        <v>50</v>
      </c>
      <c r="M321">
        <v>1.3787152345371529</v>
      </c>
      <c r="N321">
        <v>9462.253279999999</v>
      </c>
    </row>
    <row r="322" spans="2:14" x14ac:dyDescent="0.45">
      <c r="B322" t="s">
        <v>490</v>
      </c>
      <c r="C322" t="s">
        <v>376</v>
      </c>
      <c r="D322" t="s">
        <v>810</v>
      </c>
      <c r="E322" t="s">
        <v>492</v>
      </c>
      <c r="F322" t="s">
        <v>14</v>
      </c>
      <c r="G322" t="s">
        <v>493</v>
      </c>
      <c r="J322" t="s">
        <v>367</v>
      </c>
      <c r="K322" t="s">
        <v>49</v>
      </c>
      <c r="L322" t="s">
        <v>50</v>
      </c>
      <c r="M322">
        <v>1.6694853500761018</v>
      </c>
      <c r="N322">
        <v>6767.5020799999993</v>
      </c>
    </row>
    <row r="323" spans="2:14" x14ac:dyDescent="0.45">
      <c r="B323" t="s">
        <v>490</v>
      </c>
      <c r="C323" t="s">
        <v>364</v>
      </c>
      <c r="D323" t="s">
        <v>811</v>
      </c>
      <c r="E323" t="s">
        <v>492</v>
      </c>
      <c r="F323" t="s">
        <v>14</v>
      </c>
      <c r="G323" t="s">
        <v>493</v>
      </c>
      <c r="J323" t="s">
        <v>368</v>
      </c>
      <c r="K323" t="s">
        <v>49</v>
      </c>
      <c r="L323" t="s">
        <v>50</v>
      </c>
      <c r="M323">
        <v>74.043626997717098</v>
      </c>
      <c r="N323">
        <v>5463.5935999999992</v>
      </c>
    </row>
    <row r="324" spans="2:14" x14ac:dyDescent="0.45">
      <c r="B324" t="s">
        <v>490</v>
      </c>
      <c r="C324" t="s">
        <v>371</v>
      </c>
      <c r="D324" t="s">
        <v>812</v>
      </c>
      <c r="E324" t="s">
        <v>492</v>
      </c>
      <c r="F324" t="s">
        <v>14</v>
      </c>
      <c r="G324" t="s">
        <v>493</v>
      </c>
      <c r="J324" t="s">
        <v>369</v>
      </c>
      <c r="K324" t="s">
        <v>49</v>
      </c>
      <c r="L324" t="s">
        <v>50</v>
      </c>
      <c r="M324">
        <v>4.0879337899542989</v>
      </c>
      <c r="N324">
        <v>4337.8897999999999</v>
      </c>
    </row>
    <row r="325" spans="2:14" x14ac:dyDescent="0.45">
      <c r="B325" t="s">
        <v>490</v>
      </c>
      <c r="C325" t="s">
        <v>369</v>
      </c>
      <c r="D325" t="s">
        <v>813</v>
      </c>
      <c r="E325" t="s">
        <v>492</v>
      </c>
      <c r="F325" t="s">
        <v>14</v>
      </c>
      <c r="G325" t="s">
        <v>493</v>
      </c>
      <c r="J325" t="s">
        <v>370</v>
      </c>
      <c r="K325" t="s">
        <v>49</v>
      </c>
      <c r="L325" t="s">
        <v>50</v>
      </c>
      <c r="M325">
        <v>0</v>
      </c>
    </row>
    <row r="326" spans="2:14" x14ac:dyDescent="0.45">
      <c r="B326" t="s">
        <v>490</v>
      </c>
      <c r="C326" t="s">
        <v>370</v>
      </c>
      <c r="D326" t="s">
        <v>814</v>
      </c>
      <c r="E326" t="s">
        <v>492</v>
      </c>
      <c r="F326" t="s">
        <v>14</v>
      </c>
      <c r="G326" t="s">
        <v>493</v>
      </c>
      <c r="J326" t="s">
        <v>371</v>
      </c>
      <c r="K326" t="s">
        <v>49</v>
      </c>
      <c r="L326" t="s">
        <v>50</v>
      </c>
      <c r="M326">
        <v>0.47339089672593282</v>
      </c>
      <c r="N326">
        <v>8383.2227599999987</v>
      </c>
    </row>
    <row r="327" spans="2:14" x14ac:dyDescent="0.45">
      <c r="B327" t="s">
        <v>490</v>
      </c>
      <c r="C327" t="s">
        <v>372</v>
      </c>
      <c r="D327" t="s">
        <v>815</v>
      </c>
      <c r="E327" t="s">
        <v>492</v>
      </c>
      <c r="F327" t="s">
        <v>14</v>
      </c>
      <c r="G327" t="s">
        <v>493</v>
      </c>
      <c r="J327" t="s">
        <v>372</v>
      </c>
      <c r="K327" t="s">
        <v>49</v>
      </c>
      <c r="L327" t="s">
        <v>50</v>
      </c>
      <c r="M327">
        <v>2.12</v>
      </c>
    </row>
    <row r="328" spans="2:14" x14ac:dyDescent="0.45">
      <c r="B328" t="s">
        <v>490</v>
      </c>
      <c r="C328" t="s">
        <v>374</v>
      </c>
      <c r="D328" t="s">
        <v>816</v>
      </c>
      <c r="E328" t="s">
        <v>492</v>
      </c>
      <c r="F328" t="s">
        <v>14</v>
      </c>
      <c r="G328" t="s">
        <v>493</v>
      </c>
      <c r="J328" t="s">
        <v>373</v>
      </c>
      <c r="K328" t="s">
        <v>49</v>
      </c>
      <c r="L328" t="s">
        <v>50</v>
      </c>
      <c r="M328">
        <v>1.85</v>
      </c>
    </row>
    <row r="329" spans="2:14" x14ac:dyDescent="0.45">
      <c r="B329" t="s">
        <v>490</v>
      </c>
      <c r="C329" t="s">
        <v>375</v>
      </c>
      <c r="D329" t="s">
        <v>817</v>
      </c>
      <c r="E329" t="s">
        <v>492</v>
      </c>
      <c r="F329" t="s">
        <v>14</v>
      </c>
      <c r="G329" t="s">
        <v>493</v>
      </c>
      <c r="J329" t="s">
        <v>374</v>
      </c>
      <c r="K329" t="s">
        <v>49</v>
      </c>
      <c r="L329" t="s">
        <v>50</v>
      </c>
      <c r="M329">
        <v>0.06</v>
      </c>
    </row>
    <row r="330" spans="2:14" x14ac:dyDescent="0.45">
      <c r="B330" t="s">
        <v>490</v>
      </c>
      <c r="C330" t="s">
        <v>393</v>
      </c>
      <c r="D330" t="s">
        <v>818</v>
      </c>
      <c r="E330" t="s">
        <v>492</v>
      </c>
      <c r="F330" t="s">
        <v>14</v>
      </c>
      <c r="G330" t="s">
        <v>493</v>
      </c>
      <c r="J330" t="s">
        <v>375</v>
      </c>
      <c r="K330" t="s">
        <v>49</v>
      </c>
      <c r="L330" t="s">
        <v>50</v>
      </c>
      <c r="M330">
        <v>1.06</v>
      </c>
    </row>
    <row r="331" spans="2:14" x14ac:dyDescent="0.45">
      <c r="B331" t="s">
        <v>490</v>
      </c>
      <c r="C331" t="s">
        <v>378</v>
      </c>
      <c r="D331" t="s">
        <v>819</v>
      </c>
      <c r="E331" t="s">
        <v>492</v>
      </c>
      <c r="F331" t="s">
        <v>14</v>
      </c>
      <c r="G331" t="s">
        <v>493</v>
      </c>
      <c r="J331" t="s">
        <v>376</v>
      </c>
      <c r="K331" t="s">
        <v>49</v>
      </c>
      <c r="L331" t="s">
        <v>50</v>
      </c>
      <c r="M331">
        <v>0.6</v>
      </c>
    </row>
    <row r="332" spans="2:14" x14ac:dyDescent="0.45">
      <c r="B332" t="s">
        <v>490</v>
      </c>
      <c r="C332" t="s">
        <v>377</v>
      </c>
      <c r="D332" t="s">
        <v>820</v>
      </c>
      <c r="E332" t="s">
        <v>492</v>
      </c>
      <c r="F332" t="s">
        <v>14</v>
      </c>
      <c r="G332" t="s">
        <v>493</v>
      </c>
      <c r="J332" t="s">
        <v>377</v>
      </c>
      <c r="K332" t="s">
        <v>49</v>
      </c>
      <c r="L332" t="s">
        <v>50</v>
      </c>
      <c r="M332">
        <v>0.01</v>
      </c>
    </row>
    <row r="333" spans="2:14" x14ac:dyDescent="0.45">
      <c r="B333" t="s">
        <v>490</v>
      </c>
      <c r="C333" t="s">
        <v>379</v>
      </c>
      <c r="D333" t="s">
        <v>821</v>
      </c>
      <c r="E333" t="s">
        <v>492</v>
      </c>
      <c r="F333" t="s">
        <v>14</v>
      </c>
      <c r="G333" t="s">
        <v>493</v>
      </c>
      <c r="J333" t="s">
        <v>378</v>
      </c>
      <c r="K333" t="s">
        <v>49</v>
      </c>
      <c r="L333" t="s">
        <v>50</v>
      </c>
      <c r="M333">
        <v>0.01</v>
      </c>
    </row>
    <row r="334" spans="2:14" x14ac:dyDescent="0.45">
      <c r="B334" t="s">
        <v>490</v>
      </c>
      <c r="C334" t="s">
        <v>344</v>
      </c>
      <c r="D334" t="s">
        <v>822</v>
      </c>
      <c r="E334" t="s">
        <v>492</v>
      </c>
      <c r="F334" t="s">
        <v>14</v>
      </c>
      <c r="G334" t="s">
        <v>493</v>
      </c>
      <c r="J334" t="s">
        <v>379</v>
      </c>
      <c r="K334" t="s">
        <v>49</v>
      </c>
      <c r="L334" t="s">
        <v>50</v>
      </c>
      <c r="M334">
        <v>0.54</v>
      </c>
    </row>
    <row r="335" spans="2:14" x14ac:dyDescent="0.45">
      <c r="B335" t="s">
        <v>490</v>
      </c>
      <c r="C335" t="s">
        <v>380</v>
      </c>
      <c r="D335" t="s">
        <v>823</v>
      </c>
      <c r="E335" t="s">
        <v>492</v>
      </c>
      <c r="F335" t="s">
        <v>14</v>
      </c>
      <c r="G335" t="s">
        <v>493</v>
      </c>
      <c r="J335" t="s">
        <v>380</v>
      </c>
      <c r="K335" t="s">
        <v>49</v>
      </c>
      <c r="L335" t="s">
        <v>50</v>
      </c>
      <c r="M335">
        <v>4.41</v>
      </c>
    </row>
    <row r="336" spans="2:14" x14ac:dyDescent="0.45">
      <c r="B336" t="s">
        <v>490</v>
      </c>
      <c r="C336" t="s">
        <v>381</v>
      </c>
      <c r="D336" t="s">
        <v>824</v>
      </c>
      <c r="E336" t="s">
        <v>492</v>
      </c>
      <c r="F336" t="s">
        <v>14</v>
      </c>
      <c r="G336" t="s">
        <v>493</v>
      </c>
      <c r="J336" t="s">
        <v>381</v>
      </c>
      <c r="K336" t="s">
        <v>49</v>
      </c>
      <c r="L336" t="s">
        <v>50</v>
      </c>
    </row>
    <row r="337" spans="2:14" x14ac:dyDescent="0.45">
      <c r="B337" t="s">
        <v>490</v>
      </c>
      <c r="C337" t="s">
        <v>462</v>
      </c>
      <c r="D337" t="s">
        <v>825</v>
      </c>
      <c r="E337" t="s">
        <v>492</v>
      </c>
      <c r="F337" t="s">
        <v>14</v>
      </c>
      <c r="G337" t="s">
        <v>493</v>
      </c>
      <c r="J337" t="s">
        <v>382</v>
      </c>
      <c r="K337" t="s">
        <v>49</v>
      </c>
      <c r="L337" t="s">
        <v>50</v>
      </c>
      <c r="M337">
        <v>0.47</v>
      </c>
    </row>
    <row r="338" spans="2:14" x14ac:dyDescent="0.45">
      <c r="B338" t="s">
        <v>490</v>
      </c>
      <c r="C338" t="s">
        <v>384</v>
      </c>
      <c r="D338" t="s">
        <v>826</v>
      </c>
      <c r="E338" t="s">
        <v>492</v>
      </c>
      <c r="F338" t="s">
        <v>14</v>
      </c>
      <c r="G338" t="s">
        <v>493</v>
      </c>
      <c r="J338" t="s">
        <v>383</v>
      </c>
      <c r="K338" t="s">
        <v>49</v>
      </c>
      <c r="L338" t="s">
        <v>50</v>
      </c>
      <c r="M338">
        <v>0.13</v>
      </c>
    </row>
    <row r="339" spans="2:14" x14ac:dyDescent="0.45">
      <c r="B339" t="s">
        <v>490</v>
      </c>
      <c r="C339" t="s">
        <v>385</v>
      </c>
      <c r="D339" t="s">
        <v>827</v>
      </c>
      <c r="E339" t="s">
        <v>492</v>
      </c>
      <c r="F339" t="s">
        <v>14</v>
      </c>
      <c r="G339" t="s">
        <v>493</v>
      </c>
      <c r="J339" t="s">
        <v>384</v>
      </c>
      <c r="K339" t="s">
        <v>49</v>
      </c>
      <c r="L339" t="s">
        <v>50</v>
      </c>
      <c r="M339">
        <v>0.01</v>
      </c>
    </row>
    <row r="340" spans="2:14" x14ac:dyDescent="0.45">
      <c r="B340" t="s">
        <v>490</v>
      </c>
      <c r="C340" t="s">
        <v>387</v>
      </c>
      <c r="D340" t="s">
        <v>828</v>
      </c>
      <c r="E340" t="s">
        <v>492</v>
      </c>
      <c r="F340" t="s">
        <v>14</v>
      </c>
      <c r="G340" t="s">
        <v>493</v>
      </c>
      <c r="J340" t="s">
        <v>385</v>
      </c>
      <c r="K340" t="s">
        <v>49</v>
      </c>
      <c r="L340" t="s">
        <v>50</v>
      </c>
      <c r="M340">
        <v>4.3143251566316181</v>
      </c>
      <c r="N340">
        <v>5588.0819599999995</v>
      </c>
    </row>
    <row r="341" spans="2:14" x14ac:dyDescent="0.45">
      <c r="B341" t="s">
        <v>490</v>
      </c>
      <c r="C341" t="s">
        <v>386</v>
      </c>
      <c r="D341" t="s">
        <v>829</v>
      </c>
      <c r="E341" t="s">
        <v>492</v>
      </c>
      <c r="F341" t="s">
        <v>14</v>
      </c>
      <c r="G341" t="s">
        <v>493</v>
      </c>
      <c r="J341" t="s">
        <v>386</v>
      </c>
      <c r="K341" t="s">
        <v>49</v>
      </c>
      <c r="L341" t="s">
        <v>50</v>
      </c>
      <c r="M341">
        <v>0.13</v>
      </c>
    </row>
    <row r="342" spans="2:14" x14ac:dyDescent="0.45">
      <c r="B342" t="s">
        <v>490</v>
      </c>
      <c r="C342" t="s">
        <v>388</v>
      </c>
      <c r="D342" t="s">
        <v>830</v>
      </c>
      <c r="E342" t="s">
        <v>492</v>
      </c>
      <c r="F342" t="s">
        <v>14</v>
      </c>
      <c r="G342" t="s">
        <v>493</v>
      </c>
      <c r="J342" t="s">
        <v>387</v>
      </c>
      <c r="K342" t="s">
        <v>49</v>
      </c>
      <c r="L342" t="s">
        <v>50</v>
      </c>
      <c r="M342">
        <v>3.2</v>
      </c>
    </row>
    <row r="343" spans="2:14" x14ac:dyDescent="0.45">
      <c r="B343" t="s">
        <v>490</v>
      </c>
      <c r="C343" t="s">
        <v>391</v>
      </c>
      <c r="D343" t="s">
        <v>831</v>
      </c>
      <c r="E343" t="s">
        <v>492</v>
      </c>
      <c r="F343" t="s">
        <v>14</v>
      </c>
      <c r="G343" t="s">
        <v>493</v>
      </c>
      <c r="J343" t="s">
        <v>388</v>
      </c>
      <c r="K343" t="s">
        <v>49</v>
      </c>
      <c r="L343" t="s">
        <v>50</v>
      </c>
      <c r="M343">
        <v>0.72799999999999998</v>
      </c>
      <c r="N343">
        <v>15939.4148</v>
      </c>
    </row>
    <row r="344" spans="2:14" x14ac:dyDescent="0.45">
      <c r="B344" t="s">
        <v>490</v>
      </c>
      <c r="C344" t="s">
        <v>480</v>
      </c>
      <c r="D344" t="s">
        <v>832</v>
      </c>
      <c r="E344" t="s">
        <v>492</v>
      </c>
      <c r="F344" t="s">
        <v>14</v>
      </c>
      <c r="G344" t="s">
        <v>493</v>
      </c>
      <c r="J344" t="s">
        <v>389</v>
      </c>
      <c r="K344" t="s">
        <v>49</v>
      </c>
      <c r="L344" t="s">
        <v>50</v>
      </c>
      <c r="M344">
        <v>0.12</v>
      </c>
    </row>
    <row r="345" spans="2:14" x14ac:dyDescent="0.45">
      <c r="B345" t="s">
        <v>490</v>
      </c>
      <c r="C345" t="s">
        <v>392</v>
      </c>
      <c r="D345" t="s">
        <v>833</v>
      </c>
      <c r="E345" t="s">
        <v>492</v>
      </c>
      <c r="F345" t="s">
        <v>14</v>
      </c>
      <c r="G345" t="s">
        <v>493</v>
      </c>
      <c r="J345" t="s">
        <v>390</v>
      </c>
      <c r="K345" t="s">
        <v>49</v>
      </c>
      <c r="L345" t="s">
        <v>50</v>
      </c>
      <c r="M345">
        <v>0.05</v>
      </c>
    </row>
    <row r="346" spans="2:14" x14ac:dyDescent="0.45">
      <c r="B346" t="s">
        <v>490</v>
      </c>
      <c r="C346" t="s">
        <v>394</v>
      </c>
      <c r="D346" t="s">
        <v>834</v>
      </c>
      <c r="E346" t="s">
        <v>492</v>
      </c>
      <c r="F346" t="s">
        <v>14</v>
      </c>
      <c r="G346" t="s">
        <v>493</v>
      </c>
      <c r="J346" t="s">
        <v>391</v>
      </c>
      <c r="K346" t="s">
        <v>49</v>
      </c>
      <c r="L346" t="s">
        <v>50</v>
      </c>
      <c r="M346">
        <v>1.0344543378995432</v>
      </c>
      <c r="N346">
        <v>5253.2659999999996</v>
      </c>
    </row>
    <row r="347" spans="2:14" x14ac:dyDescent="0.45">
      <c r="B347" t="s">
        <v>490</v>
      </c>
      <c r="C347" t="s">
        <v>397</v>
      </c>
      <c r="D347" t="s">
        <v>835</v>
      </c>
      <c r="E347" t="s">
        <v>492</v>
      </c>
      <c r="F347" t="s">
        <v>14</v>
      </c>
      <c r="G347" t="s">
        <v>493</v>
      </c>
      <c r="J347" t="s">
        <v>392</v>
      </c>
      <c r="K347" t="s">
        <v>49</v>
      </c>
      <c r="L347" t="s">
        <v>50</v>
      </c>
      <c r="M347">
        <v>2.73</v>
      </c>
    </row>
    <row r="348" spans="2:14" x14ac:dyDescent="0.45">
      <c r="B348" t="s">
        <v>490</v>
      </c>
      <c r="C348" t="s">
        <v>383</v>
      </c>
      <c r="D348" t="s">
        <v>836</v>
      </c>
      <c r="E348" t="s">
        <v>492</v>
      </c>
      <c r="F348" t="s">
        <v>14</v>
      </c>
      <c r="G348" t="s">
        <v>493</v>
      </c>
      <c r="J348" t="s">
        <v>393</v>
      </c>
      <c r="K348" t="s">
        <v>49</v>
      </c>
      <c r="L348" t="s">
        <v>50</v>
      </c>
      <c r="M348">
        <v>4.45</v>
      </c>
    </row>
    <row r="349" spans="2:14" x14ac:dyDescent="0.45">
      <c r="B349" t="s">
        <v>490</v>
      </c>
      <c r="C349" t="s">
        <v>395</v>
      </c>
      <c r="D349" t="s">
        <v>837</v>
      </c>
      <c r="E349" t="s">
        <v>492</v>
      </c>
      <c r="F349" t="s">
        <v>14</v>
      </c>
      <c r="G349" t="s">
        <v>493</v>
      </c>
      <c r="J349" t="s">
        <v>394</v>
      </c>
      <c r="K349" t="s">
        <v>49</v>
      </c>
      <c r="L349" t="s">
        <v>50</v>
      </c>
      <c r="M349">
        <v>1.58</v>
      </c>
    </row>
    <row r="350" spans="2:14" x14ac:dyDescent="0.45">
      <c r="B350" t="s">
        <v>490</v>
      </c>
      <c r="C350" t="s">
        <v>396</v>
      </c>
      <c r="D350" t="s">
        <v>838</v>
      </c>
      <c r="E350" t="s">
        <v>492</v>
      </c>
      <c r="F350" t="s">
        <v>14</v>
      </c>
      <c r="G350" t="s">
        <v>493</v>
      </c>
      <c r="J350" t="s">
        <v>395</v>
      </c>
      <c r="K350" t="s">
        <v>49</v>
      </c>
      <c r="L350" t="s">
        <v>50</v>
      </c>
      <c r="M350">
        <v>2.7</v>
      </c>
    </row>
    <row r="351" spans="2:14" x14ac:dyDescent="0.45">
      <c r="B351" t="s">
        <v>490</v>
      </c>
      <c r="C351" t="s">
        <v>389</v>
      </c>
      <c r="D351" t="s">
        <v>839</v>
      </c>
      <c r="E351" t="s">
        <v>492</v>
      </c>
      <c r="F351" t="s">
        <v>14</v>
      </c>
      <c r="G351" t="s">
        <v>493</v>
      </c>
      <c r="J351" t="s">
        <v>396</v>
      </c>
      <c r="K351" t="s">
        <v>49</v>
      </c>
      <c r="L351" t="s">
        <v>50</v>
      </c>
      <c r="M351">
        <v>1.1499999999999999</v>
      </c>
    </row>
    <row r="352" spans="2:14" x14ac:dyDescent="0.45">
      <c r="B352" t="s">
        <v>490</v>
      </c>
      <c r="C352" t="s">
        <v>399</v>
      </c>
      <c r="D352" t="s">
        <v>840</v>
      </c>
      <c r="E352" t="s">
        <v>492</v>
      </c>
      <c r="F352" t="s">
        <v>14</v>
      </c>
      <c r="G352" t="s">
        <v>493</v>
      </c>
      <c r="J352" t="s">
        <v>397</v>
      </c>
      <c r="K352" t="s">
        <v>49</v>
      </c>
      <c r="L352" t="s">
        <v>50</v>
      </c>
      <c r="M352">
        <v>0.4</v>
      </c>
    </row>
    <row r="353" spans="2:14" x14ac:dyDescent="0.45">
      <c r="B353" t="s">
        <v>490</v>
      </c>
      <c r="C353" t="s">
        <v>373</v>
      </c>
      <c r="D353" t="s">
        <v>841</v>
      </c>
      <c r="E353" t="s">
        <v>492</v>
      </c>
      <c r="F353" t="s">
        <v>14</v>
      </c>
      <c r="G353" t="s">
        <v>493</v>
      </c>
      <c r="J353" t="s">
        <v>398</v>
      </c>
      <c r="K353" t="s">
        <v>49</v>
      </c>
      <c r="L353" t="s">
        <v>50</v>
      </c>
      <c r="M353">
        <v>0.06</v>
      </c>
    </row>
    <row r="354" spans="2:14" x14ac:dyDescent="0.45">
      <c r="B354" t="s">
        <v>490</v>
      </c>
      <c r="C354" t="s">
        <v>398</v>
      </c>
      <c r="D354" t="s">
        <v>842</v>
      </c>
      <c r="E354" t="s">
        <v>492</v>
      </c>
      <c r="F354" t="s">
        <v>14</v>
      </c>
      <c r="G354" t="s">
        <v>493</v>
      </c>
      <c r="J354" t="s">
        <v>399</v>
      </c>
      <c r="K354" t="s">
        <v>49</v>
      </c>
      <c r="L354" t="s">
        <v>50</v>
      </c>
      <c r="M354">
        <v>0.56000000000000005</v>
      </c>
    </row>
    <row r="355" spans="2:14" x14ac:dyDescent="0.45">
      <c r="B355" t="s">
        <v>490</v>
      </c>
      <c r="C355" t="s">
        <v>400</v>
      </c>
      <c r="D355" t="s">
        <v>843</v>
      </c>
      <c r="E355" t="s">
        <v>492</v>
      </c>
      <c r="F355" t="s">
        <v>14</v>
      </c>
      <c r="G355" t="s">
        <v>493</v>
      </c>
      <c r="J355" t="s">
        <v>400</v>
      </c>
      <c r="K355" t="s">
        <v>49</v>
      </c>
      <c r="L355" t="s">
        <v>50</v>
      </c>
      <c r="M355">
        <v>0.06</v>
      </c>
    </row>
    <row r="356" spans="2:14" x14ac:dyDescent="0.45">
      <c r="B356" t="s">
        <v>490</v>
      </c>
      <c r="C356" t="s">
        <v>403</v>
      </c>
      <c r="D356" t="s">
        <v>844</v>
      </c>
      <c r="E356" t="s">
        <v>492</v>
      </c>
      <c r="F356" t="s">
        <v>14</v>
      </c>
      <c r="G356" t="s">
        <v>493</v>
      </c>
      <c r="J356" t="s">
        <v>401</v>
      </c>
      <c r="K356" t="s">
        <v>49</v>
      </c>
      <c r="L356" t="s">
        <v>50</v>
      </c>
      <c r="M356">
        <v>1.99</v>
      </c>
    </row>
    <row r="357" spans="2:14" x14ac:dyDescent="0.45">
      <c r="B357" t="s">
        <v>490</v>
      </c>
      <c r="C357" t="s">
        <v>402</v>
      </c>
      <c r="D357" t="s">
        <v>845</v>
      </c>
      <c r="E357" t="s">
        <v>492</v>
      </c>
      <c r="F357" t="s">
        <v>14</v>
      </c>
      <c r="G357" t="s">
        <v>493</v>
      </c>
      <c r="J357" t="s">
        <v>402</v>
      </c>
      <c r="K357" t="s">
        <v>49</v>
      </c>
      <c r="L357" t="s">
        <v>50</v>
      </c>
      <c r="M357">
        <v>12.991628614916344</v>
      </c>
      <c r="N357">
        <v>2848.6810399999995</v>
      </c>
    </row>
    <row r="358" spans="2:14" x14ac:dyDescent="0.45">
      <c r="B358" t="s">
        <v>490</v>
      </c>
      <c r="C358" t="s">
        <v>406</v>
      </c>
      <c r="D358" t="s">
        <v>846</v>
      </c>
      <c r="E358" t="s">
        <v>492</v>
      </c>
      <c r="F358" t="s">
        <v>14</v>
      </c>
      <c r="G358" t="s">
        <v>493</v>
      </c>
      <c r="J358" t="s">
        <v>403</v>
      </c>
      <c r="K358" t="s">
        <v>49</v>
      </c>
      <c r="L358" t="s">
        <v>50</v>
      </c>
      <c r="M358">
        <v>15.887427964100119</v>
      </c>
      <c r="N358">
        <v>5268.1404799999991</v>
      </c>
    </row>
    <row r="359" spans="2:14" x14ac:dyDescent="0.45">
      <c r="B359" t="s">
        <v>490</v>
      </c>
      <c r="C359" t="s">
        <v>404</v>
      </c>
      <c r="D359" t="s">
        <v>847</v>
      </c>
      <c r="E359" t="s">
        <v>492</v>
      </c>
      <c r="F359" t="s">
        <v>14</v>
      </c>
      <c r="G359" t="s">
        <v>493</v>
      </c>
      <c r="J359" t="s">
        <v>404</v>
      </c>
      <c r="K359" t="s">
        <v>49</v>
      </c>
      <c r="L359" t="s">
        <v>50</v>
      </c>
      <c r="M359">
        <v>10.16</v>
      </c>
    </row>
    <row r="360" spans="2:14" x14ac:dyDescent="0.45">
      <c r="B360" t="s">
        <v>490</v>
      </c>
      <c r="C360" t="s">
        <v>405</v>
      </c>
      <c r="D360" t="s">
        <v>848</v>
      </c>
      <c r="E360" t="s">
        <v>492</v>
      </c>
      <c r="F360" t="s">
        <v>14</v>
      </c>
      <c r="G360" t="s">
        <v>493</v>
      </c>
      <c r="J360" t="s">
        <v>405</v>
      </c>
      <c r="K360" t="s">
        <v>49</v>
      </c>
      <c r="L360" t="s">
        <v>50</v>
      </c>
      <c r="M360">
        <v>2.5099999999999998</v>
      </c>
    </row>
    <row r="361" spans="2:14" x14ac:dyDescent="0.45">
      <c r="B361" t="s">
        <v>490</v>
      </c>
      <c r="C361" t="s">
        <v>401</v>
      </c>
      <c r="D361" t="s">
        <v>849</v>
      </c>
      <c r="E361" t="s">
        <v>492</v>
      </c>
      <c r="F361" t="s">
        <v>14</v>
      </c>
      <c r="G361" t="s">
        <v>493</v>
      </c>
      <c r="J361" t="s">
        <v>406</v>
      </c>
      <c r="K361" t="s">
        <v>49</v>
      </c>
      <c r="L361" t="s">
        <v>50</v>
      </c>
      <c r="M361">
        <v>0.24</v>
      </c>
    </row>
    <row r="362" spans="2:14" x14ac:dyDescent="0.45">
      <c r="B362" t="s">
        <v>490</v>
      </c>
      <c r="C362" t="s">
        <v>407</v>
      </c>
      <c r="D362" t="s">
        <v>850</v>
      </c>
      <c r="E362" t="s">
        <v>492</v>
      </c>
      <c r="F362" t="s">
        <v>14</v>
      </c>
      <c r="G362" t="s">
        <v>493</v>
      </c>
      <c r="J362" t="s">
        <v>407</v>
      </c>
      <c r="K362" t="s">
        <v>49</v>
      </c>
      <c r="L362" t="s">
        <v>50</v>
      </c>
      <c r="M362">
        <v>0.01</v>
      </c>
    </row>
    <row r="363" spans="2:14" x14ac:dyDescent="0.45">
      <c r="B363" t="s">
        <v>490</v>
      </c>
      <c r="C363" t="s">
        <v>408</v>
      </c>
      <c r="D363" t="s">
        <v>851</v>
      </c>
      <c r="E363" t="s">
        <v>492</v>
      </c>
      <c r="F363" t="s">
        <v>14</v>
      </c>
      <c r="G363" t="s">
        <v>493</v>
      </c>
      <c r="J363" t="s">
        <v>408</v>
      </c>
      <c r="K363" t="s">
        <v>49</v>
      </c>
      <c r="L363" t="s">
        <v>50</v>
      </c>
      <c r="M363">
        <v>1.131</v>
      </c>
      <c r="N363">
        <v>7395.9181999999992</v>
      </c>
    </row>
    <row r="364" spans="2:14" x14ac:dyDescent="0.45">
      <c r="B364" t="s">
        <v>490</v>
      </c>
      <c r="C364" t="s">
        <v>409</v>
      </c>
      <c r="D364" t="s">
        <v>852</v>
      </c>
      <c r="E364" t="s">
        <v>492</v>
      </c>
      <c r="F364" t="s">
        <v>14</v>
      </c>
      <c r="G364" t="s">
        <v>493</v>
      </c>
      <c r="J364" t="s">
        <v>409</v>
      </c>
      <c r="K364" t="s">
        <v>49</v>
      </c>
      <c r="L364" t="s">
        <v>50</v>
      </c>
      <c r="M364">
        <v>0.02</v>
      </c>
    </row>
    <row r="365" spans="2:14" x14ac:dyDescent="0.45">
      <c r="B365" t="s">
        <v>490</v>
      </c>
      <c r="C365" t="s">
        <v>411</v>
      </c>
      <c r="D365" t="s">
        <v>853</v>
      </c>
      <c r="E365" t="s">
        <v>492</v>
      </c>
      <c r="F365" t="s">
        <v>14</v>
      </c>
      <c r="G365" t="s">
        <v>493</v>
      </c>
      <c r="J365" t="s">
        <v>410</v>
      </c>
      <c r="K365" t="s">
        <v>49</v>
      </c>
      <c r="L365" t="s">
        <v>50</v>
      </c>
      <c r="M365">
        <v>4.7396173081104304E-2</v>
      </c>
      <c r="N365">
        <v>10827.814639999999</v>
      </c>
    </row>
    <row r="366" spans="2:14" x14ac:dyDescent="0.45">
      <c r="B366" t="s">
        <v>490</v>
      </c>
      <c r="C366" t="s">
        <v>410</v>
      </c>
      <c r="D366" t="s">
        <v>854</v>
      </c>
      <c r="E366" t="s">
        <v>492</v>
      </c>
      <c r="F366" t="s">
        <v>14</v>
      </c>
      <c r="G366" t="s">
        <v>493</v>
      </c>
      <c r="J366" t="s">
        <v>411</v>
      </c>
      <c r="K366" t="s">
        <v>49</v>
      </c>
      <c r="L366" t="s">
        <v>50</v>
      </c>
      <c r="M366">
        <v>0.01</v>
      </c>
    </row>
    <row r="367" spans="2:14" x14ac:dyDescent="0.45">
      <c r="B367" t="s">
        <v>490</v>
      </c>
      <c r="C367" t="s">
        <v>412</v>
      </c>
      <c r="D367" t="s">
        <v>855</v>
      </c>
      <c r="E367" t="s">
        <v>492</v>
      </c>
      <c r="F367" t="s">
        <v>14</v>
      </c>
      <c r="G367" t="s">
        <v>493</v>
      </c>
      <c r="J367" t="s">
        <v>412</v>
      </c>
      <c r="K367" t="s">
        <v>49</v>
      </c>
      <c r="L367" t="s">
        <v>50</v>
      </c>
      <c r="M367">
        <v>2.2799999999999998</v>
      </c>
    </row>
    <row r="368" spans="2:14" x14ac:dyDescent="0.45">
      <c r="B368" t="s">
        <v>490</v>
      </c>
      <c r="C368" t="s">
        <v>413</v>
      </c>
      <c r="D368" t="s">
        <v>856</v>
      </c>
      <c r="E368" t="s">
        <v>492</v>
      </c>
      <c r="F368" t="s">
        <v>14</v>
      </c>
      <c r="G368" t="s">
        <v>493</v>
      </c>
      <c r="J368" t="s">
        <v>413</v>
      </c>
      <c r="K368" t="s">
        <v>49</v>
      </c>
      <c r="L368" t="s">
        <v>50</v>
      </c>
      <c r="M368">
        <v>0.82</v>
      </c>
    </row>
    <row r="369" spans="2:14" x14ac:dyDescent="0.45">
      <c r="B369" t="s">
        <v>490</v>
      </c>
      <c r="C369" t="s">
        <v>415</v>
      </c>
      <c r="D369" t="s">
        <v>857</v>
      </c>
      <c r="E369" t="s">
        <v>492</v>
      </c>
      <c r="F369" t="s">
        <v>14</v>
      </c>
      <c r="G369" t="s">
        <v>493</v>
      </c>
      <c r="J369" t="s">
        <v>414</v>
      </c>
      <c r="K369" t="s">
        <v>49</v>
      </c>
      <c r="L369" t="s">
        <v>50</v>
      </c>
      <c r="M369">
        <v>0.04</v>
      </c>
    </row>
    <row r="370" spans="2:14" x14ac:dyDescent="0.45">
      <c r="B370" t="s">
        <v>490</v>
      </c>
      <c r="C370" t="s">
        <v>363</v>
      </c>
      <c r="D370" t="s">
        <v>858</v>
      </c>
      <c r="E370" t="s">
        <v>492</v>
      </c>
      <c r="F370" t="s">
        <v>14</v>
      </c>
      <c r="G370" t="s">
        <v>493</v>
      </c>
      <c r="J370" t="s">
        <v>415</v>
      </c>
      <c r="K370" t="s">
        <v>49</v>
      </c>
      <c r="L370" t="s">
        <v>50</v>
      </c>
      <c r="M370">
        <v>3.09</v>
      </c>
    </row>
    <row r="371" spans="2:14" x14ac:dyDescent="0.45">
      <c r="B371" t="s">
        <v>490</v>
      </c>
      <c r="C371" t="s">
        <v>461</v>
      </c>
      <c r="D371" t="s">
        <v>859</v>
      </c>
      <c r="E371" t="s">
        <v>492</v>
      </c>
      <c r="F371" t="s">
        <v>14</v>
      </c>
      <c r="G371" t="s">
        <v>493</v>
      </c>
      <c r="J371" t="s">
        <v>416</v>
      </c>
      <c r="K371" t="s">
        <v>49</v>
      </c>
      <c r="L371" t="s">
        <v>50</v>
      </c>
      <c r="M371">
        <v>0.86496729012996165</v>
      </c>
      <c r="N371">
        <v>10660</v>
      </c>
    </row>
    <row r="372" spans="2:14" x14ac:dyDescent="0.45">
      <c r="B372" t="s">
        <v>490</v>
      </c>
      <c r="C372" t="s">
        <v>414</v>
      </c>
      <c r="D372" t="s">
        <v>860</v>
      </c>
      <c r="E372" t="s">
        <v>492</v>
      </c>
      <c r="F372" t="s">
        <v>14</v>
      </c>
      <c r="G372" t="s">
        <v>493</v>
      </c>
      <c r="J372" t="s">
        <v>417</v>
      </c>
      <c r="K372" t="s">
        <v>49</v>
      </c>
      <c r="L372" t="s">
        <v>50</v>
      </c>
      <c r="M372">
        <v>1.58</v>
      </c>
    </row>
    <row r="373" spans="2:14" x14ac:dyDescent="0.45">
      <c r="B373" t="s">
        <v>490</v>
      </c>
      <c r="C373" t="s">
        <v>416</v>
      </c>
      <c r="D373" t="s">
        <v>861</v>
      </c>
      <c r="E373" t="s">
        <v>492</v>
      </c>
      <c r="F373" t="s">
        <v>14</v>
      </c>
      <c r="G373" t="s">
        <v>493</v>
      </c>
      <c r="J373" t="s">
        <v>418</v>
      </c>
      <c r="K373" t="s">
        <v>49</v>
      </c>
      <c r="L373" t="s">
        <v>50</v>
      </c>
      <c r="M373">
        <v>0.22</v>
      </c>
    </row>
    <row r="374" spans="2:14" x14ac:dyDescent="0.45">
      <c r="B374" t="s">
        <v>490</v>
      </c>
      <c r="C374" t="s">
        <v>418</v>
      </c>
      <c r="D374" t="s">
        <v>862</v>
      </c>
      <c r="E374" t="s">
        <v>492</v>
      </c>
      <c r="F374" t="s">
        <v>14</v>
      </c>
      <c r="G374" t="s">
        <v>493</v>
      </c>
      <c r="J374" t="s">
        <v>419</v>
      </c>
      <c r="K374" t="s">
        <v>49</v>
      </c>
      <c r="L374" t="s">
        <v>50</v>
      </c>
      <c r="M374">
        <v>0.08</v>
      </c>
    </row>
    <row r="375" spans="2:14" x14ac:dyDescent="0.45">
      <c r="B375" t="s">
        <v>490</v>
      </c>
      <c r="C375" t="s">
        <v>463</v>
      </c>
      <c r="D375" t="s">
        <v>863</v>
      </c>
      <c r="E375" t="s">
        <v>492</v>
      </c>
      <c r="F375" t="s">
        <v>14</v>
      </c>
      <c r="G375" t="s">
        <v>493</v>
      </c>
      <c r="J375" t="s">
        <v>420</v>
      </c>
      <c r="K375" t="s">
        <v>49</v>
      </c>
      <c r="L375" t="s">
        <v>50</v>
      </c>
      <c r="M375">
        <v>0.12</v>
      </c>
    </row>
    <row r="376" spans="2:14" x14ac:dyDescent="0.45">
      <c r="B376" t="s">
        <v>490</v>
      </c>
      <c r="C376" t="s">
        <v>419</v>
      </c>
      <c r="D376" t="s">
        <v>864</v>
      </c>
      <c r="E376" t="s">
        <v>492</v>
      </c>
      <c r="F376" t="s">
        <v>14</v>
      </c>
      <c r="G376" t="s">
        <v>493</v>
      </c>
      <c r="J376" t="s">
        <v>421</v>
      </c>
      <c r="K376" t="s">
        <v>49</v>
      </c>
      <c r="L376" t="s">
        <v>50</v>
      </c>
      <c r="M376">
        <v>0.03</v>
      </c>
    </row>
    <row r="377" spans="2:14" x14ac:dyDescent="0.45">
      <c r="B377" t="s">
        <v>490</v>
      </c>
      <c r="C377" t="s">
        <v>420</v>
      </c>
      <c r="D377" t="s">
        <v>865</v>
      </c>
      <c r="E377" t="s">
        <v>492</v>
      </c>
      <c r="F377" t="s">
        <v>14</v>
      </c>
      <c r="G377" t="s">
        <v>493</v>
      </c>
      <c r="J377" t="s">
        <v>422</v>
      </c>
      <c r="K377" t="s">
        <v>49</v>
      </c>
      <c r="L377" t="s">
        <v>50</v>
      </c>
      <c r="M377">
        <v>0.67</v>
      </c>
    </row>
    <row r="378" spans="2:14" x14ac:dyDescent="0.45">
      <c r="B378" t="s">
        <v>490</v>
      </c>
      <c r="C378" t="s">
        <v>421</v>
      </c>
      <c r="D378" t="s">
        <v>866</v>
      </c>
      <c r="E378" t="s">
        <v>492</v>
      </c>
      <c r="F378" t="s">
        <v>14</v>
      </c>
      <c r="G378" t="s">
        <v>493</v>
      </c>
      <c r="J378" t="s">
        <v>423</v>
      </c>
      <c r="K378" t="s">
        <v>49</v>
      </c>
      <c r="L378" t="s">
        <v>50</v>
      </c>
      <c r="M378">
        <v>0.80834643311625021</v>
      </c>
      <c r="N378">
        <v>6159.803359999999</v>
      </c>
    </row>
    <row r="379" spans="2:14" x14ac:dyDescent="0.45">
      <c r="B379" t="s">
        <v>490</v>
      </c>
      <c r="C379" t="s">
        <v>417</v>
      </c>
      <c r="D379" t="s">
        <v>867</v>
      </c>
      <c r="E379" t="s">
        <v>492</v>
      </c>
      <c r="F379" t="s">
        <v>14</v>
      </c>
      <c r="G379" t="s">
        <v>493</v>
      </c>
      <c r="J379" t="s">
        <v>424</v>
      </c>
      <c r="K379" t="s">
        <v>49</v>
      </c>
      <c r="L379" t="s">
        <v>50</v>
      </c>
      <c r="M379">
        <v>0.36</v>
      </c>
    </row>
    <row r="380" spans="2:14" x14ac:dyDescent="0.45">
      <c r="B380" t="s">
        <v>490</v>
      </c>
      <c r="C380" t="s">
        <v>432</v>
      </c>
      <c r="D380" t="s">
        <v>868</v>
      </c>
      <c r="E380" t="s">
        <v>492</v>
      </c>
      <c r="F380" t="s">
        <v>14</v>
      </c>
      <c r="G380" t="s">
        <v>493</v>
      </c>
      <c r="J380" t="s">
        <v>425</v>
      </c>
      <c r="K380" t="s">
        <v>49</v>
      </c>
      <c r="L380" t="s">
        <v>50</v>
      </c>
      <c r="M380">
        <v>1.6980645496056486</v>
      </c>
      <c r="N380">
        <v>3099.3134</v>
      </c>
    </row>
    <row r="381" spans="2:14" x14ac:dyDescent="0.45">
      <c r="B381" t="s">
        <v>490</v>
      </c>
      <c r="C381" t="s">
        <v>430</v>
      </c>
      <c r="D381" t="s">
        <v>869</v>
      </c>
      <c r="E381" t="s">
        <v>492</v>
      </c>
      <c r="F381" t="s">
        <v>14</v>
      </c>
      <c r="G381" t="s">
        <v>493</v>
      </c>
      <c r="J381" t="s">
        <v>426</v>
      </c>
      <c r="K381" t="s">
        <v>49</v>
      </c>
      <c r="L381" t="s">
        <v>50</v>
      </c>
      <c r="M381">
        <v>0.16</v>
      </c>
    </row>
    <row r="382" spans="2:14" x14ac:dyDescent="0.45">
      <c r="B382" t="s">
        <v>490</v>
      </c>
      <c r="C382" t="s">
        <v>423</v>
      </c>
      <c r="D382" t="s">
        <v>870</v>
      </c>
      <c r="E382" t="s">
        <v>492</v>
      </c>
      <c r="F382" t="s">
        <v>14</v>
      </c>
      <c r="G382" t="s">
        <v>493</v>
      </c>
      <c r="J382" t="s">
        <v>427</v>
      </c>
      <c r="K382" t="s">
        <v>49</v>
      </c>
      <c r="L382" t="s">
        <v>50</v>
      </c>
      <c r="M382">
        <v>0.1</v>
      </c>
    </row>
    <row r="383" spans="2:14" x14ac:dyDescent="0.45">
      <c r="B383" t="s">
        <v>490</v>
      </c>
      <c r="C383" t="s">
        <v>429</v>
      </c>
      <c r="D383" t="s">
        <v>871</v>
      </c>
      <c r="E383" t="s">
        <v>492</v>
      </c>
      <c r="F383" t="s">
        <v>14</v>
      </c>
      <c r="G383" t="s">
        <v>493</v>
      </c>
      <c r="J383" t="s">
        <v>428</v>
      </c>
      <c r="K383" t="s">
        <v>49</v>
      </c>
      <c r="L383" t="s">
        <v>50</v>
      </c>
      <c r="M383">
        <v>0.06</v>
      </c>
    </row>
    <row r="384" spans="2:14" x14ac:dyDescent="0.45">
      <c r="B384" t="s">
        <v>490</v>
      </c>
      <c r="C384" t="s">
        <v>422</v>
      </c>
      <c r="D384" t="s">
        <v>872</v>
      </c>
      <c r="E384" t="s">
        <v>492</v>
      </c>
      <c r="F384" t="s">
        <v>14</v>
      </c>
      <c r="G384" t="s">
        <v>493</v>
      </c>
      <c r="J384" t="s">
        <v>429</v>
      </c>
      <c r="K384" t="s">
        <v>49</v>
      </c>
      <c r="L384" t="s">
        <v>50</v>
      </c>
      <c r="M384">
        <v>3.5573464427750805</v>
      </c>
      <c r="N384">
        <v>3058.5881600000002</v>
      </c>
    </row>
    <row r="385" spans="2:14" x14ac:dyDescent="0.45">
      <c r="B385" t="s">
        <v>490</v>
      </c>
      <c r="C385" t="s">
        <v>426</v>
      </c>
      <c r="D385" t="s">
        <v>873</v>
      </c>
      <c r="E385" t="s">
        <v>492</v>
      </c>
      <c r="F385" t="s">
        <v>14</v>
      </c>
      <c r="G385" t="s">
        <v>493</v>
      </c>
      <c r="J385" t="s">
        <v>430</v>
      </c>
      <c r="K385" t="s">
        <v>49</v>
      </c>
      <c r="L385" t="s">
        <v>50</v>
      </c>
      <c r="M385">
        <v>0.08</v>
      </c>
    </row>
    <row r="386" spans="2:14" x14ac:dyDescent="0.45">
      <c r="B386" t="s">
        <v>490</v>
      </c>
      <c r="C386" t="s">
        <v>434</v>
      </c>
      <c r="D386" t="s">
        <v>874</v>
      </c>
      <c r="E386" t="s">
        <v>492</v>
      </c>
      <c r="F386" t="s">
        <v>14</v>
      </c>
      <c r="G386" t="s">
        <v>493</v>
      </c>
      <c r="J386" t="s">
        <v>431</v>
      </c>
      <c r="K386" t="s">
        <v>49</v>
      </c>
      <c r="L386" t="s">
        <v>50</v>
      </c>
      <c r="M386">
        <v>0.89600000000000002</v>
      </c>
      <c r="N386">
        <v>10047.99944</v>
      </c>
    </row>
    <row r="387" spans="2:14" x14ac:dyDescent="0.45">
      <c r="B387" t="s">
        <v>490</v>
      </c>
      <c r="C387" t="s">
        <v>431</v>
      </c>
      <c r="D387" t="s">
        <v>875</v>
      </c>
      <c r="E387" t="s">
        <v>492</v>
      </c>
      <c r="F387" t="s">
        <v>14</v>
      </c>
      <c r="G387" t="s">
        <v>493</v>
      </c>
      <c r="J387" t="s">
        <v>432</v>
      </c>
      <c r="K387" t="s">
        <v>49</v>
      </c>
      <c r="L387" t="s">
        <v>50</v>
      </c>
      <c r="M387">
        <v>1.31</v>
      </c>
    </row>
    <row r="388" spans="2:14" x14ac:dyDescent="0.45">
      <c r="B388" t="s">
        <v>490</v>
      </c>
      <c r="C388" t="s">
        <v>433</v>
      </c>
      <c r="D388" t="s">
        <v>876</v>
      </c>
      <c r="E388" t="s">
        <v>492</v>
      </c>
      <c r="F388" t="s">
        <v>14</v>
      </c>
      <c r="G388" t="s">
        <v>493</v>
      </c>
      <c r="J388" t="s">
        <v>433</v>
      </c>
      <c r="K388" t="s">
        <v>49</v>
      </c>
      <c r="L388" t="s">
        <v>50</v>
      </c>
      <c r="M388">
        <v>1.3796649389115194</v>
      </c>
      <c r="N388">
        <v>5544.5552719999996</v>
      </c>
    </row>
    <row r="389" spans="2:14" x14ac:dyDescent="0.45">
      <c r="B389" t="s">
        <v>490</v>
      </c>
      <c r="C389" t="s">
        <v>427</v>
      </c>
      <c r="D389" t="s">
        <v>877</v>
      </c>
      <c r="E389" t="s">
        <v>492</v>
      </c>
      <c r="F389" t="s">
        <v>14</v>
      </c>
      <c r="G389" t="s">
        <v>493</v>
      </c>
      <c r="J389" t="s">
        <v>434</v>
      </c>
      <c r="K389" t="s">
        <v>49</v>
      </c>
      <c r="L389" t="s">
        <v>50</v>
      </c>
      <c r="M389">
        <v>5.9592958696553993</v>
      </c>
      <c r="N389">
        <v>2828.2141759999995</v>
      </c>
    </row>
    <row r="390" spans="2:14" x14ac:dyDescent="0.45">
      <c r="B390" t="s">
        <v>490</v>
      </c>
      <c r="C390" t="s">
        <v>428</v>
      </c>
      <c r="D390" t="s">
        <v>878</v>
      </c>
      <c r="E390" t="s">
        <v>492</v>
      </c>
      <c r="F390" t="s">
        <v>14</v>
      </c>
      <c r="G390" t="s">
        <v>493</v>
      </c>
      <c r="J390" t="s">
        <v>435</v>
      </c>
      <c r="K390" t="s">
        <v>49</v>
      </c>
      <c r="L390" t="s">
        <v>50</v>
      </c>
      <c r="M390">
        <v>4.6406780391143281</v>
      </c>
      <c r="N390">
        <v>3073.2786799999999</v>
      </c>
    </row>
    <row r="391" spans="2:14" x14ac:dyDescent="0.45">
      <c r="B391" t="s">
        <v>490</v>
      </c>
      <c r="C391" t="s">
        <v>424</v>
      </c>
      <c r="D391" t="s">
        <v>879</v>
      </c>
      <c r="E391" t="s">
        <v>492</v>
      </c>
      <c r="F391" t="s">
        <v>14</v>
      </c>
      <c r="G391" t="s">
        <v>493</v>
      </c>
      <c r="J391" t="s">
        <v>436</v>
      </c>
      <c r="K391" t="s">
        <v>49</v>
      </c>
      <c r="L391" t="s">
        <v>50</v>
      </c>
      <c r="M391">
        <v>0.04</v>
      </c>
    </row>
    <row r="392" spans="2:14" x14ac:dyDescent="0.45">
      <c r="B392" t="s">
        <v>490</v>
      </c>
      <c r="C392" t="s">
        <v>425</v>
      </c>
      <c r="D392" t="s">
        <v>880</v>
      </c>
      <c r="E392" t="s">
        <v>492</v>
      </c>
      <c r="F392" t="s">
        <v>14</v>
      </c>
      <c r="G392" t="s">
        <v>493</v>
      </c>
      <c r="J392" t="s">
        <v>437</v>
      </c>
      <c r="K392" t="s">
        <v>49</v>
      </c>
      <c r="L392" t="s">
        <v>50</v>
      </c>
      <c r="M392">
        <v>0.08</v>
      </c>
    </row>
    <row r="393" spans="2:14" x14ac:dyDescent="0.45">
      <c r="B393" t="s">
        <v>490</v>
      </c>
      <c r="C393" t="s">
        <v>437</v>
      </c>
      <c r="D393" t="s">
        <v>881</v>
      </c>
      <c r="E393" t="s">
        <v>492</v>
      </c>
      <c r="F393" t="s">
        <v>14</v>
      </c>
      <c r="G393" t="s">
        <v>493</v>
      </c>
      <c r="J393" t="s">
        <v>438</v>
      </c>
      <c r="K393" t="s">
        <v>49</v>
      </c>
      <c r="L393" t="s">
        <v>50</v>
      </c>
      <c r="M393">
        <v>0.10885531381502378</v>
      </c>
      <c r="N393">
        <v>4337.8897999999999</v>
      </c>
    </row>
    <row r="394" spans="2:14" x14ac:dyDescent="0.45">
      <c r="B394" t="s">
        <v>490</v>
      </c>
      <c r="C394" t="s">
        <v>440</v>
      </c>
      <c r="D394" t="s">
        <v>882</v>
      </c>
      <c r="E394" t="s">
        <v>492</v>
      </c>
      <c r="F394" t="s">
        <v>14</v>
      </c>
      <c r="G394" t="s">
        <v>493</v>
      </c>
      <c r="J394" t="s">
        <v>439</v>
      </c>
      <c r="K394" t="s">
        <v>49</v>
      </c>
      <c r="L394" t="s">
        <v>50</v>
      </c>
      <c r="M394">
        <v>0.12</v>
      </c>
    </row>
    <row r="395" spans="2:14" x14ac:dyDescent="0.45">
      <c r="B395" t="s">
        <v>490</v>
      </c>
      <c r="C395" t="s">
        <v>439</v>
      </c>
      <c r="D395" t="s">
        <v>883</v>
      </c>
      <c r="E395" t="s">
        <v>492</v>
      </c>
      <c r="F395" t="s">
        <v>14</v>
      </c>
      <c r="G395" t="s">
        <v>493</v>
      </c>
      <c r="J395" t="s">
        <v>440</v>
      </c>
      <c r="K395" t="s">
        <v>49</v>
      </c>
      <c r="L395" t="s">
        <v>50</v>
      </c>
      <c r="M395">
        <v>3.150626470181265</v>
      </c>
      <c r="N395">
        <v>6939</v>
      </c>
    </row>
    <row r="396" spans="2:14" x14ac:dyDescent="0.45">
      <c r="B396" t="s">
        <v>490</v>
      </c>
      <c r="C396" t="s">
        <v>436</v>
      </c>
      <c r="D396" t="s">
        <v>884</v>
      </c>
      <c r="E396" t="s">
        <v>492</v>
      </c>
      <c r="F396" t="s">
        <v>14</v>
      </c>
      <c r="G396" t="s">
        <v>493</v>
      </c>
      <c r="J396" t="s">
        <v>441</v>
      </c>
      <c r="K396" t="s">
        <v>49</v>
      </c>
      <c r="L396" t="s">
        <v>50</v>
      </c>
      <c r="M396">
        <v>5</v>
      </c>
    </row>
    <row r="397" spans="2:14" x14ac:dyDescent="0.45">
      <c r="B397" t="s">
        <v>490</v>
      </c>
      <c r="C397" t="s">
        <v>442</v>
      </c>
      <c r="D397" t="s">
        <v>885</v>
      </c>
      <c r="E397" t="s">
        <v>492</v>
      </c>
      <c r="F397" t="s">
        <v>14</v>
      </c>
      <c r="G397" t="s">
        <v>493</v>
      </c>
      <c r="J397" t="s">
        <v>442</v>
      </c>
      <c r="K397" t="s">
        <v>49</v>
      </c>
      <c r="L397" t="s">
        <v>50</v>
      </c>
      <c r="M397">
        <v>30.23</v>
      </c>
    </row>
    <row r="398" spans="2:14" x14ac:dyDescent="0.45">
      <c r="B398" t="s">
        <v>490</v>
      </c>
      <c r="C398" t="s">
        <v>435</v>
      </c>
      <c r="D398" t="s">
        <v>886</v>
      </c>
      <c r="E398" t="s">
        <v>492</v>
      </c>
      <c r="F398" t="s">
        <v>14</v>
      </c>
      <c r="G398" t="s">
        <v>493</v>
      </c>
      <c r="J398" t="s">
        <v>443</v>
      </c>
      <c r="K398" t="s">
        <v>49</v>
      </c>
      <c r="L398" t="s">
        <v>50</v>
      </c>
      <c r="M398">
        <v>1.0769266610753885</v>
      </c>
      <c r="N398">
        <v>4710.1021999999994</v>
      </c>
    </row>
    <row r="399" spans="2:14" x14ac:dyDescent="0.45">
      <c r="B399" t="s">
        <v>490</v>
      </c>
      <c r="C399" t="s">
        <v>438</v>
      </c>
      <c r="D399" t="s">
        <v>887</v>
      </c>
      <c r="E399" t="s">
        <v>492</v>
      </c>
      <c r="F399" t="s">
        <v>14</v>
      </c>
      <c r="G399" t="s">
        <v>493</v>
      </c>
      <c r="J399" t="s">
        <v>444</v>
      </c>
      <c r="K399" t="s">
        <v>49</v>
      </c>
      <c r="L399" t="s">
        <v>50</v>
      </c>
      <c r="M399">
        <v>1.73</v>
      </c>
    </row>
    <row r="400" spans="2:14" x14ac:dyDescent="0.45">
      <c r="B400" t="s">
        <v>490</v>
      </c>
      <c r="C400" t="s">
        <v>443</v>
      </c>
      <c r="D400" t="s">
        <v>888</v>
      </c>
      <c r="E400" t="s">
        <v>492</v>
      </c>
      <c r="F400" t="s">
        <v>14</v>
      </c>
      <c r="G400" t="s">
        <v>493</v>
      </c>
      <c r="J400" t="s">
        <v>445</v>
      </c>
      <c r="K400" t="s">
        <v>49</v>
      </c>
      <c r="L400" t="s">
        <v>50</v>
      </c>
      <c r="M400">
        <v>3.5852635948526377</v>
      </c>
      <c r="N400">
        <v>5831.4084800000001</v>
      </c>
    </row>
    <row r="401" spans="2:14" x14ac:dyDescent="0.45">
      <c r="B401" t="s">
        <v>490</v>
      </c>
      <c r="C401" t="s">
        <v>444</v>
      </c>
      <c r="D401" t="s">
        <v>889</v>
      </c>
      <c r="E401" t="s">
        <v>492</v>
      </c>
      <c r="F401" t="s">
        <v>14</v>
      </c>
      <c r="G401" t="s">
        <v>493</v>
      </c>
      <c r="J401" t="s">
        <v>446</v>
      </c>
      <c r="K401" t="s">
        <v>49</v>
      </c>
      <c r="L401" t="s">
        <v>50</v>
      </c>
      <c r="M401">
        <v>8.81</v>
      </c>
    </row>
    <row r="402" spans="2:14" x14ac:dyDescent="0.45">
      <c r="B402" t="s">
        <v>490</v>
      </c>
      <c r="C402" t="s">
        <v>447</v>
      </c>
      <c r="D402" t="s">
        <v>890</v>
      </c>
      <c r="E402" t="s">
        <v>492</v>
      </c>
      <c r="F402" t="s">
        <v>14</v>
      </c>
      <c r="G402" t="s">
        <v>493</v>
      </c>
      <c r="J402" t="s">
        <v>447</v>
      </c>
      <c r="K402" t="s">
        <v>49</v>
      </c>
      <c r="L402" t="s">
        <v>50</v>
      </c>
      <c r="M402">
        <v>6.5034859946841159</v>
      </c>
      <c r="N402">
        <v>4420.3739599999999</v>
      </c>
    </row>
    <row r="403" spans="2:14" x14ac:dyDescent="0.45">
      <c r="B403" t="s">
        <v>490</v>
      </c>
      <c r="C403" t="s">
        <v>448</v>
      </c>
      <c r="D403" t="s">
        <v>891</v>
      </c>
      <c r="E403" t="s">
        <v>492</v>
      </c>
      <c r="F403" t="s">
        <v>14</v>
      </c>
      <c r="G403" t="s">
        <v>493</v>
      </c>
      <c r="J403" t="s">
        <v>448</v>
      </c>
      <c r="K403" t="s">
        <v>49</v>
      </c>
      <c r="L403" t="s">
        <v>50</v>
      </c>
      <c r="M403">
        <v>3.55</v>
      </c>
    </row>
    <row r="404" spans="2:14" x14ac:dyDescent="0.45">
      <c r="B404" t="s">
        <v>490</v>
      </c>
      <c r="C404" t="s">
        <v>445</v>
      </c>
      <c r="D404" t="s">
        <v>892</v>
      </c>
      <c r="E404" t="s">
        <v>492</v>
      </c>
      <c r="F404" t="s">
        <v>14</v>
      </c>
      <c r="G404" t="s">
        <v>493</v>
      </c>
      <c r="J404" t="s">
        <v>449</v>
      </c>
      <c r="K404" t="s">
        <v>49</v>
      </c>
      <c r="L404" t="s">
        <v>50</v>
      </c>
      <c r="M404">
        <v>0.56999999999999995</v>
      </c>
    </row>
    <row r="405" spans="2:14" x14ac:dyDescent="0.45">
      <c r="B405" t="s">
        <v>490</v>
      </c>
      <c r="C405" t="s">
        <v>449</v>
      </c>
      <c r="D405" t="s">
        <v>893</v>
      </c>
      <c r="E405" t="s">
        <v>492</v>
      </c>
      <c r="F405" t="s">
        <v>14</v>
      </c>
      <c r="G405" t="s">
        <v>493</v>
      </c>
      <c r="J405" t="s">
        <v>450</v>
      </c>
      <c r="K405" t="s">
        <v>49</v>
      </c>
      <c r="L405" t="s">
        <v>50</v>
      </c>
      <c r="M405">
        <v>4.7300000000000004</v>
      </c>
    </row>
    <row r="406" spans="2:14" x14ac:dyDescent="0.45">
      <c r="B406" t="s">
        <v>490</v>
      </c>
      <c r="C406" t="s">
        <v>451</v>
      </c>
      <c r="D406" t="s">
        <v>894</v>
      </c>
      <c r="E406" t="s">
        <v>492</v>
      </c>
      <c r="F406" t="s">
        <v>14</v>
      </c>
      <c r="G406" t="s">
        <v>493</v>
      </c>
      <c r="J406" t="s">
        <v>451</v>
      </c>
      <c r="K406" t="s">
        <v>49</v>
      </c>
      <c r="L406" t="s">
        <v>50</v>
      </c>
      <c r="M406">
        <v>0.1</v>
      </c>
    </row>
    <row r="407" spans="2:14" x14ac:dyDescent="0.45">
      <c r="B407" t="s">
        <v>490</v>
      </c>
      <c r="C407" t="s">
        <v>441</v>
      </c>
      <c r="D407" t="s">
        <v>895</v>
      </c>
      <c r="E407" t="s">
        <v>492</v>
      </c>
      <c r="F407" t="s">
        <v>14</v>
      </c>
      <c r="G407" t="s">
        <v>493</v>
      </c>
      <c r="J407" t="s">
        <v>452</v>
      </c>
      <c r="K407" t="s">
        <v>49</v>
      </c>
      <c r="L407" t="s">
        <v>50</v>
      </c>
      <c r="M407">
        <v>6.61</v>
      </c>
    </row>
    <row r="408" spans="2:14" x14ac:dyDescent="0.45">
      <c r="B408" t="s">
        <v>490</v>
      </c>
      <c r="C408" t="s">
        <v>450</v>
      </c>
      <c r="D408" t="s">
        <v>896</v>
      </c>
      <c r="E408" t="s">
        <v>492</v>
      </c>
      <c r="F408" t="s">
        <v>14</v>
      </c>
      <c r="G408" t="s">
        <v>493</v>
      </c>
      <c r="J408" t="s">
        <v>453</v>
      </c>
      <c r="K408" t="s">
        <v>49</v>
      </c>
      <c r="L408" t="s">
        <v>50</v>
      </c>
      <c r="M408">
        <v>1.6631790845305696</v>
      </c>
      <c r="N408">
        <v>9425.5401199999997</v>
      </c>
    </row>
    <row r="409" spans="2:14" x14ac:dyDescent="0.45">
      <c r="B409" t="s">
        <v>490</v>
      </c>
      <c r="C409" t="s">
        <v>446</v>
      </c>
      <c r="D409" t="s">
        <v>897</v>
      </c>
      <c r="E409" t="s">
        <v>492</v>
      </c>
      <c r="F409" t="s">
        <v>14</v>
      </c>
      <c r="G409" t="s">
        <v>493</v>
      </c>
      <c r="J409" t="s">
        <v>454</v>
      </c>
      <c r="K409" t="s">
        <v>49</v>
      </c>
      <c r="L409" t="s">
        <v>50</v>
      </c>
      <c r="M409">
        <v>0.1</v>
      </c>
    </row>
    <row r="410" spans="2:14" x14ac:dyDescent="0.45">
      <c r="B410" t="s">
        <v>490</v>
      </c>
      <c r="C410" t="s">
        <v>390</v>
      </c>
      <c r="D410" t="s">
        <v>898</v>
      </c>
      <c r="E410" t="s">
        <v>492</v>
      </c>
      <c r="F410" t="s">
        <v>14</v>
      </c>
      <c r="G410" t="s">
        <v>493</v>
      </c>
      <c r="J410" t="s">
        <v>455</v>
      </c>
      <c r="K410" t="s">
        <v>49</v>
      </c>
      <c r="L410" t="s">
        <v>50</v>
      </c>
      <c r="M410">
        <v>0</v>
      </c>
    </row>
    <row r="411" spans="2:14" x14ac:dyDescent="0.45">
      <c r="B411" t="s">
        <v>490</v>
      </c>
      <c r="C411" t="s">
        <v>452</v>
      </c>
      <c r="D411" t="s">
        <v>899</v>
      </c>
      <c r="E411" t="s">
        <v>492</v>
      </c>
      <c r="F411" t="s">
        <v>14</v>
      </c>
      <c r="G411" t="s">
        <v>493</v>
      </c>
      <c r="J411" t="s">
        <v>456</v>
      </c>
      <c r="K411" t="s">
        <v>49</v>
      </c>
      <c r="L411" t="s">
        <v>50</v>
      </c>
      <c r="M411">
        <v>2.2200000000000002</v>
      </c>
    </row>
    <row r="412" spans="2:14" x14ac:dyDescent="0.45">
      <c r="B412" t="s">
        <v>490</v>
      </c>
      <c r="C412" t="s">
        <v>453</v>
      </c>
      <c r="D412" t="s">
        <v>900</v>
      </c>
      <c r="E412" t="s">
        <v>492</v>
      </c>
      <c r="F412" t="s">
        <v>14</v>
      </c>
      <c r="G412" t="s">
        <v>493</v>
      </c>
      <c r="J412" t="s">
        <v>457</v>
      </c>
      <c r="K412" t="s">
        <v>49</v>
      </c>
      <c r="L412" t="s">
        <v>50</v>
      </c>
      <c r="M412">
        <v>0.06</v>
      </c>
    </row>
    <row r="413" spans="2:14" x14ac:dyDescent="0.45">
      <c r="B413" t="s">
        <v>490</v>
      </c>
      <c r="C413" t="s">
        <v>454</v>
      </c>
      <c r="D413" t="s">
        <v>901</v>
      </c>
      <c r="E413" t="s">
        <v>492</v>
      </c>
      <c r="F413" t="s">
        <v>14</v>
      </c>
      <c r="G413" t="s">
        <v>493</v>
      </c>
      <c r="J413" t="s">
        <v>458</v>
      </c>
      <c r="K413" t="s">
        <v>49</v>
      </c>
      <c r="L413" t="s">
        <v>50</v>
      </c>
      <c r="M413">
        <v>1.61</v>
      </c>
    </row>
    <row r="414" spans="2:14" x14ac:dyDescent="0.45">
      <c r="B414" t="s">
        <v>490</v>
      </c>
      <c r="C414" t="s">
        <v>464</v>
      </c>
      <c r="D414" t="s">
        <v>902</v>
      </c>
      <c r="E414" t="s">
        <v>492</v>
      </c>
      <c r="F414" t="s">
        <v>14</v>
      </c>
      <c r="G414" t="s">
        <v>493</v>
      </c>
      <c r="J414" t="s">
        <v>459</v>
      </c>
      <c r="K414" t="s">
        <v>49</v>
      </c>
      <c r="L414" t="s">
        <v>50</v>
      </c>
      <c r="M414">
        <v>1.3</v>
      </c>
    </row>
    <row r="415" spans="2:14" x14ac:dyDescent="0.45">
      <c r="B415" t="s">
        <v>490</v>
      </c>
      <c r="C415" t="s">
        <v>457</v>
      </c>
      <c r="D415" t="s">
        <v>903</v>
      </c>
      <c r="E415" t="s">
        <v>492</v>
      </c>
      <c r="F415" t="s">
        <v>14</v>
      </c>
      <c r="G415" t="s">
        <v>493</v>
      </c>
      <c r="J415" t="s">
        <v>460</v>
      </c>
      <c r="K415" t="s">
        <v>49</v>
      </c>
      <c r="L415" t="s">
        <v>50</v>
      </c>
      <c r="M415">
        <v>0.83099999999999996</v>
      </c>
      <c r="N415">
        <v>9706.0265600000002</v>
      </c>
    </row>
    <row r="416" spans="2:14" x14ac:dyDescent="0.45">
      <c r="B416" t="s">
        <v>490</v>
      </c>
      <c r="C416" t="s">
        <v>382</v>
      </c>
      <c r="D416" t="s">
        <v>904</v>
      </c>
      <c r="E416" t="s">
        <v>492</v>
      </c>
      <c r="F416" t="s">
        <v>14</v>
      </c>
      <c r="G416" t="s">
        <v>493</v>
      </c>
      <c r="J416" t="s">
        <v>461</v>
      </c>
      <c r="K416" t="s">
        <v>49</v>
      </c>
      <c r="L416" t="s">
        <v>50</v>
      </c>
      <c r="M416">
        <v>2.02</v>
      </c>
    </row>
    <row r="417" spans="2:14" x14ac:dyDescent="0.45">
      <c r="B417" t="s">
        <v>490</v>
      </c>
      <c r="C417" t="s">
        <v>456</v>
      </c>
      <c r="D417" t="s">
        <v>905</v>
      </c>
      <c r="E417" t="s">
        <v>492</v>
      </c>
      <c r="F417" t="s">
        <v>14</v>
      </c>
      <c r="G417" t="s">
        <v>493</v>
      </c>
      <c r="J417" t="s">
        <v>462</v>
      </c>
      <c r="K417" t="s">
        <v>49</v>
      </c>
      <c r="L417" t="s">
        <v>50</v>
      </c>
      <c r="M417">
        <v>17.02</v>
      </c>
    </row>
    <row r="418" spans="2:14" x14ac:dyDescent="0.45">
      <c r="B418" t="s">
        <v>490</v>
      </c>
      <c r="C418" t="s">
        <v>455</v>
      </c>
      <c r="D418" t="s">
        <v>906</v>
      </c>
      <c r="E418" t="s">
        <v>492</v>
      </c>
      <c r="F418" t="s">
        <v>14</v>
      </c>
      <c r="G418" t="s">
        <v>493</v>
      </c>
      <c r="J418" t="s">
        <v>463</v>
      </c>
      <c r="K418" t="s">
        <v>49</v>
      </c>
      <c r="L418" t="s">
        <v>50</v>
      </c>
      <c r="M418">
        <v>1.63</v>
      </c>
    </row>
    <row r="419" spans="2:14" x14ac:dyDescent="0.45">
      <c r="B419" t="s">
        <v>490</v>
      </c>
      <c r="C419" t="s">
        <v>465</v>
      </c>
      <c r="D419" t="s">
        <v>907</v>
      </c>
      <c r="E419" t="s">
        <v>492</v>
      </c>
      <c r="F419" t="s">
        <v>14</v>
      </c>
      <c r="G419" t="s">
        <v>493</v>
      </c>
      <c r="J419" t="s">
        <v>464</v>
      </c>
      <c r="K419" t="s">
        <v>49</v>
      </c>
      <c r="L419" t="s">
        <v>50</v>
      </c>
      <c r="M419">
        <v>1.7465106544900948</v>
      </c>
      <c r="N419">
        <v>8463.1665200000007</v>
      </c>
    </row>
    <row r="420" spans="2:14" x14ac:dyDescent="0.45">
      <c r="B420" t="s">
        <v>490</v>
      </c>
      <c r="C420" t="s">
        <v>458</v>
      </c>
      <c r="D420" t="s">
        <v>908</v>
      </c>
      <c r="E420" t="s">
        <v>492</v>
      </c>
      <c r="F420" t="s">
        <v>14</v>
      </c>
      <c r="G420" t="s">
        <v>493</v>
      </c>
      <c r="J420" t="s">
        <v>465</v>
      </c>
      <c r="K420" t="s">
        <v>49</v>
      </c>
      <c r="L420" t="s">
        <v>50</v>
      </c>
      <c r="M420">
        <v>0.19</v>
      </c>
    </row>
    <row r="421" spans="2:14" x14ac:dyDescent="0.45">
      <c r="B421" t="s">
        <v>490</v>
      </c>
      <c r="C421" t="s">
        <v>459</v>
      </c>
      <c r="D421" t="s">
        <v>909</v>
      </c>
      <c r="E421" t="s">
        <v>492</v>
      </c>
      <c r="F421" t="s">
        <v>14</v>
      </c>
      <c r="G421" t="s">
        <v>493</v>
      </c>
      <c r="J421" t="s">
        <v>466</v>
      </c>
      <c r="K421" t="s">
        <v>49</v>
      </c>
      <c r="L421" t="s">
        <v>50</v>
      </c>
      <c r="M421">
        <v>0.06</v>
      </c>
    </row>
    <row r="422" spans="2:14" x14ac:dyDescent="0.45">
      <c r="B422" t="s">
        <v>490</v>
      </c>
      <c r="C422" t="s">
        <v>467</v>
      </c>
      <c r="D422" t="s">
        <v>910</v>
      </c>
      <c r="E422" t="s">
        <v>492</v>
      </c>
      <c r="F422" t="s">
        <v>14</v>
      </c>
      <c r="G422" t="s">
        <v>493</v>
      </c>
      <c r="J422" t="s">
        <v>467</v>
      </c>
      <c r="K422" t="s">
        <v>49</v>
      </c>
      <c r="L422" t="s">
        <v>50</v>
      </c>
      <c r="M422">
        <v>16.32</v>
      </c>
    </row>
    <row r="423" spans="2:14" x14ac:dyDescent="0.45">
      <c r="B423" t="s">
        <v>490</v>
      </c>
      <c r="C423" t="s">
        <v>466</v>
      </c>
      <c r="D423" t="s">
        <v>911</v>
      </c>
      <c r="E423" t="s">
        <v>492</v>
      </c>
      <c r="F423" t="s">
        <v>14</v>
      </c>
      <c r="G423" t="s">
        <v>493</v>
      </c>
      <c r="J423" t="s">
        <v>468</v>
      </c>
      <c r="K423" t="s">
        <v>49</v>
      </c>
      <c r="L423" t="s">
        <v>50</v>
      </c>
      <c r="M423">
        <v>13.84</v>
      </c>
    </row>
    <row r="424" spans="2:14" x14ac:dyDescent="0.45">
      <c r="B424" t="s">
        <v>490</v>
      </c>
      <c r="C424" t="s">
        <v>469</v>
      </c>
      <c r="D424" t="s">
        <v>912</v>
      </c>
      <c r="E424" t="s">
        <v>492</v>
      </c>
      <c r="F424" t="s">
        <v>14</v>
      </c>
      <c r="G424" t="s">
        <v>493</v>
      </c>
      <c r="J424" t="s">
        <v>469</v>
      </c>
      <c r="K424" t="s">
        <v>49</v>
      </c>
      <c r="L424" t="s">
        <v>50</v>
      </c>
      <c r="M424">
        <v>0</v>
      </c>
    </row>
    <row r="425" spans="2:14" x14ac:dyDescent="0.45">
      <c r="B425" t="s">
        <v>490</v>
      </c>
      <c r="C425" t="s">
        <v>474</v>
      </c>
      <c r="D425" t="s">
        <v>913</v>
      </c>
      <c r="E425" t="s">
        <v>492</v>
      </c>
      <c r="F425" t="s">
        <v>14</v>
      </c>
      <c r="G425" t="s">
        <v>493</v>
      </c>
      <c r="J425" t="s">
        <v>470</v>
      </c>
      <c r="K425" t="s">
        <v>49</v>
      </c>
      <c r="L425" t="s">
        <v>50</v>
      </c>
      <c r="M425">
        <v>2.08</v>
      </c>
    </row>
    <row r="426" spans="2:14" x14ac:dyDescent="0.45">
      <c r="B426" t="s">
        <v>490</v>
      </c>
      <c r="C426" t="s">
        <v>473</v>
      </c>
      <c r="D426" t="s">
        <v>914</v>
      </c>
      <c r="E426" t="s">
        <v>492</v>
      </c>
      <c r="F426" t="s">
        <v>14</v>
      </c>
      <c r="G426" t="s">
        <v>493</v>
      </c>
      <c r="J426" t="s">
        <v>471</v>
      </c>
      <c r="K426" t="s">
        <v>49</v>
      </c>
      <c r="L426" t="s">
        <v>50</v>
      </c>
      <c r="M426">
        <v>0.1504908675799087</v>
      </c>
      <c r="N426">
        <v>8566</v>
      </c>
    </row>
    <row r="427" spans="2:14" x14ac:dyDescent="0.45">
      <c r="B427" t="s">
        <v>490</v>
      </c>
      <c r="C427" t="s">
        <v>471</v>
      </c>
      <c r="D427" t="s">
        <v>915</v>
      </c>
      <c r="E427" t="s">
        <v>492</v>
      </c>
      <c r="F427" t="s">
        <v>14</v>
      </c>
      <c r="G427" t="s">
        <v>493</v>
      </c>
      <c r="J427" t="s">
        <v>472</v>
      </c>
      <c r="K427" t="s">
        <v>49</v>
      </c>
      <c r="L427" t="s">
        <v>50</v>
      </c>
      <c r="M427">
        <v>1.5406519533231871</v>
      </c>
      <c r="N427">
        <v>4713.9565999999995</v>
      </c>
    </row>
    <row r="428" spans="2:14" x14ac:dyDescent="0.45">
      <c r="B428" t="s">
        <v>490</v>
      </c>
      <c r="C428" t="s">
        <v>477</v>
      </c>
      <c r="D428" t="s">
        <v>916</v>
      </c>
      <c r="E428" t="s">
        <v>492</v>
      </c>
      <c r="F428" t="s">
        <v>14</v>
      </c>
      <c r="G428" t="s">
        <v>493</v>
      </c>
      <c r="J428" t="s">
        <v>473</v>
      </c>
      <c r="K428" t="s">
        <v>49</v>
      </c>
      <c r="L428" t="s">
        <v>50</v>
      </c>
      <c r="M428">
        <v>3.51</v>
      </c>
    </row>
    <row r="429" spans="2:14" x14ac:dyDescent="0.45">
      <c r="B429" t="s">
        <v>490</v>
      </c>
      <c r="C429" t="s">
        <v>475</v>
      </c>
      <c r="D429" t="s">
        <v>917</v>
      </c>
      <c r="E429" t="s">
        <v>492</v>
      </c>
      <c r="F429" t="s">
        <v>14</v>
      </c>
      <c r="G429" t="s">
        <v>493</v>
      </c>
      <c r="J429" t="s">
        <v>474</v>
      </c>
      <c r="K429" t="s">
        <v>49</v>
      </c>
      <c r="L429" t="s">
        <v>50</v>
      </c>
      <c r="M429">
        <v>7.0000000000000007E-2</v>
      </c>
    </row>
    <row r="430" spans="2:14" x14ac:dyDescent="0.45">
      <c r="B430" t="s">
        <v>490</v>
      </c>
      <c r="C430" t="s">
        <v>476</v>
      </c>
      <c r="D430" t="s">
        <v>918</v>
      </c>
      <c r="E430" t="s">
        <v>492</v>
      </c>
      <c r="F430" t="s">
        <v>14</v>
      </c>
      <c r="G430" t="s">
        <v>493</v>
      </c>
      <c r="J430" t="s">
        <v>475</v>
      </c>
      <c r="K430" t="s">
        <v>49</v>
      </c>
      <c r="L430" t="s">
        <v>50</v>
      </c>
      <c r="M430">
        <v>7.0000000000000007E-2</v>
      </c>
    </row>
    <row r="431" spans="2:14" x14ac:dyDescent="0.45">
      <c r="B431" t="s">
        <v>490</v>
      </c>
      <c r="C431" t="s">
        <v>470</v>
      </c>
      <c r="D431" t="s">
        <v>919</v>
      </c>
      <c r="E431" t="s">
        <v>492</v>
      </c>
      <c r="F431" t="s">
        <v>14</v>
      </c>
      <c r="G431" t="s">
        <v>493</v>
      </c>
      <c r="J431" t="s">
        <v>476</v>
      </c>
      <c r="K431" t="s">
        <v>49</v>
      </c>
      <c r="L431" t="s">
        <v>50</v>
      </c>
      <c r="M431">
        <v>2.1254687730151711</v>
      </c>
      <c r="N431">
        <v>10126</v>
      </c>
    </row>
    <row r="432" spans="2:14" x14ac:dyDescent="0.45">
      <c r="B432" t="s">
        <v>490</v>
      </c>
      <c r="C432" t="s">
        <v>472</v>
      </c>
      <c r="D432" t="s">
        <v>920</v>
      </c>
      <c r="E432" t="s">
        <v>492</v>
      </c>
      <c r="F432" t="s">
        <v>14</v>
      </c>
      <c r="G432" t="s">
        <v>493</v>
      </c>
      <c r="J432" t="s">
        <v>477</v>
      </c>
      <c r="K432" t="s">
        <v>49</v>
      </c>
      <c r="L432" t="s">
        <v>50</v>
      </c>
      <c r="M432">
        <v>0</v>
      </c>
    </row>
    <row r="433" spans="2:14" x14ac:dyDescent="0.45">
      <c r="B433" t="s">
        <v>490</v>
      </c>
      <c r="C433" t="s">
        <v>478</v>
      </c>
      <c r="D433" t="s">
        <v>921</v>
      </c>
      <c r="E433" t="s">
        <v>492</v>
      </c>
      <c r="F433" t="s">
        <v>14</v>
      </c>
      <c r="G433" t="s">
        <v>493</v>
      </c>
      <c r="J433" t="s">
        <v>478</v>
      </c>
      <c r="K433" t="s">
        <v>49</v>
      </c>
      <c r="L433" t="s">
        <v>50</v>
      </c>
      <c r="M433">
        <v>4.9713154571067619E-2</v>
      </c>
      <c r="N433">
        <v>6072.6501199999993</v>
      </c>
    </row>
    <row r="434" spans="2:14" x14ac:dyDescent="0.45">
      <c r="B434" t="s">
        <v>490</v>
      </c>
      <c r="C434" t="s">
        <v>479</v>
      </c>
      <c r="D434" t="s">
        <v>922</v>
      </c>
      <c r="E434" t="s">
        <v>492</v>
      </c>
      <c r="F434" t="s">
        <v>14</v>
      </c>
      <c r="G434" t="s">
        <v>493</v>
      </c>
      <c r="J434" t="s">
        <v>479</v>
      </c>
      <c r="K434" t="s">
        <v>49</v>
      </c>
      <c r="L434" t="s">
        <v>50</v>
      </c>
      <c r="M434">
        <v>5.47</v>
      </c>
    </row>
    <row r="435" spans="2:14" x14ac:dyDescent="0.45">
      <c r="B435" t="s">
        <v>490</v>
      </c>
      <c r="C435" t="s">
        <v>482</v>
      </c>
      <c r="D435" t="s">
        <v>923</v>
      </c>
      <c r="E435" t="s">
        <v>492</v>
      </c>
      <c r="F435" t="s">
        <v>14</v>
      </c>
      <c r="G435" t="s">
        <v>493</v>
      </c>
      <c r="J435" t="s">
        <v>480</v>
      </c>
      <c r="K435" t="s">
        <v>49</v>
      </c>
      <c r="L435" t="s">
        <v>50</v>
      </c>
      <c r="M435">
        <v>1.71</v>
      </c>
    </row>
    <row r="436" spans="2:14" x14ac:dyDescent="0.45">
      <c r="B436" t="s">
        <v>490</v>
      </c>
      <c r="C436" t="s">
        <v>481</v>
      </c>
      <c r="D436" t="s">
        <v>924</v>
      </c>
      <c r="E436" t="s">
        <v>492</v>
      </c>
      <c r="F436" t="s">
        <v>14</v>
      </c>
      <c r="G436" t="s">
        <v>493</v>
      </c>
      <c r="J436" t="s">
        <v>481</v>
      </c>
      <c r="K436" t="s">
        <v>49</v>
      </c>
      <c r="L436" t="s">
        <v>50</v>
      </c>
      <c r="M436">
        <v>12.412559419271734</v>
      </c>
      <c r="N436">
        <v>10423.155200000001</v>
      </c>
    </row>
    <row r="437" spans="2:14" x14ac:dyDescent="0.45">
      <c r="B437" t="s">
        <v>490</v>
      </c>
      <c r="C437" t="s">
        <v>483</v>
      </c>
      <c r="D437" t="s">
        <v>925</v>
      </c>
      <c r="E437" t="s">
        <v>492</v>
      </c>
      <c r="F437" t="s">
        <v>14</v>
      </c>
      <c r="G437" t="s">
        <v>493</v>
      </c>
      <c r="J437" t="s">
        <v>482</v>
      </c>
      <c r="K437" t="s">
        <v>49</v>
      </c>
      <c r="L437" t="s">
        <v>50</v>
      </c>
      <c r="M437">
        <v>1.54</v>
      </c>
    </row>
    <row r="438" spans="2:14" x14ac:dyDescent="0.45">
      <c r="B438" t="s">
        <v>490</v>
      </c>
      <c r="C438" t="s">
        <v>484</v>
      </c>
      <c r="D438" t="s">
        <v>926</v>
      </c>
      <c r="E438" t="s">
        <v>492</v>
      </c>
      <c r="F438" t="s">
        <v>14</v>
      </c>
      <c r="G438" t="s">
        <v>493</v>
      </c>
      <c r="J438" t="s">
        <v>483</v>
      </c>
      <c r="K438" t="s">
        <v>49</v>
      </c>
      <c r="L438" t="s">
        <v>50</v>
      </c>
      <c r="M438">
        <v>1.73</v>
      </c>
    </row>
    <row r="439" spans="2:14" x14ac:dyDescent="0.45">
      <c r="B439" t="s">
        <v>490</v>
      </c>
      <c r="C439" t="s">
        <v>485</v>
      </c>
      <c r="D439" t="s">
        <v>927</v>
      </c>
      <c r="E439" t="s">
        <v>492</v>
      </c>
      <c r="F439" t="s">
        <v>14</v>
      </c>
      <c r="G439" t="s">
        <v>493</v>
      </c>
      <c r="J439" t="s">
        <v>484</v>
      </c>
      <c r="K439" t="s">
        <v>49</v>
      </c>
      <c r="L439" t="s">
        <v>50</v>
      </c>
      <c r="M439">
        <v>1.0245471217904978</v>
      </c>
      <c r="N439">
        <v>3857.0323759999997</v>
      </c>
    </row>
    <row r="440" spans="2:14" x14ac:dyDescent="0.45">
      <c r="B440" t="s">
        <v>490</v>
      </c>
      <c r="C440" t="s">
        <v>460</v>
      </c>
      <c r="D440" t="s">
        <v>928</v>
      </c>
      <c r="E440" t="s">
        <v>492</v>
      </c>
      <c r="F440" t="s">
        <v>14</v>
      </c>
      <c r="G440" t="s">
        <v>493</v>
      </c>
      <c r="J440" t="s">
        <v>485</v>
      </c>
      <c r="K440" t="s">
        <v>49</v>
      </c>
      <c r="L440" t="s">
        <v>50</v>
      </c>
      <c r="M440">
        <v>3.1560000000000001</v>
      </c>
      <c r="N440">
        <v>9044.6377999999986</v>
      </c>
    </row>
    <row r="441" spans="2:14" x14ac:dyDescent="0.45">
      <c r="B441" t="s">
        <v>490</v>
      </c>
      <c r="C441" t="s">
        <v>486</v>
      </c>
      <c r="D441" t="s">
        <v>929</v>
      </c>
      <c r="E441" t="s">
        <v>492</v>
      </c>
      <c r="F441" t="s">
        <v>14</v>
      </c>
      <c r="G441" t="s">
        <v>493</v>
      </c>
      <c r="J441" t="s">
        <v>486</v>
      </c>
      <c r="K441" t="s">
        <v>49</v>
      </c>
      <c r="L441" t="s">
        <v>50</v>
      </c>
      <c r="M441">
        <v>2.008</v>
      </c>
      <c r="N441">
        <v>21909.749</v>
      </c>
    </row>
    <row r="442" spans="2:14" x14ac:dyDescent="0.45">
      <c r="B442" t="s">
        <v>490</v>
      </c>
      <c r="C442" t="s">
        <v>487</v>
      </c>
      <c r="D442" t="s">
        <v>930</v>
      </c>
      <c r="E442" t="s">
        <v>492</v>
      </c>
      <c r="F442" t="s">
        <v>14</v>
      </c>
      <c r="G442" t="s">
        <v>493</v>
      </c>
      <c r="J442" t="s">
        <v>487</v>
      </c>
      <c r="K442" t="s">
        <v>49</v>
      </c>
      <c r="L442" t="s">
        <v>50</v>
      </c>
      <c r="M442">
        <v>0.77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A0A8-D9AB-4AEB-8AA8-3603CF9F8270}">
  <dimension ref="A3:U148"/>
  <sheetViews>
    <sheetView workbookViewId="0">
      <selection activeCell="C4" sqref="C4"/>
    </sheetView>
  </sheetViews>
  <sheetFormatPr defaultColWidth="9.1328125" defaultRowHeight="14.25" x14ac:dyDescent="0.45"/>
  <cols>
    <col min="4" max="4" width="11.265625" bestFit="1" customWidth="1"/>
    <col min="5" max="6" width="24.86328125" bestFit="1" customWidth="1"/>
    <col min="7" max="7" width="4.3984375" bestFit="1" customWidth="1"/>
    <col min="8" max="9" width="5" bestFit="1" customWidth="1"/>
    <col min="10" max="10" width="10.265625" bestFit="1" customWidth="1"/>
    <col min="11" max="11" width="19.265625" bestFit="1" customWidth="1"/>
    <col min="12" max="12" width="24.265625" bestFit="1" customWidth="1"/>
    <col min="13" max="13" width="11.1328125" bestFit="1" customWidth="1"/>
    <col min="14" max="14" width="8.86328125" bestFit="1" customWidth="1"/>
    <col min="15" max="15" width="4.3984375" bestFit="1" customWidth="1"/>
    <col min="16" max="16" width="5.3984375" bestFit="1" customWidth="1"/>
    <col min="17" max="17" width="3.265625" bestFit="1" customWidth="1"/>
  </cols>
  <sheetData>
    <row r="3" spans="1:21" x14ac:dyDescent="0.45">
      <c r="D3" s="1" t="s">
        <v>40</v>
      </c>
      <c r="E3" s="1"/>
      <c r="F3" s="1"/>
      <c r="G3" s="1"/>
      <c r="H3" s="1"/>
      <c r="I3" s="1"/>
      <c r="J3" s="1"/>
      <c r="M3" t="s">
        <v>41</v>
      </c>
    </row>
    <row r="4" spans="1:21" x14ac:dyDescent="0.4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L4" t="s">
        <v>1</v>
      </c>
      <c r="M4" t="s">
        <v>7</v>
      </c>
      <c r="N4" t="s">
        <v>8</v>
      </c>
      <c r="O4" t="s">
        <v>9</v>
      </c>
      <c r="P4" t="s">
        <v>10</v>
      </c>
      <c r="Q4" t="s">
        <v>11</v>
      </c>
    </row>
    <row r="5" spans="1:21" x14ac:dyDescent="0.45">
      <c r="A5">
        <v>1</v>
      </c>
      <c r="B5" s="1" t="s">
        <v>12</v>
      </c>
      <c r="C5" s="1"/>
      <c r="D5" s="1" t="s">
        <v>13</v>
      </c>
      <c r="E5" s="1" t="str">
        <f>B5&amp;"_"&amp;VLOOKUP(A5,$T$5:$U$20,2,FALSE)</f>
        <v>EBldRateStep_Sol_1_AFR</v>
      </c>
      <c r="F5" s="1" t="str">
        <f>E5</f>
        <v>EBldRateStep_Sol_1_AFR</v>
      </c>
      <c r="G5" s="1" t="s">
        <v>14</v>
      </c>
      <c r="H5" s="1" t="s">
        <v>14</v>
      </c>
      <c r="I5" s="1"/>
      <c r="L5" s="1" t="str">
        <f>E5</f>
        <v>EBldRateStep_Sol_1_AFR</v>
      </c>
      <c r="M5" t="s">
        <v>15</v>
      </c>
      <c r="O5">
        <v>10</v>
      </c>
      <c r="P5">
        <v>10</v>
      </c>
      <c r="Q5">
        <v>1</v>
      </c>
      <c r="T5" s="2">
        <v>1</v>
      </c>
      <c r="U5" s="2" t="s">
        <v>16</v>
      </c>
    </row>
    <row r="6" spans="1:21" x14ac:dyDescent="0.45">
      <c r="A6">
        <v>1</v>
      </c>
      <c r="B6" s="1" t="s">
        <v>17</v>
      </c>
      <c r="C6" s="1"/>
      <c r="D6" s="1"/>
      <c r="E6" s="1" t="str">
        <f t="shared" ref="E6:E69" si="0">B6&amp;"_"&amp;VLOOKUP(A6,$T$5:$U$20,2,FALSE)</f>
        <v>EBldRateStep_Sol_2_AFR</v>
      </c>
      <c r="F6" s="1" t="str">
        <f t="shared" ref="F6:F69" si="1">E6</f>
        <v>EBldRateStep_Sol_2_AFR</v>
      </c>
      <c r="G6" s="1" t="s">
        <v>14</v>
      </c>
      <c r="H6" s="1" t="s">
        <v>14</v>
      </c>
      <c r="I6" s="1"/>
      <c r="L6" s="1" t="str">
        <f t="shared" ref="L6:L10" si="2">E6</f>
        <v>EBldRateStep_Sol_2_AFR</v>
      </c>
      <c r="M6" t="s">
        <v>15</v>
      </c>
      <c r="N6">
        <v>300</v>
      </c>
      <c r="O6">
        <v>200</v>
      </c>
      <c r="P6">
        <v>30</v>
      </c>
      <c r="Q6">
        <v>1</v>
      </c>
      <c r="T6" s="2">
        <v>2</v>
      </c>
      <c r="U6" s="2" t="s">
        <v>18</v>
      </c>
    </row>
    <row r="7" spans="1:21" x14ac:dyDescent="0.45">
      <c r="A7">
        <v>1</v>
      </c>
      <c r="B7" s="1" t="s">
        <v>19</v>
      </c>
      <c r="C7" s="1"/>
      <c r="E7" s="1" t="str">
        <f t="shared" si="0"/>
        <v>EBldRateStep_Sol_3_AFR</v>
      </c>
      <c r="F7" s="1" t="str">
        <f t="shared" si="1"/>
        <v>EBldRateStep_Sol_3_AFR</v>
      </c>
      <c r="G7" s="1" t="s">
        <v>14</v>
      </c>
      <c r="H7" s="1" t="s">
        <v>14</v>
      </c>
      <c r="L7" s="1" t="str">
        <f t="shared" si="2"/>
        <v>EBldRateStep_Sol_3_AFR</v>
      </c>
      <c r="M7" t="s">
        <v>15</v>
      </c>
      <c r="N7">
        <v>600</v>
      </c>
      <c r="O7">
        <v>200</v>
      </c>
      <c r="P7">
        <v>30</v>
      </c>
      <c r="Q7">
        <v>1</v>
      </c>
      <c r="T7" s="2">
        <v>3</v>
      </c>
      <c r="U7" s="2" t="s">
        <v>20</v>
      </c>
    </row>
    <row r="8" spans="1:21" x14ac:dyDescent="0.45">
      <c r="A8">
        <v>1</v>
      </c>
      <c r="B8" s="1" t="s">
        <v>21</v>
      </c>
      <c r="C8" s="1"/>
      <c r="E8" s="1" t="str">
        <f t="shared" si="0"/>
        <v>EBldRateStep_Win_1_AFR</v>
      </c>
      <c r="F8" s="1" t="str">
        <f t="shared" si="1"/>
        <v>EBldRateStep_Win_1_AFR</v>
      </c>
      <c r="G8" s="1" t="s">
        <v>14</v>
      </c>
      <c r="H8" s="1" t="s">
        <v>14</v>
      </c>
      <c r="L8" s="1" t="str">
        <f>E8</f>
        <v>EBldRateStep_Win_1_AFR</v>
      </c>
      <c r="M8" t="s">
        <v>15</v>
      </c>
      <c r="O8">
        <v>10</v>
      </c>
      <c r="P8">
        <v>10</v>
      </c>
      <c r="Q8">
        <v>1</v>
      </c>
      <c r="T8" s="2">
        <v>4</v>
      </c>
      <c r="U8" s="2" t="s">
        <v>22</v>
      </c>
    </row>
    <row r="9" spans="1:21" x14ac:dyDescent="0.45">
      <c r="A9">
        <v>1</v>
      </c>
      <c r="B9" s="1" t="s">
        <v>23</v>
      </c>
      <c r="C9" s="1"/>
      <c r="E9" s="1" t="str">
        <f t="shared" si="0"/>
        <v>EBldRateStep_Win_2_AFR</v>
      </c>
      <c r="F9" s="1" t="str">
        <f t="shared" si="1"/>
        <v>EBldRateStep_Win_2_AFR</v>
      </c>
      <c r="G9" s="1" t="s">
        <v>14</v>
      </c>
      <c r="H9" s="1" t="s">
        <v>14</v>
      </c>
      <c r="L9" s="1" t="str">
        <f t="shared" si="2"/>
        <v>EBldRateStep_Win_2_AFR</v>
      </c>
      <c r="M9" t="s">
        <v>15</v>
      </c>
      <c r="N9">
        <v>750</v>
      </c>
      <c r="O9">
        <v>200</v>
      </c>
      <c r="P9">
        <v>30</v>
      </c>
      <c r="Q9">
        <v>1</v>
      </c>
      <c r="T9" s="2">
        <v>5</v>
      </c>
      <c r="U9" s="2" t="s">
        <v>24</v>
      </c>
    </row>
    <row r="10" spans="1:21" x14ac:dyDescent="0.45">
      <c r="A10">
        <v>1</v>
      </c>
      <c r="B10" s="1" t="s">
        <v>25</v>
      </c>
      <c r="C10" s="1"/>
      <c r="E10" s="1" t="str">
        <f t="shared" si="0"/>
        <v>EBldRateStep_Win_3_AFR</v>
      </c>
      <c r="F10" s="1" t="str">
        <f t="shared" si="1"/>
        <v>EBldRateStep_Win_3_AFR</v>
      </c>
      <c r="G10" s="1" t="s">
        <v>14</v>
      </c>
      <c r="H10" s="1" t="s">
        <v>14</v>
      </c>
      <c r="L10" s="1" t="str">
        <f t="shared" si="2"/>
        <v>EBldRateStep_Win_3_AFR</v>
      </c>
      <c r="M10" t="s">
        <v>15</v>
      </c>
      <c r="N10">
        <v>1500</v>
      </c>
      <c r="O10">
        <v>200</v>
      </c>
      <c r="P10">
        <v>30</v>
      </c>
      <c r="Q10">
        <v>1</v>
      </c>
      <c r="T10" s="2">
        <v>6</v>
      </c>
      <c r="U10" s="2" t="s">
        <v>26</v>
      </c>
    </row>
    <row r="11" spans="1:21" x14ac:dyDescent="0.45">
      <c r="A11">
        <v>1</v>
      </c>
      <c r="B11" s="1" t="s">
        <v>27</v>
      </c>
      <c r="C11" s="1"/>
      <c r="E11" s="1" t="str">
        <f t="shared" si="0"/>
        <v>EBldRateStep_Hyd_1_AFR</v>
      </c>
      <c r="F11" s="1" t="str">
        <f t="shared" si="1"/>
        <v>EBldRateStep_Hyd_1_AFR</v>
      </c>
      <c r="G11" s="1" t="s">
        <v>14</v>
      </c>
      <c r="H11" s="1" t="s">
        <v>14</v>
      </c>
      <c r="L11" s="1" t="str">
        <f>E11</f>
        <v>EBldRateStep_Hyd_1_AFR</v>
      </c>
      <c r="M11" t="s">
        <v>15</v>
      </c>
      <c r="O11">
        <v>10</v>
      </c>
      <c r="P11">
        <v>10</v>
      </c>
      <c r="Q11">
        <v>1</v>
      </c>
      <c r="T11" s="2">
        <v>7</v>
      </c>
      <c r="U11" s="2" t="s">
        <v>28</v>
      </c>
    </row>
    <row r="12" spans="1:21" x14ac:dyDescent="0.45">
      <c r="A12">
        <v>1</v>
      </c>
      <c r="B12" s="1" t="s">
        <v>29</v>
      </c>
      <c r="C12" s="1"/>
      <c r="E12" s="1" t="str">
        <f t="shared" si="0"/>
        <v>EBldRateStep_Hyd_2_AFR</v>
      </c>
      <c r="F12" s="1" t="str">
        <f t="shared" si="1"/>
        <v>EBldRateStep_Hyd_2_AFR</v>
      </c>
      <c r="G12" s="1" t="s">
        <v>14</v>
      </c>
      <c r="H12" s="1" t="s">
        <v>14</v>
      </c>
      <c r="L12" s="1" t="str">
        <f>E12</f>
        <v>EBldRateStep_Hyd_2_AFR</v>
      </c>
      <c r="M12" t="s">
        <v>15</v>
      </c>
      <c r="N12">
        <v>900</v>
      </c>
      <c r="O12">
        <v>200</v>
      </c>
      <c r="P12">
        <v>30</v>
      </c>
      <c r="Q12">
        <v>1</v>
      </c>
      <c r="T12" s="2">
        <v>8</v>
      </c>
      <c r="U12" s="2" t="s">
        <v>30</v>
      </c>
    </row>
    <row r="13" spans="1:21" x14ac:dyDescent="0.45">
      <c r="A13">
        <v>1</v>
      </c>
      <c r="B13" s="1" t="s">
        <v>31</v>
      </c>
      <c r="C13" s="1"/>
      <c r="E13" s="1" t="str">
        <f t="shared" si="0"/>
        <v>EBldRateStep_Hyd_3_AFR</v>
      </c>
      <c r="F13" s="1" t="str">
        <f t="shared" si="1"/>
        <v>EBldRateStep_Hyd_3_AFR</v>
      </c>
      <c r="G13" s="1" t="s">
        <v>14</v>
      </c>
      <c r="H13" s="1" t="s">
        <v>14</v>
      </c>
      <c r="L13" s="1" t="str">
        <f>E13</f>
        <v>EBldRateStep_Hyd_3_AFR</v>
      </c>
      <c r="M13" t="s">
        <v>15</v>
      </c>
      <c r="N13">
        <v>1800</v>
      </c>
      <c r="O13">
        <v>200</v>
      </c>
      <c r="P13">
        <v>30</v>
      </c>
      <c r="Q13">
        <v>1</v>
      </c>
      <c r="T13" s="2">
        <v>9</v>
      </c>
      <c r="U13" s="2" t="s">
        <v>32</v>
      </c>
    </row>
    <row r="14" spans="1:21" x14ac:dyDescent="0.45">
      <c r="A14">
        <f>A5+1</f>
        <v>2</v>
      </c>
      <c r="B14" s="1" t="str">
        <f>B5</f>
        <v>EBldRateStep_Sol_1</v>
      </c>
      <c r="E14" s="1" t="str">
        <f t="shared" si="0"/>
        <v>EBldRateStep_Sol_1_ANZ</v>
      </c>
      <c r="F14" s="1" t="str">
        <f t="shared" si="1"/>
        <v>EBldRateStep_Sol_1_ANZ</v>
      </c>
      <c r="G14" s="1" t="s">
        <v>14</v>
      </c>
      <c r="H14" s="1" t="s">
        <v>14</v>
      </c>
      <c r="L14" s="1" t="str">
        <f>E14</f>
        <v>EBldRateStep_Sol_1_ANZ</v>
      </c>
      <c r="M14" t="s">
        <v>15</v>
      </c>
      <c r="N14">
        <f>N5</f>
        <v>0</v>
      </c>
      <c r="O14">
        <f t="shared" ref="O14:Q14" si="3">O5</f>
        <v>10</v>
      </c>
      <c r="P14">
        <f t="shared" si="3"/>
        <v>10</v>
      </c>
      <c r="Q14">
        <f t="shared" si="3"/>
        <v>1</v>
      </c>
      <c r="T14" s="2">
        <v>10</v>
      </c>
      <c r="U14" s="2" t="s">
        <v>33</v>
      </c>
    </row>
    <row r="15" spans="1:21" x14ac:dyDescent="0.45">
      <c r="A15">
        <f t="shared" ref="A15:A78" si="4">A6+1</f>
        <v>2</v>
      </c>
      <c r="B15" s="1" t="str">
        <f t="shared" ref="B15:B78" si="5">B6</f>
        <v>EBldRateStep_Sol_2</v>
      </c>
      <c r="E15" s="1" t="str">
        <f t="shared" si="0"/>
        <v>EBldRateStep_Sol_2_ANZ</v>
      </c>
      <c r="F15" s="1" t="str">
        <f t="shared" si="1"/>
        <v>EBldRateStep_Sol_2_ANZ</v>
      </c>
      <c r="G15" s="1" t="s">
        <v>14</v>
      </c>
      <c r="H15" s="1" t="s">
        <v>14</v>
      </c>
      <c r="L15" s="1" t="str">
        <f t="shared" ref="L15:L78" si="6">E15</f>
        <v>EBldRateStep_Sol_2_ANZ</v>
      </c>
      <c r="M15" t="s">
        <v>15</v>
      </c>
      <c r="N15">
        <f t="shared" ref="N15:Q30" si="7">N6</f>
        <v>300</v>
      </c>
      <c r="O15">
        <f t="shared" si="7"/>
        <v>200</v>
      </c>
      <c r="P15">
        <f t="shared" si="7"/>
        <v>30</v>
      </c>
      <c r="Q15">
        <f t="shared" si="7"/>
        <v>1</v>
      </c>
      <c r="T15" s="2">
        <v>11</v>
      </c>
      <c r="U15" s="2" t="s">
        <v>34</v>
      </c>
    </row>
    <row r="16" spans="1:21" x14ac:dyDescent="0.45">
      <c r="A16">
        <f t="shared" si="4"/>
        <v>2</v>
      </c>
      <c r="B16" s="1" t="str">
        <f t="shared" si="5"/>
        <v>EBldRateStep_Sol_3</v>
      </c>
      <c r="E16" s="1" t="str">
        <f t="shared" si="0"/>
        <v>EBldRateStep_Sol_3_ANZ</v>
      </c>
      <c r="F16" s="1" t="str">
        <f t="shared" si="1"/>
        <v>EBldRateStep_Sol_3_ANZ</v>
      </c>
      <c r="G16" s="1" t="s">
        <v>14</v>
      </c>
      <c r="H16" s="1" t="s">
        <v>14</v>
      </c>
      <c r="L16" s="1" t="str">
        <f t="shared" si="6"/>
        <v>EBldRateStep_Sol_3_ANZ</v>
      </c>
      <c r="M16" t="s">
        <v>15</v>
      </c>
      <c r="N16">
        <f t="shared" si="7"/>
        <v>600</v>
      </c>
      <c r="O16">
        <f t="shared" si="7"/>
        <v>200</v>
      </c>
      <c r="P16">
        <f t="shared" si="7"/>
        <v>30</v>
      </c>
      <c r="Q16">
        <f t="shared" si="7"/>
        <v>1</v>
      </c>
      <c r="T16" s="2">
        <v>12</v>
      </c>
      <c r="U16" s="2" t="s">
        <v>35</v>
      </c>
    </row>
    <row r="17" spans="1:21" x14ac:dyDescent="0.45">
      <c r="A17">
        <f t="shared" si="4"/>
        <v>2</v>
      </c>
      <c r="B17" s="1" t="str">
        <f t="shared" si="5"/>
        <v>EBldRateStep_Win_1</v>
      </c>
      <c r="E17" s="1" t="str">
        <f t="shared" si="0"/>
        <v>EBldRateStep_Win_1_ANZ</v>
      </c>
      <c r="F17" s="1" t="str">
        <f t="shared" si="1"/>
        <v>EBldRateStep_Win_1_ANZ</v>
      </c>
      <c r="G17" s="1" t="s">
        <v>14</v>
      </c>
      <c r="H17" s="1" t="s">
        <v>14</v>
      </c>
      <c r="L17" s="1" t="str">
        <f t="shared" si="6"/>
        <v>EBldRateStep_Win_1_ANZ</v>
      </c>
      <c r="M17" t="s">
        <v>15</v>
      </c>
      <c r="N17">
        <f t="shared" si="7"/>
        <v>0</v>
      </c>
      <c r="O17">
        <f t="shared" si="7"/>
        <v>10</v>
      </c>
      <c r="P17">
        <f t="shared" si="7"/>
        <v>10</v>
      </c>
      <c r="Q17">
        <f t="shared" si="7"/>
        <v>1</v>
      </c>
      <c r="T17" s="2">
        <v>13</v>
      </c>
      <c r="U17" s="2" t="s">
        <v>36</v>
      </c>
    </row>
    <row r="18" spans="1:21" x14ac:dyDescent="0.45">
      <c r="A18">
        <f t="shared" si="4"/>
        <v>2</v>
      </c>
      <c r="B18" s="1" t="str">
        <f t="shared" si="5"/>
        <v>EBldRateStep_Win_2</v>
      </c>
      <c r="E18" s="1" t="str">
        <f t="shared" si="0"/>
        <v>EBldRateStep_Win_2_ANZ</v>
      </c>
      <c r="F18" s="1" t="str">
        <f t="shared" si="1"/>
        <v>EBldRateStep_Win_2_ANZ</v>
      </c>
      <c r="G18" s="1" t="s">
        <v>14</v>
      </c>
      <c r="H18" s="1" t="s">
        <v>14</v>
      </c>
      <c r="L18" s="1" t="str">
        <f t="shared" si="6"/>
        <v>EBldRateStep_Win_2_ANZ</v>
      </c>
      <c r="M18" t="s">
        <v>15</v>
      </c>
      <c r="N18">
        <f t="shared" si="7"/>
        <v>750</v>
      </c>
      <c r="O18">
        <f t="shared" si="7"/>
        <v>200</v>
      </c>
      <c r="P18">
        <f t="shared" si="7"/>
        <v>30</v>
      </c>
      <c r="Q18">
        <f t="shared" si="7"/>
        <v>1</v>
      </c>
      <c r="T18" s="2">
        <v>14</v>
      </c>
      <c r="U18" s="2" t="s">
        <v>37</v>
      </c>
    </row>
    <row r="19" spans="1:21" x14ac:dyDescent="0.45">
      <c r="A19">
        <f t="shared" si="4"/>
        <v>2</v>
      </c>
      <c r="B19" s="1" t="str">
        <f t="shared" si="5"/>
        <v>EBldRateStep_Win_3</v>
      </c>
      <c r="E19" s="1" t="str">
        <f t="shared" si="0"/>
        <v>EBldRateStep_Win_3_ANZ</v>
      </c>
      <c r="F19" s="1" t="str">
        <f t="shared" si="1"/>
        <v>EBldRateStep_Win_3_ANZ</v>
      </c>
      <c r="G19" s="1" t="s">
        <v>14</v>
      </c>
      <c r="H19" s="1" t="s">
        <v>14</v>
      </c>
      <c r="L19" s="1" t="str">
        <f t="shared" si="6"/>
        <v>EBldRateStep_Win_3_ANZ</v>
      </c>
      <c r="M19" t="s">
        <v>15</v>
      </c>
      <c r="N19">
        <f t="shared" si="7"/>
        <v>1500</v>
      </c>
      <c r="O19">
        <f t="shared" si="7"/>
        <v>200</v>
      </c>
      <c r="P19">
        <f t="shared" si="7"/>
        <v>30</v>
      </c>
      <c r="Q19">
        <f t="shared" si="7"/>
        <v>1</v>
      </c>
      <c r="T19" s="2">
        <v>15</v>
      </c>
      <c r="U19" s="2" t="s">
        <v>38</v>
      </c>
    </row>
    <row r="20" spans="1:21" x14ac:dyDescent="0.45">
      <c r="A20">
        <f t="shared" si="4"/>
        <v>2</v>
      </c>
      <c r="B20" s="1" t="str">
        <f t="shared" si="5"/>
        <v>EBldRateStep_Hyd_1</v>
      </c>
      <c r="E20" s="1" t="str">
        <f t="shared" si="0"/>
        <v>EBldRateStep_Hyd_1_ANZ</v>
      </c>
      <c r="F20" s="1" t="str">
        <f t="shared" si="1"/>
        <v>EBldRateStep_Hyd_1_ANZ</v>
      </c>
      <c r="G20" s="1" t="s">
        <v>14</v>
      </c>
      <c r="H20" s="1" t="s">
        <v>14</v>
      </c>
      <c r="L20" s="1" t="str">
        <f t="shared" si="6"/>
        <v>EBldRateStep_Hyd_1_ANZ</v>
      </c>
      <c r="M20" t="s">
        <v>15</v>
      </c>
      <c r="N20">
        <f t="shared" si="7"/>
        <v>0</v>
      </c>
      <c r="O20">
        <f t="shared" si="7"/>
        <v>10</v>
      </c>
      <c r="P20">
        <f t="shared" si="7"/>
        <v>10</v>
      </c>
      <c r="Q20">
        <f t="shared" si="7"/>
        <v>1</v>
      </c>
      <c r="T20" s="2">
        <v>16</v>
      </c>
      <c r="U20" s="2" t="s">
        <v>39</v>
      </c>
    </row>
    <row r="21" spans="1:21" x14ac:dyDescent="0.45">
      <c r="A21">
        <f t="shared" si="4"/>
        <v>2</v>
      </c>
      <c r="B21" s="1" t="str">
        <f t="shared" si="5"/>
        <v>EBldRateStep_Hyd_2</v>
      </c>
      <c r="E21" s="1" t="str">
        <f t="shared" si="0"/>
        <v>EBldRateStep_Hyd_2_ANZ</v>
      </c>
      <c r="F21" s="1" t="str">
        <f t="shared" si="1"/>
        <v>EBldRateStep_Hyd_2_ANZ</v>
      </c>
      <c r="G21" s="1" t="s">
        <v>14</v>
      </c>
      <c r="H21" s="1" t="s">
        <v>14</v>
      </c>
      <c r="L21" s="1" t="str">
        <f t="shared" si="6"/>
        <v>EBldRateStep_Hyd_2_ANZ</v>
      </c>
      <c r="M21" t="s">
        <v>15</v>
      </c>
      <c r="N21">
        <f t="shared" si="7"/>
        <v>900</v>
      </c>
      <c r="O21">
        <f t="shared" si="7"/>
        <v>200</v>
      </c>
      <c r="P21">
        <f t="shared" si="7"/>
        <v>30</v>
      </c>
      <c r="Q21">
        <f t="shared" si="7"/>
        <v>1</v>
      </c>
    </row>
    <row r="22" spans="1:21" x14ac:dyDescent="0.45">
      <c r="A22">
        <f t="shared" si="4"/>
        <v>2</v>
      </c>
      <c r="B22" s="1" t="str">
        <f t="shared" si="5"/>
        <v>EBldRateStep_Hyd_3</v>
      </c>
      <c r="E22" s="1" t="str">
        <f t="shared" si="0"/>
        <v>EBldRateStep_Hyd_3_ANZ</v>
      </c>
      <c r="F22" s="1" t="str">
        <f t="shared" si="1"/>
        <v>EBldRateStep_Hyd_3_ANZ</v>
      </c>
      <c r="G22" s="1" t="s">
        <v>14</v>
      </c>
      <c r="H22" s="1" t="s">
        <v>14</v>
      </c>
      <c r="L22" s="1" t="str">
        <f t="shared" si="6"/>
        <v>EBldRateStep_Hyd_3_ANZ</v>
      </c>
      <c r="M22" t="s">
        <v>15</v>
      </c>
      <c r="N22">
        <f t="shared" si="7"/>
        <v>1800</v>
      </c>
      <c r="O22">
        <f t="shared" si="7"/>
        <v>200</v>
      </c>
      <c r="P22">
        <f t="shared" si="7"/>
        <v>30</v>
      </c>
      <c r="Q22">
        <f t="shared" si="7"/>
        <v>1</v>
      </c>
    </row>
    <row r="23" spans="1:21" x14ac:dyDescent="0.45">
      <c r="A23">
        <f t="shared" si="4"/>
        <v>3</v>
      </c>
      <c r="B23" s="1" t="str">
        <f t="shared" si="5"/>
        <v>EBldRateStep_Sol_1</v>
      </c>
      <c r="E23" s="1" t="str">
        <f t="shared" si="0"/>
        <v>EBldRateStep_Sol_1_BRZ</v>
      </c>
      <c r="F23" s="1" t="str">
        <f t="shared" si="1"/>
        <v>EBldRateStep_Sol_1_BRZ</v>
      </c>
      <c r="G23" s="1" t="s">
        <v>14</v>
      </c>
      <c r="H23" s="1" t="s">
        <v>14</v>
      </c>
      <c r="L23" s="1" t="str">
        <f t="shared" si="6"/>
        <v>EBldRateStep_Sol_1_BRZ</v>
      </c>
      <c r="M23" t="s">
        <v>15</v>
      </c>
      <c r="N23">
        <f t="shared" si="7"/>
        <v>0</v>
      </c>
      <c r="O23">
        <f t="shared" si="7"/>
        <v>10</v>
      </c>
      <c r="P23">
        <f t="shared" si="7"/>
        <v>10</v>
      </c>
      <c r="Q23">
        <f t="shared" si="7"/>
        <v>1</v>
      </c>
    </row>
    <row r="24" spans="1:21" x14ac:dyDescent="0.45">
      <c r="A24">
        <f t="shared" si="4"/>
        <v>3</v>
      </c>
      <c r="B24" s="1" t="str">
        <f t="shared" si="5"/>
        <v>EBldRateStep_Sol_2</v>
      </c>
      <c r="E24" s="1" t="str">
        <f t="shared" si="0"/>
        <v>EBldRateStep_Sol_2_BRZ</v>
      </c>
      <c r="F24" s="1" t="str">
        <f t="shared" si="1"/>
        <v>EBldRateStep_Sol_2_BRZ</v>
      </c>
      <c r="G24" s="1" t="s">
        <v>14</v>
      </c>
      <c r="H24" s="1" t="s">
        <v>14</v>
      </c>
      <c r="L24" s="1" t="str">
        <f t="shared" si="6"/>
        <v>EBldRateStep_Sol_2_BRZ</v>
      </c>
      <c r="M24" t="s">
        <v>15</v>
      </c>
      <c r="N24">
        <f t="shared" si="7"/>
        <v>300</v>
      </c>
      <c r="O24">
        <f t="shared" si="7"/>
        <v>200</v>
      </c>
      <c r="P24">
        <f t="shared" si="7"/>
        <v>30</v>
      </c>
      <c r="Q24">
        <f t="shared" si="7"/>
        <v>1</v>
      </c>
    </row>
    <row r="25" spans="1:21" x14ac:dyDescent="0.45">
      <c r="A25">
        <f t="shared" si="4"/>
        <v>3</v>
      </c>
      <c r="B25" s="1" t="str">
        <f t="shared" si="5"/>
        <v>EBldRateStep_Sol_3</v>
      </c>
      <c r="E25" s="1" t="str">
        <f t="shared" si="0"/>
        <v>EBldRateStep_Sol_3_BRZ</v>
      </c>
      <c r="F25" s="1" t="str">
        <f t="shared" si="1"/>
        <v>EBldRateStep_Sol_3_BRZ</v>
      </c>
      <c r="G25" s="1" t="s">
        <v>14</v>
      </c>
      <c r="H25" s="1" t="s">
        <v>14</v>
      </c>
      <c r="L25" s="1" t="str">
        <f t="shared" si="6"/>
        <v>EBldRateStep_Sol_3_BRZ</v>
      </c>
      <c r="M25" t="s">
        <v>15</v>
      </c>
      <c r="N25">
        <f t="shared" si="7"/>
        <v>600</v>
      </c>
      <c r="O25">
        <f t="shared" si="7"/>
        <v>200</v>
      </c>
      <c r="P25">
        <f t="shared" si="7"/>
        <v>30</v>
      </c>
      <c r="Q25">
        <f t="shared" si="7"/>
        <v>1</v>
      </c>
    </row>
    <row r="26" spans="1:21" x14ac:dyDescent="0.45">
      <c r="A26">
        <f t="shared" si="4"/>
        <v>3</v>
      </c>
      <c r="B26" s="1" t="str">
        <f t="shared" si="5"/>
        <v>EBldRateStep_Win_1</v>
      </c>
      <c r="E26" s="1" t="str">
        <f t="shared" si="0"/>
        <v>EBldRateStep_Win_1_BRZ</v>
      </c>
      <c r="F26" s="1" t="str">
        <f t="shared" si="1"/>
        <v>EBldRateStep_Win_1_BRZ</v>
      </c>
      <c r="G26" s="1" t="s">
        <v>14</v>
      </c>
      <c r="H26" s="1" t="s">
        <v>14</v>
      </c>
      <c r="L26" s="1" t="str">
        <f t="shared" si="6"/>
        <v>EBldRateStep_Win_1_BRZ</v>
      </c>
      <c r="M26" t="s">
        <v>15</v>
      </c>
      <c r="N26">
        <f t="shared" si="7"/>
        <v>0</v>
      </c>
      <c r="O26">
        <f t="shared" si="7"/>
        <v>10</v>
      </c>
      <c r="P26">
        <f t="shared" si="7"/>
        <v>10</v>
      </c>
      <c r="Q26">
        <f t="shared" si="7"/>
        <v>1</v>
      </c>
    </row>
    <row r="27" spans="1:21" x14ac:dyDescent="0.45">
      <c r="A27">
        <f t="shared" si="4"/>
        <v>3</v>
      </c>
      <c r="B27" s="1" t="str">
        <f t="shared" si="5"/>
        <v>EBldRateStep_Win_2</v>
      </c>
      <c r="E27" s="1" t="str">
        <f t="shared" si="0"/>
        <v>EBldRateStep_Win_2_BRZ</v>
      </c>
      <c r="F27" s="1" t="str">
        <f t="shared" si="1"/>
        <v>EBldRateStep_Win_2_BRZ</v>
      </c>
      <c r="G27" s="1" t="s">
        <v>14</v>
      </c>
      <c r="H27" s="1" t="s">
        <v>14</v>
      </c>
      <c r="L27" s="1" t="str">
        <f t="shared" si="6"/>
        <v>EBldRateStep_Win_2_BRZ</v>
      </c>
      <c r="M27" t="s">
        <v>15</v>
      </c>
      <c r="N27">
        <f t="shared" si="7"/>
        <v>750</v>
      </c>
      <c r="O27">
        <f t="shared" si="7"/>
        <v>200</v>
      </c>
      <c r="P27">
        <f t="shared" si="7"/>
        <v>30</v>
      </c>
      <c r="Q27">
        <f t="shared" si="7"/>
        <v>1</v>
      </c>
    </row>
    <row r="28" spans="1:21" x14ac:dyDescent="0.45">
      <c r="A28">
        <f t="shared" si="4"/>
        <v>3</v>
      </c>
      <c r="B28" s="1" t="str">
        <f t="shared" si="5"/>
        <v>EBldRateStep_Win_3</v>
      </c>
      <c r="E28" s="1" t="str">
        <f t="shared" si="0"/>
        <v>EBldRateStep_Win_3_BRZ</v>
      </c>
      <c r="F28" s="1" t="str">
        <f t="shared" si="1"/>
        <v>EBldRateStep_Win_3_BRZ</v>
      </c>
      <c r="G28" s="1" t="s">
        <v>14</v>
      </c>
      <c r="H28" s="1" t="s">
        <v>14</v>
      </c>
      <c r="L28" s="1" t="str">
        <f t="shared" si="6"/>
        <v>EBldRateStep_Win_3_BRZ</v>
      </c>
      <c r="M28" t="s">
        <v>15</v>
      </c>
      <c r="N28">
        <f t="shared" si="7"/>
        <v>1500</v>
      </c>
      <c r="O28">
        <f t="shared" si="7"/>
        <v>200</v>
      </c>
      <c r="P28">
        <f t="shared" si="7"/>
        <v>30</v>
      </c>
      <c r="Q28">
        <f t="shared" si="7"/>
        <v>1</v>
      </c>
    </row>
    <row r="29" spans="1:21" x14ac:dyDescent="0.45">
      <c r="A29">
        <f t="shared" si="4"/>
        <v>3</v>
      </c>
      <c r="B29" s="1" t="str">
        <f t="shared" si="5"/>
        <v>EBldRateStep_Hyd_1</v>
      </c>
      <c r="E29" s="1" t="str">
        <f t="shared" si="0"/>
        <v>EBldRateStep_Hyd_1_BRZ</v>
      </c>
      <c r="F29" s="1" t="str">
        <f t="shared" si="1"/>
        <v>EBldRateStep_Hyd_1_BRZ</v>
      </c>
      <c r="G29" s="1" t="s">
        <v>14</v>
      </c>
      <c r="H29" s="1" t="s">
        <v>14</v>
      </c>
      <c r="L29" s="1" t="str">
        <f t="shared" si="6"/>
        <v>EBldRateStep_Hyd_1_BRZ</v>
      </c>
      <c r="M29" t="s">
        <v>15</v>
      </c>
      <c r="N29">
        <f t="shared" si="7"/>
        <v>0</v>
      </c>
      <c r="O29">
        <f t="shared" si="7"/>
        <v>10</v>
      </c>
      <c r="P29">
        <f t="shared" si="7"/>
        <v>10</v>
      </c>
      <c r="Q29">
        <f t="shared" si="7"/>
        <v>1</v>
      </c>
    </row>
    <row r="30" spans="1:21" x14ac:dyDescent="0.45">
      <c r="A30">
        <f t="shared" si="4"/>
        <v>3</v>
      </c>
      <c r="B30" s="1" t="str">
        <f t="shared" si="5"/>
        <v>EBldRateStep_Hyd_2</v>
      </c>
      <c r="E30" s="1" t="str">
        <f t="shared" si="0"/>
        <v>EBldRateStep_Hyd_2_BRZ</v>
      </c>
      <c r="F30" s="1" t="str">
        <f t="shared" si="1"/>
        <v>EBldRateStep_Hyd_2_BRZ</v>
      </c>
      <c r="G30" s="1" t="s">
        <v>14</v>
      </c>
      <c r="H30" s="1" t="s">
        <v>14</v>
      </c>
      <c r="L30" s="1" t="str">
        <f t="shared" si="6"/>
        <v>EBldRateStep_Hyd_2_BRZ</v>
      </c>
      <c r="M30" t="s">
        <v>15</v>
      </c>
      <c r="N30">
        <f t="shared" si="7"/>
        <v>900</v>
      </c>
      <c r="O30">
        <f t="shared" si="7"/>
        <v>200</v>
      </c>
      <c r="P30">
        <f t="shared" si="7"/>
        <v>30</v>
      </c>
      <c r="Q30">
        <f t="shared" si="7"/>
        <v>1</v>
      </c>
    </row>
    <row r="31" spans="1:21" x14ac:dyDescent="0.45">
      <c r="A31">
        <f t="shared" si="4"/>
        <v>3</v>
      </c>
      <c r="B31" s="1" t="str">
        <f t="shared" si="5"/>
        <v>EBldRateStep_Hyd_3</v>
      </c>
      <c r="E31" s="1" t="str">
        <f t="shared" si="0"/>
        <v>EBldRateStep_Hyd_3_BRZ</v>
      </c>
      <c r="F31" s="1" t="str">
        <f t="shared" si="1"/>
        <v>EBldRateStep_Hyd_3_BRZ</v>
      </c>
      <c r="G31" s="1" t="s">
        <v>14</v>
      </c>
      <c r="H31" s="1" t="s">
        <v>14</v>
      </c>
      <c r="L31" s="1" t="str">
        <f t="shared" si="6"/>
        <v>EBldRateStep_Hyd_3_BRZ</v>
      </c>
      <c r="M31" t="s">
        <v>15</v>
      </c>
      <c r="N31">
        <f t="shared" ref="N31:Q46" si="8">N22</f>
        <v>1800</v>
      </c>
      <c r="O31">
        <f t="shared" si="8"/>
        <v>200</v>
      </c>
      <c r="P31">
        <f t="shared" si="8"/>
        <v>30</v>
      </c>
      <c r="Q31">
        <f t="shared" si="8"/>
        <v>1</v>
      </c>
    </row>
    <row r="32" spans="1:21" x14ac:dyDescent="0.45">
      <c r="A32">
        <f t="shared" si="4"/>
        <v>4</v>
      </c>
      <c r="B32" s="1" t="str">
        <f t="shared" si="5"/>
        <v>EBldRateStep_Sol_1</v>
      </c>
      <c r="E32" s="1" t="str">
        <f t="shared" si="0"/>
        <v>EBldRateStep_Sol_1_CAN</v>
      </c>
      <c r="F32" s="1" t="str">
        <f t="shared" si="1"/>
        <v>EBldRateStep_Sol_1_CAN</v>
      </c>
      <c r="G32" s="1" t="s">
        <v>14</v>
      </c>
      <c r="H32" s="1" t="s">
        <v>14</v>
      </c>
      <c r="L32" s="1" t="str">
        <f t="shared" si="6"/>
        <v>EBldRateStep_Sol_1_CAN</v>
      </c>
      <c r="M32" t="s">
        <v>15</v>
      </c>
      <c r="N32">
        <f t="shared" si="8"/>
        <v>0</v>
      </c>
      <c r="O32">
        <f t="shared" si="8"/>
        <v>10</v>
      </c>
      <c r="P32">
        <f t="shared" si="8"/>
        <v>10</v>
      </c>
      <c r="Q32">
        <f t="shared" si="8"/>
        <v>1</v>
      </c>
    </row>
    <row r="33" spans="1:17" x14ac:dyDescent="0.45">
      <c r="A33">
        <f t="shared" si="4"/>
        <v>4</v>
      </c>
      <c r="B33" s="1" t="str">
        <f t="shared" si="5"/>
        <v>EBldRateStep_Sol_2</v>
      </c>
      <c r="E33" s="1" t="str">
        <f t="shared" si="0"/>
        <v>EBldRateStep_Sol_2_CAN</v>
      </c>
      <c r="F33" s="1" t="str">
        <f t="shared" si="1"/>
        <v>EBldRateStep_Sol_2_CAN</v>
      </c>
      <c r="G33" s="1" t="s">
        <v>14</v>
      </c>
      <c r="H33" s="1" t="s">
        <v>14</v>
      </c>
      <c r="L33" s="1" t="str">
        <f t="shared" si="6"/>
        <v>EBldRateStep_Sol_2_CAN</v>
      </c>
      <c r="M33" t="s">
        <v>15</v>
      </c>
      <c r="N33">
        <f t="shared" si="8"/>
        <v>300</v>
      </c>
      <c r="O33">
        <f t="shared" si="8"/>
        <v>200</v>
      </c>
      <c r="P33">
        <f t="shared" si="8"/>
        <v>30</v>
      </c>
      <c r="Q33">
        <f t="shared" si="8"/>
        <v>1</v>
      </c>
    </row>
    <row r="34" spans="1:17" x14ac:dyDescent="0.45">
      <c r="A34">
        <f t="shared" si="4"/>
        <v>4</v>
      </c>
      <c r="B34" s="1" t="str">
        <f t="shared" si="5"/>
        <v>EBldRateStep_Sol_3</v>
      </c>
      <c r="E34" s="1" t="str">
        <f t="shared" si="0"/>
        <v>EBldRateStep_Sol_3_CAN</v>
      </c>
      <c r="F34" s="1" t="str">
        <f t="shared" si="1"/>
        <v>EBldRateStep_Sol_3_CAN</v>
      </c>
      <c r="G34" s="1" t="s">
        <v>14</v>
      </c>
      <c r="H34" s="1" t="s">
        <v>14</v>
      </c>
      <c r="L34" s="1" t="str">
        <f t="shared" si="6"/>
        <v>EBldRateStep_Sol_3_CAN</v>
      </c>
      <c r="M34" t="s">
        <v>15</v>
      </c>
      <c r="N34">
        <f t="shared" si="8"/>
        <v>600</v>
      </c>
      <c r="O34">
        <f t="shared" si="8"/>
        <v>200</v>
      </c>
      <c r="P34">
        <f t="shared" si="8"/>
        <v>30</v>
      </c>
      <c r="Q34">
        <f t="shared" si="8"/>
        <v>1</v>
      </c>
    </row>
    <row r="35" spans="1:17" x14ac:dyDescent="0.45">
      <c r="A35">
        <f t="shared" si="4"/>
        <v>4</v>
      </c>
      <c r="B35" s="1" t="str">
        <f t="shared" si="5"/>
        <v>EBldRateStep_Win_1</v>
      </c>
      <c r="E35" s="1" t="str">
        <f t="shared" si="0"/>
        <v>EBldRateStep_Win_1_CAN</v>
      </c>
      <c r="F35" s="1" t="str">
        <f t="shared" si="1"/>
        <v>EBldRateStep_Win_1_CAN</v>
      </c>
      <c r="G35" s="1" t="s">
        <v>14</v>
      </c>
      <c r="H35" s="1" t="s">
        <v>14</v>
      </c>
      <c r="L35" s="1" t="str">
        <f t="shared" si="6"/>
        <v>EBldRateStep_Win_1_CAN</v>
      </c>
      <c r="M35" t="s">
        <v>15</v>
      </c>
      <c r="N35">
        <f t="shared" si="8"/>
        <v>0</v>
      </c>
      <c r="O35">
        <f t="shared" si="8"/>
        <v>10</v>
      </c>
      <c r="P35">
        <f t="shared" si="8"/>
        <v>10</v>
      </c>
      <c r="Q35">
        <f t="shared" si="8"/>
        <v>1</v>
      </c>
    </row>
    <row r="36" spans="1:17" x14ac:dyDescent="0.45">
      <c r="A36">
        <f t="shared" si="4"/>
        <v>4</v>
      </c>
      <c r="B36" s="1" t="str">
        <f t="shared" si="5"/>
        <v>EBldRateStep_Win_2</v>
      </c>
      <c r="E36" s="1" t="str">
        <f t="shared" si="0"/>
        <v>EBldRateStep_Win_2_CAN</v>
      </c>
      <c r="F36" s="1" t="str">
        <f t="shared" si="1"/>
        <v>EBldRateStep_Win_2_CAN</v>
      </c>
      <c r="G36" s="1" t="s">
        <v>14</v>
      </c>
      <c r="H36" s="1" t="s">
        <v>14</v>
      </c>
      <c r="L36" s="1" t="str">
        <f t="shared" si="6"/>
        <v>EBldRateStep_Win_2_CAN</v>
      </c>
      <c r="M36" t="s">
        <v>15</v>
      </c>
      <c r="N36">
        <f t="shared" si="8"/>
        <v>750</v>
      </c>
      <c r="O36">
        <f t="shared" si="8"/>
        <v>200</v>
      </c>
      <c r="P36">
        <f t="shared" si="8"/>
        <v>30</v>
      </c>
      <c r="Q36">
        <f t="shared" si="8"/>
        <v>1</v>
      </c>
    </row>
    <row r="37" spans="1:17" x14ac:dyDescent="0.45">
      <c r="A37">
        <f t="shared" si="4"/>
        <v>4</v>
      </c>
      <c r="B37" s="1" t="str">
        <f t="shared" si="5"/>
        <v>EBldRateStep_Win_3</v>
      </c>
      <c r="E37" s="1" t="str">
        <f t="shared" si="0"/>
        <v>EBldRateStep_Win_3_CAN</v>
      </c>
      <c r="F37" s="1" t="str">
        <f t="shared" si="1"/>
        <v>EBldRateStep_Win_3_CAN</v>
      </c>
      <c r="G37" s="1" t="s">
        <v>14</v>
      </c>
      <c r="H37" s="1" t="s">
        <v>14</v>
      </c>
      <c r="L37" s="1" t="str">
        <f t="shared" si="6"/>
        <v>EBldRateStep_Win_3_CAN</v>
      </c>
      <c r="M37" t="s">
        <v>15</v>
      </c>
      <c r="N37">
        <f t="shared" si="8"/>
        <v>1500</v>
      </c>
      <c r="O37">
        <f t="shared" si="8"/>
        <v>200</v>
      </c>
      <c r="P37">
        <f t="shared" si="8"/>
        <v>30</v>
      </c>
      <c r="Q37">
        <f t="shared" si="8"/>
        <v>1</v>
      </c>
    </row>
    <row r="38" spans="1:17" x14ac:dyDescent="0.45">
      <c r="A38">
        <f t="shared" si="4"/>
        <v>4</v>
      </c>
      <c r="B38" s="1" t="str">
        <f t="shared" si="5"/>
        <v>EBldRateStep_Hyd_1</v>
      </c>
      <c r="E38" s="1" t="str">
        <f t="shared" si="0"/>
        <v>EBldRateStep_Hyd_1_CAN</v>
      </c>
      <c r="F38" s="1" t="str">
        <f t="shared" si="1"/>
        <v>EBldRateStep_Hyd_1_CAN</v>
      </c>
      <c r="G38" s="1" t="s">
        <v>14</v>
      </c>
      <c r="H38" s="1" t="s">
        <v>14</v>
      </c>
      <c r="L38" s="1" t="str">
        <f t="shared" si="6"/>
        <v>EBldRateStep_Hyd_1_CAN</v>
      </c>
      <c r="M38" t="s">
        <v>15</v>
      </c>
      <c r="N38">
        <f t="shared" si="8"/>
        <v>0</v>
      </c>
      <c r="O38">
        <f t="shared" si="8"/>
        <v>10</v>
      </c>
      <c r="P38">
        <f t="shared" si="8"/>
        <v>10</v>
      </c>
      <c r="Q38">
        <f t="shared" si="8"/>
        <v>1</v>
      </c>
    </row>
    <row r="39" spans="1:17" x14ac:dyDescent="0.45">
      <c r="A39">
        <f t="shared" si="4"/>
        <v>4</v>
      </c>
      <c r="B39" s="1" t="str">
        <f t="shared" si="5"/>
        <v>EBldRateStep_Hyd_2</v>
      </c>
      <c r="E39" s="1" t="str">
        <f t="shared" si="0"/>
        <v>EBldRateStep_Hyd_2_CAN</v>
      </c>
      <c r="F39" s="1" t="str">
        <f t="shared" si="1"/>
        <v>EBldRateStep_Hyd_2_CAN</v>
      </c>
      <c r="G39" s="1" t="s">
        <v>14</v>
      </c>
      <c r="H39" s="1" t="s">
        <v>14</v>
      </c>
      <c r="L39" s="1" t="str">
        <f t="shared" si="6"/>
        <v>EBldRateStep_Hyd_2_CAN</v>
      </c>
      <c r="M39" t="s">
        <v>15</v>
      </c>
      <c r="N39">
        <f t="shared" si="8"/>
        <v>900</v>
      </c>
      <c r="O39">
        <f t="shared" si="8"/>
        <v>200</v>
      </c>
      <c r="P39">
        <f t="shared" si="8"/>
        <v>30</v>
      </c>
      <c r="Q39">
        <f t="shared" si="8"/>
        <v>1</v>
      </c>
    </row>
    <row r="40" spans="1:17" x14ac:dyDescent="0.45">
      <c r="A40">
        <f t="shared" si="4"/>
        <v>4</v>
      </c>
      <c r="B40" s="1" t="str">
        <f t="shared" si="5"/>
        <v>EBldRateStep_Hyd_3</v>
      </c>
      <c r="E40" s="1" t="str">
        <f t="shared" si="0"/>
        <v>EBldRateStep_Hyd_3_CAN</v>
      </c>
      <c r="F40" s="1" t="str">
        <f t="shared" si="1"/>
        <v>EBldRateStep_Hyd_3_CAN</v>
      </c>
      <c r="G40" s="1" t="s">
        <v>14</v>
      </c>
      <c r="H40" s="1" t="s">
        <v>14</v>
      </c>
      <c r="L40" s="1" t="str">
        <f t="shared" si="6"/>
        <v>EBldRateStep_Hyd_3_CAN</v>
      </c>
      <c r="M40" t="s">
        <v>15</v>
      </c>
      <c r="N40">
        <f t="shared" si="8"/>
        <v>1800</v>
      </c>
      <c r="O40">
        <f t="shared" si="8"/>
        <v>200</v>
      </c>
      <c r="P40">
        <f t="shared" si="8"/>
        <v>30</v>
      </c>
      <c r="Q40">
        <f t="shared" si="8"/>
        <v>1</v>
      </c>
    </row>
    <row r="41" spans="1:17" x14ac:dyDescent="0.45">
      <c r="A41">
        <f t="shared" si="4"/>
        <v>5</v>
      </c>
      <c r="B41" s="1" t="str">
        <f t="shared" si="5"/>
        <v>EBldRateStep_Sol_1</v>
      </c>
      <c r="E41" s="1" t="str">
        <f t="shared" si="0"/>
        <v>EBldRateStep_Sol_1_CHI</v>
      </c>
      <c r="F41" s="1" t="str">
        <f t="shared" si="1"/>
        <v>EBldRateStep_Sol_1_CHI</v>
      </c>
      <c r="G41" s="1" t="s">
        <v>14</v>
      </c>
      <c r="H41" s="1" t="s">
        <v>14</v>
      </c>
      <c r="L41" s="1" t="str">
        <f t="shared" si="6"/>
        <v>EBldRateStep_Sol_1_CHI</v>
      </c>
      <c r="M41" t="s">
        <v>15</v>
      </c>
      <c r="N41">
        <f t="shared" si="8"/>
        <v>0</v>
      </c>
      <c r="O41">
        <f t="shared" si="8"/>
        <v>10</v>
      </c>
      <c r="P41">
        <f t="shared" si="8"/>
        <v>10</v>
      </c>
      <c r="Q41">
        <f t="shared" si="8"/>
        <v>1</v>
      </c>
    </row>
    <row r="42" spans="1:17" x14ac:dyDescent="0.45">
      <c r="A42">
        <f t="shared" si="4"/>
        <v>5</v>
      </c>
      <c r="B42" s="1" t="str">
        <f t="shared" si="5"/>
        <v>EBldRateStep_Sol_2</v>
      </c>
      <c r="E42" s="1" t="str">
        <f t="shared" si="0"/>
        <v>EBldRateStep_Sol_2_CHI</v>
      </c>
      <c r="F42" s="1" t="str">
        <f t="shared" si="1"/>
        <v>EBldRateStep_Sol_2_CHI</v>
      </c>
      <c r="G42" s="1" t="s">
        <v>14</v>
      </c>
      <c r="H42" s="1" t="s">
        <v>14</v>
      </c>
      <c r="L42" s="1" t="str">
        <f t="shared" si="6"/>
        <v>EBldRateStep_Sol_2_CHI</v>
      </c>
      <c r="M42" t="s">
        <v>15</v>
      </c>
      <c r="N42">
        <f t="shared" si="8"/>
        <v>300</v>
      </c>
      <c r="O42">
        <f t="shared" si="8"/>
        <v>200</v>
      </c>
      <c r="P42">
        <f t="shared" si="8"/>
        <v>30</v>
      </c>
      <c r="Q42">
        <f t="shared" si="8"/>
        <v>1</v>
      </c>
    </row>
    <row r="43" spans="1:17" x14ac:dyDescent="0.45">
      <c r="A43">
        <f t="shared" si="4"/>
        <v>5</v>
      </c>
      <c r="B43" s="1" t="str">
        <f t="shared" si="5"/>
        <v>EBldRateStep_Sol_3</v>
      </c>
      <c r="E43" s="1" t="str">
        <f t="shared" si="0"/>
        <v>EBldRateStep_Sol_3_CHI</v>
      </c>
      <c r="F43" s="1" t="str">
        <f t="shared" si="1"/>
        <v>EBldRateStep_Sol_3_CHI</v>
      </c>
      <c r="G43" s="1" t="s">
        <v>14</v>
      </c>
      <c r="H43" s="1" t="s">
        <v>14</v>
      </c>
      <c r="L43" s="1" t="str">
        <f t="shared" si="6"/>
        <v>EBldRateStep_Sol_3_CHI</v>
      </c>
      <c r="M43" t="s">
        <v>15</v>
      </c>
      <c r="N43">
        <f t="shared" si="8"/>
        <v>600</v>
      </c>
      <c r="O43">
        <f t="shared" si="8"/>
        <v>200</v>
      </c>
      <c r="P43">
        <f t="shared" si="8"/>
        <v>30</v>
      </c>
      <c r="Q43">
        <f t="shared" si="8"/>
        <v>1</v>
      </c>
    </row>
    <row r="44" spans="1:17" x14ac:dyDescent="0.45">
      <c r="A44">
        <f t="shared" si="4"/>
        <v>5</v>
      </c>
      <c r="B44" s="1" t="str">
        <f t="shared" si="5"/>
        <v>EBldRateStep_Win_1</v>
      </c>
      <c r="E44" s="1" t="str">
        <f t="shared" si="0"/>
        <v>EBldRateStep_Win_1_CHI</v>
      </c>
      <c r="F44" s="1" t="str">
        <f t="shared" si="1"/>
        <v>EBldRateStep_Win_1_CHI</v>
      </c>
      <c r="G44" s="1" t="s">
        <v>14</v>
      </c>
      <c r="H44" s="1" t="s">
        <v>14</v>
      </c>
      <c r="L44" s="1" t="str">
        <f t="shared" si="6"/>
        <v>EBldRateStep_Win_1_CHI</v>
      </c>
      <c r="M44" t="s">
        <v>15</v>
      </c>
      <c r="N44">
        <f t="shared" si="8"/>
        <v>0</v>
      </c>
      <c r="O44">
        <f t="shared" si="8"/>
        <v>10</v>
      </c>
      <c r="P44">
        <f t="shared" si="8"/>
        <v>10</v>
      </c>
      <c r="Q44">
        <f t="shared" si="8"/>
        <v>1</v>
      </c>
    </row>
    <row r="45" spans="1:17" x14ac:dyDescent="0.45">
      <c r="A45">
        <f t="shared" si="4"/>
        <v>5</v>
      </c>
      <c r="B45" s="1" t="str">
        <f t="shared" si="5"/>
        <v>EBldRateStep_Win_2</v>
      </c>
      <c r="E45" s="1" t="str">
        <f t="shared" si="0"/>
        <v>EBldRateStep_Win_2_CHI</v>
      </c>
      <c r="F45" s="1" t="str">
        <f t="shared" si="1"/>
        <v>EBldRateStep_Win_2_CHI</v>
      </c>
      <c r="G45" s="1" t="s">
        <v>14</v>
      </c>
      <c r="H45" s="1" t="s">
        <v>14</v>
      </c>
      <c r="L45" s="1" t="str">
        <f t="shared" si="6"/>
        <v>EBldRateStep_Win_2_CHI</v>
      </c>
      <c r="M45" t="s">
        <v>15</v>
      </c>
      <c r="N45">
        <f t="shared" si="8"/>
        <v>750</v>
      </c>
      <c r="O45">
        <f t="shared" si="8"/>
        <v>200</v>
      </c>
      <c r="P45">
        <f t="shared" si="8"/>
        <v>30</v>
      </c>
      <c r="Q45">
        <f t="shared" si="8"/>
        <v>1</v>
      </c>
    </row>
    <row r="46" spans="1:17" x14ac:dyDescent="0.45">
      <c r="A46">
        <f t="shared" si="4"/>
        <v>5</v>
      </c>
      <c r="B46" s="1" t="str">
        <f t="shared" si="5"/>
        <v>EBldRateStep_Win_3</v>
      </c>
      <c r="E46" s="1" t="str">
        <f t="shared" si="0"/>
        <v>EBldRateStep_Win_3_CHI</v>
      </c>
      <c r="F46" s="1" t="str">
        <f t="shared" si="1"/>
        <v>EBldRateStep_Win_3_CHI</v>
      </c>
      <c r="G46" s="1" t="s">
        <v>14</v>
      </c>
      <c r="H46" s="1" t="s">
        <v>14</v>
      </c>
      <c r="L46" s="1" t="str">
        <f t="shared" si="6"/>
        <v>EBldRateStep_Win_3_CHI</v>
      </c>
      <c r="M46" t="s">
        <v>15</v>
      </c>
      <c r="N46">
        <f t="shared" si="8"/>
        <v>1500</v>
      </c>
      <c r="O46">
        <f t="shared" si="8"/>
        <v>200</v>
      </c>
      <c r="P46">
        <f t="shared" si="8"/>
        <v>30</v>
      </c>
      <c r="Q46">
        <f t="shared" si="8"/>
        <v>1</v>
      </c>
    </row>
    <row r="47" spans="1:17" x14ac:dyDescent="0.45">
      <c r="A47">
        <f t="shared" si="4"/>
        <v>5</v>
      </c>
      <c r="B47" s="1" t="str">
        <f t="shared" si="5"/>
        <v>EBldRateStep_Hyd_1</v>
      </c>
      <c r="E47" s="1" t="str">
        <f t="shared" si="0"/>
        <v>EBldRateStep_Hyd_1_CHI</v>
      </c>
      <c r="F47" s="1" t="str">
        <f t="shared" si="1"/>
        <v>EBldRateStep_Hyd_1_CHI</v>
      </c>
      <c r="G47" s="1" t="s">
        <v>14</v>
      </c>
      <c r="H47" s="1" t="s">
        <v>14</v>
      </c>
      <c r="L47" s="1" t="str">
        <f t="shared" si="6"/>
        <v>EBldRateStep_Hyd_1_CHI</v>
      </c>
      <c r="M47" t="s">
        <v>15</v>
      </c>
      <c r="N47">
        <f t="shared" ref="N47:Q62" si="9">N38</f>
        <v>0</v>
      </c>
      <c r="O47">
        <f t="shared" si="9"/>
        <v>10</v>
      </c>
      <c r="P47">
        <f t="shared" si="9"/>
        <v>10</v>
      </c>
      <c r="Q47">
        <f t="shared" si="9"/>
        <v>1</v>
      </c>
    </row>
    <row r="48" spans="1:17" x14ac:dyDescent="0.45">
      <c r="A48">
        <f t="shared" si="4"/>
        <v>5</v>
      </c>
      <c r="B48" s="1" t="str">
        <f t="shared" si="5"/>
        <v>EBldRateStep_Hyd_2</v>
      </c>
      <c r="E48" s="1" t="str">
        <f t="shared" si="0"/>
        <v>EBldRateStep_Hyd_2_CHI</v>
      </c>
      <c r="F48" s="1" t="str">
        <f t="shared" si="1"/>
        <v>EBldRateStep_Hyd_2_CHI</v>
      </c>
      <c r="G48" s="1" t="s">
        <v>14</v>
      </c>
      <c r="H48" s="1" t="s">
        <v>14</v>
      </c>
      <c r="L48" s="1" t="str">
        <f t="shared" si="6"/>
        <v>EBldRateStep_Hyd_2_CHI</v>
      </c>
      <c r="M48" t="s">
        <v>15</v>
      </c>
      <c r="N48">
        <f t="shared" si="9"/>
        <v>900</v>
      </c>
      <c r="O48">
        <f t="shared" si="9"/>
        <v>200</v>
      </c>
      <c r="P48">
        <f t="shared" si="9"/>
        <v>30</v>
      </c>
      <c r="Q48">
        <f t="shared" si="9"/>
        <v>1</v>
      </c>
    </row>
    <row r="49" spans="1:17" x14ac:dyDescent="0.45">
      <c r="A49">
        <f t="shared" si="4"/>
        <v>5</v>
      </c>
      <c r="B49" s="1" t="str">
        <f t="shared" si="5"/>
        <v>EBldRateStep_Hyd_3</v>
      </c>
      <c r="E49" s="1" t="str">
        <f t="shared" si="0"/>
        <v>EBldRateStep_Hyd_3_CHI</v>
      </c>
      <c r="F49" s="1" t="str">
        <f t="shared" si="1"/>
        <v>EBldRateStep_Hyd_3_CHI</v>
      </c>
      <c r="G49" s="1" t="s">
        <v>14</v>
      </c>
      <c r="H49" s="1" t="s">
        <v>14</v>
      </c>
      <c r="L49" s="1" t="str">
        <f t="shared" si="6"/>
        <v>EBldRateStep_Hyd_3_CHI</v>
      </c>
      <c r="M49" t="s">
        <v>15</v>
      </c>
      <c r="N49">
        <f t="shared" si="9"/>
        <v>1800</v>
      </c>
      <c r="O49">
        <f t="shared" si="9"/>
        <v>200</v>
      </c>
      <c r="P49">
        <f t="shared" si="9"/>
        <v>30</v>
      </c>
      <c r="Q49">
        <f t="shared" si="9"/>
        <v>1</v>
      </c>
    </row>
    <row r="50" spans="1:17" x14ac:dyDescent="0.45">
      <c r="A50">
        <f t="shared" si="4"/>
        <v>6</v>
      </c>
      <c r="B50" s="1" t="str">
        <f t="shared" si="5"/>
        <v>EBldRateStep_Sol_1</v>
      </c>
      <c r="E50" s="1" t="str">
        <f t="shared" si="0"/>
        <v>EBldRateStep_Sol_1_CSA</v>
      </c>
      <c r="F50" s="1" t="str">
        <f t="shared" si="1"/>
        <v>EBldRateStep_Sol_1_CSA</v>
      </c>
      <c r="G50" s="1" t="s">
        <v>14</v>
      </c>
      <c r="H50" s="1" t="s">
        <v>14</v>
      </c>
      <c r="L50" s="1" t="str">
        <f t="shared" si="6"/>
        <v>EBldRateStep_Sol_1_CSA</v>
      </c>
      <c r="M50" t="s">
        <v>15</v>
      </c>
      <c r="N50">
        <f t="shared" si="9"/>
        <v>0</v>
      </c>
      <c r="O50">
        <f t="shared" si="9"/>
        <v>10</v>
      </c>
      <c r="P50">
        <f t="shared" si="9"/>
        <v>10</v>
      </c>
      <c r="Q50">
        <f t="shared" si="9"/>
        <v>1</v>
      </c>
    </row>
    <row r="51" spans="1:17" x14ac:dyDescent="0.45">
      <c r="A51">
        <f t="shared" si="4"/>
        <v>6</v>
      </c>
      <c r="B51" s="1" t="str">
        <f t="shared" si="5"/>
        <v>EBldRateStep_Sol_2</v>
      </c>
      <c r="E51" s="1" t="str">
        <f t="shared" si="0"/>
        <v>EBldRateStep_Sol_2_CSA</v>
      </c>
      <c r="F51" s="1" t="str">
        <f t="shared" si="1"/>
        <v>EBldRateStep_Sol_2_CSA</v>
      </c>
      <c r="G51" s="1" t="s">
        <v>14</v>
      </c>
      <c r="H51" s="1" t="s">
        <v>14</v>
      </c>
      <c r="L51" s="1" t="str">
        <f t="shared" si="6"/>
        <v>EBldRateStep_Sol_2_CSA</v>
      </c>
      <c r="M51" t="s">
        <v>15</v>
      </c>
      <c r="N51">
        <f t="shared" si="9"/>
        <v>300</v>
      </c>
      <c r="O51">
        <f t="shared" si="9"/>
        <v>200</v>
      </c>
      <c r="P51">
        <f t="shared" si="9"/>
        <v>30</v>
      </c>
      <c r="Q51">
        <f t="shared" si="9"/>
        <v>1</v>
      </c>
    </row>
    <row r="52" spans="1:17" x14ac:dyDescent="0.45">
      <c r="A52">
        <f t="shared" si="4"/>
        <v>6</v>
      </c>
      <c r="B52" s="1" t="str">
        <f t="shared" si="5"/>
        <v>EBldRateStep_Sol_3</v>
      </c>
      <c r="E52" s="1" t="str">
        <f t="shared" si="0"/>
        <v>EBldRateStep_Sol_3_CSA</v>
      </c>
      <c r="F52" s="1" t="str">
        <f t="shared" si="1"/>
        <v>EBldRateStep_Sol_3_CSA</v>
      </c>
      <c r="G52" s="1" t="s">
        <v>14</v>
      </c>
      <c r="H52" s="1" t="s">
        <v>14</v>
      </c>
      <c r="L52" s="1" t="str">
        <f t="shared" si="6"/>
        <v>EBldRateStep_Sol_3_CSA</v>
      </c>
      <c r="M52" t="s">
        <v>15</v>
      </c>
      <c r="N52">
        <f t="shared" si="9"/>
        <v>600</v>
      </c>
      <c r="O52">
        <f t="shared" si="9"/>
        <v>200</v>
      </c>
      <c r="P52">
        <f t="shared" si="9"/>
        <v>30</v>
      </c>
      <c r="Q52">
        <f t="shared" si="9"/>
        <v>1</v>
      </c>
    </row>
    <row r="53" spans="1:17" x14ac:dyDescent="0.45">
      <c r="A53">
        <f t="shared" si="4"/>
        <v>6</v>
      </c>
      <c r="B53" s="1" t="str">
        <f t="shared" si="5"/>
        <v>EBldRateStep_Win_1</v>
      </c>
      <c r="E53" s="1" t="str">
        <f t="shared" si="0"/>
        <v>EBldRateStep_Win_1_CSA</v>
      </c>
      <c r="F53" s="1" t="str">
        <f t="shared" si="1"/>
        <v>EBldRateStep_Win_1_CSA</v>
      </c>
      <c r="G53" s="1" t="s">
        <v>14</v>
      </c>
      <c r="H53" s="1" t="s">
        <v>14</v>
      </c>
      <c r="L53" s="1" t="str">
        <f t="shared" si="6"/>
        <v>EBldRateStep_Win_1_CSA</v>
      </c>
      <c r="M53" t="s">
        <v>15</v>
      </c>
      <c r="N53">
        <f t="shared" si="9"/>
        <v>0</v>
      </c>
      <c r="O53">
        <f t="shared" si="9"/>
        <v>10</v>
      </c>
      <c r="P53">
        <f t="shared" si="9"/>
        <v>10</v>
      </c>
      <c r="Q53">
        <f t="shared" si="9"/>
        <v>1</v>
      </c>
    </row>
    <row r="54" spans="1:17" x14ac:dyDescent="0.45">
      <c r="A54">
        <f t="shared" si="4"/>
        <v>6</v>
      </c>
      <c r="B54" s="1" t="str">
        <f t="shared" si="5"/>
        <v>EBldRateStep_Win_2</v>
      </c>
      <c r="E54" s="1" t="str">
        <f t="shared" si="0"/>
        <v>EBldRateStep_Win_2_CSA</v>
      </c>
      <c r="F54" s="1" t="str">
        <f t="shared" si="1"/>
        <v>EBldRateStep_Win_2_CSA</v>
      </c>
      <c r="G54" s="1" t="s">
        <v>14</v>
      </c>
      <c r="H54" s="1" t="s">
        <v>14</v>
      </c>
      <c r="L54" s="1" t="str">
        <f t="shared" si="6"/>
        <v>EBldRateStep_Win_2_CSA</v>
      </c>
      <c r="M54" t="s">
        <v>15</v>
      </c>
      <c r="N54">
        <f t="shared" si="9"/>
        <v>750</v>
      </c>
      <c r="O54">
        <f t="shared" si="9"/>
        <v>200</v>
      </c>
      <c r="P54">
        <f t="shared" si="9"/>
        <v>30</v>
      </c>
      <c r="Q54">
        <f t="shared" si="9"/>
        <v>1</v>
      </c>
    </row>
    <row r="55" spans="1:17" x14ac:dyDescent="0.45">
      <c r="A55">
        <f t="shared" si="4"/>
        <v>6</v>
      </c>
      <c r="B55" s="1" t="str">
        <f t="shared" si="5"/>
        <v>EBldRateStep_Win_3</v>
      </c>
      <c r="E55" s="1" t="str">
        <f t="shared" si="0"/>
        <v>EBldRateStep_Win_3_CSA</v>
      </c>
      <c r="F55" s="1" t="str">
        <f t="shared" si="1"/>
        <v>EBldRateStep_Win_3_CSA</v>
      </c>
      <c r="G55" s="1" t="s">
        <v>14</v>
      </c>
      <c r="H55" s="1" t="s">
        <v>14</v>
      </c>
      <c r="L55" s="1" t="str">
        <f t="shared" si="6"/>
        <v>EBldRateStep_Win_3_CSA</v>
      </c>
      <c r="M55" t="s">
        <v>15</v>
      </c>
      <c r="N55">
        <f t="shared" si="9"/>
        <v>1500</v>
      </c>
      <c r="O55">
        <f t="shared" si="9"/>
        <v>200</v>
      </c>
      <c r="P55">
        <f t="shared" si="9"/>
        <v>30</v>
      </c>
      <c r="Q55">
        <f t="shared" si="9"/>
        <v>1</v>
      </c>
    </row>
    <row r="56" spans="1:17" x14ac:dyDescent="0.45">
      <c r="A56">
        <f t="shared" si="4"/>
        <v>6</v>
      </c>
      <c r="B56" s="1" t="str">
        <f t="shared" si="5"/>
        <v>EBldRateStep_Hyd_1</v>
      </c>
      <c r="E56" s="1" t="str">
        <f t="shared" si="0"/>
        <v>EBldRateStep_Hyd_1_CSA</v>
      </c>
      <c r="F56" s="1" t="str">
        <f t="shared" si="1"/>
        <v>EBldRateStep_Hyd_1_CSA</v>
      </c>
      <c r="G56" s="1" t="s">
        <v>14</v>
      </c>
      <c r="H56" s="1" t="s">
        <v>14</v>
      </c>
      <c r="L56" s="1" t="str">
        <f t="shared" si="6"/>
        <v>EBldRateStep_Hyd_1_CSA</v>
      </c>
      <c r="M56" t="s">
        <v>15</v>
      </c>
      <c r="N56">
        <f t="shared" si="9"/>
        <v>0</v>
      </c>
      <c r="O56">
        <f t="shared" si="9"/>
        <v>10</v>
      </c>
      <c r="P56">
        <f t="shared" si="9"/>
        <v>10</v>
      </c>
      <c r="Q56">
        <f t="shared" si="9"/>
        <v>1</v>
      </c>
    </row>
    <row r="57" spans="1:17" x14ac:dyDescent="0.45">
      <c r="A57">
        <f t="shared" si="4"/>
        <v>6</v>
      </c>
      <c r="B57" s="1" t="str">
        <f t="shared" si="5"/>
        <v>EBldRateStep_Hyd_2</v>
      </c>
      <c r="E57" s="1" t="str">
        <f t="shared" si="0"/>
        <v>EBldRateStep_Hyd_2_CSA</v>
      </c>
      <c r="F57" s="1" t="str">
        <f t="shared" si="1"/>
        <v>EBldRateStep_Hyd_2_CSA</v>
      </c>
      <c r="G57" s="1" t="s">
        <v>14</v>
      </c>
      <c r="H57" s="1" t="s">
        <v>14</v>
      </c>
      <c r="L57" s="1" t="str">
        <f t="shared" si="6"/>
        <v>EBldRateStep_Hyd_2_CSA</v>
      </c>
      <c r="M57" t="s">
        <v>15</v>
      </c>
      <c r="N57">
        <f t="shared" si="9"/>
        <v>900</v>
      </c>
      <c r="O57">
        <f t="shared" si="9"/>
        <v>200</v>
      </c>
      <c r="P57">
        <f t="shared" si="9"/>
        <v>30</v>
      </c>
      <c r="Q57">
        <f t="shared" si="9"/>
        <v>1</v>
      </c>
    </row>
    <row r="58" spans="1:17" x14ac:dyDescent="0.45">
      <c r="A58">
        <f t="shared" si="4"/>
        <v>6</v>
      </c>
      <c r="B58" s="1" t="str">
        <f t="shared" si="5"/>
        <v>EBldRateStep_Hyd_3</v>
      </c>
      <c r="E58" s="1" t="str">
        <f t="shared" si="0"/>
        <v>EBldRateStep_Hyd_3_CSA</v>
      </c>
      <c r="F58" s="1" t="str">
        <f t="shared" si="1"/>
        <v>EBldRateStep_Hyd_3_CSA</v>
      </c>
      <c r="G58" s="1" t="s">
        <v>14</v>
      </c>
      <c r="H58" s="1" t="s">
        <v>14</v>
      </c>
      <c r="L58" s="1" t="str">
        <f t="shared" si="6"/>
        <v>EBldRateStep_Hyd_3_CSA</v>
      </c>
      <c r="M58" t="s">
        <v>15</v>
      </c>
      <c r="N58">
        <f t="shared" si="9"/>
        <v>1800</v>
      </c>
      <c r="O58">
        <f t="shared" si="9"/>
        <v>200</v>
      </c>
      <c r="P58">
        <f t="shared" si="9"/>
        <v>30</v>
      </c>
      <c r="Q58">
        <f t="shared" si="9"/>
        <v>1</v>
      </c>
    </row>
    <row r="59" spans="1:17" x14ac:dyDescent="0.45">
      <c r="A59">
        <f t="shared" si="4"/>
        <v>7</v>
      </c>
      <c r="B59" s="1" t="str">
        <f t="shared" si="5"/>
        <v>EBldRateStep_Sol_1</v>
      </c>
      <c r="E59" s="1" t="str">
        <f t="shared" si="0"/>
        <v>EBldRateStep_Sol_1_EUR</v>
      </c>
      <c r="F59" s="1" t="str">
        <f t="shared" si="1"/>
        <v>EBldRateStep_Sol_1_EUR</v>
      </c>
      <c r="G59" s="1" t="s">
        <v>14</v>
      </c>
      <c r="H59" s="1" t="s">
        <v>14</v>
      </c>
      <c r="L59" s="1" t="str">
        <f t="shared" si="6"/>
        <v>EBldRateStep_Sol_1_EUR</v>
      </c>
      <c r="M59" t="s">
        <v>15</v>
      </c>
      <c r="N59">
        <f t="shared" si="9"/>
        <v>0</v>
      </c>
      <c r="O59">
        <f t="shared" si="9"/>
        <v>10</v>
      </c>
      <c r="P59">
        <f t="shared" si="9"/>
        <v>10</v>
      </c>
      <c r="Q59">
        <f t="shared" si="9"/>
        <v>1</v>
      </c>
    </row>
    <row r="60" spans="1:17" x14ac:dyDescent="0.45">
      <c r="A60">
        <f t="shared" si="4"/>
        <v>7</v>
      </c>
      <c r="B60" s="1" t="str">
        <f t="shared" si="5"/>
        <v>EBldRateStep_Sol_2</v>
      </c>
      <c r="E60" s="1" t="str">
        <f t="shared" si="0"/>
        <v>EBldRateStep_Sol_2_EUR</v>
      </c>
      <c r="F60" s="1" t="str">
        <f t="shared" si="1"/>
        <v>EBldRateStep_Sol_2_EUR</v>
      </c>
      <c r="G60" s="1" t="s">
        <v>14</v>
      </c>
      <c r="H60" s="1" t="s">
        <v>14</v>
      </c>
      <c r="L60" s="1" t="str">
        <f t="shared" si="6"/>
        <v>EBldRateStep_Sol_2_EUR</v>
      </c>
      <c r="M60" t="s">
        <v>15</v>
      </c>
      <c r="N60">
        <f t="shared" si="9"/>
        <v>300</v>
      </c>
      <c r="O60">
        <f t="shared" si="9"/>
        <v>200</v>
      </c>
      <c r="P60">
        <f t="shared" si="9"/>
        <v>30</v>
      </c>
      <c r="Q60">
        <f t="shared" si="9"/>
        <v>1</v>
      </c>
    </row>
    <row r="61" spans="1:17" x14ac:dyDescent="0.45">
      <c r="A61">
        <f t="shared" si="4"/>
        <v>7</v>
      </c>
      <c r="B61" s="1" t="str">
        <f t="shared" si="5"/>
        <v>EBldRateStep_Sol_3</v>
      </c>
      <c r="E61" s="1" t="str">
        <f t="shared" si="0"/>
        <v>EBldRateStep_Sol_3_EUR</v>
      </c>
      <c r="F61" s="1" t="str">
        <f t="shared" si="1"/>
        <v>EBldRateStep_Sol_3_EUR</v>
      </c>
      <c r="G61" s="1" t="s">
        <v>14</v>
      </c>
      <c r="H61" s="1" t="s">
        <v>14</v>
      </c>
      <c r="L61" s="1" t="str">
        <f t="shared" si="6"/>
        <v>EBldRateStep_Sol_3_EUR</v>
      </c>
      <c r="M61" t="s">
        <v>15</v>
      </c>
      <c r="N61">
        <f t="shared" si="9"/>
        <v>600</v>
      </c>
      <c r="O61">
        <f t="shared" si="9"/>
        <v>200</v>
      </c>
      <c r="P61">
        <f t="shared" si="9"/>
        <v>30</v>
      </c>
      <c r="Q61">
        <f t="shared" si="9"/>
        <v>1</v>
      </c>
    </row>
    <row r="62" spans="1:17" x14ac:dyDescent="0.45">
      <c r="A62">
        <f t="shared" si="4"/>
        <v>7</v>
      </c>
      <c r="B62" s="1" t="str">
        <f t="shared" si="5"/>
        <v>EBldRateStep_Win_1</v>
      </c>
      <c r="E62" s="1" t="str">
        <f t="shared" si="0"/>
        <v>EBldRateStep_Win_1_EUR</v>
      </c>
      <c r="F62" s="1" t="str">
        <f t="shared" si="1"/>
        <v>EBldRateStep_Win_1_EUR</v>
      </c>
      <c r="G62" s="1" t="s">
        <v>14</v>
      </c>
      <c r="H62" s="1" t="s">
        <v>14</v>
      </c>
      <c r="L62" s="1" t="str">
        <f t="shared" si="6"/>
        <v>EBldRateStep_Win_1_EUR</v>
      </c>
      <c r="M62" t="s">
        <v>15</v>
      </c>
      <c r="N62">
        <f t="shared" si="9"/>
        <v>0</v>
      </c>
      <c r="O62">
        <f t="shared" si="9"/>
        <v>10</v>
      </c>
      <c r="P62">
        <f t="shared" si="9"/>
        <v>10</v>
      </c>
      <c r="Q62">
        <f t="shared" si="9"/>
        <v>1</v>
      </c>
    </row>
    <row r="63" spans="1:17" x14ac:dyDescent="0.45">
      <c r="A63">
        <f t="shared" si="4"/>
        <v>7</v>
      </c>
      <c r="B63" s="1" t="str">
        <f t="shared" si="5"/>
        <v>EBldRateStep_Win_2</v>
      </c>
      <c r="E63" s="1" t="str">
        <f t="shared" si="0"/>
        <v>EBldRateStep_Win_2_EUR</v>
      </c>
      <c r="F63" s="1" t="str">
        <f t="shared" si="1"/>
        <v>EBldRateStep_Win_2_EUR</v>
      </c>
      <c r="G63" s="1" t="s">
        <v>14</v>
      </c>
      <c r="H63" s="1" t="s">
        <v>14</v>
      </c>
      <c r="L63" s="1" t="str">
        <f t="shared" si="6"/>
        <v>EBldRateStep_Win_2_EUR</v>
      </c>
      <c r="M63" t="s">
        <v>15</v>
      </c>
      <c r="N63">
        <f t="shared" ref="N63:Q78" si="10">N54</f>
        <v>750</v>
      </c>
      <c r="O63">
        <f t="shared" si="10"/>
        <v>200</v>
      </c>
      <c r="P63">
        <f t="shared" si="10"/>
        <v>30</v>
      </c>
      <c r="Q63">
        <f t="shared" si="10"/>
        <v>1</v>
      </c>
    </row>
    <row r="64" spans="1:17" x14ac:dyDescent="0.45">
      <c r="A64">
        <f t="shared" si="4"/>
        <v>7</v>
      </c>
      <c r="B64" s="1" t="str">
        <f t="shared" si="5"/>
        <v>EBldRateStep_Win_3</v>
      </c>
      <c r="E64" s="1" t="str">
        <f t="shared" si="0"/>
        <v>EBldRateStep_Win_3_EUR</v>
      </c>
      <c r="F64" s="1" t="str">
        <f t="shared" si="1"/>
        <v>EBldRateStep_Win_3_EUR</v>
      </c>
      <c r="G64" s="1" t="s">
        <v>14</v>
      </c>
      <c r="H64" s="1" t="s">
        <v>14</v>
      </c>
      <c r="L64" s="1" t="str">
        <f t="shared" si="6"/>
        <v>EBldRateStep_Win_3_EUR</v>
      </c>
      <c r="M64" t="s">
        <v>15</v>
      </c>
      <c r="N64">
        <f t="shared" si="10"/>
        <v>1500</v>
      </c>
      <c r="O64">
        <f t="shared" si="10"/>
        <v>200</v>
      </c>
      <c r="P64">
        <f t="shared" si="10"/>
        <v>30</v>
      </c>
      <c r="Q64">
        <f t="shared" si="10"/>
        <v>1</v>
      </c>
    </row>
    <row r="65" spans="1:17" x14ac:dyDescent="0.45">
      <c r="A65">
        <f t="shared" si="4"/>
        <v>7</v>
      </c>
      <c r="B65" s="1" t="str">
        <f t="shared" si="5"/>
        <v>EBldRateStep_Hyd_1</v>
      </c>
      <c r="E65" s="1" t="str">
        <f t="shared" si="0"/>
        <v>EBldRateStep_Hyd_1_EUR</v>
      </c>
      <c r="F65" s="1" t="str">
        <f t="shared" si="1"/>
        <v>EBldRateStep_Hyd_1_EUR</v>
      </c>
      <c r="G65" s="1" t="s">
        <v>14</v>
      </c>
      <c r="H65" s="1" t="s">
        <v>14</v>
      </c>
      <c r="L65" s="1" t="str">
        <f t="shared" si="6"/>
        <v>EBldRateStep_Hyd_1_EUR</v>
      </c>
      <c r="M65" t="s">
        <v>15</v>
      </c>
      <c r="N65">
        <f t="shared" si="10"/>
        <v>0</v>
      </c>
      <c r="O65">
        <f t="shared" si="10"/>
        <v>10</v>
      </c>
      <c r="P65">
        <f t="shared" si="10"/>
        <v>10</v>
      </c>
      <c r="Q65">
        <f t="shared" si="10"/>
        <v>1</v>
      </c>
    </row>
    <row r="66" spans="1:17" x14ac:dyDescent="0.45">
      <c r="A66">
        <f t="shared" si="4"/>
        <v>7</v>
      </c>
      <c r="B66" s="1" t="str">
        <f t="shared" si="5"/>
        <v>EBldRateStep_Hyd_2</v>
      </c>
      <c r="E66" s="1" t="str">
        <f t="shared" si="0"/>
        <v>EBldRateStep_Hyd_2_EUR</v>
      </c>
      <c r="F66" s="1" t="str">
        <f t="shared" si="1"/>
        <v>EBldRateStep_Hyd_2_EUR</v>
      </c>
      <c r="G66" s="1" t="s">
        <v>14</v>
      </c>
      <c r="H66" s="1" t="s">
        <v>14</v>
      </c>
      <c r="L66" s="1" t="str">
        <f t="shared" si="6"/>
        <v>EBldRateStep_Hyd_2_EUR</v>
      </c>
      <c r="M66" t="s">
        <v>15</v>
      </c>
      <c r="N66">
        <f t="shared" si="10"/>
        <v>900</v>
      </c>
      <c r="O66">
        <f t="shared" si="10"/>
        <v>200</v>
      </c>
      <c r="P66">
        <f t="shared" si="10"/>
        <v>30</v>
      </c>
      <c r="Q66">
        <f t="shared" si="10"/>
        <v>1</v>
      </c>
    </row>
    <row r="67" spans="1:17" x14ac:dyDescent="0.45">
      <c r="A67">
        <f t="shared" si="4"/>
        <v>7</v>
      </c>
      <c r="B67" s="1" t="str">
        <f t="shared" si="5"/>
        <v>EBldRateStep_Hyd_3</v>
      </c>
      <c r="E67" s="1" t="str">
        <f t="shared" si="0"/>
        <v>EBldRateStep_Hyd_3_EUR</v>
      </c>
      <c r="F67" s="1" t="str">
        <f t="shared" si="1"/>
        <v>EBldRateStep_Hyd_3_EUR</v>
      </c>
      <c r="G67" s="1" t="s">
        <v>14</v>
      </c>
      <c r="H67" s="1" t="s">
        <v>14</v>
      </c>
      <c r="L67" s="1" t="str">
        <f t="shared" si="6"/>
        <v>EBldRateStep_Hyd_3_EUR</v>
      </c>
      <c r="M67" t="s">
        <v>15</v>
      </c>
      <c r="N67">
        <f t="shared" si="10"/>
        <v>1800</v>
      </c>
      <c r="O67">
        <f t="shared" si="10"/>
        <v>200</v>
      </c>
      <c r="P67">
        <f t="shared" si="10"/>
        <v>30</v>
      </c>
      <c r="Q67">
        <f t="shared" si="10"/>
        <v>1</v>
      </c>
    </row>
    <row r="68" spans="1:17" x14ac:dyDescent="0.45">
      <c r="A68">
        <f t="shared" si="4"/>
        <v>8</v>
      </c>
      <c r="B68" s="1" t="str">
        <f t="shared" si="5"/>
        <v>EBldRateStep_Sol_1</v>
      </c>
      <c r="E68" s="1" t="str">
        <f t="shared" si="0"/>
        <v>EBldRateStep_Sol_1_IND</v>
      </c>
      <c r="F68" s="1" t="str">
        <f t="shared" si="1"/>
        <v>EBldRateStep_Sol_1_IND</v>
      </c>
      <c r="G68" s="1" t="s">
        <v>14</v>
      </c>
      <c r="H68" s="1" t="s">
        <v>14</v>
      </c>
      <c r="L68" s="1" t="str">
        <f t="shared" si="6"/>
        <v>EBldRateStep_Sol_1_IND</v>
      </c>
      <c r="M68" t="s">
        <v>15</v>
      </c>
      <c r="N68">
        <f t="shared" si="10"/>
        <v>0</v>
      </c>
      <c r="O68">
        <f t="shared" si="10"/>
        <v>10</v>
      </c>
      <c r="P68">
        <f t="shared" si="10"/>
        <v>10</v>
      </c>
      <c r="Q68">
        <f t="shared" si="10"/>
        <v>1</v>
      </c>
    </row>
    <row r="69" spans="1:17" x14ac:dyDescent="0.45">
      <c r="A69">
        <f t="shared" si="4"/>
        <v>8</v>
      </c>
      <c r="B69" s="1" t="str">
        <f t="shared" si="5"/>
        <v>EBldRateStep_Sol_2</v>
      </c>
      <c r="E69" s="1" t="str">
        <f t="shared" si="0"/>
        <v>EBldRateStep_Sol_2_IND</v>
      </c>
      <c r="F69" s="1" t="str">
        <f t="shared" si="1"/>
        <v>EBldRateStep_Sol_2_IND</v>
      </c>
      <c r="G69" s="1" t="s">
        <v>14</v>
      </c>
      <c r="H69" s="1" t="s">
        <v>14</v>
      </c>
      <c r="L69" s="1" t="str">
        <f t="shared" si="6"/>
        <v>EBldRateStep_Sol_2_IND</v>
      </c>
      <c r="M69" t="s">
        <v>15</v>
      </c>
      <c r="N69">
        <f t="shared" si="10"/>
        <v>300</v>
      </c>
      <c r="O69">
        <f t="shared" si="10"/>
        <v>200</v>
      </c>
      <c r="P69">
        <f t="shared" si="10"/>
        <v>30</v>
      </c>
      <c r="Q69">
        <f t="shared" si="10"/>
        <v>1</v>
      </c>
    </row>
    <row r="70" spans="1:17" x14ac:dyDescent="0.45">
      <c r="A70">
        <f t="shared" si="4"/>
        <v>8</v>
      </c>
      <c r="B70" s="1" t="str">
        <f t="shared" si="5"/>
        <v>EBldRateStep_Sol_3</v>
      </c>
      <c r="E70" s="1" t="str">
        <f t="shared" ref="E70:E133" si="11">B70&amp;"_"&amp;VLOOKUP(A70,$T$5:$U$20,2,FALSE)</f>
        <v>EBldRateStep_Sol_3_IND</v>
      </c>
      <c r="F70" s="1" t="str">
        <f t="shared" ref="F70:F133" si="12">E70</f>
        <v>EBldRateStep_Sol_3_IND</v>
      </c>
      <c r="G70" s="1" t="s">
        <v>14</v>
      </c>
      <c r="H70" s="1" t="s">
        <v>14</v>
      </c>
      <c r="L70" s="1" t="str">
        <f t="shared" si="6"/>
        <v>EBldRateStep_Sol_3_IND</v>
      </c>
      <c r="M70" t="s">
        <v>15</v>
      </c>
      <c r="N70">
        <f t="shared" si="10"/>
        <v>600</v>
      </c>
      <c r="O70">
        <f t="shared" si="10"/>
        <v>200</v>
      </c>
      <c r="P70">
        <f t="shared" si="10"/>
        <v>30</v>
      </c>
      <c r="Q70">
        <f t="shared" si="10"/>
        <v>1</v>
      </c>
    </row>
    <row r="71" spans="1:17" x14ac:dyDescent="0.45">
      <c r="A71">
        <f t="shared" si="4"/>
        <v>8</v>
      </c>
      <c r="B71" s="1" t="str">
        <f t="shared" si="5"/>
        <v>EBldRateStep_Win_1</v>
      </c>
      <c r="E71" s="1" t="str">
        <f t="shared" si="11"/>
        <v>EBldRateStep_Win_1_IND</v>
      </c>
      <c r="F71" s="1" t="str">
        <f t="shared" si="12"/>
        <v>EBldRateStep_Win_1_IND</v>
      </c>
      <c r="G71" s="1" t="s">
        <v>14</v>
      </c>
      <c r="H71" s="1" t="s">
        <v>14</v>
      </c>
      <c r="L71" s="1" t="str">
        <f t="shared" si="6"/>
        <v>EBldRateStep_Win_1_IND</v>
      </c>
      <c r="M71" t="s">
        <v>15</v>
      </c>
      <c r="N71">
        <f t="shared" si="10"/>
        <v>0</v>
      </c>
      <c r="O71">
        <f t="shared" si="10"/>
        <v>10</v>
      </c>
      <c r="P71">
        <f t="shared" si="10"/>
        <v>10</v>
      </c>
      <c r="Q71">
        <f t="shared" si="10"/>
        <v>1</v>
      </c>
    </row>
    <row r="72" spans="1:17" x14ac:dyDescent="0.45">
      <c r="A72">
        <f t="shared" si="4"/>
        <v>8</v>
      </c>
      <c r="B72" s="1" t="str">
        <f t="shared" si="5"/>
        <v>EBldRateStep_Win_2</v>
      </c>
      <c r="E72" s="1" t="str">
        <f t="shared" si="11"/>
        <v>EBldRateStep_Win_2_IND</v>
      </c>
      <c r="F72" s="1" t="str">
        <f t="shared" si="12"/>
        <v>EBldRateStep_Win_2_IND</v>
      </c>
      <c r="G72" s="1" t="s">
        <v>14</v>
      </c>
      <c r="H72" s="1" t="s">
        <v>14</v>
      </c>
      <c r="L72" s="1" t="str">
        <f t="shared" si="6"/>
        <v>EBldRateStep_Win_2_IND</v>
      </c>
      <c r="M72" t="s">
        <v>15</v>
      </c>
      <c r="N72">
        <f t="shared" si="10"/>
        <v>750</v>
      </c>
      <c r="O72">
        <f t="shared" si="10"/>
        <v>200</v>
      </c>
      <c r="P72">
        <f t="shared" si="10"/>
        <v>30</v>
      </c>
      <c r="Q72">
        <f t="shared" si="10"/>
        <v>1</v>
      </c>
    </row>
    <row r="73" spans="1:17" x14ac:dyDescent="0.45">
      <c r="A73">
        <f t="shared" si="4"/>
        <v>8</v>
      </c>
      <c r="B73" s="1" t="str">
        <f t="shared" si="5"/>
        <v>EBldRateStep_Win_3</v>
      </c>
      <c r="E73" s="1" t="str">
        <f t="shared" si="11"/>
        <v>EBldRateStep_Win_3_IND</v>
      </c>
      <c r="F73" s="1" t="str">
        <f t="shared" si="12"/>
        <v>EBldRateStep_Win_3_IND</v>
      </c>
      <c r="G73" s="1" t="s">
        <v>14</v>
      </c>
      <c r="H73" s="1" t="s">
        <v>14</v>
      </c>
      <c r="L73" s="1" t="str">
        <f t="shared" si="6"/>
        <v>EBldRateStep_Win_3_IND</v>
      </c>
      <c r="M73" t="s">
        <v>15</v>
      </c>
      <c r="N73">
        <f t="shared" si="10"/>
        <v>1500</v>
      </c>
      <c r="O73">
        <f t="shared" si="10"/>
        <v>200</v>
      </c>
      <c r="P73">
        <f t="shared" si="10"/>
        <v>30</v>
      </c>
      <c r="Q73">
        <f t="shared" si="10"/>
        <v>1</v>
      </c>
    </row>
    <row r="74" spans="1:17" x14ac:dyDescent="0.45">
      <c r="A74">
        <f t="shared" si="4"/>
        <v>8</v>
      </c>
      <c r="B74" s="1" t="str">
        <f t="shared" si="5"/>
        <v>EBldRateStep_Hyd_1</v>
      </c>
      <c r="E74" s="1" t="str">
        <f t="shared" si="11"/>
        <v>EBldRateStep_Hyd_1_IND</v>
      </c>
      <c r="F74" s="1" t="str">
        <f t="shared" si="12"/>
        <v>EBldRateStep_Hyd_1_IND</v>
      </c>
      <c r="G74" s="1" t="s">
        <v>14</v>
      </c>
      <c r="H74" s="1" t="s">
        <v>14</v>
      </c>
      <c r="L74" s="1" t="str">
        <f t="shared" si="6"/>
        <v>EBldRateStep_Hyd_1_IND</v>
      </c>
      <c r="M74" t="s">
        <v>15</v>
      </c>
      <c r="N74">
        <f t="shared" si="10"/>
        <v>0</v>
      </c>
      <c r="O74">
        <f t="shared" si="10"/>
        <v>10</v>
      </c>
      <c r="P74">
        <f t="shared" si="10"/>
        <v>10</v>
      </c>
      <c r="Q74">
        <f t="shared" si="10"/>
        <v>1</v>
      </c>
    </row>
    <row r="75" spans="1:17" x14ac:dyDescent="0.45">
      <c r="A75">
        <f t="shared" si="4"/>
        <v>8</v>
      </c>
      <c r="B75" s="1" t="str">
        <f t="shared" si="5"/>
        <v>EBldRateStep_Hyd_2</v>
      </c>
      <c r="E75" s="1" t="str">
        <f t="shared" si="11"/>
        <v>EBldRateStep_Hyd_2_IND</v>
      </c>
      <c r="F75" s="1" t="str">
        <f t="shared" si="12"/>
        <v>EBldRateStep_Hyd_2_IND</v>
      </c>
      <c r="G75" s="1" t="s">
        <v>14</v>
      </c>
      <c r="H75" s="1" t="s">
        <v>14</v>
      </c>
      <c r="L75" s="1" t="str">
        <f t="shared" si="6"/>
        <v>EBldRateStep_Hyd_2_IND</v>
      </c>
      <c r="M75" t="s">
        <v>15</v>
      </c>
      <c r="N75">
        <f t="shared" si="10"/>
        <v>900</v>
      </c>
      <c r="O75">
        <f t="shared" si="10"/>
        <v>200</v>
      </c>
      <c r="P75">
        <f t="shared" si="10"/>
        <v>30</v>
      </c>
      <c r="Q75">
        <f t="shared" si="10"/>
        <v>1</v>
      </c>
    </row>
    <row r="76" spans="1:17" x14ac:dyDescent="0.45">
      <c r="A76">
        <f t="shared" si="4"/>
        <v>8</v>
      </c>
      <c r="B76" s="1" t="str">
        <f t="shared" si="5"/>
        <v>EBldRateStep_Hyd_3</v>
      </c>
      <c r="E76" s="1" t="str">
        <f t="shared" si="11"/>
        <v>EBldRateStep_Hyd_3_IND</v>
      </c>
      <c r="F76" s="1" t="str">
        <f t="shared" si="12"/>
        <v>EBldRateStep_Hyd_3_IND</v>
      </c>
      <c r="G76" s="1" t="s">
        <v>14</v>
      </c>
      <c r="H76" s="1" t="s">
        <v>14</v>
      </c>
      <c r="L76" s="1" t="str">
        <f t="shared" si="6"/>
        <v>EBldRateStep_Hyd_3_IND</v>
      </c>
      <c r="M76" t="s">
        <v>15</v>
      </c>
      <c r="N76">
        <f t="shared" si="10"/>
        <v>1800</v>
      </c>
      <c r="O76">
        <f t="shared" si="10"/>
        <v>200</v>
      </c>
      <c r="P76">
        <f t="shared" si="10"/>
        <v>30</v>
      </c>
      <c r="Q76">
        <f t="shared" si="10"/>
        <v>1</v>
      </c>
    </row>
    <row r="77" spans="1:17" x14ac:dyDescent="0.45">
      <c r="A77">
        <f t="shared" si="4"/>
        <v>9</v>
      </c>
      <c r="B77" s="1" t="str">
        <f t="shared" si="5"/>
        <v>EBldRateStep_Sol_1</v>
      </c>
      <c r="E77" s="1" t="str">
        <f t="shared" si="11"/>
        <v>EBldRateStep_Sol_1_JPN</v>
      </c>
      <c r="F77" s="1" t="str">
        <f t="shared" si="12"/>
        <v>EBldRateStep_Sol_1_JPN</v>
      </c>
      <c r="G77" s="1" t="s">
        <v>14</v>
      </c>
      <c r="H77" s="1" t="s">
        <v>14</v>
      </c>
      <c r="L77" s="1" t="str">
        <f t="shared" si="6"/>
        <v>EBldRateStep_Sol_1_JPN</v>
      </c>
      <c r="M77" t="s">
        <v>15</v>
      </c>
      <c r="N77">
        <f t="shared" si="10"/>
        <v>0</v>
      </c>
      <c r="O77">
        <f t="shared" si="10"/>
        <v>10</v>
      </c>
      <c r="P77">
        <f t="shared" si="10"/>
        <v>10</v>
      </c>
      <c r="Q77">
        <f t="shared" si="10"/>
        <v>1</v>
      </c>
    </row>
    <row r="78" spans="1:17" x14ac:dyDescent="0.45">
      <c r="A78">
        <f t="shared" si="4"/>
        <v>9</v>
      </c>
      <c r="B78" s="1" t="str">
        <f t="shared" si="5"/>
        <v>EBldRateStep_Sol_2</v>
      </c>
      <c r="E78" s="1" t="str">
        <f t="shared" si="11"/>
        <v>EBldRateStep_Sol_2_JPN</v>
      </c>
      <c r="F78" s="1" t="str">
        <f t="shared" si="12"/>
        <v>EBldRateStep_Sol_2_JPN</v>
      </c>
      <c r="G78" s="1" t="s">
        <v>14</v>
      </c>
      <c r="H78" s="1" t="s">
        <v>14</v>
      </c>
      <c r="L78" s="1" t="str">
        <f t="shared" si="6"/>
        <v>EBldRateStep_Sol_2_JPN</v>
      </c>
      <c r="M78" t="s">
        <v>15</v>
      </c>
      <c r="N78">
        <f t="shared" si="10"/>
        <v>300</v>
      </c>
      <c r="O78">
        <f t="shared" si="10"/>
        <v>200</v>
      </c>
      <c r="P78">
        <f t="shared" si="10"/>
        <v>30</v>
      </c>
      <c r="Q78">
        <f t="shared" si="10"/>
        <v>1</v>
      </c>
    </row>
    <row r="79" spans="1:17" x14ac:dyDescent="0.45">
      <c r="A79">
        <f t="shared" ref="A79:A142" si="13">A70+1</f>
        <v>9</v>
      </c>
      <c r="B79" s="1" t="str">
        <f t="shared" ref="B79:B142" si="14">B70</f>
        <v>EBldRateStep_Sol_3</v>
      </c>
      <c r="E79" s="1" t="str">
        <f t="shared" si="11"/>
        <v>EBldRateStep_Sol_3_JPN</v>
      </c>
      <c r="F79" s="1" t="str">
        <f t="shared" si="12"/>
        <v>EBldRateStep_Sol_3_JPN</v>
      </c>
      <c r="G79" s="1" t="s">
        <v>14</v>
      </c>
      <c r="H79" s="1" t="s">
        <v>14</v>
      </c>
      <c r="L79" s="1" t="str">
        <f t="shared" ref="L79:L142" si="15">E79</f>
        <v>EBldRateStep_Sol_3_JPN</v>
      </c>
      <c r="M79" t="s">
        <v>15</v>
      </c>
      <c r="N79">
        <f t="shared" ref="N79:Q94" si="16">N70</f>
        <v>600</v>
      </c>
      <c r="O79">
        <f t="shared" si="16"/>
        <v>200</v>
      </c>
      <c r="P79">
        <f t="shared" si="16"/>
        <v>30</v>
      </c>
      <c r="Q79">
        <f t="shared" si="16"/>
        <v>1</v>
      </c>
    </row>
    <row r="80" spans="1:17" x14ac:dyDescent="0.45">
      <c r="A80">
        <f t="shared" si="13"/>
        <v>9</v>
      </c>
      <c r="B80" s="1" t="str">
        <f t="shared" si="14"/>
        <v>EBldRateStep_Win_1</v>
      </c>
      <c r="E80" s="1" t="str">
        <f t="shared" si="11"/>
        <v>EBldRateStep_Win_1_JPN</v>
      </c>
      <c r="F80" s="1" t="str">
        <f t="shared" si="12"/>
        <v>EBldRateStep_Win_1_JPN</v>
      </c>
      <c r="G80" s="1" t="s">
        <v>14</v>
      </c>
      <c r="H80" s="1" t="s">
        <v>14</v>
      </c>
      <c r="L80" s="1" t="str">
        <f t="shared" si="15"/>
        <v>EBldRateStep_Win_1_JPN</v>
      </c>
      <c r="M80" t="s">
        <v>15</v>
      </c>
      <c r="N80">
        <f t="shared" si="16"/>
        <v>0</v>
      </c>
      <c r="O80">
        <f t="shared" si="16"/>
        <v>10</v>
      </c>
      <c r="P80">
        <f t="shared" si="16"/>
        <v>10</v>
      </c>
      <c r="Q80">
        <f t="shared" si="16"/>
        <v>1</v>
      </c>
    </row>
    <row r="81" spans="1:17" x14ac:dyDescent="0.45">
      <c r="A81">
        <f t="shared" si="13"/>
        <v>9</v>
      </c>
      <c r="B81" s="1" t="str">
        <f t="shared" si="14"/>
        <v>EBldRateStep_Win_2</v>
      </c>
      <c r="E81" s="1" t="str">
        <f t="shared" si="11"/>
        <v>EBldRateStep_Win_2_JPN</v>
      </c>
      <c r="F81" s="1" t="str">
        <f t="shared" si="12"/>
        <v>EBldRateStep_Win_2_JPN</v>
      </c>
      <c r="G81" s="1" t="s">
        <v>14</v>
      </c>
      <c r="H81" s="1" t="s">
        <v>14</v>
      </c>
      <c r="L81" s="1" t="str">
        <f t="shared" si="15"/>
        <v>EBldRateStep_Win_2_JPN</v>
      </c>
      <c r="M81" t="s">
        <v>15</v>
      </c>
      <c r="N81">
        <f t="shared" si="16"/>
        <v>750</v>
      </c>
      <c r="O81">
        <f t="shared" si="16"/>
        <v>200</v>
      </c>
      <c r="P81">
        <f t="shared" si="16"/>
        <v>30</v>
      </c>
      <c r="Q81">
        <f t="shared" si="16"/>
        <v>1</v>
      </c>
    </row>
    <row r="82" spans="1:17" x14ac:dyDescent="0.45">
      <c r="A82">
        <f t="shared" si="13"/>
        <v>9</v>
      </c>
      <c r="B82" s="1" t="str">
        <f t="shared" si="14"/>
        <v>EBldRateStep_Win_3</v>
      </c>
      <c r="E82" s="1" t="str">
        <f t="shared" si="11"/>
        <v>EBldRateStep_Win_3_JPN</v>
      </c>
      <c r="F82" s="1" t="str">
        <f t="shared" si="12"/>
        <v>EBldRateStep_Win_3_JPN</v>
      </c>
      <c r="G82" s="1" t="s">
        <v>14</v>
      </c>
      <c r="H82" s="1" t="s">
        <v>14</v>
      </c>
      <c r="L82" s="1" t="str">
        <f t="shared" si="15"/>
        <v>EBldRateStep_Win_3_JPN</v>
      </c>
      <c r="M82" t="s">
        <v>15</v>
      </c>
      <c r="N82">
        <f t="shared" si="16"/>
        <v>1500</v>
      </c>
      <c r="O82">
        <f t="shared" si="16"/>
        <v>200</v>
      </c>
      <c r="P82">
        <f t="shared" si="16"/>
        <v>30</v>
      </c>
      <c r="Q82">
        <f t="shared" si="16"/>
        <v>1</v>
      </c>
    </row>
    <row r="83" spans="1:17" x14ac:dyDescent="0.45">
      <c r="A83">
        <f t="shared" si="13"/>
        <v>9</v>
      </c>
      <c r="B83" s="1" t="str">
        <f t="shared" si="14"/>
        <v>EBldRateStep_Hyd_1</v>
      </c>
      <c r="E83" s="1" t="str">
        <f t="shared" si="11"/>
        <v>EBldRateStep_Hyd_1_JPN</v>
      </c>
      <c r="F83" s="1" t="str">
        <f t="shared" si="12"/>
        <v>EBldRateStep_Hyd_1_JPN</v>
      </c>
      <c r="G83" s="1" t="s">
        <v>14</v>
      </c>
      <c r="H83" s="1" t="s">
        <v>14</v>
      </c>
      <c r="L83" s="1" t="str">
        <f t="shared" si="15"/>
        <v>EBldRateStep_Hyd_1_JPN</v>
      </c>
      <c r="M83" t="s">
        <v>15</v>
      </c>
      <c r="N83">
        <f t="shared" si="16"/>
        <v>0</v>
      </c>
      <c r="O83">
        <f t="shared" si="16"/>
        <v>10</v>
      </c>
      <c r="P83">
        <f t="shared" si="16"/>
        <v>10</v>
      </c>
      <c r="Q83">
        <f t="shared" si="16"/>
        <v>1</v>
      </c>
    </row>
    <row r="84" spans="1:17" x14ac:dyDescent="0.45">
      <c r="A84">
        <f t="shared" si="13"/>
        <v>9</v>
      </c>
      <c r="B84" s="1" t="str">
        <f t="shared" si="14"/>
        <v>EBldRateStep_Hyd_2</v>
      </c>
      <c r="E84" s="1" t="str">
        <f t="shared" si="11"/>
        <v>EBldRateStep_Hyd_2_JPN</v>
      </c>
      <c r="F84" s="1" t="str">
        <f t="shared" si="12"/>
        <v>EBldRateStep_Hyd_2_JPN</v>
      </c>
      <c r="G84" s="1" t="s">
        <v>14</v>
      </c>
      <c r="H84" s="1" t="s">
        <v>14</v>
      </c>
      <c r="L84" s="1" t="str">
        <f t="shared" si="15"/>
        <v>EBldRateStep_Hyd_2_JPN</v>
      </c>
      <c r="M84" t="s">
        <v>15</v>
      </c>
      <c r="N84">
        <f t="shared" si="16"/>
        <v>900</v>
      </c>
      <c r="O84">
        <f t="shared" si="16"/>
        <v>200</v>
      </c>
      <c r="P84">
        <f t="shared" si="16"/>
        <v>30</v>
      </c>
      <c r="Q84">
        <f t="shared" si="16"/>
        <v>1</v>
      </c>
    </row>
    <row r="85" spans="1:17" x14ac:dyDescent="0.45">
      <c r="A85">
        <f t="shared" si="13"/>
        <v>9</v>
      </c>
      <c r="B85" s="1" t="str">
        <f t="shared" si="14"/>
        <v>EBldRateStep_Hyd_3</v>
      </c>
      <c r="E85" s="1" t="str">
        <f t="shared" si="11"/>
        <v>EBldRateStep_Hyd_3_JPN</v>
      </c>
      <c r="F85" s="1" t="str">
        <f t="shared" si="12"/>
        <v>EBldRateStep_Hyd_3_JPN</v>
      </c>
      <c r="G85" s="1" t="s">
        <v>14</v>
      </c>
      <c r="H85" s="1" t="s">
        <v>14</v>
      </c>
      <c r="L85" s="1" t="str">
        <f t="shared" si="15"/>
        <v>EBldRateStep_Hyd_3_JPN</v>
      </c>
      <c r="M85" t="s">
        <v>15</v>
      </c>
      <c r="N85">
        <f t="shared" si="16"/>
        <v>1800</v>
      </c>
      <c r="O85">
        <f t="shared" si="16"/>
        <v>200</v>
      </c>
      <c r="P85">
        <f t="shared" si="16"/>
        <v>30</v>
      </c>
      <c r="Q85">
        <f t="shared" si="16"/>
        <v>1</v>
      </c>
    </row>
    <row r="86" spans="1:17" x14ac:dyDescent="0.45">
      <c r="A86">
        <f t="shared" si="13"/>
        <v>10</v>
      </c>
      <c r="B86" s="1" t="str">
        <f t="shared" si="14"/>
        <v>EBldRateStep_Sol_1</v>
      </c>
      <c r="E86" s="1" t="str">
        <f t="shared" si="11"/>
        <v>EBldRateStep_Sol_1_MID</v>
      </c>
      <c r="F86" s="1" t="str">
        <f t="shared" si="12"/>
        <v>EBldRateStep_Sol_1_MID</v>
      </c>
      <c r="G86" s="1" t="s">
        <v>14</v>
      </c>
      <c r="H86" s="1" t="s">
        <v>14</v>
      </c>
      <c r="L86" s="1" t="str">
        <f t="shared" si="15"/>
        <v>EBldRateStep_Sol_1_MID</v>
      </c>
      <c r="M86" t="s">
        <v>15</v>
      </c>
      <c r="N86">
        <f t="shared" si="16"/>
        <v>0</v>
      </c>
      <c r="O86">
        <f t="shared" si="16"/>
        <v>10</v>
      </c>
      <c r="P86">
        <f t="shared" si="16"/>
        <v>10</v>
      </c>
      <c r="Q86">
        <f t="shared" si="16"/>
        <v>1</v>
      </c>
    </row>
    <row r="87" spans="1:17" x14ac:dyDescent="0.45">
      <c r="A87">
        <f t="shared" si="13"/>
        <v>10</v>
      </c>
      <c r="B87" s="1" t="str">
        <f t="shared" si="14"/>
        <v>EBldRateStep_Sol_2</v>
      </c>
      <c r="E87" s="1" t="str">
        <f t="shared" si="11"/>
        <v>EBldRateStep_Sol_2_MID</v>
      </c>
      <c r="F87" s="1" t="str">
        <f t="shared" si="12"/>
        <v>EBldRateStep_Sol_2_MID</v>
      </c>
      <c r="G87" s="1" t="s">
        <v>14</v>
      </c>
      <c r="H87" s="1" t="s">
        <v>14</v>
      </c>
      <c r="L87" s="1" t="str">
        <f t="shared" si="15"/>
        <v>EBldRateStep_Sol_2_MID</v>
      </c>
      <c r="M87" t="s">
        <v>15</v>
      </c>
      <c r="N87">
        <f t="shared" si="16"/>
        <v>300</v>
      </c>
      <c r="O87">
        <f t="shared" si="16"/>
        <v>200</v>
      </c>
      <c r="P87">
        <f t="shared" si="16"/>
        <v>30</v>
      </c>
      <c r="Q87">
        <f t="shared" si="16"/>
        <v>1</v>
      </c>
    </row>
    <row r="88" spans="1:17" x14ac:dyDescent="0.45">
      <c r="A88">
        <f t="shared" si="13"/>
        <v>10</v>
      </c>
      <c r="B88" s="1" t="str">
        <f t="shared" si="14"/>
        <v>EBldRateStep_Sol_3</v>
      </c>
      <c r="E88" s="1" t="str">
        <f t="shared" si="11"/>
        <v>EBldRateStep_Sol_3_MID</v>
      </c>
      <c r="F88" s="1" t="str">
        <f t="shared" si="12"/>
        <v>EBldRateStep_Sol_3_MID</v>
      </c>
      <c r="G88" s="1" t="s">
        <v>14</v>
      </c>
      <c r="H88" s="1" t="s">
        <v>14</v>
      </c>
      <c r="L88" s="1" t="str">
        <f t="shared" si="15"/>
        <v>EBldRateStep_Sol_3_MID</v>
      </c>
      <c r="M88" t="s">
        <v>15</v>
      </c>
      <c r="N88">
        <f t="shared" si="16"/>
        <v>600</v>
      </c>
      <c r="O88">
        <f t="shared" si="16"/>
        <v>200</v>
      </c>
      <c r="P88">
        <f t="shared" si="16"/>
        <v>30</v>
      </c>
      <c r="Q88">
        <f t="shared" si="16"/>
        <v>1</v>
      </c>
    </row>
    <row r="89" spans="1:17" x14ac:dyDescent="0.45">
      <c r="A89">
        <f t="shared" si="13"/>
        <v>10</v>
      </c>
      <c r="B89" s="1" t="str">
        <f t="shared" si="14"/>
        <v>EBldRateStep_Win_1</v>
      </c>
      <c r="E89" s="1" t="str">
        <f t="shared" si="11"/>
        <v>EBldRateStep_Win_1_MID</v>
      </c>
      <c r="F89" s="1" t="str">
        <f t="shared" si="12"/>
        <v>EBldRateStep_Win_1_MID</v>
      </c>
      <c r="G89" s="1" t="s">
        <v>14</v>
      </c>
      <c r="H89" s="1" t="s">
        <v>14</v>
      </c>
      <c r="L89" s="1" t="str">
        <f t="shared" si="15"/>
        <v>EBldRateStep_Win_1_MID</v>
      </c>
      <c r="M89" t="s">
        <v>15</v>
      </c>
      <c r="N89">
        <f t="shared" si="16"/>
        <v>0</v>
      </c>
      <c r="O89">
        <f t="shared" si="16"/>
        <v>10</v>
      </c>
      <c r="P89">
        <f t="shared" si="16"/>
        <v>10</v>
      </c>
      <c r="Q89">
        <f t="shared" si="16"/>
        <v>1</v>
      </c>
    </row>
    <row r="90" spans="1:17" x14ac:dyDescent="0.45">
      <c r="A90">
        <f t="shared" si="13"/>
        <v>10</v>
      </c>
      <c r="B90" s="1" t="str">
        <f t="shared" si="14"/>
        <v>EBldRateStep_Win_2</v>
      </c>
      <c r="E90" s="1" t="str">
        <f t="shared" si="11"/>
        <v>EBldRateStep_Win_2_MID</v>
      </c>
      <c r="F90" s="1" t="str">
        <f t="shared" si="12"/>
        <v>EBldRateStep_Win_2_MID</v>
      </c>
      <c r="G90" s="1" t="s">
        <v>14</v>
      </c>
      <c r="H90" s="1" t="s">
        <v>14</v>
      </c>
      <c r="L90" s="1" t="str">
        <f t="shared" si="15"/>
        <v>EBldRateStep_Win_2_MID</v>
      </c>
      <c r="M90" t="s">
        <v>15</v>
      </c>
      <c r="N90">
        <f t="shared" si="16"/>
        <v>750</v>
      </c>
      <c r="O90">
        <f t="shared" si="16"/>
        <v>200</v>
      </c>
      <c r="P90">
        <f t="shared" si="16"/>
        <v>30</v>
      </c>
      <c r="Q90">
        <f t="shared" si="16"/>
        <v>1</v>
      </c>
    </row>
    <row r="91" spans="1:17" x14ac:dyDescent="0.45">
      <c r="A91">
        <f t="shared" si="13"/>
        <v>10</v>
      </c>
      <c r="B91" s="1" t="str">
        <f t="shared" si="14"/>
        <v>EBldRateStep_Win_3</v>
      </c>
      <c r="E91" s="1" t="str">
        <f t="shared" si="11"/>
        <v>EBldRateStep_Win_3_MID</v>
      </c>
      <c r="F91" s="1" t="str">
        <f t="shared" si="12"/>
        <v>EBldRateStep_Win_3_MID</v>
      </c>
      <c r="G91" s="1" t="s">
        <v>14</v>
      </c>
      <c r="H91" s="1" t="s">
        <v>14</v>
      </c>
      <c r="L91" s="1" t="str">
        <f t="shared" si="15"/>
        <v>EBldRateStep_Win_3_MID</v>
      </c>
      <c r="M91" t="s">
        <v>15</v>
      </c>
      <c r="N91">
        <f t="shared" si="16"/>
        <v>1500</v>
      </c>
      <c r="O91">
        <f t="shared" si="16"/>
        <v>200</v>
      </c>
      <c r="P91">
        <f t="shared" si="16"/>
        <v>30</v>
      </c>
      <c r="Q91">
        <f t="shared" si="16"/>
        <v>1</v>
      </c>
    </row>
    <row r="92" spans="1:17" x14ac:dyDescent="0.45">
      <c r="A92">
        <f t="shared" si="13"/>
        <v>10</v>
      </c>
      <c r="B92" s="1" t="str">
        <f t="shared" si="14"/>
        <v>EBldRateStep_Hyd_1</v>
      </c>
      <c r="E92" s="1" t="str">
        <f t="shared" si="11"/>
        <v>EBldRateStep_Hyd_1_MID</v>
      </c>
      <c r="F92" s="1" t="str">
        <f t="shared" si="12"/>
        <v>EBldRateStep_Hyd_1_MID</v>
      </c>
      <c r="G92" s="1" t="s">
        <v>14</v>
      </c>
      <c r="H92" s="1" t="s">
        <v>14</v>
      </c>
      <c r="L92" s="1" t="str">
        <f t="shared" si="15"/>
        <v>EBldRateStep_Hyd_1_MID</v>
      </c>
      <c r="M92" t="s">
        <v>15</v>
      </c>
      <c r="N92">
        <f t="shared" si="16"/>
        <v>0</v>
      </c>
      <c r="O92">
        <f t="shared" si="16"/>
        <v>10</v>
      </c>
      <c r="P92">
        <f t="shared" si="16"/>
        <v>10</v>
      </c>
      <c r="Q92">
        <f t="shared" si="16"/>
        <v>1</v>
      </c>
    </row>
    <row r="93" spans="1:17" x14ac:dyDescent="0.45">
      <c r="A93">
        <f t="shared" si="13"/>
        <v>10</v>
      </c>
      <c r="B93" s="1" t="str">
        <f t="shared" si="14"/>
        <v>EBldRateStep_Hyd_2</v>
      </c>
      <c r="E93" s="1" t="str">
        <f t="shared" si="11"/>
        <v>EBldRateStep_Hyd_2_MID</v>
      </c>
      <c r="F93" s="1" t="str">
        <f t="shared" si="12"/>
        <v>EBldRateStep_Hyd_2_MID</v>
      </c>
      <c r="G93" s="1" t="s">
        <v>14</v>
      </c>
      <c r="H93" s="1" t="s">
        <v>14</v>
      </c>
      <c r="L93" s="1" t="str">
        <f t="shared" si="15"/>
        <v>EBldRateStep_Hyd_2_MID</v>
      </c>
      <c r="M93" t="s">
        <v>15</v>
      </c>
      <c r="N93">
        <f t="shared" si="16"/>
        <v>900</v>
      </c>
      <c r="O93">
        <f t="shared" si="16"/>
        <v>200</v>
      </c>
      <c r="P93">
        <f t="shared" si="16"/>
        <v>30</v>
      </c>
      <c r="Q93">
        <f t="shared" si="16"/>
        <v>1</v>
      </c>
    </row>
    <row r="94" spans="1:17" x14ac:dyDescent="0.45">
      <c r="A94">
        <f t="shared" si="13"/>
        <v>10</v>
      </c>
      <c r="B94" s="1" t="str">
        <f t="shared" si="14"/>
        <v>EBldRateStep_Hyd_3</v>
      </c>
      <c r="E94" s="1" t="str">
        <f t="shared" si="11"/>
        <v>EBldRateStep_Hyd_3_MID</v>
      </c>
      <c r="F94" s="1" t="str">
        <f t="shared" si="12"/>
        <v>EBldRateStep_Hyd_3_MID</v>
      </c>
      <c r="G94" s="1" t="s">
        <v>14</v>
      </c>
      <c r="H94" s="1" t="s">
        <v>14</v>
      </c>
      <c r="L94" s="1" t="str">
        <f t="shared" si="15"/>
        <v>EBldRateStep_Hyd_3_MID</v>
      </c>
      <c r="M94" t="s">
        <v>15</v>
      </c>
      <c r="N94">
        <f t="shared" si="16"/>
        <v>1800</v>
      </c>
      <c r="O94">
        <f t="shared" si="16"/>
        <v>200</v>
      </c>
      <c r="P94">
        <f t="shared" si="16"/>
        <v>30</v>
      </c>
      <c r="Q94">
        <f t="shared" si="16"/>
        <v>1</v>
      </c>
    </row>
    <row r="95" spans="1:17" x14ac:dyDescent="0.45">
      <c r="A95">
        <f t="shared" si="13"/>
        <v>11</v>
      </c>
      <c r="B95" s="1" t="str">
        <f t="shared" si="14"/>
        <v>EBldRateStep_Sol_1</v>
      </c>
      <c r="E95" s="1" t="str">
        <f t="shared" si="11"/>
        <v>EBldRateStep_Sol_1_MXC</v>
      </c>
      <c r="F95" s="1" t="str">
        <f t="shared" si="12"/>
        <v>EBldRateStep_Sol_1_MXC</v>
      </c>
      <c r="G95" s="1" t="s">
        <v>14</v>
      </c>
      <c r="H95" s="1" t="s">
        <v>14</v>
      </c>
      <c r="L95" s="1" t="str">
        <f t="shared" si="15"/>
        <v>EBldRateStep_Sol_1_MXC</v>
      </c>
      <c r="M95" t="s">
        <v>15</v>
      </c>
      <c r="N95">
        <f t="shared" ref="N95:Q110" si="17">N86</f>
        <v>0</v>
      </c>
      <c r="O95">
        <f t="shared" si="17"/>
        <v>10</v>
      </c>
      <c r="P95">
        <f t="shared" si="17"/>
        <v>10</v>
      </c>
      <c r="Q95">
        <f t="shared" si="17"/>
        <v>1</v>
      </c>
    </row>
    <row r="96" spans="1:17" x14ac:dyDescent="0.45">
      <c r="A96">
        <f t="shared" si="13"/>
        <v>11</v>
      </c>
      <c r="B96" s="1" t="str">
        <f t="shared" si="14"/>
        <v>EBldRateStep_Sol_2</v>
      </c>
      <c r="E96" s="1" t="str">
        <f t="shared" si="11"/>
        <v>EBldRateStep_Sol_2_MXC</v>
      </c>
      <c r="F96" s="1" t="str">
        <f t="shared" si="12"/>
        <v>EBldRateStep_Sol_2_MXC</v>
      </c>
      <c r="G96" s="1" t="s">
        <v>14</v>
      </c>
      <c r="H96" s="1" t="s">
        <v>14</v>
      </c>
      <c r="L96" s="1" t="str">
        <f t="shared" si="15"/>
        <v>EBldRateStep_Sol_2_MXC</v>
      </c>
      <c r="M96" t="s">
        <v>15</v>
      </c>
      <c r="N96">
        <f t="shared" si="17"/>
        <v>300</v>
      </c>
      <c r="O96">
        <f t="shared" si="17"/>
        <v>200</v>
      </c>
      <c r="P96">
        <f t="shared" si="17"/>
        <v>30</v>
      </c>
      <c r="Q96">
        <f t="shared" si="17"/>
        <v>1</v>
      </c>
    </row>
    <row r="97" spans="1:17" x14ac:dyDescent="0.45">
      <c r="A97">
        <f t="shared" si="13"/>
        <v>11</v>
      </c>
      <c r="B97" s="1" t="str">
        <f t="shared" si="14"/>
        <v>EBldRateStep_Sol_3</v>
      </c>
      <c r="E97" s="1" t="str">
        <f t="shared" si="11"/>
        <v>EBldRateStep_Sol_3_MXC</v>
      </c>
      <c r="F97" s="1" t="str">
        <f t="shared" si="12"/>
        <v>EBldRateStep_Sol_3_MXC</v>
      </c>
      <c r="G97" s="1" t="s">
        <v>14</v>
      </c>
      <c r="H97" s="1" t="s">
        <v>14</v>
      </c>
      <c r="L97" s="1" t="str">
        <f t="shared" si="15"/>
        <v>EBldRateStep_Sol_3_MXC</v>
      </c>
      <c r="M97" t="s">
        <v>15</v>
      </c>
      <c r="N97">
        <f t="shared" si="17"/>
        <v>600</v>
      </c>
      <c r="O97">
        <f t="shared" si="17"/>
        <v>200</v>
      </c>
      <c r="P97">
        <f t="shared" si="17"/>
        <v>30</v>
      </c>
      <c r="Q97">
        <f t="shared" si="17"/>
        <v>1</v>
      </c>
    </row>
    <row r="98" spans="1:17" x14ac:dyDescent="0.45">
      <c r="A98">
        <f t="shared" si="13"/>
        <v>11</v>
      </c>
      <c r="B98" s="1" t="str">
        <f t="shared" si="14"/>
        <v>EBldRateStep_Win_1</v>
      </c>
      <c r="E98" s="1" t="str">
        <f t="shared" si="11"/>
        <v>EBldRateStep_Win_1_MXC</v>
      </c>
      <c r="F98" s="1" t="str">
        <f t="shared" si="12"/>
        <v>EBldRateStep_Win_1_MXC</v>
      </c>
      <c r="G98" s="1" t="s">
        <v>14</v>
      </c>
      <c r="H98" s="1" t="s">
        <v>14</v>
      </c>
      <c r="L98" s="1" t="str">
        <f t="shared" si="15"/>
        <v>EBldRateStep_Win_1_MXC</v>
      </c>
      <c r="M98" t="s">
        <v>15</v>
      </c>
      <c r="N98">
        <f t="shared" si="17"/>
        <v>0</v>
      </c>
      <c r="O98">
        <f t="shared" si="17"/>
        <v>10</v>
      </c>
      <c r="P98">
        <f t="shared" si="17"/>
        <v>10</v>
      </c>
      <c r="Q98">
        <f t="shared" si="17"/>
        <v>1</v>
      </c>
    </row>
    <row r="99" spans="1:17" x14ac:dyDescent="0.45">
      <c r="A99">
        <f t="shared" si="13"/>
        <v>11</v>
      </c>
      <c r="B99" s="1" t="str">
        <f t="shared" si="14"/>
        <v>EBldRateStep_Win_2</v>
      </c>
      <c r="E99" s="1" t="str">
        <f t="shared" si="11"/>
        <v>EBldRateStep_Win_2_MXC</v>
      </c>
      <c r="F99" s="1" t="str">
        <f t="shared" si="12"/>
        <v>EBldRateStep_Win_2_MXC</v>
      </c>
      <c r="G99" s="1" t="s">
        <v>14</v>
      </c>
      <c r="H99" s="1" t="s">
        <v>14</v>
      </c>
      <c r="L99" s="1" t="str">
        <f t="shared" si="15"/>
        <v>EBldRateStep_Win_2_MXC</v>
      </c>
      <c r="M99" t="s">
        <v>15</v>
      </c>
      <c r="N99">
        <f t="shared" si="17"/>
        <v>750</v>
      </c>
      <c r="O99">
        <f t="shared" si="17"/>
        <v>200</v>
      </c>
      <c r="P99">
        <f t="shared" si="17"/>
        <v>30</v>
      </c>
      <c r="Q99">
        <f t="shared" si="17"/>
        <v>1</v>
      </c>
    </row>
    <row r="100" spans="1:17" x14ac:dyDescent="0.45">
      <c r="A100">
        <f t="shared" si="13"/>
        <v>11</v>
      </c>
      <c r="B100" s="1" t="str">
        <f t="shared" si="14"/>
        <v>EBldRateStep_Win_3</v>
      </c>
      <c r="E100" s="1" t="str">
        <f t="shared" si="11"/>
        <v>EBldRateStep_Win_3_MXC</v>
      </c>
      <c r="F100" s="1" t="str">
        <f t="shared" si="12"/>
        <v>EBldRateStep_Win_3_MXC</v>
      </c>
      <c r="G100" s="1" t="s">
        <v>14</v>
      </c>
      <c r="H100" s="1" t="s">
        <v>14</v>
      </c>
      <c r="L100" s="1" t="str">
        <f t="shared" si="15"/>
        <v>EBldRateStep_Win_3_MXC</v>
      </c>
      <c r="M100" t="s">
        <v>15</v>
      </c>
      <c r="N100">
        <f t="shared" si="17"/>
        <v>1500</v>
      </c>
      <c r="O100">
        <f t="shared" si="17"/>
        <v>200</v>
      </c>
      <c r="P100">
        <f t="shared" si="17"/>
        <v>30</v>
      </c>
      <c r="Q100">
        <f t="shared" si="17"/>
        <v>1</v>
      </c>
    </row>
    <row r="101" spans="1:17" x14ac:dyDescent="0.45">
      <c r="A101">
        <f t="shared" si="13"/>
        <v>11</v>
      </c>
      <c r="B101" s="1" t="str">
        <f t="shared" si="14"/>
        <v>EBldRateStep_Hyd_1</v>
      </c>
      <c r="E101" s="1" t="str">
        <f t="shared" si="11"/>
        <v>EBldRateStep_Hyd_1_MXC</v>
      </c>
      <c r="F101" s="1" t="str">
        <f t="shared" si="12"/>
        <v>EBldRateStep_Hyd_1_MXC</v>
      </c>
      <c r="G101" s="1" t="s">
        <v>14</v>
      </c>
      <c r="H101" s="1" t="s">
        <v>14</v>
      </c>
      <c r="L101" s="1" t="str">
        <f t="shared" si="15"/>
        <v>EBldRateStep_Hyd_1_MXC</v>
      </c>
      <c r="M101" t="s">
        <v>15</v>
      </c>
      <c r="N101">
        <f t="shared" si="17"/>
        <v>0</v>
      </c>
      <c r="O101">
        <f t="shared" si="17"/>
        <v>10</v>
      </c>
      <c r="P101">
        <f t="shared" si="17"/>
        <v>10</v>
      </c>
      <c r="Q101">
        <f t="shared" si="17"/>
        <v>1</v>
      </c>
    </row>
    <row r="102" spans="1:17" x14ac:dyDescent="0.45">
      <c r="A102">
        <f t="shared" si="13"/>
        <v>11</v>
      </c>
      <c r="B102" s="1" t="str">
        <f t="shared" si="14"/>
        <v>EBldRateStep_Hyd_2</v>
      </c>
      <c r="E102" s="1" t="str">
        <f t="shared" si="11"/>
        <v>EBldRateStep_Hyd_2_MXC</v>
      </c>
      <c r="F102" s="1" t="str">
        <f t="shared" si="12"/>
        <v>EBldRateStep_Hyd_2_MXC</v>
      </c>
      <c r="G102" s="1" t="s">
        <v>14</v>
      </c>
      <c r="H102" s="1" t="s">
        <v>14</v>
      </c>
      <c r="L102" s="1" t="str">
        <f t="shared" si="15"/>
        <v>EBldRateStep_Hyd_2_MXC</v>
      </c>
      <c r="M102" t="s">
        <v>15</v>
      </c>
      <c r="N102">
        <f t="shared" si="17"/>
        <v>900</v>
      </c>
      <c r="O102">
        <f t="shared" si="17"/>
        <v>200</v>
      </c>
      <c r="P102">
        <f t="shared" si="17"/>
        <v>30</v>
      </c>
      <c r="Q102">
        <f t="shared" si="17"/>
        <v>1</v>
      </c>
    </row>
    <row r="103" spans="1:17" x14ac:dyDescent="0.45">
      <c r="A103">
        <f t="shared" si="13"/>
        <v>11</v>
      </c>
      <c r="B103" s="1" t="str">
        <f t="shared" si="14"/>
        <v>EBldRateStep_Hyd_3</v>
      </c>
      <c r="E103" s="1" t="str">
        <f t="shared" si="11"/>
        <v>EBldRateStep_Hyd_3_MXC</v>
      </c>
      <c r="F103" s="1" t="str">
        <f t="shared" si="12"/>
        <v>EBldRateStep_Hyd_3_MXC</v>
      </c>
      <c r="G103" s="1" t="s">
        <v>14</v>
      </c>
      <c r="H103" s="1" t="s">
        <v>14</v>
      </c>
      <c r="L103" s="1" t="str">
        <f t="shared" si="15"/>
        <v>EBldRateStep_Hyd_3_MXC</v>
      </c>
      <c r="M103" t="s">
        <v>15</v>
      </c>
      <c r="N103">
        <f t="shared" si="17"/>
        <v>1800</v>
      </c>
      <c r="O103">
        <f t="shared" si="17"/>
        <v>200</v>
      </c>
      <c r="P103">
        <f t="shared" si="17"/>
        <v>30</v>
      </c>
      <c r="Q103">
        <f t="shared" si="17"/>
        <v>1</v>
      </c>
    </row>
    <row r="104" spans="1:17" x14ac:dyDescent="0.45">
      <c r="A104">
        <f t="shared" si="13"/>
        <v>12</v>
      </c>
      <c r="B104" s="1" t="str">
        <f t="shared" si="14"/>
        <v>EBldRateStep_Sol_1</v>
      </c>
      <c r="E104" s="1" t="str">
        <f t="shared" si="11"/>
        <v>EBldRateStep_Sol_1_OAS</v>
      </c>
      <c r="F104" s="1" t="str">
        <f t="shared" si="12"/>
        <v>EBldRateStep_Sol_1_OAS</v>
      </c>
      <c r="G104" s="1" t="s">
        <v>14</v>
      </c>
      <c r="H104" s="1" t="s">
        <v>14</v>
      </c>
      <c r="L104" s="1" t="str">
        <f t="shared" si="15"/>
        <v>EBldRateStep_Sol_1_OAS</v>
      </c>
      <c r="M104" t="s">
        <v>15</v>
      </c>
      <c r="N104">
        <f t="shared" si="17"/>
        <v>0</v>
      </c>
      <c r="O104">
        <f t="shared" si="17"/>
        <v>10</v>
      </c>
      <c r="P104">
        <f t="shared" si="17"/>
        <v>10</v>
      </c>
      <c r="Q104">
        <f t="shared" si="17"/>
        <v>1</v>
      </c>
    </row>
    <row r="105" spans="1:17" x14ac:dyDescent="0.45">
      <c r="A105">
        <f t="shared" si="13"/>
        <v>12</v>
      </c>
      <c r="B105" s="1" t="str">
        <f t="shared" si="14"/>
        <v>EBldRateStep_Sol_2</v>
      </c>
      <c r="E105" s="1" t="str">
        <f t="shared" si="11"/>
        <v>EBldRateStep_Sol_2_OAS</v>
      </c>
      <c r="F105" s="1" t="str">
        <f t="shared" si="12"/>
        <v>EBldRateStep_Sol_2_OAS</v>
      </c>
      <c r="G105" s="1" t="s">
        <v>14</v>
      </c>
      <c r="H105" s="1" t="s">
        <v>14</v>
      </c>
      <c r="L105" s="1" t="str">
        <f t="shared" si="15"/>
        <v>EBldRateStep_Sol_2_OAS</v>
      </c>
      <c r="M105" t="s">
        <v>15</v>
      </c>
      <c r="N105">
        <f t="shared" si="17"/>
        <v>300</v>
      </c>
      <c r="O105">
        <f t="shared" si="17"/>
        <v>200</v>
      </c>
      <c r="P105">
        <f t="shared" si="17"/>
        <v>30</v>
      </c>
      <c r="Q105">
        <f t="shared" si="17"/>
        <v>1</v>
      </c>
    </row>
    <row r="106" spans="1:17" x14ac:dyDescent="0.45">
      <c r="A106">
        <f t="shared" si="13"/>
        <v>12</v>
      </c>
      <c r="B106" s="1" t="str">
        <f t="shared" si="14"/>
        <v>EBldRateStep_Sol_3</v>
      </c>
      <c r="E106" s="1" t="str">
        <f t="shared" si="11"/>
        <v>EBldRateStep_Sol_3_OAS</v>
      </c>
      <c r="F106" s="1" t="str">
        <f t="shared" si="12"/>
        <v>EBldRateStep_Sol_3_OAS</v>
      </c>
      <c r="G106" s="1" t="s">
        <v>14</v>
      </c>
      <c r="H106" s="1" t="s">
        <v>14</v>
      </c>
      <c r="L106" s="1" t="str">
        <f t="shared" si="15"/>
        <v>EBldRateStep_Sol_3_OAS</v>
      </c>
      <c r="M106" t="s">
        <v>15</v>
      </c>
      <c r="N106">
        <f t="shared" si="17"/>
        <v>600</v>
      </c>
      <c r="O106">
        <f t="shared" si="17"/>
        <v>200</v>
      </c>
      <c r="P106">
        <f t="shared" si="17"/>
        <v>30</v>
      </c>
      <c r="Q106">
        <f t="shared" si="17"/>
        <v>1</v>
      </c>
    </row>
    <row r="107" spans="1:17" x14ac:dyDescent="0.45">
      <c r="A107">
        <f t="shared" si="13"/>
        <v>12</v>
      </c>
      <c r="B107" s="1" t="str">
        <f t="shared" si="14"/>
        <v>EBldRateStep_Win_1</v>
      </c>
      <c r="E107" s="1" t="str">
        <f t="shared" si="11"/>
        <v>EBldRateStep_Win_1_OAS</v>
      </c>
      <c r="F107" s="1" t="str">
        <f t="shared" si="12"/>
        <v>EBldRateStep_Win_1_OAS</v>
      </c>
      <c r="G107" s="1" t="s">
        <v>14</v>
      </c>
      <c r="H107" s="1" t="s">
        <v>14</v>
      </c>
      <c r="L107" s="1" t="str">
        <f t="shared" si="15"/>
        <v>EBldRateStep_Win_1_OAS</v>
      </c>
      <c r="M107" t="s">
        <v>15</v>
      </c>
      <c r="N107">
        <f t="shared" si="17"/>
        <v>0</v>
      </c>
      <c r="O107">
        <f t="shared" si="17"/>
        <v>10</v>
      </c>
      <c r="P107">
        <f t="shared" si="17"/>
        <v>10</v>
      </c>
      <c r="Q107">
        <f t="shared" si="17"/>
        <v>1</v>
      </c>
    </row>
    <row r="108" spans="1:17" x14ac:dyDescent="0.45">
      <c r="A108">
        <f t="shared" si="13"/>
        <v>12</v>
      </c>
      <c r="B108" s="1" t="str">
        <f t="shared" si="14"/>
        <v>EBldRateStep_Win_2</v>
      </c>
      <c r="E108" s="1" t="str">
        <f t="shared" si="11"/>
        <v>EBldRateStep_Win_2_OAS</v>
      </c>
      <c r="F108" s="1" t="str">
        <f t="shared" si="12"/>
        <v>EBldRateStep_Win_2_OAS</v>
      </c>
      <c r="G108" s="1" t="s">
        <v>14</v>
      </c>
      <c r="H108" s="1" t="s">
        <v>14</v>
      </c>
      <c r="L108" s="1" t="str">
        <f t="shared" si="15"/>
        <v>EBldRateStep_Win_2_OAS</v>
      </c>
      <c r="M108" t="s">
        <v>15</v>
      </c>
      <c r="N108">
        <f t="shared" si="17"/>
        <v>750</v>
      </c>
      <c r="O108">
        <f t="shared" si="17"/>
        <v>200</v>
      </c>
      <c r="P108">
        <f t="shared" si="17"/>
        <v>30</v>
      </c>
      <c r="Q108">
        <f t="shared" si="17"/>
        <v>1</v>
      </c>
    </row>
    <row r="109" spans="1:17" x14ac:dyDescent="0.45">
      <c r="A109">
        <f t="shared" si="13"/>
        <v>12</v>
      </c>
      <c r="B109" s="1" t="str">
        <f t="shared" si="14"/>
        <v>EBldRateStep_Win_3</v>
      </c>
      <c r="E109" s="1" t="str">
        <f t="shared" si="11"/>
        <v>EBldRateStep_Win_3_OAS</v>
      </c>
      <c r="F109" s="1" t="str">
        <f t="shared" si="12"/>
        <v>EBldRateStep_Win_3_OAS</v>
      </c>
      <c r="G109" s="1" t="s">
        <v>14</v>
      </c>
      <c r="H109" s="1" t="s">
        <v>14</v>
      </c>
      <c r="L109" s="1" t="str">
        <f t="shared" si="15"/>
        <v>EBldRateStep_Win_3_OAS</v>
      </c>
      <c r="M109" t="s">
        <v>15</v>
      </c>
      <c r="N109">
        <f t="shared" si="17"/>
        <v>1500</v>
      </c>
      <c r="O109">
        <f t="shared" si="17"/>
        <v>200</v>
      </c>
      <c r="P109">
        <f t="shared" si="17"/>
        <v>30</v>
      </c>
      <c r="Q109">
        <f t="shared" si="17"/>
        <v>1</v>
      </c>
    </row>
    <row r="110" spans="1:17" x14ac:dyDescent="0.45">
      <c r="A110">
        <f t="shared" si="13"/>
        <v>12</v>
      </c>
      <c r="B110" s="1" t="str">
        <f t="shared" si="14"/>
        <v>EBldRateStep_Hyd_1</v>
      </c>
      <c r="E110" s="1" t="str">
        <f t="shared" si="11"/>
        <v>EBldRateStep_Hyd_1_OAS</v>
      </c>
      <c r="F110" s="1" t="str">
        <f t="shared" si="12"/>
        <v>EBldRateStep_Hyd_1_OAS</v>
      </c>
      <c r="G110" s="1" t="s">
        <v>14</v>
      </c>
      <c r="H110" s="1" t="s">
        <v>14</v>
      </c>
      <c r="L110" s="1" t="str">
        <f t="shared" si="15"/>
        <v>EBldRateStep_Hyd_1_OAS</v>
      </c>
      <c r="M110" t="s">
        <v>15</v>
      </c>
      <c r="N110">
        <f t="shared" si="17"/>
        <v>0</v>
      </c>
      <c r="O110">
        <f t="shared" si="17"/>
        <v>10</v>
      </c>
      <c r="P110">
        <f t="shared" si="17"/>
        <v>10</v>
      </c>
      <c r="Q110">
        <f t="shared" si="17"/>
        <v>1</v>
      </c>
    </row>
    <row r="111" spans="1:17" x14ac:dyDescent="0.45">
      <c r="A111">
        <f t="shared" si="13"/>
        <v>12</v>
      </c>
      <c r="B111" s="1" t="str">
        <f t="shared" si="14"/>
        <v>EBldRateStep_Hyd_2</v>
      </c>
      <c r="E111" s="1" t="str">
        <f t="shared" si="11"/>
        <v>EBldRateStep_Hyd_2_OAS</v>
      </c>
      <c r="F111" s="1" t="str">
        <f t="shared" si="12"/>
        <v>EBldRateStep_Hyd_2_OAS</v>
      </c>
      <c r="G111" s="1" t="s">
        <v>14</v>
      </c>
      <c r="H111" s="1" t="s">
        <v>14</v>
      </c>
      <c r="L111" s="1" t="str">
        <f t="shared" si="15"/>
        <v>EBldRateStep_Hyd_2_OAS</v>
      </c>
      <c r="M111" t="s">
        <v>15</v>
      </c>
      <c r="N111">
        <f t="shared" ref="N111:Q126" si="18">N102</f>
        <v>900</v>
      </c>
      <c r="O111">
        <f t="shared" si="18"/>
        <v>200</v>
      </c>
      <c r="P111">
        <f t="shared" si="18"/>
        <v>30</v>
      </c>
      <c r="Q111">
        <f t="shared" si="18"/>
        <v>1</v>
      </c>
    </row>
    <row r="112" spans="1:17" x14ac:dyDescent="0.45">
      <c r="A112">
        <f t="shared" si="13"/>
        <v>12</v>
      </c>
      <c r="B112" s="1" t="str">
        <f t="shared" si="14"/>
        <v>EBldRateStep_Hyd_3</v>
      </c>
      <c r="E112" s="1" t="str">
        <f t="shared" si="11"/>
        <v>EBldRateStep_Hyd_3_OAS</v>
      </c>
      <c r="F112" s="1" t="str">
        <f t="shared" si="12"/>
        <v>EBldRateStep_Hyd_3_OAS</v>
      </c>
      <c r="G112" s="1" t="s">
        <v>14</v>
      </c>
      <c r="H112" s="1" t="s">
        <v>14</v>
      </c>
      <c r="L112" s="1" t="str">
        <f t="shared" si="15"/>
        <v>EBldRateStep_Hyd_3_OAS</v>
      </c>
      <c r="M112" t="s">
        <v>15</v>
      </c>
      <c r="N112">
        <f t="shared" si="18"/>
        <v>1800</v>
      </c>
      <c r="O112">
        <f t="shared" si="18"/>
        <v>200</v>
      </c>
      <c r="P112">
        <f t="shared" si="18"/>
        <v>30</v>
      </c>
      <c r="Q112">
        <f t="shared" si="18"/>
        <v>1</v>
      </c>
    </row>
    <row r="113" spans="1:17" x14ac:dyDescent="0.45">
      <c r="A113">
        <f t="shared" si="13"/>
        <v>13</v>
      </c>
      <c r="B113" s="1" t="str">
        <f t="shared" si="14"/>
        <v>EBldRateStep_Sol_1</v>
      </c>
      <c r="E113" s="1" t="str">
        <f t="shared" si="11"/>
        <v>EBldRateStep_Sol_1_RUS</v>
      </c>
      <c r="F113" s="1" t="str">
        <f t="shared" si="12"/>
        <v>EBldRateStep_Sol_1_RUS</v>
      </c>
      <c r="G113" s="1" t="s">
        <v>14</v>
      </c>
      <c r="H113" s="1" t="s">
        <v>14</v>
      </c>
      <c r="L113" s="1" t="str">
        <f t="shared" si="15"/>
        <v>EBldRateStep_Sol_1_RUS</v>
      </c>
      <c r="M113" t="s">
        <v>15</v>
      </c>
      <c r="N113">
        <f t="shared" si="18"/>
        <v>0</v>
      </c>
      <c r="O113">
        <f t="shared" si="18"/>
        <v>10</v>
      </c>
      <c r="P113">
        <f t="shared" si="18"/>
        <v>10</v>
      </c>
      <c r="Q113">
        <f t="shared" si="18"/>
        <v>1</v>
      </c>
    </row>
    <row r="114" spans="1:17" x14ac:dyDescent="0.45">
      <c r="A114">
        <f t="shared" si="13"/>
        <v>13</v>
      </c>
      <c r="B114" s="1" t="str">
        <f t="shared" si="14"/>
        <v>EBldRateStep_Sol_2</v>
      </c>
      <c r="E114" s="1" t="str">
        <f t="shared" si="11"/>
        <v>EBldRateStep_Sol_2_RUS</v>
      </c>
      <c r="F114" s="1" t="str">
        <f t="shared" si="12"/>
        <v>EBldRateStep_Sol_2_RUS</v>
      </c>
      <c r="G114" s="1" t="s">
        <v>14</v>
      </c>
      <c r="H114" s="1" t="s">
        <v>14</v>
      </c>
      <c r="L114" s="1" t="str">
        <f t="shared" si="15"/>
        <v>EBldRateStep_Sol_2_RUS</v>
      </c>
      <c r="M114" t="s">
        <v>15</v>
      </c>
      <c r="N114">
        <f t="shared" si="18"/>
        <v>300</v>
      </c>
      <c r="O114">
        <f t="shared" si="18"/>
        <v>200</v>
      </c>
      <c r="P114">
        <f t="shared" si="18"/>
        <v>30</v>
      </c>
      <c r="Q114">
        <f t="shared" si="18"/>
        <v>1</v>
      </c>
    </row>
    <row r="115" spans="1:17" x14ac:dyDescent="0.45">
      <c r="A115">
        <f t="shared" si="13"/>
        <v>13</v>
      </c>
      <c r="B115" s="1" t="str">
        <f t="shared" si="14"/>
        <v>EBldRateStep_Sol_3</v>
      </c>
      <c r="E115" s="1" t="str">
        <f t="shared" si="11"/>
        <v>EBldRateStep_Sol_3_RUS</v>
      </c>
      <c r="F115" s="1" t="str">
        <f t="shared" si="12"/>
        <v>EBldRateStep_Sol_3_RUS</v>
      </c>
      <c r="G115" s="1" t="s">
        <v>14</v>
      </c>
      <c r="H115" s="1" t="s">
        <v>14</v>
      </c>
      <c r="L115" s="1" t="str">
        <f t="shared" si="15"/>
        <v>EBldRateStep_Sol_3_RUS</v>
      </c>
      <c r="M115" t="s">
        <v>15</v>
      </c>
      <c r="N115">
        <f t="shared" si="18"/>
        <v>600</v>
      </c>
      <c r="O115">
        <f t="shared" si="18"/>
        <v>200</v>
      </c>
      <c r="P115">
        <f t="shared" si="18"/>
        <v>30</v>
      </c>
      <c r="Q115">
        <f t="shared" si="18"/>
        <v>1</v>
      </c>
    </row>
    <row r="116" spans="1:17" x14ac:dyDescent="0.45">
      <c r="A116">
        <f t="shared" si="13"/>
        <v>13</v>
      </c>
      <c r="B116" s="1" t="str">
        <f t="shared" si="14"/>
        <v>EBldRateStep_Win_1</v>
      </c>
      <c r="E116" s="1" t="str">
        <f t="shared" si="11"/>
        <v>EBldRateStep_Win_1_RUS</v>
      </c>
      <c r="F116" s="1" t="str">
        <f t="shared" si="12"/>
        <v>EBldRateStep_Win_1_RUS</v>
      </c>
      <c r="G116" s="1" t="s">
        <v>14</v>
      </c>
      <c r="H116" s="1" t="s">
        <v>14</v>
      </c>
      <c r="L116" s="1" t="str">
        <f t="shared" si="15"/>
        <v>EBldRateStep_Win_1_RUS</v>
      </c>
      <c r="M116" t="s">
        <v>15</v>
      </c>
      <c r="N116">
        <f t="shared" si="18"/>
        <v>0</v>
      </c>
      <c r="O116">
        <f t="shared" si="18"/>
        <v>10</v>
      </c>
      <c r="P116">
        <f t="shared" si="18"/>
        <v>10</v>
      </c>
      <c r="Q116">
        <f t="shared" si="18"/>
        <v>1</v>
      </c>
    </row>
    <row r="117" spans="1:17" x14ac:dyDescent="0.45">
      <c r="A117">
        <f t="shared" si="13"/>
        <v>13</v>
      </c>
      <c r="B117" s="1" t="str">
        <f t="shared" si="14"/>
        <v>EBldRateStep_Win_2</v>
      </c>
      <c r="E117" s="1" t="str">
        <f t="shared" si="11"/>
        <v>EBldRateStep_Win_2_RUS</v>
      </c>
      <c r="F117" s="1" t="str">
        <f t="shared" si="12"/>
        <v>EBldRateStep_Win_2_RUS</v>
      </c>
      <c r="G117" s="1" t="s">
        <v>14</v>
      </c>
      <c r="H117" s="1" t="s">
        <v>14</v>
      </c>
      <c r="L117" s="1" t="str">
        <f t="shared" si="15"/>
        <v>EBldRateStep_Win_2_RUS</v>
      </c>
      <c r="M117" t="s">
        <v>15</v>
      </c>
      <c r="N117">
        <f t="shared" si="18"/>
        <v>750</v>
      </c>
      <c r="O117">
        <f t="shared" si="18"/>
        <v>200</v>
      </c>
      <c r="P117">
        <f t="shared" si="18"/>
        <v>30</v>
      </c>
      <c r="Q117">
        <f t="shared" si="18"/>
        <v>1</v>
      </c>
    </row>
    <row r="118" spans="1:17" x14ac:dyDescent="0.45">
      <c r="A118">
        <f t="shared" si="13"/>
        <v>13</v>
      </c>
      <c r="B118" s="1" t="str">
        <f t="shared" si="14"/>
        <v>EBldRateStep_Win_3</v>
      </c>
      <c r="E118" s="1" t="str">
        <f t="shared" si="11"/>
        <v>EBldRateStep_Win_3_RUS</v>
      </c>
      <c r="F118" s="1" t="str">
        <f t="shared" si="12"/>
        <v>EBldRateStep_Win_3_RUS</v>
      </c>
      <c r="G118" s="1" t="s">
        <v>14</v>
      </c>
      <c r="H118" s="1" t="s">
        <v>14</v>
      </c>
      <c r="L118" s="1" t="str">
        <f t="shared" si="15"/>
        <v>EBldRateStep_Win_3_RUS</v>
      </c>
      <c r="M118" t="s">
        <v>15</v>
      </c>
      <c r="N118">
        <f t="shared" si="18"/>
        <v>1500</v>
      </c>
      <c r="O118">
        <f t="shared" si="18"/>
        <v>200</v>
      </c>
      <c r="P118">
        <f t="shared" si="18"/>
        <v>30</v>
      </c>
      <c r="Q118">
        <f t="shared" si="18"/>
        <v>1</v>
      </c>
    </row>
    <row r="119" spans="1:17" x14ac:dyDescent="0.45">
      <c r="A119">
        <f t="shared" si="13"/>
        <v>13</v>
      </c>
      <c r="B119" s="1" t="str">
        <f t="shared" si="14"/>
        <v>EBldRateStep_Hyd_1</v>
      </c>
      <c r="E119" s="1" t="str">
        <f t="shared" si="11"/>
        <v>EBldRateStep_Hyd_1_RUS</v>
      </c>
      <c r="F119" s="1" t="str">
        <f t="shared" si="12"/>
        <v>EBldRateStep_Hyd_1_RUS</v>
      </c>
      <c r="G119" s="1" t="s">
        <v>14</v>
      </c>
      <c r="H119" s="1" t="s">
        <v>14</v>
      </c>
      <c r="L119" s="1" t="str">
        <f t="shared" si="15"/>
        <v>EBldRateStep_Hyd_1_RUS</v>
      </c>
      <c r="M119" t="s">
        <v>15</v>
      </c>
      <c r="N119">
        <f t="shared" si="18"/>
        <v>0</v>
      </c>
      <c r="O119">
        <f t="shared" si="18"/>
        <v>10</v>
      </c>
      <c r="P119">
        <f t="shared" si="18"/>
        <v>10</v>
      </c>
      <c r="Q119">
        <f t="shared" si="18"/>
        <v>1</v>
      </c>
    </row>
    <row r="120" spans="1:17" x14ac:dyDescent="0.45">
      <c r="A120">
        <f t="shared" si="13"/>
        <v>13</v>
      </c>
      <c r="B120" s="1" t="str">
        <f t="shared" si="14"/>
        <v>EBldRateStep_Hyd_2</v>
      </c>
      <c r="E120" s="1" t="str">
        <f t="shared" si="11"/>
        <v>EBldRateStep_Hyd_2_RUS</v>
      </c>
      <c r="F120" s="1" t="str">
        <f t="shared" si="12"/>
        <v>EBldRateStep_Hyd_2_RUS</v>
      </c>
      <c r="G120" s="1" t="s">
        <v>14</v>
      </c>
      <c r="H120" s="1" t="s">
        <v>14</v>
      </c>
      <c r="L120" s="1" t="str">
        <f t="shared" si="15"/>
        <v>EBldRateStep_Hyd_2_RUS</v>
      </c>
      <c r="M120" t="s">
        <v>15</v>
      </c>
      <c r="N120">
        <f t="shared" si="18"/>
        <v>900</v>
      </c>
      <c r="O120">
        <f t="shared" si="18"/>
        <v>200</v>
      </c>
      <c r="P120">
        <f t="shared" si="18"/>
        <v>30</v>
      </c>
      <c r="Q120">
        <f t="shared" si="18"/>
        <v>1</v>
      </c>
    </row>
    <row r="121" spans="1:17" x14ac:dyDescent="0.45">
      <c r="A121">
        <f t="shared" si="13"/>
        <v>13</v>
      </c>
      <c r="B121" s="1" t="str">
        <f t="shared" si="14"/>
        <v>EBldRateStep_Hyd_3</v>
      </c>
      <c r="E121" s="1" t="str">
        <f t="shared" si="11"/>
        <v>EBldRateStep_Hyd_3_RUS</v>
      </c>
      <c r="F121" s="1" t="str">
        <f t="shared" si="12"/>
        <v>EBldRateStep_Hyd_3_RUS</v>
      </c>
      <c r="G121" s="1" t="s">
        <v>14</v>
      </c>
      <c r="H121" s="1" t="s">
        <v>14</v>
      </c>
      <c r="L121" s="1" t="str">
        <f t="shared" si="15"/>
        <v>EBldRateStep_Hyd_3_RUS</v>
      </c>
      <c r="M121" t="s">
        <v>15</v>
      </c>
      <c r="N121">
        <f t="shared" si="18"/>
        <v>1800</v>
      </c>
      <c r="O121">
        <f t="shared" si="18"/>
        <v>200</v>
      </c>
      <c r="P121">
        <f t="shared" si="18"/>
        <v>30</v>
      </c>
      <c r="Q121">
        <f t="shared" si="18"/>
        <v>1</v>
      </c>
    </row>
    <row r="122" spans="1:17" x14ac:dyDescent="0.45">
      <c r="A122">
        <f t="shared" si="13"/>
        <v>14</v>
      </c>
      <c r="B122" s="1" t="str">
        <f t="shared" si="14"/>
        <v>EBldRateStep_Sol_1</v>
      </c>
      <c r="E122" s="1" t="str">
        <f t="shared" si="11"/>
        <v>EBldRateStep_Sol_1_SKO</v>
      </c>
      <c r="F122" s="1" t="str">
        <f t="shared" si="12"/>
        <v>EBldRateStep_Sol_1_SKO</v>
      </c>
      <c r="G122" s="1" t="s">
        <v>14</v>
      </c>
      <c r="H122" s="1" t="s">
        <v>14</v>
      </c>
      <c r="L122" s="1" t="str">
        <f t="shared" si="15"/>
        <v>EBldRateStep_Sol_1_SKO</v>
      </c>
      <c r="M122" t="s">
        <v>15</v>
      </c>
      <c r="N122">
        <f t="shared" si="18"/>
        <v>0</v>
      </c>
      <c r="O122">
        <f t="shared" si="18"/>
        <v>10</v>
      </c>
      <c r="P122">
        <f t="shared" si="18"/>
        <v>10</v>
      </c>
      <c r="Q122">
        <f t="shared" si="18"/>
        <v>1</v>
      </c>
    </row>
    <row r="123" spans="1:17" x14ac:dyDescent="0.45">
      <c r="A123">
        <f t="shared" si="13"/>
        <v>14</v>
      </c>
      <c r="B123" s="1" t="str">
        <f t="shared" si="14"/>
        <v>EBldRateStep_Sol_2</v>
      </c>
      <c r="E123" s="1" t="str">
        <f t="shared" si="11"/>
        <v>EBldRateStep_Sol_2_SKO</v>
      </c>
      <c r="F123" s="1" t="str">
        <f t="shared" si="12"/>
        <v>EBldRateStep_Sol_2_SKO</v>
      </c>
      <c r="G123" s="1" t="s">
        <v>14</v>
      </c>
      <c r="H123" s="1" t="s">
        <v>14</v>
      </c>
      <c r="L123" s="1" t="str">
        <f t="shared" si="15"/>
        <v>EBldRateStep_Sol_2_SKO</v>
      </c>
      <c r="M123" t="s">
        <v>15</v>
      </c>
      <c r="N123">
        <f t="shared" si="18"/>
        <v>300</v>
      </c>
      <c r="O123">
        <f t="shared" si="18"/>
        <v>200</v>
      </c>
      <c r="P123">
        <f t="shared" si="18"/>
        <v>30</v>
      </c>
      <c r="Q123">
        <f t="shared" si="18"/>
        <v>1</v>
      </c>
    </row>
    <row r="124" spans="1:17" x14ac:dyDescent="0.45">
      <c r="A124">
        <f t="shared" si="13"/>
        <v>14</v>
      </c>
      <c r="B124" s="1" t="str">
        <f t="shared" si="14"/>
        <v>EBldRateStep_Sol_3</v>
      </c>
      <c r="E124" s="1" t="str">
        <f t="shared" si="11"/>
        <v>EBldRateStep_Sol_3_SKO</v>
      </c>
      <c r="F124" s="1" t="str">
        <f t="shared" si="12"/>
        <v>EBldRateStep_Sol_3_SKO</v>
      </c>
      <c r="G124" s="1" t="s">
        <v>14</v>
      </c>
      <c r="H124" s="1" t="s">
        <v>14</v>
      </c>
      <c r="L124" s="1" t="str">
        <f t="shared" si="15"/>
        <v>EBldRateStep_Sol_3_SKO</v>
      </c>
      <c r="M124" t="s">
        <v>15</v>
      </c>
      <c r="N124">
        <f t="shared" si="18"/>
        <v>600</v>
      </c>
      <c r="O124">
        <f t="shared" si="18"/>
        <v>200</v>
      </c>
      <c r="P124">
        <f t="shared" si="18"/>
        <v>30</v>
      </c>
      <c r="Q124">
        <f t="shared" si="18"/>
        <v>1</v>
      </c>
    </row>
    <row r="125" spans="1:17" x14ac:dyDescent="0.45">
      <c r="A125">
        <f t="shared" si="13"/>
        <v>14</v>
      </c>
      <c r="B125" s="1" t="str">
        <f t="shared" si="14"/>
        <v>EBldRateStep_Win_1</v>
      </c>
      <c r="E125" s="1" t="str">
        <f t="shared" si="11"/>
        <v>EBldRateStep_Win_1_SKO</v>
      </c>
      <c r="F125" s="1" t="str">
        <f t="shared" si="12"/>
        <v>EBldRateStep_Win_1_SKO</v>
      </c>
      <c r="G125" s="1" t="s">
        <v>14</v>
      </c>
      <c r="H125" s="1" t="s">
        <v>14</v>
      </c>
      <c r="L125" s="1" t="str">
        <f t="shared" si="15"/>
        <v>EBldRateStep_Win_1_SKO</v>
      </c>
      <c r="M125" t="s">
        <v>15</v>
      </c>
      <c r="N125">
        <f t="shared" si="18"/>
        <v>0</v>
      </c>
      <c r="O125">
        <f t="shared" si="18"/>
        <v>10</v>
      </c>
      <c r="P125">
        <f t="shared" si="18"/>
        <v>10</v>
      </c>
      <c r="Q125">
        <f t="shared" si="18"/>
        <v>1</v>
      </c>
    </row>
    <row r="126" spans="1:17" x14ac:dyDescent="0.45">
      <c r="A126">
        <f t="shared" si="13"/>
        <v>14</v>
      </c>
      <c r="B126" s="1" t="str">
        <f t="shared" si="14"/>
        <v>EBldRateStep_Win_2</v>
      </c>
      <c r="E126" s="1" t="str">
        <f t="shared" si="11"/>
        <v>EBldRateStep_Win_2_SKO</v>
      </c>
      <c r="F126" s="1" t="str">
        <f t="shared" si="12"/>
        <v>EBldRateStep_Win_2_SKO</v>
      </c>
      <c r="G126" s="1" t="s">
        <v>14</v>
      </c>
      <c r="H126" s="1" t="s">
        <v>14</v>
      </c>
      <c r="L126" s="1" t="str">
        <f t="shared" si="15"/>
        <v>EBldRateStep_Win_2_SKO</v>
      </c>
      <c r="M126" t="s">
        <v>15</v>
      </c>
      <c r="N126">
        <f t="shared" si="18"/>
        <v>750</v>
      </c>
      <c r="O126">
        <f t="shared" si="18"/>
        <v>200</v>
      </c>
      <c r="P126">
        <f t="shared" si="18"/>
        <v>30</v>
      </c>
      <c r="Q126">
        <f t="shared" si="18"/>
        <v>1</v>
      </c>
    </row>
    <row r="127" spans="1:17" x14ac:dyDescent="0.45">
      <c r="A127">
        <f t="shared" si="13"/>
        <v>14</v>
      </c>
      <c r="B127" s="1" t="str">
        <f t="shared" si="14"/>
        <v>EBldRateStep_Win_3</v>
      </c>
      <c r="E127" s="1" t="str">
        <f t="shared" si="11"/>
        <v>EBldRateStep_Win_3_SKO</v>
      </c>
      <c r="F127" s="1" t="str">
        <f t="shared" si="12"/>
        <v>EBldRateStep_Win_3_SKO</v>
      </c>
      <c r="G127" s="1" t="s">
        <v>14</v>
      </c>
      <c r="H127" s="1" t="s">
        <v>14</v>
      </c>
      <c r="L127" s="1" t="str">
        <f t="shared" si="15"/>
        <v>EBldRateStep_Win_3_SKO</v>
      </c>
      <c r="M127" t="s">
        <v>15</v>
      </c>
      <c r="N127">
        <f t="shared" ref="N127:Q142" si="19">N118</f>
        <v>1500</v>
      </c>
      <c r="O127">
        <f t="shared" si="19"/>
        <v>200</v>
      </c>
      <c r="P127">
        <f t="shared" si="19"/>
        <v>30</v>
      </c>
      <c r="Q127">
        <f t="shared" si="19"/>
        <v>1</v>
      </c>
    </row>
    <row r="128" spans="1:17" x14ac:dyDescent="0.45">
      <c r="A128">
        <f t="shared" si="13"/>
        <v>14</v>
      </c>
      <c r="B128" s="1" t="str">
        <f t="shared" si="14"/>
        <v>EBldRateStep_Hyd_1</v>
      </c>
      <c r="E128" s="1" t="str">
        <f t="shared" si="11"/>
        <v>EBldRateStep_Hyd_1_SKO</v>
      </c>
      <c r="F128" s="1" t="str">
        <f t="shared" si="12"/>
        <v>EBldRateStep_Hyd_1_SKO</v>
      </c>
      <c r="G128" s="1" t="s">
        <v>14</v>
      </c>
      <c r="H128" s="1" t="s">
        <v>14</v>
      </c>
      <c r="L128" s="1" t="str">
        <f t="shared" si="15"/>
        <v>EBldRateStep_Hyd_1_SKO</v>
      </c>
      <c r="M128" t="s">
        <v>15</v>
      </c>
      <c r="N128">
        <f t="shared" si="19"/>
        <v>0</v>
      </c>
      <c r="O128">
        <f t="shared" si="19"/>
        <v>10</v>
      </c>
      <c r="P128">
        <f t="shared" si="19"/>
        <v>10</v>
      </c>
      <c r="Q128">
        <f t="shared" si="19"/>
        <v>1</v>
      </c>
    </row>
    <row r="129" spans="1:17" x14ac:dyDescent="0.45">
      <c r="A129">
        <f t="shared" si="13"/>
        <v>14</v>
      </c>
      <c r="B129" s="1" t="str">
        <f t="shared" si="14"/>
        <v>EBldRateStep_Hyd_2</v>
      </c>
      <c r="E129" s="1" t="str">
        <f t="shared" si="11"/>
        <v>EBldRateStep_Hyd_2_SKO</v>
      </c>
      <c r="F129" s="1" t="str">
        <f t="shared" si="12"/>
        <v>EBldRateStep_Hyd_2_SKO</v>
      </c>
      <c r="G129" s="1" t="s">
        <v>14</v>
      </c>
      <c r="H129" s="1" t="s">
        <v>14</v>
      </c>
      <c r="L129" s="1" t="str">
        <f t="shared" si="15"/>
        <v>EBldRateStep_Hyd_2_SKO</v>
      </c>
      <c r="M129" t="s">
        <v>15</v>
      </c>
      <c r="N129">
        <f t="shared" si="19"/>
        <v>900</v>
      </c>
      <c r="O129">
        <f t="shared" si="19"/>
        <v>200</v>
      </c>
      <c r="P129">
        <f t="shared" si="19"/>
        <v>30</v>
      </c>
      <c r="Q129">
        <f t="shared" si="19"/>
        <v>1</v>
      </c>
    </row>
    <row r="130" spans="1:17" x14ac:dyDescent="0.45">
      <c r="A130">
        <f t="shared" si="13"/>
        <v>14</v>
      </c>
      <c r="B130" s="1" t="str">
        <f t="shared" si="14"/>
        <v>EBldRateStep_Hyd_3</v>
      </c>
      <c r="E130" s="1" t="str">
        <f t="shared" si="11"/>
        <v>EBldRateStep_Hyd_3_SKO</v>
      </c>
      <c r="F130" s="1" t="str">
        <f t="shared" si="12"/>
        <v>EBldRateStep_Hyd_3_SKO</v>
      </c>
      <c r="G130" s="1" t="s">
        <v>14</v>
      </c>
      <c r="H130" s="1" t="s">
        <v>14</v>
      </c>
      <c r="L130" s="1" t="str">
        <f t="shared" si="15"/>
        <v>EBldRateStep_Hyd_3_SKO</v>
      </c>
      <c r="M130" t="s">
        <v>15</v>
      </c>
      <c r="N130">
        <f t="shared" si="19"/>
        <v>1800</v>
      </c>
      <c r="O130">
        <f t="shared" si="19"/>
        <v>200</v>
      </c>
      <c r="P130">
        <f t="shared" si="19"/>
        <v>30</v>
      </c>
      <c r="Q130">
        <f t="shared" si="19"/>
        <v>1</v>
      </c>
    </row>
    <row r="131" spans="1:17" x14ac:dyDescent="0.45">
      <c r="A131">
        <f t="shared" si="13"/>
        <v>15</v>
      </c>
      <c r="B131" s="1" t="str">
        <f t="shared" si="14"/>
        <v>EBldRateStep_Sol_1</v>
      </c>
      <c r="E131" s="1" t="str">
        <f t="shared" si="11"/>
        <v>EBldRateStep_Sol_1_URA</v>
      </c>
      <c r="F131" s="1" t="str">
        <f t="shared" si="12"/>
        <v>EBldRateStep_Sol_1_URA</v>
      </c>
      <c r="G131" s="1" t="s">
        <v>14</v>
      </c>
      <c r="H131" s="1" t="s">
        <v>14</v>
      </c>
      <c r="L131" s="1" t="str">
        <f t="shared" si="15"/>
        <v>EBldRateStep_Sol_1_URA</v>
      </c>
      <c r="M131" t="s">
        <v>15</v>
      </c>
      <c r="N131">
        <f t="shared" si="19"/>
        <v>0</v>
      </c>
      <c r="O131">
        <f t="shared" si="19"/>
        <v>10</v>
      </c>
      <c r="P131">
        <f t="shared" si="19"/>
        <v>10</v>
      </c>
      <c r="Q131">
        <f t="shared" si="19"/>
        <v>1</v>
      </c>
    </row>
    <row r="132" spans="1:17" x14ac:dyDescent="0.45">
      <c r="A132">
        <f t="shared" si="13"/>
        <v>15</v>
      </c>
      <c r="B132" s="1" t="str">
        <f t="shared" si="14"/>
        <v>EBldRateStep_Sol_2</v>
      </c>
      <c r="E132" s="1" t="str">
        <f t="shared" si="11"/>
        <v>EBldRateStep_Sol_2_URA</v>
      </c>
      <c r="F132" s="1" t="str">
        <f t="shared" si="12"/>
        <v>EBldRateStep_Sol_2_URA</v>
      </c>
      <c r="G132" s="1" t="s">
        <v>14</v>
      </c>
      <c r="H132" s="1" t="s">
        <v>14</v>
      </c>
      <c r="L132" s="1" t="str">
        <f t="shared" si="15"/>
        <v>EBldRateStep_Sol_2_URA</v>
      </c>
      <c r="M132" t="s">
        <v>15</v>
      </c>
      <c r="N132">
        <f t="shared" si="19"/>
        <v>300</v>
      </c>
      <c r="O132">
        <f t="shared" si="19"/>
        <v>200</v>
      </c>
      <c r="P132">
        <f t="shared" si="19"/>
        <v>30</v>
      </c>
      <c r="Q132">
        <f t="shared" si="19"/>
        <v>1</v>
      </c>
    </row>
    <row r="133" spans="1:17" x14ac:dyDescent="0.45">
      <c r="A133">
        <f t="shared" si="13"/>
        <v>15</v>
      </c>
      <c r="B133" s="1" t="str">
        <f t="shared" si="14"/>
        <v>EBldRateStep_Sol_3</v>
      </c>
      <c r="E133" s="1" t="str">
        <f t="shared" si="11"/>
        <v>EBldRateStep_Sol_3_URA</v>
      </c>
      <c r="F133" s="1" t="str">
        <f t="shared" si="12"/>
        <v>EBldRateStep_Sol_3_URA</v>
      </c>
      <c r="G133" s="1" t="s">
        <v>14</v>
      </c>
      <c r="H133" s="1" t="s">
        <v>14</v>
      </c>
      <c r="L133" s="1" t="str">
        <f t="shared" si="15"/>
        <v>EBldRateStep_Sol_3_URA</v>
      </c>
      <c r="M133" t="s">
        <v>15</v>
      </c>
      <c r="N133">
        <f t="shared" si="19"/>
        <v>600</v>
      </c>
      <c r="O133">
        <f t="shared" si="19"/>
        <v>200</v>
      </c>
      <c r="P133">
        <f t="shared" si="19"/>
        <v>30</v>
      </c>
      <c r="Q133">
        <f t="shared" si="19"/>
        <v>1</v>
      </c>
    </row>
    <row r="134" spans="1:17" x14ac:dyDescent="0.45">
      <c r="A134">
        <f t="shared" si="13"/>
        <v>15</v>
      </c>
      <c r="B134" s="1" t="str">
        <f t="shared" si="14"/>
        <v>EBldRateStep_Win_1</v>
      </c>
      <c r="E134" s="1" t="str">
        <f t="shared" ref="E134:E148" si="20">B134&amp;"_"&amp;VLOOKUP(A134,$T$5:$U$20,2,FALSE)</f>
        <v>EBldRateStep_Win_1_URA</v>
      </c>
      <c r="F134" s="1" t="str">
        <f t="shared" ref="F134:F148" si="21">E134</f>
        <v>EBldRateStep_Win_1_URA</v>
      </c>
      <c r="G134" s="1" t="s">
        <v>14</v>
      </c>
      <c r="H134" s="1" t="s">
        <v>14</v>
      </c>
      <c r="L134" s="1" t="str">
        <f t="shared" si="15"/>
        <v>EBldRateStep_Win_1_URA</v>
      </c>
      <c r="M134" t="s">
        <v>15</v>
      </c>
      <c r="N134">
        <f t="shared" si="19"/>
        <v>0</v>
      </c>
      <c r="O134">
        <f t="shared" si="19"/>
        <v>10</v>
      </c>
      <c r="P134">
        <f t="shared" si="19"/>
        <v>10</v>
      </c>
      <c r="Q134">
        <f t="shared" si="19"/>
        <v>1</v>
      </c>
    </row>
    <row r="135" spans="1:17" x14ac:dyDescent="0.45">
      <c r="A135">
        <f t="shared" si="13"/>
        <v>15</v>
      </c>
      <c r="B135" s="1" t="str">
        <f t="shared" si="14"/>
        <v>EBldRateStep_Win_2</v>
      </c>
      <c r="E135" s="1" t="str">
        <f t="shared" si="20"/>
        <v>EBldRateStep_Win_2_URA</v>
      </c>
      <c r="F135" s="1" t="str">
        <f t="shared" si="21"/>
        <v>EBldRateStep_Win_2_URA</v>
      </c>
      <c r="G135" s="1" t="s">
        <v>14</v>
      </c>
      <c r="H135" s="1" t="s">
        <v>14</v>
      </c>
      <c r="L135" s="1" t="str">
        <f t="shared" si="15"/>
        <v>EBldRateStep_Win_2_URA</v>
      </c>
      <c r="M135" t="s">
        <v>15</v>
      </c>
      <c r="N135">
        <f t="shared" si="19"/>
        <v>750</v>
      </c>
      <c r="O135">
        <f t="shared" si="19"/>
        <v>200</v>
      </c>
      <c r="P135">
        <f t="shared" si="19"/>
        <v>30</v>
      </c>
      <c r="Q135">
        <f t="shared" si="19"/>
        <v>1</v>
      </c>
    </row>
    <row r="136" spans="1:17" x14ac:dyDescent="0.45">
      <c r="A136">
        <f t="shared" si="13"/>
        <v>15</v>
      </c>
      <c r="B136" s="1" t="str">
        <f t="shared" si="14"/>
        <v>EBldRateStep_Win_3</v>
      </c>
      <c r="E136" s="1" t="str">
        <f t="shared" si="20"/>
        <v>EBldRateStep_Win_3_URA</v>
      </c>
      <c r="F136" s="1" t="str">
        <f t="shared" si="21"/>
        <v>EBldRateStep_Win_3_URA</v>
      </c>
      <c r="G136" s="1" t="s">
        <v>14</v>
      </c>
      <c r="H136" s="1" t="s">
        <v>14</v>
      </c>
      <c r="L136" s="1" t="str">
        <f t="shared" si="15"/>
        <v>EBldRateStep_Win_3_URA</v>
      </c>
      <c r="M136" t="s">
        <v>15</v>
      </c>
      <c r="N136">
        <f t="shared" si="19"/>
        <v>1500</v>
      </c>
      <c r="O136">
        <f t="shared" si="19"/>
        <v>200</v>
      </c>
      <c r="P136">
        <f t="shared" si="19"/>
        <v>30</v>
      </c>
      <c r="Q136">
        <f t="shared" si="19"/>
        <v>1</v>
      </c>
    </row>
    <row r="137" spans="1:17" x14ac:dyDescent="0.45">
      <c r="A137">
        <f t="shared" si="13"/>
        <v>15</v>
      </c>
      <c r="B137" s="1" t="str">
        <f t="shared" si="14"/>
        <v>EBldRateStep_Hyd_1</v>
      </c>
      <c r="E137" s="1" t="str">
        <f t="shared" si="20"/>
        <v>EBldRateStep_Hyd_1_URA</v>
      </c>
      <c r="F137" s="1" t="str">
        <f t="shared" si="21"/>
        <v>EBldRateStep_Hyd_1_URA</v>
      </c>
      <c r="G137" s="1" t="s">
        <v>14</v>
      </c>
      <c r="H137" s="1" t="s">
        <v>14</v>
      </c>
      <c r="L137" s="1" t="str">
        <f t="shared" si="15"/>
        <v>EBldRateStep_Hyd_1_URA</v>
      </c>
      <c r="M137" t="s">
        <v>15</v>
      </c>
      <c r="N137">
        <f t="shared" si="19"/>
        <v>0</v>
      </c>
      <c r="O137">
        <f t="shared" si="19"/>
        <v>10</v>
      </c>
      <c r="P137">
        <f t="shared" si="19"/>
        <v>10</v>
      </c>
      <c r="Q137">
        <f t="shared" si="19"/>
        <v>1</v>
      </c>
    </row>
    <row r="138" spans="1:17" x14ac:dyDescent="0.45">
      <c r="A138">
        <f t="shared" si="13"/>
        <v>15</v>
      </c>
      <c r="B138" s="1" t="str">
        <f t="shared" si="14"/>
        <v>EBldRateStep_Hyd_2</v>
      </c>
      <c r="E138" s="1" t="str">
        <f t="shared" si="20"/>
        <v>EBldRateStep_Hyd_2_URA</v>
      </c>
      <c r="F138" s="1" t="str">
        <f t="shared" si="21"/>
        <v>EBldRateStep_Hyd_2_URA</v>
      </c>
      <c r="G138" s="1" t="s">
        <v>14</v>
      </c>
      <c r="H138" s="1" t="s">
        <v>14</v>
      </c>
      <c r="L138" s="1" t="str">
        <f t="shared" si="15"/>
        <v>EBldRateStep_Hyd_2_URA</v>
      </c>
      <c r="M138" t="s">
        <v>15</v>
      </c>
      <c r="N138">
        <f t="shared" si="19"/>
        <v>900</v>
      </c>
      <c r="O138">
        <f t="shared" si="19"/>
        <v>200</v>
      </c>
      <c r="P138">
        <f t="shared" si="19"/>
        <v>30</v>
      </c>
      <c r="Q138">
        <f t="shared" si="19"/>
        <v>1</v>
      </c>
    </row>
    <row r="139" spans="1:17" x14ac:dyDescent="0.45">
      <c r="A139">
        <f t="shared" si="13"/>
        <v>15</v>
      </c>
      <c r="B139" s="1" t="str">
        <f t="shared" si="14"/>
        <v>EBldRateStep_Hyd_3</v>
      </c>
      <c r="E139" s="1" t="str">
        <f t="shared" si="20"/>
        <v>EBldRateStep_Hyd_3_URA</v>
      </c>
      <c r="F139" s="1" t="str">
        <f t="shared" si="21"/>
        <v>EBldRateStep_Hyd_3_URA</v>
      </c>
      <c r="G139" s="1" t="s">
        <v>14</v>
      </c>
      <c r="H139" s="1" t="s">
        <v>14</v>
      </c>
      <c r="L139" s="1" t="str">
        <f t="shared" si="15"/>
        <v>EBldRateStep_Hyd_3_URA</v>
      </c>
      <c r="M139" t="s">
        <v>15</v>
      </c>
      <c r="N139">
        <f t="shared" si="19"/>
        <v>1800</v>
      </c>
      <c r="O139">
        <f t="shared" si="19"/>
        <v>200</v>
      </c>
      <c r="P139">
        <f t="shared" si="19"/>
        <v>30</v>
      </c>
      <c r="Q139">
        <f t="shared" si="19"/>
        <v>1</v>
      </c>
    </row>
    <row r="140" spans="1:17" x14ac:dyDescent="0.45">
      <c r="A140">
        <f t="shared" si="13"/>
        <v>16</v>
      </c>
      <c r="B140" s="1" t="str">
        <f t="shared" si="14"/>
        <v>EBldRateStep_Sol_1</v>
      </c>
      <c r="E140" s="1" t="str">
        <f t="shared" si="20"/>
        <v>EBldRateStep_Sol_1_USA</v>
      </c>
      <c r="F140" s="1" t="str">
        <f t="shared" si="21"/>
        <v>EBldRateStep_Sol_1_USA</v>
      </c>
      <c r="G140" s="1" t="s">
        <v>14</v>
      </c>
      <c r="H140" s="1" t="s">
        <v>14</v>
      </c>
      <c r="L140" s="1" t="str">
        <f t="shared" si="15"/>
        <v>EBldRateStep_Sol_1_USA</v>
      </c>
      <c r="M140" t="s">
        <v>15</v>
      </c>
      <c r="N140">
        <f t="shared" si="19"/>
        <v>0</v>
      </c>
      <c r="O140">
        <f t="shared" si="19"/>
        <v>10</v>
      </c>
      <c r="P140">
        <f t="shared" si="19"/>
        <v>10</v>
      </c>
      <c r="Q140">
        <f t="shared" si="19"/>
        <v>1</v>
      </c>
    </row>
    <row r="141" spans="1:17" x14ac:dyDescent="0.45">
      <c r="A141">
        <f t="shared" si="13"/>
        <v>16</v>
      </c>
      <c r="B141" s="1" t="str">
        <f t="shared" si="14"/>
        <v>EBldRateStep_Sol_2</v>
      </c>
      <c r="E141" s="1" t="str">
        <f t="shared" si="20"/>
        <v>EBldRateStep_Sol_2_USA</v>
      </c>
      <c r="F141" s="1" t="str">
        <f t="shared" si="21"/>
        <v>EBldRateStep_Sol_2_USA</v>
      </c>
      <c r="G141" s="1" t="s">
        <v>14</v>
      </c>
      <c r="H141" s="1" t="s">
        <v>14</v>
      </c>
      <c r="L141" s="1" t="str">
        <f t="shared" si="15"/>
        <v>EBldRateStep_Sol_2_USA</v>
      </c>
      <c r="M141" t="s">
        <v>15</v>
      </c>
      <c r="N141">
        <f t="shared" si="19"/>
        <v>300</v>
      </c>
      <c r="O141">
        <f t="shared" si="19"/>
        <v>200</v>
      </c>
      <c r="P141">
        <f t="shared" si="19"/>
        <v>30</v>
      </c>
      <c r="Q141">
        <f t="shared" si="19"/>
        <v>1</v>
      </c>
    </row>
    <row r="142" spans="1:17" x14ac:dyDescent="0.45">
      <c r="A142">
        <f t="shared" si="13"/>
        <v>16</v>
      </c>
      <c r="B142" s="1" t="str">
        <f t="shared" si="14"/>
        <v>EBldRateStep_Sol_3</v>
      </c>
      <c r="E142" s="1" t="str">
        <f t="shared" si="20"/>
        <v>EBldRateStep_Sol_3_USA</v>
      </c>
      <c r="F142" s="1" t="str">
        <f t="shared" si="21"/>
        <v>EBldRateStep_Sol_3_USA</v>
      </c>
      <c r="G142" s="1" t="s">
        <v>14</v>
      </c>
      <c r="H142" s="1" t="s">
        <v>14</v>
      </c>
      <c r="L142" s="1" t="str">
        <f t="shared" si="15"/>
        <v>EBldRateStep_Sol_3_USA</v>
      </c>
      <c r="M142" t="s">
        <v>15</v>
      </c>
      <c r="N142">
        <f t="shared" si="19"/>
        <v>600</v>
      </c>
      <c r="O142">
        <f t="shared" si="19"/>
        <v>200</v>
      </c>
      <c r="P142">
        <f t="shared" si="19"/>
        <v>30</v>
      </c>
      <c r="Q142">
        <f t="shared" si="19"/>
        <v>1</v>
      </c>
    </row>
    <row r="143" spans="1:17" x14ac:dyDescent="0.45">
      <c r="A143">
        <f t="shared" ref="A143:A148" si="22">A134+1</f>
        <v>16</v>
      </c>
      <c r="B143" s="1" t="str">
        <f t="shared" ref="B143:B148" si="23">B134</f>
        <v>EBldRateStep_Win_1</v>
      </c>
      <c r="E143" s="1" t="str">
        <f t="shared" si="20"/>
        <v>EBldRateStep_Win_1_USA</v>
      </c>
      <c r="F143" s="1" t="str">
        <f t="shared" si="21"/>
        <v>EBldRateStep_Win_1_USA</v>
      </c>
      <c r="G143" s="1" t="s">
        <v>14</v>
      </c>
      <c r="H143" s="1" t="s">
        <v>14</v>
      </c>
      <c r="L143" s="1" t="str">
        <f t="shared" ref="L143:L148" si="24">E143</f>
        <v>EBldRateStep_Win_1_USA</v>
      </c>
      <c r="M143" t="s">
        <v>15</v>
      </c>
      <c r="N143">
        <f t="shared" ref="N143:Q148" si="25">N134</f>
        <v>0</v>
      </c>
      <c r="O143">
        <f t="shared" si="25"/>
        <v>10</v>
      </c>
      <c r="P143">
        <f t="shared" si="25"/>
        <v>10</v>
      </c>
      <c r="Q143">
        <f t="shared" si="25"/>
        <v>1</v>
      </c>
    </row>
    <row r="144" spans="1:17" x14ac:dyDescent="0.45">
      <c r="A144">
        <f t="shared" si="22"/>
        <v>16</v>
      </c>
      <c r="B144" s="1" t="str">
        <f t="shared" si="23"/>
        <v>EBldRateStep_Win_2</v>
      </c>
      <c r="E144" s="1" t="str">
        <f t="shared" si="20"/>
        <v>EBldRateStep_Win_2_USA</v>
      </c>
      <c r="F144" s="1" t="str">
        <f t="shared" si="21"/>
        <v>EBldRateStep_Win_2_USA</v>
      </c>
      <c r="G144" s="1" t="s">
        <v>14</v>
      </c>
      <c r="H144" s="1" t="s">
        <v>14</v>
      </c>
      <c r="L144" s="1" t="str">
        <f t="shared" si="24"/>
        <v>EBldRateStep_Win_2_USA</v>
      </c>
      <c r="M144" t="s">
        <v>15</v>
      </c>
      <c r="N144">
        <f t="shared" si="25"/>
        <v>750</v>
      </c>
      <c r="O144">
        <f t="shared" si="25"/>
        <v>200</v>
      </c>
      <c r="P144">
        <f t="shared" si="25"/>
        <v>30</v>
      </c>
      <c r="Q144">
        <f t="shared" si="25"/>
        <v>1</v>
      </c>
    </row>
    <row r="145" spans="1:17" x14ac:dyDescent="0.45">
      <c r="A145">
        <f t="shared" si="22"/>
        <v>16</v>
      </c>
      <c r="B145" s="1" t="str">
        <f t="shared" si="23"/>
        <v>EBldRateStep_Win_3</v>
      </c>
      <c r="E145" s="1" t="str">
        <f t="shared" si="20"/>
        <v>EBldRateStep_Win_3_USA</v>
      </c>
      <c r="F145" s="1" t="str">
        <f t="shared" si="21"/>
        <v>EBldRateStep_Win_3_USA</v>
      </c>
      <c r="G145" s="1" t="s">
        <v>14</v>
      </c>
      <c r="H145" s="1" t="s">
        <v>14</v>
      </c>
      <c r="L145" s="1" t="str">
        <f t="shared" si="24"/>
        <v>EBldRateStep_Win_3_USA</v>
      </c>
      <c r="M145" t="s">
        <v>15</v>
      </c>
      <c r="N145">
        <f t="shared" si="25"/>
        <v>1500</v>
      </c>
      <c r="O145">
        <f t="shared" si="25"/>
        <v>200</v>
      </c>
      <c r="P145">
        <f t="shared" si="25"/>
        <v>30</v>
      </c>
      <c r="Q145">
        <f t="shared" si="25"/>
        <v>1</v>
      </c>
    </row>
    <row r="146" spans="1:17" x14ac:dyDescent="0.45">
      <c r="A146">
        <f t="shared" si="22"/>
        <v>16</v>
      </c>
      <c r="B146" s="1" t="str">
        <f t="shared" si="23"/>
        <v>EBldRateStep_Hyd_1</v>
      </c>
      <c r="E146" s="1" t="str">
        <f t="shared" si="20"/>
        <v>EBldRateStep_Hyd_1_USA</v>
      </c>
      <c r="F146" s="1" t="str">
        <f t="shared" si="21"/>
        <v>EBldRateStep_Hyd_1_USA</v>
      </c>
      <c r="G146" s="1" t="s">
        <v>14</v>
      </c>
      <c r="H146" s="1" t="s">
        <v>14</v>
      </c>
      <c r="L146" s="1" t="str">
        <f t="shared" si="24"/>
        <v>EBldRateStep_Hyd_1_USA</v>
      </c>
      <c r="M146" t="s">
        <v>15</v>
      </c>
      <c r="N146">
        <f t="shared" si="25"/>
        <v>0</v>
      </c>
      <c r="O146">
        <f t="shared" si="25"/>
        <v>10</v>
      </c>
      <c r="P146">
        <f t="shared" si="25"/>
        <v>10</v>
      </c>
      <c r="Q146">
        <f t="shared" si="25"/>
        <v>1</v>
      </c>
    </row>
    <row r="147" spans="1:17" x14ac:dyDescent="0.45">
      <c r="A147">
        <f t="shared" si="22"/>
        <v>16</v>
      </c>
      <c r="B147" s="1" t="str">
        <f t="shared" si="23"/>
        <v>EBldRateStep_Hyd_2</v>
      </c>
      <c r="E147" s="1" t="str">
        <f t="shared" si="20"/>
        <v>EBldRateStep_Hyd_2_USA</v>
      </c>
      <c r="F147" s="1" t="str">
        <f t="shared" si="21"/>
        <v>EBldRateStep_Hyd_2_USA</v>
      </c>
      <c r="G147" s="1" t="s">
        <v>14</v>
      </c>
      <c r="H147" s="1" t="s">
        <v>14</v>
      </c>
      <c r="L147" s="1" t="str">
        <f t="shared" si="24"/>
        <v>EBldRateStep_Hyd_2_USA</v>
      </c>
      <c r="M147" t="s">
        <v>15</v>
      </c>
      <c r="N147">
        <f t="shared" si="25"/>
        <v>900</v>
      </c>
      <c r="O147">
        <f t="shared" si="25"/>
        <v>200</v>
      </c>
      <c r="P147">
        <f t="shared" si="25"/>
        <v>30</v>
      </c>
      <c r="Q147">
        <f t="shared" si="25"/>
        <v>1</v>
      </c>
    </row>
    <row r="148" spans="1:17" x14ac:dyDescent="0.45">
      <c r="A148">
        <f t="shared" si="22"/>
        <v>16</v>
      </c>
      <c r="B148" s="1" t="str">
        <f t="shared" si="23"/>
        <v>EBldRateStep_Hyd_3</v>
      </c>
      <c r="E148" s="1" t="str">
        <f t="shared" si="20"/>
        <v>EBldRateStep_Hyd_3_USA</v>
      </c>
      <c r="F148" s="1" t="str">
        <f t="shared" si="21"/>
        <v>EBldRateStep_Hyd_3_USA</v>
      </c>
      <c r="G148" s="1" t="s">
        <v>14</v>
      </c>
      <c r="H148" s="1" t="s">
        <v>14</v>
      </c>
      <c r="L148" s="1" t="str">
        <f t="shared" si="24"/>
        <v>EBldRateStep_Hyd_3_USA</v>
      </c>
      <c r="M148" t="s">
        <v>15</v>
      </c>
      <c r="N148">
        <f t="shared" si="25"/>
        <v>1800</v>
      </c>
      <c r="O148">
        <f t="shared" si="25"/>
        <v>200</v>
      </c>
      <c r="P148">
        <f t="shared" si="25"/>
        <v>30</v>
      </c>
      <c r="Q148">
        <f t="shared" si="25"/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ELC_NewHydro</vt:lpstr>
      <vt:lpstr>ELC_BuildRate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2016-08-02T11:07:23Z</dcterms:created>
  <dcterms:modified xsi:type="dcterms:W3CDTF">2025-01-31T09:29:36Z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888210475444793</vt:r8>
  </property>
  <property fmtid="{D5CDD505-2E9C-101B-9397-08002B2CF9AE}" pid="3" name="{A44787D4-0540-4523-9961-78E4036D8C6D}">
    <vt:lpwstr>{3E17DEB3-60B3-4727-868F-BB7703D10709}</vt:lpwstr>
  </property>
</Properties>
</file>