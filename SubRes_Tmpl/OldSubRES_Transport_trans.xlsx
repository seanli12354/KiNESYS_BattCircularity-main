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never"/>
  <bookViews>
    <workbookView windowWidth="18350" windowHeight="8710" firstSheet="1" activeTab="1"/>
  </bookViews>
  <sheets>
    <sheet name="TechSelection" sheetId="21" r:id="rId1"/>
    <sheet name="Road transport" sheetId="25" r:id="rId2"/>
    <sheet name="RoadTra_BY" sheetId="26" r:id="rId3"/>
    <sheet name="added_EnergyUse_for_Manu" sheetId="27" r:id="rId4"/>
    <sheet name="added_energyUse_for_US_1.0" sheetId="28" r:id="rId5"/>
    <sheet name="added_energyUse_for_CN_1.0" sheetId="29" r:id="rId6"/>
  </sheets>
  <externalReferences>
    <externalReference r:id="rId7"/>
    <externalReference r:id="rId8"/>
  </externalReferences>
  <definedNames>
    <definedName name="FID_1">[1]AGR_Fuels!$A$2</definedName>
    <definedName name="GROWTH">'[2]TechRep-Doc'!#REF!</definedName>
    <definedName name="GROWTH_TID">'[2]TechRep-Doc'!#REF!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  <author>Xiao Li</author>
  </authors>
  <commentList>
    <comment ref="B59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This will make model “can choose generating activity by using FLOW_FUNC or base everthing on flow, rather than CAP * CAP2ACT”</t>
        </r>
      </text>
    </comment>
    <comment ref="M71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https://www.lightmetalage.com/news/industry-news/smelting/decline-of-u-s-primary-aluminum-production-and-the-growth-of-secondary-aluminum/?utm_source=chatgpt.com</t>
        </r>
      </text>
    </comment>
    <comment ref="AA71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US750 ktonne, CAN 2.9 Mtonne: https://en.wikipedia.org/wiki/Aluminum_industry_in_the_United_States?utm_source=chatgpt.com; https://www.statista.com/statistics/312839/primary-aluminum-production-in-the-united-states/?utm_source=chatgpt.com</t>
        </r>
      </text>
    </comment>
    <comment ref="D101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this unit is million $/ktonne</t>
        </r>
      </text>
    </comment>
    <comment ref="E104" authorId="1">
      <text>
        <r>
          <rPr>
            <b/>
            <sz val="9"/>
            <rFont val="Tahoma"/>
            <charset val="1"/>
          </rPr>
          <t>Xiao Li:</t>
        </r>
        <r>
          <rPr>
            <sz val="9"/>
            <rFont val="Tahoma"/>
            <charset val="1"/>
          </rPr>
          <t xml:space="preserve">
unit is m$/ktonne, so we use ACT_COST</t>
        </r>
      </text>
    </comment>
  </commentList>
</comments>
</file>

<file path=xl/sharedStrings.xml><?xml version="1.0" encoding="utf-8"?>
<sst xmlns="http://schemas.openxmlformats.org/spreadsheetml/2006/main" count="2090" uniqueCount="222">
  <si>
    <t>~TFM_AVA</t>
  </si>
  <si>
    <t>Region</t>
  </si>
  <si>
    <t>Process</t>
  </si>
  <si>
    <t>Africa_North</t>
  </si>
  <si>
    <t>*</t>
  </si>
  <si>
    <t>Africa_Other</t>
  </si>
  <si>
    <t>Australia</t>
  </si>
  <si>
    <t>Austria</t>
  </si>
  <si>
    <t>Baltics</t>
  </si>
  <si>
    <t>BeNeLux</t>
  </si>
  <si>
    <t>Brazil</t>
  </si>
  <si>
    <t>China</t>
  </si>
  <si>
    <t>CroSloven</t>
  </si>
  <si>
    <t>CzechSlovak</t>
  </si>
  <si>
    <t>France</t>
  </si>
  <si>
    <t>Germany</t>
  </si>
  <si>
    <t>GreeceCyp</t>
  </si>
  <si>
    <t>HunRomBul</t>
  </si>
  <si>
    <t>Iceland</t>
  </si>
  <si>
    <t>India</t>
  </si>
  <si>
    <t>Ireland</t>
  </si>
  <si>
    <t>ItalyMal</t>
  </si>
  <si>
    <t>Japan</t>
  </si>
  <si>
    <t>LatAm</t>
  </si>
  <si>
    <t>MidEast</t>
  </si>
  <si>
    <t>NorthAm</t>
  </si>
  <si>
    <t>Norway</t>
  </si>
  <si>
    <t>Poland</t>
  </si>
  <si>
    <t>ROW</t>
  </si>
  <si>
    <t>Russia</t>
  </si>
  <si>
    <t>SaudiArabia</t>
  </si>
  <si>
    <t>SouthAfrica</t>
  </si>
  <si>
    <t>SpainPor</t>
  </si>
  <si>
    <t>SweFinDen</t>
  </si>
  <si>
    <t>Switzerland</t>
  </si>
  <si>
    <t>Turkey</t>
  </si>
  <si>
    <t>UK</t>
  </si>
  <si>
    <t>Ukraine</t>
  </si>
  <si>
    <t>WestBalkans</t>
  </si>
  <si>
    <t>~TFM_FILL-R:w=RoadTra_BY; hcol=region</t>
  </si>
  <si>
    <t>~TFM_TOPINS</t>
  </si>
  <si>
    <t>Scenario</t>
  </si>
  <si>
    <t>Attribute</t>
  </si>
  <si>
    <t>PSET_CO</t>
  </si>
  <si>
    <t>AllRegions</t>
  </si>
  <si>
    <t>process</t>
  </si>
  <si>
    <t>IO</t>
  </si>
  <si>
    <t>commodity</t>
  </si>
  <si>
    <t>pset_ci</t>
  </si>
  <si>
    <t>pset_co</t>
  </si>
  <si>
    <t>cset_cn</t>
  </si>
  <si>
    <t>BASE</t>
  </si>
  <si>
    <t>AF</t>
  </si>
  <si>
    <t>Trd[_]*</t>
  </si>
  <si>
    <t>*1</t>
  </si>
  <si>
    <t>Trd[_]*gsl*</t>
  </si>
  <si>
    <t>IN</t>
  </si>
  <si>
    <t>TRAGSL,TRABGS</t>
  </si>
  <si>
    <t>TRAELC</t>
  </si>
  <si>
    <t>TRDELC</t>
  </si>
  <si>
    <t>ELC</t>
  </si>
  <si>
    <t>Out</t>
  </si>
  <si>
    <t>EFF</t>
  </si>
  <si>
    <t>Trd[_]*dsl*</t>
  </si>
  <si>
    <t>TRADST,TRABDS</t>
  </si>
  <si>
    <t>Trd[_]*hh2*</t>
  </si>
  <si>
    <t>TRAGH2</t>
  </si>
  <si>
    <t>Trd[_]*cng*</t>
  </si>
  <si>
    <t>TRANGA</t>
  </si>
  <si>
    <t>~TFM_INS</t>
  </si>
  <si>
    <t>Trd[_]*elc*</t>
  </si>
  <si>
    <t>attribute</t>
  </si>
  <si>
    <t>PSET_PN</t>
  </si>
  <si>
    <t>PSET_CI</t>
  </si>
  <si>
    <t>CSET_CN</t>
  </si>
  <si>
    <t>value</t>
  </si>
  <si>
    <t>limtype</t>
  </si>
  <si>
    <t>year</t>
  </si>
  <si>
    <t>Trd[_]*lng*</t>
  </si>
  <si>
    <t>Share</t>
  </si>
  <si>
    <t>Trd[_]*-pih*</t>
  </si>
  <si>
    <t>FX</t>
  </si>
  <si>
    <t>CEFF</t>
  </si>
  <si>
    <t>TRAGSL</t>
  </si>
  <si>
    <t>TRABGS</t>
  </si>
  <si>
    <t>~TFM_MIG</t>
  </si>
  <si>
    <t>LIFE</t>
  </si>
  <si>
    <t>attribute2</t>
  </si>
  <si>
    <t>pset_pn</t>
  </si>
  <si>
    <t>*START</t>
  </si>
  <si>
    <t>-TRDELC</t>
  </si>
  <si>
    <t>INVCOST</t>
  </si>
  <si>
    <t>*.03</t>
  </si>
  <si>
    <t>FIXOM</t>
  </si>
  <si>
    <t>*.02</t>
  </si>
  <si>
    <t>~TFM_INS-TS: attribute=FLO_MARK</t>
  </si>
  <si>
    <t>attrib_cond</t>
  </si>
  <si>
    <t>top_check</t>
  </si>
  <si>
    <t>-FLO_MARK</t>
  </si>
  <si>
    <t>OUT</t>
  </si>
  <si>
    <t>Trd_2w_*</t>
  </si>
  <si>
    <t>Trd_3w_*</t>
  </si>
  <si>
    <t>Trd_bus*</t>
  </si>
  <si>
    <t>Trd_car*</t>
  </si>
  <si>
    <t>Trd_hdt*</t>
  </si>
  <si>
    <t>Trd_lcv*</t>
  </si>
  <si>
    <t>~TFM_UPD</t>
  </si>
  <si>
    <t>Trd_2w_gsl</t>
  </si>
  <si>
    <t>Trd_3w_gsl</t>
  </si>
  <si>
    <t>Trd_bus_dsl</t>
  </si>
  <si>
    <t>Trd_car_gsl</t>
  </si>
  <si>
    <t>Trd_hdt_dsl</t>
  </si>
  <si>
    <t>Trd_lcv_dsl</t>
  </si>
  <si>
    <t>tempering the Eff improvement in smaller Evs</t>
  </si>
  <si>
    <t>*.5</t>
  </si>
  <si>
    <t>Trd_2w,Trd_3w</t>
  </si>
  <si>
    <t>pset_set</t>
  </si>
  <si>
    <t>other_indexes</t>
  </si>
  <si>
    <t>ELE</t>
  </si>
  <si>
    <t>-INVCOST</t>
  </si>
  <si>
    <t>FLO_FUNC</t>
  </si>
  <si>
    <t>AuxStoIN</t>
  </si>
  <si>
    <t>Pset_CO</t>
  </si>
  <si>
    <t>FLO_BND</t>
  </si>
  <si>
    <t>UP</t>
  </si>
  <si>
    <t>MINBatMaterials_LI</t>
  </si>
  <si>
    <t>m_lithium</t>
  </si>
  <si>
    <t>MINBatMaterials</t>
  </si>
  <si>
    <t>MINBatMaterials_NI</t>
  </si>
  <si>
    <t>m_nickel</t>
  </si>
  <si>
    <t>MINBatMaterials_COB</t>
  </si>
  <si>
    <t>m_cobalt</t>
  </si>
  <si>
    <t>MINBatMaterials_MN</t>
  </si>
  <si>
    <t>m_manganese</t>
  </si>
  <si>
    <t>MINBatMaterials_AL</t>
  </si>
  <si>
    <t>m_aluminum</t>
  </si>
  <si>
    <t>MINBatMaterials_COP</t>
  </si>
  <si>
    <t>m_copper</t>
  </si>
  <si>
    <t>MINBatMaterials_GR</t>
  </si>
  <si>
    <t>m_graphite</t>
  </si>
  <si>
    <t>ktonne</t>
  </si>
  <si>
    <t>*According to BloomBerg that ~2.5times more demand in 2024 vs. 2017 [means that 2.5 times higher demand every seven years] [https://about.bnef.com/blog/lithium-ion-battery-pack-prices-see-largest-drop-since-2017-falling-to-115-per-kilowatt-hour-bloombergnef/]; and a 18% learning rate also from Bloomberg</t>
  </si>
  <si>
    <t>ACT_COST</t>
  </si>
  <si>
    <t>PyroRecy-LFP</t>
  </si>
  <si>
    <t>PyroRecy-LMO</t>
  </si>
  <si>
    <t>PyroRecy-NCA</t>
  </si>
  <si>
    <t>PyroRecy-NMC111</t>
  </si>
  <si>
    <t>PyroRecy-NMC532</t>
  </si>
  <si>
    <t>PyroRecy-NMC622</t>
  </si>
  <si>
    <t>PyroRecy-NMC811</t>
  </si>
  <si>
    <t>HydRecy-LFP</t>
  </si>
  <si>
    <t>HydRecy-LMO</t>
  </si>
  <si>
    <t>HydRecy-NCA</t>
  </si>
  <si>
    <t>HydRecy-NMC111</t>
  </si>
  <si>
    <t>HydRecy-NMC532</t>
  </si>
  <si>
    <t>HydRecy-NMC622</t>
  </si>
  <si>
    <t>HydRecy-NMC811</t>
  </si>
  <si>
    <t>DirRecy-LFP</t>
  </si>
  <si>
    <t>DirRecy-LMO</t>
  </si>
  <si>
    <t>DirRecy-NCA</t>
  </si>
  <si>
    <t>DirRecy-NMC111</t>
  </si>
  <si>
    <t>DirRecy-NMC532</t>
  </si>
  <si>
    <t>DirRecy-NMC622</t>
  </si>
  <si>
    <t>DirRecy-NMC811</t>
  </si>
  <si>
    <t>NCAP_COST</t>
  </si>
  <si>
    <t>scenario</t>
  </si>
  <si>
    <t>lim_type</t>
  </si>
  <si>
    <t>time_slice</t>
  </si>
  <si>
    <t>commodity_group</t>
  </si>
  <si>
    <t>currency</t>
  </si>
  <si>
    <t>stage</t>
  </si>
  <si>
    <t>sow</t>
  </si>
  <si>
    <t>valfield</t>
  </si>
  <si>
    <t>~TFM_UPD: attribute= INPUT</t>
  </si>
  <si>
    <t>Tra_EV_Batt-NMC 111_virgin</t>
  </si>
  <si>
    <t>Tra_EV_Batt-NMC532_virgin</t>
  </si>
  <si>
    <t>Tra_EV_Batt-NMC 622_virgin</t>
  </si>
  <si>
    <t>Tra_EV_Batt-NMC 811_virgin</t>
  </si>
  <si>
    <t>Tra_EV_Batt-NCA_virgin</t>
  </si>
  <si>
    <t>Tra_EV_Batt-LMO_virgin</t>
  </si>
  <si>
    <t>Tra_EV_Batt-LFP_virgin</t>
  </si>
  <si>
    <t>TRACOA</t>
  </si>
  <si>
    <t>TRADST</t>
  </si>
  <si>
    <t>Original data_provided by Anna</t>
  </si>
  <si>
    <t>Location</t>
  </si>
  <si>
    <t xml:space="preserve">Energy use (MJ/kWh battery produced) </t>
  </si>
  <si>
    <r>
      <rPr>
        <sz val="12"/>
        <color rgb="FF000000"/>
        <rFont val="Aptos Narrow"/>
        <charset val="0"/>
      </rPr>
      <t>Chemistry</t>
    </r>
    <r>
      <rPr>
        <sz val="12"/>
        <color rgb="FF000000"/>
        <rFont val="Aptos Narrow"/>
        <charset val="0"/>
      </rPr>
      <t xml:space="preserve"> </t>
    </r>
  </si>
  <si>
    <r>
      <rPr>
        <sz val="12"/>
        <color rgb="FF000000"/>
        <rFont val="Aptos Narrow"/>
        <charset val="0"/>
      </rPr>
      <t>LCO</t>
    </r>
    <r>
      <rPr>
        <sz val="12"/>
        <color rgb="FF000000"/>
        <rFont val="Aptos Narrow"/>
        <charset val="0"/>
      </rPr>
      <t xml:space="preserve"> </t>
    </r>
  </si>
  <si>
    <t>NMC111</t>
  </si>
  <si>
    <t>NMC532</t>
  </si>
  <si>
    <t>NMC622</t>
  </si>
  <si>
    <t>NMC811</t>
  </si>
  <si>
    <t>NCA</t>
  </si>
  <si>
    <r>
      <rPr>
        <sz val="12"/>
        <color rgb="FF000000"/>
        <rFont val="Aptos Narrow"/>
        <charset val="0"/>
      </rPr>
      <t>LMO</t>
    </r>
    <r>
      <rPr>
        <sz val="12"/>
        <color rgb="FF000000"/>
        <rFont val="Aptos Narrow"/>
        <charset val="0"/>
      </rPr>
      <t xml:space="preserve"> </t>
    </r>
  </si>
  <si>
    <r>
      <rPr>
        <sz val="12"/>
        <color rgb="FF000000"/>
        <rFont val="Aptos Narrow"/>
        <charset val="0"/>
      </rPr>
      <t>LFP</t>
    </r>
    <r>
      <rPr>
        <sz val="12"/>
        <color rgb="FF000000"/>
        <rFont val="Aptos Narrow"/>
        <charset val="0"/>
      </rPr>
      <t xml:space="preserve"> </t>
    </r>
  </si>
  <si>
    <t>US</t>
  </si>
  <si>
    <r>
      <rPr>
        <sz val="12"/>
        <color rgb="FF000000"/>
        <rFont val="Aptos Narrow"/>
        <charset val="0"/>
      </rPr>
      <t xml:space="preserve">     </t>
    </r>
    <r>
      <rPr>
        <sz val="12"/>
        <color rgb="FF000000"/>
        <rFont val="Aptos Narrow"/>
        <charset val="0"/>
      </rPr>
      <t>Total Energy</t>
    </r>
  </si>
  <si>
    <r>
      <rPr>
        <sz val="12"/>
        <color rgb="FF000000"/>
        <rFont val="Aptos Narrow"/>
        <charset val="0"/>
      </rPr>
      <t xml:space="preserve">     </t>
    </r>
    <r>
      <rPr>
        <sz val="12"/>
        <color rgb="FF000000"/>
        <rFont val="Aptos Narrow"/>
        <charset val="0"/>
      </rPr>
      <t>Fossil fuels</t>
    </r>
  </si>
  <si>
    <r>
      <rPr>
        <sz val="12"/>
        <color rgb="FF000000"/>
        <rFont val="Aptos Narrow"/>
        <charset val="0"/>
      </rPr>
      <t xml:space="preserve">     </t>
    </r>
    <r>
      <rPr>
        <sz val="12"/>
        <color rgb="FF000000"/>
        <rFont val="Aptos Narrow"/>
        <charset val="0"/>
      </rPr>
      <t>Coal</t>
    </r>
  </si>
  <si>
    <r>
      <rPr>
        <sz val="12"/>
        <color rgb="FF000000"/>
        <rFont val="Aptos Narrow"/>
        <charset val="0"/>
      </rPr>
      <t xml:space="preserve">     </t>
    </r>
    <r>
      <rPr>
        <sz val="12"/>
        <color rgb="FF000000"/>
        <rFont val="Aptos Narrow"/>
        <charset val="0"/>
      </rPr>
      <t>Natural gas</t>
    </r>
  </si>
  <si>
    <r>
      <rPr>
        <sz val="12"/>
        <color rgb="FF000000"/>
        <rFont val="Aptos Narrow"/>
        <charset val="0"/>
      </rPr>
      <t xml:space="preserve">     </t>
    </r>
    <r>
      <rPr>
        <sz val="12"/>
        <color rgb="FF000000"/>
        <rFont val="Aptos Narrow"/>
        <charset val="0"/>
      </rPr>
      <t>Petroleum</t>
    </r>
  </si>
  <si>
    <t>Korea</t>
  </si>
  <si>
    <r>
      <rPr>
        <sz val="12"/>
        <color rgb="FF000000"/>
        <rFont val="Aptos Narrow"/>
        <charset val="0"/>
      </rPr>
      <t>** Assumed to be cell manufacturing</t>
    </r>
    <r>
      <rPr>
        <sz val="12"/>
        <color rgb="FF000000"/>
        <rFont val="Aptos Narrow"/>
        <charset val="0"/>
      </rPr>
      <t xml:space="preserve"> </t>
    </r>
  </si>
  <si>
    <t>Other countries</t>
  </si>
  <si>
    <r>
      <rPr>
        <sz val="12"/>
        <color rgb="FF000000"/>
        <rFont val="Aptos Narrow"/>
        <charset val="0"/>
      </rPr>
      <t>Pyrometallurgical</t>
    </r>
    <r>
      <rPr>
        <sz val="12"/>
        <color rgb="FF000000"/>
        <rFont val="Aptos Narrow"/>
        <charset val="0"/>
      </rPr>
      <t xml:space="preserve"> </t>
    </r>
  </si>
  <si>
    <t>ktonne/GWh</t>
  </si>
  <si>
    <t>if energy use for LFP and LMO=1.0*that for NMC611</t>
  </si>
  <si>
    <r>
      <rPr>
        <sz val="12"/>
        <color rgb="FF000000"/>
        <rFont val="Aptos Narrow"/>
        <charset val="0"/>
      </rPr>
      <t xml:space="preserve">Fill the data gap of EverBatt, </t>
    </r>
    <r>
      <rPr>
        <sz val="12"/>
        <color rgb="FF000000"/>
        <rFont val="Aptos Narrow"/>
        <charset val="0"/>
      </rPr>
      <t xml:space="preserve">
</t>
    </r>
    <r>
      <rPr>
        <sz val="12"/>
        <color rgb="FF000000"/>
        <rFont val="Aptos Narrow"/>
        <charset val="0"/>
      </rPr>
      <t>by using a sensitivity analysis</t>
    </r>
  </si>
  <si>
    <t>if energy use for LFP and LMO=1.15*that for NMC611</t>
  </si>
  <si>
    <t>if energy use for LFP and LMO=0.85*that for NMC611</t>
  </si>
  <si>
    <r>
      <rPr>
        <sz val="12"/>
        <color rgb="FF000000"/>
        <rFont val="Aptos Narrow"/>
        <charset val="0"/>
      </rPr>
      <t>Energy use (PJ/GWh battery produced)</t>
    </r>
    <r>
      <rPr>
        <sz val="12"/>
        <color rgb="FF000000"/>
        <rFont val="Aptos Narrow"/>
        <charset val="0"/>
      </rPr>
      <t xml:space="preserve"> </t>
    </r>
  </si>
  <si>
    <t>INPUT</t>
  </si>
  <si>
    <t>PJ/ktonne</t>
  </si>
  <si>
    <r>
      <rPr>
        <sz val="12"/>
        <color rgb="FF000000"/>
        <rFont val="Aptos Narrow"/>
        <charset val="0"/>
      </rPr>
      <t>Hydrometallurgical</t>
    </r>
    <r>
      <rPr>
        <sz val="12"/>
        <color rgb="FF000000"/>
        <rFont val="Aptos Narrow"/>
        <charset val="0"/>
      </rPr>
      <t xml:space="preserve"> </t>
    </r>
  </si>
  <si>
    <r>
      <rPr>
        <sz val="12"/>
        <color rgb="FF000000"/>
        <rFont val="Aptos Narrow"/>
        <charset val="0"/>
      </rPr>
      <t>Energy use (MJ/kWh battery produced)</t>
    </r>
    <r>
      <rPr>
        <sz val="12"/>
        <color rgb="FF000000"/>
        <rFont val="Aptos Narrow"/>
        <charset val="0"/>
      </rPr>
      <t xml:space="preserve"> </t>
    </r>
  </si>
  <si>
    <r>
      <rPr>
        <sz val="12"/>
        <color rgb="FF000000"/>
        <rFont val="Aptos Narrow"/>
        <charset val="0"/>
      </rPr>
      <t>Direct</t>
    </r>
    <r>
      <rPr>
        <sz val="12"/>
        <color rgb="FF000000"/>
        <rFont val="Aptos Narrow"/>
        <charset val="0"/>
      </rPr>
      <t xml:space="preserve"> </t>
    </r>
  </si>
  <si>
    <r>
      <rPr>
        <sz val="12"/>
        <color rgb="FF000000"/>
        <rFont val="Aptos Narrow"/>
        <charset val="0"/>
      </rPr>
      <t>*** LMO and LFP cathode production from recycled materials is not included in EverBatt</t>
    </r>
    <r>
      <rPr>
        <sz val="12"/>
        <color rgb="FF000000"/>
        <rFont val="Aptos Narrow"/>
        <charset val="0"/>
      </rPr>
      <t xml:space="preserve"> </t>
    </r>
  </si>
  <si>
    <r>
      <rPr>
        <sz val="12"/>
        <color rgb="FF000000"/>
        <rFont val="Aptos Narrow"/>
        <charset val="0"/>
      </rPr>
      <t>**** All recycled chemistries are assumed to be priducing the same cathode chemistry for manufacture with recyclked materials</t>
    </r>
    <r>
      <rPr>
        <sz val="12"/>
        <color rgb="FF000000"/>
        <rFont val="Aptos Narrow"/>
        <charset val="0"/>
      </rPr>
      <t xml:space="preserve"> </t>
    </r>
  </si>
  <si>
    <t>COAHCO</t>
  </si>
  <si>
    <t>GASNGA</t>
  </si>
  <si>
    <t>OILDST</t>
  </si>
  <si>
    <t>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</si>
</sst>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"/>
    <numFmt numFmtId="179" formatCode="0.0000"/>
    <numFmt numFmtId="180" formatCode="#,##0.000"/>
    <numFmt numFmtId="181" formatCode="0.000"/>
  </numFmts>
  <fonts count="41">
    <font>
      <sz val="10"/>
      <name val="Arial"/>
      <charset val="134"/>
    </font>
    <font>
      <sz val="11"/>
      <color theme="1"/>
      <name val="Calibri"/>
      <charset val="134"/>
      <scheme val="minor"/>
    </font>
    <font>
      <sz val="12"/>
      <color rgb="FF000000"/>
      <name val="Aptos Narrow"/>
      <charset val="0"/>
    </font>
    <font>
      <i/>
      <u/>
      <sz val="10"/>
      <name val="Arial"/>
      <charset val="134"/>
    </font>
    <font>
      <b/>
      <i/>
      <u/>
      <sz val="24"/>
      <color rgb="FF000000"/>
      <name val="Aptos Narrow"/>
      <charset val="0"/>
    </font>
    <font>
      <b/>
      <sz val="11"/>
      <color rgb="FF000000"/>
      <name val="Calibri"/>
      <charset val="134"/>
      <scheme val="minor"/>
    </font>
    <font>
      <b/>
      <sz val="11"/>
      <color indexed="8"/>
      <name val="Calibri"/>
      <charset val="134"/>
    </font>
    <font>
      <sz val="11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0.2"/>
      <color rgb="FF212529"/>
      <name val="Segoe UI"/>
      <charset val="134"/>
    </font>
    <font>
      <sz val="9"/>
      <name val="Arial"/>
      <charset val="134"/>
    </font>
    <font>
      <b/>
      <sz val="9"/>
      <name val="Arial"/>
      <charset val="134"/>
    </font>
    <font>
      <sz val="11"/>
      <color rgb="FF000000"/>
      <name val="Calibri"/>
      <charset val="134"/>
    </font>
    <font>
      <b/>
      <sz val="10"/>
      <color rgb="FFFF0000"/>
      <name val="Arial"/>
      <charset val="134"/>
    </font>
    <font>
      <b/>
      <sz val="1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b/>
      <sz val="9"/>
      <name val="Times New Roman"/>
      <charset val="134"/>
    </font>
    <font>
      <sz val="9"/>
      <name val="Times New Roman"/>
      <charset val="0"/>
    </font>
    <font>
      <sz val="9"/>
      <name val="Times New Roman"/>
      <charset val="134"/>
    </font>
    <font>
      <b/>
      <sz val="9"/>
      <name val="Tahoma"/>
      <charset val="1"/>
    </font>
    <font>
      <sz val="9"/>
      <name val="Tahoma"/>
      <charset val="1"/>
    </font>
  </fonts>
  <fills count="48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9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63377788629"/>
        <bgColor indexed="64"/>
      </patternFill>
    </fill>
    <fill>
      <patternFill patternType="solid">
        <fgColor theme="3" tint="0.799859614856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18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9" borderId="6" applyNumberFormat="0" applyAlignment="0" applyProtection="0">
      <alignment vertical="center"/>
    </xf>
    <xf numFmtId="0" fontId="25" fillId="20" borderId="7" applyNumberFormat="0" applyAlignment="0" applyProtection="0">
      <alignment vertical="center"/>
    </xf>
    <xf numFmtId="0" fontId="26" fillId="20" borderId="6" applyNumberFormat="0" applyAlignment="0" applyProtection="0">
      <alignment vertical="center"/>
    </xf>
    <xf numFmtId="0" fontId="27" fillId="21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81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2" borderId="0" xfId="0" applyFont="1" applyFill="1" applyAlignment="1"/>
    <xf numFmtId="0" fontId="2" fillId="0" borderId="0" xfId="0" applyFont="1" applyFill="1" applyAlignment="1"/>
    <xf numFmtId="0" fontId="2" fillId="3" borderId="0" xfId="0" applyFont="1" applyFill="1" applyAlignment="1"/>
    <xf numFmtId="0" fontId="2" fillId="0" borderId="0" xfId="0" applyFont="1" applyFill="1" applyAlignment="1" applyProtection="1">
      <protection locked="0"/>
    </xf>
    <xf numFmtId="178" fontId="2" fillId="2" borderId="0" xfId="0" applyNumberFormat="1" applyFont="1" applyFill="1" applyAlignment="1"/>
    <xf numFmtId="0" fontId="2" fillId="4" borderId="0" xfId="0" applyFont="1" applyFill="1" applyAlignment="1"/>
    <xf numFmtId="0" fontId="3" fillId="5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/>
    <xf numFmtId="178" fontId="2" fillId="0" borderId="0" xfId="0" applyNumberFormat="1" applyFont="1" applyFill="1" applyAlignment="1"/>
    <xf numFmtId="0" fontId="2" fillId="6" borderId="0" xfId="0" applyFont="1" applyFill="1" applyAlignment="1">
      <alignment horizontal="center" wrapText="1"/>
    </xf>
    <xf numFmtId="0" fontId="2" fillId="6" borderId="0" xfId="0" applyFont="1" applyFill="1" applyAlignment="1"/>
    <xf numFmtId="178" fontId="2" fillId="7" borderId="0" xfId="0" applyNumberFormat="1" applyFont="1" applyFill="1" applyAlignment="1"/>
    <xf numFmtId="178" fontId="2" fillId="6" borderId="0" xfId="0" applyNumberFormat="1" applyFont="1" applyFill="1" applyAlignment="1"/>
    <xf numFmtId="0" fontId="5" fillId="0" borderId="0" xfId="0" applyFont="1" applyFill="1" applyAlignment="1"/>
    <xf numFmtId="2" fontId="6" fillId="0" borderId="1" xfId="0" applyNumberFormat="1" applyFont="1" applyFill="1" applyBorder="1" applyAlignment="1" applyProtection="1"/>
    <xf numFmtId="0" fontId="2" fillId="8" borderId="0" xfId="0" applyFont="1" applyFill="1" applyAlignment="1"/>
    <xf numFmtId="0" fontId="7" fillId="9" borderId="0" xfId="0" applyFont="1" applyFill="1" applyAlignment="1"/>
    <xf numFmtId="0" fontId="0" fillId="8" borderId="0" xfId="0" applyFill="1"/>
    <xf numFmtId="0" fontId="8" fillId="9" borderId="0" xfId="0" applyFont="1" applyFill="1" applyAlignment="1"/>
    <xf numFmtId="0" fontId="5" fillId="9" borderId="0" xfId="0" applyFont="1" applyFill="1" applyAlignment="1"/>
    <xf numFmtId="0" fontId="9" fillId="0" borderId="0" xfId="0" applyFont="1" applyFill="1" applyAlignment="1"/>
    <xf numFmtId="0" fontId="2" fillId="9" borderId="0" xfId="0" applyFont="1" applyFill="1" applyAlignment="1"/>
    <xf numFmtId="0" fontId="2" fillId="8" borderId="0" xfId="0" applyFont="1" applyFill="1" applyAlignment="1">
      <alignment horizontal="center"/>
    </xf>
    <xf numFmtId="0" fontId="1" fillId="8" borderId="0" xfId="0" applyFont="1" applyFill="1" applyAlignment="1"/>
    <xf numFmtId="0" fontId="0" fillId="0" borderId="0" xfId="0" applyBorder="1"/>
    <xf numFmtId="0" fontId="0" fillId="0" borderId="0" xfId="0" applyFill="1" applyBorder="1"/>
    <xf numFmtId="0" fontId="6" fillId="8" borderId="1" xfId="0" applyNumberFormat="1" applyFont="1" applyFill="1" applyBorder="1" applyAlignment="1" applyProtection="1"/>
    <xf numFmtId="0" fontId="1" fillId="8" borderId="1" xfId="0" applyFont="1" applyFill="1" applyBorder="1" applyAlignment="1"/>
    <xf numFmtId="2" fontId="6" fillId="8" borderId="1" xfId="0" applyNumberFormat="1" applyFont="1" applyFill="1" applyBorder="1" applyAlignment="1" applyProtection="1"/>
    <xf numFmtId="0" fontId="9" fillId="8" borderId="0" xfId="0" applyFont="1" applyFill="1" applyAlignment="1"/>
    <xf numFmtId="179" fontId="6" fillId="8" borderId="1" xfId="0" applyNumberFormat="1" applyFont="1" applyFill="1" applyBorder="1" applyAlignment="1" applyProtection="1"/>
    <xf numFmtId="0" fontId="6" fillId="0" borderId="1" xfId="0" applyNumberFormat="1" applyFont="1" applyFill="1" applyBorder="1" applyAlignment="1" applyProtection="1"/>
    <xf numFmtId="0" fontId="1" fillId="0" borderId="1" xfId="0" applyFont="1" applyFill="1" applyBorder="1" applyAlignment="1"/>
    <xf numFmtId="179" fontId="1" fillId="8" borderId="0" xfId="0" applyNumberFormat="1" applyFont="1" applyFill="1" applyAlignment="1"/>
    <xf numFmtId="0" fontId="0" fillId="0" borderId="0" xfId="0" applyFill="1"/>
    <xf numFmtId="180" fontId="1" fillId="8" borderId="1" xfId="0" applyNumberFormat="1" applyFont="1" applyFill="1" applyBorder="1" applyAlignment="1"/>
    <xf numFmtId="180" fontId="0" fillId="0" borderId="0" xfId="0" applyNumberFormat="1"/>
    <xf numFmtId="0" fontId="2" fillId="10" borderId="0" xfId="0" applyFont="1" applyFill="1" applyAlignment="1">
      <alignment horizontal="center"/>
    </xf>
    <xf numFmtId="0" fontId="2" fillId="10" borderId="0" xfId="0" applyFont="1" applyFill="1" applyAlignment="1"/>
    <xf numFmtId="0" fontId="2" fillId="10" borderId="0" xfId="0" applyFont="1" applyFill="1" applyAlignment="1" applyProtection="1">
      <protection locked="0"/>
    </xf>
    <xf numFmtId="178" fontId="2" fillId="10" borderId="0" xfId="0" applyNumberFormat="1" applyFont="1" applyFill="1" applyAlignment="1"/>
    <xf numFmtId="0" fontId="1" fillId="0" borderId="0" xfId="0" applyFont="1" applyFill="1" applyAlignment="1">
      <alignment horizontal="center"/>
    </xf>
    <xf numFmtId="178" fontId="1" fillId="11" borderId="0" xfId="0" applyNumberFormat="1" applyFont="1" applyFill="1" applyAlignment="1">
      <alignment horizontal="center"/>
    </xf>
    <xf numFmtId="178" fontId="1" fillId="0" borderId="0" xfId="0" applyNumberFormat="1" applyFont="1" applyFill="1" applyAlignment="1">
      <alignment horizontal="center"/>
    </xf>
    <xf numFmtId="0" fontId="2" fillId="0" borderId="0" xfId="0" applyFont="1" applyFill="1" applyAlignment="1" applyProtection="1">
      <alignment horizontal="center"/>
      <protection locked="0"/>
    </xf>
    <xf numFmtId="0" fontId="1" fillId="11" borderId="0" xfId="0" applyFont="1" applyFill="1" applyAlignment="1"/>
    <xf numFmtId="0" fontId="0" fillId="12" borderId="0" xfId="49" applyFill="1"/>
    <xf numFmtId="0" fontId="0" fillId="12" borderId="0" xfId="0" applyFill="1"/>
    <xf numFmtId="0" fontId="0" fillId="13" borderId="0" xfId="0" applyFill="1"/>
    <xf numFmtId="0" fontId="0" fillId="0" borderId="0" xfId="49"/>
    <xf numFmtId="0" fontId="10" fillId="0" borderId="0" xfId="0" applyFont="1"/>
    <xf numFmtId="0" fontId="11" fillId="0" borderId="0" xfId="0" applyFont="1"/>
    <xf numFmtId="178" fontId="0" fillId="0" borderId="0" xfId="0" applyNumberFormat="1"/>
    <xf numFmtId="3" fontId="0" fillId="0" borderId="0" xfId="0" applyNumberFormat="1"/>
    <xf numFmtId="0" fontId="0" fillId="14" borderId="0" xfId="0" applyFill="1"/>
    <xf numFmtId="0" fontId="0" fillId="15" borderId="0" xfId="0" applyFill="1"/>
    <xf numFmtId="0" fontId="0" fillId="15" borderId="0" xfId="49" applyFill="1"/>
    <xf numFmtId="0" fontId="12" fillId="15" borderId="0" xfId="0" applyFont="1" applyFill="1"/>
    <xf numFmtId="0" fontId="12" fillId="13" borderId="0" xfId="0" applyFont="1" applyFill="1"/>
    <xf numFmtId="0" fontId="0" fillId="13" borderId="0" xfId="49" applyFill="1"/>
    <xf numFmtId="0" fontId="13" fillId="13" borderId="0" xfId="0" applyFont="1" applyFill="1"/>
    <xf numFmtId="0" fontId="14" fillId="15" borderId="0" xfId="49" applyFont="1" applyFill="1"/>
    <xf numFmtId="0" fontId="14" fillId="12" borderId="0" xfId="0" applyFont="1" applyFill="1"/>
    <xf numFmtId="0" fontId="0" fillId="16" borderId="0" xfId="0" applyFill="1"/>
    <xf numFmtId="0" fontId="0" fillId="17" borderId="1" xfId="49" applyFill="1" applyBorder="1"/>
    <xf numFmtId="181" fontId="0" fillId="17" borderId="1" xfId="49" applyNumberFormat="1" applyFill="1" applyBorder="1"/>
    <xf numFmtId="0" fontId="0" fillId="17" borderId="2" xfId="49" applyFill="1" applyBorder="1"/>
    <xf numFmtId="0" fontId="15" fillId="12" borderId="0" xfId="0" applyFont="1" applyFill="1"/>
    <xf numFmtId="0" fontId="13" fillId="12" borderId="0" xfId="0" applyFont="1" applyFill="1"/>
    <xf numFmtId="0" fontId="0" fillId="12" borderId="1" xfId="49" applyFill="1" applyBorder="1"/>
    <xf numFmtId="0" fontId="0" fillId="12" borderId="1" xfId="0" applyFill="1" applyBorder="1"/>
    <xf numFmtId="0" fontId="0" fillId="13" borderId="1" xfId="0" applyFill="1" applyBorder="1"/>
    <xf numFmtId="0" fontId="0" fillId="0" borderId="1" xfId="49" applyBorder="1"/>
    <xf numFmtId="0" fontId="12" fillId="0" borderId="0" xfId="0" applyFont="1"/>
    <xf numFmtId="0" fontId="14" fillId="0" borderId="0" xfId="49" applyFont="1"/>
    <xf numFmtId="0" fontId="0" fillId="0" borderId="1" xfId="0" applyBorder="1"/>
    <xf numFmtId="0" fontId="10" fillId="0" borderId="0" xfId="50" applyFont="1"/>
    <xf numFmtId="0" fontId="0" fillId="0" borderId="0" xfId="0" quotePrefix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 3" xfId="50"/>
    <cellStyle name="Normal 3 2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AGE\saic_technology\ResCOM\New%20Microsoft%20Excel%20Workshee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_Emi"/>
      <sheetName val="AGR"/>
      <sheetName val="RES_Fuels"/>
      <sheetName val="RES_Emi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OM_Emi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A281"/>
  <sheetViews>
    <sheetView workbookViewId="0">
      <selection activeCell="A1" sqref="A1"/>
    </sheetView>
  </sheetViews>
  <sheetFormatPr defaultColWidth="9.09090909090909" defaultRowHeight="11.5"/>
  <cols>
    <col min="1" max="1" width="15" style="80" customWidth="1"/>
    <col min="2" max="2" width="8.81818181818182" style="80" customWidth="1"/>
    <col min="3" max="3" width="4.72727272727273" style="80" customWidth="1"/>
    <col min="4" max="4" width="8.81818181818182" style="80" customWidth="1"/>
    <col min="5" max="5" width="4.36363636363636" style="80" customWidth="1"/>
    <col min="6" max="6" width="4.27272727272727" style="80" customWidth="1"/>
    <col min="7" max="7" width="4.36363636363636" style="80" customWidth="1"/>
    <col min="8" max="8" width="4.63636363636364" style="80" customWidth="1"/>
    <col min="9" max="9" width="4" style="80" customWidth="1"/>
    <col min="10" max="10" width="4.36363636363636" style="80" customWidth="1"/>
    <col min="11" max="11" width="4.63636363636364" style="80" customWidth="1"/>
    <col min="12" max="12" width="4.36363636363636" style="80" customWidth="1"/>
    <col min="13" max="13" width="4" style="80" customWidth="1"/>
    <col min="14" max="14" width="4.27272727272727" style="80" customWidth="1"/>
    <col min="15" max="16" width="4.36363636363636" style="80" customWidth="1"/>
    <col min="17" max="18" width="4.63636363636364" style="80" customWidth="1"/>
    <col min="19" max="19" width="4.36363636363636" style="80" customWidth="1"/>
    <col min="20" max="20" width="5" style="80" customWidth="1"/>
    <col min="21" max="21" width="11.7272727272727" style="80" customWidth="1"/>
    <col min="22" max="22" width="10.7272727272727" style="80" customWidth="1"/>
    <col min="23" max="23" width="13.0909090909091" style="80" customWidth="1"/>
    <col min="24" max="259" width="11.3636363636364" style="80" customWidth="1"/>
    <col min="260" max="16384" width="9.09090909090909" style="80"/>
  </cols>
  <sheetData>
    <row r="1" ht="12.5" spans="1:2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 ht="12.5" spans="1:2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 ht="12.5" spans="1:27">
      <c r="A3" t="s">
        <v>0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 s="54"/>
      <c r="W3" s="54"/>
      <c r="X3" s="54"/>
      <c r="Y3" s="54"/>
      <c r="Z3" s="54"/>
      <c r="AA3" s="54"/>
    </row>
    <row r="4" ht="12.5" spans="1:27">
      <c r="A4" t="s">
        <v>1</v>
      </c>
      <c r="B4" t="s">
        <v>2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 s="54"/>
      <c r="W4" s="54"/>
      <c r="X4" s="54"/>
      <c r="Y4" s="54"/>
      <c r="Z4" s="54"/>
      <c r="AA4" s="54"/>
    </row>
    <row r="5" ht="12.5" spans="1:27">
      <c r="A5" t="s">
        <v>3</v>
      </c>
      <c r="B5" t="s">
        <v>4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 s="54"/>
      <c r="W5" s="54"/>
      <c r="X5" s="54"/>
      <c r="Y5" s="54"/>
      <c r="Z5" s="54"/>
      <c r="AA5" s="54"/>
    </row>
    <row r="6" ht="12.5" spans="1:27">
      <c r="A6" t="s">
        <v>5</v>
      </c>
      <c r="B6" t="s">
        <v>4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 s="54"/>
      <c r="W6" s="54"/>
      <c r="X6" s="54"/>
      <c r="Y6" s="54"/>
      <c r="Z6" s="54"/>
      <c r="AA6" s="54"/>
    </row>
    <row r="7" ht="12.5" spans="1:27">
      <c r="A7" t="s">
        <v>6</v>
      </c>
      <c r="B7" t="s">
        <v>4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 s="54"/>
      <c r="W7" s="54"/>
      <c r="X7" s="54"/>
      <c r="Y7" s="54"/>
      <c r="Z7" s="54"/>
      <c r="AA7" s="54"/>
    </row>
    <row r="8" ht="12.5" spans="1:27">
      <c r="A8" t="s">
        <v>7</v>
      </c>
      <c r="B8" t="s">
        <v>4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 s="54"/>
      <c r="W8" s="54"/>
      <c r="X8" s="54"/>
      <c r="Y8" s="54"/>
      <c r="Z8" s="54"/>
      <c r="AA8" s="54"/>
    </row>
    <row r="9" ht="12.5" spans="1:27">
      <c r="A9" t="s">
        <v>8</v>
      </c>
      <c r="B9" t="s">
        <v>4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 s="54"/>
      <c r="W9" s="54"/>
      <c r="X9" s="54"/>
      <c r="Y9" s="54"/>
      <c r="Z9" s="54"/>
      <c r="AA9" s="54"/>
    </row>
    <row r="10" ht="12.5" spans="1:27">
      <c r="A10" t="s">
        <v>9</v>
      </c>
      <c r="B10" t="s">
        <v>4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 s="54"/>
      <c r="W10" s="54"/>
      <c r="X10" s="54"/>
      <c r="Y10" s="54"/>
      <c r="Z10" s="54"/>
      <c r="AA10" s="54"/>
    </row>
    <row r="11" ht="12.5" spans="1:27">
      <c r="A11" t="s">
        <v>10</v>
      </c>
      <c r="B11" t="s">
        <v>4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 s="54"/>
      <c r="W11" s="54"/>
      <c r="X11" s="54"/>
      <c r="Y11" s="54"/>
      <c r="Z11" s="54"/>
      <c r="AA11" s="54"/>
    </row>
    <row r="12" ht="12.5" spans="1:27">
      <c r="A12" t="s">
        <v>11</v>
      </c>
      <c r="B12" t="s">
        <v>4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 s="54"/>
      <c r="W12" s="54"/>
      <c r="X12" s="54"/>
      <c r="Y12" s="54"/>
      <c r="Z12" s="54"/>
      <c r="AA12" s="54"/>
    </row>
    <row r="13" ht="12.5" spans="1:27">
      <c r="A13" t="s">
        <v>12</v>
      </c>
      <c r="B13" t="s">
        <v>4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 s="54"/>
      <c r="W13" s="54"/>
      <c r="X13" s="54"/>
      <c r="Y13" s="54"/>
      <c r="Z13" s="54"/>
      <c r="AA13" s="54"/>
    </row>
    <row r="14" ht="12.5" spans="1:27">
      <c r="A14" t="s">
        <v>13</v>
      </c>
      <c r="B14" t="s">
        <v>4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 s="54"/>
      <c r="W14" s="54"/>
      <c r="X14" s="54"/>
      <c r="Y14" s="54"/>
      <c r="Z14" s="54"/>
      <c r="AA14" s="54"/>
    </row>
    <row r="15" ht="12.5" spans="1:27">
      <c r="A15" t="s">
        <v>14</v>
      </c>
      <c r="B15" t="s">
        <v>4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 s="54"/>
      <c r="W15" s="54"/>
      <c r="X15" s="54"/>
      <c r="Y15" s="54"/>
      <c r="Z15" s="54"/>
      <c r="AA15" s="54"/>
    </row>
    <row r="16" ht="12.5" spans="1:27">
      <c r="A16" t="s">
        <v>15</v>
      </c>
      <c r="B16" t="s">
        <v>4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 s="54"/>
      <c r="W16" s="54"/>
      <c r="X16" s="54"/>
      <c r="Y16" s="54"/>
      <c r="Z16" s="54"/>
      <c r="AA16" s="54"/>
    </row>
    <row r="17" ht="12.5" spans="1:27">
      <c r="A17" t="s">
        <v>16</v>
      </c>
      <c r="B17" t="s">
        <v>4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 s="54"/>
      <c r="W17" s="54"/>
      <c r="X17" s="54"/>
      <c r="Y17" s="54"/>
      <c r="Z17" s="54"/>
      <c r="AA17" s="54"/>
    </row>
    <row r="18" ht="12.5" spans="1:27">
      <c r="A18" t="s">
        <v>17</v>
      </c>
      <c r="B18" t="s">
        <v>4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 s="54"/>
      <c r="W18" s="54"/>
      <c r="X18" s="54"/>
      <c r="Y18" s="54"/>
      <c r="Z18" s="54"/>
      <c r="AA18" s="54"/>
    </row>
    <row r="19" ht="12.5" spans="1:27">
      <c r="A19" t="s">
        <v>18</v>
      </c>
      <c r="B19" t="s">
        <v>4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 s="54"/>
      <c r="W19" s="54"/>
      <c r="X19" s="54"/>
      <c r="Y19" s="54"/>
      <c r="Z19" s="54"/>
      <c r="AA19" s="54"/>
    </row>
    <row r="20" ht="12.5" spans="1:27">
      <c r="A20" t="s">
        <v>19</v>
      </c>
      <c r="B20" t="s">
        <v>4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 s="54"/>
      <c r="W20" s="54"/>
      <c r="X20" s="54"/>
      <c r="Y20" s="54"/>
      <c r="Z20" s="54"/>
      <c r="AA20" s="54"/>
    </row>
    <row r="21" ht="12.5" spans="1:27">
      <c r="A21" t="s">
        <v>20</v>
      </c>
      <c r="B21" t="s">
        <v>4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 s="54"/>
      <c r="W21" s="54"/>
      <c r="X21" s="54"/>
      <c r="Y21" s="54"/>
      <c r="Z21" s="54"/>
      <c r="AA21" s="54"/>
    </row>
    <row r="22" ht="12.5" spans="1:27">
      <c r="A22" t="s">
        <v>21</v>
      </c>
      <c r="B22" t="s">
        <v>4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 s="54"/>
      <c r="W22" s="54"/>
      <c r="X22" s="54"/>
      <c r="Y22" s="54"/>
      <c r="Z22" s="54"/>
      <c r="AA22" s="54"/>
    </row>
    <row r="23" ht="12.5" spans="1:27">
      <c r="A23" t="s">
        <v>22</v>
      </c>
      <c r="B23" t="s">
        <v>4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s="54"/>
      <c r="W23" s="54"/>
      <c r="X23" s="54"/>
      <c r="Y23" s="54"/>
      <c r="Z23" s="54"/>
      <c r="AA23" s="54"/>
    </row>
    <row r="24" ht="12.5" spans="1:27">
      <c r="A24" t="s">
        <v>23</v>
      </c>
      <c r="B24" t="s">
        <v>4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 s="54"/>
      <c r="W24" s="54"/>
      <c r="X24" s="54"/>
      <c r="Y24" s="54"/>
      <c r="Z24" s="54"/>
      <c r="AA24" s="54"/>
    </row>
    <row r="25" ht="12.5" spans="1:27">
      <c r="A25" t="s">
        <v>24</v>
      </c>
      <c r="B25" t="s">
        <v>4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 s="54"/>
      <c r="W25" s="54"/>
      <c r="X25" s="54"/>
      <c r="Y25" s="54"/>
      <c r="Z25" s="54"/>
      <c r="AA25" s="54"/>
    </row>
    <row r="26" ht="12.5" spans="1:27">
      <c r="A26" t="s">
        <v>25</v>
      </c>
      <c r="B26" t="s">
        <v>4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 s="54"/>
      <c r="W26" s="54"/>
      <c r="X26" s="54"/>
      <c r="Y26" s="54"/>
      <c r="Z26" s="54"/>
      <c r="AA26" s="54"/>
    </row>
    <row r="27" ht="12.5" spans="1:27">
      <c r="A27" t="s">
        <v>26</v>
      </c>
      <c r="B27" t="s">
        <v>4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 s="54"/>
      <c r="W27" s="54"/>
      <c r="X27" s="54"/>
      <c r="Y27" s="54"/>
      <c r="Z27" s="54"/>
      <c r="AA27" s="54"/>
    </row>
    <row r="28" ht="12.5" spans="1:27">
      <c r="A28" t="s">
        <v>27</v>
      </c>
      <c r="B28" t="s">
        <v>4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 s="54"/>
      <c r="W28" s="54"/>
      <c r="X28" s="54"/>
      <c r="Y28" s="54"/>
      <c r="Z28" s="54"/>
      <c r="AA28" s="54"/>
    </row>
    <row r="29" ht="12.5" spans="1:27">
      <c r="A29" t="s">
        <v>28</v>
      </c>
      <c r="B29" t="s">
        <v>4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 s="54"/>
      <c r="W29" s="54"/>
      <c r="X29" s="54"/>
      <c r="Y29" s="54"/>
      <c r="Z29" s="54"/>
      <c r="AA29" s="54"/>
    </row>
    <row r="30" ht="12.5" spans="1:27">
      <c r="A30" t="s">
        <v>29</v>
      </c>
      <c r="B30" t="s">
        <v>4</v>
      </c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ht="12.5" spans="1:27">
      <c r="A31" t="s">
        <v>30</v>
      </c>
      <c r="B31" t="s">
        <v>4</v>
      </c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ht="12.5" spans="1:27">
      <c r="A32" t="s">
        <v>31</v>
      </c>
      <c r="B32" t="s">
        <v>4</v>
      </c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  <row r="33" ht="12.5" spans="1:27">
      <c r="A33" t="s">
        <v>32</v>
      </c>
      <c r="B33" t="s">
        <v>4</v>
      </c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</row>
    <row r="34" ht="12.5" spans="1:27">
      <c r="A34" t="s">
        <v>33</v>
      </c>
      <c r="B34" t="s">
        <v>4</v>
      </c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</row>
    <row r="35" ht="12.5" spans="1:27">
      <c r="A35" s="80" t="s">
        <v>34</v>
      </c>
      <c r="B35" t="s">
        <v>4</v>
      </c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</row>
    <row r="36" ht="12.5" spans="1:27">
      <c r="A36" s="80" t="s">
        <v>35</v>
      </c>
      <c r="B36" t="s">
        <v>4</v>
      </c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</row>
    <row r="37" ht="12.5" spans="1:27">
      <c r="A37" s="80" t="s">
        <v>36</v>
      </c>
      <c r="B37" t="s">
        <v>4</v>
      </c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</row>
    <row r="38" ht="12.5" spans="1:27">
      <c r="A38" s="80" t="s">
        <v>37</v>
      </c>
      <c r="B38" t="s">
        <v>4</v>
      </c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</row>
    <row r="39" ht="12.5" spans="1:27">
      <c r="A39" s="80" t="s">
        <v>38</v>
      </c>
      <c r="B39" t="s">
        <v>4</v>
      </c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</row>
    <row r="40" spans="8:27"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</row>
    <row r="41" spans="8:27"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</row>
    <row r="42" spans="8:27"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</row>
    <row r="43" spans="8:27"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</row>
    <row r="44" spans="8:27"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</row>
    <row r="45" spans="8:27"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</row>
    <row r="46" spans="8:27"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</row>
    <row r="47" spans="8:27"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</row>
    <row r="48" spans="8:27"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</row>
    <row r="49" spans="8:27"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</row>
    <row r="50" spans="8:27"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</row>
    <row r="51" spans="8:27"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</row>
    <row r="52" spans="8:27"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</row>
    <row r="53" spans="8:27"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</row>
    <row r="54" spans="8:27"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</row>
    <row r="55" spans="8:27"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</row>
    <row r="56" spans="8:27"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</row>
    <row r="57" spans="8:27"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</row>
    <row r="58" spans="8:27"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</row>
    <row r="59" spans="8:27"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</row>
    <row r="60" spans="8:27"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</row>
    <row r="61" spans="8:27"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</row>
    <row r="62" spans="8:27"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</row>
    <row r="63" spans="8:27"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</row>
    <row r="64" spans="8:27"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</row>
    <row r="65" spans="8:27"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</row>
    <row r="66" spans="8:27"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</row>
    <row r="67" spans="8:27"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</row>
    <row r="68" spans="8:27"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</row>
    <row r="69" spans="8:27"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</row>
    <row r="70" spans="8:27"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</row>
    <row r="71" spans="8:27"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</row>
    <row r="72" spans="8:27"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</row>
    <row r="73" spans="8:27"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</row>
    <row r="74" spans="8:27"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</row>
    <row r="75" spans="8:27"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</row>
    <row r="76" spans="8:27"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</row>
    <row r="77" spans="8:27"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</row>
    <row r="78" spans="8:27"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</row>
    <row r="79" spans="8:27"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</row>
    <row r="80" spans="8:27"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</row>
    <row r="81" spans="8:27"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</row>
    <row r="82" spans="8:27"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</row>
    <row r="83" spans="8:27"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</row>
    <row r="84" spans="8:27"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</row>
    <row r="85" spans="8:27"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</row>
    <row r="86" spans="8:27"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</row>
    <row r="87" spans="8:27"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</row>
    <row r="88" spans="8:27"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</row>
    <row r="89" spans="8:27"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</row>
    <row r="90" spans="8:27"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</row>
    <row r="91" spans="8:27"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</row>
    <row r="92" spans="8:27"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</row>
    <row r="93" spans="8:27"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</row>
    <row r="94" spans="8:27"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</row>
    <row r="95" spans="8:27"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</row>
    <row r="96" spans="8:27"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</row>
    <row r="97" spans="8:27"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</row>
    <row r="98" spans="8:27"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</row>
    <row r="99" spans="8:27"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</row>
    <row r="100" spans="8:27"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</row>
    <row r="101" spans="8:27"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</row>
    <row r="102" spans="8:27"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</row>
    <row r="103" spans="8:27"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</row>
    <row r="104" spans="8:27"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</row>
    <row r="105" spans="8:27"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</row>
    <row r="106" spans="8:27"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</row>
    <row r="107" spans="8:27"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</row>
    <row r="108" spans="8:27"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</row>
    <row r="109" spans="8:27"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</row>
    <row r="110" spans="8:27"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</row>
    <row r="111" spans="8:27"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</row>
    <row r="112" spans="8:27"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</row>
    <row r="113" spans="8:27"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</row>
    <row r="114" spans="8:27"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</row>
    <row r="115" spans="8:27"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</row>
    <row r="116" spans="8:27"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</row>
    <row r="117" spans="8:27"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</row>
    <row r="118" spans="8:27"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</row>
    <row r="119" spans="8:27"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</row>
    <row r="120" spans="8:27"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</row>
    <row r="121" spans="8:27"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</row>
    <row r="122" spans="8:27"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</row>
    <row r="123" spans="8:27"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</row>
    <row r="124" spans="8:27"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</row>
    <row r="125" spans="8:27"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</row>
    <row r="126" spans="8:27"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</row>
    <row r="127" spans="8:27"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</row>
    <row r="128" spans="8:27"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</row>
    <row r="129" spans="8:27"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</row>
    <row r="130" spans="8:27"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</row>
    <row r="131" spans="8:27"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</row>
    <row r="132" spans="8:27"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</row>
    <row r="133" spans="8:27"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</row>
    <row r="134" spans="8:27"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</row>
    <row r="135" spans="8:27"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</row>
    <row r="136" spans="8:27"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</row>
    <row r="137" spans="8:27"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</row>
    <row r="138" spans="8:27"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</row>
    <row r="139" spans="8:27"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</row>
    <row r="140" spans="8:27"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</row>
    <row r="141" spans="8:27"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</row>
    <row r="142" spans="8:27"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</row>
    <row r="143" spans="8:27"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</row>
    <row r="144" spans="8:27"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</row>
    <row r="145" spans="8:27"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</row>
    <row r="146" spans="8:27"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</row>
    <row r="147" spans="8:27"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</row>
    <row r="148" spans="8:27"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</row>
    <row r="149" spans="8:27"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</row>
    <row r="150" spans="8:27"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</row>
    <row r="151" spans="8:27"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</row>
    <row r="152" spans="8:27"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</row>
    <row r="153" spans="8:27"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</row>
    <row r="154" spans="8:27"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</row>
    <row r="155" spans="8:27"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</row>
    <row r="156" spans="8:27"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</row>
    <row r="157" spans="8:27"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</row>
    <row r="158" spans="8:27"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</row>
    <row r="159" spans="8:27"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</row>
    <row r="160" spans="8:27"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</row>
    <row r="161" spans="8:27"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</row>
    <row r="162" spans="8:27"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</row>
    <row r="163" spans="8:27"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</row>
    <row r="164" spans="8:27"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</row>
    <row r="165" spans="8:27"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</row>
    <row r="166" spans="8:27"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</row>
    <row r="167" spans="8:27"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</row>
    <row r="168" spans="8:27"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</row>
    <row r="169" spans="8:27"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</row>
    <row r="170" spans="8:27"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</row>
    <row r="171" spans="8:27"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</row>
    <row r="172" spans="8:27"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</row>
    <row r="173" spans="8:27"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</row>
    <row r="174" spans="8:27"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</row>
    <row r="175" spans="8:27"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</row>
    <row r="176" spans="8:27"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</row>
    <row r="177" spans="8:27"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</row>
    <row r="178" spans="8:27"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</row>
    <row r="179" spans="8:27"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</row>
    <row r="180" spans="8:27"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</row>
    <row r="181" spans="8:27"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</row>
    <row r="182" spans="8:27"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</row>
    <row r="183" spans="8:27"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</row>
    <row r="184" spans="8:27"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</row>
    <row r="185" spans="8:27"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</row>
    <row r="186" spans="8:27"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</row>
    <row r="187" spans="8:27"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</row>
    <row r="188" spans="8:27"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</row>
    <row r="189" spans="8:27"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</row>
    <row r="190" spans="8:27"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</row>
    <row r="191" spans="8:27"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</row>
    <row r="192" spans="8:27"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</row>
    <row r="193" spans="8:27"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</row>
    <row r="194" spans="8:27"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</row>
    <row r="195" spans="8:27"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</row>
    <row r="196" spans="8:27"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</row>
    <row r="197" spans="8:27"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</row>
    <row r="198" spans="8:27"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</row>
    <row r="199" spans="8:27"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</row>
    <row r="200" spans="8:27"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</row>
    <row r="201" spans="8:27"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</row>
    <row r="202" spans="8:27"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</row>
    <row r="203" spans="8:27"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</row>
    <row r="204" spans="8:27"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</row>
    <row r="205" spans="8:27"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</row>
    <row r="206" spans="8:27"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</row>
    <row r="207" spans="8:27"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</row>
    <row r="208" spans="8:27"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</row>
    <row r="209" spans="8:27"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</row>
    <row r="210" spans="8:27"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</row>
    <row r="211" spans="8:27"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</row>
    <row r="212" spans="8:27"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</row>
    <row r="213" spans="8:27"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</row>
    <row r="214" spans="8:27"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</row>
    <row r="215" spans="8:27"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</row>
    <row r="216" spans="8:27"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</row>
    <row r="217" spans="8:27"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</row>
    <row r="218" spans="8:27"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</row>
    <row r="219" spans="8:27"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</row>
    <row r="220" spans="8:27"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</row>
    <row r="221" spans="8:27"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</row>
    <row r="222" spans="8:27"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</row>
    <row r="223" spans="8:27"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</row>
    <row r="224" spans="8:27"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</row>
    <row r="225" spans="8:27"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</row>
    <row r="226" spans="8:27"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</row>
    <row r="227" spans="8:27"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</row>
    <row r="228" spans="8:27"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</row>
    <row r="229" spans="8:27"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</row>
    <row r="230" spans="8:27"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</row>
    <row r="231" spans="8:27"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</row>
    <row r="232" spans="8:27"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</row>
    <row r="233" spans="8:27"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</row>
    <row r="234" spans="8:27"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</row>
    <row r="235" spans="8:27"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</row>
    <row r="236" spans="8:27"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</row>
    <row r="237" spans="8:27"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</row>
    <row r="238" spans="8:27"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</row>
    <row r="239" spans="8:27"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</row>
    <row r="240" spans="8:27"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</row>
    <row r="241" spans="8:27"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</row>
    <row r="242" spans="8:27"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</row>
    <row r="243" spans="8:27"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</row>
    <row r="244" spans="8:27"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</row>
    <row r="245" spans="8:27"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</row>
    <row r="246" spans="8:27"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</row>
    <row r="247" spans="8:27"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</row>
    <row r="248" spans="8:27"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</row>
    <row r="249" spans="8:27"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</row>
    <row r="250" spans="8:27"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</row>
    <row r="251" spans="8:27"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</row>
    <row r="252" spans="8:27"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</row>
    <row r="253" spans="8:27"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</row>
    <row r="254" spans="8:27"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</row>
    <row r="255" spans="8:27"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</row>
    <row r="256" spans="8:27"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</row>
    <row r="257" spans="8:27"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</row>
    <row r="258" spans="8:27"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</row>
    <row r="259" spans="8:27"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</row>
    <row r="260" spans="8:27"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</row>
    <row r="261" spans="8:27"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</row>
    <row r="262" spans="8:27"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</row>
    <row r="263" spans="8:27"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</row>
    <row r="264" spans="8:27"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</row>
    <row r="265" spans="8:27"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</row>
    <row r="266" spans="8:27"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</row>
    <row r="267" spans="8:27"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</row>
    <row r="268" spans="8:27"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</row>
    <row r="269" spans="8:27"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</row>
    <row r="270" spans="8:27"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</row>
    <row r="271" spans="8:27"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</row>
    <row r="272" spans="8:27"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</row>
    <row r="273" spans="8:27"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</row>
    <row r="274" spans="8:27"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</row>
    <row r="275" spans="8:27"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</row>
    <row r="276" spans="8:27"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</row>
    <row r="277" spans="8:27"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</row>
    <row r="278" spans="8:27"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</row>
    <row r="279" spans="8:27"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</row>
    <row r="280" spans="8:27"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</row>
    <row r="281" spans="8:27"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</row>
  </sheetData>
  <pageMargins left="0.75" right="0.75" top="1" bottom="1" header="0.5" footer="0.5"/>
  <pageSetup paperSize="1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B154"/>
  <sheetViews>
    <sheetView tabSelected="1" zoomScale="66" zoomScaleNormal="66" topLeftCell="A28" workbookViewId="0">
      <selection activeCell="D61" sqref="D61"/>
    </sheetView>
  </sheetViews>
  <sheetFormatPr defaultColWidth="9" defaultRowHeight="12.5"/>
  <cols>
    <col min="2" max="2" width="21.3636363636364" customWidth="1"/>
    <col min="3" max="3" width="12.7272727272727" customWidth="1"/>
    <col min="4" max="5" width="22.0909090909091" customWidth="1"/>
    <col min="6" max="6" width="12" customWidth="1"/>
    <col min="7" max="7" width="13" customWidth="1"/>
    <col min="8" max="9" width="7.09090909090909" customWidth="1"/>
    <col min="10" max="10" width="10.6363636363636" customWidth="1"/>
    <col min="11" max="11" width="11.2727272727273" customWidth="1"/>
    <col min="12" max="12" width="15.6363636363636" customWidth="1"/>
    <col min="13" max="13" width="17.5454545454545" customWidth="1"/>
    <col min="14" max="14" width="17.8181818181818" customWidth="1"/>
    <col min="15" max="16" width="12.8181818181818" customWidth="1"/>
    <col min="17" max="18" width="7.09090909090909" customWidth="1"/>
    <col min="19" max="19" width="12.7272727272727" customWidth="1"/>
    <col min="20" max="20" width="8.63636363636364" customWidth="1"/>
    <col min="21" max="21" width="7.81818181818182" customWidth="1"/>
    <col min="22" max="24" width="7.09090909090909" customWidth="1"/>
    <col min="25" max="25" width="9.63636363636364" customWidth="1"/>
    <col min="26" max="26" width="17.8181818181818" customWidth="1"/>
    <col min="27" max="27" width="9.81818181818182" customWidth="1"/>
    <col min="28" max="32" width="7.09090909090909" customWidth="1"/>
    <col min="33" max="33" width="10.8181818181818" customWidth="1"/>
    <col min="34" max="34" width="11.0909090909091" customWidth="1"/>
    <col min="35" max="37" width="6" customWidth="1"/>
    <col min="38" max="39" width="15.6363636363636" customWidth="1"/>
    <col min="40" max="40" width="22.6363636363636" customWidth="1"/>
    <col min="41" max="41" width="13.6363636363636" customWidth="1"/>
    <col min="42" max="43" width="6" customWidth="1"/>
    <col min="44" max="44" width="8.36363636363636" customWidth="1"/>
    <col min="45" max="45" width="10.3636363636364" customWidth="1"/>
    <col min="46" max="49" width="6" customWidth="1"/>
    <col min="50" max="50" width="12.2727272727273" customWidth="1"/>
    <col min="51" max="51" width="13.6363636363636" customWidth="1"/>
  </cols>
  <sheetData>
    <row r="2" spans="2:16">
      <c r="B2" s="54" t="s">
        <v>39</v>
      </c>
      <c r="C2" s="54"/>
      <c r="D2" s="54"/>
      <c r="E2" s="54"/>
      <c r="K2" t="s">
        <v>40</v>
      </c>
      <c r="P2" t="s">
        <v>40</v>
      </c>
    </row>
    <row r="3" spans="2:19">
      <c r="B3" s="55" t="s">
        <v>41</v>
      </c>
      <c r="C3" s="55" t="s">
        <v>42</v>
      </c>
      <c r="D3" s="55" t="s">
        <v>43</v>
      </c>
      <c r="E3" s="55" t="s">
        <v>44</v>
      </c>
      <c r="K3" t="s">
        <v>45</v>
      </c>
      <c r="L3" t="s">
        <v>46</v>
      </c>
      <c r="M3" t="s">
        <v>47</v>
      </c>
      <c r="P3" t="s">
        <v>48</v>
      </c>
      <c r="Q3" t="s">
        <v>49</v>
      </c>
      <c r="R3" t="s">
        <v>50</v>
      </c>
      <c r="S3" t="s">
        <v>46</v>
      </c>
    </row>
    <row r="4" spans="2:19">
      <c r="B4" s="54" t="s">
        <v>51</v>
      </c>
      <c r="C4" s="54" t="s">
        <v>52</v>
      </c>
      <c r="D4" s="54" t="s">
        <v>53</v>
      </c>
      <c r="E4" s="54" t="s">
        <v>54</v>
      </c>
      <c r="K4" t="s">
        <v>55</v>
      </c>
      <c r="L4" t="s">
        <v>56</v>
      </c>
      <c r="M4" t="s">
        <v>57</v>
      </c>
      <c r="P4" t="s">
        <v>58</v>
      </c>
      <c r="Q4" t="s">
        <v>59</v>
      </c>
      <c r="R4" t="s">
        <v>60</v>
      </c>
      <c r="S4" t="s">
        <v>61</v>
      </c>
    </row>
    <row r="5" spans="2:13">
      <c r="B5" s="54" t="s">
        <v>51</v>
      </c>
      <c r="C5" s="54" t="s">
        <v>62</v>
      </c>
      <c r="D5" s="54" t="s">
        <v>53</v>
      </c>
      <c r="E5" s="54" t="s">
        <v>54</v>
      </c>
      <c r="K5" t="s">
        <v>63</v>
      </c>
      <c r="L5" t="s">
        <v>56</v>
      </c>
      <c r="M5" t="s">
        <v>64</v>
      </c>
    </row>
    <row r="6" spans="11:13">
      <c r="K6" t="s">
        <v>65</v>
      </c>
      <c r="L6" t="s">
        <v>56</v>
      </c>
      <c r="M6" t="s">
        <v>66</v>
      </c>
    </row>
    <row r="7" spans="11:13">
      <c r="K7" t="s">
        <v>67</v>
      </c>
      <c r="L7" t="s">
        <v>56</v>
      </c>
      <c r="M7" t="s">
        <v>68</v>
      </c>
    </row>
    <row r="8" spans="2:13">
      <c r="B8" t="s">
        <v>69</v>
      </c>
      <c r="K8" t="s">
        <v>70</v>
      </c>
      <c r="L8" t="s">
        <v>56</v>
      </c>
      <c r="M8" t="s">
        <v>59</v>
      </c>
    </row>
    <row r="9" spans="2:13"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K9" t="s">
        <v>78</v>
      </c>
      <c r="L9" t="s">
        <v>56</v>
      </c>
      <c r="M9" t="s">
        <v>68</v>
      </c>
    </row>
    <row r="10" spans="2:13">
      <c r="B10" t="s">
        <v>79</v>
      </c>
      <c r="C10" t="s">
        <v>80</v>
      </c>
      <c r="E10" t="s">
        <v>59</v>
      </c>
      <c r="F10">
        <v>0.25</v>
      </c>
      <c r="G10" t="s">
        <v>81</v>
      </c>
      <c r="K10" t="s">
        <v>80</v>
      </c>
      <c r="L10" t="s">
        <v>56</v>
      </c>
      <c r="M10" t="s">
        <v>59</v>
      </c>
    </row>
    <row r="11" spans="2:8">
      <c r="B11" t="s">
        <v>79</v>
      </c>
      <c r="C11" t="s">
        <v>80</v>
      </c>
      <c r="E11" t="s">
        <v>59</v>
      </c>
      <c r="F11">
        <v>3</v>
      </c>
      <c r="G11" t="s">
        <v>81</v>
      </c>
      <c r="H11">
        <v>0</v>
      </c>
    </row>
    <row r="12" spans="2:11">
      <c r="B12" t="s">
        <v>82</v>
      </c>
      <c r="D12" t="s">
        <v>83</v>
      </c>
      <c r="E12" t="s">
        <v>84</v>
      </c>
      <c r="F12">
        <v>0.93</v>
      </c>
      <c r="K12" t="s">
        <v>85</v>
      </c>
    </row>
    <row r="13" spans="2:14">
      <c r="B13" t="s">
        <v>86</v>
      </c>
      <c r="C13" t="s">
        <v>53</v>
      </c>
      <c r="F13">
        <v>25</v>
      </c>
      <c r="K13" t="s">
        <v>71</v>
      </c>
      <c r="L13" t="s">
        <v>75</v>
      </c>
      <c r="M13" t="s">
        <v>87</v>
      </c>
      <c r="N13" t="s">
        <v>88</v>
      </c>
    </row>
    <row r="14" spans="2:14">
      <c r="B14" t="s">
        <v>89</v>
      </c>
      <c r="C14" t="s">
        <v>53</v>
      </c>
      <c r="E14" s="81" t="s">
        <v>90</v>
      </c>
      <c r="F14">
        <v>2020</v>
      </c>
      <c r="K14" t="s">
        <v>91</v>
      </c>
      <c r="L14" t="s">
        <v>92</v>
      </c>
      <c r="M14" t="s">
        <v>93</v>
      </c>
      <c r="N14" t="s">
        <v>53</v>
      </c>
    </row>
    <row r="15" spans="11:14">
      <c r="K15" t="s">
        <v>91</v>
      </c>
      <c r="L15" t="s">
        <v>94</v>
      </c>
      <c r="M15" t="s">
        <v>93</v>
      </c>
      <c r="N15" t="s">
        <v>70</v>
      </c>
    </row>
    <row r="16" spans="2:2">
      <c r="B16" t="s">
        <v>95</v>
      </c>
    </row>
    <row r="17" spans="2:7">
      <c r="B17" t="s">
        <v>48</v>
      </c>
      <c r="C17">
        <v>2020</v>
      </c>
      <c r="D17">
        <v>0</v>
      </c>
      <c r="E17" t="s">
        <v>96</v>
      </c>
      <c r="F17" t="s">
        <v>47</v>
      </c>
      <c r="G17" t="s">
        <v>97</v>
      </c>
    </row>
    <row r="18" spans="2:7">
      <c r="B18" s="81" t="s">
        <v>90</v>
      </c>
      <c r="C18">
        <v>0.2</v>
      </c>
      <c r="D18">
        <v>3</v>
      </c>
      <c r="E18" s="81" t="s">
        <v>98</v>
      </c>
      <c r="F18" t="s">
        <v>53</v>
      </c>
      <c r="G18" t="s">
        <v>99</v>
      </c>
    </row>
    <row r="21" spans="3:3">
      <c r="C21" t="s">
        <v>69</v>
      </c>
    </row>
    <row r="22" spans="3:50">
      <c r="C22" t="s">
        <v>71</v>
      </c>
      <c r="D22" t="str">
        <f>IF(RoadTra_BY!L$1="","\I:",RoadTra_BY!L$1)</f>
        <v>valfield</v>
      </c>
      <c r="E22" t="str">
        <f>IF(RoadTra_BY!M$1="","\I:",RoadTra_BY!M$1)</f>
        <v>\I:</v>
      </c>
      <c r="F22" t="str">
        <f>IF(RoadTra_BY!N$1="","\I:",RoadTra_BY!N$1)</f>
        <v>\I:</v>
      </c>
      <c r="G22" t="str">
        <f>IF(RoadTra_BY!O$1="","\I:",RoadTra_BY!O$1)</f>
        <v>\I:</v>
      </c>
      <c r="H22" t="str">
        <f>IF(RoadTra_BY!P$1="","\I:",RoadTra_BY!P$1)</f>
        <v>\I:</v>
      </c>
      <c r="I22" t="str">
        <f>IF(RoadTra_BY!Q$1="","\I:",RoadTra_BY!Q$1)</f>
        <v>\I:</v>
      </c>
      <c r="J22" t="str">
        <f>IF(RoadTra_BY!R$1="","\I:",RoadTra_BY!R$1)</f>
        <v>\I:</v>
      </c>
      <c r="K22" t="str">
        <f>IF(RoadTra_BY!S$1="","\I:",RoadTra_BY!S$1)</f>
        <v>\I:</v>
      </c>
      <c r="L22" t="str">
        <f>IF(RoadTra_BY!T$1="","\I:",RoadTra_BY!T$1)</f>
        <v>\I:</v>
      </c>
      <c r="M22" t="str">
        <f>IF(RoadTra_BY!U$1="","\I:",RoadTra_BY!U$1)</f>
        <v>\I:</v>
      </c>
      <c r="N22" t="str">
        <f>IF(RoadTra_BY!V$1="","\I:",RoadTra_BY!V$1)</f>
        <v>\I:</v>
      </c>
      <c r="O22" t="str">
        <f>IF(RoadTra_BY!W$1="","\I:",RoadTra_BY!W$1)</f>
        <v>\I:</v>
      </c>
      <c r="P22" t="str">
        <f>IF(RoadTra_BY!X$1="","\I:",RoadTra_BY!X$1)</f>
        <v>\I:</v>
      </c>
      <c r="Q22" t="str">
        <f>IF(RoadTra_BY!Y$1="","\I:",RoadTra_BY!Y$1)</f>
        <v>\I:</v>
      </c>
      <c r="R22" t="str">
        <f>IF(RoadTra_BY!Z$1="","\I:",RoadTra_BY!Z$1)</f>
        <v>\I:</v>
      </c>
      <c r="S22" t="str">
        <f>IF(RoadTra_BY!AA$1="","\I:",RoadTra_BY!AA$1)</f>
        <v>\I:</v>
      </c>
      <c r="T22" t="str">
        <f>IF(RoadTra_BY!AB$1="","\I:",RoadTra_BY!AB$1)</f>
        <v>\I:</v>
      </c>
      <c r="U22" t="str">
        <f>IF(RoadTra_BY!AC$1="","\I:",RoadTra_BY!AC$1)</f>
        <v>\I:</v>
      </c>
      <c r="V22" t="str">
        <f>IF(RoadTra_BY!AD$1="","\I:",RoadTra_BY!AD$1)</f>
        <v>\I:</v>
      </c>
      <c r="W22" t="str">
        <f>IF(RoadTra_BY!AE$1="","\I:",RoadTra_BY!AE$1)</f>
        <v>\I:</v>
      </c>
      <c r="X22" t="str">
        <f>IF(RoadTra_BY!AF$1="","\I:",RoadTra_BY!AF$1)</f>
        <v>\I:</v>
      </c>
      <c r="Y22" t="str">
        <f>IF(RoadTra_BY!AG$1="","\I:",RoadTra_BY!AG$1)</f>
        <v>\I:</v>
      </c>
      <c r="Z22" t="str">
        <f>IF(RoadTra_BY!AH$1="","\I:",RoadTra_BY!AH$1)</f>
        <v>\I:</v>
      </c>
      <c r="AA22" t="str">
        <f>IF(RoadTra_BY!AI$1="","\I:",RoadTra_BY!AI$1)</f>
        <v>\I:</v>
      </c>
      <c r="AB22" t="str">
        <f>IF(RoadTra_BY!AJ$1="","\I:",RoadTra_BY!AJ$1)</f>
        <v>\I:</v>
      </c>
      <c r="AC22" t="str">
        <f>IF(RoadTra_BY!AK$1="","\I:",RoadTra_BY!AK$1)</f>
        <v>\I:</v>
      </c>
      <c r="AD22" t="str">
        <f>IF(RoadTra_BY!AL$1="","\I:",RoadTra_BY!AL$1)</f>
        <v>\I:</v>
      </c>
      <c r="AE22" t="str">
        <f>IF(RoadTra_BY!AM$1="","\I:",RoadTra_BY!AM$1)</f>
        <v>\I:</v>
      </c>
      <c r="AF22" t="str">
        <f>IF(RoadTra_BY!AN$1="","\I:",RoadTra_BY!AN$1)</f>
        <v>\I:</v>
      </c>
      <c r="AG22" t="str">
        <f>IF(RoadTra_BY!AO$1="","\I:",RoadTra_BY!AO$1)</f>
        <v>\I:</v>
      </c>
      <c r="AH22" t="str">
        <f>IF(RoadTra_BY!AP$1="","\I:",RoadTra_BY!AP$1)</f>
        <v>\I:</v>
      </c>
      <c r="AI22" t="str">
        <f>IF(RoadTra_BY!AQ$1="","\I:",RoadTra_BY!AQ$1)</f>
        <v>\I:</v>
      </c>
      <c r="AJ22" t="str">
        <f>IF(RoadTra_BY!AR$1="","\I:",RoadTra_BY!AR$1)</f>
        <v>\I:</v>
      </c>
      <c r="AK22" t="str">
        <f>IF(RoadTra_BY!AS$1="","\I:",RoadTra_BY!AS$1)</f>
        <v>\I:</v>
      </c>
      <c r="AL22" t="str">
        <f>IF(RoadTra_BY!AT$1="","\I:",RoadTra_BY!AT$1)</f>
        <v>\I:</v>
      </c>
      <c r="AM22" t="str">
        <f>IF(RoadTra_BY!AU$1="","\I:",RoadTra_BY!AU$1)</f>
        <v>\I:</v>
      </c>
      <c r="AN22" t="str">
        <f>IF(RoadTra_BY!AV$1="","\I:",RoadTra_BY!AV$1)</f>
        <v>\I:</v>
      </c>
      <c r="AO22" t="str">
        <f>IF(RoadTra_BY!AW$1="","\I:",RoadTra_BY!AW$1)</f>
        <v>\I:</v>
      </c>
      <c r="AP22" t="str">
        <f>IF(RoadTra_BY!AX$1="","\I:",RoadTra_BY!AX$1)</f>
        <v>\I:</v>
      </c>
      <c r="AQ22" t="str">
        <f>IF(RoadTra_BY!AY$1="","\I:",RoadTra_BY!AY$1)</f>
        <v>\I:</v>
      </c>
      <c r="AR22" t="str">
        <f>IF(RoadTra_BY!AZ$1="","\I:",RoadTra_BY!AZ$1)</f>
        <v>\I:</v>
      </c>
      <c r="AS22" t="str">
        <f>IF(RoadTra_BY!BA$1="","\I:",RoadTra_BY!BA$1)</f>
        <v>\I:</v>
      </c>
      <c r="AT22" t="str">
        <f>IF(RoadTra_BY!BB$1="","\I:",RoadTra_BY!BB$1)</f>
        <v>\I:</v>
      </c>
      <c r="AU22" t="str">
        <f>IF(RoadTra_BY!BC$1="","\I:",RoadTra_BY!BC$1)</f>
        <v>\I:</v>
      </c>
      <c r="AV22" t="str">
        <f>IF(RoadTra_BY!BD$1="","\I:",RoadTra_BY!BD$1)</f>
        <v>\I:</v>
      </c>
      <c r="AW22" t="str">
        <f>IF(RoadTra_BY!BE$1="","\I:",RoadTra_BY!BE$1)</f>
        <v>\I:</v>
      </c>
      <c r="AX22" t="s">
        <v>45</v>
      </c>
    </row>
    <row r="23" spans="3:50">
      <c r="C23" t="s">
        <v>52</v>
      </c>
      <c r="D23" s="56" t="e">
        <f>AVERAGEIFS(RoadTra_BY!L$2:L$999,RoadTra_BY!$B$2:$B$999,'Road transport'!$C23,RoadTra_BY!$C$2:$C$999,'Road transport'!$AX23)</f>
        <v>#DIV/0!</v>
      </c>
      <c r="E23" s="56" t="e">
        <f>AVERAGEIFS(RoadTra_BY!M$2:M$999,RoadTra_BY!$B$2:$B$999,'Road transport'!$C23,RoadTra_BY!$C$2:$C$999,'Road transport'!$AX23)</f>
        <v>#DIV/0!</v>
      </c>
      <c r="F23" s="56" t="e">
        <f>AVERAGEIFS(RoadTra_BY!N$2:N$999,RoadTra_BY!$B$2:$B$999,'Road transport'!$C23,RoadTra_BY!$C$2:$C$999,'Road transport'!$AX23)</f>
        <v>#DIV/0!</v>
      </c>
      <c r="G23" s="56" t="e">
        <f>AVERAGEIFS(RoadTra_BY!O$2:O$999,RoadTra_BY!$B$2:$B$999,'Road transport'!$C23,RoadTra_BY!$C$2:$C$999,'Road transport'!$AX23)</f>
        <v>#DIV/0!</v>
      </c>
      <c r="H23" s="56" t="e">
        <f>AVERAGEIFS(RoadTra_BY!P$2:P$999,RoadTra_BY!$B$2:$B$999,'Road transport'!$C23,RoadTra_BY!$C$2:$C$999,'Road transport'!$AX23)</f>
        <v>#DIV/0!</v>
      </c>
      <c r="I23" s="56" t="e">
        <f>AVERAGEIFS(RoadTra_BY!Q$2:Q$999,RoadTra_BY!$B$2:$B$999,'Road transport'!$C23,RoadTra_BY!$C$2:$C$999,'Road transport'!$AX23)</f>
        <v>#DIV/0!</v>
      </c>
      <c r="J23" s="56" t="e">
        <f>AVERAGEIFS(RoadTra_BY!R$2:R$999,RoadTra_BY!$B$2:$B$999,'Road transport'!$C23,RoadTra_BY!$C$2:$C$999,'Road transport'!$AX23)</f>
        <v>#DIV/0!</v>
      </c>
      <c r="K23" s="56" t="e">
        <f>AVERAGEIFS(RoadTra_BY!S$2:S$999,RoadTra_BY!$B$2:$B$999,'Road transport'!$C23,RoadTra_BY!$C$2:$C$999,'Road transport'!$AX23)</f>
        <v>#DIV/0!</v>
      </c>
      <c r="L23" s="56" t="e">
        <f>AVERAGEIFS(RoadTra_BY!T$2:T$999,RoadTra_BY!$B$2:$B$999,'Road transport'!$C23,RoadTra_BY!$C$2:$C$999,'Road transport'!$AX23)</f>
        <v>#DIV/0!</v>
      </c>
      <c r="M23" s="56" t="e">
        <f>AVERAGEIFS(RoadTra_BY!U$2:U$999,RoadTra_BY!$B$2:$B$999,'Road transport'!$C23,RoadTra_BY!$C$2:$C$999,'Road transport'!$AX23)</f>
        <v>#DIV/0!</v>
      </c>
      <c r="N23" s="56" t="e">
        <f>AVERAGEIFS(RoadTra_BY!V$2:V$999,RoadTra_BY!$B$2:$B$999,'Road transport'!$C23,RoadTra_BY!$C$2:$C$999,'Road transport'!$AX23)</f>
        <v>#DIV/0!</v>
      </c>
      <c r="O23" s="56" t="e">
        <f>AVERAGEIFS(RoadTra_BY!W$2:W$999,RoadTra_BY!$B$2:$B$999,'Road transport'!$C23,RoadTra_BY!$C$2:$C$999,'Road transport'!$AX23)</f>
        <v>#DIV/0!</v>
      </c>
      <c r="P23" s="56" t="e">
        <f>AVERAGEIFS(RoadTra_BY!X$2:X$999,RoadTra_BY!$B$2:$B$999,'Road transport'!$C23,RoadTra_BY!$C$2:$C$999,'Road transport'!$AX23)</f>
        <v>#DIV/0!</v>
      </c>
      <c r="Q23" s="56" t="e">
        <f>AVERAGEIFS(RoadTra_BY!Y$2:Y$999,RoadTra_BY!$B$2:$B$999,'Road transport'!$C23,RoadTra_BY!$C$2:$C$999,'Road transport'!$AX23)</f>
        <v>#DIV/0!</v>
      </c>
      <c r="R23" s="56" t="e">
        <f>AVERAGEIFS(RoadTra_BY!Z$2:Z$999,RoadTra_BY!$B$2:$B$999,'Road transport'!$C23,RoadTra_BY!$C$2:$C$999,'Road transport'!$AX23)</f>
        <v>#DIV/0!</v>
      </c>
      <c r="S23" s="56" t="e">
        <f>AVERAGEIFS(RoadTra_BY!AA$2:AA$999,RoadTra_BY!$B$2:$B$999,'Road transport'!$C23,RoadTra_BY!$C$2:$C$999,'Road transport'!$AX23)</f>
        <v>#DIV/0!</v>
      </c>
      <c r="T23" s="56" t="e">
        <f>AVERAGEIFS(RoadTra_BY!AB$2:AB$999,RoadTra_BY!$B$2:$B$999,'Road transport'!$C23,RoadTra_BY!$C$2:$C$999,'Road transport'!$AX23)</f>
        <v>#DIV/0!</v>
      </c>
      <c r="U23" s="56" t="e">
        <f>AVERAGEIFS(RoadTra_BY!AC$2:AC$999,RoadTra_BY!$B$2:$B$999,'Road transport'!$C23,RoadTra_BY!$C$2:$C$999,'Road transport'!$AX23)</f>
        <v>#DIV/0!</v>
      </c>
      <c r="V23" s="56" t="e">
        <f>AVERAGEIFS(RoadTra_BY!AD$2:AD$999,RoadTra_BY!$B$2:$B$999,'Road transport'!$C23,RoadTra_BY!$C$2:$C$999,'Road transport'!$AX23)</f>
        <v>#DIV/0!</v>
      </c>
      <c r="W23" s="56" t="e">
        <f>AVERAGEIFS(RoadTra_BY!AE$2:AE$999,RoadTra_BY!$B$2:$B$999,'Road transport'!$C23,RoadTra_BY!$C$2:$C$999,'Road transport'!$AX23)</f>
        <v>#DIV/0!</v>
      </c>
      <c r="X23" s="56" t="e">
        <f>AVERAGEIFS(RoadTra_BY!AF$2:AF$999,RoadTra_BY!$B$2:$B$999,'Road transport'!$C23,RoadTra_BY!$C$2:$C$999,'Road transport'!$AX23)</f>
        <v>#DIV/0!</v>
      </c>
      <c r="Y23" s="56" t="e">
        <f>AVERAGEIFS(RoadTra_BY!AG$2:AG$999,RoadTra_BY!$B$2:$B$999,'Road transport'!$C23,RoadTra_BY!$C$2:$C$999,'Road transport'!$AX23)</f>
        <v>#DIV/0!</v>
      </c>
      <c r="Z23" s="56" t="e">
        <f>AVERAGEIFS(RoadTra_BY!AH$2:AH$999,RoadTra_BY!$B$2:$B$999,'Road transport'!$C23,RoadTra_BY!$C$2:$C$999,'Road transport'!$AX23)</f>
        <v>#DIV/0!</v>
      </c>
      <c r="AA23" s="56" t="e">
        <f>AVERAGEIFS(RoadTra_BY!AI$2:AI$999,RoadTra_BY!$B$2:$B$999,'Road transport'!$C23,RoadTra_BY!$C$2:$C$999,'Road transport'!$AX23)</f>
        <v>#DIV/0!</v>
      </c>
      <c r="AB23" s="56" t="e">
        <f>AVERAGEIFS(RoadTra_BY!AJ$2:AJ$999,RoadTra_BY!$B$2:$B$999,'Road transport'!$C23,RoadTra_BY!$C$2:$C$999,'Road transport'!$AX23)</f>
        <v>#DIV/0!</v>
      </c>
      <c r="AC23" s="56" t="e">
        <f>AVERAGEIFS(RoadTra_BY!AK$2:AK$999,RoadTra_BY!$B$2:$B$999,'Road transport'!$C23,RoadTra_BY!$C$2:$C$999,'Road transport'!$AX23)</f>
        <v>#DIV/0!</v>
      </c>
      <c r="AD23" s="56" t="e">
        <f>AVERAGEIFS(RoadTra_BY!AL$2:AL$999,RoadTra_BY!$B$2:$B$999,'Road transport'!$C23,RoadTra_BY!$C$2:$C$999,'Road transport'!$AX23)</f>
        <v>#DIV/0!</v>
      </c>
      <c r="AE23" s="56" t="e">
        <f>AVERAGEIFS(RoadTra_BY!AM$2:AM$999,RoadTra_BY!$B$2:$B$999,'Road transport'!$C23,RoadTra_BY!$C$2:$C$999,'Road transport'!$AX23)</f>
        <v>#DIV/0!</v>
      </c>
      <c r="AF23" s="56" t="e">
        <f>AVERAGEIFS(RoadTra_BY!AN$2:AN$999,RoadTra_BY!$B$2:$B$999,'Road transport'!$C23,RoadTra_BY!$C$2:$C$999,'Road transport'!$AX23)</f>
        <v>#DIV/0!</v>
      </c>
      <c r="AG23" s="56" t="e">
        <f>AVERAGEIFS(RoadTra_BY!AO$2:AO$999,RoadTra_BY!$B$2:$B$999,'Road transport'!$C23,RoadTra_BY!$C$2:$C$999,'Road transport'!$AX23)</f>
        <v>#DIV/0!</v>
      </c>
      <c r="AH23" s="56" t="e">
        <f>AVERAGEIFS(RoadTra_BY!AP$2:AP$999,RoadTra_BY!$B$2:$B$999,'Road transport'!$C23,RoadTra_BY!$C$2:$C$999,'Road transport'!$AX23)</f>
        <v>#DIV/0!</v>
      </c>
      <c r="AI23" s="56" t="e">
        <f>AVERAGEIFS(RoadTra_BY!AQ$2:AQ$999,RoadTra_BY!$B$2:$B$999,'Road transport'!$C23,RoadTra_BY!$C$2:$C$999,'Road transport'!$AX23)</f>
        <v>#DIV/0!</v>
      </c>
      <c r="AJ23" s="56" t="e">
        <f>AVERAGEIFS(RoadTra_BY!AR$2:AR$999,RoadTra_BY!$B$2:$B$999,'Road transport'!$C23,RoadTra_BY!$C$2:$C$999,'Road transport'!$AX23)</f>
        <v>#DIV/0!</v>
      </c>
      <c r="AK23" s="56" t="e">
        <f>AVERAGEIFS(RoadTra_BY!AS$2:AS$999,RoadTra_BY!$B$2:$B$999,'Road transport'!$C23,RoadTra_BY!$C$2:$C$999,'Road transport'!$AX23)</f>
        <v>#DIV/0!</v>
      </c>
      <c r="AL23" s="56" t="e">
        <f>AVERAGEIFS(RoadTra_BY!AT$2:AT$999,RoadTra_BY!$B$2:$B$999,'Road transport'!$C23,RoadTra_BY!$C$2:$C$999,'Road transport'!$AX23)</f>
        <v>#DIV/0!</v>
      </c>
      <c r="AM23" s="56" t="e">
        <f>AVERAGEIFS(RoadTra_BY!AU$2:AU$999,RoadTra_BY!$B$2:$B$999,'Road transport'!$C23,RoadTra_BY!$C$2:$C$999,'Road transport'!$AX23)</f>
        <v>#DIV/0!</v>
      </c>
      <c r="AN23" s="56" t="e">
        <f>AVERAGEIFS(RoadTra_BY!AV$2:AV$999,RoadTra_BY!$B$2:$B$999,'Road transport'!$C23,RoadTra_BY!$C$2:$C$999,'Road transport'!$AX23)</f>
        <v>#DIV/0!</v>
      </c>
      <c r="AO23" s="56" t="e">
        <f>AVERAGEIFS(RoadTra_BY!AW$2:AW$999,RoadTra_BY!$B$2:$B$999,'Road transport'!$C23,RoadTra_BY!$C$2:$C$999,'Road transport'!$AX23)</f>
        <v>#DIV/0!</v>
      </c>
      <c r="AP23" s="56" t="e">
        <f>AVERAGEIFS(RoadTra_BY!AX$2:AX$999,RoadTra_BY!$B$2:$B$999,'Road transport'!$C23,RoadTra_BY!$C$2:$C$999,'Road transport'!$AX23)</f>
        <v>#DIV/0!</v>
      </c>
      <c r="AQ23" s="56" t="e">
        <f>AVERAGEIFS(RoadTra_BY!AY$2:AY$999,RoadTra_BY!$B$2:$B$999,'Road transport'!$C23,RoadTra_BY!$C$2:$C$999,'Road transport'!$AX23)</f>
        <v>#DIV/0!</v>
      </c>
      <c r="AR23" s="56" t="e">
        <f>AVERAGEIFS(RoadTra_BY!AZ$2:AZ$999,RoadTra_BY!$B$2:$B$999,'Road transport'!$C23,RoadTra_BY!$C$2:$C$999,'Road transport'!$AX23)</f>
        <v>#DIV/0!</v>
      </c>
      <c r="AS23" s="56" t="e">
        <f>AVERAGEIFS(RoadTra_BY!BA$2:BA$999,RoadTra_BY!$B$2:$B$999,'Road transport'!$C23,RoadTra_BY!$C$2:$C$999,'Road transport'!$AX23)</f>
        <v>#DIV/0!</v>
      </c>
      <c r="AT23" s="56" t="e">
        <f>AVERAGEIFS(RoadTra_BY!BB$2:BB$999,RoadTra_BY!$B$2:$B$999,'Road transport'!$C23,RoadTra_BY!$C$2:$C$999,'Road transport'!$AX23)</f>
        <v>#DIV/0!</v>
      </c>
      <c r="AU23" s="56" t="e">
        <f>AVERAGEIFS(RoadTra_BY!BC$2:BC$999,RoadTra_BY!$B$2:$B$999,'Road transport'!$C23,RoadTra_BY!$C$2:$C$999,'Road transport'!$AX23)</f>
        <v>#DIV/0!</v>
      </c>
      <c r="AV23" s="56" t="e">
        <f>AVERAGEIFS(RoadTra_BY!BD$2:BD$999,RoadTra_BY!$B$2:$B$999,'Road transport'!$C23,RoadTra_BY!$C$2:$C$999,'Road transport'!$AX23)</f>
        <v>#DIV/0!</v>
      </c>
      <c r="AW23" s="56" t="e">
        <f>AVERAGEIFS(RoadTra_BY!BE$2:BE$999,RoadTra_BY!$B$2:$B$999,'Road transport'!$C23,RoadTra_BY!$C$2:$C$999,'Road transport'!$AX23)</f>
        <v>#DIV/0!</v>
      </c>
      <c r="AX23" t="s">
        <v>100</v>
      </c>
    </row>
    <row r="24" spans="3:50">
      <c r="C24" t="s">
        <v>52</v>
      </c>
      <c r="D24" s="56" t="e">
        <f>AVERAGEIFS(RoadTra_BY!L$2:L$999,RoadTra_BY!$B$2:$B$999,'Road transport'!$C24,RoadTra_BY!$C$2:$C$999,'Road transport'!$AX24)</f>
        <v>#DIV/0!</v>
      </c>
      <c r="E24" s="56" t="e">
        <f>AVERAGEIFS(RoadTra_BY!M$2:M$999,RoadTra_BY!$B$2:$B$999,'Road transport'!$C24,RoadTra_BY!$C$2:$C$999,'Road transport'!$AX24)</f>
        <v>#DIV/0!</v>
      </c>
      <c r="F24" s="56" t="e">
        <f>AVERAGEIFS(RoadTra_BY!N$2:N$999,RoadTra_BY!$B$2:$B$999,'Road transport'!$C24,RoadTra_BY!$C$2:$C$999,'Road transport'!$AX24)</f>
        <v>#DIV/0!</v>
      </c>
      <c r="G24" s="56" t="e">
        <f>AVERAGEIFS(RoadTra_BY!O$2:O$999,RoadTra_BY!$B$2:$B$999,'Road transport'!$C24,RoadTra_BY!$C$2:$C$999,'Road transport'!$AX24)</f>
        <v>#DIV/0!</v>
      </c>
      <c r="H24" s="56" t="e">
        <f>AVERAGEIFS(RoadTra_BY!P$2:P$999,RoadTra_BY!$B$2:$B$999,'Road transport'!$C24,RoadTra_BY!$C$2:$C$999,'Road transport'!$AX24)</f>
        <v>#DIV/0!</v>
      </c>
      <c r="I24" s="56" t="e">
        <f>AVERAGEIFS(RoadTra_BY!Q$2:Q$999,RoadTra_BY!$B$2:$B$999,'Road transport'!$C24,RoadTra_BY!$C$2:$C$999,'Road transport'!$AX24)</f>
        <v>#DIV/0!</v>
      </c>
      <c r="J24" s="56" t="e">
        <f>AVERAGEIFS(RoadTra_BY!R$2:R$999,RoadTra_BY!$B$2:$B$999,'Road transport'!$C24,RoadTra_BY!$C$2:$C$999,'Road transport'!$AX24)</f>
        <v>#DIV/0!</v>
      </c>
      <c r="K24" s="56" t="e">
        <f>AVERAGEIFS(RoadTra_BY!S$2:S$999,RoadTra_BY!$B$2:$B$999,'Road transport'!$C24,RoadTra_BY!$C$2:$C$999,'Road transport'!$AX24)</f>
        <v>#DIV/0!</v>
      </c>
      <c r="L24" s="56" t="e">
        <f>AVERAGEIFS(RoadTra_BY!T$2:T$999,RoadTra_BY!$B$2:$B$999,'Road transport'!$C24,RoadTra_BY!$C$2:$C$999,'Road transport'!$AX24)</f>
        <v>#DIV/0!</v>
      </c>
      <c r="M24" s="56" t="e">
        <f>AVERAGEIFS(RoadTra_BY!U$2:U$999,RoadTra_BY!$B$2:$B$999,'Road transport'!$C24,RoadTra_BY!$C$2:$C$999,'Road transport'!$AX24)</f>
        <v>#DIV/0!</v>
      </c>
      <c r="N24" s="56" t="e">
        <f>AVERAGEIFS(RoadTra_BY!V$2:V$999,RoadTra_BY!$B$2:$B$999,'Road transport'!$C24,RoadTra_BY!$C$2:$C$999,'Road transport'!$AX24)</f>
        <v>#DIV/0!</v>
      </c>
      <c r="O24" s="56" t="e">
        <f>AVERAGEIFS(RoadTra_BY!W$2:W$999,RoadTra_BY!$B$2:$B$999,'Road transport'!$C24,RoadTra_BY!$C$2:$C$999,'Road transport'!$AX24)</f>
        <v>#DIV/0!</v>
      </c>
      <c r="P24" s="56" t="e">
        <f>AVERAGEIFS(RoadTra_BY!X$2:X$999,RoadTra_BY!$B$2:$B$999,'Road transport'!$C24,RoadTra_BY!$C$2:$C$999,'Road transport'!$AX24)</f>
        <v>#DIV/0!</v>
      </c>
      <c r="Q24" s="56" t="e">
        <f>AVERAGEIFS(RoadTra_BY!Y$2:Y$999,RoadTra_BY!$B$2:$B$999,'Road transport'!$C24,RoadTra_BY!$C$2:$C$999,'Road transport'!$AX24)</f>
        <v>#DIV/0!</v>
      </c>
      <c r="R24" s="56" t="e">
        <f>AVERAGEIFS(RoadTra_BY!Z$2:Z$999,RoadTra_BY!$B$2:$B$999,'Road transport'!$C24,RoadTra_BY!$C$2:$C$999,'Road transport'!$AX24)</f>
        <v>#DIV/0!</v>
      </c>
      <c r="S24" s="56" t="e">
        <f>AVERAGEIFS(RoadTra_BY!AA$2:AA$999,RoadTra_BY!$B$2:$B$999,'Road transport'!$C24,RoadTra_BY!$C$2:$C$999,'Road transport'!$AX24)</f>
        <v>#DIV/0!</v>
      </c>
      <c r="T24" s="56" t="e">
        <f>AVERAGEIFS(RoadTra_BY!AB$2:AB$999,RoadTra_BY!$B$2:$B$999,'Road transport'!$C24,RoadTra_BY!$C$2:$C$999,'Road transport'!$AX24)</f>
        <v>#DIV/0!</v>
      </c>
      <c r="U24" s="56" t="e">
        <f>AVERAGEIFS(RoadTra_BY!AC$2:AC$999,RoadTra_BY!$B$2:$B$999,'Road transport'!$C24,RoadTra_BY!$C$2:$C$999,'Road transport'!$AX24)</f>
        <v>#DIV/0!</v>
      </c>
      <c r="V24" s="56" t="e">
        <f>AVERAGEIFS(RoadTra_BY!AD$2:AD$999,RoadTra_BY!$B$2:$B$999,'Road transport'!$C24,RoadTra_BY!$C$2:$C$999,'Road transport'!$AX24)</f>
        <v>#DIV/0!</v>
      </c>
      <c r="W24" s="56" t="e">
        <f>AVERAGEIFS(RoadTra_BY!AE$2:AE$999,RoadTra_BY!$B$2:$B$999,'Road transport'!$C24,RoadTra_BY!$C$2:$C$999,'Road transport'!$AX24)</f>
        <v>#DIV/0!</v>
      </c>
      <c r="X24" s="56" t="e">
        <f>AVERAGEIFS(RoadTra_BY!AF$2:AF$999,RoadTra_BY!$B$2:$B$999,'Road transport'!$C24,RoadTra_BY!$C$2:$C$999,'Road transport'!$AX24)</f>
        <v>#DIV/0!</v>
      </c>
      <c r="Y24" s="56" t="e">
        <f>AVERAGEIFS(RoadTra_BY!AG$2:AG$999,RoadTra_BY!$B$2:$B$999,'Road transport'!$C24,RoadTra_BY!$C$2:$C$999,'Road transport'!$AX24)</f>
        <v>#DIV/0!</v>
      </c>
      <c r="Z24" s="56" t="e">
        <f>AVERAGEIFS(RoadTra_BY!AH$2:AH$999,RoadTra_BY!$B$2:$B$999,'Road transport'!$C24,RoadTra_BY!$C$2:$C$999,'Road transport'!$AX24)</f>
        <v>#DIV/0!</v>
      </c>
      <c r="AA24" s="56" t="e">
        <f>AVERAGEIFS(RoadTra_BY!AI$2:AI$999,RoadTra_BY!$B$2:$B$999,'Road transport'!$C24,RoadTra_BY!$C$2:$C$999,'Road transport'!$AX24)</f>
        <v>#DIV/0!</v>
      </c>
      <c r="AB24" s="56" t="e">
        <f>AVERAGEIFS(RoadTra_BY!AJ$2:AJ$999,RoadTra_BY!$B$2:$B$999,'Road transport'!$C24,RoadTra_BY!$C$2:$C$999,'Road transport'!$AX24)</f>
        <v>#DIV/0!</v>
      </c>
      <c r="AC24" s="56" t="e">
        <f>AVERAGEIFS(RoadTra_BY!AK$2:AK$999,RoadTra_BY!$B$2:$B$999,'Road transport'!$C24,RoadTra_BY!$C$2:$C$999,'Road transport'!$AX24)</f>
        <v>#DIV/0!</v>
      </c>
      <c r="AD24" s="56" t="e">
        <f>AVERAGEIFS(RoadTra_BY!AL$2:AL$999,RoadTra_BY!$B$2:$B$999,'Road transport'!$C24,RoadTra_BY!$C$2:$C$999,'Road transport'!$AX24)</f>
        <v>#DIV/0!</v>
      </c>
      <c r="AE24" s="56" t="e">
        <f>AVERAGEIFS(RoadTra_BY!AM$2:AM$999,RoadTra_BY!$B$2:$B$999,'Road transport'!$C24,RoadTra_BY!$C$2:$C$999,'Road transport'!$AX24)</f>
        <v>#DIV/0!</v>
      </c>
      <c r="AF24" s="56" t="e">
        <f>AVERAGEIFS(RoadTra_BY!AN$2:AN$999,RoadTra_BY!$B$2:$B$999,'Road transport'!$C24,RoadTra_BY!$C$2:$C$999,'Road transport'!$AX24)</f>
        <v>#DIV/0!</v>
      </c>
      <c r="AG24" s="56" t="e">
        <f>AVERAGEIFS(RoadTra_BY!AO$2:AO$999,RoadTra_BY!$B$2:$B$999,'Road transport'!$C24,RoadTra_BY!$C$2:$C$999,'Road transport'!$AX24)</f>
        <v>#DIV/0!</v>
      </c>
      <c r="AH24" s="56" t="e">
        <f>AVERAGEIFS(RoadTra_BY!AP$2:AP$999,RoadTra_BY!$B$2:$B$999,'Road transport'!$C24,RoadTra_BY!$C$2:$C$999,'Road transport'!$AX24)</f>
        <v>#DIV/0!</v>
      </c>
      <c r="AI24" s="56" t="e">
        <f>AVERAGEIFS(RoadTra_BY!AQ$2:AQ$999,RoadTra_BY!$B$2:$B$999,'Road transport'!$C24,RoadTra_BY!$C$2:$C$999,'Road transport'!$AX24)</f>
        <v>#DIV/0!</v>
      </c>
      <c r="AJ24" s="56" t="e">
        <f>AVERAGEIFS(RoadTra_BY!AR$2:AR$999,RoadTra_BY!$B$2:$B$999,'Road transport'!$C24,RoadTra_BY!$C$2:$C$999,'Road transport'!$AX24)</f>
        <v>#DIV/0!</v>
      </c>
      <c r="AK24" s="56" t="e">
        <f>AVERAGEIFS(RoadTra_BY!AS$2:AS$999,RoadTra_BY!$B$2:$B$999,'Road transport'!$C24,RoadTra_BY!$C$2:$C$999,'Road transport'!$AX24)</f>
        <v>#DIV/0!</v>
      </c>
      <c r="AL24" s="56" t="e">
        <f>AVERAGEIFS(RoadTra_BY!AT$2:AT$999,RoadTra_BY!$B$2:$B$999,'Road transport'!$C24,RoadTra_BY!$C$2:$C$999,'Road transport'!$AX24)</f>
        <v>#DIV/0!</v>
      </c>
      <c r="AM24" s="56" t="e">
        <f>AVERAGEIFS(RoadTra_BY!AU$2:AU$999,RoadTra_BY!$B$2:$B$999,'Road transport'!$C24,RoadTra_BY!$C$2:$C$999,'Road transport'!$AX24)</f>
        <v>#DIV/0!</v>
      </c>
      <c r="AN24" s="56" t="e">
        <f>AVERAGEIFS(RoadTra_BY!AV$2:AV$999,RoadTra_BY!$B$2:$B$999,'Road transport'!$C24,RoadTra_BY!$C$2:$C$999,'Road transport'!$AX24)</f>
        <v>#DIV/0!</v>
      </c>
      <c r="AO24" s="56" t="e">
        <f>AVERAGEIFS(RoadTra_BY!AW$2:AW$999,RoadTra_BY!$B$2:$B$999,'Road transport'!$C24,RoadTra_BY!$C$2:$C$999,'Road transport'!$AX24)</f>
        <v>#DIV/0!</v>
      </c>
      <c r="AP24" s="56" t="e">
        <f>AVERAGEIFS(RoadTra_BY!AX$2:AX$999,RoadTra_BY!$B$2:$B$999,'Road transport'!$C24,RoadTra_BY!$C$2:$C$999,'Road transport'!$AX24)</f>
        <v>#DIV/0!</v>
      </c>
      <c r="AQ24" s="56" t="e">
        <f>AVERAGEIFS(RoadTra_BY!AY$2:AY$999,RoadTra_BY!$B$2:$B$999,'Road transport'!$C24,RoadTra_BY!$C$2:$C$999,'Road transport'!$AX24)</f>
        <v>#DIV/0!</v>
      </c>
      <c r="AR24" s="56" t="e">
        <f>AVERAGEIFS(RoadTra_BY!AZ$2:AZ$999,RoadTra_BY!$B$2:$B$999,'Road transport'!$C24,RoadTra_BY!$C$2:$C$999,'Road transport'!$AX24)</f>
        <v>#DIV/0!</v>
      </c>
      <c r="AS24" s="56" t="e">
        <f>AVERAGEIFS(RoadTra_BY!BA$2:BA$999,RoadTra_BY!$B$2:$B$999,'Road transport'!$C24,RoadTra_BY!$C$2:$C$999,'Road transport'!$AX24)</f>
        <v>#DIV/0!</v>
      </c>
      <c r="AT24" s="56" t="e">
        <f>AVERAGEIFS(RoadTra_BY!BB$2:BB$999,RoadTra_BY!$B$2:$B$999,'Road transport'!$C24,RoadTra_BY!$C$2:$C$999,'Road transport'!$AX24)</f>
        <v>#DIV/0!</v>
      </c>
      <c r="AU24" s="56" t="e">
        <f>AVERAGEIFS(RoadTra_BY!BC$2:BC$999,RoadTra_BY!$B$2:$B$999,'Road transport'!$C24,RoadTra_BY!$C$2:$C$999,'Road transport'!$AX24)</f>
        <v>#DIV/0!</v>
      </c>
      <c r="AV24" s="56" t="e">
        <f>AVERAGEIFS(RoadTra_BY!BD$2:BD$999,RoadTra_BY!$B$2:$B$999,'Road transport'!$C24,RoadTra_BY!$C$2:$C$999,'Road transport'!$AX24)</f>
        <v>#DIV/0!</v>
      </c>
      <c r="AW24" s="56" t="e">
        <f>AVERAGEIFS(RoadTra_BY!BE$2:BE$999,RoadTra_BY!$B$2:$B$999,'Road transport'!$C24,RoadTra_BY!$C$2:$C$999,'Road transport'!$AX24)</f>
        <v>#DIV/0!</v>
      </c>
      <c r="AX24" t="s">
        <v>101</v>
      </c>
    </row>
    <row r="25" spans="3:50">
      <c r="C25" t="s">
        <v>52</v>
      </c>
      <c r="D25" s="56" t="e">
        <f>AVERAGEIFS(RoadTra_BY!L$2:L$999,RoadTra_BY!$B$2:$B$999,'Road transport'!$C25,RoadTra_BY!$C$2:$C$999,'Road transport'!$AX25)</f>
        <v>#DIV/0!</v>
      </c>
      <c r="E25" s="56" t="e">
        <f>AVERAGEIFS(RoadTra_BY!M$2:M$999,RoadTra_BY!$B$2:$B$999,'Road transport'!$C25,RoadTra_BY!$C$2:$C$999,'Road transport'!$AX25)</f>
        <v>#DIV/0!</v>
      </c>
      <c r="F25" s="56" t="e">
        <f>AVERAGEIFS(RoadTra_BY!N$2:N$999,RoadTra_BY!$B$2:$B$999,'Road transport'!$C25,RoadTra_BY!$C$2:$C$999,'Road transport'!$AX25)</f>
        <v>#DIV/0!</v>
      </c>
      <c r="G25" s="56" t="e">
        <f>AVERAGEIFS(RoadTra_BY!O$2:O$999,RoadTra_BY!$B$2:$B$999,'Road transport'!$C25,RoadTra_BY!$C$2:$C$999,'Road transport'!$AX25)</f>
        <v>#DIV/0!</v>
      </c>
      <c r="H25" s="56" t="e">
        <f>AVERAGEIFS(RoadTra_BY!P$2:P$999,RoadTra_BY!$B$2:$B$999,'Road transport'!$C25,RoadTra_BY!$C$2:$C$999,'Road transport'!$AX25)</f>
        <v>#DIV/0!</v>
      </c>
      <c r="I25" s="56" t="e">
        <f>AVERAGEIFS(RoadTra_BY!Q$2:Q$999,RoadTra_BY!$B$2:$B$999,'Road transport'!$C25,RoadTra_BY!$C$2:$C$999,'Road transport'!$AX25)</f>
        <v>#DIV/0!</v>
      </c>
      <c r="J25" s="56" t="e">
        <f>AVERAGEIFS(RoadTra_BY!R$2:R$999,RoadTra_BY!$B$2:$B$999,'Road transport'!$C25,RoadTra_BY!$C$2:$C$999,'Road transport'!$AX25)</f>
        <v>#DIV/0!</v>
      </c>
      <c r="K25" s="56" t="e">
        <f>AVERAGEIFS(RoadTra_BY!S$2:S$999,RoadTra_BY!$B$2:$B$999,'Road transport'!$C25,RoadTra_BY!$C$2:$C$999,'Road transport'!$AX25)</f>
        <v>#DIV/0!</v>
      </c>
      <c r="L25" s="56" t="e">
        <f>AVERAGEIFS(RoadTra_BY!T$2:T$999,RoadTra_BY!$B$2:$B$999,'Road transport'!$C25,RoadTra_BY!$C$2:$C$999,'Road transport'!$AX25)</f>
        <v>#DIV/0!</v>
      </c>
      <c r="M25" s="56" t="e">
        <f>AVERAGEIFS(RoadTra_BY!U$2:U$999,RoadTra_BY!$B$2:$B$999,'Road transport'!$C25,RoadTra_BY!$C$2:$C$999,'Road transport'!$AX25)</f>
        <v>#DIV/0!</v>
      </c>
      <c r="N25" s="56" t="e">
        <f>AVERAGEIFS(RoadTra_BY!V$2:V$999,RoadTra_BY!$B$2:$B$999,'Road transport'!$C25,RoadTra_BY!$C$2:$C$999,'Road transport'!$AX25)</f>
        <v>#DIV/0!</v>
      </c>
      <c r="O25" s="56" t="e">
        <f>AVERAGEIFS(RoadTra_BY!W$2:W$999,RoadTra_BY!$B$2:$B$999,'Road transport'!$C25,RoadTra_BY!$C$2:$C$999,'Road transport'!$AX25)</f>
        <v>#DIV/0!</v>
      </c>
      <c r="P25" s="56" t="e">
        <f>AVERAGEIFS(RoadTra_BY!X$2:X$999,RoadTra_BY!$B$2:$B$999,'Road transport'!$C25,RoadTra_BY!$C$2:$C$999,'Road transport'!$AX25)</f>
        <v>#DIV/0!</v>
      </c>
      <c r="Q25" s="56" t="e">
        <f>AVERAGEIFS(RoadTra_BY!Y$2:Y$999,RoadTra_BY!$B$2:$B$999,'Road transport'!$C25,RoadTra_BY!$C$2:$C$999,'Road transport'!$AX25)</f>
        <v>#DIV/0!</v>
      </c>
      <c r="R25" s="56" t="e">
        <f>AVERAGEIFS(RoadTra_BY!Z$2:Z$999,RoadTra_BY!$B$2:$B$999,'Road transport'!$C25,RoadTra_BY!$C$2:$C$999,'Road transport'!$AX25)</f>
        <v>#DIV/0!</v>
      </c>
      <c r="S25" s="56" t="e">
        <f>AVERAGEIFS(RoadTra_BY!AA$2:AA$999,RoadTra_BY!$B$2:$B$999,'Road transport'!$C25,RoadTra_BY!$C$2:$C$999,'Road transport'!$AX25)</f>
        <v>#DIV/0!</v>
      </c>
      <c r="T25" s="56" t="e">
        <f>AVERAGEIFS(RoadTra_BY!AB$2:AB$999,RoadTra_BY!$B$2:$B$999,'Road transport'!$C25,RoadTra_BY!$C$2:$C$999,'Road transport'!$AX25)</f>
        <v>#DIV/0!</v>
      </c>
      <c r="U25" s="56" t="e">
        <f>AVERAGEIFS(RoadTra_BY!AC$2:AC$999,RoadTra_BY!$B$2:$B$999,'Road transport'!$C25,RoadTra_BY!$C$2:$C$999,'Road transport'!$AX25)</f>
        <v>#DIV/0!</v>
      </c>
      <c r="V25" s="56" t="e">
        <f>AVERAGEIFS(RoadTra_BY!AD$2:AD$999,RoadTra_BY!$B$2:$B$999,'Road transport'!$C25,RoadTra_BY!$C$2:$C$999,'Road transport'!$AX25)</f>
        <v>#DIV/0!</v>
      </c>
      <c r="W25" s="56" t="e">
        <f>AVERAGEIFS(RoadTra_BY!AE$2:AE$999,RoadTra_BY!$B$2:$B$999,'Road transport'!$C25,RoadTra_BY!$C$2:$C$999,'Road transport'!$AX25)</f>
        <v>#DIV/0!</v>
      </c>
      <c r="X25" s="56" t="e">
        <f>AVERAGEIFS(RoadTra_BY!AF$2:AF$999,RoadTra_BY!$B$2:$B$999,'Road transport'!$C25,RoadTra_BY!$C$2:$C$999,'Road transport'!$AX25)</f>
        <v>#DIV/0!</v>
      </c>
      <c r="Y25" s="56" t="e">
        <f>AVERAGEIFS(RoadTra_BY!AG$2:AG$999,RoadTra_BY!$B$2:$B$999,'Road transport'!$C25,RoadTra_BY!$C$2:$C$999,'Road transport'!$AX25)</f>
        <v>#DIV/0!</v>
      </c>
      <c r="Z25" s="56" t="e">
        <f>AVERAGEIFS(RoadTra_BY!AH$2:AH$999,RoadTra_BY!$B$2:$B$999,'Road transport'!$C25,RoadTra_BY!$C$2:$C$999,'Road transport'!$AX25)</f>
        <v>#DIV/0!</v>
      </c>
      <c r="AA25" s="56" t="e">
        <f>AVERAGEIFS(RoadTra_BY!AI$2:AI$999,RoadTra_BY!$B$2:$B$999,'Road transport'!$C25,RoadTra_BY!$C$2:$C$999,'Road transport'!$AX25)</f>
        <v>#DIV/0!</v>
      </c>
      <c r="AB25" s="56" t="e">
        <f>AVERAGEIFS(RoadTra_BY!AJ$2:AJ$999,RoadTra_BY!$B$2:$B$999,'Road transport'!$C25,RoadTra_BY!$C$2:$C$999,'Road transport'!$AX25)</f>
        <v>#DIV/0!</v>
      </c>
      <c r="AC25" s="56" t="e">
        <f>AVERAGEIFS(RoadTra_BY!AK$2:AK$999,RoadTra_BY!$B$2:$B$999,'Road transport'!$C25,RoadTra_BY!$C$2:$C$999,'Road transport'!$AX25)</f>
        <v>#DIV/0!</v>
      </c>
      <c r="AD25" s="56" t="e">
        <f>AVERAGEIFS(RoadTra_BY!AL$2:AL$999,RoadTra_BY!$B$2:$B$999,'Road transport'!$C25,RoadTra_BY!$C$2:$C$999,'Road transport'!$AX25)</f>
        <v>#DIV/0!</v>
      </c>
      <c r="AE25" s="56" t="e">
        <f>AVERAGEIFS(RoadTra_BY!AM$2:AM$999,RoadTra_BY!$B$2:$B$999,'Road transport'!$C25,RoadTra_BY!$C$2:$C$999,'Road transport'!$AX25)</f>
        <v>#DIV/0!</v>
      </c>
      <c r="AF25" s="56" t="e">
        <f>AVERAGEIFS(RoadTra_BY!AN$2:AN$999,RoadTra_BY!$B$2:$B$999,'Road transport'!$C25,RoadTra_BY!$C$2:$C$999,'Road transport'!$AX25)</f>
        <v>#DIV/0!</v>
      </c>
      <c r="AG25" s="56" t="e">
        <f>AVERAGEIFS(RoadTra_BY!AO$2:AO$999,RoadTra_BY!$B$2:$B$999,'Road transport'!$C25,RoadTra_BY!$C$2:$C$999,'Road transport'!$AX25)</f>
        <v>#DIV/0!</v>
      </c>
      <c r="AH25" s="56" t="e">
        <f>AVERAGEIFS(RoadTra_BY!AP$2:AP$999,RoadTra_BY!$B$2:$B$999,'Road transport'!$C25,RoadTra_BY!$C$2:$C$999,'Road transport'!$AX25)</f>
        <v>#DIV/0!</v>
      </c>
      <c r="AI25" s="56" t="e">
        <f>AVERAGEIFS(RoadTra_BY!AQ$2:AQ$999,RoadTra_BY!$B$2:$B$999,'Road transport'!$C25,RoadTra_BY!$C$2:$C$999,'Road transport'!$AX25)</f>
        <v>#DIV/0!</v>
      </c>
      <c r="AJ25" s="56" t="e">
        <f>AVERAGEIFS(RoadTra_BY!AR$2:AR$999,RoadTra_BY!$B$2:$B$999,'Road transport'!$C25,RoadTra_BY!$C$2:$C$999,'Road transport'!$AX25)</f>
        <v>#DIV/0!</v>
      </c>
      <c r="AK25" s="56" t="e">
        <f>AVERAGEIFS(RoadTra_BY!AS$2:AS$999,RoadTra_BY!$B$2:$B$999,'Road transport'!$C25,RoadTra_BY!$C$2:$C$999,'Road transport'!$AX25)</f>
        <v>#DIV/0!</v>
      </c>
      <c r="AL25" s="56" t="e">
        <f>AVERAGEIFS(RoadTra_BY!AT$2:AT$999,RoadTra_BY!$B$2:$B$999,'Road transport'!$C25,RoadTra_BY!$C$2:$C$999,'Road transport'!$AX25)</f>
        <v>#DIV/0!</v>
      </c>
      <c r="AM25" s="56" t="e">
        <f>AVERAGEIFS(RoadTra_BY!AU$2:AU$999,RoadTra_BY!$B$2:$B$999,'Road transport'!$C25,RoadTra_BY!$C$2:$C$999,'Road transport'!$AX25)</f>
        <v>#DIV/0!</v>
      </c>
      <c r="AN25" s="56" t="e">
        <f>AVERAGEIFS(RoadTra_BY!AV$2:AV$999,RoadTra_BY!$B$2:$B$999,'Road transport'!$C25,RoadTra_BY!$C$2:$C$999,'Road transport'!$AX25)</f>
        <v>#DIV/0!</v>
      </c>
      <c r="AO25" s="56" t="e">
        <f>AVERAGEIFS(RoadTra_BY!AW$2:AW$999,RoadTra_BY!$B$2:$B$999,'Road transport'!$C25,RoadTra_BY!$C$2:$C$999,'Road transport'!$AX25)</f>
        <v>#DIV/0!</v>
      </c>
      <c r="AP25" s="56" t="e">
        <f>AVERAGEIFS(RoadTra_BY!AX$2:AX$999,RoadTra_BY!$B$2:$B$999,'Road transport'!$C25,RoadTra_BY!$C$2:$C$999,'Road transport'!$AX25)</f>
        <v>#DIV/0!</v>
      </c>
      <c r="AQ25" s="56" t="e">
        <f>AVERAGEIFS(RoadTra_BY!AY$2:AY$999,RoadTra_BY!$B$2:$B$999,'Road transport'!$C25,RoadTra_BY!$C$2:$C$999,'Road transport'!$AX25)</f>
        <v>#DIV/0!</v>
      </c>
      <c r="AR25" s="56" t="e">
        <f>AVERAGEIFS(RoadTra_BY!AZ$2:AZ$999,RoadTra_BY!$B$2:$B$999,'Road transport'!$C25,RoadTra_BY!$C$2:$C$999,'Road transport'!$AX25)</f>
        <v>#DIV/0!</v>
      </c>
      <c r="AS25" s="56" t="e">
        <f>AVERAGEIFS(RoadTra_BY!BA$2:BA$999,RoadTra_BY!$B$2:$B$999,'Road transport'!$C25,RoadTra_BY!$C$2:$C$999,'Road transport'!$AX25)</f>
        <v>#DIV/0!</v>
      </c>
      <c r="AT25" s="56" t="e">
        <f>AVERAGEIFS(RoadTra_BY!BB$2:BB$999,RoadTra_BY!$B$2:$B$999,'Road transport'!$C25,RoadTra_BY!$C$2:$C$999,'Road transport'!$AX25)</f>
        <v>#DIV/0!</v>
      </c>
      <c r="AU25" s="56" t="e">
        <f>AVERAGEIFS(RoadTra_BY!BC$2:BC$999,RoadTra_BY!$B$2:$B$999,'Road transport'!$C25,RoadTra_BY!$C$2:$C$999,'Road transport'!$AX25)</f>
        <v>#DIV/0!</v>
      </c>
      <c r="AV25" s="56" t="e">
        <f>AVERAGEIFS(RoadTra_BY!BD$2:BD$999,RoadTra_BY!$B$2:$B$999,'Road transport'!$C25,RoadTra_BY!$C$2:$C$999,'Road transport'!$AX25)</f>
        <v>#DIV/0!</v>
      </c>
      <c r="AW25" s="56" t="e">
        <f>AVERAGEIFS(RoadTra_BY!BE$2:BE$999,RoadTra_BY!$B$2:$B$999,'Road transport'!$C25,RoadTra_BY!$C$2:$C$999,'Road transport'!$AX25)</f>
        <v>#DIV/0!</v>
      </c>
      <c r="AX25" t="s">
        <v>102</v>
      </c>
    </row>
    <row r="26" spans="3:50">
      <c r="C26" t="s">
        <v>52</v>
      </c>
      <c r="D26" s="56" t="e">
        <f>AVERAGEIFS(RoadTra_BY!L$2:L$999,RoadTra_BY!$B$2:$B$999,'Road transport'!$C26,RoadTra_BY!$C$2:$C$999,'Road transport'!$AX26)</f>
        <v>#DIV/0!</v>
      </c>
      <c r="E26" s="56" t="e">
        <f>AVERAGEIFS(RoadTra_BY!M$2:M$999,RoadTra_BY!$B$2:$B$999,'Road transport'!$C26,RoadTra_BY!$C$2:$C$999,'Road transport'!$AX26)</f>
        <v>#DIV/0!</v>
      </c>
      <c r="F26" s="56" t="e">
        <f>AVERAGEIFS(RoadTra_BY!N$2:N$999,RoadTra_BY!$B$2:$B$999,'Road transport'!$C26,RoadTra_BY!$C$2:$C$999,'Road transport'!$AX26)</f>
        <v>#DIV/0!</v>
      </c>
      <c r="G26" s="56" t="e">
        <f>AVERAGEIFS(RoadTra_BY!O$2:O$999,RoadTra_BY!$B$2:$B$999,'Road transport'!$C26,RoadTra_BY!$C$2:$C$999,'Road transport'!$AX26)</f>
        <v>#DIV/0!</v>
      </c>
      <c r="H26" s="56" t="e">
        <f>AVERAGEIFS(RoadTra_BY!P$2:P$999,RoadTra_BY!$B$2:$B$999,'Road transport'!$C26,RoadTra_BY!$C$2:$C$999,'Road transport'!$AX26)</f>
        <v>#DIV/0!</v>
      </c>
      <c r="I26" s="56" t="e">
        <f>AVERAGEIFS(RoadTra_BY!Q$2:Q$999,RoadTra_BY!$B$2:$B$999,'Road transport'!$C26,RoadTra_BY!$C$2:$C$999,'Road transport'!$AX26)</f>
        <v>#DIV/0!</v>
      </c>
      <c r="J26" s="56" t="e">
        <f>AVERAGEIFS(RoadTra_BY!R$2:R$999,RoadTra_BY!$B$2:$B$999,'Road transport'!$C26,RoadTra_BY!$C$2:$C$999,'Road transport'!$AX26)</f>
        <v>#DIV/0!</v>
      </c>
      <c r="K26" s="56" t="e">
        <f>AVERAGEIFS(RoadTra_BY!S$2:S$999,RoadTra_BY!$B$2:$B$999,'Road transport'!$C26,RoadTra_BY!$C$2:$C$999,'Road transport'!$AX26)</f>
        <v>#DIV/0!</v>
      </c>
      <c r="L26" s="56" t="e">
        <f>AVERAGEIFS(RoadTra_BY!T$2:T$999,RoadTra_BY!$B$2:$B$999,'Road transport'!$C26,RoadTra_BY!$C$2:$C$999,'Road transport'!$AX26)</f>
        <v>#DIV/0!</v>
      </c>
      <c r="M26" s="56" t="e">
        <f>AVERAGEIFS(RoadTra_BY!U$2:U$999,RoadTra_BY!$B$2:$B$999,'Road transport'!$C26,RoadTra_BY!$C$2:$C$999,'Road transport'!$AX26)</f>
        <v>#DIV/0!</v>
      </c>
      <c r="N26" s="56" t="e">
        <f>AVERAGEIFS(RoadTra_BY!V$2:V$999,RoadTra_BY!$B$2:$B$999,'Road transport'!$C26,RoadTra_BY!$C$2:$C$999,'Road transport'!$AX26)</f>
        <v>#DIV/0!</v>
      </c>
      <c r="O26" s="56" t="e">
        <f>AVERAGEIFS(RoadTra_BY!W$2:W$999,RoadTra_BY!$B$2:$B$999,'Road transport'!$C26,RoadTra_BY!$C$2:$C$999,'Road transport'!$AX26)</f>
        <v>#DIV/0!</v>
      </c>
      <c r="P26" s="56" t="e">
        <f>AVERAGEIFS(RoadTra_BY!X$2:X$999,RoadTra_BY!$B$2:$B$999,'Road transport'!$C26,RoadTra_BY!$C$2:$C$999,'Road transport'!$AX26)</f>
        <v>#DIV/0!</v>
      </c>
      <c r="Q26" s="56" t="e">
        <f>AVERAGEIFS(RoadTra_BY!Y$2:Y$999,RoadTra_BY!$B$2:$B$999,'Road transport'!$C26,RoadTra_BY!$C$2:$C$999,'Road transport'!$AX26)</f>
        <v>#DIV/0!</v>
      </c>
      <c r="R26" s="56" t="e">
        <f>AVERAGEIFS(RoadTra_BY!Z$2:Z$999,RoadTra_BY!$B$2:$B$999,'Road transport'!$C26,RoadTra_BY!$C$2:$C$999,'Road transport'!$AX26)</f>
        <v>#DIV/0!</v>
      </c>
      <c r="S26" s="56" t="e">
        <f>AVERAGEIFS(RoadTra_BY!AA$2:AA$999,RoadTra_BY!$B$2:$B$999,'Road transport'!$C26,RoadTra_BY!$C$2:$C$999,'Road transport'!$AX26)</f>
        <v>#DIV/0!</v>
      </c>
      <c r="T26" s="56" t="e">
        <f>AVERAGEIFS(RoadTra_BY!AB$2:AB$999,RoadTra_BY!$B$2:$B$999,'Road transport'!$C26,RoadTra_BY!$C$2:$C$999,'Road transport'!$AX26)</f>
        <v>#DIV/0!</v>
      </c>
      <c r="U26" s="56" t="e">
        <f>AVERAGEIFS(RoadTra_BY!AC$2:AC$999,RoadTra_BY!$B$2:$B$999,'Road transport'!$C26,RoadTra_BY!$C$2:$C$999,'Road transport'!$AX26)</f>
        <v>#DIV/0!</v>
      </c>
      <c r="V26" s="56" t="e">
        <f>AVERAGEIFS(RoadTra_BY!AD$2:AD$999,RoadTra_BY!$B$2:$B$999,'Road transport'!$C26,RoadTra_BY!$C$2:$C$999,'Road transport'!$AX26)</f>
        <v>#DIV/0!</v>
      </c>
      <c r="W26" s="56" t="e">
        <f>AVERAGEIFS(RoadTra_BY!AE$2:AE$999,RoadTra_BY!$B$2:$B$999,'Road transport'!$C26,RoadTra_BY!$C$2:$C$999,'Road transport'!$AX26)</f>
        <v>#DIV/0!</v>
      </c>
      <c r="X26" s="56" t="e">
        <f>AVERAGEIFS(RoadTra_BY!AF$2:AF$999,RoadTra_BY!$B$2:$B$999,'Road transport'!$C26,RoadTra_BY!$C$2:$C$999,'Road transport'!$AX26)</f>
        <v>#DIV/0!</v>
      </c>
      <c r="Y26" s="56" t="e">
        <f>AVERAGEIFS(RoadTra_BY!AG$2:AG$999,RoadTra_BY!$B$2:$B$999,'Road transport'!$C26,RoadTra_BY!$C$2:$C$999,'Road transport'!$AX26)</f>
        <v>#DIV/0!</v>
      </c>
      <c r="Z26" s="56" t="e">
        <f>AVERAGEIFS(RoadTra_BY!AH$2:AH$999,RoadTra_BY!$B$2:$B$999,'Road transport'!$C26,RoadTra_BY!$C$2:$C$999,'Road transport'!$AX26)</f>
        <v>#DIV/0!</v>
      </c>
      <c r="AA26" s="56" t="e">
        <f>AVERAGEIFS(RoadTra_BY!AI$2:AI$999,RoadTra_BY!$B$2:$B$999,'Road transport'!$C26,RoadTra_BY!$C$2:$C$999,'Road transport'!$AX26)</f>
        <v>#DIV/0!</v>
      </c>
      <c r="AB26" s="56" t="e">
        <f>AVERAGEIFS(RoadTra_BY!AJ$2:AJ$999,RoadTra_BY!$B$2:$B$999,'Road transport'!$C26,RoadTra_BY!$C$2:$C$999,'Road transport'!$AX26)</f>
        <v>#DIV/0!</v>
      </c>
      <c r="AC26" s="56" t="e">
        <f>AVERAGEIFS(RoadTra_BY!AK$2:AK$999,RoadTra_BY!$B$2:$B$999,'Road transport'!$C26,RoadTra_BY!$C$2:$C$999,'Road transport'!$AX26)</f>
        <v>#DIV/0!</v>
      </c>
      <c r="AD26" s="56" t="e">
        <f>AVERAGEIFS(RoadTra_BY!AL$2:AL$999,RoadTra_BY!$B$2:$B$999,'Road transport'!$C26,RoadTra_BY!$C$2:$C$999,'Road transport'!$AX26)</f>
        <v>#DIV/0!</v>
      </c>
      <c r="AE26" s="56" t="e">
        <f>AVERAGEIFS(RoadTra_BY!AM$2:AM$999,RoadTra_BY!$B$2:$B$999,'Road transport'!$C26,RoadTra_BY!$C$2:$C$999,'Road transport'!$AX26)</f>
        <v>#DIV/0!</v>
      </c>
      <c r="AF26" s="56" t="e">
        <f>AVERAGEIFS(RoadTra_BY!AN$2:AN$999,RoadTra_BY!$B$2:$B$999,'Road transport'!$C26,RoadTra_BY!$C$2:$C$999,'Road transport'!$AX26)</f>
        <v>#DIV/0!</v>
      </c>
      <c r="AG26" s="56" t="e">
        <f>AVERAGEIFS(RoadTra_BY!AO$2:AO$999,RoadTra_BY!$B$2:$B$999,'Road transport'!$C26,RoadTra_BY!$C$2:$C$999,'Road transport'!$AX26)</f>
        <v>#DIV/0!</v>
      </c>
      <c r="AH26" s="56" t="e">
        <f>AVERAGEIFS(RoadTra_BY!AP$2:AP$999,RoadTra_BY!$B$2:$B$999,'Road transport'!$C26,RoadTra_BY!$C$2:$C$999,'Road transport'!$AX26)</f>
        <v>#DIV/0!</v>
      </c>
      <c r="AI26" s="56" t="e">
        <f>AVERAGEIFS(RoadTra_BY!AQ$2:AQ$999,RoadTra_BY!$B$2:$B$999,'Road transport'!$C26,RoadTra_BY!$C$2:$C$999,'Road transport'!$AX26)</f>
        <v>#DIV/0!</v>
      </c>
      <c r="AJ26" s="56" t="e">
        <f>AVERAGEIFS(RoadTra_BY!AR$2:AR$999,RoadTra_BY!$B$2:$B$999,'Road transport'!$C26,RoadTra_BY!$C$2:$C$999,'Road transport'!$AX26)</f>
        <v>#DIV/0!</v>
      </c>
      <c r="AK26" s="56" t="e">
        <f>AVERAGEIFS(RoadTra_BY!AS$2:AS$999,RoadTra_BY!$B$2:$B$999,'Road transport'!$C26,RoadTra_BY!$C$2:$C$999,'Road transport'!$AX26)</f>
        <v>#DIV/0!</v>
      </c>
      <c r="AL26" s="56" t="e">
        <f>AVERAGEIFS(RoadTra_BY!AT$2:AT$999,RoadTra_BY!$B$2:$B$999,'Road transport'!$C26,RoadTra_BY!$C$2:$C$999,'Road transport'!$AX26)</f>
        <v>#DIV/0!</v>
      </c>
      <c r="AM26" s="56" t="e">
        <f>AVERAGEIFS(RoadTra_BY!AU$2:AU$999,RoadTra_BY!$B$2:$B$999,'Road transport'!$C26,RoadTra_BY!$C$2:$C$999,'Road transport'!$AX26)</f>
        <v>#DIV/0!</v>
      </c>
      <c r="AN26" s="56" t="e">
        <f>AVERAGEIFS(RoadTra_BY!AV$2:AV$999,RoadTra_BY!$B$2:$B$999,'Road transport'!$C26,RoadTra_BY!$C$2:$C$999,'Road transport'!$AX26)</f>
        <v>#DIV/0!</v>
      </c>
      <c r="AO26" s="56" t="e">
        <f>AVERAGEIFS(RoadTra_BY!AW$2:AW$999,RoadTra_BY!$B$2:$B$999,'Road transport'!$C26,RoadTra_BY!$C$2:$C$999,'Road transport'!$AX26)</f>
        <v>#DIV/0!</v>
      </c>
      <c r="AP26" s="56" t="e">
        <f>AVERAGEIFS(RoadTra_BY!AX$2:AX$999,RoadTra_BY!$B$2:$B$999,'Road transport'!$C26,RoadTra_BY!$C$2:$C$999,'Road transport'!$AX26)</f>
        <v>#DIV/0!</v>
      </c>
      <c r="AQ26" s="56" t="e">
        <f>AVERAGEIFS(RoadTra_BY!AY$2:AY$999,RoadTra_BY!$B$2:$B$999,'Road transport'!$C26,RoadTra_BY!$C$2:$C$999,'Road transport'!$AX26)</f>
        <v>#DIV/0!</v>
      </c>
      <c r="AR26" s="56" t="e">
        <f>AVERAGEIFS(RoadTra_BY!AZ$2:AZ$999,RoadTra_BY!$B$2:$B$999,'Road transport'!$C26,RoadTra_BY!$C$2:$C$999,'Road transport'!$AX26)</f>
        <v>#DIV/0!</v>
      </c>
      <c r="AS26" s="56" t="e">
        <f>AVERAGEIFS(RoadTra_BY!BA$2:BA$999,RoadTra_BY!$B$2:$B$999,'Road transport'!$C26,RoadTra_BY!$C$2:$C$999,'Road transport'!$AX26)</f>
        <v>#DIV/0!</v>
      </c>
      <c r="AT26" s="56" t="e">
        <f>AVERAGEIFS(RoadTra_BY!BB$2:BB$999,RoadTra_BY!$B$2:$B$999,'Road transport'!$C26,RoadTra_BY!$C$2:$C$999,'Road transport'!$AX26)</f>
        <v>#DIV/0!</v>
      </c>
      <c r="AU26" s="56" t="e">
        <f>AVERAGEIFS(RoadTra_BY!BC$2:BC$999,RoadTra_BY!$B$2:$B$999,'Road transport'!$C26,RoadTra_BY!$C$2:$C$999,'Road transport'!$AX26)</f>
        <v>#DIV/0!</v>
      </c>
      <c r="AV26" s="56" t="e">
        <f>AVERAGEIFS(RoadTra_BY!BD$2:BD$999,RoadTra_BY!$B$2:$B$999,'Road transport'!$C26,RoadTra_BY!$C$2:$C$999,'Road transport'!$AX26)</f>
        <v>#DIV/0!</v>
      </c>
      <c r="AW26" s="56" t="e">
        <f>AVERAGEIFS(RoadTra_BY!BE$2:BE$999,RoadTra_BY!$B$2:$B$999,'Road transport'!$C26,RoadTra_BY!$C$2:$C$999,'Road transport'!$AX26)</f>
        <v>#DIV/0!</v>
      </c>
      <c r="AX26" t="s">
        <v>103</v>
      </c>
    </row>
    <row r="27" spans="3:50">
      <c r="C27" t="s">
        <v>52</v>
      </c>
      <c r="D27" s="56" t="e">
        <f>AVERAGEIFS(RoadTra_BY!L$2:L$999,RoadTra_BY!$B$2:$B$999,'Road transport'!$C27,RoadTra_BY!$C$2:$C$999,'Road transport'!$AX27)</f>
        <v>#DIV/0!</v>
      </c>
      <c r="E27" s="56" t="e">
        <f>AVERAGEIFS(RoadTra_BY!M$2:M$999,RoadTra_BY!$B$2:$B$999,'Road transport'!$C27,RoadTra_BY!$C$2:$C$999,'Road transport'!$AX27)</f>
        <v>#DIV/0!</v>
      </c>
      <c r="F27" s="56" t="e">
        <f>AVERAGEIFS(RoadTra_BY!N$2:N$999,RoadTra_BY!$B$2:$B$999,'Road transport'!$C27,RoadTra_BY!$C$2:$C$999,'Road transport'!$AX27)</f>
        <v>#DIV/0!</v>
      </c>
      <c r="G27" s="56" t="e">
        <f>AVERAGEIFS(RoadTra_BY!O$2:O$999,RoadTra_BY!$B$2:$B$999,'Road transport'!$C27,RoadTra_BY!$C$2:$C$999,'Road transport'!$AX27)</f>
        <v>#DIV/0!</v>
      </c>
      <c r="H27" s="56" t="e">
        <f>AVERAGEIFS(RoadTra_BY!P$2:P$999,RoadTra_BY!$B$2:$B$999,'Road transport'!$C27,RoadTra_BY!$C$2:$C$999,'Road transport'!$AX27)</f>
        <v>#DIV/0!</v>
      </c>
      <c r="I27" s="56" t="e">
        <f>AVERAGEIFS(RoadTra_BY!Q$2:Q$999,RoadTra_BY!$B$2:$B$999,'Road transport'!$C27,RoadTra_BY!$C$2:$C$999,'Road transport'!$AX27)</f>
        <v>#DIV/0!</v>
      </c>
      <c r="J27" s="56" t="e">
        <f>AVERAGEIFS(RoadTra_BY!R$2:R$999,RoadTra_BY!$B$2:$B$999,'Road transport'!$C27,RoadTra_BY!$C$2:$C$999,'Road transport'!$AX27)</f>
        <v>#DIV/0!</v>
      </c>
      <c r="K27" s="56" t="e">
        <f>AVERAGEIFS(RoadTra_BY!S$2:S$999,RoadTra_BY!$B$2:$B$999,'Road transport'!$C27,RoadTra_BY!$C$2:$C$999,'Road transport'!$AX27)</f>
        <v>#DIV/0!</v>
      </c>
      <c r="L27" s="56" t="e">
        <f>AVERAGEIFS(RoadTra_BY!T$2:T$999,RoadTra_BY!$B$2:$B$999,'Road transport'!$C27,RoadTra_BY!$C$2:$C$999,'Road transport'!$AX27)</f>
        <v>#DIV/0!</v>
      </c>
      <c r="M27" s="56" t="e">
        <f>AVERAGEIFS(RoadTra_BY!U$2:U$999,RoadTra_BY!$B$2:$B$999,'Road transport'!$C27,RoadTra_BY!$C$2:$C$999,'Road transport'!$AX27)</f>
        <v>#DIV/0!</v>
      </c>
      <c r="N27" s="56" t="e">
        <f>AVERAGEIFS(RoadTra_BY!V$2:V$999,RoadTra_BY!$B$2:$B$999,'Road transport'!$C27,RoadTra_BY!$C$2:$C$999,'Road transport'!$AX27)</f>
        <v>#DIV/0!</v>
      </c>
      <c r="O27" s="56" t="e">
        <f>AVERAGEIFS(RoadTra_BY!W$2:W$999,RoadTra_BY!$B$2:$B$999,'Road transport'!$C27,RoadTra_BY!$C$2:$C$999,'Road transport'!$AX27)</f>
        <v>#DIV/0!</v>
      </c>
      <c r="P27" s="56" t="e">
        <f>AVERAGEIFS(RoadTra_BY!X$2:X$999,RoadTra_BY!$B$2:$B$999,'Road transport'!$C27,RoadTra_BY!$C$2:$C$999,'Road transport'!$AX27)</f>
        <v>#DIV/0!</v>
      </c>
      <c r="Q27" s="56" t="e">
        <f>AVERAGEIFS(RoadTra_BY!Y$2:Y$999,RoadTra_BY!$B$2:$B$999,'Road transport'!$C27,RoadTra_BY!$C$2:$C$999,'Road transport'!$AX27)</f>
        <v>#DIV/0!</v>
      </c>
      <c r="R27" s="56" t="e">
        <f>AVERAGEIFS(RoadTra_BY!Z$2:Z$999,RoadTra_BY!$B$2:$B$999,'Road transport'!$C27,RoadTra_BY!$C$2:$C$999,'Road transport'!$AX27)</f>
        <v>#DIV/0!</v>
      </c>
      <c r="S27" s="56" t="e">
        <f>AVERAGEIFS(RoadTra_BY!AA$2:AA$999,RoadTra_BY!$B$2:$B$999,'Road transport'!$C27,RoadTra_BY!$C$2:$C$999,'Road transport'!$AX27)</f>
        <v>#DIV/0!</v>
      </c>
      <c r="T27" s="56" t="e">
        <f>AVERAGEIFS(RoadTra_BY!AB$2:AB$999,RoadTra_BY!$B$2:$B$999,'Road transport'!$C27,RoadTra_BY!$C$2:$C$999,'Road transport'!$AX27)</f>
        <v>#DIV/0!</v>
      </c>
      <c r="U27" s="56" t="e">
        <f>AVERAGEIFS(RoadTra_BY!AC$2:AC$999,RoadTra_BY!$B$2:$B$999,'Road transport'!$C27,RoadTra_BY!$C$2:$C$999,'Road transport'!$AX27)</f>
        <v>#DIV/0!</v>
      </c>
      <c r="V27" s="56" t="e">
        <f>AVERAGEIFS(RoadTra_BY!AD$2:AD$999,RoadTra_BY!$B$2:$B$999,'Road transport'!$C27,RoadTra_BY!$C$2:$C$999,'Road transport'!$AX27)</f>
        <v>#DIV/0!</v>
      </c>
      <c r="W27" s="56" t="e">
        <f>AVERAGEIFS(RoadTra_BY!AE$2:AE$999,RoadTra_BY!$B$2:$B$999,'Road transport'!$C27,RoadTra_BY!$C$2:$C$999,'Road transport'!$AX27)</f>
        <v>#DIV/0!</v>
      </c>
      <c r="X27" s="56" t="e">
        <f>AVERAGEIFS(RoadTra_BY!AF$2:AF$999,RoadTra_BY!$B$2:$B$999,'Road transport'!$C27,RoadTra_BY!$C$2:$C$999,'Road transport'!$AX27)</f>
        <v>#DIV/0!</v>
      </c>
      <c r="Y27" s="56" t="e">
        <f>AVERAGEIFS(RoadTra_BY!AG$2:AG$999,RoadTra_BY!$B$2:$B$999,'Road transport'!$C27,RoadTra_BY!$C$2:$C$999,'Road transport'!$AX27)</f>
        <v>#DIV/0!</v>
      </c>
      <c r="Z27" s="56" t="e">
        <f>AVERAGEIFS(RoadTra_BY!AH$2:AH$999,RoadTra_BY!$B$2:$B$999,'Road transport'!$C27,RoadTra_BY!$C$2:$C$999,'Road transport'!$AX27)</f>
        <v>#DIV/0!</v>
      </c>
      <c r="AA27" s="56" t="e">
        <f>AVERAGEIFS(RoadTra_BY!AI$2:AI$999,RoadTra_BY!$B$2:$B$999,'Road transport'!$C27,RoadTra_BY!$C$2:$C$999,'Road transport'!$AX27)</f>
        <v>#DIV/0!</v>
      </c>
      <c r="AB27" s="56" t="e">
        <f>AVERAGEIFS(RoadTra_BY!AJ$2:AJ$999,RoadTra_BY!$B$2:$B$999,'Road transport'!$C27,RoadTra_BY!$C$2:$C$999,'Road transport'!$AX27)</f>
        <v>#DIV/0!</v>
      </c>
      <c r="AC27" s="56" t="e">
        <f>AVERAGEIFS(RoadTra_BY!AK$2:AK$999,RoadTra_BY!$B$2:$B$999,'Road transport'!$C27,RoadTra_BY!$C$2:$C$999,'Road transport'!$AX27)</f>
        <v>#DIV/0!</v>
      </c>
      <c r="AD27" s="56" t="e">
        <f>AVERAGEIFS(RoadTra_BY!AL$2:AL$999,RoadTra_BY!$B$2:$B$999,'Road transport'!$C27,RoadTra_BY!$C$2:$C$999,'Road transport'!$AX27)</f>
        <v>#DIV/0!</v>
      </c>
      <c r="AE27" s="56" t="e">
        <f>AVERAGEIFS(RoadTra_BY!AM$2:AM$999,RoadTra_BY!$B$2:$B$999,'Road transport'!$C27,RoadTra_BY!$C$2:$C$999,'Road transport'!$AX27)</f>
        <v>#DIV/0!</v>
      </c>
      <c r="AF27" s="56" t="e">
        <f>AVERAGEIFS(RoadTra_BY!AN$2:AN$999,RoadTra_BY!$B$2:$B$999,'Road transport'!$C27,RoadTra_BY!$C$2:$C$999,'Road transport'!$AX27)</f>
        <v>#DIV/0!</v>
      </c>
      <c r="AG27" s="56" t="e">
        <f>AVERAGEIFS(RoadTra_BY!AO$2:AO$999,RoadTra_BY!$B$2:$B$999,'Road transport'!$C27,RoadTra_BY!$C$2:$C$999,'Road transport'!$AX27)</f>
        <v>#DIV/0!</v>
      </c>
      <c r="AH27" s="56" t="e">
        <f>AVERAGEIFS(RoadTra_BY!AP$2:AP$999,RoadTra_BY!$B$2:$B$999,'Road transport'!$C27,RoadTra_BY!$C$2:$C$999,'Road transport'!$AX27)</f>
        <v>#DIV/0!</v>
      </c>
      <c r="AI27" s="56" t="e">
        <f>AVERAGEIFS(RoadTra_BY!AQ$2:AQ$999,RoadTra_BY!$B$2:$B$999,'Road transport'!$C27,RoadTra_BY!$C$2:$C$999,'Road transport'!$AX27)</f>
        <v>#DIV/0!</v>
      </c>
      <c r="AJ27" s="56" t="e">
        <f>AVERAGEIFS(RoadTra_BY!AR$2:AR$999,RoadTra_BY!$B$2:$B$999,'Road transport'!$C27,RoadTra_BY!$C$2:$C$999,'Road transport'!$AX27)</f>
        <v>#DIV/0!</v>
      </c>
      <c r="AK27" s="56" t="e">
        <f>AVERAGEIFS(RoadTra_BY!AS$2:AS$999,RoadTra_BY!$B$2:$B$999,'Road transport'!$C27,RoadTra_BY!$C$2:$C$999,'Road transport'!$AX27)</f>
        <v>#DIV/0!</v>
      </c>
      <c r="AL27" s="56" t="e">
        <f>AVERAGEIFS(RoadTra_BY!AT$2:AT$999,RoadTra_BY!$B$2:$B$999,'Road transport'!$C27,RoadTra_BY!$C$2:$C$999,'Road transport'!$AX27)</f>
        <v>#DIV/0!</v>
      </c>
      <c r="AM27" s="56" t="e">
        <f>AVERAGEIFS(RoadTra_BY!AU$2:AU$999,RoadTra_BY!$B$2:$B$999,'Road transport'!$C27,RoadTra_BY!$C$2:$C$999,'Road transport'!$AX27)</f>
        <v>#DIV/0!</v>
      </c>
      <c r="AN27" s="56" t="e">
        <f>AVERAGEIFS(RoadTra_BY!AV$2:AV$999,RoadTra_BY!$B$2:$B$999,'Road transport'!$C27,RoadTra_BY!$C$2:$C$999,'Road transport'!$AX27)</f>
        <v>#DIV/0!</v>
      </c>
      <c r="AO27" s="56" t="e">
        <f>AVERAGEIFS(RoadTra_BY!AW$2:AW$999,RoadTra_BY!$B$2:$B$999,'Road transport'!$C27,RoadTra_BY!$C$2:$C$999,'Road transport'!$AX27)</f>
        <v>#DIV/0!</v>
      </c>
      <c r="AP27" s="56" t="e">
        <f>AVERAGEIFS(RoadTra_BY!AX$2:AX$999,RoadTra_BY!$B$2:$B$999,'Road transport'!$C27,RoadTra_BY!$C$2:$C$999,'Road transport'!$AX27)</f>
        <v>#DIV/0!</v>
      </c>
      <c r="AQ27" s="56" t="e">
        <f>AVERAGEIFS(RoadTra_BY!AY$2:AY$999,RoadTra_BY!$B$2:$B$999,'Road transport'!$C27,RoadTra_BY!$C$2:$C$999,'Road transport'!$AX27)</f>
        <v>#DIV/0!</v>
      </c>
      <c r="AR27" s="56" t="e">
        <f>AVERAGEIFS(RoadTra_BY!AZ$2:AZ$999,RoadTra_BY!$B$2:$B$999,'Road transport'!$C27,RoadTra_BY!$C$2:$C$999,'Road transport'!$AX27)</f>
        <v>#DIV/0!</v>
      </c>
      <c r="AS27" s="56" t="e">
        <f>AVERAGEIFS(RoadTra_BY!BA$2:BA$999,RoadTra_BY!$B$2:$B$999,'Road transport'!$C27,RoadTra_BY!$C$2:$C$999,'Road transport'!$AX27)</f>
        <v>#DIV/0!</v>
      </c>
      <c r="AT27" s="56" t="e">
        <f>AVERAGEIFS(RoadTra_BY!BB$2:BB$999,RoadTra_BY!$B$2:$B$999,'Road transport'!$C27,RoadTra_BY!$C$2:$C$999,'Road transport'!$AX27)</f>
        <v>#DIV/0!</v>
      </c>
      <c r="AU27" s="56" t="e">
        <f>AVERAGEIFS(RoadTra_BY!BC$2:BC$999,RoadTra_BY!$B$2:$B$999,'Road transport'!$C27,RoadTra_BY!$C$2:$C$999,'Road transport'!$AX27)</f>
        <v>#DIV/0!</v>
      </c>
      <c r="AV27" s="56" t="e">
        <f>AVERAGEIFS(RoadTra_BY!BD$2:BD$999,RoadTra_BY!$B$2:$B$999,'Road transport'!$C27,RoadTra_BY!$C$2:$C$999,'Road transport'!$AX27)</f>
        <v>#DIV/0!</v>
      </c>
      <c r="AW27" s="56" t="e">
        <f>AVERAGEIFS(RoadTra_BY!BE$2:BE$999,RoadTra_BY!$B$2:$B$999,'Road transport'!$C27,RoadTra_BY!$C$2:$C$999,'Road transport'!$AX27)</f>
        <v>#DIV/0!</v>
      </c>
      <c r="AX27" t="s">
        <v>104</v>
      </c>
    </row>
    <row r="28" spans="3:50">
      <c r="C28" t="s">
        <v>52</v>
      </c>
      <c r="D28" s="56" t="e">
        <f>AVERAGEIFS(RoadTra_BY!L$2:L$999,RoadTra_BY!$B$2:$B$999,'Road transport'!$C28,RoadTra_BY!$C$2:$C$999,'Road transport'!$AX28)</f>
        <v>#DIV/0!</v>
      </c>
      <c r="E28" s="56" t="e">
        <f>AVERAGEIFS(RoadTra_BY!M$2:M$999,RoadTra_BY!$B$2:$B$999,'Road transport'!$C28,RoadTra_BY!$C$2:$C$999,'Road transport'!$AX28)</f>
        <v>#DIV/0!</v>
      </c>
      <c r="F28" s="56" t="e">
        <f>AVERAGEIFS(RoadTra_BY!N$2:N$999,RoadTra_BY!$B$2:$B$999,'Road transport'!$C28,RoadTra_BY!$C$2:$C$999,'Road transport'!$AX28)</f>
        <v>#DIV/0!</v>
      </c>
      <c r="G28" s="56" t="e">
        <f>AVERAGEIFS(RoadTra_BY!O$2:O$999,RoadTra_BY!$B$2:$B$999,'Road transport'!$C28,RoadTra_BY!$C$2:$C$999,'Road transport'!$AX28)</f>
        <v>#DIV/0!</v>
      </c>
      <c r="H28" s="56" t="e">
        <f>AVERAGEIFS(RoadTra_BY!P$2:P$999,RoadTra_BY!$B$2:$B$999,'Road transport'!$C28,RoadTra_BY!$C$2:$C$999,'Road transport'!$AX28)</f>
        <v>#DIV/0!</v>
      </c>
      <c r="I28" s="56" t="e">
        <f>AVERAGEIFS(RoadTra_BY!Q$2:Q$999,RoadTra_BY!$B$2:$B$999,'Road transport'!$C28,RoadTra_BY!$C$2:$C$999,'Road transport'!$AX28)</f>
        <v>#DIV/0!</v>
      </c>
      <c r="J28" s="56" t="e">
        <f>AVERAGEIFS(RoadTra_BY!R$2:R$999,RoadTra_BY!$B$2:$B$999,'Road transport'!$C28,RoadTra_BY!$C$2:$C$999,'Road transport'!$AX28)</f>
        <v>#DIV/0!</v>
      </c>
      <c r="K28" s="56" t="e">
        <f>AVERAGEIFS(RoadTra_BY!S$2:S$999,RoadTra_BY!$B$2:$B$999,'Road transport'!$C28,RoadTra_BY!$C$2:$C$999,'Road transport'!$AX28)</f>
        <v>#DIV/0!</v>
      </c>
      <c r="L28" s="56" t="e">
        <f>AVERAGEIFS(RoadTra_BY!T$2:T$999,RoadTra_BY!$B$2:$B$999,'Road transport'!$C28,RoadTra_BY!$C$2:$C$999,'Road transport'!$AX28)</f>
        <v>#DIV/0!</v>
      </c>
      <c r="M28" s="56" t="e">
        <f>AVERAGEIFS(RoadTra_BY!U$2:U$999,RoadTra_BY!$B$2:$B$999,'Road transport'!$C28,RoadTra_BY!$C$2:$C$999,'Road transport'!$AX28)</f>
        <v>#DIV/0!</v>
      </c>
      <c r="N28" s="56" t="e">
        <f>AVERAGEIFS(RoadTra_BY!V$2:V$999,RoadTra_BY!$B$2:$B$999,'Road transport'!$C28,RoadTra_BY!$C$2:$C$999,'Road transport'!$AX28)</f>
        <v>#DIV/0!</v>
      </c>
      <c r="O28" s="56" t="e">
        <f>AVERAGEIFS(RoadTra_BY!W$2:W$999,RoadTra_BY!$B$2:$B$999,'Road transport'!$C28,RoadTra_BY!$C$2:$C$999,'Road transport'!$AX28)</f>
        <v>#DIV/0!</v>
      </c>
      <c r="P28" s="56" t="e">
        <f>AVERAGEIFS(RoadTra_BY!X$2:X$999,RoadTra_BY!$B$2:$B$999,'Road transport'!$C28,RoadTra_BY!$C$2:$C$999,'Road transport'!$AX28)</f>
        <v>#DIV/0!</v>
      </c>
      <c r="Q28" s="56" t="e">
        <f>AVERAGEIFS(RoadTra_BY!Y$2:Y$999,RoadTra_BY!$B$2:$B$999,'Road transport'!$C28,RoadTra_BY!$C$2:$C$999,'Road transport'!$AX28)</f>
        <v>#DIV/0!</v>
      </c>
      <c r="R28" s="56" t="e">
        <f>AVERAGEIFS(RoadTra_BY!Z$2:Z$999,RoadTra_BY!$B$2:$B$999,'Road transport'!$C28,RoadTra_BY!$C$2:$C$999,'Road transport'!$AX28)</f>
        <v>#DIV/0!</v>
      </c>
      <c r="S28" s="56" t="e">
        <f>AVERAGEIFS(RoadTra_BY!AA$2:AA$999,RoadTra_BY!$B$2:$B$999,'Road transport'!$C28,RoadTra_BY!$C$2:$C$999,'Road transport'!$AX28)</f>
        <v>#DIV/0!</v>
      </c>
      <c r="T28" s="56" t="e">
        <f>AVERAGEIFS(RoadTra_BY!AB$2:AB$999,RoadTra_BY!$B$2:$B$999,'Road transport'!$C28,RoadTra_BY!$C$2:$C$999,'Road transport'!$AX28)</f>
        <v>#DIV/0!</v>
      </c>
      <c r="U28" s="56" t="e">
        <f>AVERAGEIFS(RoadTra_BY!AC$2:AC$999,RoadTra_BY!$B$2:$B$999,'Road transport'!$C28,RoadTra_BY!$C$2:$C$999,'Road transport'!$AX28)</f>
        <v>#DIV/0!</v>
      </c>
      <c r="V28" s="56" t="e">
        <f>AVERAGEIFS(RoadTra_BY!AD$2:AD$999,RoadTra_BY!$B$2:$B$999,'Road transport'!$C28,RoadTra_BY!$C$2:$C$999,'Road transport'!$AX28)</f>
        <v>#DIV/0!</v>
      </c>
      <c r="W28" s="56" t="e">
        <f>AVERAGEIFS(RoadTra_BY!AE$2:AE$999,RoadTra_BY!$B$2:$B$999,'Road transport'!$C28,RoadTra_BY!$C$2:$C$999,'Road transport'!$AX28)</f>
        <v>#DIV/0!</v>
      </c>
      <c r="X28" s="56" t="e">
        <f>AVERAGEIFS(RoadTra_BY!AF$2:AF$999,RoadTra_BY!$B$2:$B$999,'Road transport'!$C28,RoadTra_BY!$C$2:$C$999,'Road transport'!$AX28)</f>
        <v>#DIV/0!</v>
      </c>
      <c r="Y28" s="56" t="e">
        <f>AVERAGEIFS(RoadTra_BY!AG$2:AG$999,RoadTra_BY!$B$2:$B$999,'Road transport'!$C28,RoadTra_BY!$C$2:$C$999,'Road transport'!$AX28)</f>
        <v>#DIV/0!</v>
      </c>
      <c r="Z28" s="56" t="e">
        <f>AVERAGEIFS(RoadTra_BY!AH$2:AH$999,RoadTra_BY!$B$2:$B$999,'Road transport'!$C28,RoadTra_BY!$C$2:$C$999,'Road transport'!$AX28)</f>
        <v>#DIV/0!</v>
      </c>
      <c r="AA28" s="56" t="e">
        <f>AVERAGEIFS(RoadTra_BY!AI$2:AI$999,RoadTra_BY!$B$2:$B$999,'Road transport'!$C28,RoadTra_BY!$C$2:$C$999,'Road transport'!$AX28)</f>
        <v>#DIV/0!</v>
      </c>
      <c r="AB28" s="56" t="e">
        <f>AVERAGEIFS(RoadTra_BY!AJ$2:AJ$999,RoadTra_BY!$B$2:$B$999,'Road transport'!$C28,RoadTra_BY!$C$2:$C$999,'Road transport'!$AX28)</f>
        <v>#DIV/0!</v>
      </c>
      <c r="AC28" s="56" t="e">
        <f>AVERAGEIFS(RoadTra_BY!AK$2:AK$999,RoadTra_BY!$B$2:$B$999,'Road transport'!$C28,RoadTra_BY!$C$2:$C$999,'Road transport'!$AX28)</f>
        <v>#DIV/0!</v>
      </c>
      <c r="AD28" s="56" t="e">
        <f>AVERAGEIFS(RoadTra_BY!AL$2:AL$999,RoadTra_BY!$B$2:$B$999,'Road transport'!$C28,RoadTra_BY!$C$2:$C$999,'Road transport'!$AX28)</f>
        <v>#DIV/0!</v>
      </c>
      <c r="AE28" s="56" t="e">
        <f>AVERAGEIFS(RoadTra_BY!AM$2:AM$999,RoadTra_BY!$B$2:$B$999,'Road transport'!$C28,RoadTra_BY!$C$2:$C$999,'Road transport'!$AX28)</f>
        <v>#DIV/0!</v>
      </c>
      <c r="AF28" s="56" t="e">
        <f>AVERAGEIFS(RoadTra_BY!AN$2:AN$999,RoadTra_BY!$B$2:$B$999,'Road transport'!$C28,RoadTra_BY!$C$2:$C$999,'Road transport'!$AX28)</f>
        <v>#DIV/0!</v>
      </c>
      <c r="AG28" s="56" t="e">
        <f>AVERAGEIFS(RoadTra_BY!AO$2:AO$999,RoadTra_BY!$B$2:$B$999,'Road transport'!$C28,RoadTra_BY!$C$2:$C$999,'Road transport'!$AX28)</f>
        <v>#DIV/0!</v>
      </c>
      <c r="AH28" s="56" t="e">
        <f>AVERAGEIFS(RoadTra_BY!AP$2:AP$999,RoadTra_BY!$B$2:$B$999,'Road transport'!$C28,RoadTra_BY!$C$2:$C$999,'Road transport'!$AX28)</f>
        <v>#DIV/0!</v>
      </c>
      <c r="AI28" s="56" t="e">
        <f>AVERAGEIFS(RoadTra_BY!AQ$2:AQ$999,RoadTra_BY!$B$2:$B$999,'Road transport'!$C28,RoadTra_BY!$C$2:$C$999,'Road transport'!$AX28)</f>
        <v>#DIV/0!</v>
      </c>
      <c r="AJ28" s="56" t="e">
        <f>AVERAGEIFS(RoadTra_BY!AR$2:AR$999,RoadTra_BY!$B$2:$B$999,'Road transport'!$C28,RoadTra_BY!$C$2:$C$999,'Road transport'!$AX28)</f>
        <v>#DIV/0!</v>
      </c>
      <c r="AK28" s="56" t="e">
        <f>AVERAGEIFS(RoadTra_BY!AS$2:AS$999,RoadTra_BY!$B$2:$B$999,'Road transport'!$C28,RoadTra_BY!$C$2:$C$999,'Road transport'!$AX28)</f>
        <v>#DIV/0!</v>
      </c>
      <c r="AL28" s="56" t="e">
        <f>AVERAGEIFS(RoadTra_BY!AT$2:AT$999,RoadTra_BY!$B$2:$B$999,'Road transport'!$C28,RoadTra_BY!$C$2:$C$999,'Road transport'!$AX28)</f>
        <v>#DIV/0!</v>
      </c>
      <c r="AM28" s="56" t="e">
        <f>AVERAGEIFS(RoadTra_BY!AU$2:AU$999,RoadTra_BY!$B$2:$B$999,'Road transport'!$C28,RoadTra_BY!$C$2:$C$999,'Road transport'!$AX28)</f>
        <v>#DIV/0!</v>
      </c>
      <c r="AN28" s="56" t="e">
        <f>AVERAGEIFS(RoadTra_BY!AV$2:AV$999,RoadTra_BY!$B$2:$B$999,'Road transport'!$C28,RoadTra_BY!$C$2:$C$999,'Road transport'!$AX28)</f>
        <v>#DIV/0!</v>
      </c>
      <c r="AO28" s="56" t="e">
        <f>AVERAGEIFS(RoadTra_BY!AW$2:AW$999,RoadTra_BY!$B$2:$B$999,'Road transport'!$C28,RoadTra_BY!$C$2:$C$999,'Road transport'!$AX28)</f>
        <v>#DIV/0!</v>
      </c>
      <c r="AP28" s="56" t="e">
        <f>AVERAGEIFS(RoadTra_BY!AX$2:AX$999,RoadTra_BY!$B$2:$B$999,'Road transport'!$C28,RoadTra_BY!$C$2:$C$999,'Road transport'!$AX28)</f>
        <v>#DIV/0!</v>
      </c>
      <c r="AQ28" s="56" t="e">
        <f>AVERAGEIFS(RoadTra_BY!AY$2:AY$999,RoadTra_BY!$B$2:$B$999,'Road transport'!$C28,RoadTra_BY!$C$2:$C$999,'Road transport'!$AX28)</f>
        <v>#DIV/0!</v>
      </c>
      <c r="AR28" s="56" t="e">
        <f>AVERAGEIFS(RoadTra_BY!AZ$2:AZ$999,RoadTra_BY!$B$2:$B$999,'Road transport'!$C28,RoadTra_BY!$C$2:$C$999,'Road transport'!$AX28)</f>
        <v>#DIV/0!</v>
      </c>
      <c r="AS28" s="56" t="e">
        <f>AVERAGEIFS(RoadTra_BY!BA$2:BA$999,RoadTra_BY!$B$2:$B$999,'Road transport'!$C28,RoadTra_BY!$C$2:$C$999,'Road transport'!$AX28)</f>
        <v>#DIV/0!</v>
      </c>
      <c r="AT28" s="56" t="e">
        <f>AVERAGEIFS(RoadTra_BY!BB$2:BB$999,RoadTra_BY!$B$2:$B$999,'Road transport'!$C28,RoadTra_BY!$C$2:$C$999,'Road transport'!$AX28)</f>
        <v>#DIV/0!</v>
      </c>
      <c r="AU28" s="56" t="e">
        <f>AVERAGEIFS(RoadTra_BY!BC$2:BC$999,RoadTra_BY!$B$2:$B$999,'Road transport'!$C28,RoadTra_BY!$C$2:$C$999,'Road transport'!$AX28)</f>
        <v>#DIV/0!</v>
      </c>
      <c r="AV28" s="56" t="e">
        <f>AVERAGEIFS(RoadTra_BY!BD$2:BD$999,RoadTra_BY!$B$2:$B$999,'Road transport'!$C28,RoadTra_BY!$C$2:$C$999,'Road transport'!$AX28)</f>
        <v>#DIV/0!</v>
      </c>
      <c r="AW28" s="56" t="e">
        <f>AVERAGEIFS(RoadTra_BY!BE$2:BE$999,RoadTra_BY!$B$2:$B$999,'Road transport'!$C28,RoadTra_BY!$C$2:$C$999,'Road transport'!$AX28)</f>
        <v>#DIV/0!</v>
      </c>
      <c r="AX28" t="s">
        <v>105</v>
      </c>
    </row>
    <row r="31" spans="3:3">
      <c r="C31" t="s">
        <v>106</v>
      </c>
    </row>
    <row r="32" spans="3:50">
      <c r="C32" t="s">
        <v>71</v>
      </c>
      <c r="D32" t="str">
        <f>IF(RoadTra_BY!L$1="","\I:",RoadTra_BY!L$1)</f>
        <v>valfield</v>
      </c>
      <c r="E32" t="str">
        <f>IF(RoadTra_BY!M$1="","\I:",RoadTra_BY!M$1)</f>
        <v>\I:</v>
      </c>
      <c r="F32" t="str">
        <f>IF(RoadTra_BY!N$1="","\I:",RoadTra_BY!N$1)</f>
        <v>\I:</v>
      </c>
      <c r="G32" t="str">
        <f>IF(RoadTra_BY!O$1="","\I:",RoadTra_BY!O$1)</f>
        <v>\I:</v>
      </c>
      <c r="H32" t="str">
        <f>IF(RoadTra_BY!P$1="","\I:",RoadTra_BY!P$1)</f>
        <v>\I:</v>
      </c>
      <c r="I32" t="str">
        <f>IF(RoadTra_BY!Q$1="","\I:",RoadTra_BY!Q$1)</f>
        <v>\I:</v>
      </c>
      <c r="J32" t="str">
        <f>IF(RoadTra_BY!R$1="","\I:",RoadTra_BY!R$1)</f>
        <v>\I:</v>
      </c>
      <c r="K32" t="str">
        <f>IF(RoadTra_BY!S$1="","\I:",RoadTra_BY!S$1)</f>
        <v>\I:</v>
      </c>
      <c r="L32" t="str">
        <f>IF(RoadTra_BY!T$1="","\I:",RoadTra_BY!T$1)</f>
        <v>\I:</v>
      </c>
      <c r="M32" t="str">
        <f>IF(RoadTra_BY!U$1="","\I:",RoadTra_BY!U$1)</f>
        <v>\I:</v>
      </c>
      <c r="N32" t="str">
        <f>IF(RoadTra_BY!V$1="","\I:",RoadTra_BY!V$1)</f>
        <v>\I:</v>
      </c>
      <c r="O32" t="str">
        <f>IF(RoadTra_BY!W$1="","\I:",RoadTra_BY!W$1)</f>
        <v>\I:</v>
      </c>
      <c r="P32" t="str">
        <f>IF(RoadTra_BY!X$1="","\I:",RoadTra_BY!X$1)</f>
        <v>\I:</v>
      </c>
      <c r="Q32" t="str">
        <f>IF(RoadTra_BY!Y$1="","\I:",RoadTra_BY!Y$1)</f>
        <v>\I:</v>
      </c>
      <c r="R32" t="str">
        <f>IF(RoadTra_BY!Z$1="","\I:",RoadTra_BY!Z$1)</f>
        <v>\I:</v>
      </c>
      <c r="S32" t="str">
        <f>IF(RoadTra_BY!AA$1="","\I:",RoadTra_BY!AA$1)</f>
        <v>\I:</v>
      </c>
      <c r="T32" t="str">
        <f>IF(RoadTra_BY!AB$1="","\I:",RoadTra_BY!AB$1)</f>
        <v>\I:</v>
      </c>
      <c r="U32" t="str">
        <f>IF(RoadTra_BY!AC$1="","\I:",RoadTra_BY!AC$1)</f>
        <v>\I:</v>
      </c>
      <c r="V32" t="str">
        <f>IF(RoadTra_BY!AD$1="","\I:",RoadTra_BY!AD$1)</f>
        <v>\I:</v>
      </c>
      <c r="W32" t="str">
        <f>IF(RoadTra_BY!AE$1="","\I:",RoadTra_BY!AE$1)</f>
        <v>\I:</v>
      </c>
      <c r="X32" t="str">
        <f>IF(RoadTra_BY!AF$1="","\I:",RoadTra_BY!AF$1)</f>
        <v>\I:</v>
      </c>
      <c r="Y32" t="str">
        <f>IF(RoadTra_BY!AG$1="","\I:",RoadTra_BY!AG$1)</f>
        <v>\I:</v>
      </c>
      <c r="Z32" t="str">
        <f>IF(RoadTra_BY!AH$1="","\I:",RoadTra_BY!AH$1)</f>
        <v>\I:</v>
      </c>
      <c r="AA32" t="str">
        <f>IF(RoadTra_BY!AI$1="","\I:",RoadTra_BY!AI$1)</f>
        <v>\I:</v>
      </c>
      <c r="AB32" t="str">
        <f>IF(RoadTra_BY!AJ$1="","\I:",RoadTra_BY!AJ$1)</f>
        <v>\I:</v>
      </c>
      <c r="AC32" t="str">
        <f>IF(RoadTra_BY!AK$1="","\I:",RoadTra_BY!AK$1)</f>
        <v>\I:</v>
      </c>
      <c r="AD32" t="str">
        <f>IF(RoadTra_BY!AL$1="","\I:",RoadTra_BY!AL$1)</f>
        <v>\I:</v>
      </c>
      <c r="AE32" t="str">
        <f>IF(RoadTra_BY!AM$1="","\I:",RoadTra_BY!AM$1)</f>
        <v>\I:</v>
      </c>
      <c r="AF32" t="str">
        <f>IF(RoadTra_BY!AN$1="","\I:",RoadTra_BY!AN$1)</f>
        <v>\I:</v>
      </c>
      <c r="AG32" t="str">
        <f>IF(RoadTra_BY!AO$1="","\I:",RoadTra_BY!AO$1)</f>
        <v>\I:</v>
      </c>
      <c r="AH32" t="str">
        <f>IF(RoadTra_BY!AP$1="","\I:",RoadTra_BY!AP$1)</f>
        <v>\I:</v>
      </c>
      <c r="AI32" t="str">
        <f>IF(RoadTra_BY!AQ$1="","\I:",RoadTra_BY!AQ$1)</f>
        <v>\I:</v>
      </c>
      <c r="AJ32" t="str">
        <f>IF(RoadTra_BY!AR$1="","\I:",RoadTra_BY!AR$1)</f>
        <v>\I:</v>
      </c>
      <c r="AK32" t="str">
        <f>IF(RoadTra_BY!AS$1="","\I:",RoadTra_BY!AS$1)</f>
        <v>\I:</v>
      </c>
      <c r="AL32" t="str">
        <f>IF(RoadTra_BY!AT$1="","\I:",RoadTra_BY!AT$1)</f>
        <v>\I:</v>
      </c>
      <c r="AM32" t="str">
        <f>IF(RoadTra_BY!AU$1="","\I:",RoadTra_BY!AU$1)</f>
        <v>\I:</v>
      </c>
      <c r="AN32" t="str">
        <f>IF(RoadTra_BY!AV$1="","\I:",RoadTra_BY!AV$1)</f>
        <v>\I:</v>
      </c>
      <c r="AO32" t="str">
        <f>IF(RoadTra_BY!AW$1="","\I:",RoadTra_BY!AW$1)</f>
        <v>\I:</v>
      </c>
      <c r="AP32" t="str">
        <f>IF(RoadTra_BY!AX$1="","\I:",RoadTra_BY!AX$1)</f>
        <v>\I:</v>
      </c>
      <c r="AQ32" t="str">
        <f>IF(RoadTra_BY!AY$1="","\I:",RoadTra_BY!AY$1)</f>
        <v>\I:</v>
      </c>
      <c r="AR32" t="str">
        <f>IF(RoadTra_BY!AZ$1="","\I:",RoadTra_BY!AZ$1)</f>
        <v>\I:</v>
      </c>
      <c r="AS32" t="str">
        <f>IF(RoadTra_BY!BA$1="","\I:",RoadTra_BY!BA$1)</f>
        <v>\I:</v>
      </c>
      <c r="AT32" t="str">
        <f>IF(RoadTra_BY!BB$1="","\I:",RoadTra_BY!BB$1)</f>
        <v>\I:</v>
      </c>
      <c r="AU32" t="str">
        <f>IF(RoadTra_BY!BC$1="","\I:",RoadTra_BY!BC$1)</f>
        <v>\I:</v>
      </c>
      <c r="AV32" t="str">
        <f>IF(RoadTra_BY!BD$1="","\I:",RoadTra_BY!BD$1)</f>
        <v>\I:</v>
      </c>
      <c r="AW32" t="str">
        <f>IF(RoadTra_BY!BE$1="","\I:",RoadTra_BY!BE$1)</f>
        <v>\I:</v>
      </c>
      <c r="AX32" t="s">
        <v>45</v>
      </c>
    </row>
    <row r="33" spans="3:53">
      <c r="C33" t="s">
        <v>62</v>
      </c>
      <c r="D33" t="str">
        <f>"*"&amp;ROUND(SUMIFS(RoadTra_BY!L$2:L$79,RoadTra_BY!$B$2:$B$79,'Road transport'!$C33,RoadTra_BY!$C$2:$C$79,'Road transport'!$BA33),3)</f>
        <v>*0</v>
      </c>
      <c r="E33" t="str">
        <f>"*"&amp;ROUND(SUMIFS(RoadTra_BY!M$2:M$79,RoadTra_BY!$B$2:$B$79,'Road transport'!$C33,RoadTra_BY!$C$2:$C$79,'Road transport'!$BA33),3)</f>
        <v>*0</v>
      </c>
      <c r="F33" t="str">
        <f>"*"&amp;ROUND(SUMIFS(RoadTra_BY!N$2:N$79,RoadTra_BY!$B$2:$B$79,'Road transport'!$C33,RoadTra_BY!$C$2:$C$79,'Road transport'!$BA33),3)</f>
        <v>*0</v>
      </c>
      <c r="G33" t="str">
        <f>"*"&amp;ROUND(SUMIFS(RoadTra_BY!O$2:O$79,RoadTra_BY!$B$2:$B$79,'Road transport'!$C33,RoadTra_BY!$C$2:$C$79,'Road transport'!$BA33),3)</f>
        <v>*0</v>
      </c>
      <c r="H33" t="str">
        <f>"*"&amp;ROUND(SUMIFS(RoadTra_BY!P$2:P$79,RoadTra_BY!$B$2:$B$79,'Road transport'!$C33,RoadTra_BY!$C$2:$C$79,'Road transport'!$BA33),3)</f>
        <v>*0</v>
      </c>
      <c r="I33" t="str">
        <f>"*"&amp;ROUND(SUMIFS(RoadTra_BY!Q$2:Q$79,RoadTra_BY!$B$2:$B$79,'Road transport'!$C33,RoadTra_BY!$C$2:$C$79,'Road transport'!$BA33),3)</f>
        <v>*0</v>
      </c>
      <c r="J33" t="str">
        <f>"*"&amp;ROUND(SUMIFS(RoadTra_BY!R$2:R$79,RoadTra_BY!$B$2:$B$79,'Road transport'!$C33,RoadTra_BY!$C$2:$C$79,'Road transport'!$BA33),3)</f>
        <v>*0</v>
      </c>
      <c r="K33" t="str">
        <f>"*"&amp;ROUND(SUMIFS(RoadTra_BY!S$2:S$79,RoadTra_BY!$B$2:$B$79,'Road transport'!$C33,RoadTra_BY!$C$2:$C$79,'Road transport'!$BA33),3)</f>
        <v>*0</v>
      </c>
      <c r="L33" t="str">
        <f>"*"&amp;ROUND(SUMIFS(RoadTra_BY!T$2:T$79,RoadTra_BY!$B$2:$B$79,'Road transport'!$C33,RoadTra_BY!$C$2:$C$79,'Road transport'!$BA33),3)</f>
        <v>*0</v>
      </c>
      <c r="M33" t="str">
        <f>"*"&amp;ROUND(SUMIFS(RoadTra_BY!U$2:U$79,RoadTra_BY!$B$2:$B$79,'Road transport'!$C33,RoadTra_BY!$C$2:$C$79,'Road transport'!$BA33),3)</f>
        <v>*0</v>
      </c>
      <c r="N33" t="str">
        <f>"*"&amp;ROUND(SUMIFS(RoadTra_BY!V$2:V$79,RoadTra_BY!$B$2:$B$79,'Road transport'!$C33,RoadTra_BY!$C$2:$C$79,'Road transport'!$BA33),3)</f>
        <v>*0</v>
      </c>
      <c r="O33" t="str">
        <f>"*"&amp;ROUND(SUMIFS(RoadTra_BY!W$2:W$79,RoadTra_BY!$B$2:$B$79,'Road transport'!$C33,RoadTra_BY!$C$2:$C$79,'Road transport'!$BA33),3)</f>
        <v>*0</v>
      </c>
      <c r="P33" t="str">
        <f>"*"&amp;ROUND(SUMIFS(RoadTra_BY!X$2:X$79,RoadTra_BY!$B$2:$B$79,'Road transport'!$C33,RoadTra_BY!$C$2:$C$79,'Road transport'!$BA33),3)</f>
        <v>*0</v>
      </c>
      <c r="Q33" t="str">
        <f>"*"&amp;ROUND(SUMIFS(RoadTra_BY!Y$2:Y$79,RoadTra_BY!$B$2:$B$79,'Road transport'!$C33,RoadTra_BY!$C$2:$C$79,'Road transport'!$BA33),3)</f>
        <v>*0</v>
      </c>
      <c r="R33" t="str">
        <f>"*"&amp;ROUND(SUMIFS(RoadTra_BY!Z$2:Z$79,RoadTra_BY!$B$2:$B$79,'Road transport'!$C33,RoadTra_BY!$C$2:$C$79,'Road transport'!$BA33),3)</f>
        <v>*0</v>
      </c>
      <c r="S33" t="str">
        <f>"*"&amp;ROUND(SUMIFS(RoadTra_BY!AA$2:AA$79,RoadTra_BY!$B$2:$B$79,'Road transport'!$C33,RoadTra_BY!$C$2:$C$79,'Road transport'!$BA33),3)</f>
        <v>*0</v>
      </c>
      <c r="T33" t="str">
        <f>"*"&amp;ROUND(SUMIFS(RoadTra_BY!AB$2:AB$79,RoadTra_BY!$B$2:$B$79,'Road transport'!$C33,RoadTra_BY!$C$2:$C$79,'Road transport'!$BA33),3)</f>
        <v>*0</v>
      </c>
      <c r="U33" t="str">
        <f>"*"&amp;ROUND(SUMIFS(RoadTra_BY!AC$2:AC$79,RoadTra_BY!$B$2:$B$79,'Road transport'!$C33,RoadTra_BY!$C$2:$C$79,'Road transport'!$BA33),3)</f>
        <v>*0</v>
      </c>
      <c r="V33" t="str">
        <f>"*"&amp;ROUND(SUMIFS(RoadTra_BY!AD$2:AD$79,RoadTra_BY!$B$2:$B$79,'Road transport'!$C33,RoadTra_BY!$C$2:$C$79,'Road transport'!$BA33),3)</f>
        <v>*0</v>
      </c>
      <c r="W33" t="str">
        <f>"*"&amp;ROUND(SUMIFS(RoadTra_BY!AE$2:AE$79,RoadTra_BY!$B$2:$B$79,'Road transport'!$C33,RoadTra_BY!$C$2:$C$79,'Road transport'!$BA33),3)</f>
        <v>*0</v>
      </c>
      <c r="X33" t="str">
        <f>"*"&amp;ROUND(SUMIFS(RoadTra_BY!AF$2:AF$79,RoadTra_BY!$B$2:$B$79,'Road transport'!$C33,RoadTra_BY!$C$2:$C$79,'Road transport'!$BA33),3)</f>
        <v>*0</v>
      </c>
      <c r="Y33" t="str">
        <f>"*"&amp;ROUND(SUMIFS(RoadTra_BY!AG$2:AG$79,RoadTra_BY!$B$2:$B$79,'Road transport'!$C33,RoadTra_BY!$C$2:$C$79,'Road transport'!$BA33),3)</f>
        <v>*0</v>
      </c>
      <c r="Z33" t="str">
        <f>"*"&amp;ROUND(SUMIFS(RoadTra_BY!AH$2:AH$79,RoadTra_BY!$B$2:$B$79,'Road transport'!$C33,RoadTra_BY!$C$2:$C$79,'Road transport'!$BA33),3)</f>
        <v>*0</v>
      </c>
      <c r="AA33" t="str">
        <f>"*"&amp;ROUND(SUMIFS(RoadTra_BY!AI$2:AI$79,RoadTra_BY!$B$2:$B$79,'Road transport'!$C33,RoadTra_BY!$C$2:$C$79,'Road transport'!$BA33),3)</f>
        <v>*0</v>
      </c>
      <c r="AB33" t="str">
        <f>"*"&amp;ROUND(SUMIFS(RoadTra_BY!AJ$2:AJ$79,RoadTra_BY!$B$2:$B$79,'Road transport'!$C33,RoadTra_BY!$C$2:$C$79,'Road transport'!$BA33),3)</f>
        <v>*0</v>
      </c>
      <c r="AC33" t="str">
        <f>"*"&amp;ROUND(SUMIFS(RoadTra_BY!AK$2:AK$79,RoadTra_BY!$B$2:$B$79,'Road transport'!$C33,RoadTra_BY!$C$2:$C$79,'Road transport'!$BA33),3)</f>
        <v>*0</v>
      </c>
      <c r="AD33" t="str">
        <f>"*"&amp;ROUND(SUMIFS(RoadTra_BY!AL$2:AL$79,RoadTra_BY!$B$2:$B$79,'Road transport'!$C33,RoadTra_BY!$C$2:$C$79,'Road transport'!$BA33),3)</f>
        <v>*0</v>
      </c>
      <c r="AE33" t="str">
        <f>"*"&amp;ROUND(SUMIFS(RoadTra_BY!AM$2:AM$79,RoadTra_BY!$B$2:$B$79,'Road transport'!$C33,RoadTra_BY!$C$2:$C$79,'Road transport'!$BA33),3)</f>
        <v>*0</v>
      </c>
      <c r="AF33" t="str">
        <f>"*"&amp;ROUND(SUMIFS(RoadTra_BY!AN$2:AN$79,RoadTra_BY!$B$2:$B$79,'Road transport'!$C33,RoadTra_BY!$C$2:$C$79,'Road transport'!$BA33),3)</f>
        <v>*0</v>
      </c>
      <c r="AG33" t="str">
        <f>"*"&amp;ROUND(SUMIFS(RoadTra_BY!AO$2:AO$79,RoadTra_BY!$B$2:$B$79,'Road transport'!$C33,RoadTra_BY!$C$2:$C$79,'Road transport'!$BA33),3)</f>
        <v>*0</v>
      </c>
      <c r="AH33" t="str">
        <f>"*"&amp;ROUND(SUMIFS(RoadTra_BY!AP$2:AP$79,RoadTra_BY!$B$2:$B$79,'Road transport'!$C33,RoadTra_BY!$C$2:$C$79,'Road transport'!$BA33),3)</f>
        <v>*0</v>
      </c>
      <c r="AI33" t="str">
        <f>"*"&amp;ROUND(SUMIFS(RoadTra_BY!AQ$2:AQ$79,RoadTra_BY!$B$2:$B$79,'Road transport'!$C33,RoadTra_BY!$C$2:$C$79,'Road transport'!$BA33),3)</f>
        <v>*0</v>
      </c>
      <c r="AJ33" t="str">
        <f>"*"&amp;ROUND(SUMIFS(RoadTra_BY!AR$2:AR$79,RoadTra_BY!$B$2:$B$79,'Road transport'!$C33,RoadTra_BY!$C$2:$C$79,'Road transport'!$BA33),3)</f>
        <v>*0</v>
      </c>
      <c r="AK33" t="str">
        <f>"*"&amp;ROUND(SUMIFS(RoadTra_BY!AS$2:AS$79,RoadTra_BY!$B$2:$B$79,'Road transport'!$C33,RoadTra_BY!$C$2:$C$79,'Road transport'!$BA33),3)</f>
        <v>*0</v>
      </c>
      <c r="AL33" t="str">
        <f>"*"&amp;ROUND(SUMIFS(RoadTra_BY!AT$2:AT$79,RoadTra_BY!$B$2:$B$79,'Road transport'!$C33,RoadTra_BY!$C$2:$C$79,'Road transport'!$BA33),3)</f>
        <v>*0</v>
      </c>
      <c r="AM33" t="str">
        <f>"*"&amp;ROUND(SUMIFS(RoadTra_BY!AU$2:AU$79,RoadTra_BY!$B$2:$B$79,'Road transport'!$C33,RoadTra_BY!$C$2:$C$79,'Road transport'!$BA33),3)</f>
        <v>*0</v>
      </c>
      <c r="AN33" t="str">
        <f>"*"&amp;ROUND(SUMIFS(RoadTra_BY!AV$2:AV$79,RoadTra_BY!$B$2:$B$79,'Road transport'!$C33,RoadTra_BY!$C$2:$C$79,'Road transport'!$BA33),3)</f>
        <v>*0</v>
      </c>
      <c r="AO33" t="str">
        <f>"*"&amp;ROUND(SUMIFS(RoadTra_BY!AW$2:AW$79,RoadTra_BY!$B$2:$B$79,'Road transport'!$C33,RoadTra_BY!$C$2:$C$79,'Road transport'!$BA33),3)</f>
        <v>*0</v>
      </c>
      <c r="AP33" t="str">
        <f>"*"&amp;ROUND(SUMIFS(RoadTra_BY!AX$2:AX$79,RoadTra_BY!$B$2:$B$79,'Road transport'!$C33,RoadTra_BY!$C$2:$C$79,'Road transport'!$BA33),3)</f>
        <v>*0</v>
      </c>
      <c r="AQ33" t="str">
        <f>"*"&amp;ROUND(SUMIFS(RoadTra_BY!AY$2:AY$79,RoadTra_BY!$B$2:$B$79,'Road transport'!$C33,RoadTra_BY!$C$2:$C$79,'Road transport'!$BA33),3)</f>
        <v>*0</v>
      </c>
      <c r="AR33" t="str">
        <f>"*"&amp;ROUND(SUMIFS(RoadTra_BY!AZ$2:AZ$79,RoadTra_BY!$B$2:$B$79,'Road transport'!$C33,RoadTra_BY!$C$2:$C$79,'Road transport'!$BA33),3)</f>
        <v>*0</v>
      </c>
      <c r="AS33" t="str">
        <f>"*"&amp;ROUND(SUMIFS(RoadTra_BY!BA$2:BA$79,RoadTra_BY!$B$2:$B$79,'Road transport'!$C33,RoadTra_BY!$C$2:$C$79,'Road transport'!$BA33),3)</f>
        <v>*0</v>
      </c>
      <c r="AT33" t="str">
        <f>"*"&amp;ROUND(SUMIFS(RoadTra_BY!BB$2:BB$79,RoadTra_BY!$B$2:$B$79,'Road transport'!$C33,RoadTra_BY!$C$2:$C$79,'Road transport'!$BA33),3)</f>
        <v>*0</v>
      </c>
      <c r="AU33" t="str">
        <f>"*"&amp;ROUND(SUMIFS(RoadTra_BY!BC$2:BC$79,RoadTra_BY!$B$2:$B$79,'Road transport'!$C33,RoadTra_BY!$C$2:$C$79,'Road transport'!$BA33),3)</f>
        <v>*0</v>
      </c>
      <c r="AV33" t="str">
        <f>"*"&amp;ROUND(SUMIFS(RoadTra_BY!BD$2:BD$79,RoadTra_BY!$B$2:$B$79,'Road transport'!$C33,RoadTra_BY!$C$2:$C$79,'Road transport'!$BA33),3)</f>
        <v>*0</v>
      </c>
      <c r="AW33" t="str">
        <f>"*"&amp;ROUND(SUMIFS(RoadTra_BY!BE$2:BE$79,RoadTra_BY!$B$2:$B$79,'Road transport'!$C33,RoadTra_BY!$C$2:$C$79,'Road transport'!$BA33),3)</f>
        <v>*0</v>
      </c>
      <c r="AX33" t="str">
        <f>SUBSTITUTE(SUBSTITUTE(BA33,"gsl",""),"dsl","")&amp;"*"</f>
        <v>Trd_2w_*</v>
      </c>
      <c r="AZ33">
        <f t="shared" ref="AZ33:AZ38" si="0">IFERROR(IF(FIND("gsl",BA33)&gt;0,1,0),2)</f>
        <v>1</v>
      </c>
      <c r="BA33" t="s">
        <v>107</v>
      </c>
    </row>
    <row r="34" spans="3:53">
      <c r="C34" t="s">
        <v>62</v>
      </c>
      <c r="D34" t="str">
        <f>"*"&amp;ROUND(SUMIFS(RoadTra_BY!L$2:L$79,RoadTra_BY!$B$2:$B$79,'Road transport'!$C34,RoadTra_BY!$C$2:$C$79,'Road transport'!$BA34),3)</f>
        <v>*0</v>
      </c>
      <c r="E34" t="str">
        <f>"*"&amp;ROUND(SUMIFS(RoadTra_BY!M$2:M$79,RoadTra_BY!$B$2:$B$79,'Road transport'!$C34,RoadTra_BY!$C$2:$C$79,'Road transport'!$BA34),3)</f>
        <v>*0</v>
      </c>
      <c r="F34" t="str">
        <f>"*"&amp;ROUND(SUMIFS(RoadTra_BY!N$2:N$79,RoadTra_BY!$B$2:$B$79,'Road transport'!$C34,RoadTra_BY!$C$2:$C$79,'Road transport'!$BA34),3)</f>
        <v>*0</v>
      </c>
      <c r="G34" t="str">
        <f>"*"&amp;ROUND(SUMIFS(RoadTra_BY!O$2:O$79,RoadTra_BY!$B$2:$B$79,'Road transport'!$C34,RoadTra_BY!$C$2:$C$79,'Road transport'!$BA34),3)</f>
        <v>*0</v>
      </c>
      <c r="H34" t="str">
        <f>"*"&amp;ROUND(SUMIFS(RoadTra_BY!P$2:P$79,RoadTra_BY!$B$2:$B$79,'Road transport'!$C34,RoadTra_BY!$C$2:$C$79,'Road transport'!$BA34),3)</f>
        <v>*0</v>
      </c>
      <c r="I34" t="str">
        <f>"*"&amp;ROUND(SUMIFS(RoadTra_BY!Q$2:Q$79,RoadTra_BY!$B$2:$B$79,'Road transport'!$C34,RoadTra_BY!$C$2:$C$79,'Road transport'!$BA34),3)</f>
        <v>*0</v>
      </c>
      <c r="J34" t="str">
        <f>"*"&amp;ROUND(SUMIFS(RoadTra_BY!R$2:R$79,RoadTra_BY!$B$2:$B$79,'Road transport'!$C34,RoadTra_BY!$C$2:$C$79,'Road transport'!$BA34),3)</f>
        <v>*0</v>
      </c>
      <c r="K34" t="str">
        <f>"*"&amp;ROUND(SUMIFS(RoadTra_BY!S$2:S$79,RoadTra_BY!$B$2:$B$79,'Road transport'!$C34,RoadTra_BY!$C$2:$C$79,'Road transport'!$BA34),3)</f>
        <v>*0</v>
      </c>
      <c r="L34" t="str">
        <f>"*"&amp;ROUND(SUMIFS(RoadTra_BY!T$2:T$79,RoadTra_BY!$B$2:$B$79,'Road transport'!$C34,RoadTra_BY!$C$2:$C$79,'Road transport'!$BA34),3)</f>
        <v>*0</v>
      </c>
      <c r="M34" t="str">
        <f>"*"&amp;ROUND(SUMIFS(RoadTra_BY!U$2:U$79,RoadTra_BY!$B$2:$B$79,'Road transport'!$C34,RoadTra_BY!$C$2:$C$79,'Road transport'!$BA34),3)</f>
        <v>*0</v>
      </c>
      <c r="N34" t="str">
        <f>"*"&amp;ROUND(SUMIFS(RoadTra_BY!V$2:V$79,RoadTra_BY!$B$2:$B$79,'Road transport'!$C34,RoadTra_BY!$C$2:$C$79,'Road transport'!$BA34),3)</f>
        <v>*0</v>
      </c>
      <c r="O34" t="str">
        <f>"*"&amp;ROUND(SUMIFS(RoadTra_BY!W$2:W$79,RoadTra_BY!$B$2:$B$79,'Road transport'!$C34,RoadTra_BY!$C$2:$C$79,'Road transport'!$BA34),3)</f>
        <v>*0</v>
      </c>
      <c r="P34" t="str">
        <f>"*"&amp;ROUND(SUMIFS(RoadTra_BY!X$2:X$79,RoadTra_BY!$B$2:$B$79,'Road transport'!$C34,RoadTra_BY!$C$2:$C$79,'Road transport'!$BA34),3)</f>
        <v>*0</v>
      </c>
      <c r="Q34" t="str">
        <f>"*"&amp;ROUND(SUMIFS(RoadTra_BY!Y$2:Y$79,RoadTra_BY!$B$2:$B$79,'Road transport'!$C34,RoadTra_BY!$C$2:$C$79,'Road transport'!$BA34),3)</f>
        <v>*0</v>
      </c>
      <c r="R34" t="str">
        <f>"*"&amp;ROUND(SUMIFS(RoadTra_BY!Z$2:Z$79,RoadTra_BY!$B$2:$B$79,'Road transport'!$C34,RoadTra_BY!$C$2:$C$79,'Road transport'!$BA34),3)</f>
        <v>*0</v>
      </c>
      <c r="S34" t="str">
        <f>"*"&amp;ROUND(SUMIFS(RoadTra_BY!AA$2:AA$79,RoadTra_BY!$B$2:$B$79,'Road transport'!$C34,RoadTra_BY!$C$2:$C$79,'Road transport'!$BA34),3)</f>
        <v>*0</v>
      </c>
      <c r="T34" t="str">
        <f>"*"&amp;ROUND(SUMIFS(RoadTra_BY!AB$2:AB$79,RoadTra_BY!$B$2:$B$79,'Road transport'!$C34,RoadTra_BY!$C$2:$C$79,'Road transport'!$BA34),3)</f>
        <v>*0</v>
      </c>
      <c r="U34" t="str">
        <f>"*"&amp;ROUND(SUMIFS(RoadTra_BY!AC$2:AC$79,RoadTra_BY!$B$2:$B$79,'Road transport'!$C34,RoadTra_BY!$C$2:$C$79,'Road transport'!$BA34),3)</f>
        <v>*0</v>
      </c>
      <c r="V34" t="str">
        <f>"*"&amp;ROUND(SUMIFS(RoadTra_BY!AD$2:AD$79,RoadTra_BY!$B$2:$B$79,'Road transport'!$C34,RoadTra_BY!$C$2:$C$79,'Road transport'!$BA34),3)</f>
        <v>*0</v>
      </c>
      <c r="W34" t="str">
        <f>"*"&amp;ROUND(SUMIFS(RoadTra_BY!AE$2:AE$79,RoadTra_BY!$B$2:$B$79,'Road transport'!$C34,RoadTra_BY!$C$2:$C$79,'Road transport'!$BA34),3)</f>
        <v>*0</v>
      </c>
      <c r="X34" t="str">
        <f>"*"&amp;ROUND(SUMIFS(RoadTra_BY!AF$2:AF$79,RoadTra_BY!$B$2:$B$79,'Road transport'!$C34,RoadTra_BY!$C$2:$C$79,'Road transport'!$BA34),3)</f>
        <v>*0</v>
      </c>
      <c r="Y34" t="str">
        <f>"*"&amp;ROUND(SUMIFS(RoadTra_BY!AG$2:AG$79,RoadTra_BY!$B$2:$B$79,'Road transport'!$C34,RoadTra_BY!$C$2:$C$79,'Road transport'!$BA34),3)</f>
        <v>*0</v>
      </c>
      <c r="Z34" t="str">
        <f>"*"&amp;ROUND(SUMIFS(RoadTra_BY!AH$2:AH$79,RoadTra_BY!$B$2:$B$79,'Road transport'!$C34,RoadTra_BY!$C$2:$C$79,'Road transport'!$BA34),3)</f>
        <v>*0</v>
      </c>
      <c r="AA34" t="str">
        <f>"*"&amp;ROUND(SUMIFS(RoadTra_BY!AI$2:AI$79,RoadTra_BY!$B$2:$B$79,'Road transport'!$C34,RoadTra_BY!$C$2:$C$79,'Road transport'!$BA34),3)</f>
        <v>*0</v>
      </c>
      <c r="AB34" t="str">
        <f>"*"&amp;ROUND(SUMIFS(RoadTra_BY!AJ$2:AJ$79,RoadTra_BY!$B$2:$B$79,'Road transport'!$C34,RoadTra_BY!$C$2:$C$79,'Road transport'!$BA34),3)</f>
        <v>*0</v>
      </c>
      <c r="AC34" t="str">
        <f>"*"&amp;ROUND(SUMIFS(RoadTra_BY!AK$2:AK$79,RoadTra_BY!$B$2:$B$79,'Road transport'!$C34,RoadTra_BY!$C$2:$C$79,'Road transport'!$BA34),3)</f>
        <v>*0</v>
      </c>
      <c r="AD34" t="str">
        <f>"*"&amp;ROUND(SUMIFS(RoadTra_BY!AL$2:AL$79,RoadTra_BY!$B$2:$B$79,'Road transport'!$C34,RoadTra_BY!$C$2:$C$79,'Road transport'!$BA34),3)</f>
        <v>*0</v>
      </c>
      <c r="AE34" t="str">
        <f>"*"&amp;ROUND(SUMIFS(RoadTra_BY!AM$2:AM$79,RoadTra_BY!$B$2:$B$79,'Road transport'!$C34,RoadTra_BY!$C$2:$C$79,'Road transport'!$BA34),3)</f>
        <v>*0</v>
      </c>
      <c r="AF34" t="str">
        <f>"*"&amp;ROUND(SUMIFS(RoadTra_BY!AN$2:AN$79,RoadTra_BY!$B$2:$B$79,'Road transport'!$C34,RoadTra_BY!$C$2:$C$79,'Road transport'!$BA34),3)</f>
        <v>*0</v>
      </c>
      <c r="AG34" t="str">
        <f>"*"&amp;ROUND(SUMIFS(RoadTra_BY!AO$2:AO$79,RoadTra_BY!$B$2:$B$79,'Road transport'!$C34,RoadTra_BY!$C$2:$C$79,'Road transport'!$BA34),3)</f>
        <v>*0</v>
      </c>
      <c r="AH34" t="str">
        <f>"*"&amp;ROUND(SUMIFS(RoadTra_BY!AP$2:AP$79,RoadTra_BY!$B$2:$B$79,'Road transport'!$C34,RoadTra_BY!$C$2:$C$79,'Road transport'!$BA34),3)</f>
        <v>*0</v>
      </c>
      <c r="AI34" t="str">
        <f>"*"&amp;ROUND(SUMIFS(RoadTra_BY!AQ$2:AQ$79,RoadTra_BY!$B$2:$B$79,'Road transport'!$C34,RoadTra_BY!$C$2:$C$79,'Road transport'!$BA34),3)</f>
        <v>*0</v>
      </c>
      <c r="AJ34" t="str">
        <f>"*"&amp;ROUND(SUMIFS(RoadTra_BY!AR$2:AR$79,RoadTra_BY!$B$2:$B$79,'Road transport'!$C34,RoadTra_BY!$C$2:$C$79,'Road transport'!$BA34),3)</f>
        <v>*0</v>
      </c>
      <c r="AK34" t="str">
        <f>"*"&amp;ROUND(SUMIFS(RoadTra_BY!AS$2:AS$79,RoadTra_BY!$B$2:$B$79,'Road transport'!$C34,RoadTra_BY!$C$2:$C$79,'Road transport'!$BA34),3)</f>
        <v>*0</v>
      </c>
      <c r="AL34" t="str">
        <f>"*"&amp;ROUND(SUMIFS(RoadTra_BY!AT$2:AT$79,RoadTra_BY!$B$2:$B$79,'Road transport'!$C34,RoadTra_BY!$C$2:$C$79,'Road transport'!$BA34),3)</f>
        <v>*0</v>
      </c>
      <c r="AM34" t="str">
        <f>"*"&amp;ROUND(SUMIFS(RoadTra_BY!AU$2:AU$79,RoadTra_BY!$B$2:$B$79,'Road transport'!$C34,RoadTra_BY!$C$2:$C$79,'Road transport'!$BA34),3)</f>
        <v>*0</v>
      </c>
      <c r="AN34" t="str">
        <f>"*"&amp;ROUND(SUMIFS(RoadTra_BY!AV$2:AV$79,RoadTra_BY!$B$2:$B$79,'Road transport'!$C34,RoadTra_BY!$C$2:$C$79,'Road transport'!$BA34),3)</f>
        <v>*0</v>
      </c>
      <c r="AO34" t="str">
        <f>"*"&amp;ROUND(SUMIFS(RoadTra_BY!AW$2:AW$79,RoadTra_BY!$B$2:$B$79,'Road transport'!$C34,RoadTra_BY!$C$2:$C$79,'Road transport'!$BA34),3)</f>
        <v>*0</v>
      </c>
      <c r="AP34" t="str">
        <f>"*"&amp;ROUND(SUMIFS(RoadTra_BY!AX$2:AX$79,RoadTra_BY!$B$2:$B$79,'Road transport'!$C34,RoadTra_BY!$C$2:$C$79,'Road transport'!$BA34),3)</f>
        <v>*0</v>
      </c>
      <c r="AQ34" t="str">
        <f>"*"&amp;ROUND(SUMIFS(RoadTra_BY!AY$2:AY$79,RoadTra_BY!$B$2:$B$79,'Road transport'!$C34,RoadTra_BY!$C$2:$C$79,'Road transport'!$BA34),3)</f>
        <v>*0</v>
      </c>
      <c r="AR34" t="str">
        <f>"*"&amp;ROUND(SUMIFS(RoadTra_BY!AZ$2:AZ$79,RoadTra_BY!$B$2:$B$79,'Road transport'!$C34,RoadTra_BY!$C$2:$C$79,'Road transport'!$BA34),3)</f>
        <v>*0</v>
      </c>
      <c r="AS34" t="str">
        <f>"*"&amp;ROUND(SUMIFS(RoadTra_BY!BA$2:BA$79,RoadTra_BY!$B$2:$B$79,'Road transport'!$C34,RoadTra_BY!$C$2:$C$79,'Road transport'!$BA34),3)</f>
        <v>*0</v>
      </c>
      <c r="AT34" t="str">
        <f>"*"&amp;ROUND(SUMIFS(RoadTra_BY!BB$2:BB$79,RoadTra_BY!$B$2:$B$79,'Road transport'!$C34,RoadTra_BY!$C$2:$C$79,'Road transport'!$BA34),3)</f>
        <v>*0</v>
      </c>
      <c r="AU34" t="str">
        <f>"*"&amp;ROUND(SUMIFS(RoadTra_BY!BC$2:BC$79,RoadTra_BY!$B$2:$B$79,'Road transport'!$C34,RoadTra_BY!$C$2:$C$79,'Road transport'!$BA34),3)</f>
        <v>*0</v>
      </c>
      <c r="AV34" t="str">
        <f>"*"&amp;ROUND(SUMIFS(RoadTra_BY!BD$2:BD$79,RoadTra_BY!$B$2:$B$79,'Road transport'!$C34,RoadTra_BY!$C$2:$C$79,'Road transport'!$BA34),3)</f>
        <v>*0</v>
      </c>
      <c r="AW34" t="str">
        <f>"*"&amp;ROUND(SUMIFS(RoadTra_BY!BE$2:BE$79,RoadTra_BY!$B$2:$B$79,'Road transport'!$C34,RoadTra_BY!$C$2:$C$79,'Road transport'!$BA34),3)</f>
        <v>*0</v>
      </c>
      <c r="AX34" t="str">
        <f t="shared" ref="AX34:AX38" si="1">SUBSTITUTE(SUBSTITUTE(BA34,"gsl",""),"dsl","")&amp;"*"</f>
        <v>Trd_3w_*</v>
      </c>
      <c r="AZ34">
        <f t="shared" si="0"/>
        <v>1</v>
      </c>
      <c r="BA34" t="s">
        <v>108</v>
      </c>
    </row>
    <row r="35" spans="3:53">
      <c r="C35" t="s">
        <v>62</v>
      </c>
      <c r="D35" t="str">
        <f>"*"&amp;ROUND(SUMIFS(RoadTra_BY!L$2:L$79,RoadTra_BY!$B$2:$B$79,'Road transport'!$C35,RoadTra_BY!$C$2:$C$79,'Road transport'!$BA35),3)</f>
        <v>*0</v>
      </c>
      <c r="E35" t="str">
        <f>"*"&amp;ROUND(SUMIFS(RoadTra_BY!M$2:M$79,RoadTra_BY!$B$2:$B$79,'Road transport'!$C35,RoadTra_BY!$C$2:$C$79,'Road transport'!$BA35),3)</f>
        <v>*0</v>
      </c>
      <c r="F35" t="str">
        <f>"*"&amp;ROUND(SUMIFS(RoadTra_BY!N$2:N$79,RoadTra_BY!$B$2:$B$79,'Road transport'!$C35,RoadTra_BY!$C$2:$C$79,'Road transport'!$BA35),3)</f>
        <v>*0</v>
      </c>
      <c r="G35" t="str">
        <f>"*"&amp;ROUND(SUMIFS(RoadTra_BY!O$2:O$79,RoadTra_BY!$B$2:$B$79,'Road transport'!$C35,RoadTra_BY!$C$2:$C$79,'Road transport'!$BA35),3)</f>
        <v>*0</v>
      </c>
      <c r="H35" t="str">
        <f>"*"&amp;ROUND(SUMIFS(RoadTra_BY!P$2:P$79,RoadTra_BY!$B$2:$B$79,'Road transport'!$C35,RoadTra_BY!$C$2:$C$79,'Road transport'!$BA35),3)</f>
        <v>*0</v>
      </c>
      <c r="I35" t="str">
        <f>"*"&amp;ROUND(SUMIFS(RoadTra_BY!Q$2:Q$79,RoadTra_BY!$B$2:$B$79,'Road transport'!$C35,RoadTra_BY!$C$2:$C$79,'Road transport'!$BA35),3)</f>
        <v>*0</v>
      </c>
      <c r="J35" t="str">
        <f>"*"&amp;ROUND(SUMIFS(RoadTra_BY!R$2:R$79,RoadTra_BY!$B$2:$B$79,'Road transport'!$C35,RoadTra_BY!$C$2:$C$79,'Road transport'!$BA35),3)</f>
        <v>*0</v>
      </c>
      <c r="K35" t="str">
        <f>"*"&amp;ROUND(SUMIFS(RoadTra_BY!S$2:S$79,RoadTra_BY!$B$2:$B$79,'Road transport'!$C35,RoadTra_BY!$C$2:$C$79,'Road transport'!$BA35),3)</f>
        <v>*0</v>
      </c>
      <c r="L35" t="str">
        <f>"*"&amp;ROUND(SUMIFS(RoadTra_BY!T$2:T$79,RoadTra_BY!$B$2:$B$79,'Road transport'!$C35,RoadTra_BY!$C$2:$C$79,'Road transport'!$BA35),3)</f>
        <v>*0</v>
      </c>
      <c r="M35" t="str">
        <f>"*"&amp;ROUND(SUMIFS(RoadTra_BY!U$2:U$79,RoadTra_BY!$B$2:$B$79,'Road transport'!$C35,RoadTra_BY!$C$2:$C$79,'Road transport'!$BA35),3)</f>
        <v>*0</v>
      </c>
      <c r="N35" t="str">
        <f>"*"&amp;ROUND(SUMIFS(RoadTra_BY!V$2:V$79,RoadTra_BY!$B$2:$B$79,'Road transport'!$C35,RoadTra_BY!$C$2:$C$79,'Road transport'!$BA35),3)</f>
        <v>*0</v>
      </c>
      <c r="O35" t="str">
        <f>"*"&amp;ROUND(SUMIFS(RoadTra_BY!W$2:W$79,RoadTra_BY!$B$2:$B$79,'Road transport'!$C35,RoadTra_BY!$C$2:$C$79,'Road transport'!$BA35),3)</f>
        <v>*0</v>
      </c>
      <c r="P35" t="str">
        <f>"*"&amp;ROUND(SUMIFS(RoadTra_BY!X$2:X$79,RoadTra_BY!$B$2:$B$79,'Road transport'!$C35,RoadTra_BY!$C$2:$C$79,'Road transport'!$BA35),3)</f>
        <v>*0</v>
      </c>
      <c r="Q35" t="str">
        <f>"*"&amp;ROUND(SUMIFS(RoadTra_BY!Y$2:Y$79,RoadTra_BY!$B$2:$B$79,'Road transport'!$C35,RoadTra_BY!$C$2:$C$79,'Road transport'!$BA35),3)</f>
        <v>*0</v>
      </c>
      <c r="R35" t="str">
        <f>"*"&amp;ROUND(SUMIFS(RoadTra_BY!Z$2:Z$79,RoadTra_BY!$B$2:$B$79,'Road transport'!$C35,RoadTra_BY!$C$2:$C$79,'Road transport'!$BA35),3)</f>
        <v>*0</v>
      </c>
      <c r="S35" t="str">
        <f>"*"&amp;ROUND(SUMIFS(RoadTra_BY!AA$2:AA$79,RoadTra_BY!$B$2:$B$79,'Road transport'!$C35,RoadTra_BY!$C$2:$C$79,'Road transport'!$BA35),3)</f>
        <v>*0</v>
      </c>
      <c r="T35" t="str">
        <f>"*"&amp;ROUND(SUMIFS(RoadTra_BY!AB$2:AB$79,RoadTra_BY!$B$2:$B$79,'Road transport'!$C35,RoadTra_BY!$C$2:$C$79,'Road transport'!$BA35),3)</f>
        <v>*0</v>
      </c>
      <c r="U35" t="str">
        <f>"*"&amp;ROUND(SUMIFS(RoadTra_BY!AC$2:AC$79,RoadTra_BY!$B$2:$B$79,'Road transport'!$C35,RoadTra_BY!$C$2:$C$79,'Road transport'!$BA35),3)</f>
        <v>*0</v>
      </c>
      <c r="V35" t="str">
        <f>"*"&amp;ROUND(SUMIFS(RoadTra_BY!AD$2:AD$79,RoadTra_BY!$B$2:$B$79,'Road transport'!$C35,RoadTra_BY!$C$2:$C$79,'Road transport'!$BA35),3)</f>
        <v>*0</v>
      </c>
      <c r="W35" t="str">
        <f>"*"&amp;ROUND(SUMIFS(RoadTra_BY!AE$2:AE$79,RoadTra_BY!$B$2:$B$79,'Road transport'!$C35,RoadTra_BY!$C$2:$C$79,'Road transport'!$BA35),3)</f>
        <v>*0</v>
      </c>
      <c r="X35" t="str">
        <f>"*"&amp;ROUND(SUMIFS(RoadTra_BY!AF$2:AF$79,RoadTra_BY!$B$2:$B$79,'Road transport'!$C35,RoadTra_BY!$C$2:$C$79,'Road transport'!$BA35),3)</f>
        <v>*0</v>
      </c>
      <c r="Y35" t="str">
        <f>"*"&amp;ROUND(SUMIFS(RoadTra_BY!AG$2:AG$79,RoadTra_BY!$B$2:$B$79,'Road transport'!$C35,RoadTra_BY!$C$2:$C$79,'Road transport'!$BA35),3)</f>
        <v>*0</v>
      </c>
      <c r="Z35" t="str">
        <f>"*"&amp;ROUND(SUMIFS(RoadTra_BY!AH$2:AH$79,RoadTra_BY!$B$2:$B$79,'Road transport'!$C35,RoadTra_BY!$C$2:$C$79,'Road transport'!$BA35),3)</f>
        <v>*0</v>
      </c>
      <c r="AA35" t="str">
        <f>"*"&amp;ROUND(SUMIFS(RoadTra_BY!AI$2:AI$79,RoadTra_BY!$B$2:$B$79,'Road transport'!$C35,RoadTra_BY!$C$2:$C$79,'Road transport'!$BA35),3)</f>
        <v>*0</v>
      </c>
      <c r="AB35" t="str">
        <f>"*"&amp;ROUND(SUMIFS(RoadTra_BY!AJ$2:AJ$79,RoadTra_BY!$B$2:$B$79,'Road transport'!$C35,RoadTra_BY!$C$2:$C$79,'Road transport'!$BA35),3)</f>
        <v>*0</v>
      </c>
      <c r="AC35" t="str">
        <f>"*"&amp;ROUND(SUMIFS(RoadTra_BY!AK$2:AK$79,RoadTra_BY!$B$2:$B$79,'Road transport'!$C35,RoadTra_BY!$C$2:$C$79,'Road transport'!$BA35),3)</f>
        <v>*0</v>
      </c>
      <c r="AD35" t="str">
        <f>"*"&amp;ROUND(SUMIFS(RoadTra_BY!AL$2:AL$79,RoadTra_BY!$B$2:$B$79,'Road transport'!$C35,RoadTra_BY!$C$2:$C$79,'Road transport'!$BA35),3)</f>
        <v>*0</v>
      </c>
      <c r="AE35" t="str">
        <f>"*"&amp;ROUND(SUMIFS(RoadTra_BY!AM$2:AM$79,RoadTra_BY!$B$2:$B$79,'Road transport'!$C35,RoadTra_BY!$C$2:$C$79,'Road transport'!$BA35),3)</f>
        <v>*0</v>
      </c>
      <c r="AF35" t="str">
        <f>"*"&amp;ROUND(SUMIFS(RoadTra_BY!AN$2:AN$79,RoadTra_BY!$B$2:$B$79,'Road transport'!$C35,RoadTra_BY!$C$2:$C$79,'Road transport'!$BA35),3)</f>
        <v>*0</v>
      </c>
      <c r="AG35" t="str">
        <f>"*"&amp;ROUND(SUMIFS(RoadTra_BY!AO$2:AO$79,RoadTra_BY!$B$2:$B$79,'Road transport'!$C35,RoadTra_BY!$C$2:$C$79,'Road transport'!$BA35),3)</f>
        <v>*0</v>
      </c>
      <c r="AH35" t="str">
        <f>"*"&amp;ROUND(SUMIFS(RoadTra_BY!AP$2:AP$79,RoadTra_BY!$B$2:$B$79,'Road transport'!$C35,RoadTra_BY!$C$2:$C$79,'Road transport'!$BA35),3)</f>
        <v>*0</v>
      </c>
      <c r="AI35" t="str">
        <f>"*"&amp;ROUND(SUMIFS(RoadTra_BY!AQ$2:AQ$79,RoadTra_BY!$B$2:$B$79,'Road transport'!$C35,RoadTra_BY!$C$2:$C$79,'Road transport'!$BA35),3)</f>
        <v>*0</v>
      </c>
      <c r="AJ35" t="str">
        <f>"*"&amp;ROUND(SUMIFS(RoadTra_BY!AR$2:AR$79,RoadTra_BY!$B$2:$B$79,'Road transport'!$C35,RoadTra_BY!$C$2:$C$79,'Road transport'!$BA35),3)</f>
        <v>*0</v>
      </c>
      <c r="AK35" t="str">
        <f>"*"&amp;ROUND(SUMIFS(RoadTra_BY!AS$2:AS$79,RoadTra_BY!$B$2:$B$79,'Road transport'!$C35,RoadTra_BY!$C$2:$C$79,'Road transport'!$BA35),3)</f>
        <v>*0</v>
      </c>
      <c r="AL35" t="str">
        <f>"*"&amp;ROUND(SUMIFS(RoadTra_BY!AT$2:AT$79,RoadTra_BY!$B$2:$B$79,'Road transport'!$C35,RoadTra_BY!$C$2:$C$79,'Road transport'!$BA35),3)</f>
        <v>*0</v>
      </c>
      <c r="AM35" t="str">
        <f>"*"&amp;ROUND(SUMIFS(RoadTra_BY!AU$2:AU$79,RoadTra_BY!$B$2:$B$79,'Road transport'!$C35,RoadTra_BY!$C$2:$C$79,'Road transport'!$BA35),3)</f>
        <v>*0</v>
      </c>
      <c r="AN35" t="str">
        <f>"*"&amp;ROUND(SUMIFS(RoadTra_BY!AV$2:AV$79,RoadTra_BY!$B$2:$B$79,'Road transport'!$C35,RoadTra_BY!$C$2:$C$79,'Road transport'!$BA35),3)</f>
        <v>*0</v>
      </c>
      <c r="AO35" t="str">
        <f>"*"&amp;ROUND(SUMIFS(RoadTra_BY!AW$2:AW$79,RoadTra_BY!$B$2:$B$79,'Road transport'!$C35,RoadTra_BY!$C$2:$C$79,'Road transport'!$BA35),3)</f>
        <v>*0</v>
      </c>
      <c r="AP35" t="str">
        <f>"*"&amp;ROUND(SUMIFS(RoadTra_BY!AX$2:AX$79,RoadTra_BY!$B$2:$B$79,'Road transport'!$C35,RoadTra_BY!$C$2:$C$79,'Road transport'!$BA35),3)</f>
        <v>*0</v>
      </c>
      <c r="AQ35" t="str">
        <f>"*"&amp;ROUND(SUMIFS(RoadTra_BY!AY$2:AY$79,RoadTra_BY!$B$2:$B$79,'Road transport'!$C35,RoadTra_BY!$C$2:$C$79,'Road transport'!$BA35),3)</f>
        <v>*0</v>
      </c>
      <c r="AR35" t="str">
        <f>"*"&amp;ROUND(SUMIFS(RoadTra_BY!AZ$2:AZ$79,RoadTra_BY!$B$2:$B$79,'Road transport'!$C35,RoadTra_BY!$C$2:$C$79,'Road transport'!$BA35),3)</f>
        <v>*0</v>
      </c>
      <c r="AS35" t="str">
        <f>"*"&amp;ROUND(SUMIFS(RoadTra_BY!BA$2:BA$79,RoadTra_BY!$B$2:$B$79,'Road transport'!$C35,RoadTra_BY!$C$2:$C$79,'Road transport'!$BA35),3)</f>
        <v>*0</v>
      </c>
      <c r="AT35" t="str">
        <f>"*"&amp;ROUND(SUMIFS(RoadTra_BY!BB$2:BB$79,RoadTra_BY!$B$2:$B$79,'Road transport'!$C35,RoadTra_BY!$C$2:$C$79,'Road transport'!$BA35),3)</f>
        <v>*0</v>
      </c>
      <c r="AU35" t="str">
        <f>"*"&amp;ROUND(SUMIFS(RoadTra_BY!BC$2:BC$79,RoadTra_BY!$B$2:$B$79,'Road transport'!$C35,RoadTra_BY!$C$2:$C$79,'Road transport'!$BA35),3)</f>
        <v>*0</v>
      </c>
      <c r="AV35" t="str">
        <f>"*"&amp;ROUND(SUMIFS(RoadTra_BY!BD$2:BD$79,RoadTra_BY!$B$2:$B$79,'Road transport'!$C35,RoadTra_BY!$C$2:$C$79,'Road transport'!$BA35),3)</f>
        <v>*0</v>
      </c>
      <c r="AW35" t="str">
        <f>"*"&amp;ROUND(SUMIFS(RoadTra_BY!BE$2:BE$79,RoadTra_BY!$B$2:$B$79,'Road transport'!$C35,RoadTra_BY!$C$2:$C$79,'Road transport'!$BA35),3)</f>
        <v>*0</v>
      </c>
      <c r="AX35" t="str">
        <f t="shared" si="1"/>
        <v>Trd_bus_*</v>
      </c>
      <c r="AZ35">
        <f t="shared" si="0"/>
        <v>2</v>
      </c>
      <c r="BA35" t="s">
        <v>109</v>
      </c>
    </row>
    <row r="36" spans="3:53">
      <c r="C36" t="s">
        <v>62</v>
      </c>
      <c r="D36" t="str">
        <f>"*"&amp;ROUND(SUMIFS(RoadTra_BY!L$2:L$79,RoadTra_BY!$B$2:$B$79,'Road transport'!$C36,RoadTra_BY!$C$2:$C$79,'Road transport'!$BA36),3)</f>
        <v>*0</v>
      </c>
      <c r="E36" t="str">
        <f>"*"&amp;ROUND(SUMIFS(RoadTra_BY!M$2:M$79,RoadTra_BY!$B$2:$B$79,'Road transport'!$C36,RoadTra_BY!$C$2:$C$79,'Road transport'!$BA36),3)</f>
        <v>*0</v>
      </c>
      <c r="F36" t="str">
        <f>"*"&amp;ROUND(SUMIFS(RoadTra_BY!N$2:N$79,RoadTra_BY!$B$2:$B$79,'Road transport'!$C36,RoadTra_BY!$C$2:$C$79,'Road transport'!$BA36),3)</f>
        <v>*0</v>
      </c>
      <c r="G36" t="str">
        <f>"*"&amp;ROUND(SUMIFS(RoadTra_BY!O$2:O$79,RoadTra_BY!$B$2:$B$79,'Road transport'!$C36,RoadTra_BY!$C$2:$C$79,'Road transport'!$BA36),3)</f>
        <v>*0</v>
      </c>
      <c r="H36" t="str">
        <f>"*"&amp;ROUND(SUMIFS(RoadTra_BY!P$2:P$79,RoadTra_BY!$B$2:$B$79,'Road transport'!$C36,RoadTra_BY!$C$2:$C$79,'Road transport'!$BA36),3)</f>
        <v>*0</v>
      </c>
      <c r="I36" t="str">
        <f>"*"&amp;ROUND(SUMIFS(RoadTra_BY!Q$2:Q$79,RoadTra_BY!$B$2:$B$79,'Road transport'!$C36,RoadTra_BY!$C$2:$C$79,'Road transport'!$BA36),3)</f>
        <v>*0</v>
      </c>
      <c r="J36" t="str">
        <f>"*"&amp;ROUND(SUMIFS(RoadTra_BY!R$2:R$79,RoadTra_BY!$B$2:$B$79,'Road transport'!$C36,RoadTra_BY!$C$2:$C$79,'Road transport'!$BA36),3)</f>
        <v>*0</v>
      </c>
      <c r="K36" t="str">
        <f>"*"&amp;ROUND(SUMIFS(RoadTra_BY!S$2:S$79,RoadTra_BY!$B$2:$B$79,'Road transport'!$C36,RoadTra_BY!$C$2:$C$79,'Road transport'!$BA36),3)</f>
        <v>*0</v>
      </c>
      <c r="L36" t="str">
        <f>"*"&amp;ROUND(SUMIFS(RoadTra_BY!T$2:T$79,RoadTra_BY!$B$2:$B$79,'Road transport'!$C36,RoadTra_BY!$C$2:$C$79,'Road transport'!$BA36),3)</f>
        <v>*0</v>
      </c>
      <c r="M36" t="str">
        <f>"*"&amp;ROUND(SUMIFS(RoadTra_BY!U$2:U$79,RoadTra_BY!$B$2:$B$79,'Road transport'!$C36,RoadTra_BY!$C$2:$C$79,'Road transport'!$BA36),3)</f>
        <v>*0</v>
      </c>
      <c r="N36" t="str">
        <f>"*"&amp;ROUND(SUMIFS(RoadTra_BY!V$2:V$79,RoadTra_BY!$B$2:$B$79,'Road transport'!$C36,RoadTra_BY!$C$2:$C$79,'Road transport'!$BA36),3)</f>
        <v>*0</v>
      </c>
      <c r="O36" t="str">
        <f>"*"&amp;ROUND(SUMIFS(RoadTra_BY!W$2:W$79,RoadTra_BY!$B$2:$B$79,'Road transport'!$C36,RoadTra_BY!$C$2:$C$79,'Road transport'!$BA36),3)</f>
        <v>*0</v>
      </c>
      <c r="P36" t="str">
        <f>"*"&amp;ROUND(SUMIFS(RoadTra_BY!X$2:X$79,RoadTra_BY!$B$2:$B$79,'Road transport'!$C36,RoadTra_BY!$C$2:$C$79,'Road transport'!$BA36),3)</f>
        <v>*0</v>
      </c>
      <c r="Q36" t="str">
        <f>"*"&amp;ROUND(SUMIFS(RoadTra_BY!Y$2:Y$79,RoadTra_BY!$B$2:$B$79,'Road transport'!$C36,RoadTra_BY!$C$2:$C$79,'Road transport'!$BA36),3)</f>
        <v>*0</v>
      </c>
      <c r="R36" t="str">
        <f>"*"&amp;ROUND(SUMIFS(RoadTra_BY!Z$2:Z$79,RoadTra_BY!$B$2:$B$79,'Road transport'!$C36,RoadTra_BY!$C$2:$C$79,'Road transport'!$BA36),3)</f>
        <v>*0</v>
      </c>
      <c r="S36" t="str">
        <f>"*"&amp;ROUND(SUMIFS(RoadTra_BY!AA$2:AA$79,RoadTra_BY!$B$2:$B$79,'Road transport'!$C36,RoadTra_BY!$C$2:$C$79,'Road transport'!$BA36),3)</f>
        <v>*0</v>
      </c>
      <c r="T36" t="str">
        <f>"*"&amp;ROUND(SUMIFS(RoadTra_BY!AB$2:AB$79,RoadTra_BY!$B$2:$B$79,'Road transport'!$C36,RoadTra_BY!$C$2:$C$79,'Road transport'!$BA36),3)</f>
        <v>*0</v>
      </c>
      <c r="U36" t="str">
        <f>"*"&amp;ROUND(SUMIFS(RoadTra_BY!AC$2:AC$79,RoadTra_BY!$B$2:$B$79,'Road transport'!$C36,RoadTra_BY!$C$2:$C$79,'Road transport'!$BA36),3)</f>
        <v>*0</v>
      </c>
      <c r="V36" t="str">
        <f>"*"&amp;ROUND(SUMIFS(RoadTra_BY!AD$2:AD$79,RoadTra_BY!$B$2:$B$79,'Road transport'!$C36,RoadTra_BY!$C$2:$C$79,'Road transport'!$BA36),3)</f>
        <v>*0</v>
      </c>
      <c r="W36" t="str">
        <f>"*"&amp;ROUND(SUMIFS(RoadTra_BY!AE$2:AE$79,RoadTra_BY!$B$2:$B$79,'Road transport'!$C36,RoadTra_BY!$C$2:$C$79,'Road transport'!$BA36),3)</f>
        <v>*0</v>
      </c>
      <c r="X36" t="str">
        <f>"*"&amp;ROUND(SUMIFS(RoadTra_BY!AF$2:AF$79,RoadTra_BY!$B$2:$B$79,'Road transport'!$C36,RoadTra_BY!$C$2:$C$79,'Road transport'!$BA36),3)</f>
        <v>*0</v>
      </c>
      <c r="Y36" t="str">
        <f>"*"&amp;ROUND(SUMIFS(RoadTra_BY!AG$2:AG$79,RoadTra_BY!$B$2:$B$79,'Road transport'!$C36,RoadTra_BY!$C$2:$C$79,'Road transport'!$BA36),3)</f>
        <v>*0</v>
      </c>
      <c r="Z36" t="str">
        <f>"*"&amp;ROUND(SUMIFS(RoadTra_BY!AH$2:AH$79,RoadTra_BY!$B$2:$B$79,'Road transport'!$C36,RoadTra_BY!$C$2:$C$79,'Road transport'!$BA36),3)</f>
        <v>*0</v>
      </c>
      <c r="AA36" t="str">
        <f>"*"&amp;ROUND(SUMIFS(RoadTra_BY!AI$2:AI$79,RoadTra_BY!$B$2:$B$79,'Road transport'!$C36,RoadTra_BY!$C$2:$C$79,'Road transport'!$BA36),3)</f>
        <v>*0</v>
      </c>
      <c r="AB36" t="str">
        <f>"*"&amp;ROUND(SUMIFS(RoadTra_BY!AJ$2:AJ$79,RoadTra_BY!$B$2:$B$79,'Road transport'!$C36,RoadTra_BY!$C$2:$C$79,'Road transport'!$BA36),3)</f>
        <v>*0</v>
      </c>
      <c r="AC36" t="str">
        <f>"*"&amp;ROUND(SUMIFS(RoadTra_BY!AK$2:AK$79,RoadTra_BY!$B$2:$B$79,'Road transport'!$C36,RoadTra_BY!$C$2:$C$79,'Road transport'!$BA36),3)</f>
        <v>*0</v>
      </c>
      <c r="AD36" t="str">
        <f>"*"&amp;ROUND(SUMIFS(RoadTra_BY!AL$2:AL$79,RoadTra_BY!$B$2:$B$79,'Road transport'!$C36,RoadTra_BY!$C$2:$C$79,'Road transport'!$BA36),3)</f>
        <v>*0</v>
      </c>
      <c r="AE36" t="str">
        <f>"*"&amp;ROUND(SUMIFS(RoadTra_BY!AM$2:AM$79,RoadTra_BY!$B$2:$B$79,'Road transport'!$C36,RoadTra_BY!$C$2:$C$79,'Road transport'!$BA36),3)</f>
        <v>*0</v>
      </c>
      <c r="AF36" t="str">
        <f>"*"&amp;ROUND(SUMIFS(RoadTra_BY!AN$2:AN$79,RoadTra_BY!$B$2:$B$79,'Road transport'!$C36,RoadTra_BY!$C$2:$C$79,'Road transport'!$BA36),3)</f>
        <v>*0</v>
      </c>
      <c r="AG36" t="str">
        <f>"*"&amp;ROUND(SUMIFS(RoadTra_BY!AO$2:AO$79,RoadTra_BY!$B$2:$B$79,'Road transport'!$C36,RoadTra_BY!$C$2:$C$79,'Road transport'!$BA36),3)</f>
        <v>*0</v>
      </c>
      <c r="AH36" t="str">
        <f>"*"&amp;ROUND(SUMIFS(RoadTra_BY!AP$2:AP$79,RoadTra_BY!$B$2:$B$79,'Road transport'!$C36,RoadTra_BY!$C$2:$C$79,'Road transport'!$BA36),3)</f>
        <v>*0</v>
      </c>
      <c r="AI36" t="str">
        <f>"*"&amp;ROUND(SUMIFS(RoadTra_BY!AQ$2:AQ$79,RoadTra_BY!$B$2:$B$79,'Road transport'!$C36,RoadTra_BY!$C$2:$C$79,'Road transport'!$BA36),3)</f>
        <v>*0</v>
      </c>
      <c r="AJ36" t="str">
        <f>"*"&amp;ROUND(SUMIFS(RoadTra_BY!AR$2:AR$79,RoadTra_BY!$B$2:$B$79,'Road transport'!$C36,RoadTra_BY!$C$2:$C$79,'Road transport'!$BA36),3)</f>
        <v>*0</v>
      </c>
      <c r="AK36" t="str">
        <f>"*"&amp;ROUND(SUMIFS(RoadTra_BY!AS$2:AS$79,RoadTra_BY!$B$2:$B$79,'Road transport'!$C36,RoadTra_BY!$C$2:$C$79,'Road transport'!$BA36),3)</f>
        <v>*0</v>
      </c>
      <c r="AL36" t="str">
        <f>"*"&amp;ROUND(SUMIFS(RoadTra_BY!AT$2:AT$79,RoadTra_BY!$B$2:$B$79,'Road transport'!$C36,RoadTra_BY!$C$2:$C$79,'Road transport'!$BA36),3)</f>
        <v>*0</v>
      </c>
      <c r="AM36" t="str">
        <f>"*"&amp;ROUND(SUMIFS(RoadTra_BY!AU$2:AU$79,RoadTra_BY!$B$2:$B$79,'Road transport'!$C36,RoadTra_BY!$C$2:$C$79,'Road transport'!$BA36),3)</f>
        <v>*0</v>
      </c>
      <c r="AN36" t="str">
        <f>"*"&amp;ROUND(SUMIFS(RoadTra_BY!AV$2:AV$79,RoadTra_BY!$B$2:$B$79,'Road transport'!$C36,RoadTra_BY!$C$2:$C$79,'Road transport'!$BA36),3)</f>
        <v>*0</v>
      </c>
      <c r="AO36" t="str">
        <f>"*"&amp;ROUND(SUMIFS(RoadTra_BY!AW$2:AW$79,RoadTra_BY!$B$2:$B$79,'Road transport'!$C36,RoadTra_BY!$C$2:$C$79,'Road transport'!$BA36),3)</f>
        <v>*0</v>
      </c>
      <c r="AP36" t="str">
        <f>"*"&amp;ROUND(SUMIFS(RoadTra_BY!AX$2:AX$79,RoadTra_BY!$B$2:$B$79,'Road transport'!$C36,RoadTra_BY!$C$2:$C$79,'Road transport'!$BA36),3)</f>
        <v>*0</v>
      </c>
      <c r="AQ36" t="str">
        <f>"*"&amp;ROUND(SUMIFS(RoadTra_BY!AY$2:AY$79,RoadTra_BY!$B$2:$B$79,'Road transport'!$C36,RoadTra_BY!$C$2:$C$79,'Road transport'!$BA36),3)</f>
        <v>*0</v>
      </c>
      <c r="AR36" t="str">
        <f>"*"&amp;ROUND(SUMIFS(RoadTra_BY!AZ$2:AZ$79,RoadTra_BY!$B$2:$B$79,'Road transport'!$C36,RoadTra_BY!$C$2:$C$79,'Road transport'!$BA36),3)</f>
        <v>*0</v>
      </c>
      <c r="AS36" t="str">
        <f>"*"&amp;ROUND(SUMIFS(RoadTra_BY!BA$2:BA$79,RoadTra_BY!$B$2:$B$79,'Road transport'!$C36,RoadTra_BY!$C$2:$C$79,'Road transport'!$BA36),3)</f>
        <v>*0</v>
      </c>
      <c r="AT36" t="str">
        <f>"*"&amp;ROUND(SUMIFS(RoadTra_BY!BB$2:BB$79,RoadTra_BY!$B$2:$B$79,'Road transport'!$C36,RoadTra_BY!$C$2:$C$79,'Road transport'!$BA36),3)</f>
        <v>*0</v>
      </c>
      <c r="AU36" t="str">
        <f>"*"&amp;ROUND(SUMIFS(RoadTra_BY!BC$2:BC$79,RoadTra_BY!$B$2:$B$79,'Road transport'!$C36,RoadTra_BY!$C$2:$C$79,'Road transport'!$BA36),3)</f>
        <v>*0</v>
      </c>
      <c r="AV36" t="str">
        <f>"*"&amp;ROUND(SUMIFS(RoadTra_BY!BD$2:BD$79,RoadTra_BY!$B$2:$B$79,'Road transport'!$C36,RoadTra_BY!$C$2:$C$79,'Road transport'!$BA36),3)</f>
        <v>*0</v>
      </c>
      <c r="AW36" t="str">
        <f>"*"&amp;ROUND(SUMIFS(RoadTra_BY!BE$2:BE$79,RoadTra_BY!$B$2:$B$79,'Road transport'!$C36,RoadTra_BY!$C$2:$C$79,'Road transport'!$BA36),3)</f>
        <v>*0</v>
      </c>
      <c r="AX36" t="str">
        <f t="shared" si="1"/>
        <v>Trd_car_*</v>
      </c>
      <c r="AZ36">
        <f t="shared" si="0"/>
        <v>1</v>
      </c>
      <c r="BA36" t="s">
        <v>110</v>
      </c>
    </row>
    <row r="37" spans="3:53">
      <c r="C37" t="s">
        <v>62</v>
      </c>
      <c r="D37" t="str">
        <f>"*"&amp;ROUND(SUMIFS(RoadTra_BY!L$2:L$79,RoadTra_BY!$B$2:$B$79,'Road transport'!$C37,RoadTra_BY!$C$2:$C$79,'Road transport'!$BA37),3)</f>
        <v>*0</v>
      </c>
      <c r="E37" t="str">
        <f>"*"&amp;ROUND(SUMIFS(RoadTra_BY!M$2:M$79,RoadTra_BY!$B$2:$B$79,'Road transport'!$C37,RoadTra_BY!$C$2:$C$79,'Road transport'!$BA37),3)</f>
        <v>*0</v>
      </c>
      <c r="F37" t="str">
        <f>"*"&amp;ROUND(SUMIFS(RoadTra_BY!N$2:N$79,RoadTra_BY!$B$2:$B$79,'Road transport'!$C37,RoadTra_BY!$C$2:$C$79,'Road transport'!$BA37),3)</f>
        <v>*0</v>
      </c>
      <c r="G37" t="str">
        <f>"*"&amp;ROUND(SUMIFS(RoadTra_BY!O$2:O$79,RoadTra_BY!$B$2:$B$79,'Road transport'!$C37,RoadTra_BY!$C$2:$C$79,'Road transport'!$BA37),3)</f>
        <v>*0</v>
      </c>
      <c r="H37" t="str">
        <f>"*"&amp;ROUND(SUMIFS(RoadTra_BY!P$2:P$79,RoadTra_BY!$B$2:$B$79,'Road transport'!$C37,RoadTra_BY!$C$2:$C$79,'Road transport'!$BA37),3)</f>
        <v>*0</v>
      </c>
      <c r="I37" t="str">
        <f>"*"&amp;ROUND(SUMIFS(RoadTra_BY!Q$2:Q$79,RoadTra_BY!$B$2:$B$79,'Road transport'!$C37,RoadTra_BY!$C$2:$C$79,'Road transport'!$BA37),3)</f>
        <v>*0</v>
      </c>
      <c r="J37" t="str">
        <f>"*"&amp;ROUND(SUMIFS(RoadTra_BY!R$2:R$79,RoadTra_BY!$B$2:$B$79,'Road transport'!$C37,RoadTra_BY!$C$2:$C$79,'Road transport'!$BA37),3)</f>
        <v>*0</v>
      </c>
      <c r="K37" t="str">
        <f>"*"&amp;ROUND(SUMIFS(RoadTra_BY!S$2:S$79,RoadTra_BY!$B$2:$B$79,'Road transport'!$C37,RoadTra_BY!$C$2:$C$79,'Road transport'!$BA37),3)</f>
        <v>*0</v>
      </c>
      <c r="L37" t="str">
        <f>"*"&amp;ROUND(SUMIFS(RoadTra_BY!T$2:T$79,RoadTra_BY!$B$2:$B$79,'Road transport'!$C37,RoadTra_BY!$C$2:$C$79,'Road transport'!$BA37),3)</f>
        <v>*0</v>
      </c>
      <c r="M37" t="str">
        <f>"*"&amp;ROUND(SUMIFS(RoadTra_BY!U$2:U$79,RoadTra_BY!$B$2:$B$79,'Road transport'!$C37,RoadTra_BY!$C$2:$C$79,'Road transport'!$BA37),3)</f>
        <v>*0</v>
      </c>
      <c r="N37" t="str">
        <f>"*"&amp;ROUND(SUMIFS(RoadTra_BY!V$2:V$79,RoadTra_BY!$B$2:$B$79,'Road transport'!$C37,RoadTra_BY!$C$2:$C$79,'Road transport'!$BA37),3)</f>
        <v>*0</v>
      </c>
      <c r="O37" t="str">
        <f>"*"&amp;ROUND(SUMIFS(RoadTra_BY!W$2:W$79,RoadTra_BY!$B$2:$B$79,'Road transport'!$C37,RoadTra_BY!$C$2:$C$79,'Road transport'!$BA37),3)</f>
        <v>*0</v>
      </c>
      <c r="P37" t="str">
        <f>"*"&amp;ROUND(SUMIFS(RoadTra_BY!X$2:X$79,RoadTra_BY!$B$2:$B$79,'Road transport'!$C37,RoadTra_BY!$C$2:$C$79,'Road transport'!$BA37),3)</f>
        <v>*0</v>
      </c>
      <c r="Q37" t="str">
        <f>"*"&amp;ROUND(SUMIFS(RoadTra_BY!Y$2:Y$79,RoadTra_BY!$B$2:$B$79,'Road transport'!$C37,RoadTra_BY!$C$2:$C$79,'Road transport'!$BA37),3)</f>
        <v>*0</v>
      </c>
      <c r="R37" t="str">
        <f>"*"&amp;ROUND(SUMIFS(RoadTra_BY!Z$2:Z$79,RoadTra_BY!$B$2:$B$79,'Road transport'!$C37,RoadTra_BY!$C$2:$C$79,'Road transport'!$BA37),3)</f>
        <v>*0</v>
      </c>
      <c r="S37" t="str">
        <f>"*"&amp;ROUND(SUMIFS(RoadTra_BY!AA$2:AA$79,RoadTra_BY!$B$2:$B$79,'Road transport'!$C37,RoadTra_BY!$C$2:$C$79,'Road transport'!$BA37),3)</f>
        <v>*0</v>
      </c>
      <c r="T37" t="str">
        <f>"*"&amp;ROUND(SUMIFS(RoadTra_BY!AB$2:AB$79,RoadTra_BY!$B$2:$B$79,'Road transport'!$C37,RoadTra_BY!$C$2:$C$79,'Road transport'!$BA37),3)</f>
        <v>*0</v>
      </c>
      <c r="U37" t="str">
        <f>"*"&amp;ROUND(SUMIFS(RoadTra_BY!AC$2:AC$79,RoadTra_BY!$B$2:$B$79,'Road transport'!$C37,RoadTra_BY!$C$2:$C$79,'Road transport'!$BA37),3)</f>
        <v>*0</v>
      </c>
      <c r="V37" t="str">
        <f>"*"&amp;ROUND(SUMIFS(RoadTra_BY!AD$2:AD$79,RoadTra_BY!$B$2:$B$79,'Road transport'!$C37,RoadTra_BY!$C$2:$C$79,'Road transport'!$BA37),3)</f>
        <v>*0</v>
      </c>
      <c r="W37" t="str">
        <f>"*"&amp;ROUND(SUMIFS(RoadTra_BY!AE$2:AE$79,RoadTra_BY!$B$2:$B$79,'Road transport'!$C37,RoadTra_BY!$C$2:$C$79,'Road transport'!$BA37),3)</f>
        <v>*0</v>
      </c>
      <c r="X37" t="str">
        <f>"*"&amp;ROUND(SUMIFS(RoadTra_BY!AF$2:AF$79,RoadTra_BY!$B$2:$B$79,'Road transport'!$C37,RoadTra_BY!$C$2:$C$79,'Road transport'!$BA37),3)</f>
        <v>*0</v>
      </c>
      <c r="Y37" t="str">
        <f>"*"&amp;ROUND(SUMIFS(RoadTra_BY!AG$2:AG$79,RoadTra_BY!$B$2:$B$79,'Road transport'!$C37,RoadTra_BY!$C$2:$C$79,'Road transport'!$BA37),3)</f>
        <v>*0</v>
      </c>
      <c r="Z37" t="str">
        <f>"*"&amp;ROUND(SUMIFS(RoadTra_BY!AH$2:AH$79,RoadTra_BY!$B$2:$B$79,'Road transport'!$C37,RoadTra_BY!$C$2:$C$79,'Road transport'!$BA37),3)</f>
        <v>*0</v>
      </c>
      <c r="AA37" t="str">
        <f>"*"&amp;ROUND(SUMIFS(RoadTra_BY!AI$2:AI$79,RoadTra_BY!$B$2:$B$79,'Road transport'!$C37,RoadTra_BY!$C$2:$C$79,'Road transport'!$BA37),3)</f>
        <v>*0</v>
      </c>
      <c r="AB37" t="str">
        <f>"*"&amp;ROUND(SUMIFS(RoadTra_BY!AJ$2:AJ$79,RoadTra_BY!$B$2:$B$79,'Road transport'!$C37,RoadTra_BY!$C$2:$C$79,'Road transport'!$BA37),3)</f>
        <v>*0</v>
      </c>
      <c r="AC37" t="str">
        <f>"*"&amp;ROUND(SUMIFS(RoadTra_BY!AK$2:AK$79,RoadTra_BY!$B$2:$B$79,'Road transport'!$C37,RoadTra_BY!$C$2:$C$79,'Road transport'!$BA37),3)</f>
        <v>*0</v>
      </c>
      <c r="AD37" t="str">
        <f>"*"&amp;ROUND(SUMIFS(RoadTra_BY!AL$2:AL$79,RoadTra_BY!$B$2:$B$79,'Road transport'!$C37,RoadTra_BY!$C$2:$C$79,'Road transport'!$BA37),3)</f>
        <v>*0</v>
      </c>
      <c r="AE37" t="str">
        <f>"*"&amp;ROUND(SUMIFS(RoadTra_BY!AM$2:AM$79,RoadTra_BY!$B$2:$B$79,'Road transport'!$C37,RoadTra_BY!$C$2:$C$79,'Road transport'!$BA37),3)</f>
        <v>*0</v>
      </c>
      <c r="AF37" t="str">
        <f>"*"&amp;ROUND(SUMIFS(RoadTra_BY!AN$2:AN$79,RoadTra_BY!$B$2:$B$79,'Road transport'!$C37,RoadTra_BY!$C$2:$C$79,'Road transport'!$BA37),3)</f>
        <v>*0</v>
      </c>
      <c r="AG37" t="str">
        <f>"*"&amp;ROUND(SUMIFS(RoadTra_BY!AO$2:AO$79,RoadTra_BY!$B$2:$B$79,'Road transport'!$C37,RoadTra_BY!$C$2:$C$79,'Road transport'!$BA37),3)</f>
        <v>*0</v>
      </c>
      <c r="AH37" t="str">
        <f>"*"&amp;ROUND(SUMIFS(RoadTra_BY!AP$2:AP$79,RoadTra_BY!$B$2:$B$79,'Road transport'!$C37,RoadTra_BY!$C$2:$C$79,'Road transport'!$BA37),3)</f>
        <v>*0</v>
      </c>
      <c r="AI37" t="str">
        <f>"*"&amp;ROUND(SUMIFS(RoadTra_BY!AQ$2:AQ$79,RoadTra_BY!$B$2:$B$79,'Road transport'!$C37,RoadTra_BY!$C$2:$C$79,'Road transport'!$BA37),3)</f>
        <v>*0</v>
      </c>
      <c r="AJ37" t="str">
        <f>"*"&amp;ROUND(SUMIFS(RoadTra_BY!AR$2:AR$79,RoadTra_BY!$B$2:$B$79,'Road transport'!$C37,RoadTra_BY!$C$2:$C$79,'Road transport'!$BA37),3)</f>
        <v>*0</v>
      </c>
      <c r="AK37" t="str">
        <f>"*"&amp;ROUND(SUMIFS(RoadTra_BY!AS$2:AS$79,RoadTra_BY!$B$2:$B$79,'Road transport'!$C37,RoadTra_BY!$C$2:$C$79,'Road transport'!$BA37),3)</f>
        <v>*0</v>
      </c>
      <c r="AL37" t="str">
        <f>"*"&amp;ROUND(SUMIFS(RoadTra_BY!AT$2:AT$79,RoadTra_BY!$B$2:$B$79,'Road transport'!$C37,RoadTra_BY!$C$2:$C$79,'Road transport'!$BA37),3)</f>
        <v>*0</v>
      </c>
      <c r="AM37" t="str">
        <f>"*"&amp;ROUND(SUMIFS(RoadTra_BY!AU$2:AU$79,RoadTra_BY!$B$2:$B$79,'Road transport'!$C37,RoadTra_BY!$C$2:$C$79,'Road transport'!$BA37),3)</f>
        <v>*0</v>
      </c>
      <c r="AN37" t="str">
        <f>"*"&amp;ROUND(SUMIFS(RoadTra_BY!AV$2:AV$79,RoadTra_BY!$B$2:$B$79,'Road transport'!$C37,RoadTra_BY!$C$2:$C$79,'Road transport'!$BA37),3)</f>
        <v>*0</v>
      </c>
      <c r="AO37" t="str">
        <f>"*"&amp;ROUND(SUMIFS(RoadTra_BY!AW$2:AW$79,RoadTra_BY!$B$2:$B$79,'Road transport'!$C37,RoadTra_BY!$C$2:$C$79,'Road transport'!$BA37),3)</f>
        <v>*0</v>
      </c>
      <c r="AP37" t="str">
        <f>"*"&amp;ROUND(SUMIFS(RoadTra_BY!AX$2:AX$79,RoadTra_BY!$B$2:$B$79,'Road transport'!$C37,RoadTra_BY!$C$2:$C$79,'Road transport'!$BA37),3)</f>
        <v>*0</v>
      </c>
      <c r="AQ37" t="str">
        <f>"*"&amp;ROUND(SUMIFS(RoadTra_BY!AY$2:AY$79,RoadTra_BY!$B$2:$B$79,'Road transport'!$C37,RoadTra_BY!$C$2:$C$79,'Road transport'!$BA37),3)</f>
        <v>*0</v>
      </c>
      <c r="AR37" t="str">
        <f>"*"&amp;ROUND(SUMIFS(RoadTra_BY!AZ$2:AZ$79,RoadTra_BY!$B$2:$B$79,'Road transport'!$C37,RoadTra_BY!$C$2:$C$79,'Road transport'!$BA37),3)</f>
        <v>*0</v>
      </c>
      <c r="AS37" t="str">
        <f>"*"&amp;ROUND(SUMIFS(RoadTra_BY!BA$2:BA$79,RoadTra_BY!$B$2:$B$79,'Road transport'!$C37,RoadTra_BY!$C$2:$C$79,'Road transport'!$BA37),3)</f>
        <v>*0</v>
      </c>
      <c r="AT37" t="str">
        <f>"*"&amp;ROUND(SUMIFS(RoadTra_BY!BB$2:BB$79,RoadTra_BY!$B$2:$B$79,'Road transport'!$C37,RoadTra_BY!$C$2:$C$79,'Road transport'!$BA37),3)</f>
        <v>*0</v>
      </c>
      <c r="AU37" t="str">
        <f>"*"&amp;ROUND(SUMIFS(RoadTra_BY!BC$2:BC$79,RoadTra_BY!$B$2:$B$79,'Road transport'!$C37,RoadTra_BY!$C$2:$C$79,'Road transport'!$BA37),3)</f>
        <v>*0</v>
      </c>
      <c r="AV37" t="str">
        <f>"*"&amp;ROUND(SUMIFS(RoadTra_BY!BD$2:BD$79,RoadTra_BY!$B$2:$B$79,'Road transport'!$C37,RoadTra_BY!$C$2:$C$79,'Road transport'!$BA37),3)</f>
        <v>*0</v>
      </c>
      <c r="AW37" t="str">
        <f>"*"&amp;ROUND(SUMIFS(RoadTra_BY!BE$2:BE$79,RoadTra_BY!$B$2:$B$79,'Road transport'!$C37,RoadTra_BY!$C$2:$C$79,'Road transport'!$BA37),3)</f>
        <v>*0</v>
      </c>
      <c r="AX37" t="str">
        <f t="shared" si="1"/>
        <v>Trd_hdt_*</v>
      </c>
      <c r="AZ37">
        <f t="shared" si="0"/>
        <v>2</v>
      </c>
      <c r="BA37" t="s">
        <v>111</v>
      </c>
    </row>
    <row r="38" spans="3:53">
      <c r="C38" t="s">
        <v>62</v>
      </c>
      <c r="D38" t="str">
        <f>"*"&amp;ROUND(SUMIFS(RoadTra_BY!L$2:L$79,RoadTra_BY!$B$2:$B$79,'Road transport'!$C38,RoadTra_BY!$C$2:$C$79,'Road transport'!$BA38),3)</f>
        <v>*0</v>
      </c>
      <c r="E38" t="str">
        <f>"*"&amp;ROUND(SUMIFS(RoadTra_BY!M$2:M$79,RoadTra_BY!$B$2:$B$79,'Road transport'!$C38,RoadTra_BY!$C$2:$C$79,'Road transport'!$BA38),3)</f>
        <v>*0</v>
      </c>
      <c r="F38" t="str">
        <f>"*"&amp;ROUND(SUMIFS(RoadTra_BY!N$2:N$79,RoadTra_BY!$B$2:$B$79,'Road transport'!$C38,RoadTra_BY!$C$2:$C$79,'Road transport'!$BA38),3)</f>
        <v>*0</v>
      </c>
      <c r="G38" t="str">
        <f>"*"&amp;ROUND(SUMIFS(RoadTra_BY!O$2:O$79,RoadTra_BY!$B$2:$B$79,'Road transport'!$C38,RoadTra_BY!$C$2:$C$79,'Road transport'!$BA38),3)</f>
        <v>*0</v>
      </c>
      <c r="H38" t="str">
        <f>"*"&amp;ROUND(SUMIFS(RoadTra_BY!P$2:P$79,RoadTra_BY!$B$2:$B$79,'Road transport'!$C38,RoadTra_BY!$C$2:$C$79,'Road transport'!$BA38),3)</f>
        <v>*0</v>
      </c>
      <c r="I38" t="str">
        <f>"*"&amp;ROUND(SUMIFS(RoadTra_BY!Q$2:Q$79,RoadTra_BY!$B$2:$B$79,'Road transport'!$C38,RoadTra_BY!$C$2:$C$79,'Road transport'!$BA38),3)</f>
        <v>*0</v>
      </c>
      <c r="J38" t="str">
        <f>"*"&amp;ROUND(SUMIFS(RoadTra_BY!R$2:R$79,RoadTra_BY!$B$2:$B$79,'Road transport'!$C38,RoadTra_BY!$C$2:$C$79,'Road transport'!$BA38),3)</f>
        <v>*0</v>
      </c>
      <c r="K38" t="str">
        <f>"*"&amp;ROUND(SUMIFS(RoadTra_BY!S$2:S$79,RoadTra_BY!$B$2:$B$79,'Road transport'!$C38,RoadTra_BY!$C$2:$C$79,'Road transport'!$BA38),3)</f>
        <v>*0</v>
      </c>
      <c r="L38" t="str">
        <f>"*"&amp;ROUND(SUMIFS(RoadTra_BY!T$2:T$79,RoadTra_BY!$B$2:$B$79,'Road transport'!$C38,RoadTra_BY!$C$2:$C$79,'Road transport'!$BA38),3)</f>
        <v>*0</v>
      </c>
      <c r="M38" t="str">
        <f>"*"&amp;ROUND(SUMIFS(RoadTra_BY!U$2:U$79,RoadTra_BY!$B$2:$B$79,'Road transport'!$C38,RoadTra_BY!$C$2:$C$79,'Road transport'!$BA38),3)</f>
        <v>*0</v>
      </c>
      <c r="N38" t="str">
        <f>"*"&amp;ROUND(SUMIFS(RoadTra_BY!V$2:V$79,RoadTra_BY!$B$2:$B$79,'Road transport'!$C38,RoadTra_BY!$C$2:$C$79,'Road transport'!$BA38),3)</f>
        <v>*0</v>
      </c>
      <c r="O38" t="str">
        <f>"*"&amp;ROUND(SUMIFS(RoadTra_BY!W$2:W$79,RoadTra_BY!$B$2:$B$79,'Road transport'!$C38,RoadTra_BY!$C$2:$C$79,'Road transport'!$BA38),3)</f>
        <v>*0</v>
      </c>
      <c r="P38" t="str">
        <f>"*"&amp;ROUND(SUMIFS(RoadTra_BY!X$2:X$79,RoadTra_BY!$B$2:$B$79,'Road transport'!$C38,RoadTra_BY!$C$2:$C$79,'Road transport'!$BA38),3)</f>
        <v>*0</v>
      </c>
      <c r="Q38" t="str">
        <f>"*"&amp;ROUND(SUMIFS(RoadTra_BY!Y$2:Y$79,RoadTra_BY!$B$2:$B$79,'Road transport'!$C38,RoadTra_BY!$C$2:$C$79,'Road transport'!$BA38),3)</f>
        <v>*0</v>
      </c>
      <c r="R38" t="str">
        <f>"*"&amp;ROUND(SUMIFS(RoadTra_BY!Z$2:Z$79,RoadTra_BY!$B$2:$B$79,'Road transport'!$C38,RoadTra_BY!$C$2:$C$79,'Road transport'!$BA38),3)</f>
        <v>*0</v>
      </c>
      <c r="S38" t="str">
        <f>"*"&amp;ROUND(SUMIFS(RoadTra_BY!AA$2:AA$79,RoadTra_BY!$B$2:$B$79,'Road transport'!$C38,RoadTra_BY!$C$2:$C$79,'Road transport'!$BA38),3)</f>
        <v>*0</v>
      </c>
      <c r="T38" t="str">
        <f>"*"&amp;ROUND(SUMIFS(RoadTra_BY!AB$2:AB$79,RoadTra_BY!$B$2:$B$79,'Road transport'!$C38,RoadTra_BY!$C$2:$C$79,'Road transport'!$BA38),3)</f>
        <v>*0</v>
      </c>
      <c r="U38" t="str">
        <f>"*"&amp;ROUND(SUMIFS(RoadTra_BY!AC$2:AC$79,RoadTra_BY!$B$2:$B$79,'Road transport'!$C38,RoadTra_BY!$C$2:$C$79,'Road transport'!$BA38),3)</f>
        <v>*0</v>
      </c>
      <c r="V38" t="str">
        <f>"*"&amp;ROUND(SUMIFS(RoadTra_BY!AD$2:AD$79,RoadTra_BY!$B$2:$B$79,'Road transport'!$C38,RoadTra_BY!$C$2:$C$79,'Road transport'!$BA38),3)</f>
        <v>*0</v>
      </c>
      <c r="W38" t="str">
        <f>"*"&amp;ROUND(SUMIFS(RoadTra_BY!AE$2:AE$79,RoadTra_BY!$B$2:$B$79,'Road transport'!$C38,RoadTra_BY!$C$2:$C$79,'Road transport'!$BA38),3)</f>
        <v>*0</v>
      </c>
      <c r="X38" t="str">
        <f>"*"&amp;ROUND(SUMIFS(RoadTra_BY!AF$2:AF$79,RoadTra_BY!$B$2:$B$79,'Road transport'!$C38,RoadTra_BY!$C$2:$C$79,'Road transport'!$BA38),3)</f>
        <v>*0</v>
      </c>
      <c r="Y38" t="str">
        <f>"*"&amp;ROUND(SUMIFS(RoadTra_BY!AG$2:AG$79,RoadTra_BY!$B$2:$B$79,'Road transport'!$C38,RoadTra_BY!$C$2:$C$79,'Road transport'!$BA38),3)</f>
        <v>*0</v>
      </c>
      <c r="Z38" t="str">
        <f>"*"&amp;ROUND(SUMIFS(RoadTra_BY!AH$2:AH$79,RoadTra_BY!$B$2:$B$79,'Road transport'!$C38,RoadTra_BY!$C$2:$C$79,'Road transport'!$BA38),3)</f>
        <v>*0</v>
      </c>
      <c r="AA38" t="str">
        <f>"*"&amp;ROUND(SUMIFS(RoadTra_BY!AI$2:AI$79,RoadTra_BY!$B$2:$B$79,'Road transport'!$C38,RoadTra_BY!$C$2:$C$79,'Road transport'!$BA38),3)</f>
        <v>*0</v>
      </c>
      <c r="AB38" t="str">
        <f>"*"&amp;ROUND(SUMIFS(RoadTra_BY!AJ$2:AJ$79,RoadTra_BY!$B$2:$B$79,'Road transport'!$C38,RoadTra_BY!$C$2:$C$79,'Road transport'!$BA38),3)</f>
        <v>*0</v>
      </c>
      <c r="AC38" t="str">
        <f>"*"&amp;ROUND(SUMIFS(RoadTra_BY!AK$2:AK$79,RoadTra_BY!$B$2:$B$79,'Road transport'!$C38,RoadTra_BY!$C$2:$C$79,'Road transport'!$BA38),3)</f>
        <v>*0</v>
      </c>
      <c r="AD38" t="str">
        <f>"*"&amp;ROUND(SUMIFS(RoadTra_BY!AL$2:AL$79,RoadTra_BY!$B$2:$B$79,'Road transport'!$C38,RoadTra_BY!$C$2:$C$79,'Road transport'!$BA38),3)</f>
        <v>*0</v>
      </c>
      <c r="AE38" t="str">
        <f>"*"&amp;ROUND(SUMIFS(RoadTra_BY!AM$2:AM$79,RoadTra_BY!$B$2:$B$79,'Road transport'!$C38,RoadTra_BY!$C$2:$C$79,'Road transport'!$BA38),3)</f>
        <v>*0</v>
      </c>
      <c r="AF38" t="str">
        <f>"*"&amp;ROUND(SUMIFS(RoadTra_BY!AN$2:AN$79,RoadTra_BY!$B$2:$B$79,'Road transport'!$C38,RoadTra_BY!$C$2:$C$79,'Road transport'!$BA38),3)</f>
        <v>*0</v>
      </c>
      <c r="AG38" t="str">
        <f>"*"&amp;ROUND(SUMIFS(RoadTra_BY!AO$2:AO$79,RoadTra_BY!$B$2:$B$79,'Road transport'!$C38,RoadTra_BY!$C$2:$C$79,'Road transport'!$BA38),3)</f>
        <v>*0</v>
      </c>
      <c r="AH38" t="str">
        <f>"*"&amp;ROUND(SUMIFS(RoadTra_BY!AP$2:AP$79,RoadTra_BY!$B$2:$B$79,'Road transport'!$C38,RoadTra_BY!$C$2:$C$79,'Road transport'!$BA38),3)</f>
        <v>*0</v>
      </c>
      <c r="AI38" t="str">
        <f>"*"&amp;ROUND(SUMIFS(RoadTra_BY!AQ$2:AQ$79,RoadTra_BY!$B$2:$B$79,'Road transport'!$C38,RoadTra_BY!$C$2:$C$79,'Road transport'!$BA38),3)</f>
        <v>*0</v>
      </c>
      <c r="AJ38" t="str">
        <f>"*"&amp;ROUND(SUMIFS(RoadTra_BY!AR$2:AR$79,RoadTra_BY!$B$2:$B$79,'Road transport'!$C38,RoadTra_BY!$C$2:$C$79,'Road transport'!$BA38),3)</f>
        <v>*0</v>
      </c>
      <c r="AK38" t="str">
        <f>"*"&amp;ROUND(SUMIFS(RoadTra_BY!AS$2:AS$79,RoadTra_BY!$B$2:$B$79,'Road transport'!$C38,RoadTra_BY!$C$2:$C$79,'Road transport'!$BA38),3)</f>
        <v>*0</v>
      </c>
      <c r="AL38" t="str">
        <f>"*"&amp;ROUND(SUMIFS(RoadTra_BY!AT$2:AT$79,RoadTra_BY!$B$2:$B$79,'Road transport'!$C38,RoadTra_BY!$C$2:$C$79,'Road transport'!$BA38),3)</f>
        <v>*0</v>
      </c>
      <c r="AM38" t="str">
        <f>"*"&amp;ROUND(SUMIFS(RoadTra_BY!AU$2:AU$79,RoadTra_BY!$B$2:$B$79,'Road transport'!$C38,RoadTra_BY!$C$2:$C$79,'Road transport'!$BA38),3)</f>
        <v>*0</v>
      </c>
      <c r="AN38" t="str">
        <f>"*"&amp;ROUND(SUMIFS(RoadTra_BY!AV$2:AV$79,RoadTra_BY!$B$2:$B$79,'Road transport'!$C38,RoadTra_BY!$C$2:$C$79,'Road transport'!$BA38),3)</f>
        <v>*0</v>
      </c>
      <c r="AO38" t="str">
        <f>"*"&amp;ROUND(SUMIFS(RoadTra_BY!AW$2:AW$79,RoadTra_BY!$B$2:$B$79,'Road transport'!$C38,RoadTra_BY!$C$2:$C$79,'Road transport'!$BA38),3)</f>
        <v>*0</v>
      </c>
      <c r="AP38" t="str">
        <f>"*"&amp;ROUND(SUMIFS(RoadTra_BY!AX$2:AX$79,RoadTra_BY!$B$2:$B$79,'Road transport'!$C38,RoadTra_BY!$C$2:$C$79,'Road transport'!$BA38),3)</f>
        <v>*0</v>
      </c>
      <c r="AQ38" t="str">
        <f>"*"&amp;ROUND(SUMIFS(RoadTra_BY!AY$2:AY$79,RoadTra_BY!$B$2:$B$79,'Road transport'!$C38,RoadTra_BY!$C$2:$C$79,'Road transport'!$BA38),3)</f>
        <v>*0</v>
      </c>
      <c r="AR38" t="str">
        <f>"*"&amp;ROUND(SUMIFS(RoadTra_BY!AZ$2:AZ$79,RoadTra_BY!$B$2:$B$79,'Road transport'!$C38,RoadTra_BY!$C$2:$C$79,'Road transport'!$BA38),3)</f>
        <v>*0</v>
      </c>
      <c r="AS38" t="str">
        <f>"*"&amp;ROUND(SUMIFS(RoadTra_BY!BA$2:BA$79,RoadTra_BY!$B$2:$B$79,'Road transport'!$C38,RoadTra_BY!$C$2:$C$79,'Road transport'!$BA38),3)</f>
        <v>*0</v>
      </c>
      <c r="AT38" t="str">
        <f>"*"&amp;ROUND(SUMIFS(RoadTra_BY!BB$2:BB$79,RoadTra_BY!$B$2:$B$79,'Road transport'!$C38,RoadTra_BY!$C$2:$C$79,'Road transport'!$BA38),3)</f>
        <v>*0</v>
      </c>
      <c r="AU38" t="str">
        <f>"*"&amp;ROUND(SUMIFS(RoadTra_BY!BC$2:BC$79,RoadTra_BY!$B$2:$B$79,'Road transport'!$C38,RoadTra_BY!$C$2:$C$79,'Road transport'!$BA38),3)</f>
        <v>*0</v>
      </c>
      <c r="AV38" t="str">
        <f>"*"&amp;ROUND(SUMIFS(RoadTra_BY!BD$2:BD$79,RoadTra_BY!$B$2:$B$79,'Road transport'!$C38,RoadTra_BY!$C$2:$C$79,'Road transport'!$BA38),3)</f>
        <v>*0</v>
      </c>
      <c r="AW38" t="str">
        <f>"*"&amp;ROUND(SUMIFS(RoadTra_BY!BE$2:BE$79,RoadTra_BY!$B$2:$B$79,'Road transport'!$C38,RoadTra_BY!$C$2:$C$79,'Road transport'!$BA38),3)</f>
        <v>*0</v>
      </c>
      <c r="AX38" t="str">
        <f t="shared" si="1"/>
        <v>Trd_lcv_*</v>
      </c>
      <c r="AZ38">
        <f t="shared" si="0"/>
        <v>2</v>
      </c>
      <c r="BA38" t="s">
        <v>112</v>
      </c>
    </row>
    <row r="45" spans="5:5">
      <c r="E45" s="57"/>
    </row>
    <row r="48" spans="2:2">
      <c r="B48" t="s">
        <v>106</v>
      </c>
    </row>
    <row r="49" spans="2:9">
      <c r="B49" t="s">
        <v>71</v>
      </c>
      <c r="C49" t="s">
        <v>75</v>
      </c>
      <c r="D49" t="s">
        <v>48</v>
      </c>
      <c r="E49" t="s">
        <v>49</v>
      </c>
      <c r="I49" t="s">
        <v>113</v>
      </c>
    </row>
    <row r="50" spans="2:5">
      <c r="B50" t="s">
        <v>62</v>
      </c>
      <c r="C50" t="s">
        <v>114</v>
      </c>
      <c r="D50" t="s">
        <v>59</v>
      </c>
      <c r="E50" t="s">
        <v>115</v>
      </c>
    </row>
    <row r="53" spans="2:2">
      <c r="B53" t="s">
        <v>69</v>
      </c>
    </row>
    <row r="54" spans="2:8">
      <c r="B54" t="s">
        <v>71</v>
      </c>
      <c r="C54" t="s">
        <v>75</v>
      </c>
      <c r="D54" t="s">
        <v>116</v>
      </c>
      <c r="E54" t="s">
        <v>96</v>
      </c>
      <c r="F54" t="s">
        <v>50</v>
      </c>
      <c r="G54" t="s">
        <v>117</v>
      </c>
      <c r="H54" t="s">
        <v>49</v>
      </c>
    </row>
    <row r="55" spans="2:5">
      <c r="B55" t="s">
        <v>91</v>
      </c>
      <c r="C55">
        <v>10</v>
      </c>
      <c r="D55" t="s">
        <v>118</v>
      </c>
      <c r="E55" s="81" t="s">
        <v>119</v>
      </c>
    </row>
    <row r="59" spans="2:8">
      <c r="B59" s="58" t="s">
        <v>120</v>
      </c>
      <c r="C59" s="58">
        <v>1</v>
      </c>
      <c r="D59" s="58"/>
      <c r="E59" s="58"/>
      <c r="F59" s="58" t="s">
        <v>121</v>
      </c>
      <c r="G59" s="58" t="s">
        <v>58</v>
      </c>
      <c r="H59" s="58" t="str">
        <f>F59</f>
        <v>AuxStoIN</v>
      </c>
    </row>
    <row r="62" spans="8:8">
      <c r="H62" s="53"/>
    </row>
    <row r="63" spans="8:53">
      <c r="H63" s="53"/>
      <c r="BA63" s="51"/>
    </row>
    <row r="65" s="50" customFormat="1" spans="1:106">
      <c r="A65" s="51"/>
      <c r="B65" s="59" t="s">
        <v>69</v>
      </c>
      <c r="C65" s="60"/>
      <c r="D65" s="59"/>
      <c r="E65" s="59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Y65" s="51"/>
      <c r="AZ65" s="51"/>
      <c r="BB65" s="51"/>
      <c r="BC65" s="51"/>
      <c r="BD65" s="51"/>
      <c r="BE65" s="51"/>
      <c r="BF65" s="51"/>
      <c r="BG65" s="51"/>
      <c r="BH65" s="51"/>
      <c r="BI65" s="51"/>
      <c r="CO65" s="73"/>
      <c r="CP65" s="73"/>
      <c r="CR65" s="73"/>
      <c r="CS65" s="73"/>
      <c r="CT65" s="73"/>
      <c r="CU65" s="73"/>
      <c r="CW65" s="53"/>
      <c r="CX65" s="76" t="s">
        <v>69</v>
      </c>
      <c r="CY65" s="53"/>
      <c r="CZ65" s="53"/>
      <c r="DA65" s="53"/>
      <c r="DB65" s="53"/>
    </row>
    <row r="66" s="51" customFormat="1" spans="2:106">
      <c r="B66" s="59" t="s">
        <v>71</v>
      </c>
      <c r="C66" s="59" t="s">
        <v>76</v>
      </c>
      <c r="D66" s="59" t="s">
        <v>45</v>
      </c>
      <c r="E66" s="59" t="s">
        <v>50</v>
      </c>
      <c r="F66" s="51" t="s">
        <v>3</v>
      </c>
      <c r="G66" s="51" t="s">
        <v>5</v>
      </c>
      <c r="H66" s="51" t="s">
        <v>6</v>
      </c>
      <c r="I66" s="51" t="s">
        <v>7</v>
      </c>
      <c r="J66" s="51" t="s">
        <v>8</v>
      </c>
      <c r="K66" s="51" t="s">
        <v>9</v>
      </c>
      <c r="L66" s="51" t="s">
        <v>10</v>
      </c>
      <c r="M66" s="51" t="s">
        <v>11</v>
      </c>
      <c r="N66" s="51" t="s">
        <v>12</v>
      </c>
      <c r="O66" s="51" t="s">
        <v>13</v>
      </c>
      <c r="P66" s="51" t="s">
        <v>14</v>
      </c>
      <c r="Q66" s="51" t="s">
        <v>15</v>
      </c>
      <c r="R66" s="51" t="s">
        <v>16</v>
      </c>
      <c r="S66" s="51" t="s">
        <v>17</v>
      </c>
      <c r="T66" s="51" t="s">
        <v>18</v>
      </c>
      <c r="U66" s="51" t="s">
        <v>19</v>
      </c>
      <c r="V66" s="51" t="s">
        <v>20</v>
      </c>
      <c r="W66" s="51" t="s">
        <v>21</v>
      </c>
      <c r="X66" s="51" t="s">
        <v>22</v>
      </c>
      <c r="Y66" s="51" t="s">
        <v>23</v>
      </c>
      <c r="Z66" s="51" t="s">
        <v>24</v>
      </c>
      <c r="AA66" s="51" t="s">
        <v>25</v>
      </c>
      <c r="AB66" s="51" t="s">
        <v>26</v>
      </c>
      <c r="AC66" s="51" t="s">
        <v>27</v>
      </c>
      <c r="AD66" s="51" t="s">
        <v>28</v>
      </c>
      <c r="AE66" s="51" t="s">
        <v>29</v>
      </c>
      <c r="AF66" s="51" t="s">
        <v>30</v>
      </c>
      <c r="AG66" s="51" t="s">
        <v>31</v>
      </c>
      <c r="AH66" s="51" t="s">
        <v>32</v>
      </c>
      <c r="AI66" s="51" t="s">
        <v>33</v>
      </c>
      <c r="AJ66" s="51" t="s">
        <v>34</v>
      </c>
      <c r="AK66" s="51" t="s">
        <v>35</v>
      </c>
      <c r="AL66" s="51" t="s">
        <v>36</v>
      </c>
      <c r="AM66" s="51" t="s">
        <v>37</v>
      </c>
      <c r="AN66" s="51" t="s">
        <v>122</v>
      </c>
      <c r="CQ66" s="74"/>
      <c r="CR66" s="74"/>
      <c r="CT66" s="74"/>
      <c r="CU66" s="74"/>
      <c r="CW66" t="s">
        <v>71</v>
      </c>
      <c r="CX66" t="s">
        <v>76</v>
      </c>
      <c r="CY66" t="s">
        <v>45</v>
      </c>
      <c r="CZ66" t="s">
        <v>50</v>
      </c>
      <c r="DA66" s="79" t="s">
        <v>77</v>
      </c>
      <c r="DB66" s="79" t="s">
        <v>44</v>
      </c>
    </row>
    <row r="67" s="51" customFormat="1" ht="14.5" spans="2:106">
      <c r="B67" s="61" t="s">
        <v>123</v>
      </c>
      <c r="C67" s="59" t="s">
        <v>124</v>
      </c>
      <c r="D67" s="60" t="s">
        <v>125</v>
      </c>
      <c r="E67" s="60" t="s">
        <v>126</v>
      </c>
      <c r="F67" s="51">
        <f t="shared" ref="F67:L68" si="2">D77/1000</f>
        <v>0</v>
      </c>
      <c r="G67" s="51">
        <f t="shared" si="2"/>
        <v>310</v>
      </c>
      <c r="H67" s="51">
        <f t="shared" si="2"/>
        <v>6200</v>
      </c>
      <c r="I67" s="51">
        <f t="shared" si="2"/>
        <v>0</v>
      </c>
      <c r="J67" s="51">
        <f t="shared" si="2"/>
        <v>0</v>
      </c>
      <c r="K67" s="51">
        <f t="shared" si="2"/>
        <v>0</v>
      </c>
      <c r="L67" s="51">
        <f t="shared" si="2"/>
        <v>250</v>
      </c>
      <c r="M67" s="51">
        <v>2000</v>
      </c>
      <c r="N67" s="51">
        <f t="shared" ref="N67:W68" si="3">L77/1000</f>
        <v>0</v>
      </c>
      <c r="O67" s="51">
        <f t="shared" si="3"/>
        <v>0</v>
      </c>
      <c r="P67" s="51">
        <f t="shared" si="3"/>
        <v>0</v>
      </c>
      <c r="Q67" s="51">
        <f t="shared" si="3"/>
        <v>0</v>
      </c>
      <c r="R67" s="51">
        <f t="shared" si="3"/>
        <v>0</v>
      </c>
      <c r="S67" s="51">
        <f t="shared" si="3"/>
        <v>0</v>
      </c>
      <c r="T67" s="51">
        <f t="shared" si="3"/>
        <v>0</v>
      </c>
      <c r="U67" s="51">
        <f t="shared" si="3"/>
        <v>0</v>
      </c>
      <c r="V67" s="51">
        <f t="shared" si="3"/>
        <v>0</v>
      </c>
      <c r="W67" s="51">
        <f t="shared" si="3"/>
        <v>0</v>
      </c>
      <c r="X67" s="51">
        <f t="shared" ref="X67:AG68" si="4">V77/1000</f>
        <v>0</v>
      </c>
      <c r="Y67" s="51">
        <f t="shared" si="4"/>
        <v>12250</v>
      </c>
      <c r="Z67" s="51">
        <f t="shared" si="4"/>
        <v>0</v>
      </c>
      <c r="AA67" s="51">
        <f t="shared" si="4"/>
        <v>1930</v>
      </c>
      <c r="AB67" s="51">
        <f t="shared" si="4"/>
        <v>0</v>
      </c>
      <c r="AC67" s="51">
        <f t="shared" si="4"/>
        <v>0</v>
      </c>
      <c r="AD67" s="51">
        <f t="shared" si="4"/>
        <v>3300</v>
      </c>
      <c r="AE67" s="51">
        <f t="shared" si="4"/>
        <v>0</v>
      </c>
      <c r="AF67" s="51">
        <f t="shared" si="4"/>
        <v>0</v>
      </c>
      <c r="AG67" s="51">
        <f t="shared" si="4"/>
        <v>0</v>
      </c>
      <c r="AH67" s="51">
        <f t="shared" ref="AH67:AM68" si="5">AF77/1000</f>
        <v>60</v>
      </c>
      <c r="AI67" s="51">
        <f t="shared" si="5"/>
        <v>0</v>
      </c>
      <c r="AJ67" s="51">
        <f t="shared" si="5"/>
        <v>0</v>
      </c>
      <c r="AK67" s="51">
        <f t="shared" si="5"/>
        <v>0</v>
      </c>
      <c r="AL67" s="51">
        <f t="shared" si="5"/>
        <v>0</v>
      </c>
      <c r="AM67" s="51">
        <f t="shared" si="5"/>
        <v>0</v>
      </c>
      <c r="AN67" s="51" t="str">
        <f>E67</f>
        <v>m_lithium</v>
      </c>
      <c r="CQ67" s="74"/>
      <c r="CR67" s="74"/>
      <c r="CT67" s="74"/>
      <c r="CU67" s="74"/>
      <c r="CW67" s="77" t="s">
        <v>123</v>
      </c>
      <c r="CX67" t="s">
        <v>124</v>
      </c>
      <c r="CY67" s="53" t="s">
        <v>127</v>
      </c>
      <c r="CZ67" s="53" t="s">
        <v>126</v>
      </c>
      <c r="DA67" s="79">
        <v>0</v>
      </c>
      <c r="DB67" s="79">
        <v>5</v>
      </c>
    </row>
    <row r="68" s="51" customFormat="1" ht="14.5" spans="2:106">
      <c r="B68" s="61" t="s">
        <v>123</v>
      </c>
      <c r="C68" s="59" t="s">
        <v>124</v>
      </c>
      <c r="D68" s="60" t="s">
        <v>128</v>
      </c>
      <c r="E68" s="60" t="s">
        <v>129</v>
      </c>
      <c r="F68" s="51">
        <f t="shared" si="2"/>
        <v>0</v>
      </c>
      <c r="G68" s="51">
        <f t="shared" si="2"/>
        <v>0</v>
      </c>
      <c r="H68" s="51">
        <f t="shared" si="2"/>
        <v>21000</v>
      </c>
      <c r="I68" s="51">
        <f t="shared" si="2"/>
        <v>0</v>
      </c>
      <c r="J68" s="51">
        <f t="shared" si="2"/>
        <v>0</v>
      </c>
      <c r="K68" s="51">
        <f t="shared" si="2"/>
        <v>0</v>
      </c>
      <c r="L68" s="51">
        <f t="shared" si="2"/>
        <v>16000</v>
      </c>
      <c r="M68" s="51">
        <f>K78/1000</f>
        <v>2100</v>
      </c>
      <c r="N68" s="51">
        <f t="shared" si="3"/>
        <v>0</v>
      </c>
      <c r="O68" s="51">
        <f t="shared" si="3"/>
        <v>0</v>
      </c>
      <c r="P68" s="51">
        <f t="shared" si="3"/>
        <v>0</v>
      </c>
      <c r="Q68" s="51">
        <f t="shared" si="3"/>
        <v>0</v>
      </c>
      <c r="R68" s="51">
        <f t="shared" si="3"/>
        <v>0</v>
      </c>
      <c r="S68" s="51">
        <f t="shared" si="3"/>
        <v>0</v>
      </c>
      <c r="T68" s="51">
        <f t="shared" si="3"/>
        <v>0</v>
      </c>
      <c r="U68" s="51">
        <f t="shared" si="3"/>
        <v>0</v>
      </c>
      <c r="V68" s="51">
        <f t="shared" si="3"/>
        <v>0</v>
      </c>
      <c r="W68" s="51">
        <f t="shared" si="3"/>
        <v>0</v>
      </c>
      <c r="X68" s="51">
        <f t="shared" si="4"/>
        <v>0</v>
      </c>
      <c r="Y68" s="51">
        <f t="shared" si="4"/>
        <v>16000</v>
      </c>
      <c r="Z68" s="51">
        <f t="shared" si="4"/>
        <v>0</v>
      </c>
      <c r="AA68" s="51">
        <f t="shared" si="4"/>
        <v>2570</v>
      </c>
      <c r="AB68" s="51">
        <f t="shared" si="4"/>
        <v>0</v>
      </c>
      <c r="AC68" s="51">
        <f t="shared" si="4"/>
        <v>0</v>
      </c>
      <c r="AD68" s="51">
        <f t="shared" si="4"/>
        <v>52900</v>
      </c>
      <c r="AE68" s="51">
        <f t="shared" si="4"/>
        <v>7500</v>
      </c>
      <c r="AF68" s="51">
        <f t="shared" si="4"/>
        <v>0</v>
      </c>
      <c r="AG68" s="51">
        <f t="shared" si="4"/>
        <v>0</v>
      </c>
      <c r="AH68" s="51">
        <f t="shared" si="5"/>
        <v>0</v>
      </c>
      <c r="AI68" s="51">
        <f t="shared" si="5"/>
        <v>0</v>
      </c>
      <c r="AJ68" s="51">
        <f t="shared" si="5"/>
        <v>0</v>
      </c>
      <c r="AK68" s="51">
        <f t="shared" si="5"/>
        <v>0</v>
      </c>
      <c r="AL68" s="51">
        <f t="shared" si="5"/>
        <v>0</v>
      </c>
      <c r="AM68" s="51">
        <f t="shared" si="5"/>
        <v>0</v>
      </c>
      <c r="AN68" s="51" t="str">
        <f t="shared" ref="AN68:AN73" si="6">E68</f>
        <v>m_nickel</v>
      </c>
      <c r="CQ68" s="74"/>
      <c r="CR68" s="74"/>
      <c r="CT68" s="74"/>
      <c r="CU68" s="74"/>
      <c r="CW68" s="77" t="s">
        <v>123</v>
      </c>
      <c r="CX68" t="s">
        <v>124</v>
      </c>
      <c r="CY68" s="53" t="s">
        <v>127</v>
      </c>
      <c r="CZ68" s="53" t="s">
        <v>129</v>
      </c>
      <c r="DA68" s="79">
        <v>0</v>
      </c>
      <c r="DB68" s="79">
        <v>5</v>
      </c>
    </row>
    <row r="69" s="52" customFormat="1" ht="14.5" spans="2:106">
      <c r="B69" s="62" t="s">
        <v>123</v>
      </c>
      <c r="C69" s="52" t="s">
        <v>124</v>
      </c>
      <c r="D69" s="63" t="s">
        <v>130</v>
      </c>
      <c r="E69" s="63" t="s">
        <v>131</v>
      </c>
      <c r="F69" s="64">
        <v>0</v>
      </c>
      <c r="G69" s="64">
        <f>E79/10000</f>
        <v>410</v>
      </c>
      <c r="H69" s="64">
        <f>F79/10000</f>
        <v>150</v>
      </c>
      <c r="I69" s="64">
        <f>G79/10000</f>
        <v>0</v>
      </c>
      <c r="J69" s="64">
        <f>H79/10000</f>
        <v>0</v>
      </c>
      <c r="K69" s="64">
        <f>I79/10000</f>
        <v>0</v>
      </c>
      <c r="L69" s="64">
        <f t="shared" ref="L69:AM69" si="7">J79/10000</f>
        <v>0</v>
      </c>
      <c r="M69" s="64">
        <f t="shared" si="7"/>
        <v>14</v>
      </c>
      <c r="N69" s="64">
        <f t="shared" si="7"/>
        <v>0</v>
      </c>
      <c r="O69" s="64">
        <f t="shared" si="7"/>
        <v>0</v>
      </c>
      <c r="P69" s="64">
        <f t="shared" si="7"/>
        <v>0</v>
      </c>
      <c r="Q69" s="64">
        <f t="shared" si="7"/>
        <v>0</v>
      </c>
      <c r="R69" s="64">
        <f t="shared" si="7"/>
        <v>0</v>
      </c>
      <c r="S69" s="64">
        <f t="shared" si="7"/>
        <v>0</v>
      </c>
      <c r="T69" s="64">
        <f t="shared" si="7"/>
        <v>0</v>
      </c>
      <c r="U69" s="64">
        <f t="shared" si="7"/>
        <v>0</v>
      </c>
      <c r="V69" s="64">
        <f t="shared" si="7"/>
        <v>0</v>
      </c>
      <c r="W69" s="64">
        <f t="shared" si="7"/>
        <v>0</v>
      </c>
      <c r="X69" s="64">
        <f t="shared" si="7"/>
        <v>0</v>
      </c>
      <c r="Y69" s="64">
        <f t="shared" si="7"/>
        <v>50</v>
      </c>
      <c r="Z69" s="64">
        <f t="shared" si="7"/>
        <v>3.6</v>
      </c>
      <c r="AA69" s="64">
        <f t="shared" si="7"/>
        <v>28.9</v>
      </c>
      <c r="AB69" s="64">
        <f t="shared" si="7"/>
        <v>0</v>
      </c>
      <c r="AC69" s="64">
        <f t="shared" si="7"/>
        <v>0</v>
      </c>
      <c r="AD69" s="64">
        <f t="shared" si="7"/>
        <v>151.7</v>
      </c>
      <c r="AE69" s="64">
        <f t="shared" si="7"/>
        <v>25</v>
      </c>
      <c r="AF69" s="64">
        <f t="shared" si="7"/>
        <v>0</v>
      </c>
      <c r="AG69" s="64">
        <f t="shared" si="7"/>
        <v>0</v>
      </c>
      <c r="AH69" s="64">
        <f t="shared" si="7"/>
        <v>0</v>
      </c>
      <c r="AI69" s="64">
        <f t="shared" si="7"/>
        <v>0</v>
      </c>
      <c r="AJ69" s="64">
        <f t="shared" si="7"/>
        <v>0</v>
      </c>
      <c r="AK69" s="64">
        <f t="shared" si="7"/>
        <v>3.6</v>
      </c>
      <c r="AL69" s="64">
        <f t="shared" si="7"/>
        <v>0</v>
      </c>
      <c r="AM69" s="64">
        <f t="shared" si="7"/>
        <v>0</v>
      </c>
      <c r="AN69" s="51" t="str">
        <f t="shared" si="6"/>
        <v>m_cobalt</v>
      </c>
      <c r="CQ69" s="75"/>
      <c r="CR69" s="75"/>
      <c r="CT69" s="75"/>
      <c r="CU69" s="75"/>
      <c r="CW69" s="62" t="s">
        <v>123</v>
      </c>
      <c r="CX69" s="52" t="s">
        <v>124</v>
      </c>
      <c r="CY69" s="63" t="s">
        <v>127</v>
      </c>
      <c r="CZ69" s="63" t="s">
        <v>131</v>
      </c>
      <c r="DA69" s="75">
        <v>0</v>
      </c>
      <c r="DB69" s="75">
        <v>5</v>
      </c>
    </row>
    <row r="70" s="51" customFormat="1" ht="14.5" spans="2:106">
      <c r="B70" s="61" t="s">
        <v>123</v>
      </c>
      <c r="C70" s="59" t="s">
        <v>124</v>
      </c>
      <c r="D70" s="60" t="s">
        <v>132</v>
      </c>
      <c r="E70" s="65" t="s">
        <v>133</v>
      </c>
      <c r="F70" s="66">
        <f t="shared" ref="F70:Z70" si="8">D80/1000</f>
        <v>0</v>
      </c>
      <c r="G70" s="66">
        <f t="shared" si="8"/>
        <v>74000</v>
      </c>
      <c r="H70" s="66">
        <f t="shared" si="8"/>
        <v>270000</v>
      </c>
      <c r="I70" s="66">
        <f t="shared" si="8"/>
        <v>0</v>
      </c>
      <c r="J70" s="66">
        <f t="shared" si="8"/>
        <v>0</v>
      </c>
      <c r="K70" s="66">
        <f t="shared" si="8"/>
        <v>0</v>
      </c>
      <c r="L70" s="66">
        <f t="shared" si="8"/>
        <v>270000</v>
      </c>
      <c r="M70" s="66">
        <f t="shared" si="8"/>
        <v>280000</v>
      </c>
      <c r="N70" s="66">
        <f t="shared" si="8"/>
        <v>0</v>
      </c>
      <c r="O70" s="66">
        <f t="shared" si="8"/>
        <v>0</v>
      </c>
      <c r="P70" s="66">
        <f t="shared" si="8"/>
        <v>0</v>
      </c>
      <c r="Q70" s="66">
        <f t="shared" si="8"/>
        <v>0</v>
      </c>
      <c r="R70" s="66">
        <f t="shared" si="8"/>
        <v>0</v>
      </c>
      <c r="S70" s="66">
        <f t="shared" si="8"/>
        <v>0</v>
      </c>
      <c r="T70" s="66">
        <f t="shared" si="8"/>
        <v>0</v>
      </c>
      <c r="U70" s="66">
        <f t="shared" si="8"/>
        <v>34000</v>
      </c>
      <c r="V70" s="66">
        <f t="shared" si="8"/>
        <v>0</v>
      </c>
      <c r="W70" s="66">
        <f t="shared" si="8"/>
        <v>0</v>
      </c>
      <c r="X70" s="66">
        <f t="shared" si="8"/>
        <v>0</v>
      </c>
      <c r="Y70" s="66">
        <f t="shared" si="8"/>
        <v>275000</v>
      </c>
      <c r="Z70" s="66">
        <f t="shared" si="8"/>
        <v>0</v>
      </c>
      <c r="AA70" s="72">
        <v>100</v>
      </c>
      <c r="AB70" s="51">
        <f t="shared" ref="AB70:AM73" si="9">Z80/1000</f>
        <v>0</v>
      </c>
      <c r="AC70" s="51">
        <f t="shared" si="9"/>
        <v>0</v>
      </c>
      <c r="AD70" s="51">
        <f t="shared" si="9"/>
        <v>5000</v>
      </c>
      <c r="AE70" s="51">
        <f t="shared" si="9"/>
        <v>0</v>
      </c>
      <c r="AF70" s="51">
        <f t="shared" si="9"/>
        <v>0</v>
      </c>
      <c r="AG70" s="59">
        <f t="shared" si="9"/>
        <v>640000</v>
      </c>
      <c r="AH70" s="51">
        <f t="shared" si="9"/>
        <v>0</v>
      </c>
      <c r="AI70" s="51">
        <f t="shared" si="9"/>
        <v>0</v>
      </c>
      <c r="AJ70" s="51">
        <f t="shared" si="9"/>
        <v>0</v>
      </c>
      <c r="AK70" s="51">
        <f t="shared" si="9"/>
        <v>0</v>
      </c>
      <c r="AL70" s="51">
        <f t="shared" si="9"/>
        <v>0</v>
      </c>
      <c r="AM70" s="51">
        <f t="shared" si="9"/>
        <v>140000</v>
      </c>
      <c r="AN70" s="51" t="str">
        <f t="shared" si="6"/>
        <v>m_manganese</v>
      </c>
      <c r="CQ70" s="74"/>
      <c r="CR70" s="74"/>
      <c r="CT70" s="74"/>
      <c r="CU70" s="74"/>
      <c r="CW70" s="77" t="s">
        <v>123</v>
      </c>
      <c r="CX70" t="s">
        <v>124</v>
      </c>
      <c r="CY70" s="53" t="s">
        <v>127</v>
      </c>
      <c r="CZ70" s="78" t="s">
        <v>133</v>
      </c>
      <c r="DA70" s="79">
        <v>0</v>
      </c>
      <c r="DB70" s="79">
        <v>5</v>
      </c>
    </row>
    <row r="71" s="51" customFormat="1" ht="14.5" spans="2:106">
      <c r="B71" s="61" t="s">
        <v>123</v>
      </c>
      <c r="C71" s="59" t="s">
        <v>124</v>
      </c>
      <c r="D71" s="60" t="s">
        <v>134</v>
      </c>
      <c r="E71" s="60" t="s">
        <v>135</v>
      </c>
      <c r="F71" s="51">
        <f t="shared" ref="F71:L73" si="10">D81/1000</f>
        <v>0</v>
      </c>
      <c r="G71" s="51">
        <f t="shared" si="10"/>
        <v>0</v>
      </c>
      <c r="H71" s="51">
        <f t="shared" si="10"/>
        <v>0</v>
      </c>
      <c r="I71" s="51">
        <f t="shared" si="10"/>
        <v>0</v>
      </c>
      <c r="J71" s="51">
        <f t="shared" si="10"/>
        <v>0</v>
      </c>
      <c r="K71" s="51">
        <f t="shared" si="10"/>
        <v>0</v>
      </c>
      <c r="L71" s="51">
        <f t="shared" si="10"/>
        <v>0</v>
      </c>
      <c r="M71" s="71">
        <v>41500</v>
      </c>
      <c r="N71" s="51">
        <f t="shared" ref="N71:Z73" si="11">L81/1000</f>
        <v>0</v>
      </c>
      <c r="O71" s="51">
        <f t="shared" si="11"/>
        <v>0</v>
      </c>
      <c r="P71" s="51">
        <f t="shared" si="11"/>
        <v>0</v>
      </c>
      <c r="Q71" s="51">
        <f t="shared" si="11"/>
        <v>0</v>
      </c>
      <c r="R71" s="51">
        <f t="shared" si="11"/>
        <v>0</v>
      </c>
      <c r="S71" s="51">
        <f t="shared" si="11"/>
        <v>0</v>
      </c>
      <c r="T71" s="51">
        <f t="shared" si="11"/>
        <v>0</v>
      </c>
      <c r="U71" s="51">
        <f t="shared" si="11"/>
        <v>0</v>
      </c>
      <c r="V71" s="51">
        <f t="shared" si="11"/>
        <v>0</v>
      </c>
      <c r="W71" s="51">
        <f t="shared" si="11"/>
        <v>0</v>
      </c>
      <c r="X71" s="51">
        <f t="shared" si="11"/>
        <v>0</v>
      </c>
      <c r="Y71" s="51">
        <f t="shared" si="11"/>
        <v>0</v>
      </c>
      <c r="Z71" s="51">
        <f t="shared" si="11"/>
        <v>0</v>
      </c>
      <c r="AA71" s="71">
        <v>3650</v>
      </c>
      <c r="AB71" s="51">
        <f t="shared" si="9"/>
        <v>0</v>
      </c>
      <c r="AC71" s="51">
        <f t="shared" si="9"/>
        <v>0</v>
      </c>
      <c r="AD71" s="51">
        <f t="shared" si="9"/>
        <v>0</v>
      </c>
      <c r="AE71" s="51">
        <f t="shared" si="9"/>
        <v>0</v>
      </c>
      <c r="AF71" s="51">
        <f t="shared" si="9"/>
        <v>0</v>
      </c>
      <c r="AG71" s="51">
        <f t="shared" si="9"/>
        <v>0</v>
      </c>
      <c r="AH71" s="51">
        <f t="shared" si="9"/>
        <v>0</v>
      </c>
      <c r="AI71" s="51">
        <f t="shared" si="9"/>
        <v>0</v>
      </c>
      <c r="AJ71" s="51">
        <f t="shared" si="9"/>
        <v>0</v>
      </c>
      <c r="AK71" s="51">
        <f t="shared" si="9"/>
        <v>0</v>
      </c>
      <c r="AL71" s="51">
        <f t="shared" si="9"/>
        <v>0</v>
      </c>
      <c r="AM71" s="51">
        <f t="shared" si="9"/>
        <v>0</v>
      </c>
      <c r="AN71" s="51" t="str">
        <f t="shared" si="6"/>
        <v>m_aluminum</v>
      </c>
      <c r="CQ71" s="74"/>
      <c r="CR71" s="74"/>
      <c r="CT71" s="74"/>
      <c r="CU71" s="74"/>
      <c r="CW71" s="77" t="s">
        <v>123</v>
      </c>
      <c r="CX71" t="s">
        <v>124</v>
      </c>
      <c r="CY71" s="53" t="s">
        <v>127</v>
      </c>
      <c r="CZ71" s="53" t="s">
        <v>135</v>
      </c>
      <c r="DA71" s="79">
        <v>0</v>
      </c>
      <c r="DB71" s="79">
        <v>5</v>
      </c>
    </row>
    <row r="72" s="51" customFormat="1" ht="14.5" spans="2:106">
      <c r="B72" s="61" t="s">
        <v>123</v>
      </c>
      <c r="C72" s="59" t="s">
        <v>124</v>
      </c>
      <c r="D72" s="60" t="s">
        <v>136</v>
      </c>
      <c r="E72" s="60" t="s">
        <v>137</v>
      </c>
      <c r="F72" s="51">
        <f t="shared" si="10"/>
        <v>0</v>
      </c>
      <c r="G72" s="51">
        <f t="shared" si="10"/>
        <v>50000</v>
      </c>
      <c r="H72" s="51">
        <f t="shared" si="10"/>
        <v>97000</v>
      </c>
      <c r="I72" s="51">
        <f t="shared" si="10"/>
        <v>0</v>
      </c>
      <c r="J72" s="51">
        <f t="shared" si="10"/>
        <v>0</v>
      </c>
      <c r="K72" s="51">
        <f t="shared" si="10"/>
        <v>0</v>
      </c>
      <c r="L72" s="51">
        <f t="shared" si="10"/>
        <v>0</v>
      </c>
      <c r="M72" s="51">
        <f>K82/1000</f>
        <v>27000</v>
      </c>
      <c r="N72" s="51">
        <f t="shared" si="11"/>
        <v>0</v>
      </c>
      <c r="O72" s="51">
        <f t="shared" si="11"/>
        <v>0</v>
      </c>
      <c r="P72" s="51">
        <f t="shared" si="11"/>
        <v>0</v>
      </c>
      <c r="Q72" s="51">
        <f t="shared" si="11"/>
        <v>0</v>
      </c>
      <c r="R72" s="51">
        <f t="shared" si="11"/>
        <v>0</v>
      </c>
      <c r="S72" s="51">
        <f t="shared" si="11"/>
        <v>0</v>
      </c>
      <c r="T72" s="51">
        <f t="shared" si="11"/>
        <v>0</v>
      </c>
      <c r="U72" s="51">
        <f t="shared" si="11"/>
        <v>0</v>
      </c>
      <c r="V72" s="51">
        <f t="shared" si="11"/>
        <v>0</v>
      </c>
      <c r="W72" s="51">
        <f t="shared" si="11"/>
        <v>0</v>
      </c>
      <c r="X72" s="51">
        <f t="shared" si="11"/>
        <v>0</v>
      </c>
      <c r="Y72" s="51">
        <f t="shared" si="11"/>
        <v>324000</v>
      </c>
      <c r="Z72" s="51">
        <f t="shared" si="11"/>
        <v>0</v>
      </c>
      <c r="AA72" s="51">
        <f>Y82/1000</f>
        <v>51600</v>
      </c>
      <c r="AB72" s="51">
        <f t="shared" si="9"/>
        <v>0</v>
      </c>
      <c r="AC72" s="51">
        <f t="shared" si="9"/>
        <v>30000</v>
      </c>
      <c r="AD72" s="51">
        <f t="shared" si="9"/>
        <v>244000</v>
      </c>
      <c r="AE72" s="51">
        <f t="shared" si="9"/>
        <v>62000</v>
      </c>
      <c r="AF72" s="51">
        <f t="shared" si="9"/>
        <v>0</v>
      </c>
      <c r="AG72" s="51">
        <f t="shared" si="9"/>
        <v>0</v>
      </c>
      <c r="AH72" s="51">
        <f t="shared" si="9"/>
        <v>0</v>
      </c>
      <c r="AI72" s="51">
        <f t="shared" si="9"/>
        <v>0</v>
      </c>
      <c r="AJ72" s="51">
        <f t="shared" si="9"/>
        <v>0</v>
      </c>
      <c r="AK72" s="51">
        <f t="shared" si="9"/>
        <v>0</v>
      </c>
      <c r="AL72" s="51">
        <f t="shared" si="9"/>
        <v>0</v>
      </c>
      <c r="AM72" s="51">
        <f t="shared" si="9"/>
        <v>0</v>
      </c>
      <c r="AN72" s="51" t="str">
        <f t="shared" si="6"/>
        <v>m_copper</v>
      </c>
      <c r="CQ72" s="74"/>
      <c r="CR72" s="74"/>
      <c r="CT72" s="74"/>
      <c r="CU72" s="74"/>
      <c r="CW72" s="77" t="s">
        <v>123</v>
      </c>
      <c r="CX72" t="s">
        <v>124</v>
      </c>
      <c r="CY72" s="53" t="s">
        <v>127</v>
      </c>
      <c r="CZ72" s="53" t="s">
        <v>137</v>
      </c>
      <c r="DA72" s="79">
        <v>0</v>
      </c>
      <c r="DB72" s="79">
        <v>5</v>
      </c>
    </row>
    <row r="73" s="50" customFormat="1" ht="14.5" spans="1:106">
      <c r="A73" s="51"/>
      <c r="B73" s="61" t="s">
        <v>123</v>
      </c>
      <c r="C73" s="59" t="s">
        <v>124</v>
      </c>
      <c r="D73" s="60" t="s">
        <v>138</v>
      </c>
      <c r="E73" s="60" t="s">
        <v>139</v>
      </c>
      <c r="F73" s="51">
        <f t="shared" si="10"/>
        <v>0</v>
      </c>
      <c r="G73" s="51">
        <f t="shared" si="10"/>
        <v>69000</v>
      </c>
      <c r="H73" s="51">
        <f t="shared" si="10"/>
        <v>0</v>
      </c>
      <c r="I73" s="51">
        <f t="shared" si="10"/>
        <v>0</v>
      </c>
      <c r="J73" s="51">
        <f t="shared" si="10"/>
        <v>0</v>
      </c>
      <c r="K73" s="51">
        <f t="shared" si="10"/>
        <v>0</v>
      </c>
      <c r="L73" s="51">
        <f t="shared" si="10"/>
        <v>74000</v>
      </c>
      <c r="M73" s="51">
        <f>K83/1000</f>
        <v>52000</v>
      </c>
      <c r="N73" s="51">
        <f t="shared" si="11"/>
        <v>0</v>
      </c>
      <c r="O73" s="51">
        <f t="shared" si="11"/>
        <v>0</v>
      </c>
      <c r="P73" s="51">
        <f t="shared" si="11"/>
        <v>0</v>
      </c>
      <c r="Q73" s="51">
        <f t="shared" si="11"/>
        <v>0</v>
      </c>
      <c r="R73" s="51">
        <f t="shared" si="11"/>
        <v>0</v>
      </c>
      <c r="S73" s="51">
        <f t="shared" si="11"/>
        <v>0</v>
      </c>
      <c r="T73" s="51">
        <f t="shared" si="11"/>
        <v>0</v>
      </c>
      <c r="U73" s="51">
        <f t="shared" si="11"/>
        <v>8000</v>
      </c>
      <c r="V73" s="51">
        <f t="shared" si="11"/>
        <v>0</v>
      </c>
      <c r="W73" s="51">
        <f t="shared" si="11"/>
        <v>0</v>
      </c>
      <c r="X73" s="51">
        <f t="shared" si="11"/>
        <v>0</v>
      </c>
      <c r="Y73" s="51">
        <f t="shared" si="11"/>
        <v>77100</v>
      </c>
      <c r="Z73" s="51">
        <f t="shared" si="11"/>
        <v>90000</v>
      </c>
      <c r="AA73" s="51">
        <f>Y83/1000</f>
        <v>5700</v>
      </c>
      <c r="AB73" s="51">
        <f t="shared" si="9"/>
        <v>600</v>
      </c>
      <c r="AC73" s="51">
        <f t="shared" si="9"/>
        <v>0</v>
      </c>
      <c r="AD73" s="51">
        <f t="shared" si="9"/>
        <v>12900</v>
      </c>
      <c r="AE73" s="51">
        <f t="shared" si="9"/>
        <v>14000</v>
      </c>
      <c r="AF73" s="51">
        <f t="shared" si="9"/>
        <v>0</v>
      </c>
      <c r="AG73" s="51">
        <f t="shared" si="9"/>
        <v>0</v>
      </c>
      <c r="AH73" s="51">
        <f t="shared" si="9"/>
        <v>0</v>
      </c>
      <c r="AI73" s="51">
        <f t="shared" si="9"/>
        <v>0</v>
      </c>
      <c r="AJ73" s="51">
        <f t="shared" si="9"/>
        <v>0</v>
      </c>
      <c r="AK73" s="51">
        <f t="shared" si="9"/>
        <v>90000</v>
      </c>
      <c r="AL73" s="51">
        <f t="shared" si="9"/>
        <v>0</v>
      </c>
      <c r="AM73" s="51">
        <f t="shared" si="9"/>
        <v>0</v>
      </c>
      <c r="AN73" s="51" t="str">
        <f t="shared" si="6"/>
        <v>m_graphite</v>
      </c>
      <c r="AY73" s="51"/>
      <c r="BB73" s="51"/>
      <c r="CQ73" s="73"/>
      <c r="CR73" s="74"/>
      <c r="CT73" s="73"/>
      <c r="CU73" s="73"/>
      <c r="CW73" s="77" t="s">
        <v>123</v>
      </c>
      <c r="CX73" t="s">
        <v>124</v>
      </c>
      <c r="CY73" s="53" t="s">
        <v>127</v>
      </c>
      <c r="CZ73" s="53" t="s">
        <v>139</v>
      </c>
      <c r="DA73" s="79">
        <v>0</v>
      </c>
      <c r="DB73" s="79">
        <v>5</v>
      </c>
    </row>
    <row r="74" s="53" customFormat="1"/>
    <row r="75" s="53" customFormat="1" spans="5:5">
      <c r="E75" s="53" t="s">
        <v>140</v>
      </c>
    </row>
    <row r="76" s="53" customFormat="1"/>
    <row r="77" s="53" customFormat="1" spans="4:37">
      <c r="D77" s="67">
        <v>0</v>
      </c>
      <c r="E77" s="67">
        <v>310000</v>
      </c>
      <c r="F77" s="67">
        <v>6200000</v>
      </c>
      <c r="G77" s="67">
        <v>0</v>
      </c>
      <c r="H77" s="67"/>
      <c r="I77" s="67"/>
      <c r="J77" s="67">
        <v>250000</v>
      </c>
      <c r="K77" s="67">
        <v>2000000</v>
      </c>
      <c r="L77" s="67"/>
      <c r="M77" s="67">
        <v>0</v>
      </c>
      <c r="N77" s="67">
        <v>0</v>
      </c>
      <c r="O77" s="67">
        <v>0</v>
      </c>
      <c r="P77" s="67">
        <v>0</v>
      </c>
      <c r="Q77" s="67"/>
      <c r="R77" s="67"/>
      <c r="S77" s="67">
        <v>0</v>
      </c>
      <c r="T77" s="67"/>
      <c r="U77" s="67"/>
      <c r="V77" s="67">
        <v>0</v>
      </c>
      <c r="W77" s="67">
        <v>12250000</v>
      </c>
      <c r="X77" s="67">
        <v>0</v>
      </c>
      <c r="Y77" s="67">
        <v>1930000</v>
      </c>
      <c r="Z77" s="67">
        <v>0</v>
      </c>
      <c r="AA77" s="67">
        <v>0</v>
      </c>
      <c r="AB77" s="67">
        <v>3300000</v>
      </c>
      <c r="AC77" s="67">
        <v>0</v>
      </c>
      <c r="AD77" s="67">
        <v>0</v>
      </c>
      <c r="AE77" s="67">
        <v>0</v>
      </c>
      <c r="AF77" s="67">
        <v>60000</v>
      </c>
      <c r="AG77" s="67">
        <v>0</v>
      </c>
      <c r="AH77" s="67"/>
      <c r="AI77" s="67">
        <v>0</v>
      </c>
      <c r="AJ77" s="67">
        <v>0</v>
      </c>
      <c r="AK77" s="67">
        <v>0</v>
      </c>
    </row>
    <row r="78" s="53" customFormat="1" spans="4:37">
      <c r="D78" s="67">
        <v>0</v>
      </c>
      <c r="E78" s="67">
        <v>0</v>
      </c>
      <c r="F78" s="67">
        <v>21000000</v>
      </c>
      <c r="G78" s="67">
        <v>0</v>
      </c>
      <c r="H78" s="67"/>
      <c r="I78" s="67"/>
      <c r="J78" s="67">
        <v>16000000</v>
      </c>
      <c r="K78" s="67">
        <v>2100000</v>
      </c>
      <c r="L78" s="67"/>
      <c r="M78" s="67">
        <v>0</v>
      </c>
      <c r="N78" s="67">
        <v>0</v>
      </c>
      <c r="O78" s="67">
        <v>0</v>
      </c>
      <c r="P78" s="67">
        <v>0</v>
      </c>
      <c r="Q78" s="67"/>
      <c r="R78" s="67"/>
      <c r="S78" s="67">
        <v>0</v>
      </c>
      <c r="T78" s="67"/>
      <c r="U78" s="67"/>
      <c r="V78" s="67">
        <v>0</v>
      </c>
      <c r="W78" s="67">
        <v>16000000</v>
      </c>
      <c r="X78" s="67">
        <v>0</v>
      </c>
      <c r="Y78" s="67">
        <v>2570000</v>
      </c>
      <c r="Z78" s="67">
        <v>0</v>
      </c>
      <c r="AA78" s="67">
        <v>0</v>
      </c>
      <c r="AB78" s="67">
        <v>52900000</v>
      </c>
      <c r="AC78" s="67">
        <v>7500000</v>
      </c>
      <c r="AD78" s="67">
        <v>0</v>
      </c>
      <c r="AE78" s="67">
        <v>0</v>
      </c>
      <c r="AF78" s="67">
        <v>0</v>
      </c>
      <c r="AG78" s="67">
        <v>0</v>
      </c>
      <c r="AH78" s="67"/>
      <c r="AI78" s="67">
        <v>0</v>
      </c>
      <c r="AJ78" s="67">
        <v>0</v>
      </c>
      <c r="AK78" s="67">
        <v>0</v>
      </c>
    </row>
    <row r="79" s="53" customFormat="1" spans="4:37">
      <c r="D79" s="67">
        <v>13000</v>
      </c>
      <c r="E79" s="67">
        <v>4100000</v>
      </c>
      <c r="F79" s="67">
        <v>1500000</v>
      </c>
      <c r="G79" s="67">
        <v>0</v>
      </c>
      <c r="H79" s="67"/>
      <c r="I79" s="67"/>
      <c r="J79" s="67">
        <v>0</v>
      </c>
      <c r="K79" s="67">
        <v>140000</v>
      </c>
      <c r="L79" s="67"/>
      <c r="M79" s="67">
        <v>0</v>
      </c>
      <c r="N79" s="67">
        <v>0</v>
      </c>
      <c r="O79" s="67">
        <v>0</v>
      </c>
      <c r="P79" s="67">
        <v>0</v>
      </c>
      <c r="Q79" s="67"/>
      <c r="R79" s="67"/>
      <c r="S79" s="67">
        <v>0</v>
      </c>
      <c r="T79" s="67"/>
      <c r="U79" s="67"/>
      <c r="V79" s="67">
        <v>0</v>
      </c>
      <c r="W79" s="67">
        <v>500000</v>
      </c>
      <c r="X79" s="67">
        <v>36000</v>
      </c>
      <c r="Y79" s="67">
        <v>289000</v>
      </c>
      <c r="Z79" s="67">
        <v>0</v>
      </c>
      <c r="AA79" s="67">
        <v>0</v>
      </c>
      <c r="AB79" s="67">
        <v>1517000</v>
      </c>
      <c r="AC79" s="67">
        <v>250000</v>
      </c>
      <c r="AD79" s="67">
        <v>0</v>
      </c>
      <c r="AE79" s="67">
        <v>0</v>
      </c>
      <c r="AF79" s="67">
        <v>0</v>
      </c>
      <c r="AG79" s="67">
        <v>0</v>
      </c>
      <c r="AH79" s="67"/>
      <c r="AI79" s="67">
        <v>36000</v>
      </c>
      <c r="AJ79" s="67">
        <v>0</v>
      </c>
      <c r="AK79" s="67">
        <v>0</v>
      </c>
    </row>
    <row r="80" s="53" customFormat="1" spans="4:37">
      <c r="D80" s="67">
        <v>0</v>
      </c>
      <c r="E80" s="67">
        <v>74000000</v>
      </c>
      <c r="F80" s="67">
        <v>270000000</v>
      </c>
      <c r="G80" s="67">
        <v>0</v>
      </c>
      <c r="H80" s="67"/>
      <c r="I80" s="67"/>
      <c r="J80" s="67">
        <v>270000000</v>
      </c>
      <c r="K80" s="67">
        <v>280000000</v>
      </c>
      <c r="L80" s="67"/>
      <c r="M80" s="67">
        <v>0</v>
      </c>
      <c r="N80" s="67">
        <v>0</v>
      </c>
      <c r="O80" s="67">
        <v>0</v>
      </c>
      <c r="P80" s="67">
        <v>0</v>
      </c>
      <c r="Q80" s="67"/>
      <c r="R80" s="67"/>
      <c r="S80" s="67">
        <v>34000000</v>
      </c>
      <c r="T80" s="67"/>
      <c r="U80" s="67"/>
      <c r="V80" s="67">
        <v>0</v>
      </c>
      <c r="W80" s="67">
        <v>275000000</v>
      </c>
      <c r="X80" s="67">
        <v>0</v>
      </c>
      <c r="Y80" s="67">
        <v>0</v>
      </c>
      <c r="Z80" s="67">
        <v>0</v>
      </c>
      <c r="AA80" s="67">
        <v>0</v>
      </c>
      <c r="AB80" s="67">
        <v>5000000</v>
      </c>
      <c r="AC80" s="67">
        <v>0</v>
      </c>
      <c r="AD80" s="67">
        <v>0</v>
      </c>
      <c r="AE80" s="67">
        <v>640000000</v>
      </c>
      <c r="AF80" s="67">
        <v>0</v>
      </c>
      <c r="AG80" s="67">
        <v>0</v>
      </c>
      <c r="AH80" s="67"/>
      <c r="AI80" s="67">
        <v>0</v>
      </c>
      <c r="AJ80" s="67">
        <v>0</v>
      </c>
      <c r="AK80" s="67">
        <v>140000000</v>
      </c>
    </row>
    <row r="81" s="53" customFormat="1" spans="4:37"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>
        <v>0</v>
      </c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</row>
    <row r="82" s="53" customFormat="1" spans="4:37">
      <c r="D82" s="67">
        <v>0</v>
      </c>
      <c r="E82" s="67">
        <v>50000000</v>
      </c>
      <c r="F82" s="67">
        <v>97000000</v>
      </c>
      <c r="G82" s="67">
        <v>0</v>
      </c>
      <c r="H82" s="67"/>
      <c r="I82" s="67"/>
      <c r="J82" s="67">
        <v>0</v>
      </c>
      <c r="K82" s="67">
        <v>27000000</v>
      </c>
      <c r="L82" s="67"/>
      <c r="M82" s="67">
        <v>0</v>
      </c>
      <c r="N82" s="67">
        <v>0</v>
      </c>
      <c r="O82" s="67">
        <v>0</v>
      </c>
      <c r="P82" s="67">
        <v>0</v>
      </c>
      <c r="Q82" s="67"/>
      <c r="R82" s="67"/>
      <c r="S82" s="67">
        <v>0</v>
      </c>
      <c r="T82" s="67"/>
      <c r="U82" s="67"/>
      <c r="V82" s="67">
        <v>0</v>
      </c>
      <c r="W82" s="67">
        <v>324000000</v>
      </c>
      <c r="X82" s="67">
        <v>0</v>
      </c>
      <c r="Y82" s="67">
        <v>51600000</v>
      </c>
      <c r="Z82" s="67">
        <v>0</v>
      </c>
      <c r="AA82" s="67">
        <v>30000000</v>
      </c>
      <c r="AB82" s="67">
        <v>244000000</v>
      </c>
      <c r="AC82" s="67">
        <v>62000000</v>
      </c>
      <c r="AD82" s="67">
        <v>0</v>
      </c>
      <c r="AE82" s="67">
        <v>0</v>
      </c>
      <c r="AF82" s="67">
        <v>0</v>
      </c>
      <c r="AG82" s="67">
        <v>0</v>
      </c>
      <c r="AH82" s="67"/>
      <c r="AI82" s="67">
        <v>0</v>
      </c>
      <c r="AJ82" s="67">
        <v>0</v>
      </c>
      <c r="AK82" s="67">
        <v>0</v>
      </c>
    </row>
    <row r="83" s="53" customFormat="1" spans="4:37">
      <c r="D83" s="67">
        <v>0</v>
      </c>
      <c r="E83" s="67">
        <v>69000000</v>
      </c>
      <c r="F83" s="67">
        <v>0</v>
      </c>
      <c r="G83" s="67">
        <v>0</v>
      </c>
      <c r="H83" s="67"/>
      <c r="I83" s="67"/>
      <c r="J83" s="67">
        <v>74000000</v>
      </c>
      <c r="K83" s="67">
        <v>52000000</v>
      </c>
      <c r="L83" s="67"/>
      <c r="M83" s="67">
        <v>0</v>
      </c>
      <c r="N83" s="67">
        <v>0</v>
      </c>
      <c r="O83" s="67">
        <v>0</v>
      </c>
      <c r="P83" s="67">
        <v>0</v>
      </c>
      <c r="Q83" s="67"/>
      <c r="R83" s="67"/>
      <c r="S83" s="67">
        <v>8000000</v>
      </c>
      <c r="T83" s="67"/>
      <c r="U83" s="67"/>
      <c r="V83" s="67">
        <v>0</v>
      </c>
      <c r="W83" s="67">
        <v>77100000</v>
      </c>
      <c r="X83" s="67">
        <v>90000000</v>
      </c>
      <c r="Y83" s="67">
        <v>5700000</v>
      </c>
      <c r="Z83" s="67">
        <v>600000</v>
      </c>
      <c r="AA83" s="67">
        <v>0</v>
      </c>
      <c r="AB83" s="67">
        <v>12900000</v>
      </c>
      <c r="AC83" s="67">
        <v>14000000</v>
      </c>
      <c r="AD83" s="67">
        <v>0</v>
      </c>
      <c r="AE83" s="67">
        <v>0</v>
      </c>
      <c r="AF83" s="67">
        <v>0</v>
      </c>
      <c r="AG83" s="67">
        <v>0</v>
      </c>
      <c r="AH83" s="67"/>
      <c r="AI83" s="67">
        <v>90000000</v>
      </c>
      <c r="AJ83" s="67">
        <v>0</v>
      </c>
      <c r="AK83" s="67">
        <v>0</v>
      </c>
    </row>
    <row r="84" s="53" customFormat="1"/>
    <row r="88" spans="2:2">
      <c r="B88" t="s">
        <v>141</v>
      </c>
    </row>
    <row r="91" spans="8:12">
      <c r="H91" s="53"/>
      <c r="I91" s="53"/>
      <c r="J91" s="53"/>
      <c r="K91" s="53"/>
      <c r="L91" s="53"/>
    </row>
    <row r="92" spans="4:12">
      <c r="D92" s="53"/>
      <c r="H92" s="53"/>
      <c r="I92" s="53"/>
      <c r="J92" s="53"/>
      <c r="K92" s="53"/>
      <c r="L92" s="53"/>
    </row>
    <row r="93" spans="3:12">
      <c r="C93" s="53"/>
      <c r="D93" s="53"/>
      <c r="F93" s="53"/>
      <c r="H93" s="53"/>
      <c r="I93" s="53"/>
      <c r="J93" s="53"/>
      <c r="K93" s="53"/>
      <c r="L93" s="53"/>
    </row>
    <row r="94" spans="3:12">
      <c r="C94" s="53"/>
      <c r="D94" s="53"/>
      <c r="H94" s="53"/>
      <c r="I94" s="53"/>
      <c r="J94" s="53"/>
      <c r="K94" s="53"/>
      <c r="L94" s="53"/>
    </row>
    <row r="95" spans="3:12">
      <c r="C95" s="53"/>
      <c r="D95" s="53"/>
      <c r="F95" s="53"/>
      <c r="H95" s="53"/>
      <c r="I95" s="53"/>
      <c r="J95" s="53"/>
      <c r="K95" s="53"/>
      <c r="L95" s="53"/>
    </row>
    <row r="96" spans="3:12">
      <c r="C96" s="53"/>
      <c r="D96" s="53"/>
      <c r="H96" s="53"/>
      <c r="I96" s="53"/>
      <c r="J96" s="53"/>
      <c r="K96" s="53"/>
      <c r="L96" s="53"/>
    </row>
    <row r="97" spans="3:12">
      <c r="C97" s="53"/>
      <c r="D97" s="53"/>
      <c r="F97" s="53"/>
      <c r="H97" s="53"/>
      <c r="I97" s="53"/>
      <c r="J97" s="53"/>
      <c r="K97" s="53"/>
      <c r="L97" s="53"/>
    </row>
    <row r="98" spans="3:12">
      <c r="C98" s="53"/>
      <c r="D98" s="53"/>
      <c r="H98" s="53"/>
      <c r="I98" s="53"/>
      <c r="J98" s="53"/>
      <c r="K98" s="53"/>
      <c r="L98" s="53"/>
    </row>
    <row r="99" spans="3:6">
      <c r="C99" s="53"/>
      <c r="F99" s="53"/>
    </row>
    <row r="100" spans="3:4">
      <c r="C100" s="53"/>
      <c r="D100" s="53"/>
    </row>
    <row r="101" spans="3:7">
      <c r="C101" s="53"/>
      <c r="D101" s="68"/>
      <c r="E101" s="68"/>
      <c r="F101" s="68"/>
      <c r="G101" s="68"/>
    </row>
    <row r="102" spans="3:26">
      <c r="C102" s="53"/>
      <c r="D102" t="s">
        <v>69</v>
      </c>
      <c r="M102" s="53"/>
      <c r="N102" t="s">
        <v>69</v>
      </c>
      <c r="Y102" s="53"/>
      <c r="Z102" t="s">
        <v>69</v>
      </c>
    </row>
    <row r="103" spans="3:29">
      <c r="C103" s="53" t="s">
        <v>71</v>
      </c>
      <c r="D103" s="68" t="s">
        <v>45</v>
      </c>
      <c r="E103" s="68" t="s">
        <v>44</v>
      </c>
      <c r="F103" s="68" t="s">
        <v>11</v>
      </c>
      <c r="G103" s="68" t="s">
        <v>25</v>
      </c>
      <c r="L103" t="s">
        <v>77</v>
      </c>
      <c r="M103" s="53" t="s">
        <v>71</v>
      </c>
      <c r="N103" s="68" t="s">
        <v>45</v>
      </c>
      <c r="O103" s="68" t="s">
        <v>44</v>
      </c>
      <c r="P103" s="68" t="s">
        <v>11</v>
      </c>
      <c r="Q103" s="68" t="s">
        <v>25</v>
      </c>
      <c r="X103" t="s">
        <v>77</v>
      </c>
      <c r="Y103" s="53" t="s">
        <v>71</v>
      </c>
      <c r="Z103" s="68" t="s">
        <v>45</v>
      </c>
      <c r="AA103" s="68" t="s">
        <v>44</v>
      </c>
      <c r="AB103" s="68" t="s">
        <v>11</v>
      </c>
      <c r="AC103" s="68" t="s">
        <v>25</v>
      </c>
    </row>
    <row r="104" spans="3:29">
      <c r="C104" s="53" t="s">
        <v>142</v>
      </c>
      <c r="D104" s="68" t="s">
        <v>143</v>
      </c>
      <c r="E104" s="68">
        <v>7.11384396954065</v>
      </c>
      <c r="F104" s="69">
        <v>5.40179852616065</v>
      </c>
      <c r="G104" s="69">
        <v>8.85540744288872</v>
      </c>
      <c r="L104">
        <v>2050</v>
      </c>
      <c r="M104" s="53" t="s">
        <v>142</v>
      </c>
      <c r="N104" s="68" t="s">
        <v>143</v>
      </c>
      <c r="O104" s="68">
        <f>E104*0.313</f>
        <v>2.22663316246622</v>
      </c>
      <c r="P104" s="68">
        <f>F104*0.313</f>
        <v>1.69076293868828</v>
      </c>
      <c r="Q104" s="68">
        <f>G104*0.313</f>
        <v>2.77174252962417</v>
      </c>
      <c r="X104">
        <v>0</v>
      </c>
      <c r="Y104" s="53" t="s">
        <v>142</v>
      </c>
      <c r="Z104" s="68" t="s">
        <v>143</v>
      </c>
      <c r="AA104" s="68">
        <v>5</v>
      </c>
      <c r="AB104" s="68">
        <v>5</v>
      </c>
      <c r="AC104" s="68">
        <v>5</v>
      </c>
    </row>
    <row r="105" spans="3:29">
      <c r="C105" s="53" t="s">
        <v>142</v>
      </c>
      <c r="D105" s="68" t="s">
        <v>144</v>
      </c>
      <c r="E105" s="68">
        <v>7.11384396954065</v>
      </c>
      <c r="F105" s="69">
        <v>5.40179852616065</v>
      </c>
      <c r="G105" s="69">
        <v>8.85540744288872</v>
      </c>
      <c r="L105">
        <v>2050</v>
      </c>
      <c r="M105" s="53" t="s">
        <v>142</v>
      </c>
      <c r="N105" s="68" t="s">
        <v>144</v>
      </c>
      <c r="O105" s="68">
        <f t="shared" ref="O105:O124" si="12">E105*0.313</f>
        <v>2.22663316246622</v>
      </c>
      <c r="P105" s="68">
        <f t="shared" ref="P105:P124" si="13">F105*0.313</f>
        <v>1.69076293868828</v>
      </c>
      <c r="Q105" s="68">
        <f t="shared" ref="Q105:Q124" si="14">G105*0.313</f>
        <v>2.77174252962417</v>
      </c>
      <c r="X105">
        <v>0</v>
      </c>
      <c r="Y105" s="53" t="s">
        <v>142</v>
      </c>
      <c r="Z105" s="68" t="s">
        <v>144</v>
      </c>
      <c r="AA105" s="68">
        <v>5</v>
      </c>
      <c r="AB105" s="68">
        <v>5</v>
      </c>
      <c r="AC105" s="68">
        <v>5</v>
      </c>
    </row>
    <row r="106" spans="3:29">
      <c r="C106" s="53" t="s">
        <v>142</v>
      </c>
      <c r="D106" s="68" t="s">
        <v>145</v>
      </c>
      <c r="E106" s="68">
        <v>7.62975445836404</v>
      </c>
      <c r="F106" s="69">
        <v>5.79354797347089</v>
      </c>
      <c r="G106" s="69">
        <v>9.49761967575534</v>
      </c>
      <c r="L106">
        <v>2050</v>
      </c>
      <c r="M106" s="53" t="s">
        <v>142</v>
      </c>
      <c r="N106" s="68" t="s">
        <v>145</v>
      </c>
      <c r="O106" s="68">
        <f t="shared" si="12"/>
        <v>2.38811314546794</v>
      </c>
      <c r="P106" s="68">
        <f t="shared" si="13"/>
        <v>1.81338051569639</v>
      </c>
      <c r="Q106" s="68">
        <f t="shared" si="14"/>
        <v>2.97275495851142</v>
      </c>
      <c r="X106">
        <v>0</v>
      </c>
      <c r="Y106" s="53" t="s">
        <v>142</v>
      </c>
      <c r="Z106" s="68" t="s">
        <v>145</v>
      </c>
      <c r="AA106" s="68">
        <v>5</v>
      </c>
      <c r="AB106" s="68">
        <v>5</v>
      </c>
      <c r="AC106" s="68">
        <v>5</v>
      </c>
    </row>
    <row r="107" spans="3:29">
      <c r="C107" s="53" t="s">
        <v>142</v>
      </c>
      <c r="D107" s="68" t="s">
        <v>146</v>
      </c>
      <c r="E107" s="68">
        <v>7.47097081798084</v>
      </c>
      <c r="F107" s="69">
        <v>5.67297781871776</v>
      </c>
      <c r="G107" s="69">
        <v>9.29996366985999</v>
      </c>
      <c r="L107">
        <v>2050</v>
      </c>
      <c r="M107" s="53" t="s">
        <v>142</v>
      </c>
      <c r="N107" s="68" t="s">
        <v>146</v>
      </c>
      <c r="O107" s="68">
        <f t="shared" si="12"/>
        <v>2.338413866028</v>
      </c>
      <c r="P107" s="68">
        <f t="shared" si="13"/>
        <v>1.77564205725866</v>
      </c>
      <c r="Q107" s="68">
        <f t="shared" si="14"/>
        <v>2.91088862866618</v>
      </c>
      <c r="X107">
        <v>0</v>
      </c>
      <c r="Y107" s="53" t="s">
        <v>142</v>
      </c>
      <c r="Z107" s="68" t="s">
        <v>146</v>
      </c>
      <c r="AA107" s="68">
        <v>5</v>
      </c>
      <c r="AB107" s="68">
        <v>5</v>
      </c>
      <c r="AC107" s="68">
        <v>5</v>
      </c>
    </row>
    <row r="108" spans="3:29">
      <c r="C108" s="53" t="s">
        <v>142</v>
      </c>
      <c r="D108" s="68" t="s">
        <v>147</v>
      </c>
      <c r="E108" s="68">
        <v>7.51643520019651</v>
      </c>
      <c r="F108" s="69">
        <v>5.70750058953574</v>
      </c>
      <c r="G108" s="69">
        <v>9.35655836403832</v>
      </c>
      <c r="L108">
        <v>2050</v>
      </c>
      <c r="M108" s="53" t="s">
        <v>142</v>
      </c>
      <c r="N108" s="68" t="s">
        <v>147</v>
      </c>
      <c r="O108" s="68">
        <f t="shared" si="12"/>
        <v>2.35264421766151</v>
      </c>
      <c r="P108" s="68">
        <f t="shared" si="13"/>
        <v>1.78644768452469</v>
      </c>
      <c r="Q108" s="68">
        <f t="shared" si="14"/>
        <v>2.92860276794399</v>
      </c>
      <c r="X108">
        <v>0</v>
      </c>
      <c r="Y108" s="53" t="s">
        <v>142</v>
      </c>
      <c r="Z108" s="68" t="s">
        <v>147</v>
      </c>
      <c r="AA108" s="68">
        <v>5</v>
      </c>
      <c r="AB108" s="68">
        <v>5</v>
      </c>
      <c r="AC108" s="68">
        <v>5</v>
      </c>
    </row>
    <row r="109" spans="3:29">
      <c r="C109" s="53" t="s">
        <v>142</v>
      </c>
      <c r="D109" s="68" t="s">
        <v>148</v>
      </c>
      <c r="E109" s="68">
        <v>7.55036263817244</v>
      </c>
      <c r="F109" s="69">
        <v>5.73326293294031</v>
      </c>
      <c r="G109" s="69">
        <v>9.39879167280766</v>
      </c>
      <c r="L109">
        <v>2050</v>
      </c>
      <c r="M109" s="53" t="s">
        <v>142</v>
      </c>
      <c r="N109" s="68" t="s">
        <v>148</v>
      </c>
      <c r="O109" s="68">
        <f t="shared" si="12"/>
        <v>2.36326350574797</v>
      </c>
      <c r="P109" s="68">
        <f t="shared" si="13"/>
        <v>1.79451129801032</v>
      </c>
      <c r="Q109" s="68">
        <f t="shared" si="14"/>
        <v>2.9418217935888</v>
      </c>
      <c r="X109">
        <v>0</v>
      </c>
      <c r="Y109" s="53" t="s">
        <v>142</v>
      </c>
      <c r="Z109" s="68" t="s">
        <v>148</v>
      </c>
      <c r="AA109" s="68">
        <v>5</v>
      </c>
      <c r="AB109" s="68">
        <v>5</v>
      </c>
      <c r="AC109" s="68">
        <v>5</v>
      </c>
    </row>
    <row r="110" spans="3:29">
      <c r="C110" s="53" t="s">
        <v>142</v>
      </c>
      <c r="D110" s="68" t="s">
        <v>149</v>
      </c>
      <c r="E110" s="68">
        <v>7.62975445836404</v>
      </c>
      <c r="F110" s="69">
        <v>5.79354797347089</v>
      </c>
      <c r="G110" s="69">
        <v>9.49761967575534</v>
      </c>
      <c r="L110">
        <v>2050</v>
      </c>
      <c r="M110" s="53" t="s">
        <v>142</v>
      </c>
      <c r="N110" s="68" t="s">
        <v>149</v>
      </c>
      <c r="O110" s="68">
        <f t="shared" si="12"/>
        <v>2.38811314546794</v>
      </c>
      <c r="P110" s="68">
        <f t="shared" si="13"/>
        <v>1.81338051569639</v>
      </c>
      <c r="Q110" s="68">
        <f t="shared" si="14"/>
        <v>2.97275495851142</v>
      </c>
      <c r="X110">
        <v>0</v>
      </c>
      <c r="Y110" s="53" t="s">
        <v>142</v>
      </c>
      <c r="Z110" s="68" t="s">
        <v>149</v>
      </c>
      <c r="AA110" s="68">
        <v>5</v>
      </c>
      <c r="AB110" s="68">
        <v>5</v>
      </c>
      <c r="AC110" s="68">
        <v>5</v>
      </c>
    </row>
    <row r="111" spans="3:29">
      <c r="C111" s="53" t="s">
        <v>142</v>
      </c>
      <c r="D111" s="68" t="s">
        <v>150</v>
      </c>
      <c r="E111" s="68">
        <v>4.18384600835176</v>
      </c>
      <c r="F111" s="69">
        <v>3.17694532056006</v>
      </c>
      <c r="G111" s="69">
        <v>5.20810707442889</v>
      </c>
      <c r="L111">
        <v>2050</v>
      </c>
      <c r="M111" s="53" t="s">
        <v>142</v>
      </c>
      <c r="N111" s="68" t="s">
        <v>150</v>
      </c>
      <c r="O111" s="68">
        <f t="shared" si="12"/>
        <v>1.3095438006141</v>
      </c>
      <c r="P111" s="68">
        <f t="shared" si="13"/>
        <v>0.994383885335299</v>
      </c>
      <c r="Q111" s="68">
        <f t="shared" si="14"/>
        <v>1.63013751429624</v>
      </c>
      <c r="X111">
        <v>0</v>
      </c>
      <c r="Y111" s="53" t="s">
        <v>142</v>
      </c>
      <c r="Z111" s="68" t="s">
        <v>150</v>
      </c>
      <c r="AA111" s="68">
        <v>5</v>
      </c>
      <c r="AB111" s="68">
        <v>5</v>
      </c>
      <c r="AC111" s="68">
        <v>5</v>
      </c>
    </row>
    <row r="112" spans="3:29">
      <c r="C112" s="53" t="s">
        <v>142</v>
      </c>
      <c r="D112" s="68" t="s">
        <v>151</v>
      </c>
      <c r="E112" s="68">
        <v>4.18384600835176</v>
      </c>
      <c r="F112" s="69">
        <v>3.17694532056006</v>
      </c>
      <c r="G112" s="69">
        <v>5.20810707442889</v>
      </c>
      <c r="L112">
        <v>2050</v>
      </c>
      <c r="M112" s="53" t="s">
        <v>142</v>
      </c>
      <c r="N112" s="68" t="s">
        <v>151</v>
      </c>
      <c r="O112" s="68">
        <f t="shared" si="12"/>
        <v>1.3095438006141</v>
      </c>
      <c r="P112" s="68">
        <f t="shared" si="13"/>
        <v>0.994383885335299</v>
      </c>
      <c r="Q112" s="68">
        <f t="shared" si="14"/>
        <v>1.63013751429624</v>
      </c>
      <c r="X112">
        <v>0</v>
      </c>
      <c r="Y112" s="53" t="s">
        <v>142</v>
      </c>
      <c r="Z112" s="68" t="s">
        <v>151</v>
      </c>
      <c r="AA112" s="68">
        <v>5</v>
      </c>
      <c r="AB112" s="68">
        <v>5</v>
      </c>
      <c r="AC112" s="68">
        <v>5</v>
      </c>
    </row>
    <row r="113" spans="3:29">
      <c r="C113" s="53" t="s">
        <v>142</v>
      </c>
      <c r="D113" s="68" t="s">
        <v>152</v>
      </c>
      <c r="E113" s="68">
        <v>4.18384600835176</v>
      </c>
      <c r="F113" s="69">
        <v>3.17694532056006</v>
      </c>
      <c r="G113" s="69">
        <v>5.20810707442889</v>
      </c>
      <c r="L113">
        <v>2050</v>
      </c>
      <c r="M113" s="53" t="s">
        <v>142</v>
      </c>
      <c r="N113" s="68" t="s">
        <v>152</v>
      </c>
      <c r="O113" s="68">
        <f t="shared" si="12"/>
        <v>1.3095438006141</v>
      </c>
      <c r="P113" s="68">
        <f t="shared" si="13"/>
        <v>0.994383885335299</v>
      </c>
      <c r="Q113" s="68">
        <f t="shared" si="14"/>
        <v>1.63013751429624</v>
      </c>
      <c r="X113">
        <v>0</v>
      </c>
      <c r="Y113" s="53" t="s">
        <v>142</v>
      </c>
      <c r="Z113" s="68" t="s">
        <v>152</v>
      </c>
      <c r="AA113" s="68">
        <v>5</v>
      </c>
      <c r="AB113" s="68">
        <v>5</v>
      </c>
      <c r="AC113" s="68">
        <v>5</v>
      </c>
    </row>
    <row r="114" spans="3:29">
      <c r="C114" s="53" t="s">
        <v>142</v>
      </c>
      <c r="D114" s="68" t="s">
        <v>153</v>
      </c>
      <c r="E114" s="68">
        <v>4.18384600835176</v>
      </c>
      <c r="F114" s="69">
        <v>3.17694532056006</v>
      </c>
      <c r="G114" s="69">
        <v>5.20810707442889</v>
      </c>
      <c r="L114">
        <v>2050</v>
      </c>
      <c r="M114" s="53" t="s">
        <v>142</v>
      </c>
      <c r="N114" s="68" t="s">
        <v>153</v>
      </c>
      <c r="O114" s="68">
        <f t="shared" si="12"/>
        <v>1.3095438006141</v>
      </c>
      <c r="P114" s="68">
        <f t="shared" si="13"/>
        <v>0.994383885335299</v>
      </c>
      <c r="Q114" s="68">
        <f t="shared" si="14"/>
        <v>1.63013751429624</v>
      </c>
      <c r="X114">
        <v>0</v>
      </c>
      <c r="Y114" s="53" t="s">
        <v>142</v>
      </c>
      <c r="Z114" s="68" t="s">
        <v>153</v>
      </c>
      <c r="AA114" s="68">
        <v>5</v>
      </c>
      <c r="AB114" s="68">
        <v>5</v>
      </c>
      <c r="AC114" s="68">
        <v>5</v>
      </c>
    </row>
    <row r="115" spans="3:29">
      <c r="C115" s="53" t="s">
        <v>142</v>
      </c>
      <c r="D115" s="68" t="s">
        <v>154</v>
      </c>
      <c r="E115" s="68">
        <v>4.18384600835176</v>
      </c>
      <c r="F115" s="69">
        <v>3.17694532056006</v>
      </c>
      <c r="G115" s="69">
        <v>5.20810707442889</v>
      </c>
      <c r="L115">
        <v>2050</v>
      </c>
      <c r="M115" s="53" t="s">
        <v>142</v>
      </c>
      <c r="N115" s="68" t="s">
        <v>154</v>
      </c>
      <c r="O115" s="68">
        <f t="shared" si="12"/>
        <v>1.3095438006141</v>
      </c>
      <c r="P115" s="68">
        <f t="shared" si="13"/>
        <v>0.994383885335299</v>
      </c>
      <c r="Q115" s="68">
        <f t="shared" si="14"/>
        <v>1.63013751429624</v>
      </c>
      <c r="X115">
        <v>0</v>
      </c>
      <c r="Y115" s="53" t="s">
        <v>142</v>
      </c>
      <c r="Z115" s="68" t="s">
        <v>154</v>
      </c>
      <c r="AA115" s="68">
        <v>5</v>
      </c>
      <c r="AB115" s="68">
        <v>5</v>
      </c>
      <c r="AC115" s="68">
        <v>5</v>
      </c>
    </row>
    <row r="116" spans="3:29">
      <c r="C116" s="53" t="s">
        <v>142</v>
      </c>
      <c r="D116" s="68" t="s">
        <v>155</v>
      </c>
      <c r="E116" s="68">
        <v>4.18384600835176</v>
      </c>
      <c r="F116" s="69">
        <v>3.17694532056006</v>
      </c>
      <c r="G116" s="69">
        <v>5.20810707442889</v>
      </c>
      <c r="L116">
        <v>2050</v>
      </c>
      <c r="M116" s="53" t="s">
        <v>142</v>
      </c>
      <c r="N116" s="68" t="s">
        <v>155</v>
      </c>
      <c r="O116" s="68">
        <f t="shared" si="12"/>
        <v>1.3095438006141</v>
      </c>
      <c r="P116" s="68">
        <f t="shared" si="13"/>
        <v>0.994383885335299</v>
      </c>
      <c r="Q116" s="68">
        <f t="shared" si="14"/>
        <v>1.63013751429624</v>
      </c>
      <c r="X116">
        <v>0</v>
      </c>
      <c r="Y116" s="53" t="s">
        <v>142</v>
      </c>
      <c r="Z116" s="68" t="s">
        <v>155</v>
      </c>
      <c r="AA116" s="68">
        <v>5</v>
      </c>
      <c r="AB116" s="68">
        <v>5</v>
      </c>
      <c r="AC116" s="68">
        <v>5</v>
      </c>
    </row>
    <row r="117" spans="3:29">
      <c r="C117" s="53" t="s">
        <v>142</v>
      </c>
      <c r="D117" s="68" t="s">
        <v>156</v>
      </c>
      <c r="E117" s="68">
        <v>4.18384600835176</v>
      </c>
      <c r="F117" s="69">
        <v>3.17694532056006</v>
      </c>
      <c r="G117" s="69">
        <v>5.20810707442889</v>
      </c>
      <c r="L117">
        <v>2050</v>
      </c>
      <c r="M117" s="53" t="s">
        <v>142</v>
      </c>
      <c r="N117" s="68" t="s">
        <v>156</v>
      </c>
      <c r="O117" s="68">
        <f t="shared" si="12"/>
        <v>1.3095438006141</v>
      </c>
      <c r="P117" s="68">
        <f t="shared" si="13"/>
        <v>0.994383885335299</v>
      </c>
      <c r="Q117" s="68">
        <f t="shared" si="14"/>
        <v>1.63013751429624</v>
      </c>
      <c r="X117">
        <v>0</v>
      </c>
      <c r="Y117" s="53" t="s">
        <v>142</v>
      </c>
      <c r="Z117" s="68" t="s">
        <v>156</v>
      </c>
      <c r="AA117" s="68">
        <v>5</v>
      </c>
      <c r="AB117" s="68">
        <v>5</v>
      </c>
      <c r="AC117" s="68">
        <v>5</v>
      </c>
    </row>
    <row r="118" spans="3:29">
      <c r="C118" s="53" t="s">
        <v>142</v>
      </c>
      <c r="D118" s="68" t="s">
        <v>157</v>
      </c>
      <c r="E118" s="68">
        <v>3.56556266273643</v>
      </c>
      <c r="F118" s="69">
        <v>2.70746042741341</v>
      </c>
      <c r="G118" s="69">
        <v>4.4384597641857</v>
      </c>
      <c r="L118">
        <v>2050</v>
      </c>
      <c r="M118" s="53" t="s">
        <v>142</v>
      </c>
      <c r="N118" s="68" t="s">
        <v>157</v>
      </c>
      <c r="O118" s="68">
        <f t="shared" si="12"/>
        <v>1.1160211134365</v>
      </c>
      <c r="P118" s="68">
        <f t="shared" si="13"/>
        <v>0.847435113780397</v>
      </c>
      <c r="Q118" s="68">
        <f t="shared" si="14"/>
        <v>1.38923790619012</v>
      </c>
      <c r="X118">
        <v>0</v>
      </c>
      <c r="Y118" s="53" t="s">
        <v>142</v>
      </c>
      <c r="Z118" s="68" t="s">
        <v>157</v>
      </c>
      <c r="AA118" s="68">
        <v>5</v>
      </c>
      <c r="AB118" s="68">
        <v>5</v>
      </c>
      <c r="AC118" s="68">
        <v>5</v>
      </c>
    </row>
    <row r="119" spans="3:29">
      <c r="C119" s="53" t="s">
        <v>142</v>
      </c>
      <c r="D119" s="68" t="s">
        <v>158</v>
      </c>
      <c r="E119" s="68">
        <v>3.60087708179809</v>
      </c>
      <c r="F119" s="69">
        <v>2.73427597641857</v>
      </c>
      <c r="G119" s="69">
        <v>4.48241960206338</v>
      </c>
      <c r="L119">
        <v>2050</v>
      </c>
      <c r="M119" s="53" t="s">
        <v>142</v>
      </c>
      <c r="N119" s="68" t="s">
        <v>158</v>
      </c>
      <c r="O119" s="68">
        <f t="shared" si="12"/>
        <v>1.1270745266028</v>
      </c>
      <c r="P119" s="68">
        <f t="shared" si="13"/>
        <v>0.855828380619012</v>
      </c>
      <c r="Q119" s="68">
        <f t="shared" si="14"/>
        <v>1.40299733544584</v>
      </c>
      <c r="X119">
        <v>0</v>
      </c>
      <c r="Y119" s="53" t="s">
        <v>142</v>
      </c>
      <c r="Z119" s="68" t="s">
        <v>158</v>
      </c>
      <c r="AA119" s="68">
        <v>5</v>
      </c>
      <c r="AB119" s="68">
        <v>5</v>
      </c>
      <c r="AC119" s="68">
        <v>5</v>
      </c>
    </row>
    <row r="120" spans="3:29">
      <c r="C120" s="53" t="s">
        <v>142</v>
      </c>
      <c r="D120" s="68" t="s">
        <v>159</v>
      </c>
      <c r="E120" s="68">
        <v>3.56556266273643</v>
      </c>
      <c r="F120" s="69">
        <v>2.70746042741341</v>
      </c>
      <c r="G120" s="69">
        <v>4.4384597641857</v>
      </c>
      <c r="L120">
        <v>2050</v>
      </c>
      <c r="M120" s="53" t="s">
        <v>142</v>
      </c>
      <c r="N120" s="68" t="s">
        <v>159</v>
      </c>
      <c r="O120" s="68">
        <f t="shared" si="12"/>
        <v>1.1160211134365</v>
      </c>
      <c r="P120" s="68">
        <f t="shared" si="13"/>
        <v>0.847435113780397</v>
      </c>
      <c r="Q120" s="68">
        <f t="shared" si="14"/>
        <v>1.38923790619012</v>
      </c>
      <c r="X120">
        <v>0</v>
      </c>
      <c r="Y120" s="53" t="s">
        <v>142</v>
      </c>
      <c r="Z120" s="68" t="s">
        <v>159</v>
      </c>
      <c r="AA120" s="68">
        <v>5</v>
      </c>
      <c r="AB120" s="68">
        <v>5</v>
      </c>
      <c r="AC120" s="68">
        <v>5</v>
      </c>
    </row>
    <row r="121" spans="3:29">
      <c r="C121" s="53" t="s">
        <v>142</v>
      </c>
      <c r="D121" s="68" t="s">
        <v>160</v>
      </c>
      <c r="E121" s="68">
        <v>3.56645369688037</v>
      </c>
      <c r="F121" s="69">
        <v>2.70813706705969</v>
      </c>
      <c r="G121" s="69">
        <v>4.43956890198968</v>
      </c>
      <c r="L121">
        <v>2050</v>
      </c>
      <c r="M121" s="53" t="s">
        <v>142</v>
      </c>
      <c r="N121" s="68" t="s">
        <v>160</v>
      </c>
      <c r="O121" s="68">
        <f t="shared" si="12"/>
        <v>1.11630000712356</v>
      </c>
      <c r="P121" s="68">
        <f t="shared" si="13"/>
        <v>0.847646901989683</v>
      </c>
      <c r="Q121" s="68">
        <f t="shared" si="14"/>
        <v>1.38958506632277</v>
      </c>
      <c r="X121">
        <v>0</v>
      </c>
      <c r="Y121" s="53" t="s">
        <v>142</v>
      </c>
      <c r="Z121" s="68" t="s">
        <v>160</v>
      </c>
      <c r="AA121" s="68">
        <v>5</v>
      </c>
      <c r="AB121" s="68">
        <v>5</v>
      </c>
      <c r="AC121" s="68">
        <v>5</v>
      </c>
    </row>
    <row r="122" spans="3:29">
      <c r="C122" s="53" t="s">
        <v>142</v>
      </c>
      <c r="D122" s="68" t="s">
        <v>161</v>
      </c>
      <c r="E122" s="68">
        <v>3.56585961680177</v>
      </c>
      <c r="F122" s="69">
        <v>2.70768592483419</v>
      </c>
      <c r="G122" s="69">
        <v>4.43882940309506</v>
      </c>
      <c r="L122">
        <v>2050</v>
      </c>
      <c r="M122" s="53" t="s">
        <v>142</v>
      </c>
      <c r="N122" s="68" t="s">
        <v>161</v>
      </c>
      <c r="O122" s="68">
        <f t="shared" si="12"/>
        <v>1.11611406005895</v>
      </c>
      <c r="P122" s="68">
        <f t="shared" si="13"/>
        <v>0.847505694473101</v>
      </c>
      <c r="Q122" s="68">
        <f t="shared" si="14"/>
        <v>1.38935360316875</v>
      </c>
      <c r="X122">
        <v>0</v>
      </c>
      <c r="Y122" s="53" t="s">
        <v>142</v>
      </c>
      <c r="Z122" s="68" t="s">
        <v>161</v>
      </c>
      <c r="AA122" s="68">
        <v>5</v>
      </c>
      <c r="AB122" s="68">
        <v>5</v>
      </c>
      <c r="AC122" s="68">
        <v>5</v>
      </c>
    </row>
    <row r="123" spans="3:29">
      <c r="C123" s="53" t="s">
        <v>142</v>
      </c>
      <c r="D123" s="68" t="s">
        <v>162</v>
      </c>
      <c r="E123" s="68">
        <v>3.56556266273643</v>
      </c>
      <c r="F123" s="69">
        <v>2.70746042741341</v>
      </c>
      <c r="G123" s="69">
        <v>4.4384597641857</v>
      </c>
      <c r="L123">
        <v>2050</v>
      </c>
      <c r="M123" s="53" t="s">
        <v>142</v>
      </c>
      <c r="N123" s="68" t="s">
        <v>162</v>
      </c>
      <c r="O123" s="68">
        <f t="shared" si="12"/>
        <v>1.1160211134365</v>
      </c>
      <c r="P123" s="68">
        <f t="shared" si="13"/>
        <v>0.847435113780397</v>
      </c>
      <c r="Q123" s="68">
        <f t="shared" si="14"/>
        <v>1.38923790619012</v>
      </c>
      <c r="X123">
        <v>0</v>
      </c>
      <c r="Y123" s="53" t="s">
        <v>142</v>
      </c>
      <c r="Z123" s="68" t="s">
        <v>162</v>
      </c>
      <c r="AA123" s="68">
        <v>5</v>
      </c>
      <c r="AB123" s="68">
        <v>5</v>
      </c>
      <c r="AC123" s="68">
        <v>5</v>
      </c>
    </row>
    <row r="124" spans="3:29">
      <c r="C124" s="53" t="s">
        <v>142</v>
      </c>
      <c r="D124" s="70" t="s">
        <v>163</v>
      </c>
      <c r="E124" s="68">
        <v>3.56496890198968</v>
      </c>
      <c r="F124" s="69">
        <v>2.70700957995578</v>
      </c>
      <c r="G124" s="69">
        <v>4.43772063375092</v>
      </c>
      <c r="L124">
        <v>2050</v>
      </c>
      <c r="M124" s="53" t="s">
        <v>142</v>
      </c>
      <c r="N124" s="70" t="s">
        <v>163</v>
      </c>
      <c r="O124" s="68">
        <f t="shared" si="12"/>
        <v>1.11583526632277</v>
      </c>
      <c r="P124" s="68">
        <f t="shared" si="13"/>
        <v>0.847293998526159</v>
      </c>
      <c r="Q124" s="68">
        <f t="shared" si="14"/>
        <v>1.38900655836404</v>
      </c>
      <c r="X124">
        <v>0</v>
      </c>
      <c r="Y124" s="53" t="s">
        <v>142</v>
      </c>
      <c r="Z124" s="68" t="s">
        <v>163</v>
      </c>
      <c r="AA124" s="68">
        <v>5</v>
      </c>
      <c r="AB124" s="68">
        <v>5</v>
      </c>
      <c r="AC124" s="68">
        <v>5</v>
      </c>
    </row>
    <row r="132" spans="3:25">
      <c r="C132" s="53"/>
      <c r="D132" t="s">
        <v>69</v>
      </c>
      <c r="M132" s="53"/>
      <c r="Y132" s="53"/>
    </row>
    <row r="133" spans="3:29">
      <c r="C133" s="53" t="s">
        <v>71</v>
      </c>
      <c r="D133" s="68" t="s">
        <v>45</v>
      </c>
      <c r="E133" s="68" t="s">
        <v>44</v>
      </c>
      <c r="F133" s="68"/>
      <c r="G133" s="68"/>
      <c r="M133" s="53"/>
      <c r="N133" s="53"/>
      <c r="O133" s="53"/>
      <c r="P133" s="53"/>
      <c r="Q133" s="53"/>
      <c r="Y133" s="53"/>
      <c r="Z133" s="53"/>
      <c r="AA133" s="53"/>
      <c r="AB133" s="53"/>
      <c r="AC133" s="53"/>
    </row>
    <row r="134" spans="3:29">
      <c r="C134" s="53" t="s">
        <v>164</v>
      </c>
      <c r="D134" s="68" t="s">
        <v>143</v>
      </c>
      <c r="E134" s="68">
        <v>0.001</v>
      </c>
      <c r="F134" s="69"/>
      <c r="G134" s="69"/>
      <c r="M134" s="53"/>
      <c r="N134" s="53"/>
      <c r="O134" s="53"/>
      <c r="P134" s="53"/>
      <c r="Q134" s="53"/>
      <c r="Y134" s="53"/>
      <c r="Z134" s="53"/>
      <c r="AA134" s="53"/>
      <c r="AB134" s="53"/>
      <c r="AC134" s="53"/>
    </row>
    <row r="135" spans="3:29">
      <c r="C135" s="53" t="s">
        <v>164</v>
      </c>
      <c r="D135" s="68" t="s">
        <v>144</v>
      </c>
      <c r="E135" s="68">
        <f>E134</f>
        <v>0.001</v>
      </c>
      <c r="F135" s="69"/>
      <c r="G135" s="69"/>
      <c r="M135" s="53"/>
      <c r="N135" s="53"/>
      <c r="O135" s="53"/>
      <c r="P135" s="53"/>
      <c r="Q135" s="53"/>
      <c r="Y135" s="53"/>
      <c r="Z135" s="53"/>
      <c r="AA135" s="53"/>
      <c r="AB135" s="53"/>
      <c r="AC135" s="53"/>
    </row>
    <row r="136" spans="3:29">
      <c r="C136" s="53" t="s">
        <v>164</v>
      </c>
      <c r="D136" s="68" t="s">
        <v>145</v>
      </c>
      <c r="E136" s="68">
        <f t="shared" ref="E136:E154" si="15">E135</f>
        <v>0.001</v>
      </c>
      <c r="F136" s="69"/>
      <c r="G136" s="69"/>
      <c r="M136" s="53"/>
      <c r="N136" s="53"/>
      <c r="O136" s="53"/>
      <c r="P136" s="53"/>
      <c r="Q136" s="53"/>
      <c r="Y136" s="53"/>
      <c r="Z136" s="53"/>
      <c r="AA136" s="53"/>
      <c r="AB136" s="53"/>
      <c r="AC136" s="53"/>
    </row>
    <row r="137" spans="3:29">
      <c r="C137" s="53" t="s">
        <v>164</v>
      </c>
      <c r="D137" s="68" t="s">
        <v>146</v>
      </c>
      <c r="E137" s="68">
        <f t="shared" si="15"/>
        <v>0.001</v>
      </c>
      <c r="F137" s="69"/>
      <c r="G137" s="69"/>
      <c r="M137" s="53"/>
      <c r="N137" s="53"/>
      <c r="O137" s="53"/>
      <c r="P137" s="53"/>
      <c r="Q137" s="53"/>
      <c r="Y137" s="53"/>
      <c r="Z137" s="53"/>
      <c r="AA137" s="53"/>
      <c r="AB137" s="53"/>
      <c r="AC137" s="53"/>
    </row>
    <row r="138" spans="3:29">
      <c r="C138" s="53" t="s">
        <v>164</v>
      </c>
      <c r="D138" s="68" t="s">
        <v>147</v>
      </c>
      <c r="E138" s="68">
        <f t="shared" si="15"/>
        <v>0.001</v>
      </c>
      <c r="F138" s="69"/>
      <c r="G138" s="69"/>
      <c r="M138" s="53"/>
      <c r="N138" s="53"/>
      <c r="O138" s="53"/>
      <c r="P138" s="53"/>
      <c r="Q138" s="53"/>
      <c r="Y138" s="53"/>
      <c r="Z138" s="53"/>
      <c r="AA138" s="53"/>
      <c r="AB138" s="53"/>
      <c r="AC138" s="53"/>
    </row>
    <row r="139" spans="3:29">
      <c r="C139" s="53" t="s">
        <v>164</v>
      </c>
      <c r="D139" s="68" t="s">
        <v>148</v>
      </c>
      <c r="E139" s="68">
        <f t="shared" si="15"/>
        <v>0.001</v>
      </c>
      <c r="F139" s="69"/>
      <c r="G139" s="69"/>
      <c r="M139" s="53"/>
      <c r="N139" s="53"/>
      <c r="O139" s="53"/>
      <c r="P139" s="53"/>
      <c r="Q139" s="53"/>
      <c r="Y139" s="53"/>
      <c r="Z139" s="53"/>
      <c r="AA139" s="53"/>
      <c r="AB139" s="53"/>
      <c r="AC139" s="53"/>
    </row>
    <row r="140" spans="3:29">
      <c r="C140" s="53" t="s">
        <v>164</v>
      </c>
      <c r="D140" s="68" t="s">
        <v>149</v>
      </c>
      <c r="E140" s="68">
        <f t="shared" si="15"/>
        <v>0.001</v>
      </c>
      <c r="F140" s="69"/>
      <c r="G140" s="69"/>
      <c r="M140" s="53"/>
      <c r="N140" s="53"/>
      <c r="O140" s="53"/>
      <c r="P140" s="53"/>
      <c r="Q140" s="53"/>
      <c r="Y140" s="53"/>
      <c r="Z140" s="53"/>
      <c r="AA140" s="53"/>
      <c r="AB140" s="53"/>
      <c r="AC140" s="53"/>
    </row>
    <row r="141" spans="3:29">
      <c r="C141" s="53" t="s">
        <v>164</v>
      </c>
      <c r="D141" s="68" t="s">
        <v>150</v>
      </c>
      <c r="E141" s="68">
        <f t="shared" si="15"/>
        <v>0.001</v>
      </c>
      <c r="F141" s="69"/>
      <c r="G141" s="69"/>
      <c r="M141" s="53"/>
      <c r="N141" s="53"/>
      <c r="O141" s="53"/>
      <c r="P141" s="53"/>
      <c r="Q141" s="53"/>
      <c r="Y141" s="53"/>
      <c r="Z141" s="53"/>
      <c r="AA141" s="53"/>
      <c r="AB141" s="53"/>
      <c r="AC141" s="53"/>
    </row>
    <row r="142" spans="3:29">
      <c r="C142" s="53" t="s">
        <v>164</v>
      </c>
      <c r="D142" s="68" t="s">
        <v>151</v>
      </c>
      <c r="E142" s="68">
        <f t="shared" si="15"/>
        <v>0.001</v>
      </c>
      <c r="F142" s="69"/>
      <c r="G142" s="69"/>
      <c r="M142" s="53"/>
      <c r="N142" s="53"/>
      <c r="O142" s="53"/>
      <c r="P142" s="53"/>
      <c r="Q142" s="53"/>
      <c r="Y142" s="53"/>
      <c r="Z142" s="53"/>
      <c r="AA142" s="53"/>
      <c r="AB142" s="53"/>
      <c r="AC142" s="53"/>
    </row>
    <row r="143" spans="3:29">
      <c r="C143" s="53" t="s">
        <v>164</v>
      </c>
      <c r="D143" s="68" t="s">
        <v>152</v>
      </c>
      <c r="E143" s="68">
        <f t="shared" si="15"/>
        <v>0.001</v>
      </c>
      <c r="F143" s="69"/>
      <c r="G143" s="69"/>
      <c r="M143" s="53"/>
      <c r="N143" s="53"/>
      <c r="O143" s="53"/>
      <c r="P143" s="53"/>
      <c r="Q143" s="53"/>
      <c r="Y143" s="53"/>
      <c r="Z143" s="53"/>
      <c r="AA143" s="53"/>
      <c r="AB143" s="53"/>
      <c r="AC143" s="53"/>
    </row>
    <row r="144" spans="3:29">
      <c r="C144" s="53" t="s">
        <v>164</v>
      </c>
      <c r="D144" s="68" t="s">
        <v>153</v>
      </c>
      <c r="E144" s="68">
        <f t="shared" si="15"/>
        <v>0.001</v>
      </c>
      <c r="F144" s="69"/>
      <c r="G144" s="69"/>
      <c r="M144" s="53"/>
      <c r="N144" s="53"/>
      <c r="O144" s="53"/>
      <c r="P144" s="53"/>
      <c r="Q144" s="53"/>
      <c r="Y144" s="53"/>
      <c r="Z144" s="53"/>
      <c r="AA144" s="53"/>
      <c r="AB144" s="53"/>
      <c r="AC144" s="53"/>
    </row>
    <row r="145" spans="3:29">
      <c r="C145" s="53" t="s">
        <v>164</v>
      </c>
      <c r="D145" s="68" t="s">
        <v>154</v>
      </c>
      <c r="E145" s="68">
        <f t="shared" si="15"/>
        <v>0.001</v>
      </c>
      <c r="F145" s="69"/>
      <c r="G145" s="69"/>
      <c r="M145" s="53"/>
      <c r="N145" s="53"/>
      <c r="O145" s="53"/>
      <c r="P145" s="53"/>
      <c r="Q145" s="53"/>
      <c r="Y145" s="53"/>
      <c r="Z145" s="53"/>
      <c r="AA145" s="53"/>
      <c r="AB145" s="53"/>
      <c r="AC145" s="53"/>
    </row>
    <row r="146" spans="3:29">
      <c r="C146" s="53" t="s">
        <v>164</v>
      </c>
      <c r="D146" s="68" t="s">
        <v>155</v>
      </c>
      <c r="E146" s="68">
        <f t="shared" si="15"/>
        <v>0.001</v>
      </c>
      <c r="F146" s="69"/>
      <c r="G146" s="69"/>
      <c r="M146" s="53"/>
      <c r="N146" s="53"/>
      <c r="O146" s="53"/>
      <c r="P146" s="53"/>
      <c r="Q146" s="53"/>
      <c r="Y146" s="53"/>
      <c r="Z146" s="53"/>
      <c r="AA146" s="53"/>
      <c r="AB146" s="53"/>
      <c r="AC146" s="53"/>
    </row>
    <row r="147" spans="3:29">
      <c r="C147" s="53" t="s">
        <v>164</v>
      </c>
      <c r="D147" s="68" t="s">
        <v>156</v>
      </c>
      <c r="E147" s="68">
        <f t="shared" si="15"/>
        <v>0.001</v>
      </c>
      <c r="F147" s="69"/>
      <c r="G147" s="69"/>
      <c r="M147" s="53"/>
      <c r="N147" s="53"/>
      <c r="O147" s="53"/>
      <c r="P147" s="53"/>
      <c r="Q147" s="53"/>
      <c r="Y147" s="53"/>
      <c r="Z147" s="53"/>
      <c r="AA147" s="53"/>
      <c r="AB147" s="53"/>
      <c r="AC147" s="53"/>
    </row>
    <row r="148" spans="3:29">
      <c r="C148" s="53" t="s">
        <v>164</v>
      </c>
      <c r="D148" s="68" t="s">
        <v>157</v>
      </c>
      <c r="E148" s="68">
        <f t="shared" si="15"/>
        <v>0.001</v>
      </c>
      <c r="F148" s="69"/>
      <c r="G148" s="69"/>
      <c r="M148" s="53"/>
      <c r="N148" s="53"/>
      <c r="O148" s="53"/>
      <c r="P148" s="53"/>
      <c r="Q148" s="53"/>
      <c r="Y148" s="53"/>
      <c r="Z148" s="53"/>
      <c r="AA148" s="53"/>
      <c r="AB148" s="53"/>
      <c r="AC148" s="53"/>
    </row>
    <row r="149" spans="3:29">
      <c r="C149" s="53" t="s">
        <v>164</v>
      </c>
      <c r="D149" s="68" t="s">
        <v>158</v>
      </c>
      <c r="E149" s="68">
        <f t="shared" si="15"/>
        <v>0.001</v>
      </c>
      <c r="F149" s="69"/>
      <c r="G149" s="69"/>
      <c r="M149" s="53"/>
      <c r="N149" s="53"/>
      <c r="O149" s="53"/>
      <c r="P149" s="53"/>
      <c r="Q149" s="53"/>
      <c r="Y149" s="53"/>
      <c r="Z149" s="53"/>
      <c r="AA149" s="53"/>
      <c r="AB149" s="53"/>
      <c r="AC149" s="53"/>
    </row>
    <row r="150" spans="3:29">
      <c r="C150" s="53" t="s">
        <v>164</v>
      </c>
      <c r="D150" s="68" t="s">
        <v>159</v>
      </c>
      <c r="E150" s="68">
        <f t="shared" si="15"/>
        <v>0.001</v>
      </c>
      <c r="F150" s="69"/>
      <c r="G150" s="69"/>
      <c r="M150" s="53"/>
      <c r="N150" s="53"/>
      <c r="O150" s="53"/>
      <c r="P150" s="53"/>
      <c r="Q150" s="53"/>
      <c r="Y150" s="53"/>
      <c r="Z150" s="53"/>
      <c r="AA150" s="53"/>
      <c r="AB150" s="53"/>
      <c r="AC150" s="53"/>
    </row>
    <row r="151" spans="3:29">
      <c r="C151" s="53" t="s">
        <v>164</v>
      </c>
      <c r="D151" s="68" t="s">
        <v>160</v>
      </c>
      <c r="E151" s="68">
        <f t="shared" si="15"/>
        <v>0.001</v>
      </c>
      <c r="F151" s="69"/>
      <c r="G151" s="69"/>
      <c r="M151" s="53"/>
      <c r="N151" s="53"/>
      <c r="O151" s="53"/>
      <c r="P151" s="53"/>
      <c r="Q151" s="53"/>
      <c r="Y151" s="53"/>
      <c r="Z151" s="53"/>
      <c r="AA151" s="53"/>
      <c r="AB151" s="53"/>
      <c r="AC151" s="53"/>
    </row>
    <row r="152" spans="3:29">
      <c r="C152" s="53" t="s">
        <v>164</v>
      </c>
      <c r="D152" s="68" t="s">
        <v>161</v>
      </c>
      <c r="E152" s="68">
        <f t="shared" si="15"/>
        <v>0.001</v>
      </c>
      <c r="F152" s="69"/>
      <c r="G152" s="69"/>
      <c r="M152" s="53"/>
      <c r="N152" s="53"/>
      <c r="O152" s="53"/>
      <c r="P152" s="53"/>
      <c r="Q152" s="53"/>
      <c r="Y152" s="53"/>
      <c r="Z152" s="53"/>
      <c r="AA152" s="53"/>
      <c r="AB152" s="53"/>
      <c r="AC152" s="53"/>
    </row>
    <row r="153" spans="3:29">
      <c r="C153" s="53" t="s">
        <v>164</v>
      </c>
      <c r="D153" s="68" t="s">
        <v>162</v>
      </c>
      <c r="E153" s="68">
        <f t="shared" si="15"/>
        <v>0.001</v>
      </c>
      <c r="F153" s="69"/>
      <c r="G153" s="69"/>
      <c r="M153" s="53"/>
      <c r="N153" s="53"/>
      <c r="O153" s="53"/>
      <c r="P153" s="53"/>
      <c r="Q153" s="53"/>
      <c r="Y153" s="53"/>
      <c r="Z153" s="53"/>
      <c r="AA153" s="53"/>
      <c r="AB153" s="53"/>
      <c r="AC153" s="53"/>
    </row>
    <row r="154" spans="3:29">
      <c r="C154" s="53" t="s">
        <v>164</v>
      </c>
      <c r="D154" s="70" t="s">
        <v>163</v>
      </c>
      <c r="E154" s="68">
        <f t="shared" si="15"/>
        <v>0.001</v>
      </c>
      <c r="F154" s="69"/>
      <c r="G154" s="69"/>
      <c r="M154" s="53"/>
      <c r="N154" s="53"/>
      <c r="O154" s="53"/>
      <c r="P154" s="53"/>
      <c r="Q154" s="53"/>
      <c r="Y154" s="53"/>
      <c r="Z154" s="53"/>
      <c r="AA154" s="53"/>
      <c r="AB154" s="53"/>
      <c r="AC154" s="53"/>
    </row>
  </sheetData>
  <sortState ref="AZ33:BA38">
    <sortCondition ref="AZ33:AZ38"/>
  </sortState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selection activeCell="D20" sqref="D20"/>
    </sheetView>
  </sheetViews>
  <sheetFormatPr defaultColWidth="9" defaultRowHeight="12.5"/>
  <cols>
    <col min="3" max="3" width="11.6363636363636" customWidth="1"/>
    <col min="12" max="28" width="5.27272727272727" customWidth="1"/>
  </cols>
  <sheetData>
    <row r="1" spans="1:12">
      <c r="A1" t="s">
        <v>165</v>
      </c>
      <c r="B1" t="s">
        <v>71</v>
      </c>
      <c r="C1" t="s">
        <v>45</v>
      </c>
      <c r="D1" t="s">
        <v>47</v>
      </c>
      <c r="E1" t="s">
        <v>166</v>
      </c>
      <c r="F1" t="s">
        <v>167</v>
      </c>
      <c r="G1" t="s">
        <v>77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D4:BC82"/>
  <sheetViews>
    <sheetView zoomScale="77" zoomScaleNormal="77" topLeftCell="AS1" workbookViewId="0">
      <selection activeCell="P34" sqref="P34"/>
    </sheetView>
  </sheetViews>
  <sheetFormatPr defaultColWidth="8.72727272727273" defaultRowHeight="12.5"/>
  <cols>
    <col min="10" max="10" width="11.4545454545455" customWidth="1"/>
    <col min="11" max="11" width="26" customWidth="1"/>
    <col min="12" max="12" width="11.1818181818182" customWidth="1"/>
    <col min="13" max="13" width="9.09090909090909"/>
    <col min="17" max="17" width="40.4545454545455" customWidth="1"/>
    <col min="18" max="18" width="44.7272727272727" customWidth="1"/>
    <col min="19" max="22" width="12.8181818181818"/>
    <col min="23" max="23" width="26" customWidth="1"/>
    <col min="24" max="26" width="12.8181818181818"/>
    <col min="29" max="29" width="26" customWidth="1"/>
    <col min="35" max="35" width="21.6363636363636" customWidth="1"/>
    <col min="41" max="41" width="21.8181818181818" customWidth="1"/>
    <col min="47" max="47" width="20.5454545454545" customWidth="1"/>
    <col min="48" max="48" width="33.5454545454545" customWidth="1"/>
    <col min="53" max="53" width="20.5454545454545" customWidth="1"/>
  </cols>
  <sheetData>
    <row r="4" s="27" customFormat="1" ht="14.5" spans="4:55">
      <c r="D4" s="30"/>
      <c r="E4" s="30"/>
      <c r="F4" s="30"/>
      <c r="G4" s="30"/>
      <c r="H4" s="31"/>
      <c r="I4" s="31"/>
      <c r="J4" s="30"/>
      <c r="K4" s="30"/>
      <c r="L4" s="21" t="s">
        <v>173</v>
      </c>
      <c r="M4" s="30"/>
      <c r="N4" s="31"/>
      <c r="O4" s="31"/>
      <c r="P4" s="31"/>
      <c r="Q4" s="31"/>
      <c r="R4" s="21" t="s">
        <v>173</v>
      </c>
      <c r="S4" s="31"/>
      <c r="T4" s="31"/>
      <c r="U4" s="31"/>
      <c r="V4" s="31"/>
      <c r="W4" s="31"/>
      <c r="X4" s="21" t="s">
        <v>173</v>
      </c>
      <c r="Y4" s="31"/>
      <c r="Z4" s="31"/>
      <c r="AA4" s="31"/>
      <c r="AB4" s="31"/>
      <c r="AC4" s="31"/>
      <c r="AD4" s="21" t="s">
        <v>173</v>
      </c>
      <c r="AE4" s="31"/>
      <c r="AF4" s="31"/>
      <c r="AG4" s="31"/>
      <c r="AH4" s="31"/>
      <c r="AI4" s="31"/>
      <c r="AJ4" s="21" t="s">
        <v>173</v>
      </c>
      <c r="AK4" s="31"/>
      <c r="AL4" s="31"/>
      <c r="AM4" s="31"/>
      <c r="AN4" s="31"/>
      <c r="AO4" s="31"/>
      <c r="AP4" s="21" t="s">
        <v>173</v>
      </c>
      <c r="AQ4" s="31"/>
      <c r="AT4" s="31"/>
      <c r="AU4" s="31"/>
      <c r="AV4" s="21" t="s">
        <v>173</v>
      </c>
      <c r="AW4" s="31"/>
      <c r="AZ4"/>
      <c r="BA4"/>
      <c r="BB4"/>
      <c r="BC4"/>
    </row>
    <row r="5" s="27" customFormat="1" ht="14.5" spans="4:55">
      <c r="D5" s="30"/>
      <c r="E5" s="30"/>
      <c r="F5" s="32"/>
      <c r="G5" s="30"/>
      <c r="H5" s="31"/>
      <c r="I5" s="31"/>
      <c r="J5" s="21" t="s">
        <v>76</v>
      </c>
      <c r="K5" s="21" t="s">
        <v>45</v>
      </c>
      <c r="L5" s="21" t="s">
        <v>50</v>
      </c>
      <c r="M5" s="21" t="s">
        <v>25</v>
      </c>
      <c r="N5" s="31"/>
      <c r="O5" s="31"/>
      <c r="P5" s="21" t="s">
        <v>76</v>
      </c>
      <c r="Q5" s="21" t="s">
        <v>45</v>
      </c>
      <c r="R5" s="21" t="s">
        <v>50</v>
      </c>
      <c r="S5" s="21" t="s">
        <v>25</v>
      </c>
      <c r="T5" s="31"/>
      <c r="U5" s="31"/>
      <c r="V5" s="21" t="s">
        <v>76</v>
      </c>
      <c r="W5" s="21" t="s">
        <v>45</v>
      </c>
      <c r="X5" s="21" t="s">
        <v>50</v>
      </c>
      <c r="Y5" s="21" t="s">
        <v>25</v>
      </c>
      <c r="Z5" s="31"/>
      <c r="AA5" s="31"/>
      <c r="AB5" s="21" t="s">
        <v>76</v>
      </c>
      <c r="AC5" s="21" t="s">
        <v>45</v>
      </c>
      <c r="AD5" s="21" t="s">
        <v>50</v>
      </c>
      <c r="AE5" s="21" t="s">
        <v>25</v>
      </c>
      <c r="AF5" s="31"/>
      <c r="AG5" s="31"/>
      <c r="AH5" s="21" t="s">
        <v>76</v>
      </c>
      <c r="AI5" s="21" t="s">
        <v>45</v>
      </c>
      <c r="AJ5" s="21" t="s">
        <v>50</v>
      </c>
      <c r="AK5" s="21" t="s">
        <v>25</v>
      </c>
      <c r="AL5" s="31"/>
      <c r="AM5" s="31"/>
      <c r="AN5" s="21" t="s">
        <v>76</v>
      </c>
      <c r="AO5" s="21" t="s">
        <v>45</v>
      </c>
      <c r="AP5" s="21" t="s">
        <v>50</v>
      </c>
      <c r="AQ5" s="21" t="s">
        <v>25</v>
      </c>
      <c r="AT5" s="21" t="s">
        <v>76</v>
      </c>
      <c r="AU5" s="21" t="s">
        <v>45</v>
      </c>
      <c r="AV5" s="21" t="s">
        <v>50</v>
      </c>
      <c r="AW5" s="21" t="s">
        <v>25</v>
      </c>
      <c r="AZ5"/>
      <c r="BA5"/>
      <c r="BB5"/>
      <c r="BC5"/>
    </row>
    <row r="6" s="27" customFormat="1" ht="16" spans="4:55">
      <c r="D6" s="30"/>
      <c r="E6" s="33"/>
      <c r="F6" s="32"/>
      <c r="G6" s="34"/>
      <c r="H6" s="31"/>
      <c r="I6" s="31"/>
      <c r="J6" s="30" t="s">
        <v>81</v>
      </c>
      <c r="K6" s="33" t="s">
        <v>174</v>
      </c>
      <c r="L6" s="32" t="s">
        <v>60</v>
      </c>
      <c r="M6" s="37">
        <f>M16/1000</f>
        <v>0.0768000000000001</v>
      </c>
      <c r="N6" s="31"/>
      <c r="O6" s="31"/>
      <c r="P6" s="30" t="s">
        <v>81</v>
      </c>
      <c r="Q6" s="33" t="s">
        <v>175</v>
      </c>
      <c r="R6" s="32" t="s">
        <v>60</v>
      </c>
      <c r="S6" s="37">
        <f t="shared" ref="S6:S9" si="0">S16/1000</f>
        <v>0.0713</v>
      </c>
      <c r="T6" s="31"/>
      <c r="U6" s="31"/>
      <c r="V6" s="30" t="s">
        <v>81</v>
      </c>
      <c r="W6" s="33" t="s">
        <v>176</v>
      </c>
      <c r="X6" s="32" t="s">
        <v>60</v>
      </c>
      <c r="Y6" s="37">
        <f t="shared" ref="Y6:Y9" si="1">Y16/1000</f>
        <v>0.0712</v>
      </c>
      <c r="Z6" s="31"/>
      <c r="AA6" s="31"/>
      <c r="AB6" s="30" t="s">
        <v>81</v>
      </c>
      <c r="AC6" s="33" t="s">
        <v>177</v>
      </c>
      <c r="AD6" s="32" t="s">
        <v>60</v>
      </c>
      <c r="AE6" s="37">
        <f t="shared" ref="AE6:AE9" si="2">AE16/1000</f>
        <v>0.0725</v>
      </c>
      <c r="AF6" s="31"/>
      <c r="AG6" s="31"/>
      <c r="AH6" s="30" t="s">
        <v>81</v>
      </c>
      <c r="AI6" s="33" t="s">
        <v>178</v>
      </c>
      <c r="AJ6" s="32" t="s">
        <v>60</v>
      </c>
      <c r="AK6" s="37">
        <f t="shared" ref="AK6:AK9" si="3">AK16/1000</f>
        <v>0.077</v>
      </c>
      <c r="AL6" s="31"/>
      <c r="AM6" s="31"/>
      <c r="AN6" s="30" t="s">
        <v>81</v>
      </c>
      <c r="AO6" s="33" t="s">
        <v>179</v>
      </c>
      <c r="AP6" s="32" t="s">
        <v>60</v>
      </c>
      <c r="AQ6" s="37">
        <f t="shared" ref="AQ6:AQ9" si="4">AQ16/1000</f>
        <v>0.0424</v>
      </c>
      <c r="AT6" s="30" t="s">
        <v>81</v>
      </c>
      <c r="AU6" s="33" t="s">
        <v>180</v>
      </c>
      <c r="AV6" s="32" t="s">
        <v>60</v>
      </c>
      <c r="AW6" s="37">
        <f t="shared" ref="AW6:AW9" si="5">AW16/1000</f>
        <v>0.0472</v>
      </c>
      <c r="AZ6"/>
      <c r="BA6"/>
      <c r="BB6"/>
      <c r="BC6"/>
    </row>
    <row r="7" s="27" customFormat="1" ht="16" spans="4:55">
      <c r="D7" s="30"/>
      <c r="E7" s="33"/>
      <c r="F7" s="32"/>
      <c r="G7" s="34"/>
      <c r="H7" s="31"/>
      <c r="I7" s="31"/>
      <c r="J7" s="30" t="s">
        <v>81</v>
      </c>
      <c r="K7" s="33" t="s">
        <v>174</v>
      </c>
      <c r="L7" s="24" t="s">
        <v>181</v>
      </c>
      <c r="M7" s="37">
        <f>M17/1000</f>
        <v>0.2026</v>
      </c>
      <c r="N7" s="31"/>
      <c r="O7" s="31"/>
      <c r="P7" s="30" t="s">
        <v>81</v>
      </c>
      <c r="Q7" s="33" t="s">
        <v>175</v>
      </c>
      <c r="R7" s="24" t="s">
        <v>181</v>
      </c>
      <c r="S7" s="37">
        <f t="shared" si="0"/>
        <v>0.1913</v>
      </c>
      <c r="T7" s="31"/>
      <c r="U7" s="31"/>
      <c r="V7" s="30" t="s">
        <v>81</v>
      </c>
      <c r="W7" s="33" t="s">
        <v>176</v>
      </c>
      <c r="X7" s="24" t="s">
        <v>181</v>
      </c>
      <c r="Y7" s="37">
        <f t="shared" si="1"/>
        <v>0.1915</v>
      </c>
      <c r="Z7" s="31"/>
      <c r="AA7" s="31"/>
      <c r="AB7" s="30" t="s">
        <v>81</v>
      </c>
      <c r="AC7" s="33" t="s">
        <v>177</v>
      </c>
      <c r="AD7" s="24" t="s">
        <v>181</v>
      </c>
      <c r="AE7" s="37">
        <f t="shared" si="2"/>
        <v>0.1859</v>
      </c>
      <c r="AF7" s="31"/>
      <c r="AG7" s="31"/>
      <c r="AH7" s="30" t="s">
        <v>81</v>
      </c>
      <c r="AI7" s="33" t="s">
        <v>178</v>
      </c>
      <c r="AJ7" s="24" t="s">
        <v>181</v>
      </c>
      <c r="AK7" s="37">
        <f t="shared" si="3"/>
        <v>0.1982</v>
      </c>
      <c r="AL7" s="31"/>
      <c r="AM7" s="31"/>
      <c r="AN7" s="30" t="s">
        <v>81</v>
      </c>
      <c r="AO7" s="33" t="s">
        <v>179</v>
      </c>
      <c r="AP7" s="24" t="s">
        <v>181</v>
      </c>
      <c r="AQ7" s="37">
        <f t="shared" si="4"/>
        <v>0.0768</v>
      </c>
      <c r="AT7" s="30" t="s">
        <v>81</v>
      </c>
      <c r="AU7" s="33" t="s">
        <v>180</v>
      </c>
      <c r="AV7" s="24" t="s">
        <v>181</v>
      </c>
      <c r="AW7" s="37">
        <f t="shared" si="5"/>
        <v>0.1555</v>
      </c>
      <c r="AZ7"/>
      <c r="BA7"/>
      <c r="BB7"/>
      <c r="BC7"/>
    </row>
    <row r="8" s="27" customFormat="1" ht="14.5" customHeight="1" spans="4:55">
      <c r="D8" s="30"/>
      <c r="E8" s="33"/>
      <c r="F8" s="32"/>
      <c r="G8" s="34"/>
      <c r="H8" s="31"/>
      <c r="I8" s="31"/>
      <c r="J8" s="30" t="s">
        <v>81</v>
      </c>
      <c r="K8" s="33" t="s">
        <v>174</v>
      </c>
      <c r="L8" s="24" t="s">
        <v>68</v>
      </c>
      <c r="M8" s="37">
        <f>M18/1000</f>
        <v>0.5838</v>
      </c>
      <c r="N8" s="31"/>
      <c r="O8" s="31"/>
      <c r="P8" s="30" t="s">
        <v>81</v>
      </c>
      <c r="Q8" s="33" t="s">
        <v>175</v>
      </c>
      <c r="R8" s="24" t="s">
        <v>68</v>
      </c>
      <c r="S8" s="37">
        <f t="shared" si="0"/>
        <v>0.5561</v>
      </c>
      <c r="T8" s="31"/>
      <c r="U8" s="31"/>
      <c r="V8" s="30" t="s">
        <v>81</v>
      </c>
      <c r="W8" s="33" t="s">
        <v>176</v>
      </c>
      <c r="X8" s="24" t="s">
        <v>68</v>
      </c>
      <c r="Y8" s="37">
        <f t="shared" si="1"/>
        <v>0.5579</v>
      </c>
      <c r="Z8" s="31"/>
      <c r="AA8" s="31"/>
      <c r="AB8" s="30" t="s">
        <v>81</v>
      </c>
      <c r="AC8" s="33" t="s">
        <v>177</v>
      </c>
      <c r="AD8" s="24" t="s">
        <v>68</v>
      </c>
      <c r="AE8" s="37">
        <f t="shared" si="2"/>
        <v>0.5505</v>
      </c>
      <c r="AF8" s="31"/>
      <c r="AG8" s="31"/>
      <c r="AH8" s="30" t="s">
        <v>81</v>
      </c>
      <c r="AI8" s="33" t="s">
        <v>178</v>
      </c>
      <c r="AJ8" s="24" t="s">
        <v>68</v>
      </c>
      <c r="AK8" s="37">
        <f t="shared" si="3"/>
        <v>0.5942</v>
      </c>
      <c r="AL8" s="31"/>
      <c r="AM8" s="31"/>
      <c r="AN8" s="30" t="s">
        <v>81</v>
      </c>
      <c r="AO8" s="33" t="s">
        <v>179</v>
      </c>
      <c r="AP8" s="24" t="s">
        <v>68</v>
      </c>
      <c r="AQ8" s="37">
        <f t="shared" si="4"/>
        <v>0.4099</v>
      </c>
      <c r="AT8" s="30" t="s">
        <v>81</v>
      </c>
      <c r="AU8" s="33" t="s">
        <v>180</v>
      </c>
      <c r="AV8" s="24" t="s">
        <v>68</v>
      </c>
      <c r="AW8" s="37">
        <f t="shared" si="5"/>
        <v>0.477</v>
      </c>
      <c r="AZ8"/>
      <c r="BA8"/>
      <c r="BB8"/>
      <c r="BC8"/>
    </row>
    <row r="9" s="27" customFormat="1" ht="16" spans="4:55">
      <c r="D9" s="30"/>
      <c r="E9" s="33"/>
      <c r="F9" s="32"/>
      <c r="G9" s="34"/>
      <c r="H9" s="31"/>
      <c r="I9" s="31"/>
      <c r="J9" s="30" t="s">
        <v>81</v>
      </c>
      <c r="K9" s="33" t="s">
        <v>174</v>
      </c>
      <c r="L9" s="24" t="s">
        <v>182</v>
      </c>
      <c r="M9" s="37">
        <f>M19/1000</f>
        <v>0.1275</v>
      </c>
      <c r="N9" s="31"/>
      <c r="O9" s="31"/>
      <c r="P9" s="30" t="s">
        <v>81</v>
      </c>
      <c r="Q9" s="33" t="s">
        <v>175</v>
      </c>
      <c r="R9" s="24" t="s">
        <v>182</v>
      </c>
      <c r="S9" s="37">
        <f t="shared" si="0"/>
        <v>0.1337</v>
      </c>
      <c r="T9" s="31"/>
      <c r="U9" s="31"/>
      <c r="V9" s="30" t="s">
        <v>81</v>
      </c>
      <c r="W9" s="33" t="s">
        <v>176</v>
      </c>
      <c r="X9" s="24" t="s">
        <v>182</v>
      </c>
      <c r="Y9" s="37">
        <f t="shared" si="1"/>
        <v>0.1403</v>
      </c>
      <c r="Z9" s="31"/>
      <c r="AA9" s="31"/>
      <c r="AB9" s="30" t="s">
        <v>81</v>
      </c>
      <c r="AC9" s="33" t="s">
        <v>177</v>
      </c>
      <c r="AD9" s="24" t="s">
        <v>182</v>
      </c>
      <c r="AE9" s="37">
        <f t="shared" si="2"/>
        <v>0.1499</v>
      </c>
      <c r="AF9" s="31"/>
      <c r="AG9" s="31"/>
      <c r="AH9" s="30" t="s">
        <v>81</v>
      </c>
      <c r="AI9" s="33" t="s">
        <v>178</v>
      </c>
      <c r="AJ9" s="24" t="s">
        <v>182</v>
      </c>
      <c r="AK9" s="37">
        <f t="shared" si="3"/>
        <v>0.1608</v>
      </c>
      <c r="AL9" s="31"/>
      <c r="AM9" s="31"/>
      <c r="AN9" s="30" t="s">
        <v>81</v>
      </c>
      <c r="AO9" s="33" t="s">
        <v>179</v>
      </c>
      <c r="AP9" s="24" t="s">
        <v>182</v>
      </c>
      <c r="AQ9" s="37">
        <f t="shared" si="4"/>
        <v>0.057</v>
      </c>
      <c r="AT9" s="30" t="s">
        <v>81</v>
      </c>
      <c r="AU9" s="33" t="s">
        <v>180</v>
      </c>
      <c r="AV9" s="24" t="s">
        <v>182</v>
      </c>
      <c r="AW9" s="37">
        <f t="shared" si="5"/>
        <v>0.0952</v>
      </c>
      <c r="AZ9"/>
      <c r="BA9"/>
      <c r="BB9"/>
      <c r="BC9"/>
    </row>
    <row r="10" s="27" customFormat="1" ht="16" spans="4:9">
      <c r="D10" s="31"/>
      <c r="E10" s="33"/>
      <c r="G10" s="34"/>
      <c r="H10" s="31"/>
      <c r="I10" s="31"/>
    </row>
    <row r="13" s="28" customFormat="1"/>
    <row r="14" s="1" customFormat="1" ht="14.5" spans="4:49">
      <c r="D14" s="35"/>
      <c r="E14" s="35"/>
      <c r="F14" s="35"/>
      <c r="G14" s="35"/>
      <c r="H14" s="36"/>
      <c r="I14" s="36"/>
      <c r="J14" s="35"/>
      <c r="K14" s="35"/>
      <c r="L14" s="38"/>
      <c r="M14" s="35"/>
      <c r="N14" s="36"/>
      <c r="O14" s="36"/>
      <c r="P14" s="36"/>
      <c r="Q14" s="36"/>
      <c r="R14" s="38"/>
      <c r="S14" s="36"/>
      <c r="T14" s="36"/>
      <c r="U14" s="36"/>
      <c r="V14" s="36"/>
      <c r="W14" s="36"/>
      <c r="X14" s="38"/>
      <c r="Y14" s="36"/>
      <c r="Z14" s="36"/>
      <c r="AA14" s="36"/>
      <c r="AB14" s="36"/>
      <c r="AC14" s="36"/>
      <c r="AD14" s="38"/>
      <c r="AE14" s="36"/>
      <c r="AF14" s="36"/>
      <c r="AG14" s="36"/>
      <c r="AH14" s="36"/>
      <c r="AI14" s="36"/>
      <c r="AJ14" s="38"/>
      <c r="AK14" s="36"/>
      <c r="AL14" s="36"/>
      <c r="AM14" s="36"/>
      <c r="AN14" s="36"/>
      <c r="AO14" s="36"/>
      <c r="AP14" s="38"/>
      <c r="AQ14" s="36"/>
      <c r="AT14" s="36"/>
      <c r="AU14" s="36"/>
      <c r="AV14" s="38"/>
      <c r="AW14" s="36"/>
    </row>
    <row r="15" s="1" customFormat="1" ht="14.5" spans="4:49">
      <c r="D15" s="35"/>
      <c r="E15" s="35"/>
      <c r="F15" s="18"/>
      <c r="G15" s="35"/>
      <c r="H15" s="36"/>
      <c r="I15" s="36"/>
      <c r="J15" s="38"/>
      <c r="K15" s="38"/>
      <c r="L15" s="38"/>
      <c r="M15" s="38"/>
      <c r="N15" s="36"/>
      <c r="O15" s="36"/>
      <c r="P15" s="38"/>
      <c r="Q15" s="38"/>
      <c r="R15" s="38"/>
      <c r="S15" s="38"/>
      <c r="T15" s="36"/>
      <c r="U15" s="36"/>
      <c r="V15" s="38"/>
      <c r="W15" s="38"/>
      <c r="X15" s="38"/>
      <c r="Y15" s="38"/>
      <c r="Z15" s="36"/>
      <c r="AA15" s="36"/>
      <c r="AB15" s="38"/>
      <c r="AC15" s="38"/>
      <c r="AD15" s="38"/>
      <c r="AE15" s="38"/>
      <c r="AF15" s="36"/>
      <c r="AG15" s="36"/>
      <c r="AH15" s="38"/>
      <c r="AI15" s="38"/>
      <c r="AJ15" s="38"/>
      <c r="AK15" s="38"/>
      <c r="AL15" s="36"/>
      <c r="AM15" s="36"/>
      <c r="AN15" s="38"/>
      <c r="AO15" s="38"/>
      <c r="AP15" s="38"/>
      <c r="AQ15" s="38"/>
      <c r="AT15" s="38"/>
      <c r="AU15" s="38"/>
      <c r="AV15" s="38"/>
      <c r="AW15" s="38"/>
    </row>
    <row r="16" s="29" customFormat="1" ht="16" spans="10:49">
      <c r="J16" s="35"/>
      <c r="K16" s="24"/>
      <c r="L16" s="18"/>
      <c r="M16" s="34">
        <f>T65</f>
        <v>76.8000000000001</v>
      </c>
      <c r="N16" s="36"/>
      <c r="O16" s="36"/>
      <c r="P16" s="35"/>
      <c r="Q16" s="24"/>
      <c r="R16" s="18"/>
      <c r="S16" s="39">
        <f>U65</f>
        <v>71.3</v>
      </c>
      <c r="T16" s="36"/>
      <c r="U16" s="36"/>
      <c r="V16" s="35"/>
      <c r="W16" s="24"/>
      <c r="X16" s="18"/>
      <c r="Y16" s="39">
        <f>V65</f>
        <v>71.2</v>
      </c>
      <c r="Z16" s="36"/>
      <c r="AA16" s="36"/>
      <c r="AB16" s="35"/>
      <c r="AC16" s="24"/>
      <c r="AD16" s="18"/>
      <c r="AE16" s="39">
        <f>W65</f>
        <v>72.5</v>
      </c>
      <c r="AF16" s="36"/>
      <c r="AG16" s="36"/>
      <c r="AH16" s="35"/>
      <c r="AI16" s="24"/>
      <c r="AJ16" s="18"/>
      <c r="AK16" s="39">
        <f>X65</f>
        <v>77</v>
      </c>
      <c r="AL16" s="36"/>
      <c r="AM16" s="36"/>
      <c r="AN16" s="35"/>
      <c r="AO16" s="24"/>
      <c r="AP16" s="18"/>
      <c r="AQ16" s="39">
        <f>Y65</f>
        <v>42.4</v>
      </c>
      <c r="AR16" s="1"/>
      <c r="AS16" s="1"/>
      <c r="AT16" s="35"/>
      <c r="AU16" s="24"/>
      <c r="AV16" s="18"/>
      <c r="AW16" s="39">
        <f>Z65</f>
        <v>47.2</v>
      </c>
    </row>
    <row r="17" s="29" customFormat="1" ht="16" spans="10:49">
      <c r="J17" s="35"/>
      <c r="K17" s="24"/>
      <c r="L17" s="18"/>
      <c r="M17" s="34">
        <f>T66</f>
        <v>202.6</v>
      </c>
      <c r="N17" s="36"/>
      <c r="O17" s="36"/>
      <c r="P17" s="35"/>
      <c r="Q17" s="24"/>
      <c r="R17" s="18"/>
      <c r="S17" s="39">
        <f>U66</f>
        <v>191.3</v>
      </c>
      <c r="T17" s="36"/>
      <c r="U17" s="36"/>
      <c r="V17" s="35"/>
      <c r="W17" s="24"/>
      <c r="X17" s="18"/>
      <c r="Y17" s="39">
        <f>V66</f>
        <v>191.5</v>
      </c>
      <c r="Z17" s="36"/>
      <c r="AA17" s="36"/>
      <c r="AB17" s="35"/>
      <c r="AC17" s="24"/>
      <c r="AD17" s="18"/>
      <c r="AE17" s="39">
        <f>W66</f>
        <v>185.9</v>
      </c>
      <c r="AF17" s="36"/>
      <c r="AG17" s="36"/>
      <c r="AH17" s="35"/>
      <c r="AI17" s="24"/>
      <c r="AJ17" s="18"/>
      <c r="AK17" s="39">
        <f>X66</f>
        <v>198.2</v>
      </c>
      <c r="AL17" s="36"/>
      <c r="AM17" s="36"/>
      <c r="AN17" s="35"/>
      <c r="AO17" s="24"/>
      <c r="AP17" s="18"/>
      <c r="AQ17" s="39">
        <f>Y66</f>
        <v>76.8</v>
      </c>
      <c r="AR17" s="1"/>
      <c r="AS17" s="1"/>
      <c r="AT17" s="35"/>
      <c r="AU17" s="24"/>
      <c r="AV17" s="18"/>
      <c r="AW17" s="39">
        <f>Z66</f>
        <v>155.5</v>
      </c>
    </row>
    <row r="18" s="29" customFormat="1" ht="16" spans="10:49">
      <c r="J18" s="35"/>
      <c r="K18" s="24"/>
      <c r="L18" s="18"/>
      <c r="M18" s="34">
        <f>T67</f>
        <v>583.8</v>
      </c>
      <c r="N18" s="36"/>
      <c r="O18" s="36"/>
      <c r="P18" s="35"/>
      <c r="Q18" s="24"/>
      <c r="R18" s="18"/>
      <c r="S18" s="39">
        <f>U67</f>
        <v>556.1</v>
      </c>
      <c r="T18" s="36"/>
      <c r="U18" s="36"/>
      <c r="V18" s="35"/>
      <c r="W18" s="24"/>
      <c r="X18" s="18"/>
      <c r="Y18" s="39">
        <f>V67</f>
        <v>557.9</v>
      </c>
      <c r="Z18" s="36"/>
      <c r="AA18" s="36"/>
      <c r="AB18" s="35"/>
      <c r="AC18" s="24"/>
      <c r="AD18" s="18"/>
      <c r="AE18" s="39">
        <f>W67</f>
        <v>550.5</v>
      </c>
      <c r="AF18" s="36"/>
      <c r="AG18" s="36"/>
      <c r="AH18" s="35"/>
      <c r="AI18" s="24"/>
      <c r="AJ18" s="18"/>
      <c r="AK18" s="39">
        <f>X67</f>
        <v>594.2</v>
      </c>
      <c r="AL18" s="36"/>
      <c r="AM18" s="36"/>
      <c r="AN18" s="35"/>
      <c r="AO18" s="24"/>
      <c r="AP18" s="18"/>
      <c r="AQ18" s="39">
        <f>Y67</f>
        <v>409.9</v>
      </c>
      <c r="AR18" s="1"/>
      <c r="AS18" s="1"/>
      <c r="AT18" s="35"/>
      <c r="AU18" s="24"/>
      <c r="AV18" s="18"/>
      <c r="AW18" s="39">
        <f>Z67</f>
        <v>477</v>
      </c>
    </row>
    <row r="19" s="29" customFormat="1" ht="16" spans="10:49">
      <c r="J19" s="35"/>
      <c r="K19" s="24"/>
      <c r="L19" s="18"/>
      <c r="M19" s="34">
        <f>T68</f>
        <v>127.5</v>
      </c>
      <c r="N19" s="36"/>
      <c r="O19" s="36"/>
      <c r="P19" s="35"/>
      <c r="Q19" s="24"/>
      <c r="R19" s="18"/>
      <c r="S19" s="39">
        <f>U68</f>
        <v>133.7</v>
      </c>
      <c r="T19" s="36"/>
      <c r="U19" s="36"/>
      <c r="V19" s="35"/>
      <c r="W19" s="24"/>
      <c r="X19" s="18"/>
      <c r="Y19" s="39">
        <f>V68</f>
        <v>140.3</v>
      </c>
      <c r="Z19" s="36"/>
      <c r="AA19" s="36"/>
      <c r="AB19" s="35"/>
      <c r="AC19" s="24"/>
      <c r="AD19" s="18"/>
      <c r="AE19" s="39">
        <f>W68</f>
        <v>149.9</v>
      </c>
      <c r="AF19" s="36"/>
      <c r="AG19" s="36"/>
      <c r="AH19" s="35"/>
      <c r="AI19" s="24"/>
      <c r="AJ19" s="18"/>
      <c r="AK19" s="39">
        <f>X68</f>
        <v>160.8</v>
      </c>
      <c r="AL19" s="36"/>
      <c r="AM19" s="36"/>
      <c r="AN19" s="35"/>
      <c r="AO19" s="24"/>
      <c r="AP19" s="18"/>
      <c r="AQ19" s="39">
        <f>Y68</f>
        <v>57</v>
      </c>
      <c r="AR19" s="1"/>
      <c r="AS19" s="1"/>
      <c r="AT19" s="35"/>
      <c r="AU19" s="24"/>
      <c r="AV19" s="18"/>
      <c r="AW19" s="39">
        <f>Z68</f>
        <v>95.2</v>
      </c>
    </row>
    <row r="20" s="29" customFormat="1"/>
    <row r="21" s="28" customFormat="1" spans="16:19">
      <c r="P21" s="29"/>
      <c r="Q21" s="29"/>
      <c r="R21" s="29"/>
      <c r="S21" s="29"/>
    </row>
    <row r="22" spans="16:19">
      <c r="P22" s="38"/>
      <c r="Q22" s="38"/>
      <c r="R22" s="38"/>
      <c r="S22" s="38"/>
    </row>
    <row r="24" s="27" customFormat="1" ht="14.5" spans="4:55">
      <c r="D24" s="30"/>
      <c r="E24" s="30"/>
      <c r="F24" s="30"/>
      <c r="G24" s="30"/>
      <c r="H24" s="31"/>
      <c r="I24" s="31"/>
      <c r="J24" s="30"/>
      <c r="K24" s="30"/>
      <c r="L24" s="21" t="s">
        <v>173</v>
      </c>
      <c r="M24" s="30"/>
      <c r="N24" s="31"/>
      <c r="O24" s="31"/>
      <c r="P24" s="31"/>
      <c r="Q24" s="31"/>
      <c r="R24" s="21" t="s">
        <v>173</v>
      </c>
      <c r="S24" s="31"/>
      <c r="T24" s="31"/>
      <c r="U24" s="31"/>
      <c r="V24" s="31"/>
      <c r="W24" s="31"/>
      <c r="X24" s="21" t="s">
        <v>173</v>
      </c>
      <c r="Y24" s="31"/>
      <c r="Z24" s="31"/>
      <c r="AA24" s="31"/>
      <c r="AB24" s="31"/>
      <c r="AC24" s="31"/>
      <c r="AD24" s="21" t="s">
        <v>173</v>
      </c>
      <c r="AE24" s="31"/>
      <c r="AF24" s="31"/>
      <c r="AG24" s="31"/>
      <c r="AH24" s="31"/>
      <c r="AI24" s="31"/>
      <c r="AJ24" s="21" t="s">
        <v>173</v>
      </c>
      <c r="AK24" s="31"/>
      <c r="AL24" s="31"/>
      <c r="AM24" s="31"/>
      <c r="AN24" s="31"/>
      <c r="AO24" s="31"/>
      <c r="AP24" s="21" t="s">
        <v>173</v>
      </c>
      <c r="AQ24" s="31"/>
      <c r="AT24" s="31"/>
      <c r="AU24" s="31"/>
      <c r="AV24" s="21" t="s">
        <v>173</v>
      </c>
      <c r="AW24" s="31"/>
      <c r="AZ24"/>
      <c r="BA24"/>
      <c r="BB24"/>
      <c r="BC24"/>
    </row>
    <row r="25" s="27" customFormat="1" ht="14.5" spans="4:55">
      <c r="D25" s="30"/>
      <c r="E25" s="30"/>
      <c r="F25" s="32"/>
      <c r="G25" s="30"/>
      <c r="H25" s="31"/>
      <c r="I25" s="31"/>
      <c r="J25" s="21" t="s">
        <v>76</v>
      </c>
      <c r="K25" s="21" t="s">
        <v>45</v>
      </c>
      <c r="L25" s="21" t="s">
        <v>50</v>
      </c>
      <c r="M25" s="21" t="s">
        <v>11</v>
      </c>
      <c r="N25" s="31"/>
      <c r="O25" s="31"/>
      <c r="P25" s="21" t="s">
        <v>76</v>
      </c>
      <c r="Q25" s="21" t="s">
        <v>45</v>
      </c>
      <c r="R25" s="21" t="s">
        <v>50</v>
      </c>
      <c r="S25" s="21" t="s">
        <v>11</v>
      </c>
      <c r="T25" s="31"/>
      <c r="U25" s="31"/>
      <c r="V25" s="21" t="s">
        <v>76</v>
      </c>
      <c r="W25" s="21" t="s">
        <v>45</v>
      </c>
      <c r="X25" s="21" t="s">
        <v>50</v>
      </c>
      <c r="Y25" s="21" t="s">
        <v>11</v>
      </c>
      <c r="Z25" s="31"/>
      <c r="AA25" s="31"/>
      <c r="AB25" s="21" t="s">
        <v>76</v>
      </c>
      <c r="AC25" s="21" t="s">
        <v>45</v>
      </c>
      <c r="AD25" s="21" t="s">
        <v>50</v>
      </c>
      <c r="AE25" s="21" t="s">
        <v>11</v>
      </c>
      <c r="AF25" s="31"/>
      <c r="AG25" s="31"/>
      <c r="AH25" s="21" t="s">
        <v>76</v>
      </c>
      <c r="AI25" s="21" t="s">
        <v>45</v>
      </c>
      <c r="AJ25" s="21" t="s">
        <v>50</v>
      </c>
      <c r="AK25" s="21" t="s">
        <v>11</v>
      </c>
      <c r="AL25" s="31"/>
      <c r="AM25" s="31"/>
      <c r="AN25" s="21" t="s">
        <v>76</v>
      </c>
      <c r="AO25" s="21" t="s">
        <v>45</v>
      </c>
      <c r="AP25" s="21" t="s">
        <v>50</v>
      </c>
      <c r="AQ25" s="21" t="s">
        <v>11</v>
      </c>
      <c r="AT25" s="21" t="s">
        <v>76</v>
      </c>
      <c r="AU25" s="21" t="s">
        <v>45</v>
      </c>
      <c r="AV25" s="21" t="s">
        <v>50</v>
      </c>
      <c r="AW25" s="21" t="s">
        <v>11</v>
      </c>
      <c r="AZ25"/>
      <c r="BA25"/>
      <c r="BB25"/>
      <c r="BC25"/>
    </row>
    <row r="26" ht="16" spans="10:49">
      <c r="J26" s="30" t="s">
        <v>81</v>
      </c>
      <c r="K26" s="33" t="str">
        <f>K6</f>
        <v>Tra_EV_Batt-NMC 111_virgin</v>
      </c>
      <c r="L26" s="32" t="s">
        <v>60</v>
      </c>
      <c r="M26" s="34">
        <f>T73/1000</f>
        <v>0.0774</v>
      </c>
      <c r="N26" s="31"/>
      <c r="O26" s="31"/>
      <c r="P26" s="30" t="s">
        <v>81</v>
      </c>
      <c r="Q26" s="33" t="str">
        <f t="shared" ref="Q26:Q29" si="6">Q6</f>
        <v>Tra_EV_Batt-NMC532_virgin</v>
      </c>
      <c r="R26" s="32" t="s">
        <v>60</v>
      </c>
      <c r="S26" s="40">
        <f>S32/1000</f>
        <v>0.072</v>
      </c>
      <c r="T26" s="31"/>
      <c r="U26" s="31"/>
      <c r="V26" s="30" t="s">
        <v>81</v>
      </c>
      <c r="W26" s="33" t="str">
        <f t="shared" ref="W26:W29" si="7">W6</f>
        <v>Tra_EV_Batt-NMC 622_virgin</v>
      </c>
      <c r="X26" s="32" t="s">
        <v>60</v>
      </c>
      <c r="Y26" s="40">
        <f t="shared" ref="Y26:Y29" si="8">Y32/1000</f>
        <v>0.0719</v>
      </c>
      <c r="Z26" s="31"/>
      <c r="AA26" s="31"/>
      <c r="AB26" s="30" t="s">
        <v>81</v>
      </c>
      <c r="AC26" s="33" t="str">
        <f t="shared" ref="AC26:AC29" si="9">AC6</f>
        <v>Tra_EV_Batt-NMC 811_virgin</v>
      </c>
      <c r="AD26" s="32" t="s">
        <v>60</v>
      </c>
      <c r="AE26" s="40">
        <f t="shared" ref="AE26:AE29" si="10">AE32/1000</f>
        <v>0.0731</v>
      </c>
      <c r="AF26" s="31"/>
      <c r="AG26" s="31"/>
      <c r="AH26" s="30" t="s">
        <v>81</v>
      </c>
      <c r="AI26" s="33" t="str">
        <f t="shared" ref="AI26:AI29" si="11">AI6</f>
        <v>Tra_EV_Batt-NCA_virgin</v>
      </c>
      <c r="AJ26" s="32" t="s">
        <v>60</v>
      </c>
      <c r="AK26" s="40">
        <f t="shared" ref="AK26:AK29" si="12">AK32/1000</f>
        <v>0.0776999999999999</v>
      </c>
      <c r="AL26" s="31"/>
      <c r="AM26" s="31"/>
      <c r="AN26" s="30" t="s">
        <v>81</v>
      </c>
      <c r="AO26" s="33" t="str">
        <f t="shared" ref="AO26:AO29" si="13">AO6</f>
        <v>Tra_EV_Batt-LMO_virgin</v>
      </c>
      <c r="AP26" s="32" t="s">
        <v>60</v>
      </c>
      <c r="AQ26" s="40">
        <f t="shared" ref="AQ26:AQ29" si="14">AQ32/1000</f>
        <v>0.0431</v>
      </c>
      <c r="AR26" s="27"/>
      <c r="AS26" s="27"/>
      <c r="AT26" s="30" t="s">
        <v>81</v>
      </c>
      <c r="AU26" s="33" t="str">
        <f t="shared" ref="AU26:AU29" si="15">AU6</f>
        <v>Tra_EV_Batt-LFP_virgin</v>
      </c>
      <c r="AV26" s="32" t="s">
        <v>60</v>
      </c>
      <c r="AW26" s="40">
        <f t="shared" ref="AW26:AW29" si="16">AW32/1000</f>
        <v>0.0478</v>
      </c>
    </row>
    <row r="27" ht="16" spans="10:49">
      <c r="J27" s="30" t="s">
        <v>81</v>
      </c>
      <c r="K27" s="33" t="str">
        <f>K7</f>
        <v>Tra_EV_Batt-NMC 111_virgin</v>
      </c>
      <c r="L27" s="24" t="s">
        <v>181</v>
      </c>
      <c r="M27" s="34">
        <f>T74/1000</f>
        <v>0.2366</v>
      </c>
      <c r="N27" s="31"/>
      <c r="O27" s="31"/>
      <c r="P27" s="30" t="s">
        <v>81</v>
      </c>
      <c r="Q27" s="33" t="str">
        <f t="shared" si="6"/>
        <v>Tra_EV_Batt-NMC532_virgin</v>
      </c>
      <c r="R27" s="24" t="s">
        <v>181</v>
      </c>
      <c r="S27" s="40">
        <f>S33/1000</f>
        <v>0.2252</v>
      </c>
      <c r="T27" s="31"/>
      <c r="U27" s="31"/>
      <c r="V27" s="30" t="s">
        <v>81</v>
      </c>
      <c r="W27" s="33" t="str">
        <f t="shared" si="7"/>
        <v>Tra_EV_Batt-NMC 622_virgin</v>
      </c>
      <c r="X27" s="24" t="s">
        <v>181</v>
      </c>
      <c r="Y27" s="40">
        <f t="shared" si="8"/>
        <v>0.2255</v>
      </c>
      <c r="Z27" s="31"/>
      <c r="AA27" s="31"/>
      <c r="AB27" s="30" t="s">
        <v>81</v>
      </c>
      <c r="AC27" s="33" t="str">
        <f t="shared" si="9"/>
        <v>Tra_EV_Batt-NMC 811_virgin</v>
      </c>
      <c r="AD27" s="24" t="s">
        <v>181</v>
      </c>
      <c r="AE27" s="40">
        <f t="shared" si="10"/>
        <v>0.2198</v>
      </c>
      <c r="AF27" s="31"/>
      <c r="AG27" s="31"/>
      <c r="AH27" s="30" t="s">
        <v>81</v>
      </c>
      <c r="AI27" s="33" t="str">
        <f t="shared" si="11"/>
        <v>Tra_EV_Batt-NCA_virgin</v>
      </c>
      <c r="AJ27" s="24" t="s">
        <v>181</v>
      </c>
      <c r="AK27" s="40">
        <f t="shared" si="12"/>
        <v>0.2322</v>
      </c>
      <c r="AL27" s="31"/>
      <c r="AM27" s="31"/>
      <c r="AN27" s="30" t="s">
        <v>81</v>
      </c>
      <c r="AO27" s="33" t="str">
        <f t="shared" si="13"/>
        <v>Tra_EV_Batt-LMO_virgin</v>
      </c>
      <c r="AP27" s="24" t="s">
        <v>181</v>
      </c>
      <c r="AQ27" s="40">
        <f t="shared" si="14"/>
        <v>0.1108</v>
      </c>
      <c r="AR27" s="27"/>
      <c r="AS27" s="27"/>
      <c r="AT27" s="30" t="s">
        <v>81</v>
      </c>
      <c r="AU27" s="33" t="str">
        <f t="shared" si="15"/>
        <v>Tra_EV_Batt-LFP_virgin</v>
      </c>
      <c r="AV27" s="24" t="s">
        <v>181</v>
      </c>
      <c r="AW27" s="40">
        <f t="shared" si="16"/>
        <v>0.1895</v>
      </c>
    </row>
    <row r="28" ht="16" spans="10:49">
      <c r="J28" s="30" t="s">
        <v>81</v>
      </c>
      <c r="K28" s="33" t="str">
        <f>K8</f>
        <v>Tra_EV_Batt-NMC 111_virgin</v>
      </c>
      <c r="L28" s="24" t="s">
        <v>68</v>
      </c>
      <c r="M28" s="34">
        <f>T75/1000</f>
        <v>0.5598</v>
      </c>
      <c r="N28" s="31"/>
      <c r="O28" s="31"/>
      <c r="P28" s="30" t="s">
        <v>81</v>
      </c>
      <c r="Q28" s="33" t="str">
        <f t="shared" si="6"/>
        <v>Tra_EV_Batt-NMC532_virgin</v>
      </c>
      <c r="R28" s="24" t="s">
        <v>68</v>
      </c>
      <c r="S28" s="40">
        <f>S34/1000</f>
        <v>0.5321</v>
      </c>
      <c r="T28" s="31"/>
      <c r="U28" s="31"/>
      <c r="V28" s="30" t="s">
        <v>81</v>
      </c>
      <c r="W28" s="33" t="str">
        <f t="shared" si="7"/>
        <v>Tra_EV_Batt-NMC 622_virgin</v>
      </c>
      <c r="X28" s="24" t="s">
        <v>68</v>
      </c>
      <c r="Y28" s="40">
        <f t="shared" si="8"/>
        <v>0.5339</v>
      </c>
      <c r="Z28" s="31"/>
      <c r="AA28" s="31"/>
      <c r="AB28" s="30" t="s">
        <v>81</v>
      </c>
      <c r="AC28" s="33" t="str">
        <f t="shared" si="9"/>
        <v>Tra_EV_Batt-NMC 811_virgin</v>
      </c>
      <c r="AD28" s="24" t="s">
        <v>68</v>
      </c>
      <c r="AE28" s="40">
        <f t="shared" si="10"/>
        <v>0.5264</v>
      </c>
      <c r="AF28" s="31"/>
      <c r="AG28" s="31"/>
      <c r="AH28" s="30" t="s">
        <v>81</v>
      </c>
      <c r="AI28" s="33" t="str">
        <f t="shared" si="11"/>
        <v>Tra_EV_Batt-NCA_virgin</v>
      </c>
      <c r="AJ28" s="24" t="s">
        <v>68</v>
      </c>
      <c r="AK28" s="40">
        <f t="shared" si="12"/>
        <v>0.5702</v>
      </c>
      <c r="AL28" s="31"/>
      <c r="AM28" s="31"/>
      <c r="AN28" s="30" t="s">
        <v>81</v>
      </c>
      <c r="AO28" s="33" t="str">
        <f t="shared" si="13"/>
        <v>Tra_EV_Batt-LMO_virgin</v>
      </c>
      <c r="AP28" s="24" t="s">
        <v>68</v>
      </c>
      <c r="AQ28" s="40">
        <f t="shared" si="14"/>
        <v>0.3858</v>
      </c>
      <c r="AR28" s="27"/>
      <c r="AS28" s="27"/>
      <c r="AT28" s="30" t="s">
        <v>81</v>
      </c>
      <c r="AU28" s="33" t="str">
        <f t="shared" si="15"/>
        <v>Tra_EV_Batt-LFP_virgin</v>
      </c>
      <c r="AV28" s="24" t="s">
        <v>68</v>
      </c>
      <c r="AW28" s="40">
        <f t="shared" si="16"/>
        <v>0.453</v>
      </c>
    </row>
    <row r="29" ht="16" spans="10:49">
      <c r="J29" s="30" t="s">
        <v>81</v>
      </c>
      <c r="K29" s="33" t="str">
        <f>K9</f>
        <v>Tra_EV_Batt-NMC 111_virgin</v>
      </c>
      <c r="L29" s="24" t="s">
        <v>182</v>
      </c>
      <c r="M29" s="34">
        <f>T76/1000</f>
        <v>0.1277</v>
      </c>
      <c r="N29" s="31"/>
      <c r="O29" s="31"/>
      <c r="P29" s="30" t="s">
        <v>81</v>
      </c>
      <c r="Q29" s="33" t="str">
        <f t="shared" si="6"/>
        <v>Tra_EV_Batt-NMC532_virgin</v>
      </c>
      <c r="R29" s="24" t="s">
        <v>182</v>
      </c>
      <c r="S29" s="40">
        <f>S35/1000</f>
        <v>0.134</v>
      </c>
      <c r="T29" s="31"/>
      <c r="U29" s="31"/>
      <c r="V29" s="30" t="s">
        <v>81</v>
      </c>
      <c r="W29" s="33" t="str">
        <f t="shared" si="7"/>
        <v>Tra_EV_Batt-NMC 622_virgin</v>
      </c>
      <c r="X29" s="24" t="s">
        <v>182</v>
      </c>
      <c r="Y29" s="40">
        <f t="shared" si="8"/>
        <v>0.1406</v>
      </c>
      <c r="Z29" s="31"/>
      <c r="AA29" s="31"/>
      <c r="AB29" s="30" t="s">
        <v>81</v>
      </c>
      <c r="AC29" s="33" t="str">
        <f t="shared" si="9"/>
        <v>Tra_EV_Batt-NMC 811_virgin</v>
      </c>
      <c r="AD29" s="24" t="s">
        <v>182</v>
      </c>
      <c r="AE29" s="40">
        <f t="shared" si="10"/>
        <v>0.1502</v>
      </c>
      <c r="AF29" s="31"/>
      <c r="AG29" s="31"/>
      <c r="AH29" s="30" t="s">
        <v>81</v>
      </c>
      <c r="AI29" s="33" t="str">
        <f t="shared" si="11"/>
        <v>Tra_EV_Batt-NCA_virgin</v>
      </c>
      <c r="AJ29" s="24" t="s">
        <v>182</v>
      </c>
      <c r="AK29" s="40">
        <f t="shared" si="12"/>
        <v>0.1611</v>
      </c>
      <c r="AL29" s="31"/>
      <c r="AM29" s="31"/>
      <c r="AN29" s="30" t="s">
        <v>81</v>
      </c>
      <c r="AO29" s="33" t="str">
        <f t="shared" si="13"/>
        <v>Tra_EV_Batt-LMO_virgin</v>
      </c>
      <c r="AP29" s="24" t="s">
        <v>182</v>
      </c>
      <c r="AQ29" s="40">
        <f t="shared" si="14"/>
        <v>0.0572</v>
      </c>
      <c r="AR29" s="27"/>
      <c r="AS29" s="27"/>
      <c r="AT29" s="30" t="s">
        <v>81</v>
      </c>
      <c r="AU29" s="33" t="str">
        <f t="shared" si="15"/>
        <v>Tra_EV_Batt-LFP_virgin</v>
      </c>
      <c r="AV29" s="24" t="s">
        <v>182</v>
      </c>
      <c r="AW29" s="40">
        <f t="shared" si="16"/>
        <v>0.0955</v>
      </c>
    </row>
    <row r="32" ht="14.5" spans="19:49">
      <c r="S32" s="39">
        <f>U73</f>
        <v>72</v>
      </c>
      <c r="Y32" s="39">
        <f>V73</f>
        <v>71.9</v>
      </c>
      <c r="AE32" s="39">
        <f>W73</f>
        <v>73.1</v>
      </c>
      <c r="AK32" s="39">
        <f>X73</f>
        <v>77.6999999999999</v>
      </c>
      <c r="AQ32" s="39">
        <f>Y73</f>
        <v>43.1</v>
      </c>
      <c r="AW32" s="39">
        <f>Z73</f>
        <v>47.8</v>
      </c>
    </row>
    <row r="33" ht="14.5" spans="19:49">
      <c r="S33" s="39">
        <f>U74</f>
        <v>225.2</v>
      </c>
      <c r="Y33" s="39">
        <f>V74</f>
        <v>225.5</v>
      </c>
      <c r="AE33" s="39">
        <f>W74</f>
        <v>219.8</v>
      </c>
      <c r="AK33" s="39">
        <f>X74</f>
        <v>232.2</v>
      </c>
      <c r="AQ33" s="39">
        <f>Y74</f>
        <v>110.8</v>
      </c>
      <c r="AW33" s="39">
        <f>Z74</f>
        <v>189.5</v>
      </c>
    </row>
    <row r="34" ht="14.5" spans="19:49">
      <c r="S34" s="39">
        <f>U75</f>
        <v>532.1</v>
      </c>
      <c r="Y34" s="39">
        <f>V75</f>
        <v>533.9</v>
      </c>
      <c r="AE34" s="39">
        <f>W75</f>
        <v>526.4</v>
      </c>
      <c r="AK34" s="39">
        <f>X75</f>
        <v>570.2</v>
      </c>
      <c r="AQ34" s="39">
        <f>Y75</f>
        <v>385.8</v>
      </c>
      <c r="AW34" s="39">
        <f>Z75</f>
        <v>453</v>
      </c>
    </row>
    <row r="35" ht="14.5" spans="19:49">
      <c r="S35" s="39">
        <f>U76</f>
        <v>134</v>
      </c>
      <c r="Y35" s="39">
        <f>V76</f>
        <v>140.6</v>
      </c>
      <c r="AE35" s="39">
        <f>W76</f>
        <v>150.2</v>
      </c>
      <c r="AK35" s="39">
        <f>X76</f>
        <v>161.1</v>
      </c>
      <c r="AQ35" s="39">
        <f>Y76</f>
        <v>57.2</v>
      </c>
      <c r="AW35" s="39">
        <f>Z76</f>
        <v>95.5</v>
      </c>
    </row>
    <row r="42" ht="14.5" spans="17:26">
      <c r="Q42" s="1" t="s">
        <v>183</v>
      </c>
      <c r="R42" s="1"/>
      <c r="S42" s="1"/>
      <c r="T42" s="1"/>
      <c r="U42" s="1"/>
      <c r="V42" s="1"/>
      <c r="W42" s="1"/>
      <c r="X42" s="1"/>
      <c r="Y42" s="1"/>
      <c r="Z42" s="1"/>
    </row>
    <row r="43" ht="15.5" spans="17:26">
      <c r="Q43" s="41" t="s">
        <v>184</v>
      </c>
      <c r="R43" s="41" t="s">
        <v>185</v>
      </c>
      <c r="S43" s="42" t="s">
        <v>186</v>
      </c>
      <c r="T43" s="42"/>
      <c r="U43" s="42"/>
      <c r="V43" s="42"/>
      <c r="W43" s="42"/>
      <c r="X43" s="42"/>
      <c r="Y43" s="42"/>
      <c r="Z43" s="42"/>
    </row>
    <row r="44" ht="15.5" spans="17:26">
      <c r="Q44" s="41"/>
      <c r="R44" s="41"/>
      <c r="S44" s="42" t="s">
        <v>187</v>
      </c>
      <c r="T44" s="42" t="s">
        <v>188</v>
      </c>
      <c r="U44" s="42" t="s">
        <v>189</v>
      </c>
      <c r="V44" s="42" t="s">
        <v>190</v>
      </c>
      <c r="W44" s="42" t="s">
        <v>191</v>
      </c>
      <c r="X44" s="42" t="s">
        <v>192</v>
      </c>
      <c r="Y44" s="42" t="s">
        <v>193</v>
      </c>
      <c r="Z44" s="42" t="s">
        <v>194</v>
      </c>
    </row>
    <row r="45" ht="15.5" spans="17:26">
      <c r="Q45" s="41" t="s">
        <v>195</v>
      </c>
      <c r="R45" s="43" t="s">
        <v>196</v>
      </c>
      <c r="S45" s="44">
        <v>1211.3</v>
      </c>
      <c r="T45" s="44">
        <v>990.7</v>
      </c>
      <c r="U45" s="44">
        <v>952.4</v>
      </c>
      <c r="V45" s="44">
        <v>961</v>
      </c>
      <c r="W45" s="44">
        <v>958.7</v>
      </c>
      <c r="X45" s="44">
        <v>1030.2</v>
      </c>
      <c r="Y45" s="44">
        <v>586.1</v>
      </c>
      <c r="Z45" s="44">
        <v>775</v>
      </c>
    </row>
    <row r="46" ht="15.5" spans="17:26">
      <c r="Q46" s="41"/>
      <c r="R46" s="43" t="s">
        <v>197</v>
      </c>
      <c r="S46" s="44">
        <v>1103.7</v>
      </c>
      <c r="T46" s="44">
        <v>913.9</v>
      </c>
      <c r="U46" s="44">
        <v>881.1</v>
      </c>
      <c r="V46" s="44">
        <v>889.8</v>
      </c>
      <c r="W46" s="44">
        <v>886.2</v>
      </c>
      <c r="X46" s="44">
        <v>953.2</v>
      </c>
      <c r="Y46" s="44">
        <v>543.7</v>
      </c>
      <c r="Z46" s="44">
        <v>727.8</v>
      </c>
    </row>
    <row r="47" ht="15.5" spans="17:26">
      <c r="Q47" s="41"/>
      <c r="R47" s="43" t="s">
        <v>198</v>
      </c>
      <c r="S47" s="44">
        <v>267.3</v>
      </c>
      <c r="T47" s="44">
        <v>202.6</v>
      </c>
      <c r="U47" s="44">
        <v>191.3</v>
      </c>
      <c r="V47" s="44">
        <v>191.5</v>
      </c>
      <c r="W47" s="44">
        <v>185.9</v>
      </c>
      <c r="X47" s="44">
        <v>198.2</v>
      </c>
      <c r="Y47" s="44">
        <v>76.8</v>
      </c>
      <c r="Z47" s="44">
        <v>155.5</v>
      </c>
    </row>
    <row r="48" ht="15.5" spans="17:26">
      <c r="Q48" s="41"/>
      <c r="R48" s="43" t="s">
        <v>199</v>
      </c>
      <c r="S48" s="44">
        <v>692.5</v>
      </c>
      <c r="T48" s="44">
        <v>583.8</v>
      </c>
      <c r="U48" s="44">
        <v>556.1</v>
      </c>
      <c r="V48" s="44">
        <v>557.9</v>
      </c>
      <c r="W48" s="44">
        <v>550.5</v>
      </c>
      <c r="X48" s="44">
        <v>594.2</v>
      </c>
      <c r="Y48" s="44">
        <v>409.9</v>
      </c>
      <c r="Z48" s="44">
        <v>477</v>
      </c>
    </row>
    <row r="49" ht="15.5" spans="17:26">
      <c r="Q49" s="41"/>
      <c r="R49" s="43" t="s">
        <v>200</v>
      </c>
      <c r="S49" s="44">
        <v>144</v>
      </c>
      <c r="T49" s="44">
        <v>127.5</v>
      </c>
      <c r="U49" s="44">
        <v>133.7</v>
      </c>
      <c r="V49" s="44">
        <v>140.3</v>
      </c>
      <c r="W49" s="44">
        <v>149.9</v>
      </c>
      <c r="X49" s="44">
        <v>160.8</v>
      </c>
      <c r="Y49" s="44">
        <v>57</v>
      </c>
      <c r="Z49" s="44">
        <v>95.2</v>
      </c>
    </row>
    <row r="50" ht="15.5" spans="17:26">
      <c r="Q50" s="41" t="s">
        <v>201</v>
      </c>
      <c r="R50" s="43" t="s">
        <v>196</v>
      </c>
      <c r="S50" s="44">
        <v>1217.1</v>
      </c>
      <c r="T50" s="44">
        <v>996.4</v>
      </c>
      <c r="U50" s="44">
        <v>958.2</v>
      </c>
      <c r="V50" s="44">
        <v>966.8</v>
      </c>
      <c r="W50" s="44">
        <v>964.4</v>
      </c>
      <c r="X50" s="44">
        <v>1036</v>
      </c>
      <c r="Y50" s="44">
        <v>591.9</v>
      </c>
      <c r="Z50" s="44">
        <v>780.8</v>
      </c>
    </row>
    <row r="51" ht="15.5" spans="17:26">
      <c r="Q51" s="41"/>
      <c r="R51" s="43" t="s">
        <v>197</v>
      </c>
      <c r="S51" s="44">
        <v>1109.8</v>
      </c>
      <c r="T51" s="44">
        <v>920</v>
      </c>
      <c r="U51" s="44">
        <v>887.2</v>
      </c>
      <c r="V51" s="44">
        <v>895.9</v>
      </c>
      <c r="W51" s="44">
        <v>892.3</v>
      </c>
      <c r="X51" s="44">
        <v>959.3</v>
      </c>
      <c r="Y51" s="44">
        <v>549.8</v>
      </c>
      <c r="Z51" s="44">
        <v>733.9</v>
      </c>
    </row>
    <row r="52" ht="15.5" spans="17:26">
      <c r="Q52" s="41"/>
      <c r="R52" s="43" t="s">
        <v>198</v>
      </c>
      <c r="S52" s="44">
        <v>280.2</v>
      </c>
      <c r="T52" s="44">
        <v>215.6</v>
      </c>
      <c r="U52" s="44">
        <v>204.2</v>
      </c>
      <c r="V52" s="44">
        <v>204.5</v>
      </c>
      <c r="W52" s="44">
        <v>198.8</v>
      </c>
      <c r="X52" s="44">
        <v>211.1</v>
      </c>
      <c r="Y52" s="44">
        <v>89.8</v>
      </c>
      <c r="Z52" s="44">
        <v>168.5</v>
      </c>
    </row>
    <row r="53" ht="15.5" spans="17:26">
      <c r="Q53" s="41"/>
      <c r="R53" s="43" t="s">
        <v>199</v>
      </c>
      <c r="S53" s="44">
        <v>684.6</v>
      </c>
      <c r="T53" s="44">
        <v>575.9</v>
      </c>
      <c r="U53" s="44">
        <v>548.2</v>
      </c>
      <c r="V53" s="44">
        <v>550</v>
      </c>
      <c r="W53" s="44">
        <v>542.6</v>
      </c>
      <c r="X53" s="44">
        <v>586.3</v>
      </c>
      <c r="Y53" s="44">
        <v>402</v>
      </c>
      <c r="Z53" s="44">
        <v>469.1</v>
      </c>
    </row>
    <row r="54" ht="15.5" spans="17:26">
      <c r="Q54" s="41"/>
      <c r="R54" s="43" t="s">
        <v>200</v>
      </c>
      <c r="S54" s="44">
        <v>145</v>
      </c>
      <c r="T54" s="44">
        <v>128.5</v>
      </c>
      <c r="U54" s="44">
        <v>134.7</v>
      </c>
      <c r="V54" s="44">
        <v>141.3</v>
      </c>
      <c r="W54" s="44">
        <v>150.9</v>
      </c>
      <c r="X54" s="44">
        <v>161.9</v>
      </c>
      <c r="Y54" s="44">
        <v>58</v>
      </c>
      <c r="Z54" s="44">
        <v>96.3</v>
      </c>
    </row>
    <row r="55" ht="15.5" spans="17:26">
      <c r="Q55" s="41" t="s">
        <v>11</v>
      </c>
      <c r="R55" s="43" t="s">
        <v>196</v>
      </c>
      <c r="S55" s="44">
        <v>1222.2</v>
      </c>
      <c r="T55" s="44">
        <v>1001.5</v>
      </c>
      <c r="U55" s="44">
        <v>963.3</v>
      </c>
      <c r="V55" s="44">
        <v>971.9</v>
      </c>
      <c r="W55" s="44">
        <v>969.5</v>
      </c>
      <c r="X55" s="44">
        <v>1041.1</v>
      </c>
      <c r="Y55" s="44">
        <v>597</v>
      </c>
      <c r="Z55" s="44">
        <v>785.8</v>
      </c>
    </row>
    <row r="56" ht="15.5" spans="17:26">
      <c r="Q56" s="41"/>
      <c r="R56" s="43" t="s">
        <v>197</v>
      </c>
      <c r="S56" s="44">
        <v>1113.9</v>
      </c>
      <c r="T56" s="44">
        <v>924.1</v>
      </c>
      <c r="U56" s="44">
        <v>891.3</v>
      </c>
      <c r="V56" s="44">
        <v>900</v>
      </c>
      <c r="W56" s="44">
        <v>896.4</v>
      </c>
      <c r="X56" s="44">
        <v>963.4</v>
      </c>
      <c r="Y56" s="44">
        <v>553.9</v>
      </c>
      <c r="Z56" s="44">
        <v>738</v>
      </c>
    </row>
    <row r="57" ht="15.5" spans="17:26">
      <c r="Q57" s="41"/>
      <c r="R57" s="43" t="s">
        <v>198</v>
      </c>
      <c r="S57" s="44">
        <v>301.2</v>
      </c>
      <c r="T57" s="44">
        <v>236.6</v>
      </c>
      <c r="U57" s="44">
        <v>225.2</v>
      </c>
      <c r="V57" s="44">
        <v>225.5</v>
      </c>
      <c r="W57" s="44">
        <v>219.8</v>
      </c>
      <c r="X57" s="44">
        <v>232.2</v>
      </c>
      <c r="Y57" s="44">
        <v>110.8</v>
      </c>
      <c r="Z57" s="44">
        <v>189.5</v>
      </c>
    </row>
    <row r="58" ht="15.5" spans="17:26">
      <c r="Q58" s="41"/>
      <c r="R58" s="43" t="s">
        <v>199</v>
      </c>
      <c r="S58" s="44">
        <v>668.4</v>
      </c>
      <c r="T58" s="44">
        <v>559.8</v>
      </c>
      <c r="U58" s="44">
        <v>532.1</v>
      </c>
      <c r="V58" s="44">
        <v>533.9</v>
      </c>
      <c r="W58" s="44">
        <v>526.4</v>
      </c>
      <c r="X58" s="44">
        <v>570.2</v>
      </c>
      <c r="Y58" s="44">
        <v>385.8</v>
      </c>
      <c r="Z58" s="44">
        <v>453</v>
      </c>
    </row>
    <row r="59" ht="15.5" spans="17:26">
      <c r="Q59" s="41"/>
      <c r="R59" s="43" t="s">
        <v>200</v>
      </c>
      <c r="S59" s="44">
        <v>144.2</v>
      </c>
      <c r="T59" s="44">
        <v>127.7</v>
      </c>
      <c r="U59" s="44">
        <v>134</v>
      </c>
      <c r="V59" s="44">
        <v>140.6</v>
      </c>
      <c r="W59" s="44">
        <v>150.2</v>
      </c>
      <c r="X59" s="44">
        <v>161.1</v>
      </c>
      <c r="Y59" s="44">
        <v>57.2</v>
      </c>
      <c r="Z59" s="44">
        <v>95.5</v>
      </c>
    </row>
    <row r="60" ht="15.5" spans="17:26">
      <c r="Q60" s="42"/>
      <c r="R60" s="42"/>
      <c r="S60" s="44"/>
      <c r="T60" s="44"/>
      <c r="U60" s="44"/>
      <c r="V60" s="44"/>
      <c r="W60" s="44"/>
      <c r="X60" s="44"/>
      <c r="Y60" s="44"/>
      <c r="Z60" s="44"/>
    </row>
    <row r="61" ht="15.5" spans="17:26">
      <c r="Q61" s="42" t="s">
        <v>202</v>
      </c>
      <c r="R61" s="42"/>
      <c r="S61" s="42"/>
      <c r="T61" s="42"/>
      <c r="U61" s="42"/>
      <c r="V61" s="42"/>
      <c r="W61" s="42"/>
      <c r="X61" s="42"/>
      <c r="Y61" s="42"/>
      <c r="Z61" s="42"/>
    </row>
    <row r="62" ht="14.5" spans="17:26"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5" spans="17:26"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5" spans="17:26">
      <c r="Q64" s="1"/>
      <c r="R64" s="1"/>
      <c r="S64" s="42" t="s">
        <v>187</v>
      </c>
      <c r="T64" s="42" t="s">
        <v>188</v>
      </c>
      <c r="U64" s="42" t="s">
        <v>189</v>
      </c>
      <c r="V64" s="42" t="s">
        <v>190</v>
      </c>
      <c r="W64" s="42" t="s">
        <v>191</v>
      </c>
      <c r="X64" s="42" t="s">
        <v>192</v>
      </c>
      <c r="Y64" s="42" t="s">
        <v>193</v>
      </c>
      <c r="Z64" s="42" t="s">
        <v>194</v>
      </c>
    </row>
    <row r="65" ht="14.5" spans="17:26">
      <c r="Q65" s="45" t="s">
        <v>195</v>
      </c>
      <c r="R65" s="45" t="s">
        <v>60</v>
      </c>
      <c r="S65" s="46">
        <f t="shared" ref="S65:Z65" si="17">S45-S46</f>
        <v>107.6</v>
      </c>
      <c r="T65" s="47">
        <f t="shared" si="17"/>
        <v>76.8000000000001</v>
      </c>
      <c r="U65" s="47">
        <f t="shared" si="17"/>
        <v>71.3</v>
      </c>
      <c r="V65" s="47">
        <f t="shared" si="17"/>
        <v>71.2</v>
      </c>
      <c r="W65" s="47">
        <f t="shared" si="17"/>
        <v>72.5</v>
      </c>
      <c r="X65" s="47">
        <f t="shared" si="17"/>
        <v>77</v>
      </c>
      <c r="Y65" s="47">
        <f t="shared" si="17"/>
        <v>42.4</v>
      </c>
      <c r="Z65" s="47">
        <f t="shared" si="17"/>
        <v>47.2</v>
      </c>
    </row>
    <row r="66" ht="15.5" spans="17:26">
      <c r="Q66" s="45"/>
      <c r="R66" s="48" t="s">
        <v>198</v>
      </c>
      <c r="S66" s="46">
        <f t="shared" ref="S66:Z66" si="18">S47</f>
        <v>267.3</v>
      </c>
      <c r="T66" s="47">
        <f t="shared" si="18"/>
        <v>202.6</v>
      </c>
      <c r="U66" s="47">
        <f t="shared" si="18"/>
        <v>191.3</v>
      </c>
      <c r="V66" s="47">
        <f t="shared" si="18"/>
        <v>191.5</v>
      </c>
      <c r="W66" s="47">
        <f t="shared" si="18"/>
        <v>185.9</v>
      </c>
      <c r="X66" s="47">
        <f t="shared" si="18"/>
        <v>198.2</v>
      </c>
      <c r="Y66" s="47">
        <f t="shared" si="18"/>
        <v>76.8</v>
      </c>
      <c r="Z66" s="47">
        <f t="shared" si="18"/>
        <v>155.5</v>
      </c>
    </row>
    <row r="67" ht="15.5" spans="17:26">
      <c r="Q67" s="45"/>
      <c r="R67" s="48" t="s">
        <v>199</v>
      </c>
      <c r="S67" s="46">
        <f t="shared" ref="S67:Z67" si="19">S48</f>
        <v>692.5</v>
      </c>
      <c r="T67" s="47">
        <f t="shared" si="19"/>
        <v>583.8</v>
      </c>
      <c r="U67" s="47">
        <f t="shared" si="19"/>
        <v>556.1</v>
      </c>
      <c r="V67" s="47">
        <f t="shared" si="19"/>
        <v>557.9</v>
      </c>
      <c r="W67" s="47">
        <f t="shared" si="19"/>
        <v>550.5</v>
      </c>
      <c r="X67" s="47">
        <f t="shared" si="19"/>
        <v>594.2</v>
      </c>
      <c r="Y67" s="47">
        <f t="shared" si="19"/>
        <v>409.9</v>
      </c>
      <c r="Z67" s="47">
        <f t="shared" si="19"/>
        <v>477</v>
      </c>
    </row>
    <row r="68" ht="15.5" spans="17:26">
      <c r="Q68" s="45"/>
      <c r="R68" s="48" t="s">
        <v>200</v>
      </c>
      <c r="S68" s="46">
        <f t="shared" ref="S68:Z68" si="20">S49</f>
        <v>144</v>
      </c>
      <c r="T68" s="47">
        <f t="shared" si="20"/>
        <v>127.5</v>
      </c>
      <c r="U68" s="47">
        <f t="shared" si="20"/>
        <v>133.7</v>
      </c>
      <c r="V68" s="47">
        <f t="shared" si="20"/>
        <v>140.3</v>
      </c>
      <c r="W68" s="47">
        <f t="shared" si="20"/>
        <v>149.9</v>
      </c>
      <c r="X68" s="47">
        <f t="shared" si="20"/>
        <v>160.8</v>
      </c>
      <c r="Y68" s="47">
        <f t="shared" si="20"/>
        <v>57</v>
      </c>
      <c r="Z68" s="47">
        <f t="shared" si="20"/>
        <v>95.2</v>
      </c>
    </row>
    <row r="69" ht="14.5" spans="17:26">
      <c r="Q69" s="45" t="s">
        <v>201</v>
      </c>
      <c r="R69" s="45" t="s">
        <v>60</v>
      </c>
      <c r="S69" s="46">
        <f t="shared" ref="S69:Z69" si="21">S50-S51</f>
        <v>107.3</v>
      </c>
      <c r="T69" s="47">
        <f t="shared" si="21"/>
        <v>76.4</v>
      </c>
      <c r="U69" s="47">
        <f t="shared" si="21"/>
        <v>71</v>
      </c>
      <c r="V69" s="47">
        <f t="shared" si="21"/>
        <v>70.9</v>
      </c>
      <c r="W69" s="47">
        <f t="shared" si="21"/>
        <v>72.1</v>
      </c>
      <c r="X69" s="47">
        <f t="shared" si="21"/>
        <v>76.7</v>
      </c>
      <c r="Y69" s="47">
        <f t="shared" si="21"/>
        <v>42.1</v>
      </c>
      <c r="Z69" s="47">
        <f t="shared" si="21"/>
        <v>46.9</v>
      </c>
    </row>
    <row r="70" ht="15.5" spans="17:26">
      <c r="Q70" s="45"/>
      <c r="R70" s="48" t="s">
        <v>198</v>
      </c>
      <c r="S70" s="46">
        <f t="shared" ref="S70:Z70" si="22">S52</f>
        <v>280.2</v>
      </c>
      <c r="T70" s="47">
        <f t="shared" si="22"/>
        <v>215.6</v>
      </c>
      <c r="U70" s="47">
        <f t="shared" si="22"/>
        <v>204.2</v>
      </c>
      <c r="V70" s="47">
        <f t="shared" si="22"/>
        <v>204.5</v>
      </c>
      <c r="W70" s="47">
        <f t="shared" si="22"/>
        <v>198.8</v>
      </c>
      <c r="X70" s="47">
        <f t="shared" si="22"/>
        <v>211.1</v>
      </c>
      <c r="Y70" s="47">
        <f t="shared" si="22"/>
        <v>89.8</v>
      </c>
      <c r="Z70" s="47">
        <f t="shared" si="22"/>
        <v>168.5</v>
      </c>
    </row>
    <row r="71" ht="15.5" spans="17:26">
      <c r="Q71" s="45"/>
      <c r="R71" s="48" t="s">
        <v>199</v>
      </c>
      <c r="S71" s="46">
        <f t="shared" ref="S71:Z71" si="23">S53</f>
        <v>684.6</v>
      </c>
      <c r="T71" s="47">
        <f t="shared" si="23"/>
        <v>575.9</v>
      </c>
      <c r="U71" s="47">
        <f t="shared" si="23"/>
        <v>548.2</v>
      </c>
      <c r="V71" s="47">
        <f t="shared" si="23"/>
        <v>550</v>
      </c>
      <c r="W71" s="47">
        <f t="shared" si="23"/>
        <v>542.6</v>
      </c>
      <c r="X71" s="47">
        <f t="shared" si="23"/>
        <v>586.3</v>
      </c>
      <c r="Y71" s="47">
        <f t="shared" si="23"/>
        <v>402</v>
      </c>
      <c r="Z71" s="47">
        <f t="shared" si="23"/>
        <v>469.1</v>
      </c>
    </row>
    <row r="72" ht="15.5" spans="17:26">
      <c r="Q72" s="45"/>
      <c r="R72" s="48" t="s">
        <v>200</v>
      </c>
      <c r="S72" s="46">
        <f t="shared" ref="S72:Z72" si="24">S54</f>
        <v>145</v>
      </c>
      <c r="T72" s="47">
        <f t="shared" si="24"/>
        <v>128.5</v>
      </c>
      <c r="U72" s="47">
        <f t="shared" si="24"/>
        <v>134.7</v>
      </c>
      <c r="V72" s="47">
        <f t="shared" si="24"/>
        <v>141.3</v>
      </c>
      <c r="W72" s="47">
        <f t="shared" si="24"/>
        <v>150.9</v>
      </c>
      <c r="X72" s="47">
        <f t="shared" si="24"/>
        <v>161.9</v>
      </c>
      <c r="Y72" s="47">
        <f t="shared" si="24"/>
        <v>58</v>
      </c>
      <c r="Z72" s="47">
        <f t="shared" si="24"/>
        <v>96.3</v>
      </c>
    </row>
    <row r="73" ht="14.5" spans="17:26">
      <c r="Q73" s="45" t="s">
        <v>11</v>
      </c>
      <c r="R73" s="45" t="s">
        <v>60</v>
      </c>
      <c r="S73" s="46">
        <f t="shared" ref="S73:Z73" si="25">S55-S56</f>
        <v>108.3</v>
      </c>
      <c r="T73" s="47">
        <f t="shared" si="25"/>
        <v>77.4</v>
      </c>
      <c r="U73" s="47">
        <f t="shared" si="25"/>
        <v>72</v>
      </c>
      <c r="V73" s="47">
        <f t="shared" si="25"/>
        <v>71.9</v>
      </c>
      <c r="W73" s="47">
        <f t="shared" si="25"/>
        <v>73.1</v>
      </c>
      <c r="X73" s="47">
        <f t="shared" si="25"/>
        <v>77.6999999999999</v>
      </c>
      <c r="Y73" s="47">
        <f t="shared" si="25"/>
        <v>43.1</v>
      </c>
      <c r="Z73" s="47">
        <f t="shared" si="25"/>
        <v>47.8</v>
      </c>
    </row>
    <row r="74" ht="15.5" spans="17:26">
      <c r="Q74" s="45"/>
      <c r="R74" s="48" t="s">
        <v>198</v>
      </c>
      <c r="S74" s="46">
        <f t="shared" ref="S74:Z74" si="26">S57</f>
        <v>301.2</v>
      </c>
      <c r="T74" s="47">
        <f t="shared" si="26"/>
        <v>236.6</v>
      </c>
      <c r="U74" s="47">
        <f t="shared" si="26"/>
        <v>225.2</v>
      </c>
      <c r="V74" s="47">
        <f t="shared" si="26"/>
        <v>225.5</v>
      </c>
      <c r="W74" s="47">
        <f t="shared" si="26"/>
        <v>219.8</v>
      </c>
      <c r="X74" s="47">
        <f t="shared" si="26"/>
        <v>232.2</v>
      </c>
      <c r="Y74" s="47">
        <f t="shared" si="26"/>
        <v>110.8</v>
      </c>
      <c r="Z74" s="47">
        <f t="shared" si="26"/>
        <v>189.5</v>
      </c>
    </row>
    <row r="75" ht="15.5" spans="17:26">
      <c r="Q75" s="45"/>
      <c r="R75" s="48" t="s">
        <v>199</v>
      </c>
      <c r="S75" s="46">
        <f t="shared" ref="S75:Z75" si="27">S58</f>
        <v>668.4</v>
      </c>
      <c r="T75" s="47">
        <f t="shared" si="27"/>
        <v>559.8</v>
      </c>
      <c r="U75" s="47">
        <f t="shared" si="27"/>
        <v>532.1</v>
      </c>
      <c r="V75" s="47">
        <f t="shared" si="27"/>
        <v>533.9</v>
      </c>
      <c r="W75" s="47">
        <f t="shared" si="27"/>
        <v>526.4</v>
      </c>
      <c r="X75" s="47">
        <f t="shared" si="27"/>
        <v>570.2</v>
      </c>
      <c r="Y75" s="47">
        <f t="shared" si="27"/>
        <v>385.8</v>
      </c>
      <c r="Z75" s="47">
        <f t="shared" si="27"/>
        <v>453</v>
      </c>
    </row>
    <row r="76" ht="15.5" spans="17:26">
      <c r="Q76" s="45"/>
      <c r="R76" s="48" t="s">
        <v>200</v>
      </c>
      <c r="S76" s="46">
        <f t="shared" ref="S76:Z76" si="28">S59</f>
        <v>144.2</v>
      </c>
      <c r="T76" s="47">
        <f t="shared" si="28"/>
        <v>127.7</v>
      </c>
      <c r="U76" s="47">
        <f t="shared" si="28"/>
        <v>134</v>
      </c>
      <c r="V76" s="47">
        <f t="shared" si="28"/>
        <v>140.6</v>
      </c>
      <c r="W76" s="47">
        <f t="shared" si="28"/>
        <v>150.2</v>
      </c>
      <c r="X76" s="47">
        <f t="shared" si="28"/>
        <v>161.1</v>
      </c>
      <c r="Y76" s="47">
        <f t="shared" si="28"/>
        <v>57.2</v>
      </c>
      <c r="Z76" s="47">
        <f t="shared" si="28"/>
        <v>95.5</v>
      </c>
    </row>
    <row r="77" ht="14.5" spans="17:26"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5" spans="17:26"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5" spans="17:26">
      <c r="Q79" s="45" t="s">
        <v>203</v>
      </c>
      <c r="R79" s="45" t="s">
        <v>60</v>
      </c>
      <c r="S79" s="49">
        <f t="shared" ref="S79:Z79" si="29">AVERAGE(S65,S69,S73)</f>
        <v>107.733333333333</v>
      </c>
      <c r="T79" s="1">
        <f t="shared" si="29"/>
        <v>76.8666666666667</v>
      </c>
      <c r="U79" s="1">
        <f t="shared" si="29"/>
        <v>71.4333333333333</v>
      </c>
      <c r="V79" s="1">
        <f t="shared" si="29"/>
        <v>71.3333333333333</v>
      </c>
      <c r="W79" s="1">
        <f t="shared" si="29"/>
        <v>72.5666666666667</v>
      </c>
      <c r="X79" s="1">
        <f t="shared" si="29"/>
        <v>77.1333333333333</v>
      </c>
      <c r="Y79" s="1">
        <f t="shared" si="29"/>
        <v>42.5333333333333</v>
      </c>
      <c r="Z79" s="1">
        <f t="shared" si="29"/>
        <v>47.3</v>
      </c>
    </row>
    <row r="80" ht="15.5" spans="17:26">
      <c r="Q80" s="45"/>
      <c r="R80" s="48" t="s">
        <v>198</v>
      </c>
      <c r="S80" s="49">
        <f t="shared" ref="S80:Z80" si="30">AVERAGE(S66,S70,S74)</f>
        <v>282.9</v>
      </c>
      <c r="T80" s="1">
        <f t="shared" si="30"/>
        <v>218.266666666667</v>
      </c>
      <c r="U80" s="1">
        <f t="shared" si="30"/>
        <v>206.9</v>
      </c>
      <c r="V80" s="1">
        <f t="shared" si="30"/>
        <v>207.166666666667</v>
      </c>
      <c r="W80" s="1">
        <f t="shared" si="30"/>
        <v>201.5</v>
      </c>
      <c r="X80" s="1">
        <f t="shared" si="30"/>
        <v>213.833333333333</v>
      </c>
      <c r="Y80" s="1">
        <f t="shared" si="30"/>
        <v>92.4666666666667</v>
      </c>
      <c r="Z80" s="1">
        <f t="shared" si="30"/>
        <v>171.166666666667</v>
      </c>
    </row>
    <row r="81" ht="15.5" spans="17:26">
      <c r="Q81" s="45"/>
      <c r="R81" s="48" t="s">
        <v>199</v>
      </c>
      <c r="S81" s="49">
        <f t="shared" ref="S81:Z81" si="31">AVERAGE(S67,S71,S75)</f>
        <v>681.833333333333</v>
      </c>
      <c r="T81" s="1">
        <f t="shared" si="31"/>
        <v>573.166666666667</v>
      </c>
      <c r="U81" s="1">
        <f t="shared" si="31"/>
        <v>545.466666666667</v>
      </c>
      <c r="V81" s="1">
        <f t="shared" si="31"/>
        <v>547.266666666667</v>
      </c>
      <c r="W81" s="1">
        <f t="shared" si="31"/>
        <v>539.833333333333</v>
      </c>
      <c r="X81" s="1">
        <f t="shared" si="31"/>
        <v>583.566666666667</v>
      </c>
      <c r="Y81" s="1">
        <f t="shared" si="31"/>
        <v>399.233333333333</v>
      </c>
      <c r="Z81" s="1">
        <f t="shared" si="31"/>
        <v>466.366666666667</v>
      </c>
    </row>
    <row r="82" ht="15.5" spans="17:26">
      <c r="Q82" s="45"/>
      <c r="R82" s="48" t="s">
        <v>200</v>
      </c>
      <c r="S82" s="49">
        <f t="shared" ref="S82:Z82" si="32">AVERAGE(S68,S72,S76)</f>
        <v>144.4</v>
      </c>
      <c r="T82" s="1">
        <f t="shared" si="32"/>
        <v>127.9</v>
      </c>
      <c r="U82" s="1">
        <f t="shared" si="32"/>
        <v>134.133333333333</v>
      </c>
      <c r="V82" s="1">
        <f t="shared" si="32"/>
        <v>140.733333333333</v>
      </c>
      <c r="W82" s="1">
        <f t="shared" si="32"/>
        <v>150.333333333333</v>
      </c>
      <c r="X82" s="1">
        <f t="shared" si="32"/>
        <v>161.266666666667</v>
      </c>
      <c r="Y82" s="1">
        <f t="shared" si="32"/>
        <v>57.4</v>
      </c>
      <c r="Z82" s="1">
        <f t="shared" si="32"/>
        <v>95.6666666666667</v>
      </c>
    </row>
  </sheetData>
  <mergeCells count="9">
    <mergeCell ref="Q43:Q44"/>
    <mergeCell ref="Q45:Q49"/>
    <mergeCell ref="Q50:Q54"/>
    <mergeCell ref="Q55:Q59"/>
    <mergeCell ref="Q65:Q68"/>
    <mergeCell ref="Q69:Q72"/>
    <mergeCell ref="Q73:Q76"/>
    <mergeCell ref="Q79:Q82"/>
    <mergeCell ref="R43:R4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</sheetPr>
  <dimension ref="A1:BO188"/>
  <sheetViews>
    <sheetView zoomScale="65" zoomScaleNormal="65" topLeftCell="AQ151" workbookViewId="0">
      <selection activeCell="AA168" sqref="AA168"/>
    </sheetView>
  </sheetViews>
  <sheetFormatPr defaultColWidth="8.72727272727273" defaultRowHeight="14.5"/>
  <cols>
    <col min="1" max="1" width="8.72727272727273" style="1"/>
    <col min="2" max="2" width="43.8181818181818" style="1" customWidth="1"/>
    <col min="3" max="20" width="8.72727272727273" style="1"/>
    <col min="21" max="21" width="19.2727272727273" style="1" customWidth="1"/>
    <col min="22" max="22" width="25.5454545454545" style="1" customWidth="1"/>
    <col min="23" max="23" width="19.9545454545455" style="1" customWidth="1"/>
    <col min="24" max="29" width="15.2727272727273" style="1"/>
    <col min="30" max="30" width="8.72727272727273" style="1"/>
    <col min="31" max="31" width="14" style="1"/>
    <col min="32" max="38" width="15.2727272727273" style="1"/>
    <col min="39" max="39" width="14" style="1"/>
    <col min="40" max="40" width="8.72727272727273" style="1"/>
    <col min="41" max="47" width="15.2727272727273" style="1"/>
    <col min="48" max="48" width="8.72727272727273" style="1"/>
    <col min="49" max="49" width="14" style="1"/>
    <col min="50" max="67" width="8.72727272727273" style="1"/>
  </cols>
  <sheetData>
    <row r="1" ht="15.5" spans="1:67">
      <c r="A1" s="2" t="s">
        <v>204</v>
      </c>
      <c r="B1" s="2"/>
      <c r="C1" s="2"/>
      <c r="D1" s="2"/>
      <c r="E1" s="2"/>
      <c r="F1" s="2"/>
      <c r="G1" s="2"/>
      <c r="H1" s="2"/>
      <c r="I1" s="2"/>
      <c r="J1" s="2"/>
      <c r="K1" s="4"/>
      <c r="L1" s="4" t="s">
        <v>205</v>
      </c>
      <c r="M1" s="4"/>
      <c r="N1" s="4"/>
      <c r="O1" s="4"/>
      <c r="P1" s="4"/>
      <c r="Q1" s="4"/>
      <c r="R1" s="4"/>
      <c r="S1" s="4"/>
      <c r="T1" s="4"/>
      <c r="U1" s="4"/>
      <c r="V1" s="4"/>
      <c r="W1" s="4" t="s">
        <v>206</v>
      </c>
      <c r="X1" s="4"/>
      <c r="Y1" s="4"/>
      <c r="Z1" s="4"/>
      <c r="AA1" s="4"/>
      <c r="AB1" s="13" t="s">
        <v>207</v>
      </c>
      <c r="AC1" s="13"/>
      <c r="AD1" s="4"/>
      <c r="AE1" s="4"/>
      <c r="AF1" s="4" t="s">
        <v>208</v>
      </c>
      <c r="AG1" s="4"/>
      <c r="AH1" s="4"/>
      <c r="AI1" s="4"/>
      <c r="AJ1" s="4"/>
      <c r="AK1" s="4"/>
      <c r="AL1" s="4"/>
      <c r="AM1" s="4"/>
      <c r="AN1" s="4"/>
      <c r="AO1" s="4" t="s">
        <v>209</v>
      </c>
      <c r="AP1" s="4"/>
      <c r="AQ1" s="4"/>
      <c r="AR1" s="4"/>
      <c r="AS1" s="4"/>
      <c r="AT1" s="4"/>
      <c r="AU1" s="4"/>
      <c r="AZ1" s="2" t="s">
        <v>204</v>
      </c>
      <c r="BA1" s="2"/>
      <c r="BB1" s="2"/>
      <c r="BC1" s="2"/>
      <c r="BD1" s="2"/>
      <c r="BE1" s="2"/>
      <c r="BF1" s="2"/>
      <c r="BG1" s="2"/>
      <c r="BH1" s="2"/>
      <c r="BI1" s="2"/>
      <c r="BJ1" s="4"/>
      <c r="BK1" s="4"/>
      <c r="BL1" s="4"/>
      <c r="BM1" s="4"/>
      <c r="BN1" s="4"/>
      <c r="BO1" s="4"/>
    </row>
    <row r="2" ht="30" spans="1:67">
      <c r="A2" s="2" t="s">
        <v>184</v>
      </c>
      <c r="B2" s="2" t="s">
        <v>210</v>
      </c>
      <c r="C2" s="2" t="s">
        <v>186</v>
      </c>
      <c r="D2" s="2"/>
      <c r="E2" s="2"/>
      <c r="F2" s="2"/>
      <c r="G2" s="2"/>
      <c r="H2" s="2"/>
      <c r="I2" s="2"/>
      <c r="J2" s="2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" t="s">
        <v>211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Z2" s="2" t="s">
        <v>184</v>
      </c>
      <c r="BA2" s="2" t="s">
        <v>210</v>
      </c>
      <c r="BB2" s="2" t="s">
        <v>186</v>
      </c>
      <c r="BC2" s="2"/>
      <c r="BD2" s="2"/>
      <c r="BE2" s="2"/>
      <c r="BF2" s="2"/>
      <c r="BG2" s="2"/>
      <c r="BH2" s="2"/>
      <c r="BI2" s="2"/>
      <c r="BJ2" s="4"/>
      <c r="BK2" s="4"/>
      <c r="BL2" s="4"/>
      <c r="BM2" s="4"/>
      <c r="BN2" s="4"/>
      <c r="BO2" s="4"/>
    </row>
    <row r="3" ht="30" spans="1:67">
      <c r="A3" s="2"/>
      <c r="B3" s="2"/>
      <c r="C3" s="3" t="s">
        <v>187</v>
      </c>
      <c r="D3" s="4" t="s">
        <v>188</v>
      </c>
      <c r="E3" s="4" t="s">
        <v>189</v>
      </c>
      <c r="F3" s="5" t="s">
        <v>190</v>
      </c>
      <c r="G3" s="4" t="s">
        <v>191</v>
      </c>
      <c r="H3" s="4" t="s">
        <v>192</v>
      </c>
      <c r="I3" s="4" t="s">
        <v>193</v>
      </c>
      <c r="J3" s="4" t="s">
        <v>194</v>
      </c>
      <c r="K3" s="4"/>
      <c r="L3" s="8" t="s">
        <v>187</v>
      </c>
      <c r="M3" s="4" t="s">
        <v>188</v>
      </c>
      <c r="N3" s="4" t="s">
        <v>189</v>
      </c>
      <c r="O3" s="4" t="s">
        <v>190</v>
      </c>
      <c r="P3" s="4" t="s">
        <v>191</v>
      </c>
      <c r="Q3" s="4" t="s">
        <v>192</v>
      </c>
      <c r="R3" s="4" t="s">
        <v>193</v>
      </c>
      <c r="S3" s="4" t="s">
        <v>194</v>
      </c>
      <c r="T3" s="4"/>
      <c r="U3" s="4"/>
      <c r="V3" s="11" t="s">
        <v>212</v>
      </c>
      <c r="W3" s="4" t="s">
        <v>188</v>
      </c>
      <c r="X3" s="4" t="s">
        <v>189</v>
      </c>
      <c r="Y3" s="5" t="s">
        <v>190</v>
      </c>
      <c r="Z3" s="4" t="s">
        <v>191</v>
      </c>
      <c r="AA3" s="4" t="s">
        <v>192</v>
      </c>
      <c r="AB3" s="14" t="s">
        <v>193</v>
      </c>
      <c r="AC3" s="14" t="s">
        <v>194</v>
      </c>
      <c r="AD3" s="4"/>
      <c r="AE3" s="4"/>
      <c r="AF3" s="4" t="s">
        <v>188</v>
      </c>
      <c r="AG3" s="4" t="s">
        <v>189</v>
      </c>
      <c r="AH3" s="5" t="s">
        <v>190</v>
      </c>
      <c r="AI3" s="4" t="s">
        <v>191</v>
      </c>
      <c r="AJ3" s="4" t="s">
        <v>192</v>
      </c>
      <c r="AK3" s="14" t="s">
        <v>193</v>
      </c>
      <c r="AL3" s="14" t="s">
        <v>194</v>
      </c>
      <c r="AM3" s="4"/>
      <c r="AN3" s="4"/>
      <c r="AO3" s="4" t="s">
        <v>188</v>
      </c>
      <c r="AP3" s="4" t="s">
        <v>189</v>
      </c>
      <c r="AQ3" s="5" t="s">
        <v>190</v>
      </c>
      <c r="AR3" s="4" t="s">
        <v>191</v>
      </c>
      <c r="AS3" s="4" t="s">
        <v>192</v>
      </c>
      <c r="AT3" s="14" t="s">
        <v>193</v>
      </c>
      <c r="AU3" s="14" t="s">
        <v>194</v>
      </c>
      <c r="AZ3" s="2"/>
      <c r="BA3" s="2"/>
      <c r="BB3" s="3" t="s">
        <v>187</v>
      </c>
      <c r="BC3" s="4" t="s">
        <v>188</v>
      </c>
      <c r="BD3" s="4" t="s">
        <v>189</v>
      </c>
      <c r="BE3" s="5" t="s">
        <v>190</v>
      </c>
      <c r="BF3" s="4" t="s">
        <v>191</v>
      </c>
      <c r="BG3" s="4" t="s">
        <v>192</v>
      </c>
      <c r="BH3" s="4" t="s">
        <v>193</v>
      </c>
      <c r="BI3" s="4" t="s">
        <v>194</v>
      </c>
      <c r="BJ3" s="4"/>
      <c r="BK3" s="8"/>
      <c r="BL3" s="4"/>
      <c r="BM3" s="4"/>
      <c r="BN3" s="4"/>
      <c r="BO3" s="4"/>
    </row>
    <row r="4" ht="15.5" spans="1:67">
      <c r="A4" s="2" t="s">
        <v>195</v>
      </c>
      <c r="B4" s="6" t="s">
        <v>196</v>
      </c>
      <c r="C4" s="7">
        <f t="shared" ref="C4:J4" si="0">BB4/1000</f>
        <v>0.8374</v>
      </c>
      <c r="D4" s="7">
        <f t="shared" si="0"/>
        <v>0.8081</v>
      </c>
      <c r="E4" s="7">
        <f t="shared" si="0"/>
        <v>0.7705</v>
      </c>
      <c r="F4" s="7">
        <f t="shared" si="0"/>
        <v>0.76</v>
      </c>
      <c r="G4" s="7">
        <f t="shared" si="0"/>
        <v>0.7551</v>
      </c>
      <c r="H4" s="7">
        <f t="shared" si="0"/>
        <v>0.796</v>
      </c>
      <c r="I4" s="7">
        <f t="shared" si="0"/>
        <v>0.76</v>
      </c>
      <c r="J4" s="7">
        <f t="shared" si="0"/>
        <v>0.76</v>
      </c>
      <c r="K4" s="4"/>
      <c r="L4" s="8"/>
      <c r="M4" s="9">
        <v>5.937</v>
      </c>
      <c r="N4" s="9">
        <v>5.845</v>
      </c>
      <c r="O4" s="9">
        <v>5.575</v>
      </c>
      <c r="P4" s="9">
        <v>5.276</v>
      </c>
      <c r="Q4" s="9">
        <v>5.363</v>
      </c>
      <c r="R4" s="9">
        <v>6.645</v>
      </c>
      <c r="S4" s="9">
        <v>5.654</v>
      </c>
      <c r="T4" s="9"/>
      <c r="U4" s="2" t="s">
        <v>195</v>
      </c>
      <c r="V4" s="6" t="s">
        <v>196</v>
      </c>
      <c r="W4" s="12">
        <f t="shared" ref="W4:AC4" si="1">D4/M4</f>
        <v>0.136112514738083</v>
      </c>
      <c r="X4" s="12">
        <f t="shared" si="1"/>
        <v>0.131822070145423</v>
      </c>
      <c r="Y4" s="12">
        <f t="shared" si="1"/>
        <v>0.136322869955157</v>
      </c>
      <c r="Z4" s="12">
        <f t="shared" si="1"/>
        <v>0.143119787717968</v>
      </c>
      <c r="AA4" s="12">
        <f t="shared" si="1"/>
        <v>0.148424389334328</v>
      </c>
      <c r="AB4" s="15">
        <f t="shared" si="1"/>
        <v>0.114371708051166</v>
      </c>
      <c r="AC4" s="15">
        <f t="shared" si="1"/>
        <v>0.134418111071808</v>
      </c>
      <c r="AD4" s="4"/>
      <c r="AE4" s="4"/>
      <c r="AF4" s="12">
        <f t="shared" ref="AF4:AJ4" si="2">W4</f>
        <v>0.136112514738083</v>
      </c>
      <c r="AG4" s="12">
        <f t="shared" si="2"/>
        <v>0.131822070145423</v>
      </c>
      <c r="AH4" s="12">
        <f t="shared" si="2"/>
        <v>0.136322869955157</v>
      </c>
      <c r="AI4" s="12">
        <f t="shared" si="2"/>
        <v>0.143119787717968</v>
      </c>
      <c r="AJ4" s="12">
        <f t="shared" si="2"/>
        <v>0.148424389334328</v>
      </c>
      <c r="AK4" s="16">
        <f t="shared" ref="AK4:AK18" si="3">AB4*1.15</f>
        <v>0.131527464258841</v>
      </c>
      <c r="AL4" s="16">
        <f t="shared" ref="AL4:AL18" si="4">AC4*1.15</f>
        <v>0.154580827732579</v>
      </c>
      <c r="AM4" s="4"/>
      <c r="AN4" s="4"/>
      <c r="AO4" s="12">
        <f t="shared" ref="AO4:AS4" si="5">W4</f>
        <v>0.136112514738083</v>
      </c>
      <c r="AP4" s="12">
        <f t="shared" si="5"/>
        <v>0.131822070145423</v>
      </c>
      <c r="AQ4" s="12">
        <f t="shared" si="5"/>
        <v>0.136322869955157</v>
      </c>
      <c r="AR4" s="12">
        <f t="shared" si="5"/>
        <v>0.143119787717968</v>
      </c>
      <c r="AS4" s="12">
        <f t="shared" si="5"/>
        <v>0.148424389334328</v>
      </c>
      <c r="AT4" s="16">
        <f t="shared" ref="AT4:AT18" si="6">AB4*0.85</f>
        <v>0.0972159518434914</v>
      </c>
      <c r="AU4" s="16">
        <f t="shared" ref="AU4:AU18" si="7">AC4*0.85</f>
        <v>0.114255394411036</v>
      </c>
      <c r="AZ4" s="2" t="s">
        <v>195</v>
      </c>
      <c r="BA4" s="6" t="s">
        <v>196</v>
      </c>
      <c r="BB4" s="7">
        <v>837.4</v>
      </c>
      <c r="BC4" s="12">
        <v>808.1</v>
      </c>
      <c r="BD4" s="12">
        <v>770.5</v>
      </c>
      <c r="BE4" s="12">
        <v>760</v>
      </c>
      <c r="BF4" s="12">
        <v>755.1</v>
      </c>
      <c r="BG4" s="12">
        <v>796</v>
      </c>
      <c r="BH4" s="12">
        <v>760</v>
      </c>
      <c r="BI4" s="12">
        <v>760</v>
      </c>
      <c r="BJ4" s="4"/>
      <c r="BK4" s="8"/>
      <c r="BL4" s="9"/>
      <c r="BM4" s="9"/>
      <c r="BN4" s="9"/>
      <c r="BO4" s="9"/>
    </row>
    <row r="5" ht="15.5" spans="1:67">
      <c r="A5" s="2"/>
      <c r="B5" s="6" t="s">
        <v>197</v>
      </c>
      <c r="C5" s="7">
        <f t="shared" ref="C5:J5" si="8">BB5/1000</f>
        <v>0.7701</v>
      </c>
      <c r="D5" s="7">
        <f t="shared" si="8"/>
        <v>0.7457</v>
      </c>
      <c r="E5" s="7">
        <f t="shared" si="8"/>
        <v>0.7115</v>
      </c>
      <c r="F5" s="7">
        <f t="shared" si="8"/>
        <v>0.7021</v>
      </c>
      <c r="G5" s="7">
        <f t="shared" si="8"/>
        <v>0.6948</v>
      </c>
      <c r="H5" s="7">
        <f t="shared" si="8"/>
        <v>0.7338</v>
      </c>
      <c r="I5" s="7">
        <f t="shared" si="8"/>
        <v>0.7021</v>
      </c>
      <c r="J5" s="7">
        <f t="shared" si="8"/>
        <v>0.7021</v>
      </c>
      <c r="K5" s="4"/>
      <c r="L5" s="4"/>
      <c r="M5" s="10">
        <v>5.937</v>
      </c>
      <c r="N5" s="10">
        <v>5.845</v>
      </c>
      <c r="O5" s="10">
        <v>5.575</v>
      </c>
      <c r="P5" s="10">
        <v>5.276</v>
      </c>
      <c r="Q5" s="10">
        <v>5.363</v>
      </c>
      <c r="R5" s="10">
        <v>6.645</v>
      </c>
      <c r="S5" s="10">
        <v>5.654</v>
      </c>
      <c r="T5" s="10"/>
      <c r="U5" s="2"/>
      <c r="V5" s="6" t="s">
        <v>197</v>
      </c>
      <c r="W5" s="12">
        <f t="shared" ref="W5:AC5" si="9">D5/M5</f>
        <v>0.125602155971029</v>
      </c>
      <c r="X5" s="12">
        <f t="shared" si="9"/>
        <v>0.121727972626176</v>
      </c>
      <c r="Y5" s="12">
        <f t="shared" si="9"/>
        <v>0.125937219730942</v>
      </c>
      <c r="Z5" s="12">
        <f t="shared" si="9"/>
        <v>0.131690674753601</v>
      </c>
      <c r="AA5" s="12">
        <f t="shared" si="9"/>
        <v>0.136826403132575</v>
      </c>
      <c r="AB5" s="15">
        <f t="shared" si="9"/>
        <v>0.105658389766742</v>
      </c>
      <c r="AC5" s="15">
        <f t="shared" si="9"/>
        <v>0.124177573399363</v>
      </c>
      <c r="AD5" s="4"/>
      <c r="AE5" s="4"/>
      <c r="AF5" s="12">
        <f t="shared" ref="AF5:AJ5" si="10">W5</f>
        <v>0.125602155971029</v>
      </c>
      <c r="AG5" s="12">
        <f t="shared" si="10"/>
        <v>0.121727972626176</v>
      </c>
      <c r="AH5" s="12">
        <f t="shared" si="10"/>
        <v>0.125937219730942</v>
      </c>
      <c r="AI5" s="12">
        <f t="shared" si="10"/>
        <v>0.131690674753601</v>
      </c>
      <c r="AJ5" s="12">
        <f t="shared" si="10"/>
        <v>0.136826403132575</v>
      </c>
      <c r="AK5" s="16">
        <f t="shared" si="3"/>
        <v>0.121507148231753</v>
      </c>
      <c r="AL5" s="16">
        <f t="shared" si="4"/>
        <v>0.142804209409268</v>
      </c>
      <c r="AM5" s="4"/>
      <c r="AN5" s="4"/>
      <c r="AO5" s="12">
        <f t="shared" ref="AO5:AS5" si="11">W5</f>
        <v>0.125602155971029</v>
      </c>
      <c r="AP5" s="12">
        <f t="shared" si="11"/>
        <v>0.121727972626176</v>
      </c>
      <c r="AQ5" s="12">
        <f t="shared" si="11"/>
        <v>0.125937219730942</v>
      </c>
      <c r="AR5" s="12">
        <f t="shared" si="11"/>
        <v>0.131690674753601</v>
      </c>
      <c r="AS5" s="12">
        <f t="shared" si="11"/>
        <v>0.136826403132575</v>
      </c>
      <c r="AT5" s="16">
        <f t="shared" si="6"/>
        <v>0.0898096313017306</v>
      </c>
      <c r="AU5" s="16">
        <f t="shared" si="7"/>
        <v>0.105550937389459</v>
      </c>
      <c r="AZ5" s="2"/>
      <c r="BA5" s="6" t="s">
        <v>197</v>
      </c>
      <c r="BB5" s="7">
        <v>770.1</v>
      </c>
      <c r="BC5" s="12">
        <v>745.7</v>
      </c>
      <c r="BD5" s="12">
        <v>711.5</v>
      </c>
      <c r="BE5" s="12">
        <v>702.1</v>
      </c>
      <c r="BF5" s="12">
        <v>694.8</v>
      </c>
      <c r="BG5" s="12">
        <v>733.8</v>
      </c>
      <c r="BH5" s="12">
        <v>702.1</v>
      </c>
      <c r="BI5" s="12">
        <v>702.1</v>
      </c>
      <c r="BJ5" s="4"/>
      <c r="BK5" s="4"/>
      <c r="BL5" s="10"/>
      <c r="BM5" s="10"/>
      <c r="BN5" s="10"/>
      <c r="BO5" s="10"/>
    </row>
    <row r="6" ht="15.5" spans="1:67">
      <c r="A6" s="2"/>
      <c r="B6" s="6" t="s">
        <v>198</v>
      </c>
      <c r="C6" s="7">
        <f t="shared" ref="C6:J6" si="12">BB6/1000</f>
        <v>0.1986</v>
      </c>
      <c r="D6" s="7">
        <f t="shared" si="12"/>
        <v>0.1717</v>
      </c>
      <c r="E6" s="7">
        <f t="shared" si="12"/>
        <v>0.1611</v>
      </c>
      <c r="F6" s="7">
        <f t="shared" si="12"/>
        <v>0.1579</v>
      </c>
      <c r="G6" s="7">
        <f t="shared" si="12"/>
        <v>0.1521</v>
      </c>
      <c r="H6" s="7">
        <f t="shared" si="12"/>
        <v>0.1588</v>
      </c>
      <c r="I6" s="7">
        <f t="shared" si="12"/>
        <v>0.1579</v>
      </c>
      <c r="J6" s="7">
        <f t="shared" si="12"/>
        <v>0.1579</v>
      </c>
      <c r="K6" s="4"/>
      <c r="L6" s="4"/>
      <c r="M6" s="10">
        <v>5.937</v>
      </c>
      <c r="N6" s="10">
        <v>5.845</v>
      </c>
      <c r="O6" s="10">
        <v>5.575</v>
      </c>
      <c r="P6" s="10">
        <v>5.276</v>
      </c>
      <c r="Q6" s="10">
        <v>5.363</v>
      </c>
      <c r="R6" s="10">
        <v>6.645</v>
      </c>
      <c r="S6" s="10">
        <v>5.654</v>
      </c>
      <c r="T6" s="10"/>
      <c r="U6" s="2"/>
      <c r="V6" s="6" t="s">
        <v>198</v>
      </c>
      <c r="W6" s="12">
        <f t="shared" ref="W6:AC6" si="13">D6/M6</f>
        <v>0.0289203301330638</v>
      </c>
      <c r="X6" s="12">
        <f t="shared" si="13"/>
        <v>0.0275620188195039</v>
      </c>
      <c r="Y6" s="12">
        <f t="shared" si="13"/>
        <v>0.028322869955157</v>
      </c>
      <c r="Z6" s="12">
        <f t="shared" si="13"/>
        <v>0.0288286580742987</v>
      </c>
      <c r="AA6" s="12">
        <f t="shared" si="13"/>
        <v>0.0296102927465971</v>
      </c>
      <c r="AB6" s="15">
        <f t="shared" si="13"/>
        <v>0.0237622272385252</v>
      </c>
      <c r="AC6" s="15">
        <f t="shared" si="13"/>
        <v>0.0279271312345242</v>
      </c>
      <c r="AD6" s="4"/>
      <c r="AE6" s="4"/>
      <c r="AF6" s="12">
        <f t="shared" ref="AF6:AJ6" si="14">W6</f>
        <v>0.0289203301330638</v>
      </c>
      <c r="AG6" s="12">
        <f t="shared" si="14"/>
        <v>0.0275620188195039</v>
      </c>
      <c r="AH6" s="12">
        <f t="shared" si="14"/>
        <v>0.028322869955157</v>
      </c>
      <c r="AI6" s="12">
        <f t="shared" si="14"/>
        <v>0.0288286580742987</v>
      </c>
      <c r="AJ6" s="12">
        <f t="shared" si="14"/>
        <v>0.0296102927465971</v>
      </c>
      <c r="AK6" s="16">
        <f t="shared" si="3"/>
        <v>0.027326561324304</v>
      </c>
      <c r="AL6" s="16">
        <f t="shared" si="4"/>
        <v>0.0321162009197029</v>
      </c>
      <c r="AM6" s="4"/>
      <c r="AN6" s="4"/>
      <c r="AO6" s="12">
        <f t="shared" ref="AO6:AS6" si="15">W6</f>
        <v>0.0289203301330638</v>
      </c>
      <c r="AP6" s="12">
        <f t="shared" si="15"/>
        <v>0.0275620188195039</v>
      </c>
      <c r="AQ6" s="12">
        <f t="shared" si="15"/>
        <v>0.028322869955157</v>
      </c>
      <c r="AR6" s="12">
        <f t="shared" si="15"/>
        <v>0.0288286580742987</v>
      </c>
      <c r="AS6" s="12">
        <f t="shared" si="15"/>
        <v>0.0296102927465971</v>
      </c>
      <c r="AT6" s="16">
        <f t="shared" si="6"/>
        <v>0.0201978931527464</v>
      </c>
      <c r="AU6" s="16">
        <f t="shared" si="7"/>
        <v>0.0237380615493456</v>
      </c>
      <c r="AZ6" s="2"/>
      <c r="BA6" s="6" t="s">
        <v>198</v>
      </c>
      <c r="BB6" s="7">
        <v>198.6</v>
      </c>
      <c r="BC6" s="12">
        <v>171.7</v>
      </c>
      <c r="BD6" s="12">
        <v>161.1</v>
      </c>
      <c r="BE6" s="12">
        <v>157.9</v>
      </c>
      <c r="BF6" s="12">
        <v>152.1</v>
      </c>
      <c r="BG6" s="12">
        <v>158.8</v>
      </c>
      <c r="BH6" s="12">
        <v>157.9</v>
      </c>
      <c r="BI6" s="12">
        <v>157.9</v>
      </c>
      <c r="BJ6" s="4"/>
      <c r="BK6" s="4"/>
      <c r="BL6" s="10"/>
      <c r="BM6" s="10"/>
      <c r="BN6" s="10"/>
      <c r="BO6" s="10"/>
    </row>
    <row r="7" ht="15.5" spans="1:67">
      <c r="A7" s="2"/>
      <c r="B7" s="6" t="s">
        <v>199</v>
      </c>
      <c r="C7" s="7">
        <f t="shared" ref="C7:J7" si="16">BB7/1000</f>
        <v>0.487</v>
      </c>
      <c r="D7" s="7">
        <f t="shared" si="16"/>
        <v>0.4967</v>
      </c>
      <c r="E7" s="7">
        <f t="shared" si="16"/>
        <v>0.4758</v>
      </c>
      <c r="F7" s="7">
        <f t="shared" si="16"/>
        <v>0.4705</v>
      </c>
      <c r="G7" s="7">
        <f t="shared" si="16"/>
        <v>0.4665</v>
      </c>
      <c r="H7" s="7">
        <f t="shared" si="16"/>
        <v>0.496</v>
      </c>
      <c r="I7" s="7">
        <f t="shared" si="16"/>
        <v>0.4705</v>
      </c>
      <c r="J7" s="7">
        <f t="shared" si="16"/>
        <v>0.4705</v>
      </c>
      <c r="K7" s="4"/>
      <c r="L7" s="4"/>
      <c r="M7" s="10">
        <v>5.937</v>
      </c>
      <c r="N7" s="10">
        <v>5.845</v>
      </c>
      <c r="O7" s="10">
        <v>5.575</v>
      </c>
      <c r="P7" s="10">
        <v>5.276</v>
      </c>
      <c r="Q7" s="10">
        <v>5.363</v>
      </c>
      <c r="R7" s="10">
        <v>6.645</v>
      </c>
      <c r="S7" s="10">
        <v>5.654</v>
      </c>
      <c r="T7" s="10"/>
      <c r="U7" s="2"/>
      <c r="V7" s="6" t="s">
        <v>199</v>
      </c>
      <c r="W7" s="12">
        <f t="shared" ref="W7:AC7" si="17">D7/M7</f>
        <v>0.0836617820448038</v>
      </c>
      <c r="X7" s="12">
        <f t="shared" si="17"/>
        <v>0.0814029084687767</v>
      </c>
      <c r="Y7" s="12">
        <f t="shared" si="17"/>
        <v>0.0843946188340807</v>
      </c>
      <c r="Z7" s="12">
        <f t="shared" si="17"/>
        <v>0.0884192570128886</v>
      </c>
      <c r="AA7" s="12">
        <f t="shared" si="17"/>
        <v>0.092485549132948</v>
      </c>
      <c r="AB7" s="15">
        <f t="shared" si="17"/>
        <v>0.0708051166290444</v>
      </c>
      <c r="AC7" s="15">
        <f t="shared" si="17"/>
        <v>0.0832154227095861</v>
      </c>
      <c r="AD7" s="4"/>
      <c r="AE7" s="4"/>
      <c r="AF7" s="12">
        <f t="shared" ref="AF7:AJ7" si="18">W7</f>
        <v>0.0836617820448038</v>
      </c>
      <c r="AG7" s="12">
        <f t="shared" si="18"/>
        <v>0.0814029084687767</v>
      </c>
      <c r="AH7" s="12">
        <f t="shared" si="18"/>
        <v>0.0843946188340807</v>
      </c>
      <c r="AI7" s="12">
        <f t="shared" si="18"/>
        <v>0.0884192570128886</v>
      </c>
      <c r="AJ7" s="12">
        <f t="shared" si="18"/>
        <v>0.092485549132948</v>
      </c>
      <c r="AK7" s="16">
        <f t="shared" si="3"/>
        <v>0.0814258841234011</v>
      </c>
      <c r="AL7" s="16">
        <f t="shared" si="4"/>
        <v>0.0956977361160241</v>
      </c>
      <c r="AM7" s="4"/>
      <c r="AN7" s="4"/>
      <c r="AO7" s="12">
        <f t="shared" ref="AO7:AS7" si="19">W7</f>
        <v>0.0836617820448038</v>
      </c>
      <c r="AP7" s="12">
        <f t="shared" si="19"/>
        <v>0.0814029084687767</v>
      </c>
      <c r="AQ7" s="12">
        <f t="shared" si="19"/>
        <v>0.0843946188340807</v>
      </c>
      <c r="AR7" s="12">
        <f t="shared" si="19"/>
        <v>0.0884192570128886</v>
      </c>
      <c r="AS7" s="12">
        <f t="shared" si="19"/>
        <v>0.092485549132948</v>
      </c>
      <c r="AT7" s="16">
        <f t="shared" si="6"/>
        <v>0.0601843491346877</v>
      </c>
      <c r="AU7" s="16">
        <f t="shared" si="7"/>
        <v>0.0707331093031482</v>
      </c>
      <c r="AZ7" s="2"/>
      <c r="BA7" s="6" t="s">
        <v>199</v>
      </c>
      <c r="BB7" s="7">
        <v>487</v>
      </c>
      <c r="BC7" s="12">
        <v>496.7</v>
      </c>
      <c r="BD7" s="12">
        <v>475.8</v>
      </c>
      <c r="BE7" s="12">
        <v>470.5</v>
      </c>
      <c r="BF7" s="12">
        <v>466.5</v>
      </c>
      <c r="BG7" s="12">
        <v>496</v>
      </c>
      <c r="BH7" s="12">
        <v>470.5</v>
      </c>
      <c r="BI7" s="12">
        <v>470.5</v>
      </c>
      <c r="BJ7" s="4"/>
      <c r="BK7" s="4"/>
      <c r="BL7" s="10"/>
      <c r="BM7" s="10"/>
      <c r="BN7" s="10"/>
      <c r="BO7" s="10"/>
    </row>
    <row r="8" ht="15.5" spans="1:67">
      <c r="A8" s="2"/>
      <c r="B8" s="6" t="s">
        <v>200</v>
      </c>
      <c r="C8" s="7">
        <f t="shared" ref="C8:J8" si="20">BB8/1000</f>
        <v>0.0845</v>
      </c>
      <c r="D8" s="7">
        <f t="shared" si="20"/>
        <v>0.0773</v>
      </c>
      <c r="E8" s="7">
        <f t="shared" si="20"/>
        <v>0.0745</v>
      </c>
      <c r="F8" s="7">
        <f t="shared" si="20"/>
        <v>0.0736</v>
      </c>
      <c r="G8" s="7">
        <f t="shared" si="20"/>
        <v>0.0761</v>
      </c>
      <c r="H8" s="7">
        <f t="shared" si="20"/>
        <v>0.0789</v>
      </c>
      <c r="I8" s="7">
        <f t="shared" si="20"/>
        <v>0.0736</v>
      </c>
      <c r="J8" s="7">
        <f t="shared" si="20"/>
        <v>0.0736</v>
      </c>
      <c r="K8" s="4"/>
      <c r="L8" s="4"/>
      <c r="M8" s="10">
        <v>5.937</v>
      </c>
      <c r="N8" s="10">
        <v>5.845</v>
      </c>
      <c r="O8" s="10">
        <v>5.575</v>
      </c>
      <c r="P8" s="10">
        <v>5.276</v>
      </c>
      <c r="Q8" s="10">
        <v>5.363</v>
      </c>
      <c r="R8" s="10">
        <v>6.645</v>
      </c>
      <c r="S8" s="10">
        <v>5.654</v>
      </c>
      <c r="T8" s="10"/>
      <c r="U8" s="2"/>
      <c r="V8" s="6" t="s">
        <v>200</v>
      </c>
      <c r="W8" s="12">
        <f t="shared" ref="W8:AC8" si="21">D8/M8</f>
        <v>0.0130200437931615</v>
      </c>
      <c r="X8" s="12">
        <f t="shared" si="21"/>
        <v>0.0127459366980325</v>
      </c>
      <c r="Y8" s="12">
        <f t="shared" si="21"/>
        <v>0.0132017937219731</v>
      </c>
      <c r="Z8" s="12">
        <f t="shared" si="21"/>
        <v>0.0144238059135709</v>
      </c>
      <c r="AA8" s="12">
        <f t="shared" si="21"/>
        <v>0.0147119149729629</v>
      </c>
      <c r="AB8" s="15">
        <f t="shared" si="21"/>
        <v>0.0110759969902182</v>
      </c>
      <c r="AC8" s="15">
        <f t="shared" si="21"/>
        <v>0.0130173328616908</v>
      </c>
      <c r="AD8" s="4"/>
      <c r="AE8" s="4"/>
      <c r="AF8" s="12">
        <f t="shared" ref="AF8:AJ8" si="22">W8</f>
        <v>0.0130200437931615</v>
      </c>
      <c r="AG8" s="12">
        <f t="shared" si="22"/>
        <v>0.0127459366980325</v>
      </c>
      <c r="AH8" s="12">
        <f t="shared" si="22"/>
        <v>0.0132017937219731</v>
      </c>
      <c r="AI8" s="12">
        <f t="shared" si="22"/>
        <v>0.0144238059135709</v>
      </c>
      <c r="AJ8" s="12">
        <f t="shared" si="22"/>
        <v>0.0147119149729629</v>
      </c>
      <c r="AK8" s="16">
        <f t="shared" si="3"/>
        <v>0.0127373965387509</v>
      </c>
      <c r="AL8" s="16">
        <f t="shared" si="4"/>
        <v>0.0149699327909445</v>
      </c>
      <c r="AM8" s="4"/>
      <c r="AN8" s="4"/>
      <c r="AO8" s="12">
        <f t="shared" ref="AO8:AS8" si="23">W8</f>
        <v>0.0130200437931615</v>
      </c>
      <c r="AP8" s="12">
        <f t="shared" si="23"/>
        <v>0.0127459366980325</v>
      </c>
      <c r="AQ8" s="12">
        <f t="shared" si="23"/>
        <v>0.0132017937219731</v>
      </c>
      <c r="AR8" s="12">
        <f t="shared" si="23"/>
        <v>0.0144238059135709</v>
      </c>
      <c r="AS8" s="12">
        <f t="shared" si="23"/>
        <v>0.0147119149729629</v>
      </c>
      <c r="AT8" s="16">
        <f t="shared" si="6"/>
        <v>0.00941459744168548</v>
      </c>
      <c r="AU8" s="16">
        <f t="shared" si="7"/>
        <v>0.0110647329324372</v>
      </c>
      <c r="AZ8" s="2"/>
      <c r="BA8" s="6" t="s">
        <v>200</v>
      </c>
      <c r="BB8" s="7">
        <v>84.5</v>
      </c>
      <c r="BC8" s="12">
        <v>77.3</v>
      </c>
      <c r="BD8" s="12">
        <v>74.5</v>
      </c>
      <c r="BE8" s="12">
        <v>73.6</v>
      </c>
      <c r="BF8" s="12">
        <v>76.1</v>
      </c>
      <c r="BG8" s="12">
        <v>78.9</v>
      </c>
      <c r="BH8" s="12">
        <v>73.6</v>
      </c>
      <c r="BI8" s="12">
        <v>73.6</v>
      </c>
      <c r="BJ8" s="4"/>
      <c r="BK8" s="4"/>
      <c r="BL8" s="10"/>
      <c r="BM8" s="10"/>
      <c r="BN8" s="10"/>
      <c r="BO8" s="10"/>
    </row>
    <row r="9" ht="15.5" spans="1:67">
      <c r="A9" s="2" t="s">
        <v>201</v>
      </c>
      <c r="B9" s="6" t="s">
        <v>196</v>
      </c>
      <c r="C9" s="7">
        <f t="shared" ref="C9:J9" si="24">BB9/1000</f>
        <v>0.855</v>
      </c>
      <c r="D9" s="7">
        <f t="shared" si="24"/>
        <v>0.8241</v>
      </c>
      <c r="E9" s="7">
        <f t="shared" si="24"/>
        <v>0.7857</v>
      </c>
      <c r="F9" s="7">
        <f t="shared" si="24"/>
        <v>0.775</v>
      </c>
      <c r="G9" s="7">
        <f t="shared" si="24"/>
        <v>0.7702</v>
      </c>
      <c r="H9" s="7">
        <f t="shared" si="24"/>
        <v>0.8116</v>
      </c>
      <c r="I9" s="7">
        <f t="shared" si="24"/>
        <v>0.775</v>
      </c>
      <c r="J9" s="7">
        <f t="shared" si="24"/>
        <v>0.775</v>
      </c>
      <c r="K9" s="4"/>
      <c r="L9" s="4"/>
      <c r="M9" s="10">
        <v>5.937</v>
      </c>
      <c r="N9" s="10">
        <v>5.845</v>
      </c>
      <c r="O9" s="10">
        <v>5.575</v>
      </c>
      <c r="P9" s="10">
        <v>5.276</v>
      </c>
      <c r="Q9" s="10">
        <v>5.363</v>
      </c>
      <c r="R9" s="10">
        <v>6.645</v>
      </c>
      <c r="S9" s="10">
        <v>5.654</v>
      </c>
      <c r="T9" s="10"/>
      <c r="U9" s="2" t="s">
        <v>201</v>
      </c>
      <c r="V9" s="6" t="s">
        <v>196</v>
      </c>
      <c r="W9" s="12">
        <f t="shared" ref="W9:AC9" si="25">D9/M9</f>
        <v>0.138807478524507</v>
      </c>
      <c r="X9" s="12">
        <f t="shared" si="25"/>
        <v>0.134422583404619</v>
      </c>
      <c r="Y9" s="12">
        <f t="shared" si="25"/>
        <v>0.139013452914798</v>
      </c>
      <c r="Z9" s="12">
        <f t="shared" si="25"/>
        <v>0.145981804397271</v>
      </c>
      <c r="AA9" s="12">
        <f t="shared" si="25"/>
        <v>0.1513332090248</v>
      </c>
      <c r="AB9" s="15">
        <f t="shared" si="25"/>
        <v>0.116629044394281</v>
      </c>
      <c r="AC9" s="15">
        <f t="shared" si="25"/>
        <v>0.13707110010612</v>
      </c>
      <c r="AD9" s="4"/>
      <c r="AE9" s="4"/>
      <c r="AF9" s="12">
        <f t="shared" ref="AF9:AJ9" si="26">W9</f>
        <v>0.138807478524507</v>
      </c>
      <c r="AG9" s="12">
        <f t="shared" si="26"/>
        <v>0.134422583404619</v>
      </c>
      <c r="AH9" s="12">
        <f t="shared" si="26"/>
        <v>0.139013452914798</v>
      </c>
      <c r="AI9" s="12">
        <f t="shared" si="26"/>
        <v>0.145981804397271</v>
      </c>
      <c r="AJ9" s="12">
        <f t="shared" si="26"/>
        <v>0.1513332090248</v>
      </c>
      <c r="AK9" s="16">
        <f t="shared" si="3"/>
        <v>0.134123401053424</v>
      </c>
      <c r="AL9" s="16">
        <f t="shared" si="4"/>
        <v>0.157631765122037</v>
      </c>
      <c r="AM9" s="4"/>
      <c r="AN9" s="4"/>
      <c r="AO9" s="12">
        <f t="shared" ref="AO9:AS9" si="27">W9</f>
        <v>0.138807478524507</v>
      </c>
      <c r="AP9" s="12">
        <f t="shared" si="27"/>
        <v>0.134422583404619</v>
      </c>
      <c r="AQ9" s="12">
        <f t="shared" si="27"/>
        <v>0.139013452914798</v>
      </c>
      <c r="AR9" s="12">
        <f t="shared" si="27"/>
        <v>0.145981804397271</v>
      </c>
      <c r="AS9" s="12">
        <f t="shared" si="27"/>
        <v>0.1513332090248</v>
      </c>
      <c r="AT9" s="16">
        <f t="shared" si="6"/>
        <v>0.0991346877351392</v>
      </c>
      <c r="AU9" s="16">
        <f t="shared" si="7"/>
        <v>0.116510435090202</v>
      </c>
      <c r="AZ9" s="2" t="s">
        <v>201</v>
      </c>
      <c r="BA9" s="6" t="s">
        <v>196</v>
      </c>
      <c r="BB9" s="7">
        <v>855</v>
      </c>
      <c r="BC9" s="12">
        <v>824.1</v>
      </c>
      <c r="BD9" s="12">
        <v>785.7</v>
      </c>
      <c r="BE9" s="12">
        <v>775</v>
      </c>
      <c r="BF9" s="12">
        <v>770.2</v>
      </c>
      <c r="BG9" s="12">
        <v>811.6</v>
      </c>
      <c r="BH9" s="12">
        <v>775</v>
      </c>
      <c r="BI9" s="12">
        <v>775</v>
      </c>
      <c r="BJ9" s="4"/>
      <c r="BK9" s="4"/>
      <c r="BL9" s="10"/>
      <c r="BM9" s="10"/>
      <c r="BN9" s="10"/>
      <c r="BO9" s="10"/>
    </row>
    <row r="10" ht="15.5" spans="1:67">
      <c r="A10" s="2"/>
      <c r="B10" s="6" t="s">
        <v>197</v>
      </c>
      <c r="C10" s="7">
        <f t="shared" ref="C10:J10" si="28">BB10/1000</f>
        <v>0.7888</v>
      </c>
      <c r="D10" s="7">
        <f t="shared" si="28"/>
        <v>0.7626</v>
      </c>
      <c r="E10" s="7">
        <f t="shared" si="28"/>
        <v>0.7275</v>
      </c>
      <c r="F10" s="7">
        <f t="shared" si="28"/>
        <v>0.7179</v>
      </c>
      <c r="G10" s="7">
        <f t="shared" si="28"/>
        <v>0.7107</v>
      </c>
      <c r="H10" s="7">
        <f t="shared" si="28"/>
        <v>0.7503</v>
      </c>
      <c r="I10" s="7">
        <f t="shared" si="28"/>
        <v>0.7179</v>
      </c>
      <c r="J10" s="7">
        <f t="shared" si="28"/>
        <v>0.7179</v>
      </c>
      <c r="K10" s="4"/>
      <c r="L10" s="4"/>
      <c r="M10" s="10">
        <v>5.937</v>
      </c>
      <c r="N10" s="10">
        <v>5.845</v>
      </c>
      <c r="O10" s="10">
        <v>5.575</v>
      </c>
      <c r="P10" s="10">
        <v>5.276</v>
      </c>
      <c r="Q10" s="10">
        <v>5.363</v>
      </c>
      <c r="R10" s="10">
        <v>6.645</v>
      </c>
      <c r="S10" s="10">
        <v>5.654</v>
      </c>
      <c r="T10" s="10"/>
      <c r="U10" s="2"/>
      <c r="V10" s="6" t="s">
        <v>197</v>
      </c>
      <c r="W10" s="12">
        <f t="shared" ref="W10:AC10" si="29">D10/M10</f>
        <v>0.12844871147044</v>
      </c>
      <c r="X10" s="12">
        <f t="shared" si="29"/>
        <v>0.124465355004277</v>
      </c>
      <c r="Y10" s="12">
        <f t="shared" si="29"/>
        <v>0.12877130044843</v>
      </c>
      <c r="Z10" s="12">
        <f t="shared" si="29"/>
        <v>0.134704321455648</v>
      </c>
      <c r="AA10" s="12">
        <f t="shared" si="29"/>
        <v>0.139903039343651</v>
      </c>
      <c r="AB10" s="15">
        <f t="shared" si="29"/>
        <v>0.10803611738149</v>
      </c>
      <c r="AC10" s="15">
        <f t="shared" si="29"/>
        <v>0.126972055182172</v>
      </c>
      <c r="AD10" s="4"/>
      <c r="AE10" s="4"/>
      <c r="AF10" s="12">
        <f t="shared" ref="AF10:AJ10" si="30">W10</f>
        <v>0.12844871147044</v>
      </c>
      <c r="AG10" s="12">
        <f t="shared" si="30"/>
        <v>0.124465355004277</v>
      </c>
      <c r="AH10" s="12">
        <f t="shared" si="30"/>
        <v>0.12877130044843</v>
      </c>
      <c r="AI10" s="12">
        <f t="shared" si="30"/>
        <v>0.134704321455648</v>
      </c>
      <c r="AJ10" s="12">
        <f t="shared" si="30"/>
        <v>0.139903039343651</v>
      </c>
      <c r="AK10" s="16">
        <f t="shared" si="3"/>
        <v>0.124241534988713</v>
      </c>
      <c r="AL10" s="16">
        <f t="shared" si="4"/>
        <v>0.146017863459498</v>
      </c>
      <c r="AM10" s="4"/>
      <c r="AN10" s="4"/>
      <c r="AO10" s="12">
        <f t="shared" ref="AO10:AS10" si="31">W10</f>
        <v>0.12844871147044</v>
      </c>
      <c r="AP10" s="12">
        <f t="shared" si="31"/>
        <v>0.124465355004277</v>
      </c>
      <c r="AQ10" s="12">
        <f t="shared" si="31"/>
        <v>0.12877130044843</v>
      </c>
      <c r="AR10" s="12">
        <f t="shared" si="31"/>
        <v>0.134704321455648</v>
      </c>
      <c r="AS10" s="12">
        <f t="shared" si="31"/>
        <v>0.139903039343651</v>
      </c>
      <c r="AT10" s="16">
        <f t="shared" si="6"/>
        <v>0.0918306997742664</v>
      </c>
      <c r="AU10" s="16">
        <f t="shared" si="7"/>
        <v>0.107926246904846</v>
      </c>
      <c r="AZ10" s="2"/>
      <c r="BA10" s="6" t="s">
        <v>197</v>
      </c>
      <c r="BB10" s="7">
        <v>788.8</v>
      </c>
      <c r="BC10" s="12">
        <v>762.6</v>
      </c>
      <c r="BD10" s="12">
        <v>727.5</v>
      </c>
      <c r="BE10" s="12">
        <v>717.9</v>
      </c>
      <c r="BF10" s="12">
        <v>710.7</v>
      </c>
      <c r="BG10" s="12">
        <v>750.3</v>
      </c>
      <c r="BH10" s="12">
        <v>717.9</v>
      </c>
      <c r="BI10" s="12">
        <v>717.9</v>
      </c>
      <c r="BJ10" s="4"/>
      <c r="BK10" s="4"/>
      <c r="BL10" s="10"/>
      <c r="BM10" s="10"/>
      <c r="BN10" s="10"/>
      <c r="BO10" s="10"/>
    </row>
    <row r="11" ht="15.5" spans="1:67">
      <c r="A11" s="2"/>
      <c r="B11" s="6" t="s">
        <v>198</v>
      </c>
      <c r="C11" s="7">
        <f t="shared" ref="C11:J11" si="32">BB11/1000</f>
        <v>0.2381</v>
      </c>
      <c r="D11" s="7">
        <f t="shared" si="32"/>
        <v>0.2075</v>
      </c>
      <c r="E11" s="7">
        <f t="shared" si="32"/>
        <v>0.1951</v>
      </c>
      <c r="F11" s="7">
        <f t="shared" si="32"/>
        <v>0.1916</v>
      </c>
      <c r="G11" s="7">
        <f t="shared" si="32"/>
        <v>0.186</v>
      </c>
      <c r="H11" s="7">
        <f t="shared" si="32"/>
        <v>0.1938</v>
      </c>
      <c r="I11" s="7">
        <f t="shared" si="32"/>
        <v>0.1916</v>
      </c>
      <c r="J11" s="7">
        <f t="shared" si="32"/>
        <v>0.1916</v>
      </c>
      <c r="K11" s="4"/>
      <c r="L11" s="4"/>
      <c r="M11" s="10">
        <v>5.937</v>
      </c>
      <c r="N11" s="10">
        <v>5.845</v>
      </c>
      <c r="O11" s="10">
        <v>5.575</v>
      </c>
      <c r="P11" s="10">
        <v>5.276</v>
      </c>
      <c r="Q11" s="10">
        <v>5.363</v>
      </c>
      <c r="R11" s="10">
        <v>6.645</v>
      </c>
      <c r="S11" s="10">
        <v>5.654</v>
      </c>
      <c r="T11" s="10"/>
      <c r="U11" s="2"/>
      <c r="V11" s="6" t="s">
        <v>198</v>
      </c>
      <c r="W11" s="12">
        <f t="shared" ref="W11:AC11" si="33">D11/M11</f>
        <v>0.0349503116051878</v>
      </c>
      <c r="X11" s="12">
        <f t="shared" si="33"/>
        <v>0.0333789563729684</v>
      </c>
      <c r="Y11" s="12">
        <f t="shared" si="33"/>
        <v>0.0343677130044843</v>
      </c>
      <c r="Z11" s="12">
        <f t="shared" si="33"/>
        <v>0.035253980288097</v>
      </c>
      <c r="AA11" s="12">
        <f t="shared" si="33"/>
        <v>0.0361364907700914</v>
      </c>
      <c r="AB11" s="15">
        <f t="shared" si="33"/>
        <v>0.0288337095560572</v>
      </c>
      <c r="AC11" s="15">
        <f t="shared" si="33"/>
        <v>0.0338875132649452</v>
      </c>
      <c r="AD11" s="4"/>
      <c r="AE11" s="4"/>
      <c r="AF11" s="12">
        <f t="shared" ref="AF11:AJ11" si="34">W11</f>
        <v>0.0349503116051878</v>
      </c>
      <c r="AG11" s="12">
        <f t="shared" si="34"/>
        <v>0.0333789563729684</v>
      </c>
      <c r="AH11" s="12">
        <f t="shared" si="34"/>
        <v>0.0343677130044843</v>
      </c>
      <c r="AI11" s="12">
        <f t="shared" si="34"/>
        <v>0.035253980288097</v>
      </c>
      <c r="AJ11" s="12">
        <f t="shared" si="34"/>
        <v>0.0361364907700914</v>
      </c>
      <c r="AK11" s="16">
        <f t="shared" si="3"/>
        <v>0.0331587659894658</v>
      </c>
      <c r="AL11" s="16">
        <f t="shared" si="4"/>
        <v>0.0389706402546869</v>
      </c>
      <c r="AM11" s="4"/>
      <c r="AN11" s="4"/>
      <c r="AO11" s="12">
        <f t="shared" ref="AO11:AS11" si="35">W11</f>
        <v>0.0349503116051878</v>
      </c>
      <c r="AP11" s="12">
        <f t="shared" si="35"/>
        <v>0.0333789563729684</v>
      </c>
      <c r="AQ11" s="12">
        <f t="shared" si="35"/>
        <v>0.0343677130044843</v>
      </c>
      <c r="AR11" s="12">
        <f t="shared" si="35"/>
        <v>0.035253980288097</v>
      </c>
      <c r="AS11" s="12">
        <f t="shared" si="35"/>
        <v>0.0361364907700914</v>
      </c>
      <c r="AT11" s="16">
        <f t="shared" si="6"/>
        <v>0.0245086531226486</v>
      </c>
      <c r="AU11" s="16">
        <f t="shared" si="7"/>
        <v>0.0288043862752034</v>
      </c>
      <c r="AZ11" s="2"/>
      <c r="BA11" s="6" t="s">
        <v>198</v>
      </c>
      <c r="BB11" s="7">
        <v>238.1</v>
      </c>
      <c r="BC11" s="12">
        <v>207.5</v>
      </c>
      <c r="BD11" s="12">
        <v>195.1</v>
      </c>
      <c r="BE11" s="12">
        <v>191.6</v>
      </c>
      <c r="BF11" s="12">
        <v>186</v>
      </c>
      <c r="BG11" s="12">
        <v>193.8</v>
      </c>
      <c r="BH11" s="12">
        <v>191.6</v>
      </c>
      <c r="BI11" s="12">
        <v>191.6</v>
      </c>
      <c r="BJ11" s="4"/>
      <c r="BK11" s="4"/>
      <c r="BL11" s="10"/>
      <c r="BM11" s="10"/>
      <c r="BN11" s="10"/>
      <c r="BO11" s="10"/>
    </row>
    <row r="12" ht="15.5" spans="1:67">
      <c r="A12" s="2"/>
      <c r="B12" s="6" t="s">
        <v>199</v>
      </c>
      <c r="C12" s="7">
        <f t="shared" ref="C12:J12" si="36">BB12/1000</f>
        <v>0.4629</v>
      </c>
      <c r="D12" s="7">
        <f t="shared" si="36"/>
        <v>0.4749</v>
      </c>
      <c r="E12" s="7">
        <f t="shared" si="36"/>
        <v>0.4551</v>
      </c>
      <c r="F12" s="7">
        <f t="shared" si="36"/>
        <v>0.45</v>
      </c>
      <c r="G12" s="7">
        <f t="shared" si="36"/>
        <v>0.4459</v>
      </c>
      <c r="H12" s="7">
        <f t="shared" si="36"/>
        <v>0.4747</v>
      </c>
      <c r="I12" s="7">
        <f t="shared" si="36"/>
        <v>0.45</v>
      </c>
      <c r="J12" s="7">
        <f t="shared" si="36"/>
        <v>0.45</v>
      </c>
      <c r="K12" s="4"/>
      <c r="L12" s="4"/>
      <c r="M12" s="10">
        <v>5.937</v>
      </c>
      <c r="N12" s="10">
        <v>5.845</v>
      </c>
      <c r="O12" s="10">
        <v>5.575</v>
      </c>
      <c r="P12" s="10">
        <v>5.276</v>
      </c>
      <c r="Q12" s="10">
        <v>5.363</v>
      </c>
      <c r="R12" s="10">
        <v>6.645</v>
      </c>
      <c r="S12" s="10">
        <v>5.654</v>
      </c>
      <c r="T12" s="10"/>
      <c r="U12" s="2"/>
      <c r="V12" s="6" t="s">
        <v>199</v>
      </c>
      <c r="W12" s="12">
        <f t="shared" ref="W12:AC12" si="37">D12/M12</f>
        <v>0.0799898938858009</v>
      </c>
      <c r="X12" s="12">
        <f t="shared" si="37"/>
        <v>0.0778614200171086</v>
      </c>
      <c r="Y12" s="12">
        <f t="shared" si="37"/>
        <v>0.0807174887892377</v>
      </c>
      <c r="Z12" s="12">
        <f t="shared" si="37"/>
        <v>0.0845147839272176</v>
      </c>
      <c r="AA12" s="12">
        <f t="shared" si="37"/>
        <v>0.08851389147865</v>
      </c>
      <c r="AB12" s="15">
        <f t="shared" si="37"/>
        <v>0.0677200902934537</v>
      </c>
      <c r="AC12" s="15">
        <f t="shared" si="37"/>
        <v>0.0795896710293598</v>
      </c>
      <c r="AD12" s="4"/>
      <c r="AE12" s="4"/>
      <c r="AF12" s="12">
        <f t="shared" ref="AF12:AJ12" si="38">W12</f>
        <v>0.0799898938858009</v>
      </c>
      <c r="AG12" s="12">
        <f t="shared" si="38"/>
        <v>0.0778614200171086</v>
      </c>
      <c r="AH12" s="12">
        <f t="shared" si="38"/>
        <v>0.0807174887892377</v>
      </c>
      <c r="AI12" s="12">
        <f t="shared" si="38"/>
        <v>0.0845147839272176</v>
      </c>
      <c r="AJ12" s="12">
        <f t="shared" si="38"/>
        <v>0.08851389147865</v>
      </c>
      <c r="AK12" s="16">
        <f t="shared" si="3"/>
        <v>0.0778781038374718</v>
      </c>
      <c r="AL12" s="16">
        <f t="shared" si="4"/>
        <v>0.0915281216837637</v>
      </c>
      <c r="AM12" s="4"/>
      <c r="AN12" s="4"/>
      <c r="AO12" s="12">
        <f t="shared" ref="AO12:AS12" si="39">W12</f>
        <v>0.0799898938858009</v>
      </c>
      <c r="AP12" s="12">
        <f t="shared" si="39"/>
        <v>0.0778614200171086</v>
      </c>
      <c r="AQ12" s="12">
        <f t="shared" si="39"/>
        <v>0.0807174887892377</v>
      </c>
      <c r="AR12" s="12">
        <f t="shared" si="39"/>
        <v>0.0845147839272176</v>
      </c>
      <c r="AS12" s="12">
        <f t="shared" si="39"/>
        <v>0.08851389147865</v>
      </c>
      <c r="AT12" s="16">
        <f t="shared" si="6"/>
        <v>0.0575620767494357</v>
      </c>
      <c r="AU12" s="16">
        <f t="shared" si="7"/>
        <v>0.0676512203749558</v>
      </c>
      <c r="AZ12" s="2"/>
      <c r="BA12" s="6" t="s">
        <v>199</v>
      </c>
      <c r="BB12" s="7">
        <v>462.9</v>
      </c>
      <c r="BC12" s="12">
        <v>474.9</v>
      </c>
      <c r="BD12" s="12">
        <v>455.1</v>
      </c>
      <c r="BE12" s="12">
        <v>450</v>
      </c>
      <c r="BF12" s="12">
        <v>445.9</v>
      </c>
      <c r="BG12" s="12">
        <v>474.7</v>
      </c>
      <c r="BH12" s="12">
        <v>450</v>
      </c>
      <c r="BI12" s="12">
        <v>450</v>
      </c>
      <c r="BJ12" s="4"/>
      <c r="BK12" s="4"/>
      <c r="BL12" s="10"/>
      <c r="BM12" s="10"/>
      <c r="BN12" s="10"/>
      <c r="BO12" s="10"/>
    </row>
    <row r="13" ht="15.5" spans="1:67">
      <c r="A13" s="2"/>
      <c r="B13" s="6" t="s">
        <v>200</v>
      </c>
      <c r="C13" s="7">
        <f t="shared" ref="C13:J13" si="40">BB13/1000</f>
        <v>0.0877</v>
      </c>
      <c r="D13" s="7">
        <f t="shared" si="40"/>
        <v>0.0802</v>
      </c>
      <c r="E13" s="7">
        <f t="shared" si="40"/>
        <v>0.0772</v>
      </c>
      <c r="F13" s="7">
        <f t="shared" si="40"/>
        <v>0.0763</v>
      </c>
      <c r="G13" s="7">
        <f t="shared" si="40"/>
        <v>0.0789</v>
      </c>
      <c r="H13" s="7">
        <f t="shared" si="40"/>
        <v>0.0817</v>
      </c>
      <c r="I13" s="7">
        <f t="shared" si="40"/>
        <v>0.0763</v>
      </c>
      <c r="J13" s="7">
        <f t="shared" si="40"/>
        <v>0.0763</v>
      </c>
      <c r="K13" s="4"/>
      <c r="L13" s="4"/>
      <c r="M13" s="10">
        <v>5.937</v>
      </c>
      <c r="N13" s="10">
        <v>5.845</v>
      </c>
      <c r="O13" s="10">
        <v>5.575</v>
      </c>
      <c r="P13" s="10">
        <v>5.276</v>
      </c>
      <c r="Q13" s="10">
        <v>5.363</v>
      </c>
      <c r="R13" s="10">
        <v>6.645</v>
      </c>
      <c r="S13" s="10">
        <v>5.654</v>
      </c>
      <c r="T13" s="10"/>
      <c r="U13" s="2"/>
      <c r="V13" s="6" t="s">
        <v>200</v>
      </c>
      <c r="W13" s="12">
        <f t="shared" ref="W13:AC13" si="41">D13/M13</f>
        <v>0.0135085059794509</v>
      </c>
      <c r="X13" s="12">
        <f t="shared" si="41"/>
        <v>0.013207869974337</v>
      </c>
      <c r="Y13" s="12">
        <f t="shared" si="41"/>
        <v>0.0136860986547085</v>
      </c>
      <c r="Z13" s="12">
        <f t="shared" si="41"/>
        <v>0.0149545109931767</v>
      </c>
      <c r="AA13" s="12">
        <f t="shared" si="41"/>
        <v>0.0152340108148424</v>
      </c>
      <c r="AB13" s="15">
        <f t="shared" si="41"/>
        <v>0.0114823175319789</v>
      </c>
      <c r="AC13" s="15">
        <f t="shared" si="41"/>
        <v>0.013494870887867</v>
      </c>
      <c r="AD13" s="4"/>
      <c r="AE13" s="4"/>
      <c r="AF13" s="12">
        <f t="shared" ref="AF13:AJ13" si="42">W13</f>
        <v>0.0135085059794509</v>
      </c>
      <c r="AG13" s="12">
        <f t="shared" si="42"/>
        <v>0.013207869974337</v>
      </c>
      <c r="AH13" s="12">
        <f t="shared" si="42"/>
        <v>0.0136860986547085</v>
      </c>
      <c r="AI13" s="12">
        <f t="shared" si="42"/>
        <v>0.0149545109931767</v>
      </c>
      <c r="AJ13" s="12">
        <f t="shared" si="42"/>
        <v>0.0152340108148424</v>
      </c>
      <c r="AK13" s="16">
        <f t="shared" si="3"/>
        <v>0.0132046651617758</v>
      </c>
      <c r="AL13" s="16">
        <f t="shared" si="4"/>
        <v>0.015519101521047</v>
      </c>
      <c r="AM13" s="4"/>
      <c r="AN13" s="4"/>
      <c r="AO13" s="12">
        <f t="shared" ref="AO13:AS13" si="43">W13</f>
        <v>0.0135085059794509</v>
      </c>
      <c r="AP13" s="12">
        <f t="shared" si="43"/>
        <v>0.013207869974337</v>
      </c>
      <c r="AQ13" s="12">
        <f t="shared" si="43"/>
        <v>0.0136860986547085</v>
      </c>
      <c r="AR13" s="12">
        <f t="shared" si="43"/>
        <v>0.0149545109931767</v>
      </c>
      <c r="AS13" s="12">
        <f t="shared" si="43"/>
        <v>0.0152340108148424</v>
      </c>
      <c r="AT13" s="16">
        <f t="shared" si="6"/>
        <v>0.00975996990218209</v>
      </c>
      <c r="AU13" s="16">
        <f t="shared" si="7"/>
        <v>0.0114706402546869</v>
      </c>
      <c r="AZ13" s="2"/>
      <c r="BA13" s="6" t="s">
        <v>200</v>
      </c>
      <c r="BB13" s="7">
        <v>87.7</v>
      </c>
      <c r="BC13" s="12">
        <v>80.2</v>
      </c>
      <c r="BD13" s="12">
        <v>77.2</v>
      </c>
      <c r="BE13" s="12">
        <v>76.3</v>
      </c>
      <c r="BF13" s="12">
        <v>78.9</v>
      </c>
      <c r="BG13" s="12">
        <v>81.7</v>
      </c>
      <c r="BH13" s="12">
        <v>76.3</v>
      </c>
      <c r="BI13" s="12">
        <v>76.3</v>
      </c>
      <c r="BJ13" s="4"/>
      <c r="BK13" s="4"/>
      <c r="BL13" s="10"/>
      <c r="BM13" s="10"/>
      <c r="BN13" s="10"/>
      <c r="BO13" s="10"/>
    </row>
    <row r="14" ht="15.5" spans="1:67">
      <c r="A14" s="2" t="s">
        <v>11</v>
      </c>
      <c r="B14" s="6" t="s">
        <v>196</v>
      </c>
      <c r="C14" s="7">
        <f t="shared" ref="C14:J14" si="44">BB14/1000</f>
        <v>0.8705</v>
      </c>
      <c r="D14" s="7">
        <f t="shared" si="44"/>
        <v>0.8381</v>
      </c>
      <c r="E14" s="7">
        <f t="shared" si="44"/>
        <v>0.799</v>
      </c>
      <c r="F14" s="7">
        <f t="shared" si="44"/>
        <v>0.7882</v>
      </c>
      <c r="G14" s="7">
        <f t="shared" si="44"/>
        <v>0.7835</v>
      </c>
      <c r="H14" s="7">
        <f t="shared" si="44"/>
        <v>0.8253</v>
      </c>
      <c r="I14" s="7">
        <f t="shared" si="44"/>
        <v>0.7882</v>
      </c>
      <c r="J14" s="7">
        <f t="shared" si="44"/>
        <v>0.7882</v>
      </c>
      <c r="K14" s="4"/>
      <c r="L14" s="4"/>
      <c r="M14" s="10">
        <v>5.937</v>
      </c>
      <c r="N14" s="10">
        <v>5.845</v>
      </c>
      <c r="O14" s="10">
        <v>5.575</v>
      </c>
      <c r="P14" s="10">
        <v>5.276</v>
      </c>
      <c r="Q14" s="10">
        <v>5.363</v>
      </c>
      <c r="R14" s="10">
        <v>6.645</v>
      </c>
      <c r="S14" s="10">
        <v>5.654</v>
      </c>
      <c r="T14" s="10"/>
      <c r="U14" s="2" t="s">
        <v>11</v>
      </c>
      <c r="V14" s="6" t="s">
        <v>196</v>
      </c>
      <c r="W14" s="12">
        <f t="shared" ref="W14:AC14" si="45">D14/M14</f>
        <v>0.141165571837628</v>
      </c>
      <c r="X14" s="12">
        <f t="shared" si="45"/>
        <v>0.136698032506416</v>
      </c>
      <c r="Y14" s="12">
        <f t="shared" si="45"/>
        <v>0.141381165919283</v>
      </c>
      <c r="Z14" s="12">
        <f t="shared" si="45"/>
        <v>0.148502653525398</v>
      </c>
      <c r="AA14" s="12">
        <f t="shared" si="45"/>
        <v>0.153887749393996</v>
      </c>
      <c r="AB14" s="15">
        <f t="shared" si="45"/>
        <v>0.118615500376223</v>
      </c>
      <c r="AC14" s="15">
        <f t="shared" si="45"/>
        <v>0.139405730456314</v>
      </c>
      <c r="AD14" s="4"/>
      <c r="AE14" s="4"/>
      <c r="AF14" s="12">
        <f t="shared" ref="AF14:AJ14" si="46">W14</f>
        <v>0.141165571837628</v>
      </c>
      <c r="AG14" s="12">
        <f t="shared" si="46"/>
        <v>0.136698032506416</v>
      </c>
      <c r="AH14" s="12">
        <f t="shared" si="46"/>
        <v>0.141381165919283</v>
      </c>
      <c r="AI14" s="12">
        <f t="shared" si="46"/>
        <v>0.148502653525398</v>
      </c>
      <c r="AJ14" s="12">
        <f t="shared" si="46"/>
        <v>0.153887749393996</v>
      </c>
      <c r="AK14" s="16">
        <f t="shared" si="3"/>
        <v>0.136407825432656</v>
      </c>
      <c r="AL14" s="16">
        <f t="shared" si="4"/>
        <v>0.160316590024761</v>
      </c>
      <c r="AM14" s="4"/>
      <c r="AN14" s="4"/>
      <c r="AO14" s="12">
        <f t="shared" ref="AO14:AS14" si="47">W14</f>
        <v>0.141165571837628</v>
      </c>
      <c r="AP14" s="12">
        <f t="shared" si="47"/>
        <v>0.136698032506416</v>
      </c>
      <c r="AQ14" s="12">
        <f t="shared" si="47"/>
        <v>0.141381165919283</v>
      </c>
      <c r="AR14" s="12">
        <f t="shared" si="47"/>
        <v>0.148502653525398</v>
      </c>
      <c r="AS14" s="12">
        <f t="shared" si="47"/>
        <v>0.153887749393996</v>
      </c>
      <c r="AT14" s="16">
        <f t="shared" si="6"/>
        <v>0.100823175319789</v>
      </c>
      <c r="AU14" s="16">
        <f t="shared" si="7"/>
        <v>0.118494870887867</v>
      </c>
      <c r="AZ14" s="2" t="s">
        <v>11</v>
      </c>
      <c r="BA14" s="6" t="s">
        <v>196</v>
      </c>
      <c r="BB14" s="7">
        <v>870.5</v>
      </c>
      <c r="BC14" s="12">
        <v>838.1</v>
      </c>
      <c r="BD14" s="12">
        <v>799</v>
      </c>
      <c r="BE14" s="12">
        <v>788.2</v>
      </c>
      <c r="BF14" s="12">
        <v>783.5</v>
      </c>
      <c r="BG14" s="12">
        <v>825.3</v>
      </c>
      <c r="BH14" s="12">
        <v>788.2</v>
      </c>
      <c r="BI14" s="12">
        <v>788.2</v>
      </c>
      <c r="BJ14" s="4"/>
      <c r="BK14" s="4"/>
      <c r="BL14" s="10"/>
      <c r="BM14" s="10"/>
      <c r="BN14" s="10"/>
      <c r="BO14" s="10"/>
    </row>
    <row r="15" ht="15.5" spans="1:67">
      <c r="A15" s="2"/>
      <c r="B15" s="6" t="s">
        <v>197</v>
      </c>
      <c r="C15" s="7">
        <f t="shared" ref="C15:J15" si="48">BB15/1000</f>
        <v>0.8012</v>
      </c>
      <c r="D15" s="7">
        <f t="shared" si="48"/>
        <v>0.7738</v>
      </c>
      <c r="E15" s="7">
        <f t="shared" si="48"/>
        <v>0.7382</v>
      </c>
      <c r="F15" s="7">
        <f t="shared" si="48"/>
        <v>0.7285</v>
      </c>
      <c r="G15" s="7">
        <f t="shared" si="48"/>
        <v>0.7214</v>
      </c>
      <c r="H15" s="7">
        <f t="shared" si="48"/>
        <v>0.7613</v>
      </c>
      <c r="I15" s="7">
        <f t="shared" si="48"/>
        <v>0.7285</v>
      </c>
      <c r="J15" s="7">
        <f t="shared" si="48"/>
        <v>0.7285</v>
      </c>
      <c r="K15" s="4"/>
      <c r="L15" s="4"/>
      <c r="M15" s="10">
        <v>5.937</v>
      </c>
      <c r="N15" s="10">
        <v>5.845</v>
      </c>
      <c r="O15" s="10">
        <v>5.575</v>
      </c>
      <c r="P15" s="10">
        <v>5.276</v>
      </c>
      <c r="Q15" s="10">
        <v>5.363</v>
      </c>
      <c r="R15" s="10">
        <v>6.645</v>
      </c>
      <c r="S15" s="10">
        <v>5.654</v>
      </c>
      <c r="T15" s="10"/>
      <c r="U15" s="2"/>
      <c r="V15" s="6" t="s">
        <v>197</v>
      </c>
      <c r="W15" s="12">
        <f t="shared" ref="W15:AC15" si="49">D15/M15</f>
        <v>0.130335186120936</v>
      </c>
      <c r="X15" s="12">
        <f t="shared" si="49"/>
        <v>0.126295979469632</v>
      </c>
      <c r="Y15" s="12">
        <f t="shared" si="49"/>
        <v>0.13067264573991</v>
      </c>
      <c r="Z15" s="12">
        <f t="shared" si="49"/>
        <v>0.136732373009856</v>
      </c>
      <c r="AA15" s="12">
        <f t="shared" si="49"/>
        <v>0.141954130151035</v>
      </c>
      <c r="AB15" s="15">
        <f t="shared" si="49"/>
        <v>0.109631301730625</v>
      </c>
      <c r="AC15" s="15">
        <f t="shared" si="49"/>
        <v>0.128846834099752</v>
      </c>
      <c r="AD15" s="4"/>
      <c r="AE15" s="4"/>
      <c r="AF15" s="12">
        <f t="shared" ref="AF15:AJ15" si="50">W15</f>
        <v>0.130335186120936</v>
      </c>
      <c r="AG15" s="12">
        <f t="shared" si="50"/>
        <v>0.126295979469632</v>
      </c>
      <c r="AH15" s="12">
        <f t="shared" si="50"/>
        <v>0.13067264573991</v>
      </c>
      <c r="AI15" s="12">
        <f t="shared" si="50"/>
        <v>0.136732373009856</v>
      </c>
      <c r="AJ15" s="12">
        <f t="shared" si="50"/>
        <v>0.141954130151035</v>
      </c>
      <c r="AK15" s="16">
        <f t="shared" si="3"/>
        <v>0.126075996990218</v>
      </c>
      <c r="AL15" s="16">
        <f t="shared" si="4"/>
        <v>0.148173859214715</v>
      </c>
      <c r="AM15" s="4"/>
      <c r="AN15" s="4"/>
      <c r="AO15" s="12">
        <f t="shared" ref="AO15:AS15" si="51">W15</f>
        <v>0.130335186120936</v>
      </c>
      <c r="AP15" s="12">
        <f t="shared" si="51"/>
        <v>0.126295979469632</v>
      </c>
      <c r="AQ15" s="12">
        <f t="shared" si="51"/>
        <v>0.13067264573991</v>
      </c>
      <c r="AR15" s="12">
        <f t="shared" si="51"/>
        <v>0.136732373009856</v>
      </c>
      <c r="AS15" s="12">
        <f t="shared" si="51"/>
        <v>0.141954130151035</v>
      </c>
      <c r="AT15" s="16">
        <f t="shared" si="6"/>
        <v>0.0931866064710309</v>
      </c>
      <c r="AU15" s="16">
        <f t="shared" si="7"/>
        <v>0.10951980898479</v>
      </c>
      <c r="AZ15" s="2"/>
      <c r="BA15" s="6" t="s">
        <v>197</v>
      </c>
      <c r="BB15" s="7">
        <v>801.2</v>
      </c>
      <c r="BC15" s="12">
        <v>773.8</v>
      </c>
      <c r="BD15" s="12">
        <v>738.2</v>
      </c>
      <c r="BE15" s="12">
        <v>728.5</v>
      </c>
      <c r="BF15" s="12">
        <v>721.4</v>
      </c>
      <c r="BG15" s="12">
        <v>761.3</v>
      </c>
      <c r="BH15" s="12">
        <v>728.5</v>
      </c>
      <c r="BI15" s="12">
        <v>728.5</v>
      </c>
      <c r="BJ15" s="4"/>
      <c r="BK15" s="4"/>
      <c r="BL15" s="10"/>
      <c r="BM15" s="10"/>
      <c r="BN15" s="10"/>
      <c r="BO15" s="10"/>
    </row>
    <row r="16" ht="15.5" spans="1:67">
      <c r="A16" s="2"/>
      <c r="B16" s="6" t="s">
        <v>198</v>
      </c>
      <c r="C16" s="7">
        <f t="shared" ref="C16:J16" si="52">BB16/1000</f>
        <v>0.3021</v>
      </c>
      <c r="D16" s="7">
        <f t="shared" si="52"/>
        <v>0.2654</v>
      </c>
      <c r="E16" s="7">
        <f t="shared" si="52"/>
        <v>0.2502</v>
      </c>
      <c r="F16" s="7">
        <f t="shared" si="52"/>
        <v>0.246</v>
      </c>
      <c r="G16" s="7">
        <f t="shared" si="52"/>
        <v>0.2408</v>
      </c>
      <c r="H16" s="7">
        <f t="shared" si="52"/>
        <v>0.2506</v>
      </c>
      <c r="I16" s="7">
        <f t="shared" si="52"/>
        <v>0.246</v>
      </c>
      <c r="J16" s="7">
        <f t="shared" si="52"/>
        <v>0.246</v>
      </c>
      <c r="K16" s="4"/>
      <c r="L16" s="4"/>
      <c r="M16" s="10">
        <v>5.937</v>
      </c>
      <c r="N16" s="10">
        <v>5.845</v>
      </c>
      <c r="O16" s="10">
        <v>5.575</v>
      </c>
      <c r="P16" s="10">
        <v>5.276</v>
      </c>
      <c r="Q16" s="10">
        <v>5.363</v>
      </c>
      <c r="R16" s="10">
        <v>6.645</v>
      </c>
      <c r="S16" s="10">
        <v>5.654</v>
      </c>
      <c r="T16" s="10"/>
      <c r="U16" s="2"/>
      <c r="V16" s="6" t="s">
        <v>198</v>
      </c>
      <c r="W16" s="12">
        <f t="shared" ref="W16:AC16" si="53">D16/M16</f>
        <v>0.0447027118073101</v>
      </c>
      <c r="X16" s="12">
        <f t="shared" si="53"/>
        <v>0.0428058169375535</v>
      </c>
      <c r="Y16" s="12">
        <f t="shared" si="53"/>
        <v>0.0441255605381166</v>
      </c>
      <c r="Z16" s="12">
        <f t="shared" si="53"/>
        <v>0.0456406368460955</v>
      </c>
      <c r="AA16" s="12">
        <f t="shared" si="53"/>
        <v>0.0467275778482193</v>
      </c>
      <c r="AB16" s="15">
        <f t="shared" si="53"/>
        <v>0.037020316027088</v>
      </c>
      <c r="AC16" s="15">
        <f t="shared" si="53"/>
        <v>0.0435090201627167</v>
      </c>
      <c r="AD16" s="4"/>
      <c r="AE16" s="4"/>
      <c r="AF16" s="12">
        <f t="shared" ref="AF16:AJ16" si="54">W16</f>
        <v>0.0447027118073101</v>
      </c>
      <c r="AG16" s="12">
        <f t="shared" si="54"/>
        <v>0.0428058169375535</v>
      </c>
      <c r="AH16" s="12">
        <f t="shared" si="54"/>
        <v>0.0441255605381166</v>
      </c>
      <c r="AI16" s="12">
        <f t="shared" si="54"/>
        <v>0.0456406368460955</v>
      </c>
      <c r="AJ16" s="12">
        <f t="shared" si="54"/>
        <v>0.0467275778482193</v>
      </c>
      <c r="AK16" s="16">
        <f t="shared" si="3"/>
        <v>0.0425733634311512</v>
      </c>
      <c r="AL16" s="16">
        <f t="shared" si="4"/>
        <v>0.0500353731871242</v>
      </c>
      <c r="AM16" s="4"/>
      <c r="AN16" s="4"/>
      <c r="AO16" s="12">
        <f t="shared" ref="AO16:AS16" si="55">W16</f>
        <v>0.0447027118073101</v>
      </c>
      <c r="AP16" s="12">
        <f t="shared" si="55"/>
        <v>0.0428058169375535</v>
      </c>
      <c r="AQ16" s="12">
        <f t="shared" si="55"/>
        <v>0.0441255605381166</v>
      </c>
      <c r="AR16" s="12">
        <f t="shared" si="55"/>
        <v>0.0456406368460955</v>
      </c>
      <c r="AS16" s="12">
        <f t="shared" si="55"/>
        <v>0.0467275778482193</v>
      </c>
      <c r="AT16" s="16">
        <f t="shared" si="6"/>
        <v>0.0314672686230248</v>
      </c>
      <c r="AU16" s="16">
        <f t="shared" si="7"/>
        <v>0.0369826671383092</v>
      </c>
      <c r="AZ16" s="2"/>
      <c r="BA16" s="6" t="s">
        <v>198</v>
      </c>
      <c r="BB16" s="7">
        <v>302.1</v>
      </c>
      <c r="BC16" s="12">
        <v>265.4</v>
      </c>
      <c r="BD16" s="12">
        <v>250.2</v>
      </c>
      <c r="BE16" s="12">
        <v>246</v>
      </c>
      <c r="BF16" s="12">
        <v>240.8</v>
      </c>
      <c r="BG16" s="12">
        <v>250.6</v>
      </c>
      <c r="BH16" s="12">
        <v>246</v>
      </c>
      <c r="BI16" s="12">
        <v>246</v>
      </c>
      <c r="BJ16" s="4"/>
      <c r="BK16" s="4"/>
      <c r="BL16" s="10"/>
      <c r="BM16" s="10"/>
      <c r="BN16" s="10"/>
      <c r="BO16" s="10"/>
    </row>
    <row r="17" ht="15.5" spans="1:67">
      <c r="A17" s="2"/>
      <c r="B17" s="6" t="s">
        <v>199</v>
      </c>
      <c r="C17" s="7">
        <f t="shared" ref="C17:J17" si="56">BB17/1000</f>
        <v>0.4137</v>
      </c>
      <c r="D17" s="7">
        <f t="shared" si="56"/>
        <v>0.4304</v>
      </c>
      <c r="E17" s="7">
        <f t="shared" si="56"/>
        <v>0.4127</v>
      </c>
      <c r="F17" s="7">
        <f t="shared" si="56"/>
        <v>0.4081</v>
      </c>
      <c r="G17" s="7">
        <f t="shared" si="56"/>
        <v>0.4037</v>
      </c>
      <c r="H17" s="7">
        <f t="shared" si="56"/>
        <v>0.4311</v>
      </c>
      <c r="I17" s="7">
        <f t="shared" si="56"/>
        <v>0.4081</v>
      </c>
      <c r="J17" s="7">
        <f t="shared" si="56"/>
        <v>0.4081</v>
      </c>
      <c r="K17" s="4"/>
      <c r="L17" s="4"/>
      <c r="M17" s="10">
        <v>5.937</v>
      </c>
      <c r="N17" s="10">
        <v>5.845</v>
      </c>
      <c r="O17" s="10">
        <v>5.575</v>
      </c>
      <c r="P17" s="10">
        <v>5.276</v>
      </c>
      <c r="Q17" s="10">
        <v>5.363</v>
      </c>
      <c r="R17" s="10">
        <v>6.645</v>
      </c>
      <c r="S17" s="10">
        <v>5.654</v>
      </c>
      <c r="T17" s="10"/>
      <c r="U17" s="2"/>
      <c r="V17" s="6" t="s">
        <v>199</v>
      </c>
      <c r="W17" s="12">
        <f t="shared" ref="W17:AC17" si="57">D17/M17</f>
        <v>0.0724945258548088</v>
      </c>
      <c r="X17" s="12">
        <f t="shared" si="57"/>
        <v>0.0706073567151412</v>
      </c>
      <c r="Y17" s="12">
        <f t="shared" si="57"/>
        <v>0.0732017937219731</v>
      </c>
      <c r="Z17" s="12">
        <f t="shared" si="57"/>
        <v>0.076516300227445</v>
      </c>
      <c r="AA17" s="12">
        <f t="shared" si="57"/>
        <v>0.0803841133693828</v>
      </c>
      <c r="AB17" s="15">
        <f t="shared" si="57"/>
        <v>0.0614145974416855</v>
      </c>
      <c r="AC17" s="15">
        <f t="shared" si="57"/>
        <v>0.0721789883268483</v>
      </c>
      <c r="AD17" s="4"/>
      <c r="AE17" s="4"/>
      <c r="AF17" s="12">
        <f t="shared" ref="AF17:AJ17" si="58">W17</f>
        <v>0.0724945258548088</v>
      </c>
      <c r="AG17" s="12">
        <f t="shared" si="58"/>
        <v>0.0706073567151412</v>
      </c>
      <c r="AH17" s="12">
        <f t="shared" si="58"/>
        <v>0.0732017937219731</v>
      </c>
      <c r="AI17" s="12">
        <f t="shared" si="58"/>
        <v>0.076516300227445</v>
      </c>
      <c r="AJ17" s="12">
        <f t="shared" si="58"/>
        <v>0.0803841133693828</v>
      </c>
      <c r="AK17" s="16">
        <f t="shared" si="3"/>
        <v>0.0706267870579383</v>
      </c>
      <c r="AL17" s="16">
        <f t="shared" si="4"/>
        <v>0.0830058365758755</v>
      </c>
      <c r="AM17" s="4"/>
      <c r="AN17" s="4"/>
      <c r="AO17" s="12">
        <f t="shared" ref="AO17:AS17" si="59">W17</f>
        <v>0.0724945258548088</v>
      </c>
      <c r="AP17" s="12">
        <f t="shared" si="59"/>
        <v>0.0706073567151412</v>
      </c>
      <c r="AQ17" s="12">
        <f t="shared" si="59"/>
        <v>0.0732017937219731</v>
      </c>
      <c r="AR17" s="12">
        <f t="shared" si="59"/>
        <v>0.076516300227445</v>
      </c>
      <c r="AS17" s="12">
        <f t="shared" si="59"/>
        <v>0.0803841133693828</v>
      </c>
      <c r="AT17" s="16">
        <f t="shared" si="6"/>
        <v>0.0522024078254327</v>
      </c>
      <c r="AU17" s="16">
        <f t="shared" si="7"/>
        <v>0.061352140077821</v>
      </c>
      <c r="AZ17" s="2"/>
      <c r="BA17" s="6" t="s">
        <v>199</v>
      </c>
      <c r="BB17" s="7">
        <v>413.7</v>
      </c>
      <c r="BC17" s="12">
        <v>430.4</v>
      </c>
      <c r="BD17" s="12">
        <v>412.7</v>
      </c>
      <c r="BE17" s="12">
        <v>408.1</v>
      </c>
      <c r="BF17" s="12">
        <v>403.7</v>
      </c>
      <c r="BG17" s="12">
        <v>431.1</v>
      </c>
      <c r="BH17" s="12">
        <v>408.1</v>
      </c>
      <c r="BI17" s="12">
        <v>408.1</v>
      </c>
      <c r="BJ17" s="4"/>
      <c r="BK17" s="4"/>
      <c r="BL17" s="10"/>
      <c r="BM17" s="10"/>
      <c r="BN17" s="10"/>
      <c r="BO17" s="10"/>
    </row>
    <row r="18" ht="15.5" spans="1:67">
      <c r="A18" s="2"/>
      <c r="B18" s="6" t="s">
        <v>200</v>
      </c>
      <c r="C18" s="7">
        <f t="shared" ref="C18:J18" si="60">BB18/1000</f>
        <v>0.0853</v>
      </c>
      <c r="D18" s="7">
        <f t="shared" si="60"/>
        <v>0.0781</v>
      </c>
      <c r="E18" s="7">
        <f t="shared" si="60"/>
        <v>0.0752</v>
      </c>
      <c r="F18" s="7">
        <f t="shared" si="60"/>
        <v>0.0743</v>
      </c>
      <c r="G18" s="7">
        <f t="shared" si="60"/>
        <v>0.0768</v>
      </c>
      <c r="H18" s="7">
        <f t="shared" si="60"/>
        <v>0.0797</v>
      </c>
      <c r="I18" s="7">
        <f t="shared" si="60"/>
        <v>0.0743</v>
      </c>
      <c r="J18" s="7">
        <f t="shared" si="60"/>
        <v>0.0743</v>
      </c>
      <c r="K18" s="4"/>
      <c r="L18" s="4"/>
      <c r="M18" s="10">
        <v>5.937</v>
      </c>
      <c r="N18" s="10">
        <v>5.845</v>
      </c>
      <c r="O18" s="10">
        <v>5.575</v>
      </c>
      <c r="P18" s="10">
        <v>5.276</v>
      </c>
      <c r="Q18" s="10">
        <v>5.363</v>
      </c>
      <c r="R18" s="10">
        <v>6.645</v>
      </c>
      <c r="S18" s="10">
        <v>5.654</v>
      </c>
      <c r="T18" s="10"/>
      <c r="U18" s="2"/>
      <c r="V18" s="6" t="s">
        <v>200</v>
      </c>
      <c r="W18" s="12">
        <f t="shared" ref="W18:AC18" si="61">D18/M18</f>
        <v>0.0131547919824827</v>
      </c>
      <c r="X18" s="12">
        <f t="shared" si="61"/>
        <v>0.0128656971770744</v>
      </c>
      <c r="Y18" s="12">
        <f t="shared" si="61"/>
        <v>0.0133273542600897</v>
      </c>
      <c r="Z18" s="12">
        <f t="shared" si="61"/>
        <v>0.0145564821834723</v>
      </c>
      <c r="AA18" s="12">
        <f t="shared" si="61"/>
        <v>0.0148610852134999</v>
      </c>
      <c r="AB18" s="15">
        <f t="shared" si="61"/>
        <v>0.0111813393528969</v>
      </c>
      <c r="AC18" s="15">
        <f t="shared" si="61"/>
        <v>0.0131411390166254</v>
      </c>
      <c r="AD18" s="4"/>
      <c r="AE18" s="4"/>
      <c r="AF18" s="12">
        <f t="shared" ref="AF18:AJ18" si="62">W18</f>
        <v>0.0131547919824827</v>
      </c>
      <c r="AG18" s="12">
        <f t="shared" si="62"/>
        <v>0.0128656971770744</v>
      </c>
      <c r="AH18" s="12">
        <f t="shared" si="62"/>
        <v>0.0133273542600897</v>
      </c>
      <c r="AI18" s="12">
        <f t="shared" si="62"/>
        <v>0.0145564821834723</v>
      </c>
      <c r="AJ18" s="12">
        <f t="shared" si="62"/>
        <v>0.0148610852134999</v>
      </c>
      <c r="AK18" s="16">
        <f t="shared" si="3"/>
        <v>0.0128585402558315</v>
      </c>
      <c r="AL18" s="16">
        <f t="shared" si="4"/>
        <v>0.0151123098691192</v>
      </c>
      <c r="AM18" s="4"/>
      <c r="AN18" s="4"/>
      <c r="AO18" s="12">
        <f t="shared" ref="AO18:AS18" si="63">W18</f>
        <v>0.0131547919824827</v>
      </c>
      <c r="AP18" s="12">
        <f t="shared" si="63"/>
        <v>0.0128656971770744</v>
      </c>
      <c r="AQ18" s="12">
        <f t="shared" si="63"/>
        <v>0.0133273542600897</v>
      </c>
      <c r="AR18" s="12">
        <f t="shared" si="63"/>
        <v>0.0145564821834723</v>
      </c>
      <c r="AS18" s="12">
        <f t="shared" si="63"/>
        <v>0.0148610852134999</v>
      </c>
      <c r="AT18" s="16">
        <f t="shared" si="6"/>
        <v>0.00950413844996238</v>
      </c>
      <c r="AU18" s="16">
        <f t="shared" si="7"/>
        <v>0.0111699681641316</v>
      </c>
      <c r="AZ18" s="2"/>
      <c r="BA18" s="6" t="s">
        <v>200</v>
      </c>
      <c r="BB18" s="7">
        <v>85.3</v>
      </c>
      <c r="BC18" s="12">
        <v>78.1</v>
      </c>
      <c r="BD18" s="12">
        <v>75.2</v>
      </c>
      <c r="BE18" s="12">
        <v>74.3</v>
      </c>
      <c r="BF18" s="12">
        <v>76.8</v>
      </c>
      <c r="BG18" s="12">
        <v>79.7</v>
      </c>
      <c r="BH18" s="12">
        <v>74.3</v>
      </c>
      <c r="BI18" s="12">
        <v>74.3</v>
      </c>
      <c r="BJ18" s="4"/>
      <c r="BK18" s="4"/>
      <c r="BL18" s="10"/>
      <c r="BM18" s="10"/>
      <c r="BN18" s="10"/>
      <c r="BO18" s="10"/>
    </row>
    <row r="19" ht="15.5" spans="1:67">
      <c r="A19" s="4"/>
      <c r="B19" s="4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Z19" s="4"/>
      <c r="BA19" s="4"/>
      <c r="BB19" s="3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</row>
    <row r="20" ht="15.5" spans="1:67">
      <c r="A20" s="4"/>
      <c r="B20" s="4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Z20" s="4"/>
      <c r="BA20" s="4"/>
      <c r="BB20" s="3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</row>
    <row r="21" ht="15.5" spans="1:67">
      <c r="A21" s="2" t="s">
        <v>213</v>
      </c>
      <c r="B21" s="2"/>
      <c r="C21" s="2"/>
      <c r="D21" s="2"/>
      <c r="E21" s="2"/>
      <c r="F21" s="2"/>
      <c r="G21" s="2"/>
      <c r="H21" s="2"/>
      <c r="I21" s="2"/>
      <c r="J21" s="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Z21" s="2" t="s">
        <v>213</v>
      </c>
      <c r="BA21" s="2"/>
      <c r="BB21" s="2"/>
      <c r="BC21" s="2"/>
      <c r="BD21" s="2"/>
      <c r="BE21" s="2"/>
      <c r="BF21" s="2"/>
      <c r="BG21" s="2"/>
      <c r="BH21" s="2"/>
      <c r="BI21" s="2"/>
      <c r="BJ21" s="4"/>
      <c r="BK21" s="4"/>
      <c r="BL21" s="4"/>
      <c r="BM21" s="4"/>
      <c r="BN21" s="4"/>
      <c r="BO21" s="4"/>
    </row>
    <row r="22" ht="15.5" spans="1:67">
      <c r="A22" s="2" t="s">
        <v>184</v>
      </c>
      <c r="B22" s="2" t="s">
        <v>214</v>
      </c>
      <c r="C22" s="2" t="s">
        <v>186</v>
      </c>
      <c r="D22" s="2"/>
      <c r="E22" s="2"/>
      <c r="F22" s="2"/>
      <c r="G22" s="2"/>
      <c r="H22" s="2"/>
      <c r="I22" s="2"/>
      <c r="J22" s="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Z22" s="2" t="s">
        <v>184</v>
      </c>
      <c r="BA22" s="2" t="s">
        <v>214</v>
      </c>
      <c r="BB22" s="2" t="s">
        <v>186</v>
      </c>
      <c r="BC22" s="2"/>
      <c r="BD22" s="2"/>
      <c r="BE22" s="2"/>
      <c r="BF22" s="2"/>
      <c r="BG22" s="2"/>
      <c r="BH22" s="2"/>
      <c r="BI22" s="2"/>
      <c r="BJ22" s="4"/>
      <c r="BK22" s="4"/>
      <c r="BL22" s="4"/>
      <c r="BM22" s="4"/>
      <c r="BN22" s="4"/>
      <c r="BO22" s="4"/>
    </row>
    <row r="23" ht="30" spans="1:67">
      <c r="A23" s="2"/>
      <c r="B23" s="2"/>
      <c r="C23" s="3" t="s">
        <v>187</v>
      </c>
      <c r="D23" s="4" t="s">
        <v>188</v>
      </c>
      <c r="E23" s="4" t="s">
        <v>189</v>
      </c>
      <c r="F23" s="5" t="s">
        <v>190</v>
      </c>
      <c r="G23" s="4" t="s">
        <v>191</v>
      </c>
      <c r="H23" s="4" t="s">
        <v>192</v>
      </c>
      <c r="I23" s="4" t="s">
        <v>193</v>
      </c>
      <c r="J23" s="4" t="s">
        <v>194</v>
      </c>
      <c r="K23" s="4"/>
      <c r="L23" s="4"/>
      <c r="M23" s="4" t="s">
        <v>188</v>
      </c>
      <c r="N23" s="4" t="s">
        <v>189</v>
      </c>
      <c r="O23" s="4" t="s">
        <v>190</v>
      </c>
      <c r="P23" s="4" t="s">
        <v>191</v>
      </c>
      <c r="Q23" s="4" t="s">
        <v>192</v>
      </c>
      <c r="R23" s="4" t="s">
        <v>193</v>
      </c>
      <c r="S23" s="4" t="s">
        <v>194</v>
      </c>
      <c r="T23" s="4"/>
      <c r="U23" s="4"/>
      <c r="V23" s="11" t="s">
        <v>212</v>
      </c>
      <c r="W23" s="4" t="s">
        <v>188</v>
      </c>
      <c r="X23" s="4" t="s">
        <v>189</v>
      </c>
      <c r="Y23" s="5" t="s">
        <v>190</v>
      </c>
      <c r="Z23" s="4" t="s">
        <v>191</v>
      </c>
      <c r="AA23" s="4" t="s">
        <v>192</v>
      </c>
      <c r="AB23" s="14" t="s">
        <v>193</v>
      </c>
      <c r="AC23" s="14" t="s">
        <v>194</v>
      </c>
      <c r="AD23" s="4"/>
      <c r="AE23" s="4"/>
      <c r="AF23" s="4" t="s">
        <v>188</v>
      </c>
      <c r="AG23" s="4" t="s">
        <v>189</v>
      </c>
      <c r="AH23" s="5" t="s">
        <v>190</v>
      </c>
      <c r="AI23" s="4" t="s">
        <v>191</v>
      </c>
      <c r="AJ23" s="4" t="s">
        <v>192</v>
      </c>
      <c r="AK23" s="14" t="s">
        <v>193</v>
      </c>
      <c r="AL23" s="14" t="s">
        <v>194</v>
      </c>
      <c r="AM23" s="4"/>
      <c r="AN23" s="4"/>
      <c r="AO23" s="4" t="s">
        <v>188</v>
      </c>
      <c r="AP23" s="4" t="s">
        <v>189</v>
      </c>
      <c r="AQ23" s="5" t="s">
        <v>190</v>
      </c>
      <c r="AR23" s="4" t="s">
        <v>191</v>
      </c>
      <c r="AS23" s="4" t="s">
        <v>192</v>
      </c>
      <c r="AT23" s="14" t="s">
        <v>193</v>
      </c>
      <c r="AU23" s="14" t="s">
        <v>194</v>
      </c>
      <c r="AZ23" s="2"/>
      <c r="BA23" s="2"/>
      <c r="BB23" s="3" t="s">
        <v>187</v>
      </c>
      <c r="BC23" s="4" t="s">
        <v>188</v>
      </c>
      <c r="BD23" s="4" t="s">
        <v>189</v>
      </c>
      <c r="BE23" s="5" t="s">
        <v>190</v>
      </c>
      <c r="BF23" s="4" t="s">
        <v>191</v>
      </c>
      <c r="BG23" s="4" t="s">
        <v>192</v>
      </c>
      <c r="BH23" s="4" t="s">
        <v>193</v>
      </c>
      <c r="BI23" s="4" t="s">
        <v>194</v>
      </c>
      <c r="BJ23" s="4"/>
      <c r="BK23" s="4"/>
      <c r="BL23" s="4"/>
      <c r="BM23" s="4"/>
      <c r="BN23" s="4"/>
      <c r="BO23" s="4"/>
    </row>
    <row r="24" ht="15.5" spans="1:67">
      <c r="A24" s="2" t="s">
        <v>195</v>
      </c>
      <c r="B24" s="6" t="s">
        <v>196</v>
      </c>
      <c r="C24" s="7">
        <f t="shared" ref="C24:J24" si="64">BB24/1000</f>
        <v>0.8898</v>
      </c>
      <c r="D24" s="7">
        <f t="shared" si="64"/>
        <v>0.8432</v>
      </c>
      <c r="E24" s="7">
        <f t="shared" si="64"/>
        <v>0.8038</v>
      </c>
      <c r="F24" s="7">
        <f t="shared" si="64"/>
        <v>0.7946</v>
      </c>
      <c r="G24" s="7">
        <f t="shared" si="64"/>
        <v>0.7665</v>
      </c>
      <c r="H24" s="7">
        <f t="shared" si="64"/>
        <v>0.8066</v>
      </c>
      <c r="I24" s="7">
        <f t="shared" si="64"/>
        <v>0.7946</v>
      </c>
      <c r="J24" s="7">
        <f t="shared" si="64"/>
        <v>0.7946</v>
      </c>
      <c r="K24" s="4"/>
      <c r="L24" s="4"/>
      <c r="M24" s="9">
        <v>5.937</v>
      </c>
      <c r="N24" s="9">
        <v>5.845</v>
      </c>
      <c r="O24" s="9">
        <v>5.575</v>
      </c>
      <c r="P24" s="9">
        <v>5.276</v>
      </c>
      <c r="Q24" s="9">
        <v>5.363</v>
      </c>
      <c r="R24" s="9">
        <v>6.645</v>
      </c>
      <c r="S24" s="9">
        <v>5.654</v>
      </c>
      <c r="T24" s="9"/>
      <c r="U24" s="2" t="s">
        <v>195</v>
      </c>
      <c r="V24" s="6" t="s">
        <v>196</v>
      </c>
      <c r="W24" s="12">
        <f t="shared" ref="W24:AC24" si="65">D24/M24</f>
        <v>0.142024591544551</v>
      </c>
      <c r="X24" s="12">
        <f t="shared" si="65"/>
        <v>0.137519247219846</v>
      </c>
      <c r="Y24" s="12">
        <f t="shared" si="65"/>
        <v>0.142529147982063</v>
      </c>
      <c r="Z24" s="12">
        <f t="shared" si="65"/>
        <v>0.145280515542077</v>
      </c>
      <c r="AA24" s="12">
        <f t="shared" si="65"/>
        <v>0.150400895021443</v>
      </c>
      <c r="AB24" s="15">
        <f t="shared" si="65"/>
        <v>0.119578630549285</v>
      </c>
      <c r="AC24" s="15">
        <f t="shared" si="65"/>
        <v>0.140537672444287</v>
      </c>
      <c r="AD24" s="4"/>
      <c r="AE24" s="4"/>
      <c r="AF24" s="12">
        <f t="shared" ref="AF24:AJ24" si="66">W24</f>
        <v>0.142024591544551</v>
      </c>
      <c r="AG24" s="12">
        <f t="shared" si="66"/>
        <v>0.137519247219846</v>
      </c>
      <c r="AH24" s="12">
        <f t="shared" si="66"/>
        <v>0.142529147982063</v>
      </c>
      <c r="AI24" s="12">
        <f t="shared" si="66"/>
        <v>0.145280515542077</v>
      </c>
      <c r="AJ24" s="12">
        <f t="shared" si="66"/>
        <v>0.150400895021443</v>
      </c>
      <c r="AK24" s="16">
        <f t="shared" ref="AK24:AK38" si="67">AB24*1.15</f>
        <v>0.137515425131678</v>
      </c>
      <c r="AL24" s="16">
        <f t="shared" ref="AL24:AL38" si="68">AC24*1.15</f>
        <v>0.16161832331093</v>
      </c>
      <c r="AM24" s="4"/>
      <c r="AN24" s="4"/>
      <c r="AO24" s="12">
        <f t="shared" ref="AO24:AS24" si="69">W24</f>
        <v>0.142024591544551</v>
      </c>
      <c r="AP24" s="12">
        <f t="shared" si="69"/>
        <v>0.137519247219846</v>
      </c>
      <c r="AQ24" s="12">
        <f t="shared" si="69"/>
        <v>0.142529147982063</v>
      </c>
      <c r="AR24" s="12">
        <f t="shared" si="69"/>
        <v>0.145280515542077</v>
      </c>
      <c r="AS24" s="12">
        <f t="shared" si="69"/>
        <v>0.150400895021443</v>
      </c>
      <c r="AT24" s="16">
        <f t="shared" ref="AT24:AT38" si="70">AB24*0.85</f>
        <v>0.101641835966892</v>
      </c>
      <c r="AU24" s="16">
        <f t="shared" ref="AU24:AU38" si="71">AC24*0.85</f>
        <v>0.119457021577644</v>
      </c>
      <c r="AZ24" s="2" t="s">
        <v>195</v>
      </c>
      <c r="BA24" s="6" t="s">
        <v>196</v>
      </c>
      <c r="BB24" s="7">
        <v>889.8</v>
      </c>
      <c r="BC24" s="12">
        <v>843.2</v>
      </c>
      <c r="BD24" s="12">
        <v>803.8</v>
      </c>
      <c r="BE24" s="12">
        <v>794.6</v>
      </c>
      <c r="BF24" s="12">
        <v>766.5</v>
      </c>
      <c r="BG24" s="12">
        <v>806.6</v>
      </c>
      <c r="BH24" s="12">
        <v>794.6</v>
      </c>
      <c r="BI24" s="12">
        <v>794.6</v>
      </c>
      <c r="BJ24" s="4"/>
      <c r="BK24" s="4"/>
      <c r="BL24" s="9"/>
      <c r="BM24" s="9"/>
      <c r="BN24" s="9"/>
      <c r="BO24" s="9"/>
    </row>
    <row r="25" ht="15.5" spans="1:67">
      <c r="A25" s="2"/>
      <c r="B25" s="6" t="s">
        <v>197</v>
      </c>
      <c r="C25" s="7">
        <f t="shared" ref="C25:J25" si="72">BB25/1000</f>
        <v>0.8124</v>
      </c>
      <c r="D25" s="7">
        <f t="shared" si="72"/>
        <v>0.7746</v>
      </c>
      <c r="E25" s="7">
        <f t="shared" si="72"/>
        <v>0.739</v>
      </c>
      <c r="F25" s="7">
        <f t="shared" si="72"/>
        <v>0.7307</v>
      </c>
      <c r="G25" s="7">
        <f t="shared" si="72"/>
        <v>0.7045</v>
      </c>
      <c r="H25" s="7">
        <f t="shared" si="72"/>
        <v>0.7424</v>
      </c>
      <c r="I25" s="7">
        <f t="shared" si="72"/>
        <v>0.7307</v>
      </c>
      <c r="J25" s="7">
        <f t="shared" si="72"/>
        <v>0.7307</v>
      </c>
      <c r="K25" s="4"/>
      <c r="L25" s="4"/>
      <c r="M25" s="10">
        <v>5.937</v>
      </c>
      <c r="N25" s="10">
        <v>5.845</v>
      </c>
      <c r="O25" s="10">
        <v>5.575</v>
      </c>
      <c r="P25" s="10">
        <v>5.276</v>
      </c>
      <c r="Q25" s="10">
        <v>5.363</v>
      </c>
      <c r="R25" s="10">
        <v>6.645</v>
      </c>
      <c r="S25" s="10">
        <v>5.654</v>
      </c>
      <c r="T25" s="10"/>
      <c r="U25" s="2"/>
      <c r="V25" s="6" t="s">
        <v>197</v>
      </c>
      <c r="W25" s="12">
        <f t="shared" ref="W25:AC25" si="73">D25/M25</f>
        <v>0.130469934310258</v>
      </c>
      <c r="X25" s="12">
        <f t="shared" si="73"/>
        <v>0.126432848588537</v>
      </c>
      <c r="Y25" s="12">
        <f t="shared" si="73"/>
        <v>0.131067264573991</v>
      </c>
      <c r="Z25" s="12">
        <f t="shared" si="73"/>
        <v>0.133529188779378</v>
      </c>
      <c r="AA25" s="12">
        <f t="shared" si="73"/>
        <v>0.138429983218348</v>
      </c>
      <c r="AB25" s="15">
        <f t="shared" si="73"/>
        <v>0.109962377727615</v>
      </c>
      <c r="AC25" s="15">
        <f t="shared" si="73"/>
        <v>0.129235939158118</v>
      </c>
      <c r="AD25" s="4"/>
      <c r="AE25" s="4"/>
      <c r="AF25" s="12">
        <f t="shared" ref="AF25:AJ25" si="74">W25</f>
        <v>0.130469934310258</v>
      </c>
      <c r="AG25" s="12">
        <f t="shared" si="74"/>
        <v>0.126432848588537</v>
      </c>
      <c r="AH25" s="12">
        <f t="shared" si="74"/>
        <v>0.131067264573991</v>
      </c>
      <c r="AI25" s="12">
        <f t="shared" si="74"/>
        <v>0.133529188779378</v>
      </c>
      <c r="AJ25" s="12">
        <f t="shared" si="74"/>
        <v>0.138429983218348</v>
      </c>
      <c r="AK25" s="16">
        <f t="shared" si="67"/>
        <v>0.126456734386757</v>
      </c>
      <c r="AL25" s="16">
        <f t="shared" si="68"/>
        <v>0.148621330031836</v>
      </c>
      <c r="AM25" s="4"/>
      <c r="AN25" s="4"/>
      <c r="AO25" s="12">
        <f t="shared" ref="AO25:AS25" si="75">W25</f>
        <v>0.130469934310258</v>
      </c>
      <c r="AP25" s="12">
        <f t="shared" si="75"/>
        <v>0.126432848588537</v>
      </c>
      <c r="AQ25" s="12">
        <f t="shared" si="75"/>
        <v>0.131067264573991</v>
      </c>
      <c r="AR25" s="12">
        <f t="shared" si="75"/>
        <v>0.133529188779378</v>
      </c>
      <c r="AS25" s="12">
        <f t="shared" si="75"/>
        <v>0.138429983218348</v>
      </c>
      <c r="AT25" s="16">
        <f t="shared" si="70"/>
        <v>0.0934680210684725</v>
      </c>
      <c r="AU25" s="16">
        <f t="shared" si="71"/>
        <v>0.1098505482844</v>
      </c>
      <c r="AZ25" s="2"/>
      <c r="BA25" s="6" t="s">
        <v>197</v>
      </c>
      <c r="BB25" s="7">
        <v>812.4</v>
      </c>
      <c r="BC25" s="12">
        <v>774.6</v>
      </c>
      <c r="BD25" s="12">
        <v>739</v>
      </c>
      <c r="BE25" s="12">
        <v>730.7</v>
      </c>
      <c r="BF25" s="12">
        <v>704.5</v>
      </c>
      <c r="BG25" s="12">
        <v>742.4</v>
      </c>
      <c r="BH25" s="12">
        <v>730.7</v>
      </c>
      <c r="BI25" s="12">
        <v>730.7</v>
      </c>
      <c r="BJ25" s="4"/>
      <c r="BK25" s="4"/>
      <c r="BL25" s="10"/>
      <c r="BM25" s="10"/>
      <c r="BN25" s="10"/>
      <c r="BO25" s="10"/>
    </row>
    <row r="26" ht="15.5" spans="1:67">
      <c r="A26" s="2"/>
      <c r="B26" s="6" t="s">
        <v>198</v>
      </c>
      <c r="C26" s="7">
        <f t="shared" ref="C26:J26" si="76">BB26/1000</f>
        <v>0.1699</v>
      </c>
      <c r="D26" s="7">
        <f t="shared" si="76"/>
        <v>0.1497</v>
      </c>
      <c r="E26" s="7">
        <f t="shared" si="76"/>
        <v>0.1418</v>
      </c>
      <c r="F26" s="7">
        <f t="shared" si="76"/>
        <v>0.1399</v>
      </c>
      <c r="G26" s="7">
        <f t="shared" si="76"/>
        <v>0.1359</v>
      </c>
      <c r="H26" s="7">
        <f t="shared" si="76"/>
        <v>0.1408</v>
      </c>
      <c r="I26" s="7">
        <f t="shared" si="76"/>
        <v>0.1399</v>
      </c>
      <c r="J26" s="7">
        <f t="shared" si="76"/>
        <v>0.1399</v>
      </c>
      <c r="K26" s="4"/>
      <c r="L26" s="4"/>
      <c r="M26" s="10">
        <v>5.937</v>
      </c>
      <c r="N26" s="10">
        <v>5.845</v>
      </c>
      <c r="O26" s="10">
        <v>5.575</v>
      </c>
      <c r="P26" s="10">
        <v>5.276</v>
      </c>
      <c r="Q26" s="10">
        <v>5.363</v>
      </c>
      <c r="R26" s="10">
        <v>6.645</v>
      </c>
      <c r="S26" s="10">
        <v>5.654</v>
      </c>
      <c r="T26" s="10"/>
      <c r="U26" s="2"/>
      <c r="V26" s="6" t="s">
        <v>198</v>
      </c>
      <c r="W26" s="12">
        <f t="shared" ref="W26:AC26" si="77">D26/M26</f>
        <v>0.0252147549267307</v>
      </c>
      <c r="X26" s="12">
        <f t="shared" si="77"/>
        <v>0.0242600513259196</v>
      </c>
      <c r="Y26" s="12">
        <f t="shared" si="77"/>
        <v>0.0250941704035874</v>
      </c>
      <c r="Z26" s="12">
        <f t="shared" si="77"/>
        <v>0.0257581501137225</v>
      </c>
      <c r="AA26" s="12">
        <f t="shared" si="77"/>
        <v>0.0262539623345143</v>
      </c>
      <c r="AB26" s="15">
        <f t="shared" si="77"/>
        <v>0.0210534236267871</v>
      </c>
      <c r="AC26" s="15">
        <f t="shared" si="77"/>
        <v>0.0247435443933498</v>
      </c>
      <c r="AD26" s="4"/>
      <c r="AE26" s="4"/>
      <c r="AF26" s="12">
        <f t="shared" ref="AF26:AJ26" si="78">W26</f>
        <v>0.0252147549267307</v>
      </c>
      <c r="AG26" s="12">
        <f t="shared" si="78"/>
        <v>0.0242600513259196</v>
      </c>
      <c r="AH26" s="12">
        <f t="shared" si="78"/>
        <v>0.0250941704035874</v>
      </c>
      <c r="AI26" s="12">
        <f t="shared" si="78"/>
        <v>0.0257581501137225</v>
      </c>
      <c r="AJ26" s="12">
        <f t="shared" si="78"/>
        <v>0.0262539623345143</v>
      </c>
      <c r="AK26" s="16">
        <f t="shared" si="67"/>
        <v>0.0242114371708051</v>
      </c>
      <c r="AL26" s="16">
        <f t="shared" si="68"/>
        <v>0.0284550760523523</v>
      </c>
      <c r="AM26" s="4"/>
      <c r="AN26" s="4"/>
      <c r="AO26" s="12">
        <f t="shared" ref="AO26:AS26" si="79">W26</f>
        <v>0.0252147549267307</v>
      </c>
      <c r="AP26" s="12">
        <f t="shared" si="79"/>
        <v>0.0242600513259196</v>
      </c>
      <c r="AQ26" s="12">
        <f t="shared" si="79"/>
        <v>0.0250941704035874</v>
      </c>
      <c r="AR26" s="12">
        <f t="shared" si="79"/>
        <v>0.0257581501137225</v>
      </c>
      <c r="AS26" s="12">
        <f t="shared" si="79"/>
        <v>0.0262539623345143</v>
      </c>
      <c r="AT26" s="16">
        <f t="shared" si="70"/>
        <v>0.017895410082769</v>
      </c>
      <c r="AU26" s="16">
        <f t="shared" si="71"/>
        <v>0.0210320127343474</v>
      </c>
      <c r="AZ26" s="2"/>
      <c r="BA26" s="6" t="s">
        <v>198</v>
      </c>
      <c r="BB26" s="7">
        <v>169.9</v>
      </c>
      <c r="BC26" s="12">
        <v>149.7</v>
      </c>
      <c r="BD26" s="12">
        <v>141.8</v>
      </c>
      <c r="BE26" s="12">
        <v>139.9</v>
      </c>
      <c r="BF26" s="12">
        <v>135.9</v>
      </c>
      <c r="BG26" s="12">
        <v>140.8</v>
      </c>
      <c r="BH26" s="12">
        <v>139.9</v>
      </c>
      <c r="BI26" s="12">
        <v>139.9</v>
      </c>
      <c r="BJ26" s="4"/>
      <c r="BK26" s="4"/>
      <c r="BL26" s="10"/>
      <c r="BM26" s="10"/>
      <c r="BN26" s="10"/>
      <c r="BO26" s="10"/>
    </row>
    <row r="27" ht="15.5" spans="1:67">
      <c r="A27" s="2"/>
      <c r="B27" s="6" t="s">
        <v>199</v>
      </c>
      <c r="C27" s="7">
        <f t="shared" ref="C27:J27" si="80">BB27/1000</f>
        <v>0.5978</v>
      </c>
      <c r="D27" s="7">
        <f t="shared" si="80"/>
        <v>0.5807</v>
      </c>
      <c r="E27" s="7">
        <f t="shared" si="80"/>
        <v>0.554</v>
      </c>
      <c r="F27" s="7">
        <f t="shared" si="80"/>
        <v>0.5478</v>
      </c>
      <c r="G27" s="7">
        <f t="shared" si="80"/>
        <v>0.526</v>
      </c>
      <c r="H27" s="7">
        <f t="shared" si="80"/>
        <v>0.5575</v>
      </c>
      <c r="I27" s="7">
        <f t="shared" si="80"/>
        <v>0.5478</v>
      </c>
      <c r="J27" s="7">
        <f t="shared" si="80"/>
        <v>0.5478</v>
      </c>
      <c r="K27" s="4"/>
      <c r="L27" s="4"/>
      <c r="M27" s="10">
        <v>5.937</v>
      </c>
      <c r="N27" s="10">
        <v>5.845</v>
      </c>
      <c r="O27" s="10">
        <v>5.575</v>
      </c>
      <c r="P27" s="10">
        <v>5.276</v>
      </c>
      <c r="Q27" s="10">
        <v>5.363</v>
      </c>
      <c r="R27" s="10">
        <v>6.645</v>
      </c>
      <c r="S27" s="10">
        <v>5.654</v>
      </c>
      <c r="T27" s="10"/>
      <c r="U27" s="2"/>
      <c r="V27" s="6" t="s">
        <v>199</v>
      </c>
      <c r="W27" s="12">
        <f t="shared" ref="W27:AC27" si="81">D27/M27</f>
        <v>0.0978103419235304</v>
      </c>
      <c r="X27" s="12">
        <f t="shared" si="81"/>
        <v>0.0947818648417451</v>
      </c>
      <c r="Y27" s="12">
        <f t="shared" si="81"/>
        <v>0.0982600896860986</v>
      </c>
      <c r="Z27" s="12">
        <f t="shared" si="81"/>
        <v>0.099696739954511</v>
      </c>
      <c r="AA27" s="12">
        <f t="shared" si="81"/>
        <v>0.103953011374231</v>
      </c>
      <c r="AB27" s="15">
        <f t="shared" si="81"/>
        <v>0.0824379232505643</v>
      </c>
      <c r="AC27" s="15">
        <f t="shared" si="81"/>
        <v>0.0968871595330739</v>
      </c>
      <c r="AD27" s="4"/>
      <c r="AE27" s="4"/>
      <c r="AF27" s="12">
        <f t="shared" ref="AF27:AJ27" si="82">W27</f>
        <v>0.0978103419235304</v>
      </c>
      <c r="AG27" s="12">
        <f t="shared" si="82"/>
        <v>0.0947818648417451</v>
      </c>
      <c r="AH27" s="12">
        <f t="shared" si="82"/>
        <v>0.0982600896860986</v>
      </c>
      <c r="AI27" s="12">
        <f t="shared" si="82"/>
        <v>0.099696739954511</v>
      </c>
      <c r="AJ27" s="12">
        <f t="shared" si="82"/>
        <v>0.103953011374231</v>
      </c>
      <c r="AK27" s="16">
        <f t="shared" si="67"/>
        <v>0.094803611738149</v>
      </c>
      <c r="AL27" s="16">
        <f t="shared" si="68"/>
        <v>0.111420233463035</v>
      </c>
      <c r="AM27" s="4"/>
      <c r="AN27" s="4"/>
      <c r="AO27" s="12">
        <f t="shared" ref="AO27:AS27" si="83">W27</f>
        <v>0.0978103419235304</v>
      </c>
      <c r="AP27" s="12">
        <f t="shared" si="83"/>
        <v>0.0947818648417451</v>
      </c>
      <c r="AQ27" s="12">
        <f t="shared" si="83"/>
        <v>0.0982600896860986</v>
      </c>
      <c r="AR27" s="12">
        <f t="shared" si="83"/>
        <v>0.099696739954511</v>
      </c>
      <c r="AS27" s="12">
        <f t="shared" si="83"/>
        <v>0.103953011374231</v>
      </c>
      <c r="AT27" s="16">
        <f t="shared" si="70"/>
        <v>0.0700722347629797</v>
      </c>
      <c r="AU27" s="16">
        <f t="shared" si="71"/>
        <v>0.0823540856031128</v>
      </c>
      <c r="AZ27" s="2"/>
      <c r="BA27" s="6" t="s">
        <v>199</v>
      </c>
      <c r="BB27" s="7">
        <v>597.8</v>
      </c>
      <c r="BC27" s="12">
        <v>580.7</v>
      </c>
      <c r="BD27" s="12">
        <v>554</v>
      </c>
      <c r="BE27" s="12">
        <v>547.8</v>
      </c>
      <c r="BF27" s="12">
        <v>526</v>
      </c>
      <c r="BG27" s="12">
        <v>557.5</v>
      </c>
      <c r="BH27" s="12">
        <v>547.8</v>
      </c>
      <c r="BI27" s="12">
        <v>547.8</v>
      </c>
      <c r="BJ27" s="4"/>
      <c r="BK27" s="4"/>
      <c r="BL27" s="10"/>
      <c r="BM27" s="10"/>
      <c r="BN27" s="10"/>
      <c r="BO27" s="10"/>
    </row>
    <row r="28" ht="15.5" spans="1:67">
      <c r="A28" s="2"/>
      <c r="B28" s="6" t="s">
        <v>200</v>
      </c>
      <c r="C28" s="7">
        <f t="shared" ref="C28:J28" si="84">BB28/1000</f>
        <v>0.085</v>
      </c>
      <c r="D28" s="7">
        <f t="shared" si="84"/>
        <v>0.0786</v>
      </c>
      <c r="E28" s="7">
        <f t="shared" si="84"/>
        <v>0.0763</v>
      </c>
      <c r="F28" s="7">
        <f t="shared" si="84"/>
        <v>0.0759</v>
      </c>
      <c r="G28" s="7">
        <f t="shared" si="84"/>
        <v>0.0737</v>
      </c>
      <c r="H28" s="7">
        <f t="shared" si="84"/>
        <v>0.076</v>
      </c>
      <c r="I28" s="7">
        <f t="shared" si="84"/>
        <v>0.0759</v>
      </c>
      <c r="J28" s="7">
        <f t="shared" si="84"/>
        <v>0.0759</v>
      </c>
      <c r="K28" s="4"/>
      <c r="L28" s="4"/>
      <c r="M28" s="10">
        <v>5.937</v>
      </c>
      <c r="N28" s="10">
        <v>5.845</v>
      </c>
      <c r="O28" s="10">
        <v>5.575</v>
      </c>
      <c r="P28" s="10">
        <v>5.276</v>
      </c>
      <c r="Q28" s="10">
        <v>5.363</v>
      </c>
      <c r="R28" s="10">
        <v>6.645</v>
      </c>
      <c r="S28" s="10">
        <v>5.654</v>
      </c>
      <c r="T28" s="10"/>
      <c r="U28" s="2"/>
      <c r="V28" s="6" t="s">
        <v>200</v>
      </c>
      <c r="W28" s="12">
        <f t="shared" ref="W28:AC28" si="85">D28/M28</f>
        <v>0.0132390096008085</v>
      </c>
      <c r="X28" s="12">
        <f t="shared" si="85"/>
        <v>0.0130538922155689</v>
      </c>
      <c r="Y28" s="12">
        <f t="shared" si="85"/>
        <v>0.0136143497757848</v>
      </c>
      <c r="Z28" s="12">
        <f t="shared" si="85"/>
        <v>0.0139689158453374</v>
      </c>
      <c r="AA28" s="12">
        <f t="shared" si="85"/>
        <v>0.0141711728510162</v>
      </c>
      <c r="AB28" s="15">
        <f t="shared" si="85"/>
        <v>0.0114221218961625</v>
      </c>
      <c r="AC28" s="15">
        <f t="shared" si="85"/>
        <v>0.0134241245136187</v>
      </c>
      <c r="AD28" s="4"/>
      <c r="AE28" s="4"/>
      <c r="AF28" s="12">
        <f t="shared" ref="AF28:AJ28" si="86">W28</f>
        <v>0.0132390096008085</v>
      </c>
      <c r="AG28" s="12">
        <f t="shared" si="86"/>
        <v>0.0130538922155689</v>
      </c>
      <c r="AH28" s="12">
        <f t="shared" si="86"/>
        <v>0.0136143497757848</v>
      </c>
      <c r="AI28" s="12">
        <f t="shared" si="86"/>
        <v>0.0139689158453374</v>
      </c>
      <c r="AJ28" s="12">
        <f t="shared" si="86"/>
        <v>0.0141711728510162</v>
      </c>
      <c r="AK28" s="16">
        <f t="shared" si="67"/>
        <v>0.0131354401805869</v>
      </c>
      <c r="AL28" s="16">
        <f t="shared" si="68"/>
        <v>0.0154377431906615</v>
      </c>
      <c r="AM28" s="4"/>
      <c r="AN28" s="4"/>
      <c r="AO28" s="12">
        <f t="shared" ref="AO28:AS28" si="87">W28</f>
        <v>0.0132390096008085</v>
      </c>
      <c r="AP28" s="12">
        <f t="shared" si="87"/>
        <v>0.0130538922155689</v>
      </c>
      <c r="AQ28" s="12">
        <f t="shared" si="87"/>
        <v>0.0136143497757848</v>
      </c>
      <c r="AR28" s="12">
        <f t="shared" si="87"/>
        <v>0.0139689158453374</v>
      </c>
      <c r="AS28" s="12">
        <f t="shared" si="87"/>
        <v>0.0141711728510162</v>
      </c>
      <c r="AT28" s="16">
        <f t="shared" si="70"/>
        <v>0.00970880361173815</v>
      </c>
      <c r="AU28" s="16">
        <f t="shared" si="71"/>
        <v>0.0114105058365759</v>
      </c>
      <c r="AZ28" s="2"/>
      <c r="BA28" s="6" t="s">
        <v>200</v>
      </c>
      <c r="BB28" s="7">
        <v>85</v>
      </c>
      <c r="BC28" s="12">
        <v>78.6</v>
      </c>
      <c r="BD28" s="12">
        <v>76.3</v>
      </c>
      <c r="BE28" s="12">
        <v>75.9</v>
      </c>
      <c r="BF28" s="12">
        <v>73.7</v>
      </c>
      <c r="BG28" s="12">
        <v>76</v>
      </c>
      <c r="BH28" s="12">
        <v>75.9</v>
      </c>
      <c r="BI28" s="12">
        <v>75.9</v>
      </c>
      <c r="BJ28" s="4"/>
      <c r="BK28" s="4"/>
      <c r="BL28" s="10"/>
      <c r="BM28" s="10"/>
      <c r="BN28" s="10"/>
      <c r="BO28" s="10"/>
    </row>
    <row r="29" ht="15.5" spans="1:67">
      <c r="A29" s="2" t="s">
        <v>201</v>
      </c>
      <c r="B29" s="6" t="s">
        <v>196</v>
      </c>
      <c r="C29" s="7">
        <f t="shared" ref="C29:J29" si="88">BB29/1000</f>
        <v>0.9068</v>
      </c>
      <c r="D29" s="7">
        <f t="shared" si="88"/>
        <v>0.8586</v>
      </c>
      <c r="E29" s="7">
        <f t="shared" si="88"/>
        <v>0.8184</v>
      </c>
      <c r="F29" s="7">
        <f t="shared" si="88"/>
        <v>0.8091</v>
      </c>
      <c r="G29" s="7">
        <f t="shared" si="88"/>
        <v>0.7811</v>
      </c>
      <c r="H29" s="7">
        <f t="shared" si="88"/>
        <v>0.8217</v>
      </c>
      <c r="I29" s="7">
        <f t="shared" si="88"/>
        <v>0.8091</v>
      </c>
      <c r="J29" s="7">
        <f t="shared" si="88"/>
        <v>0.8091</v>
      </c>
      <c r="K29" s="4"/>
      <c r="L29" s="4"/>
      <c r="M29" s="10">
        <v>5.937</v>
      </c>
      <c r="N29" s="10">
        <v>5.845</v>
      </c>
      <c r="O29" s="10">
        <v>5.575</v>
      </c>
      <c r="P29" s="10">
        <v>5.276</v>
      </c>
      <c r="Q29" s="10">
        <v>5.363</v>
      </c>
      <c r="R29" s="10">
        <v>6.645</v>
      </c>
      <c r="S29" s="10">
        <v>5.654</v>
      </c>
      <c r="T29" s="10"/>
      <c r="U29" s="2" t="s">
        <v>201</v>
      </c>
      <c r="V29" s="6" t="s">
        <v>196</v>
      </c>
      <c r="W29" s="12">
        <f t="shared" ref="W29:AC29" si="89">D29/M29</f>
        <v>0.144618494188984</v>
      </c>
      <c r="X29" s="12">
        <f t="shared" si="89"/>
        <v>0.140017108639863</v>
      </c>
      <c r="Y29" s="12">
        <f t="shared" si="89"/>
        <v>0.145130044843049</v>
      </c>
      <c r="Z29" s="12">
        <f t="shared" si="89"/>
        <v>0.148047763457165</v>
      </c>
      <c r="AA29" s="12">
        <f t="shared" si="89"/>
        <v>0.153216483311579</v>
      </c>
      <c r="AB29" s="15">
        <f t="shared" si="89"/>
        <v>0.12176072234763</v>
      </c>
      <c r="AC29" s="15">
        <f t="shared" si="89"/>
        <v>0.143102228510789</v>
      </c>
      <c r="AD29" s="4"/>
      <c r="AE29" s="4"/>
      <c r="AF29" s="12">
        <f t="shared" ref="AF29:AJ29" si="90">W29</f>
        <v>0.144618494188984</v>
      </c>
      <c r="AG29" s="12">
        <f t="shared" si="90"/>
        <v>0.140017108639863</v>
      </c>
      <c r="AH29" s="12">
        <f t="shared" si="90"/>
        <v>0.145130044843049</v>
      </c>
      <c r="AI29" s="12">
        <f t="shared" si="90"/>
        <v>0.148047763457165</v>
      </c>
      <c r="AJ29" s="12">
        <f t="shared" si="90"/>
        <v>0.153216483311579</v>
      </c>
      <c r="AK29" s="16">
        <f t="shared" si="67"/>
        <v>0.140024830699774</v>
      </c>
      <c r="AL29" s="16">
        <f t="shared" si="68"/>
        <v>0.164567562787407</v>
      </c>
      <c r="AM29" s="4"/>
      <c r="AN29" s="4"/>
      <c r="AO29" s="12">
        <f t="shared" ref="AO29:AS29" si="91">W29</f>
        <v>0.144618494188984</v>
      </c>
      <c r="AP29" s="12">
        <f t="shared" si="91"/>
        <v>0.140017108639863</v>
      </c>
      <c r="AQ29" s="12">
        <f t="shared" si="91"/>
        <v>0.145130044843049</v>
      </c>
      <c r="AR29" s="12">
        <f t="shared" si="91"/>
        <v>0.148047763457165</v>
      </c>
      <c r="AS29" s="12">
        <f t="shared" si="91"/>
        <v>0.153216483311579</v>
      </c>
      <c r="AT29" s="16">
        <f t="shared" si="70"/>
        <v>0.103496613995485</v>
      </c>
      <c r="AU29" s="16">
        <f t="shared" si="71"/>
        <v>0.12163689423417</v>
      </c>
      <c r="AZ29" s="2" t="s">
        <v>201</v>
      </c>
      <c r="BA29" s="6" t="s">
        <v>196</v>
      </c>
      <c r="BB29" s="7">
        <v>906.8</v>
      </c>
      <c r="BC29" s="12">
        <v>858.6</v>
      </c>
      <c r="BD29" s="12">
        <v>818.4</v>
      </c>
      <c r="BE29" s="12">
        <v>809.1</v>
      </c>
      <c r="BF29" s="12">
        <v>781.1</v>
      </c>
      <c r="BG29" s="12">
        <v>821.7</v>
      </c>
      <c r="BH29" s="12">
        <v>809.1</v>
      </c>
      <c r="BI29" s="12">
        <v>809.1</v>
      </c>
      <c r="BJ29" s="4"/>
      <c r="BK29" s="4"/>
      <c r="BL29" s="10"/>
      <c r="BM29" s="10"/>
      <c r="BN29" s="10"/>
      <c r="BO29" s="10"/>
    </row>
    <row r="30" ht="15.5" spans="1:67">
      <c r="A30" s="2"/>
      <c r="B30" s="6" t="s">
        <v>197</v>
      </c>
      <c r="C30" s="7">
        <f t="shared" ref="C30:J30" si="92">BB30/1000</f>
        <v>0.8303</v>
      </c>
      <c r="D30" s="7">
        <f t="shared" si="92"/>
        <v>0.7909</v>
      </c>
      <c r="E30" s="7">
        <f t="shared" si="92"/>
        <v>0.7545</v>
      </c>
      <c r="F30" s="7">
        <f t="shared" si="92"/>
        <v>0.746</v>
      </c>
      <c r="G30" s="7">
        <f t="shared" si="92"/>
        <v>0.7199</v>
      </c>
      <c r="H30" s="7">
        <f t="shared" si="92"/>
        <v>0.7584</v>
      </c>
      <c r="I30" s="7">
        <f t="shared" si="92"/>
        <v>0.746</v>
      </c>
      <c r="J30" s="7">
        <f t="shared" si="92"/>
        <v>0.746</v>
      </c>
      <c r="K30" s="4"/>
      <c r="L30" s="4"/>
      <c r="M30" s="10">
        <v>5.937</v>
      </c>
      <c r="N30" s="10">
        <v>5.845</v>
      </c>
      <c r="O30" s="10">
        <v>5.575</v>
      </c>
      <c r="P30" s="10">
        <v>5.276</v>
      </c>
      <c r="Q30" s="10">
        <v>5.363</v>
      </c>
      <c r="R30" s="10">
        <v>6.645</v>
      </c>
      <c r="S30" s="10">
        <v>5.654</v>
      </c>
      <c r="T30" s="10"/>
      <c r="U30" s="2"/>
      <c r="V30" s="6" t="s">
        <v>197</v>
      </c>
      <c r="W30" s="12">
        <f t="shared" ref="W30:AC30" si="93">D30/M30</f>
        <v>0.133215428667677</v>
      </c>
      <c r="X30" s="12">
        <f t="shared" si="93"/>
        <v>0.129084687767322</v>
      </c>
      <c r="Y30" s="12">
        <f t="shared" si="93"/>
        <v>0.133811659192825</v>
      </c>
      <c r="Z30" s="12">
        <f t="shared" si="93"/>
        <v>0.13644806671721</v>
      </c>
      <c r="AA30" s="12">
        <f t="shared" si="93"/>
        <v>0.141413388029088</v>
      </c>
      <c r="AB30" s="15">
        <f t="shared" si="93"/>
        <v>0.112264860797592</v>
      </c>
      <c r="AC30" s="15">
        <f t="shared" si="93"/>
        <v>0.131941987973116</v>
      </c>
      <c r="AD30" s="4"/>
      <c r="AE30" s="4"/>
      <c r="AF30" s="12">
        <f t="shared" ref="AF30:AJ30" si="94">W30</f>
        <v>0.133215428667677</v>
      </c>
      <c r="AG30" s="12">
        <f t="shared" si="94"/>
        <v>0.129084687767322</v>
      </c>
      <c r="AH30" s="12">
        <f t="shared" si="94"/>
        <v>0.133811659192825</v>
      </c>
      <c r="AI30" s="12">
        <f t="shared" si="94"/>
        <v>0.13644806671721</v>
      </c>
      <c r="AJ30" s="12">
        <f t="shared" si="94"/>
        <v>0.141413388029088</v>
      </c>
      <c r="AK30" s="16">
        <f t="shared" si="67"/>
        <v>0.129104589917231</v>
      </c>
      <c r="AL30" s="16">
        <f t="shared" si="68"/>
        <v>0.151733286169084</v>
      </c>
      <c r="AM30" s="4"/>
      <c r="AN30" s="4"/>
      <c r="AO30" s="12">
        <f t="shared" ref="AO30:AS30" si="95">W30</f>
        <v>0.133215428667677</v>
      </c>
      <c r="AP30" s="12">
        <f t="shared" si="95"/>
        <v>0.129084687767322</v>
      </c>
      <c r="AQ30" s="12">
        <f t="shared" si="95"/>
        <v>0.133811659192825</v>
      </c>
      <c r="AR30" s="12">
        <f t="shared" si="95"/>
        <v>0.13644806671721</v>
      </c>
      <c r="AS30" s="12">
        <f t="shared" si="95"/>
        <v>0.141413388029088</v>
      </c>
      <c r="AT30" s="16">
        <f t="shared" si="70"/>
        <v>0.0954251316779534</v>
      </c>
      <c r="AU30" s="16">
        <f t="shared" si="71"/>
        <v>0.112150689777149</v>
      </c>
      <c r="AZ30" s="2"/>
      <c r="BA30" s="6" t="s">
        <v>197</v>
      </c>
      <c r="BB30" s="7">
        <v>830.3</v>
      </c>
      <c r="BC30" s="12">
        <v>790.9</v>
      </c>
      <c r="BD30" s="12">
        <v>754.5</v>
      </c>
      <c r="BE30" s="12">
        <v>746</v>
      </c>
      <c r="BF30" s="12">
        <v>719.9</v>
      </c>
      <c r="BG30" s="12">
        <v>758.4</v>
      </c>
      <c r="BH30" s="12">
        <v>746</v>
      </c>
      <c r="BI30" s="12">
        <v>746</v>
      </c>
      <c r="BJ30" s="4"/>
      <c r="BK30" s="4"/>
      <c r="BL30" s="10"/>
      <c r="BM30" s="10"/>
      <c r="BN30" s="10"/>
      <c r="BO30" s="10"/>
    </row>
    <row r="31" ht="15.5" spans="1:67">
      <c r="A31" s="2"/>
      <c r="B31" s="6" t="s">
        <v>198</v>
      </c>
      <c r="C31" s="7">
        <f t="shared" ref="C31:J31" si="96">BB31/1000</f>
        <v>0.2079</v>
      </c>
      <c r="D31" s="7">
        <f t="shared" si="96"/>
        <v>0.1842</v>
      </c>
      <c r="E31" s="7">
        <f t="shared" si="96"/>
        <v>0.1746</v>
      </c>
      <c r="F31" s="7">
        <f t="shared" si="96"/>
        <v>0.1724</v>
      </c>
      <c r="G31" s="7">
        <f t="shared" si="96"/>
        <v>0.1687</v>
      </c>
      <c r="H31" s="7">
        <f t="shared" si="96"/>
        <v>0.1747</v>
      </c>
      <c r="I31" s="7">
        <f t="shared" si="96"/>
        <v>0.1724</v>
      </c>
      <c r="J31" s="7">
        <f t="shared" si="96"/>
        <v>0.1724</v>
      </c>
      <c r="K31" s="4"/>
      <c r="L31" s="4"/>
      <c r="M31" s="10">
        <v>5.937</v>
      </c>
      <c r="N31" s="10">
        <v>5.845</v>
      </c>
      <c r="O31" s="10">
        <v>5.575</v>
      </c>
      <c r="P31" s="10">
        <v>5.276</v>
      </c>
      <c r="Q31" s="10">
        <v>5.363</v>
      </c>
      <c r="R31" s="10">
        <v>6.645</v>
      </c>
      <c r="S31" s="10">
        <v>5.654</v>
      </c>
      <c r="T31" s="10"/>
      <c r="U31" s="2"/>
      <c r="V31" s="6" t="s">
        <v>198</v>
      </c>
      <c r="W31" s="12">
        <f t="shared" ref="W31:AC31" si="97">D31/M31</f>
        <v>0.0310257705912077</v>
      </c>
      <c r="X31" s="12">
        <f t="shared" si="97"/>
        <v>0.0298716852010265</v>
      </c>
      <c r="Y31" s="12">
        <f t="shared" si="97"/>
        <v>0.0309237668161435</v>
      </c>
      <c r="Z31" s="12">
        <f t="shared" si="97"/>
        <v>0.0319749810462472</v>
      </c>
      <c r="AA31" s="12">
        <f t="shared" si="97"/>
        <v>0.0325750512772702</v>
      </c>
      <c r="AB31" s="15">
        <f t="shared" si="97"/>
        <v>0.0259443190368698</v>
      </c>
      <c r="AC31" s="15">
        <f t="shared" si="97"/>
        <v>0.0304916873010258</v>
      </c>
      <c r="AD31" s="4"/>
      <c r="AE31" s="4"/>
      <c r="AF31" s="12">
        <f t="shared" ref="AF31:AJ31" si="98">W31</f>
        <v>0.0310257705912077</v>
      </c>
      <c r="AG31" s="12">
        <f t="shared" si="98"/>
        <v>0.0298716852010265</v>
      </c>
      <c r="AH31" s="12">
        <f t="shared" si="98"/>
        <v>0.0309237668161435</v>
      </c>
      <c r="AI31" s="12">
        <f t="shared" si="98"/>
        <v>0.0319749810462472</v>
      </c>
      <c r="AJ31" s="12">
        <f t="shared" si="98"/>
        <v>0.0325750512772702</v>
      </c>
      <c r="AK31" s="16">
        <f t="shared" si="67"/>
        <v>0.0298359668924003</v>
      </c>
      <c r="AL31" s="16">
        <f t="shared" si="68"/>
        <v>0.0350654403961797</v>
      </c>
      <c r="AM31" s="4"/>
      <c r="AN31" s="4"/>
      <c r="AO31" s="12">
        <f t="shared" ref="AO31:AS31" si="99">W31</f>
        <v>0.0310257705912077</v>
      </c>
      <c r="AP31" s="12">
        <f t="shared" si="99"/>
        <v>0.0298716852010265</v>
      </c>
      <c r="AQ31" s="12">
        <f t="shared" si="99"/>
        <v>0.0309237668161435</v>
      </c>
      <c r="AR31" s="12">
        <f t="shared" si="99"/>
        <v>0.0319749810462472</v>
      </c>
      <c r="AS31" s="12">
        <f t="shared" si="99"/>
        <v>0.0325750512772702</v>
      </c>
      <c r="AT31" s="16">
        <f t="shared" si="70"/>
        <v>0.0220526711813394</v>
      </c>
      <c r="AU31" s="16">
        <f t="shared" si="71"/>
        <v>0.0259179342058719</v>
      </c>
      <c r="AZ31" s="2"/>
      <c r="BA31" s="6" t="s">
        <v>198</v>
      </c>
      <c r="BB31" s="7">
        <v>207.9</v>
      </c>
      <c r="BC31" s="12">
        <v>184.2</v>
      </c>
      <c r="BD31" s="12">
        <v>174.6</v>
      </c>
      <c r="BE31" s="12">
        <v>172.4</v>
      </c>
      <c r="BF31" s="12">
        <v>168.7</v>
      </c>
      <c r="BG31" s="12">
        <v>174.7</v>
      </c>
      <c r="BH31" s="12">
        <v>172.4</v>
      </c>
      <c r="BI31" s="12">
        <v>172.4</v>
      </c>
      <c r="BJ31" s="4"/>
      <c r="BK31" s="4"/>
      <c r="BL31" s="10"/>
      <c r="BM31" s="10"/>
      <c r="BN31" s="10"/>
      <c r="BO31" s="10"/>
    </row>
    <row r="32" ht="15.5" spans="1:67">
      <c r="A32" s="2"/>
      <c r="B32" s="6" t="s">
        <v>199</v>
      </c>
      <c r="C32" s="7">
        <f t="shared" ref="C32:J32" si="100">BB32/1000</f>
        <v>0.5747</v>
      </c>
      <c r="D32" s="7">
        <f t="shared" si="100"/>
        <v>0.5597</v>
      </c>
      <c r="E32" s="7">
        <f t="shared" si="100"/>
        <v>0.534</v>
      </c>
      <c r="F32" s="7">
        <f t="shared" si="100"/>
        <v>0.528</v>
      </c>
      <c r="G32" s="7">
        <f t="shared" si="100"/>
        <v>0.5061</v>
      </c>
      <c r="H32" s="7">
        <f t="shared" si="100"/>
        <v>0.5369</v>
      </c>
      <c r="I32" s="7">
        <f t="shared" si="100"/>
        <v>0.528</v>
      </c>
      <c r="J32" s="7">
        <f t="shared" si="100"/>
        <v>0.528</v>
      </c>
      <c r="K32" s="4"/>
      <c r="L32" s="4"/>
      <c r="M32" s="10">
        <v>5.937</v>
      </c>
      <c r="N32" s="10">
        <v>5.845</v>
      </c>
      <c r="O32" s="10">
        <v>5.575</v>
      </c>
      <c r="P32" s="10">
        <v>5.276</v>
      </c>
      <c r="Q32" s="10">
        <v>5.363</v>
      </c>
      <c r="R32" s="10">
        <v>6.645</v>
      </c>
      <c r="S32" s="10">
        <v>5.654</v>
      </c>
      <c r="T32" s="10"/>
      <c r="U32" s="2"/>
      <c r="V32" s="6" t="s">
        <v>199</v>
      </c>
      <c r="W32" s="12">
        <f t="shared" ref="W32:AC32" si="101">D32/M32</f>
        <v>0.0942732019538488</v>
      </c>
      <c r="X32" s="12">
        <f t="shared" si="101"/>
        <v>0.0913601368691189</v>
      </c>
      <c r="Y32" s="12">
        <f t="shared" si="101"/>
        <v>0.0947085201793722</v>
      </c>
      <c r="Z32" s="12">
        <f t="shared" si="101"/>
        <v>0.0959249431387415</v>
      </c>
      <c r="AA32" s="12">
        <f t="shared" si="101"/>
        <v>0.100111877680403</v>
      </c>
      <c r="AB32" s="15">
        <f t="shared" si="101"/>
        <v>0.0794582392776524</v>
      </c>
      <c r="AC32" s="15">
        <f t="shared" si="101"/>
        <v>0.0933852140077821</v>
      </c>
      <c r="AD32" s="4"/>
      <c r="AE32" s="4"/>
      <c r="AF32" s="12">
        <f t="shared" ref="AF32:AJ32" si="102">W32</f>
        <v>0.0942732019538488</v>
      </c>
      <c r="AG32" s="12">
        <f t="shared" si="102"/>
        <v>0.0913601368691189</v>
      </c>
      <c r="AH32" s="12">
        <f t="shared" si="102"/>
        <v>0.0947085201793722</v>
      </c>
      <c r="AI32" s="12">
        <f t="shared" si="102"/>
        <v>0.0959249431387415</v>
      </c>
      <c r="AJ32" s="12">
        <f t="shared" si="102"/>
        <v>0.100111877680403</v>
      </c>
      <c r="AK32" s="16">
        <f t="shared" si="67"/>
        <v>0.0913769751693002</v>
      </c>
      <c r="AL32" s="16">
        <f t="shared" si="68"/>
        <v>0.107392996108949</v>
      </c>
      <c r="AM32" s="4"/>
      <c r="AN32" s="4"/>
      <c r="AO32" s="12">
        <f t="shared" ref="AO32:AS32" si="103">W32</f>
        <v>0.0942732019538488</v>
      </c>
      <c r="AP32" s="12">
        <f t="shared" si="103"/>
        <v>0.0913601368691189</v>
      </c>
      <c r="AQ32" s="12">
        <f t="shared" si="103"/>
        <v>0.0947085201793722</v>
      </c>
      <c r="AR32" s="12">
        <f t="shared" si="103"/>
        <v>0.0959249431387415</v>
      </c>
      <c r="AS32" s="12">
        <f t="shared" si="103"/>
        <v>0.100111877680403</v>
      </c>
      <c r="AT32" s="16">
        <f t="shared" si="70"/>
        <v>0.0675395033860045</v>
      </c>
      <c r="AU32" s="16">
        <f t="shared" si="71"/>
        <v>0.0793774319066148</v>
      </c>
      <c r="AZ32" s="2"/>
      <c r="BA32" s="6" t="s">
        <v>199</v>
      </c>
      <c r="BB32" s="7">
        <v>574.7</v>
      </c>
      <c r="BC32" s="12">
        <v>559.7</v>
      </c>
      <c r="BD32" s="12">
        <v>534</v>
      </c>
      <c r="BE32" s="12">
        <v>528</v>
      </c>
      <c r="BF32" s="12">
        <v>506.1</v>
      </c>
      <c r="BG32" s="12">
        <v>536.9</v>
      </c>
      <c r="BH32" s="12">
        <v>528</v>
      </c>
      <c r="BI32" s="12">
        <v>528</v>
      </c>
      <c r="BJ32" s="4"/>
      <c r="BK32" s="4"/>
      <c r="BL32" s="10"/>
      <c r="BM32" s="10"/>
      <c r="BN32" s="10"/>
      <c r="BO32" s="10"/>
    </row>
    <row r="33" ht="15.5" spans="1:67">
      <c r="A33" s="2"/>
      <c r="B33" s="6" t="s">
        <v>200</v>
      </c>
      <c r="C33" s="7">
        <f t="shared" ref="C33:J33" si="104">BB33/1000</f>
        <v>0.088</v>
      </c>
      <c r="D33" s="7">
        <f t="shared" si="104"/>
        <v>0.0814</v>
      </c>
      <c r="E33" s="7">
        <f t="shared" si="104"/>
        <v>0.079</v>
      </c>
      <c r="F33" s="7">
        <f t="shared" si="104"/>
        <v>0.0785</v>
      </c>
      <c r="G33" s="7">
        <f t="shared" si="104"/>
        <v>0.0764</v>
      </c>
      <c r="H33" s="7">
        <f t="shared" si="104"/>
        <v>0.0787</v>
      </c>
      <c r="I33" s="7">
        <f t="shared" si="104"/>
        <v>0.0785</v>
      </c>
      <c r="J33" s="7">
        <f t="shared" si="104"/>
        <v>0.0785</v>
      </c>
      <c r="K33" s="4"/>
      <c r="L33" s="4"/>
      <c r="M33" s="10">
        <v>5.937</v>
      </c>
      <c r="N33" s="10">
        <v>5.845</v>
      </c>
      <c r="O33" s="10">
        <v>5.575</v>
      </c>
      <c r="P33" s="10">
        <v>5.276</v>
      </c>
      <c r="Q33" s="10">
        <v>5.363</v>
      </c>
      <c r="R33" s="10">
        <v>6.645</v>
      </c>
      <c r="S33" s="10">
        <v>5.654</v>
      </c>
      <c r="T33" s="10"/>
      <c r="U33" s="2"/>
      <c r="V33" s="6" t="s">
        <v>200</v>
      </c>
      <c r="W33" s="12">
        <f t="shared" ref="W33:AC33" si="105">D33/M33</f>
        <v>0.0137106282634327</v>
      </c>
      <c r="X33" s="12">
        <f t="shared" si="105"/>
        <v>0.0135158254918734</v>
      </c>
      <c r="Y33" s="12">
        <f t="shared" si="105"/>
        <v>0.0140807174887892</v>
      </c>
      <c r="Z33" s="12">
        <f t="shared" si="105"/>
        <v>0.0144806671721001</v>
      </c>
      <c r="AA33" s="12">
        <f t="shared" si="105"/>
        <v>0.0146746224128286</v>
      </c>
      <c r="AB33" s="15">
        <f t="shared" si="105"/>
        <v>0.0118133935289691</v>
      </c>
      <c r="AC33" s="15">
        <f t="shared" si="105"/>
        <v>0.0138839759462328</v>
      </c>
      <c r="AD33" s="4"/>
      <c r="AE33" s="4"/>
      <c r="AF33" s="12">
        <f t="shared" ref="AF33:AJ33" si="106">W33</f>
        <v>0.0137106282634327</v>
      </c>
      <c r="AG33" s="12">
        <f t="shared" si="106"/>
        <v>0.0135158254918734</v>
      </c>
      <c r="AH33" s="12">
        <f t="shared" si="106"/>
        <v>0.0140807174887892</v>
      </c>
      <c r="AI33" s="12">
        <f t="shared" si="106"/>
        <v>0.0144806671721001</v>
      </c>
      <c r="AJ33" s="12">
        <f t="shared" si="106"/>
        <v>0.0146746224128286</v>
      </c>
      <c r="AK33" s="16">
        <f t="shared" si="67"/>
        <v>0.0135854025583145</v>
      </c>
      <c r="AL33" s="16">
        <f t="shared" si="68"/>
        <v>0.0159665723381677</v>
      </c>
      <c r="AM33" s="4"/>
      <c r="AN33" s="4"/>
      <c r="AO33" s="12">
        <f t="shared" ref="AO33:AS33" si="107">W33</f>
        <v>0.0137106282634327</v>
      </c>
      <c r="AP33" s="12">
        <f t="shared" si="107"/>
        <v>0.0135158254918734</v>
      </c>
      <c r="AQ33" s="12">
        <f t="shared" si="107"/>
        <v>0.0140807174887892</v>
      </c>
      <c r="AR33" s="12">
        <f t="shared" si="107"/>
        <v>0.0144806671721001</v>
      </c>
      <c r="AS33" s="12">
        <f t="shared" si="107"/>
        <v>0.0146746224128286</v>
      </c>
      <c r="AT33" s="16">
        <f t="shared" si="70"/>
        <v>0.0100413844996238</v>
      </c>
      <c r="AU33" s="16">
        <f t="shared" si="71"/>
        <v>0.0118013795542978</v>
      </c>
      <c r="AZ33" s="2"/>
      <c r="BA33" s="6" t="s">
        <v>200</v>
      </c>
      <c r="BB33" s="7">
        <v>88</v>
      </c>
      <c r="BC33" s="12">
        <v>81.4</v>
      </c>
      <c r="BD33" s="12">
        <v>79</v>
      </c>
      <c r="BE33" s="12">
        <v>78.5</v>
      </c>
      <c r="BF33" s="12">
        <v>76.4</v>
      </c>
      <c r="BG33" s="12">
        <v>78.7</v>
      </c>
      <c r="BH33" s="12">
        <v>78.5</v>
      </c>
      <c r="BI33" s="12">
        <v>78.5</v>
      </c>
      <c r="BJ33" s="4"/>
      <c r="BK33" s="4"/>
      <c r="BL33" s="10"/>
      <c r="BM33" s="10"/>
      <c r="BN33" s="10"/>
      <c r="BO33" s="10"/>
    </row>
    <row r="34" ht="15.5" spans="1:67">
      <c r="A34" s="2" t="s">
        <v>11</v>
      </c>
      <c r="B34" s="6" t="s">
        <v>196</v>
      </c>
      <c r="C34" s="7">
        <f t="shared" ref="C34:J34" si="108">BB34/1000</f>
        <v>0.9217</v>
      </c>
      <c r="D34" s="7">
        <f t="shared" si="108"/>
        <v>0.8721</v>
      </c>
      <c r="E34" s="7">
        <f t="shared" si="108"/>
        <v>0.8313</v>
      </c>
      <c r="F34" s="7">
        <f t="shared" si="108"/>
        <v>0.8218</v>
      </c>
      <c r="G34" s="7">
        <f t="shared" si="108"/>
        <v>0.794</v>
      </c>
      <c r="H34" s="7">
        <f t="shared" si="108"/>
        <v>0.835</v>
      </c>
      <c r="I34" s="7">
        <f t="shared" si="108"/>
        <v>0.8218</v>
      </c>
      <c r="J34" s="7">
        <f t="shared" si="108"/>
        <v>0.8218</v>
      </c>
      <c r="K34" s="4"/>
      <c r="L34" s="4"/>
      <c r="M34" s="10">
        <v>5.937</v>
      </c>
      <c r="N34" s="10">
        <v>5.845</v>
      </c>
      <c r="O34" s="10">
        <v>5.575</v>
      </c>
      <c r="P34" s="10">
        <v>5.276</v>
      </c>
      <c r="Q34" s="10">
        <v>5.363</v>
      </c>
      <c r="R34" s="10">
        <v>6.645</v>
      </c>
      <c r="S34" s="10">
        <v>5.654</v>
      </c>
      <c r="T34" s="10"/>
      <c r="U34" s="2" t="s">
        <v>11</v>
      </c>
      <c r="V34" s="6" t="s">
        <v>196</v>
      </c>
      <c r="W34" s="12">
        <f t="shared" ref="W34:AC34" si="109">D34/M34</f>
        <v>0.14689236988378</v>
      </c>
      <c r="X34" s="12">
        <f t="shared" si="109"/>
        <v>0.142224123182207</v>
      </c>
      <c r="Y34" s="12">
        <f t="shared" si="109"/>
        <v>0.147408071748879</v>
      </c>
      <c r="Z34" s="12">
        <f t="shared" si="109"/>
        <v>0.15049279757392</v>
      </c>
      <c r="AA34" s="12">
        <f t="shared" si="109"/>
        <v>0.155696438560507</v>
      </c>
      <c r="AB34" s="15">
        <f t="shared" si="109"/>
        <v>0.123671933784801</v>
      </c>
      <c r="AC34" s="15">
        <f t="shared" si="109"/>
        <v>0.145348425893173</v>
      </c>
      <c r="AD34" s="4"/>
      <c r="AE34" s="4"/>
      <c r="AF34" s="12">
        <f t="shared" ref="AF34:AJ34" si="110">W34</f>
        <v>0.14689236988378</v>
      </c>
      <c r="AG34" s="12">
        <f t="shared" si="110"/>
        <v>0.142224123182207</v>
      </c>
      <c r="AH34" s="12">
        <f t="shared" si="110"/>
        <v>0.147408071748879</v>
      </c>
      <c r="AI34" s="12">
        <f t="shared" si="110"/>
        <v>0.15049279757392</v>
      </c>
      <c r="AJ34" s="12">
        <f t="shared" si="110"/>
        <v>0.155696438560507</v>
      </c>
      <c r="AK34" s="16">
        <f t="shared" si="67"/>
        <v>0.142222723852521</v>
      </c>
      <c r="AL34" s="16">
        <f t="shared" si="68"/>
        <v>0.167150689777149</v>
      </c>
      <c r="AM34" s="4"/>
      <c r="AN34" s="4"/>
      <c r="AO34" s="12">
        <f t="shared" ref="AO34:AS34" si="111">W34</f>
        <v>0.14689236988378</v>
      </c>
      <c r="AP34" s="12">
        <f t="shared" si="111"/>
        <v>0.142224123182207</v>
      </c>
      <c r="AQ34" s="12">
        <f t="shared" si="111"/>
        <v>0.147408071748879</v>
      </c>
      <c r="AR34" s="12">
        <f t="shared" si="111"/>
        <v>0.15049279757392</v>
      </c>
      <c r="AS34" s="12">
        <f t="shared" si="111"/>
        <v>0.155696438560507</v>
      </c>
      <c r="AT34" s="16">
        <f t="shared" si="70"/>
        <v>0.105121143717081</v>
      </c>
      <c r="AU34" s="16">
        <f t="shared" si="71"/>
        <v>0.123546162009197</v>
      </c>
      <c r="AZ34" s="2" t="s">
        <v>11</v>
      </c>
      <c r="BA34" s="6" t="s">
        <v>196</v>
      </c>
      <c r="BB34" s="7">
        <v>921.7</v>
      </c>
      <c r="BC34" s="12">
        <v>872.1</v>
      </c>
      <c r="BD34" s="12">
        <v>831.3</v>
      </c>
      <c r="BE34" s="12">
        <v>821.8</v>
      </c>
      <c r="BF34" s="12">
        <v>794</v>
      </c>
      <c r="BG34" s="12">
        <v>835</v>
      </c>
      <c r="BH34" s="12">
        <v>821.8</v>
      </c>
      <c r="BI34" s="12">
        <v>821.8</v>
      </c>
      <c r="BJ34" s="4"/>
      <c r="BK34" s="4"/>
      <c r="BL34" s="10"/>
      <c r="BM34" s="10"/>
      <c r="BN34" s="10"/>
      <c r="BO34" s="10"/>
    </row>
    <row r="35" ht="15.5" spans="1:67">
      <c r="A35" s="2"/>
      <c r="B35" s="6" t="s">
        <v>197</v>
      </c>
      <c r="C35" s="7">
        <f t="shared" ref="C35:J35" si="112">BB35/1000</f>
        <v>0.8422</v>
      </c>
      <c r="D35" s="7">
        <f t="shared" si="112"/>
        <v>0.8018</v>
      </c>
      <c r="E35" s="7">
        <f t="shared" si="112"/>
        <v>0.7648</v>
      </c>
      <c r="F35" s="7">
        <f t="shared" si="112"/>
        <v>0.7562</v>
      </c>
      <c r="G35" s="7">
        <f t="shared" si="112"/>
        <v>0.7302</v>
      </c>
      <c r="H35" s="7">
        <f t="shared" si="112"/>
        <v>0.7691</v>
      </c>
      <c r="I35" s="7">
        <f t="shared" si="112"/>
        <v>0.7562</v>
      </c>
      <c r="J35" s="7">
        <f t="shared" si="112"/>
        <v>0.7562</v>
      </c>
      <c r="K35" s="4"/>
      <c r="L35" s="4"/>
      <c r="M35" s="10">
        <v>5.937</v>
      </c>
      <c r="N35" s="10">
        <v>5.845</v>
      </c>
      <c r="O35" s="10">
        <v>5.575</v>
      </c>
      <c r="P35" s="10">
        <v>5.276</v>
      </c>
      <c r="Q35" s="10">
        <v>5.363</v>
      </c>
      <c r="R35" s="10">
        <v>6.645</v>
      </c>
      <c r="S35" s="10">
        <v>5.654</v>
      </c>
      <c r="T35" s="10"/>
      <c r="U35" s="2"/>
      <c r="V35" s="6" t="s">
        <v>197</v>
      </c>
      <c r="W35" s="12">
        <f t="shared" ref="W35:AC35" si="113">D35/M35</f>
        <v>0.135051372747179</v>
      </c>
      <c r="X35" s="12">
        <f t="shared" si="113"/>
        <v>0.130846877673225</v>
      </c>
      <c r="Y35" s="12">
        <f t="shared" si="113"/>
        <v>0.135641255605381</v>
      </c>
      <c r="Z35" s="12">
        <f t="shared" si="113"/>
        <v>0.138400303260046</v>
      </c>
      <c r="AA35" s="12">
        <f t="shared" si="113"/>
        <v>0.143408539996271</v>
      </c>
      <c r="AB35" s="15">
        <f t="shared" si="113"/>
        <v>0.11379984951091</v>
      </c>
      <c r="AC35" s="15">
        <f t="shared" si="113"/>
        <v>0.133746020516449</v>
      </c>
      <c r="AD35" s="4"/>
      <c r="AE35" s="4"/>
      <c r="AF35" s="12">
        <f t="shared" ref="AF35:AJ35" si="114">W35</f>
        <v>0.135051372747179</v>
      </c>
      <c r="AG35" s="12">
        <f t="shared" si="114"/>
        <v>0.130846877673225</v>
      </c>
      <c r="AH35" s="12">
        <f t="shared" si="114"/>
        <v>0.135641255605381</v>
      </c>
      <c r="AI35" s="12">
        <f t="shared" si="114"/>
        <v>0.138400303260046</v>
      </c>
      <c r="AJ35" s="12">
        <f t="shared" si="114"/>
        <v>0.143408539996271</v>
      </c>
      <c r="AK35" s="16">
        <f t="shared" si="67"/>
        <v>0.130869826937547</v>
      </c>
      <c r="AL35" s="16">
        <f t="shared" si="68"/>
        <v>0.153807923593916</v>
      </c>
      <c r="AM35" s="4"/>
      <c r="AN35" s="4"/>
      <c r="AO35" s="12">
        <f t="shared" ref="AO35:AS35" si="115">W35</f>
        <v>0.135051372747179</v>
      </c>
      <c r="AP35" s="12">
        <f t="shared" si="115"/>
        <v>0.130846877673225</v>
      </c>
      <c r="AQ35" s="12">
        <f t="shared" si="115"/>
        <v>0.135641255605381</v>
      </c>
      <c r="AR35" s="12">
        <f t="shared" si="115"/>
        <v>0.138400303260046</v>
      </c>
      <c r="AS35" s="12">
        <f t="shared" si="115"/>
        <v>0.143408539996271</v>
      </c>
      <c r="AT35" s="16">
        <f t="shared" si="70"/>
        <v>0.0967298720842739</v>
      </c>
      <c r="AU35" s="16">
        <f t="shared" si="71"/>
        <v>0.113684117438981</v>
      </c>
      <c r="AZ35" s="2"/>
      <c r="BA35" s="6" t="s">
        <v>197</v>
      </c>
      <c r="BB35" s="7">
        <v>842.2</v>
      </c>
      <c r="BC35" s="12">
        <v>801.8</v>
      </c>
      <c r="BD35" s="12">
        <v>764.8</v>
      </c>
      <c r="BE35" s="12">
        <v>756.2</v>
      </c>
      <c r="BF35" s="12">
        <v>730.2</v>
      </c>
      <c r="BG35" s="12">
        <v>769.1</v>
      </c>
      <c r="BH35" s="12">
        <v>756.2</v>
      </c>
      <c r="BI35" s="12">
        <v>756.2</v>
      </c>
      <c r="BJ35" s="4"/>
      <c r="BK35" s="4"/>
      <c r="BL35" s="10"/>
      <c r="BM35" s="10"/>
      <c r="BN35" s="10"/>
      <c r="BO35" s="10"/>
    </row>
    <row r="36" ht="15.5" spans="1:67">
      <c r="A36" s="2"/>
      <c r="B36" s="6" t="s">
        <v>198</v>
      </c>
      <c r="C36" s="7">
        <f t="shared" ref="C36:J36" si="116">BB36/1000</f>
        <v>0.2694</v>
      </c>
      <c r="D36" s="7">
        <f t="shared" si="116"/>
        <v>0.2401</v>
      </c>
      <c r="E36" s="7">
        <f t="shared" si="116"/>
        <v>0.2278</v>
      </c>
      <c r="F36" s="7">
        <f t="shared" si="116"/>
        <v>0.2249</v>
      </c>
      <c r="G36" s="7">
        <f t="shared" si="116"/>
        <v>0.2217</v>
      </c>
      <c r="H36" s="7">
        <f t="shared" si="116"/>
        <v>0.2296</v>
      </c>
      <c r="I36" s="7">
        <f t="shared" si="116"/>
        <v>0.2249</v>
      </c>
      <c r="J36" s="7">
        <f t="shared" si="116"/>
        <v>0.2249</v>
      </c>
      <c r="K36" s="4"/>
      <c r="L36" s="4"/>
      <c r="M36" s="10">
        <v>5.937</v>
      </c>
      <c r="N36" s="10">
        <v>5.845</v>
      </c>
      <c r="O36" s="10">
        <v>5.575</v>
      </c>
      <c r="P36" s="10">
        <v>5.276</v>
      </c>
      <c r="Q36" s="10">
        <v>5.363</v>
      </c>
      <c r="R36" s="10">
        <v>6.645</v>
      </c>
      <c r="S36" s="10">
        <v>5.654</v>
      </c>
      <c r="T36" s="10"/>
      <c r="U36" s="2"/>
      <c r="V36" s="6" t="s">
        <v>198</v>
      </c>
      <c r="W36" s="12">
        <f t="shared" ref="W36:AC36" si="117">D36/M36</f>
        <v>0.0404413003200269</v>
      </c>
      <c r="X36" s="12">
        <f t="shared" si="117"/>
        <v>0.0389734816082122</v>
      </c>
      <c r="Y36" s="12">
        <f t="shared" si="117"/>
        <v>0.0403408071748879</v>
      </c>
      <c r="Z36" s="12">
        <f t="shared" si="117"/>
        <v>0.0420204700530705</v>
      </c>
      <c r="AA36" s="12">
        <f t="shared" si="117"/>
        <v>0.0428118590341227</v>
      </c>
      <c r="AB36" s="15">
        <f t="shared" si="117"/>
        <v>0.0338449962377728</v>
      </c>
      <c r="AC36" s="15">
        <f t="shared" si="117"/>
        <v>0.0397771489211178</v>
      </c>
      <c r="AD36" s="4"/>
      <c r="AE36" s="4"/>
      <c r="AF36" s="12">
        <f t="shared" ref="AF36:AJ36" si="118">W36</f>
        <v>0.0404413003200269</v>
      </c>
      <c r="AG36" s="12">
        <f t="shared" si="118"/>
        <v>0.0389734816082122</v>
      </c>
      <c r="AH36" s="12">
        <f t="shared" si="118"/>
        <v>0.0403408071748879</v>
      </c>
      <c r="AI36" s="12">
        <f t="shared" si="118"/>
        <v>0.0420204700530705</v>
      </c>
      <c r="AJ36" s="12">
        <f t="shared" si="118"/>
        <v>0.0428118590341227</v>
      </c>
      <c r="AK36" s="16">
        <f t="shared" si="67"/>
        <v>0.0389217456734387</v>
      </c>
      <c r="AL36" s="16">
        <f t="shared" si="68"/>
        <v>0.0457437212592855</v>
      </c>
      <c r="AM36" s="4"/>
      <c r="AN36" s="4"/>
      <c r="AO36" s="12">
        <f t="shared" ref="AO36:AS36" si="119">W36</f>
        <v>0.0404413003200269</v>
      </c>
      <c r="AP36" s="12">
        <f t="shared" si="119"/>
        <v>0.0389734816082122</v>
      </c>
      <c r="AQ36" s="12">
        <f t="shared" si="119"/>
        <v>0.0403408071748879</v>
      </c>
      <c r="AR36" s="12">
        <f t="shared" si="119"/>
        <v>0.0420204700530705</v>
      </c>
      <c r="AS36" s="12">
        <f t="shared" si="119"/>
        <v>0.0428118590341227</v>
      </c>
      <c r="AT36" s="16">
        <f t="shared" si="70"/>
        <v>0.0287682468021069</v>
      </c>
      <c r="AU36" s="16">
        <f t="shared" si="71"/>
        <v>0.0338105765829501</v>
      </c>
      <c r="AZ36" s="2"/>
      <c r="BA36" s="6" t="s">
        <v>198</v>
      </c>
      <c r="BB36" s="7">
        <v>269.4</v>
      </c>
      <c r="BC36" s="12">
        <v>240.1</v>
      </c>
      <c r="BD36" s="12">
        <v>227.8</v>
      </c>
      <c r="BE36" s="12">
        <v>224.9</v>
      </c>
      <c r="BF36" s="12">
        <v>221.7</v>
      </c>
      <c r="BG36" s="12">
        <v>229.6</v>
      </c>
      <c r="BH36" s="12">
        <v>224.9</v>
      </c>
      <c r="BI36" s="12">
        <v>224.9</v>
      </c>
      <c r="BJ36" s="4"/>
      <c r="BK36" s="4"/>
      <c r="BL36" s="10"/>
      <c r="BM36" s="10"/>
      <c r="BN36" s="10"/>
      <c r="BO36" s="10"/>
    </row>
    <row r="37" ht="15.5" spans="1:67">
      <c r="A37" s="2"/>
      <c r="B37" s="6" t="s">
        <v>199</v>
      </c>
      <c r="C37" s="7">
        <f t="shared" ref="C37:J37" si="120">BB37/1000</f>
        <v>0.5273</v>
      </c>
      <c r="D37" s="7">
        <f t="shared" si="120"/>
        <v>0.5167</v>
      </c>
      <c r="E37" s="7">
        <f t="shared" si="120"/>
        <v>0.4931</v>
      </c>
      <c r="F37" s="7">
        <f t="shared" si="120"/>
        <v>0.4875</v>
      </c>
      <c r="G37" s="7">
        <f t="shared" si="120"/>
        <v>0.4653</v>
      </c>
      <c r="H37" s="7">
        <f t="shared" si="120"/>
        <v>0.4946</v>
      </c>
      <c r="I37" s="7">
        <f t="shared" si="120"/>
        <v>0.4875</v>
      </c>
      <c r="J37" s="7">
        <f t="shared" si="120"/>
        <v>0.4875</v>
      </c>
      <c r="K37" s="4"/>
      <c r="L37" s="4"/>
      <c r="M37" s="10">
        <v>5.937</v>
      </c>
      <c r="N37" s="10">
        <v>5.845</v>
      </c>
      <c r="O37" s="10">
        <v>5.575</v>
      </c>
      <c r="P37" s="10">
        <v>5.276</v>
      </c>
      <c r="Q37" s="10">
        <v>5.363</v>
      </c>
      <c r="R37" s="10">
        <v>6.645</v>
      </c>
      <c r="S37" s="10">
        <v>5.654</v>
      </c>
      <c r="T37" s="10"/>
      <c r="U37" s="2"/>
      <c r="V37" s="6" t="s">
        <v>199</v>
      </c>
      <c r="W37" s="12">
        <f t="shared" ref="W37:AC37" si="121">D37/M37</f>
        <v>0.0870304867778339</v>
      </c>
      <c r="X37" s="12">
        <f t="shared" si="121"/>
        <v>0.0843627031650984</v>
      </c>
      <c r="Y37" s="12">
        <f t="shared" si="121"/>
        <v>0.0874439461883408</v>
      </c>
      <c r="Z37" s="12">
        <f t="shared" si="121"/>
        <v>0.0881918119787718</v>
      </c>
      <c r="AA37" s="12">
        <f t="shared" si="121"/>
        <v>0.0922245012120082</v>
      </c>
      <c r="AB37" s="15">
        <f t="shared" si="121"/>
        <v>0.0733634311512415</v>
      </c>
      <c r="AC37" s="15">
        <f t="shared" si="121"/>
        <v>0.0862221436151397</v>
      </c>
      <c r="AD37" s="4"/>
      <c r="AE37" s="4"/>
      <c r="AF37" s="12">
        <f t="shared" ref="AF37:AJ37" si="122">W37</f>
        <v>0.0870304867778339</v>
      </c>
      <c r="AG37" s="12">
        <f t="shared" si="122"/>
        <v>0.0843627031650984</v>
      </c>
      <c r="AH37" s="12">
        <f t="shared" si="122"/>
        <v>0.0874439461883408</v>
      </c>
      <c r="AI37" s="12">
        <f t="shared" si="122"/>
        <v>0.0881918119787718</v>
      </c>
      <c r="AJ37" s="12">
        <f t="shared" si="122"/>
        <v>0.0922245012120082</v>
      </c>
      <c r="AK37" s="16">
        <f t="shared" si="67"/>
        <v>0.0843679458239278</v>
      </c>
      <c r="AL37" s="16">
        <f t="shared" si="68"/>
        <v>0.0991554651574107</v>
      </c>
      <c r="AM37" s="4"/>
      <c r="AN37" s="4"/>
      <c r="AO37" s="12">
        <f t="shared" ref="AO37:AS37" si="123">W37</f>
        <v>0.0870304867778339</v>
      </c>
      <c r="AP37" s="12">
        <f t="shared" si="123"/>
        <v>0.0843627031650984</v>
      </c>
      <c r="AQ37" s="12">
        <f t="shared" si="123"/>
        <v>0.0874439461883408</v>
      </c>
      <c r="AR37" s="12">
        <f t="shared" si="123"/>
        <v>0.0881918119787718</v>
      </c>
      <c r="AS37" s="12">
        <f t="shared" si="123"/>
        <v>0.0922245012120082</v>
      </c>
      <c r="AT37" s="16">
        <f t="shared" si="70"/>
        <v>0.0623589164785553</v>
      </c>
      <c r="AU37" s="16">
        <f t="shared" si="71"/>
        <v>0.0732888220728688</v>
      </c>
      <c r="AZ37" s="2"/>
      <c r="BA37" s="6" t="s">
        <v>199</v>
      </c>
      <c r="BB37" s="7">
        <v>527.3</v>
      </c>
      <c r="BC37" s="12">
        <v>516.7</v>
      </c>
      <c r="BD37" s="12">
        <v>493.1</v>
      </c>
      <c r="BE37" s="12">
        <v>487.5</v>
      </c>
      <c r="BF37" s="12">
        <v>465.3</v>
      </c>
      <c r="BG37" s="12">
        <v>494.6</v>
      </c>
      <c r="BH37" s="12">
        <v>487.5</v>
      </c>
      <c r="BI37" s="12">
        <v>487.5</v>
      </c>
      <c r="BJ37" s="4"/>
      <c r="BK37" s="4"/>
      <c r="BL37" s="10"/>
      <c r="BM37" s="10"/>
      <c r="BN37" s="10"/>
      <c r="BO37" s="10"/>
    </row>
    <row r="38" ht="15.5" spans="1:67">
      <c r="A38" s="2"/>
      <c r="B38" s="6" t="s">
        <v>200</v>
      </c>
      <c r="C38" s="7">
        <f t="shared" ref="C38:J38" si="124">BB38/1000</f>
        <v>0.0858</v>
      </c>
      <c r="D38" s="7">
        <f t="shared" si="124"/>
        <v>0.0793</v>
      </c>
      <c r="E38" s="7">
        <f t="shared" si="124"/>
        <v>0.0771</v>
      </c>
      <c r="F38" s="7">
        <f t="shared" si="124"/>
        <v>0.0766</v>
      </c>
      <c r="G38" s="7">
        <f t="shared" si="124"/>
        <v>0.0744</v>
      </c>
      <c r="H38" s="7">
        <f t="shared" si="124"/>
        <v>0.0767</v>
      </c>
      <c r="I38" s="7">
        <f t="shared" si="124"/>
        <v>0.0766</v>
      </c>
      <c r="J38" s="7">
        <f t="shared" si="124"/>
        <v>0.0766</v>
      </c>
      <c r="K38" s="4"/>
      <c r="L38" s="4"/>
      <c r="M38" s="10">
        <v>5.937</v>
      </c>
      <c r="N38" s="10">
        <v>5.845</v>
      </c>
      <c r="O38" s="10">
        <v>5.575</v>
      </c>
      <c r="P38" s="10">
        <v>5.276</v>
      </c>
      <c r="Q38" s="10">
        <v>5.363</v>
      </c>
      <c r="R38" s="10">
        <v>6.645</v>
      </c>
      <c r="S38" s="10">
        <v>5.654</v>
      </c>
      <c r="T38" s="10"/>
      <c r="U38" s="2"/>
      <c r="V38" s="6" t="s">
        <v>200</v>
      </c>
      <c r="W38" s="12">
        <f t="shared" ref="W38:AC38" si="125">D38/M38</f>
        <v>0.0133569142664645</v>
      </c>
      <c r="X38" s="12">
        <f t="shared" si="125"/>
        <v>0.0131907613344739</v>
      </c>
      <c r="Y38" s="12">
        <f t="shared" si="125"/>
        <v>0.0137399103139013</v>
      </c>
      <c r="Z38" s="12">
        <f t="shared" si="125"/>
        <v>0.0141015921152388</v>
      </c>
      <c r="AA38" s="12">
        <f t="shared" si="125"/>
        <v>0.0143016968114861</v>
      </c>
      <c r="AB38" s="15">
        <f t="shared" si="125"/>
        <v>0.0115274642588412</v>
      </c>
      <c r="AC38" s="15">
        <f t="shared" si="125"/>
        <v>0.0135479306685532</v>
      </c>
      <c r="AD38" s="4"/>
      <c r="AE38" s="4"/>
      <c r="AF38" s="12">
        <f t="shared" ref="AF38:AJ38" si="126">W38</f>
        <v>0.0133569142664645</v>
      </c>
      <c r="AG38" s="12">
        <f t="shared" si="126"/>
        <v>0.0131907613344739</v>
      </c>
      <c r="AH38" s="12">
        <f t="shared" si="126"/>
        <v>0.0137399103139013</v>
      </c>
      <c r="AI38" s="12">
        <f t="shared" si="126"/>
        <v>0.0141015921152388</v>
      </c>
      <c r="AJ38" s="12">
        <f t="shared" si="126"/>
        <v>0.0143016968114861</v>
      </c>
      <c r="AK38" s="16">
        <f t="shared" si="67"/>
        <v>0.0132565838976674</v>
      </c>
      <c r="AL38" s="16">
        <f t="shared" si="68"/>
        <v>0.0155801202688362</v>
      </c>
      <c r="AM38" s="4"/>
      <c r="AN38" s="4"/>
      <c r="AO38" s="12">
        <f t="shared" ref="AO38:AS38" si="127">W38</f>
        <v>0.0133569142664645</v>
      </c>
      <c r="AP38" s="12">
        <f t="shared" si="127"/>
        <v>0.0131907613344739</v>
      </c>
      <c r="AQ38" s="12">
        <f t="shared" si="127"/>
        <v>0.0137399103139013</v>
      </c>
      <c r="AR38" s="12">
        <f t="shared" si="127"/>
        <v>0.0141015921152388</v>
      </c>
      <c r="AS38" s="12">
        <f t="shared" si="127"/>
        <v>0.0143016968114861</v>
      </c>
      <c r="AT38" s="16">
        <f t="shared" si="70"/>
        <v>0.00979834462001505</v>
      </c>
      <c r="AU38" s="16">
        <f t="shared" si="71"/>
        <v>0.0115157410682703</v>
      </c>
      <c r="AZ38" s="2"/>
      <c r="BA38" s="6" t="s">
        <v>200</v>
      </c>
      <c r="BB38" s="7">
        <v>85.8</v>
      </c>
      <c r="BC38" s="12">
        <v>79.3</v>
      </c>
      <c r="BD38" s="12">
        <v>77.1</v>
      </c>
      <c r="BE38" s="12">
        <v>76.6</v>
      </c>
      <c r="BF38" s="12">
        <v>74.4</v>
      </c>
      <c r="BG38" s="12">
        <v>76.7</v>
      </c>
      <c r="BH38" s="12">
        <v>76.6</v>
      </c>
      <c r="BI38" s="12">
        <v>76.6</v>
      </c>
      <c r="BJ38" s="4"/>
      <c r="BK38" s="4"/>
      <c r="BL38" s="10"/>
      <c r="BM38" s="10"/>
      <c r="BN38" s="10"/>
      <c r="BO38" s="10"/>
    </row>
    <row r="39" ht="15.5" spans="1:67">
      <c r="A39" s="4"/>
      <c r="B39" s="4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AZ39" s="4"/>
      <c r="BA39" s="4"/>
      <c r="BB39" s="3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</row>
    <row r="40" ht="15.5" spans="1:67">
      <c r="A40" s="4"/>
      <c r="B40" s="4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AZ40" s="4"/>
      <c r="BA40" s="4"/>
      <c r="BB40" s="3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</row>
    <row r="41" ht="15.5" spans="1:67">
      <c r="A41" s="2" t="s">
        <v>215</v>
      </c>
      <c r="B41" s="2"/>
      <c r="C41" s="2"/>
      <c r="D41" s="2"/>
      <c r="E41" s="2"/>
      <c r="F41" s="2"/>
      <c r="G41" s="2"/>
      <c r="H41" s="2"/>
      <c r="I41" s="2"/>
      <c r="J41" s="2"/>
      <c r="K41" s="4"/>
      <c r="L41" s="4"/>
      <c r="M41" s="4"/>
      <c r="N41" s="4"/>
      <c r="O41" s="4"/>
      <c r="P41" s="4"/>
      <c r="Q41" s="4"/>
      <c r="R41" s="4"/>
      <c r="S41" s="4"/>
      <c r="T41" s="4"/>
      <c r="AZ41" s="2" t="s">
        <v>215</v>
      </c>
      <c r="BA41" s="2"/>
      <c r="BB41" s="2"/>
      <c r="BC41" s="2"/>
      <c r="BD41" s="2"/>
      <c r="BE41" s="2"/>
      <c r="BF41" s="2"/>
      <c r="BG41" s="2"/>
      <c r="BH41" s="2"/>
      <c r="BI41" s="2"/>
      <c r="BJ41" s="4"/>
      <c r="BK41" s="4"/>
      <c r="BL41" s="4"/>
      <c r="BM41" s="4"/>
      <c r="BN41" s="4"/>
      <c r="BO41" s="4"/>
    </row>
    <row r="42" ht="15.5" spans="1:67">
      <c r="A42" s="2" t="s">
        <v>184</v>
      </c>
      <c r="B42" s="2" t="s">
        <v>214</v>
      </c>
      <c r="C42" s="2" t="s">
        <v>186</v>
      </c>
      <c r="D42" s="2"/>
      <c r="E42" s="2"/>
      <c r="F42" s="2"/>
      <c r="G42" s="2"/>
      <c r="H42" s="2"/>
      <c r="I42" s="2"/>
      <c r="J42" s="2"/>
      <c r="K42" s="4"/>
      <c r="L42" s="4"/>
      <c r="M42" s="4"/>
      <c r="N42" s="4"/>
      <c r="O42" s="4"/>
      <c r="P42" s="4"/>
      <c r="Q42" s="4"/>
      <c r="R42" s="4"/>
      <c r="S42" s="4"/>
      <c r="T42" s="4"/>
      <c r="AZ42" s="2" t="s">
        <v>184</v>
      </c>
      <c r="BA42" s="2" t="s">
        <v>214</v>
      </c>
      <c r="BB42" s="2" t="s">
        <v>186</v>
      </c>
      <c r="BC42" s="2"/>
      <c r="BD42" s="2"/>
      <c r="BE42" s="2"/>
      <c r="BF42" s="2"/>
      <c r="BG42" s="2"/>
      <c r="BH42" s="2"/>
      <c r="BI42" s="2"/>
      <c r="BJ42" s="4"/>
      <c r="BK42" s="4"/>
      <c r="BL42" s="4"/>
      <c r="BM42" s="4"/>
      <c r="BN42" s="4"/>
      <c r="BO42" s="4"/>
    </row>
    <row r="43" ht="30" spans="1:67">
      <c r="A43" s="2"/>
      <c r="B43" s="2"/>
      <c r="C43" s="3" t="s">
        <v>187</v>
      </c>
      <c r="D43" s="4" t="s">
        <v>188</v>
      </c>
      <c r="E43" s="4" t="s">
        <v>189</v>
      </c>
      <c r="F43" s="5" t="s">
        <v>190</v>
      </c>
      <c r="G43" s="4" t="s">
        <v>191</v>
      </c>
      <c r="H43" s="4" t="s">
        <v>192</v>
      </c>
      <c r="I43" s="4" t="s">
        <v>193</v>
      </c>
      <c r="J43" s="4" t="s">
        <v>194</v>
      </c>
      <c r="K43" s="4"/>
      <c r="L43" s="4"/>
      <c r="M43" s="4" t="s">
        <v>188</v>
      </c>
      <c r="N43" s="4" t="s">
        <v>189</v>
      </c>
      <c r="O43" s="4" t="s">
        <v>190</v>
      </c>
      <c r="P43" s="4" t="s">
        <v>191</v>
      </c>
      <c r="Q43" s="4" t="s">
        <v>192</v>
      </c>
      <c r="R43" s="4" t="s">
        <v>193</v>
      </c>
      <c r="S43" s="4" t="s">
        <v>194</v>
      </c>
      <c r="T43" s="4"/>
      <c r="U43" s="4"/>
      <c r="V43" s="11" t="s">
        <v>212</v>
      </c>
      <c r="W43" s="4" t="s">
        <v>188</v>
      </c>
      <c r="X43" s="4" t="s">
        <v>189</v>
      </c>
      <c r="Y43" s="5" t="s">
        <v>190</v>
      </c>
      <c r="Z43" s="4" t="s">
        <v>191</v>
      </c>
      <c r="AA43" s="4" t="s">
        <v>192</v>
      </c>
      <c r="AB43" s="14" t="s">
        <v>193</v>
      </c>
      <c r="AC43" s="14" t="s">
        <v>194</v>
      </c>
      <c r="AD43" s="4"/>
      <c r="AE43" s="4"/>
      <c r="AF43" s="4" t="s">
        <v>188</v>
      </c>
      <c r="AG43" s="4" t="s">
        <v>189</v>
      </c>
      <c r="AH43" s="5" t="s">
        <v>190</v>
      </c>
      <c r="AI43" s="4" t="s">
        <v>191</v>
      </c>
      <c r="AJ43" s="4" t="s">
        <v>192</v>
      </c>
      <c r="AK43" s="14" t="s">
        <v>193</v>
      </c>
      <c r="AL43" s="14" t="s">
        <v>194</v>
      </c>
      <c r="AO43" s="4" t="s">
        <v>188</v>
      </c>
      <c r="AP43" s="4" t="s">
        <v>189</v>
      </c>
      <c r="AQ43" s="5" t="s">
        <v>190</v>
      </c>
      <c r="AR43" s="4" t="s">
        <v>191</v>
      </c>
      <c r="AS43" s="4" t="s">
        <v>192</v>
      </c>
      <c r="AT43" s="14" t="s">
        <v>193</v>
      </c>
      <c r="AU43" s="14" t="s">
        <v>194</v>
      </c>
      <c r="AZ43" s="2"/>
      <c r="BA43" s="2"/>
      <c r="BB43" s="3" t="s">
        <v>187</v>
      </c>
      <c r="BC43" s="4" t="s">
        <v>188</v>
      </c>
      <c r="BD43" s="4" t="s">
        <v>189</v>
      </c>
      <c r="BE43" s="5" t="s">
        <v>190</v>
      </c>
      <c r="BF43" s="4" t="s">
        <v>191</v>
      </c>
      <c r="BG43" s="4" t="s">
        <v>192</v>
      </c>
      <c r="BH43" s="4" t="s">
        <v>193</v>
      </c>
      <c r="BI43" s="4" t="s">
        <v>194</v>
      </c>
      <c r="BJ43" s="4"/>
      <c r="BK43" s="4"/>
      <c r="BL43" s="4"/>
      <c r="BM43" s="4"/>
      <c r="BN43" s="4"/>
      <c r="BO43" s="4"/>
    </row>
    <row r="44" ht="15.5" spans="1:67">
      <c r="A44" s="2" t="s">
        <v>195</v>
      </c>
      <c r="B44" s="6" t="s">
        <v>196</v>
      </c>
      <c r="C44" s="7">
        <f t="shared" ref="C44:J44" si="128">BB44/1000</f>
        <v>0.6652</v>
      </c>
      <c r="D44" s="7">
        <f t="shared" si="128"/>
        <v>0.5864</v>
      </c>
      <c r="E44" s="7">
        <f t="shared" si="128"/>
        <v>0.5679</v>
      </c>
      <c r="F44" s="7">
        <f t="shared" si="128"/>
        <v>0.5636</v>
      </c>
      <c r="G44" s="7">
        <f t="shared" si="128"/>
        <v>0.5409</v>
      </c>
      <c r="H44" s="7">
        <f t="shared" si="128"/>
        <v>0.5521</v>
      </c>
      <c r="I44" s="7">
        <f t="shared" si="128"/>
        <v>0.5636</v>
      </c>
      <c r="J44" s="7">
        <f t="shared" si="128"/>
        <v>0.5636</v>
      </c>
      <c r="K44" s="4"/>
      <c r="L44" s="4"/>
      <c r="M44" s="9">
        <v>5.937</v>
      </c>
      <c r="N44" s="9">
        <v>5.845</v>
      </c>
      <c r="O44" s="9">
        <v>5.575</v>
      </c>
      <c r="P44" s="9">
        <v>5.276</v>
      </c>
      <c r="Q44" s="9">
        <v>5.363</v>
      </c>
      <c r="R44" s="9">
        <v>6.645</v>
      </c>
      <c r="S44" s="9">
        <v>5.654</v>
      </c>
      <c r="T44" s="9"/>
      <c r="U44" s="2" t="s">
        <v>195</v>
      </c>
      <c r="V44" s="6" t="s">
        <v>196</v>
      </c>
      <c r="W44" s="12">
        <f t="shared" ref="W44:AC44" si="129">D44/M44</f>
        <v>0.098770422772444</v>
      </c>
      <c r="X44" s="12">
        <f t="shared" si="129"/>
        <v>0.0971599657827203</v>
      </c>
      <c r="Y44" s="12">
        <f t="shared" si="129"/>
        <v>0.101094170403587</v>
      </c>
      <c r="Z44" s="12">
        <f t="shared" si="129"/>
        <v>0.102520849128127</v>
      </c>
      <c r="AA44" s="12">
        <f t="shared" si="129"/>
        <v>0.102946112250606</v>
      </c>
      <c r="AB44" s="15">
        <f t="shared" si="129"/>
        <v>0.0848156508653123</v>
      </c>
      <c r="AC44" s="15">
        <f t="shared" si="129"/>
        <v>0.0996816413158826</v>
      </c>
      <c r="AD44" s="4"/>
      <c r="AE44" s="4"/>
      <c r="AF44" s="12">
        <f t="shared" ref="AF44:AJ44" si="130">W44</f>
        <v>0.098770422772444</v>
      </c>
      <c r="AG44" s="12">
        <f t="shared" si="130"/>
        <v>0.0971599657827203</v>
      </c>
      <c r="AH44" s="12">
        <f t="shared" si="130"/>
        <v>0.101094170403587</v>
      </c>
      <c r="AI44" s="12">
        <f t="shared" si="130"/>
        <v>0.102520849128127</v>
      </c>
      <c r="AJ44" s="12">
        <f t="shared" si="130"/>
        <v>0.102946112250606</v>
      </c>
      <c r="AK44" s="16">
        <f t="shared" ref="AK44:AK58" si="131">AB44*1.15</f>
        <v>0.0975379984951091</v>
      </c>
      <c r="AL44" s="16">
        <f t="shared" ref="AL44:AL58" si="132">AC44*1.15</f>
        <v>0.114633887513265</v>
      </c>
      <c r="AO44" s="12">
        <f t="shared" ref="AO44:AS44" si="133">W44</f>
        <v>0.098770422772444</v>
      </c>
      <c r="AP44" s="12">
        <f t="shared" si="133"/>
        <v>0.0971599657827203</v>
      </c>
      <c r="AQ44" s="12">
        <f t="shared" si="133"/>
        <v>0.101094170403587</v>
      </c>
      <c r="AR44" s="12">
        <f t="shared" si="133"/>
        <v>0.102520849128127</v>
      </c>
      <c r="AS44" s="12">
        <f t="shared" si="133"/>
        <v>0.102946112250606</v>
      </c>
      <c r="AT44" s="16">
        <f t="shared" ref="AT44:AT58" si="134">AB44*0.85</f>
        <v>0.0720933032355154</v>
      </c>
      <c r="AU44" s="16">
        <f t="shared" ref="AU44:AU58" si="135">AC44*0.85</f>
        <v>0.0847293951185002</v>
      </c>
      <c r="AZ44" s="2" t="s">
        <v>195</v>
      </c>
      <c r="BA44" s="6" t="s">
        <v>196</v>
      </c>
      <c r="BB44" s="7">
        <v>665.2</v>
      </c>
      <c r="BC44" s="12">
        <v>586.4</v>
      </c>
      <c r="BD44" s="12">
        <v>567.9</v>
      </c>
      <c r="BE44" s="12">
        <v>563.6</v>
      </c>
      <c r="BF44" s="12">
        <v>540.9</v>
      </c>
      <c r="BG44" s="12">
        <v>552.1</v>
      </c>
      <c r="BH44" s="12">
        <v>563.6</v>
      </c>
      <c r="BI44" s="12">
        <v>563.6</v>
      </c>
      <c r="BJ44" s="4"/>
      <c r="BK44" s="4"/>
      <c r="BL44" s="9"/>
      <c r="BM44" s="9"/>
      <c r="BN44" s="9"/>
      <c r="BO44" s="9"/>
    </row>
    <row r="45" ht="15.5" spans="1:67">
      <c r="A45" s="2"/>
      <c r="B45" s="6" t="s">
        <v>197</v>
      </c>
      <c r="C45" s="7">
        <f t="shared" ref="C45:J45" si="136">BB45/1000</f>
        <v>0.6092</v>
      </c>
      <c r="D45" s="7">
        <f t="shared" si="136"/>
        <v>0.5396</v>
      </c>
      <c r="E45" s="7">
        <f t="shared" si="136"/>
        <v>0.5232</v>
      </c>
      <c r="F45" s="7">
        <f t="shared" si="136"/>
        <v>0.5193</v>
      </c>
      <c r="G45" s="7">
        <f t="shared" si="136"/>
        <v>0.499</v>
      </c>
      <c r="H45" s="7">
        <f t="shared" si="136"/>
        <v>0.5091</v>
      </c>
      <c r="I45" s="7">
        <f t="shared" si="136"/>
        <v>0.5193</v>
      </c>
      <c r="J45" s="7">
        <f t="shared" si="136"/>
        <v>0.5193</v>
      </c>
      <c r="K45" s="4"/>
      <c r="L45" s="4"/>
      <c r="M45" s="10">
        <v>5.937</v>
      </c>
      <c r="N45" s="10">
        <v>5.845</v>
      </c>
      <c r="O45" s="10">
        <v>5.575</v>
      </c>
      <c r="P45" s="10">
        <v>5.276</v>
      </c>
      <c r="Q45" s="10">
        <v>5.363</v>
      </c>
      <c r="R45" s="10">
        <v>6.645</v>
      </c>
      <c r="S45" s="10">
        <v>5.654</v>
      </c>
      <c r="T45" s="10"/>
      <c r="U45" s="2"/>
      <c r="V45" s="6" t="s">
        <v>197</v>
      </c>
      <c r="W45" s="12">
        <f t="shared" ref="W45:AC45" si="137">D45/M45</f>
        <v>0.0908876536971534</v>
      </c>
      <c r="X45" s="12">
        <f t="shared" si="137"/>
        <v>0.0895124037639008</v>
      </c>
      <c r="Y45" s="12">
        <f t="shared" si="137"/>
        <v>0.0931479820627803</v>
      </c>
      <c r="Z45" s="12">
        <f t="shared" si="137"/>
        <v>0.094579226686884</v>
      </c>
      <c r="AA45" s="12">
        <f t="shared" si="137"/>
        <v>0.0949282118217415</v>
      </c>
      <c r="AB45" s="15">
        <f t="shared" si="137"/>
        <v>0.0781489841986456</v>
      </c>
      <c r="AC45" s="15">
        <f t="shared" si="137"/>
        <v>0.0918464803678811</v>
      </c>
      <c r="AD45" s="4"/>
      <c r="AE45" s="4"/>
      <c r="AF45" s="12">
        <f t="shared" ref="AF45:AJ45" si="138">W45</f>
        <v>0.0908876536971534</v>
      </c>
      <c r="AG45" s="12">
        <f t="shared" si="138"/>
        <v>0.0895124037639008</v>
      </c>
      <c r="AH45" s="12">
        <f t="shared" si="138"/>
        <v>0.0931479820627803</v>
      </c>
      <c r="AI45" s="12">
        <f t="shared" si="138"/>
        <v>0.094579226686884</v>
      </c>
      <c r="AJ45" s="12">
        <f t="shared" si="138"/>
        <v>0.0949282118217415</v>
      </c>
      <c r="AK45" s="16">
        <f t="shared" si="131"/>
        <v>0.0898713318284424</v>
      </c>
      <c r="AL45" s="16">
        <f t="shared" si="132"/>
        <v>0.105623452423063</v>
      </c>
      <c r="AO45" s="12">
        <f t="shared" ref="AO45:AS45" si="139">W45</f>
        <v>0.0908876536971534</v>
      </c>
      <c r="AP45" s="12">
        <f t="shared" si="139"/>
        <v>0.0895124037639008</v>
      </c>
      <c r="AQ45" s="12">
        <f t="shared" si="139"/>
        <v>0.0931479820627803</v>
      </c>
      <c r="AR45" s="12">
        <f t="shared" si="139"/>
        <v>0.094579226686884</v>
      </c>
      <c r="AS45" s="12">
        <f t="shared" si="139"/>
        <v>0.0949282118217415</v>
      </c>
      <c r="AT45" s="16">
        <f t="shared" si="134"/>
        <v>0.0664266365688488</v>
      </c>
      <c r="AU45" s="16">
        <f t="shared" si="135"/>
        <v>0.078069508312699</v>
      </c>
      <c r="AZ45" s="2"/>
      <c r="BA45" s="6" t="s">
        <v>197</v>
      </c>
      <c r="BB45" s="7">
        <v>609.2</v>
      </c>
      <c r="BC45" s="12">
        <v>539.6</v>
      </c>
      <c r="BD45" s="12">
        <v>523.2</v>
      </c>
      <c r="BE45" s="12">
        <v>519.3</v>
      </c>
      <c r="BF45" s="12">
        <v>499</v>
      </c>
      <c r="BG45" s="12">
        <v>509.1</v>
      </c>
      <c r="BH45" s="12">
        <v>519.3</v>
      </c>
      <c r="BI45" s="12">
        <v>519.3</v>
      </c>
      <c r="BJ45" s="4"/>
      <c r="BK45" s="4"/>
      <c r="BL45" s="10"/>
      <c r="BM45" s="10"/>
      <c r="BN45" s="10"/>
      <c r="BO45" s="10"/>
    </row>
    <row r="46" ht="15.5" spans="1:67">
      <c r="A46" s="2"/>
      <c r="B46" s="6" t="s">
        <v>198</v>
      </c>
      <c r="C46" s="7">
        <f t="shared" ref="C46:J46" si="140">BB46/1000</f>
        <v>0.1429</v>
      </c>
      <c r="D46" s="7">
        <f t="shared" si="140"/>
        <v>0.1194</v>
      </c>
      <c r="E46" s="7">
        <f t="shared" si="140"/>
        <v>0.114</v>
      </c>
      <c r="F46" s="7">
        <f t="shared" si="140"/>
        <v>0.1127</v>
      </c>
      <c r="G46" s="7">
        <f t="shared" si="140"/>
        <v>0.1061</v>
      </c>
      <c r="H46" s="7">
        <f t="shared" si="140"/>
        <v>0.1094</v>
      </c>
      <c r="I46" s="7">
        <f t="shared" si="140"/>
        <v>0.1127</v>
      </c>
      <c r="J46" s="7">
        <f t="shared" si="140"/>
        <v>0.1127</v>
      </c>
      <c r="K46" s="4"/>
      <c r="L46" s="4"/>
      <c r="M46" s="10">
        <v>5.937</v>
      </c>
      <c r="N46" s="10">
        <v>5.845</v>
      </c>
      <c r="O46" s="10">
        <v>5.575</v>
      </c>
      <c r="P46" s="10">
        <v>5.276</v>
      </c>
      <c r="Q46" s="10">
        <v>5.363</v>
      </c>
      <c r="R46" s="10">
        <v>6.645</v>
      </c>
      <c r="S46" s="10">
        <v>5.654</v>
      </c>
      <c r="T46" s="10"/>
      <c r="U46" s="2"/>
      <c r="V46" s="6" t="s">
        <v>198</v>
      </c>
      <c r="W46" s="12">
        <f t="shared" ref="W46:AC46" si="141">D46/M46</f>
        <v>0.02011116725619</v>
      </c>
      <c r="X46" s="12">
        <f t="shared" si="141"/>
        <v>0.0195038494439692</v>
      </c>
      <c r="Y46" s="12">
        <f t="shared" si="141"/>
        <v>0.0202152466367713</v>
      </c>
      <c r="Z46" s="12">
        <f t="shared" si="141"/>
        <v>0.0201099317664898</v>
      </c>
      <c r="AA46" s="12">
        <f t="shared" si="141"/>
        <v>0.0203990303934365</v>
      </c>
      <c r="AB46" s="15">
        <f t="shared" si="141"/>
        <v>0.0169601203912716</v>
      </c>
      <c r="AC46" s="15">
        <f t="shared" si="141"/>
        <v>0.0199327909444641</v>
      </c>
      <c r="AD46" s="4"/>
      <c r="AE46" s="4"/>
      <c r="AF46" s="12">
        <f t="shared" ref="AF46:AJ46" si="142">W46</f>
        <v>0.02011116725619</v>
      </c>
      <c r="AG46" s="12">
        <f t="shared" si="142"/>
        <v>0.0195038494439692</v>
      </c>
      <c r="AH46" s="12">
        <f t="shared" si="142"/>
        <v>0.0202152466367713</v>
      </c>
      <c r="AI46" s="12">
        <f t="shared" si="142"/>
        <v>0.0201099317664898</v>
      </c>
      <c r="AJ46" s="12">
        <f t="shared" si="142"/>
        <v>0.0203990303934365</v>
      </c>
      <c r="AK46" s="16">
        <f t="shared" si="131"/>
        <v>0.0195041384499624</v>
      </c>
      <c r="AL46" s="16">
        <f t="shared" si="132"/>
        <v>0.0229227095861337</v>
      </c>
      <c r="AO46" s="12">
        <f t="shared" ref="AO46:AS46" si="143">W46</f>
        <v>0.02011116725619</v>
      </c>
      <c r="AP46" s="12">
        <f t="shared" si="143"/>
        <v>0.0195038494439692</v>
      </c>
      <c r="AQ46" s="12">
        <f t="shared" si="143"/>
        <v>0.0202152466367713</v>
      </c>
      <c r="AR46" s="12">
        <f t="shared" si="143"/>
        <v>0.0201099317664898</v>
      </c>
      <c r="AS46" s="12">
        <f t="shared" si="143"/>
        <v>0.0203990303934365</v>
      </c>
      <c r="AT46" s="16">
        <f t="shared" si="134"/>
        <v>0.0144161023325809</v>
      </c>
      <c r="AU46" s="16">
        <f t="shared" si="135"/>
        <v>0.0169428723027945</v>
      </c>
      <c r="AZ46" s="2"/>
      <c r="BA46" s="6" t="s">
        <v>198</v>
      </c>
      <c r="BB46" s="7">
        <v>142.9</v>
      </c>
      <c r="BC46" s="12">
        <v>119.4</v>
      </c>
      <c r="BD46" s="12">
        <v>114</v>
      </c>
      <c r="BE46" s="12">
        <v>112.7</v>
      </c>
      <c r="BF46" s="12">
        <v>106.1</v>
      </c>
      <c r="BG46" s="12">
        <v>109.4</v>
      </c>
      <c r="BH46" s="12">
        <v>112.7</v>
      </c>
      <c r="BI46" s="12">
        <v>112.7</v>
      </c>
      <c r="BJ46" s="4"/>
      <c r="BK46" s="4"/>
      <c r="BL46" s="10"/>
      <c r="BM46" s="10"/>
      <c r="BN46" s="10"/>
      <c r="BO46" s="10"/>
    </row>
    <row r="47" ht="15.5" spans="1:67">
      <c r="A47" s="2"/>
      <c r="B47" s="6" t="s">
        <v>199</v>
      </c>
      <c r="C47" s="7">
        <f t="shared" ref="C47:J47" si="144">BB47/1000</f>
        <v>0.4256</v>
      </c>
      <c r="D47" s="7">
        <f t="shared" si="144"/>
        <v>0.3807</v>
      </c>
      <c r="E47" s="7">
        <f t="shared" si="144"/>
        <v>0.3703</v>
      </c>
      <c r="F47" s="7">
        <f t="shared" si="144"/>
        <v>0.3679</v>
      </c>
      <c r="G47" s="7">
        <f t="shared" si="144"/>
        <v>0.3552</v>
      </c>
      <c r="H47" s="7">
        <f t="shared" si="144"/>
        <v>0.3613</v>
      </c>
      <c r="I47" s="7">
        <f t="shared" si="144"/>
        <v>0.3679</v>
      </c>
      <c r="J47" s="7">
        <f t="shared" si="144"/>
        <v>0.3679</v>
      </c>
      <c r="K47" s="4"/>
      <c r="L47" s="4"/>
      <c r="M47" s="10">
        <v>5.937</v>
      </c>
      <c r="N47" s="10">
        <v>5.845</v>
      </c>
      <c r="O47" s="10">
        <v>5.575</v>
      </c>
      <c r="P47" s="10">
        <v>5.276</v>
      </c>
      <c r="Q47" s="10">
        <v>5.363</v>
      </c>
      <c r="R47" s="10">
        <v>6.645</v>
      </c>
      <c r="S47" s="10">
        <v>5.654</v>
      </c>
      <c r="T47" s="10"/>
      <c r="U47" s="2"/>
      <c r="V47" s="6" t="s">
        <v>199</v>
      </c>
      <c r="W47" s="12">
        <f t="shared" ref="W47:AC47" si="145">D47/M47</f>
        <v>0.0641232945932289</v>
      </c>
      <c r="X47" s="12">
        <f t="shared" si="145"/>
        <v>0.0633532934131737</v>
      </c>
      <c r="Y47" s="12">
        <f t="shared" si="145"/>
        <v>0.0659910313901345</v>
      </c>
      <c r="Z47" s="12">
        <f t="shared" si="145"/>
        <v>0.0673237300985595</v>
      </c>
      <c r="AA47" s="12">
        <f t="shared" si="145"/>
        <v>0.0673690098825284</v>
      </c>
      <c r="AB47" s="15">
        <f t="shared" si="145"/>
        <v>0.055364936042137</v>
      </c>
      <c r="AC47" s="15">
        <f t="shared" si="145"/>
        <v>0.0650689777148921</v>
      </c>
      <c r="AD47" s="4"/>
      <c r="AE47" s="4"/>
      <c r="AF47" s="12">
        <f t="shared" ref="AF47:AJ47" si="146">W47</f>
        <v>0.0641232945932289</v>
      </c>
      <c r="AG47" s="12">
        <f t="shared" si="146"/>
        <v>0.0633532934131737</v>
      </c>
      <c r="AH47" s="12">
        <f t="shared" si="146"/>
        <v>0.0659910313901345</v>
      </c>
      <c r="AI47" s="12">
        <f t="shared" si="146"/>
        <v>0.0673237300985595</v>
      </c>
      <c r="AJ47" s="12">
        <f t="shared" si="146"/>
        <v>0.0673690098825284</v>
      </c>
      <c r="AK47" s="16">
        <f t="shared" si="131"/>
        <v>0.0636696764484575</v>
      </c>
      <c r="AL47" s="16">
        <f t="shared" si="132"/>
        <v>0.0748293243721259</v>
      </c>
      <c r="AO47" s="12">
        <f t="shared" ref="AO47:AS47" si="147">W47</f>
        <v>0.0641232945932289</v>
      </c>
      <c r="AP47" s="12">
        <f t="shared" si="147"/>
        <v>0.0633532934131737</v>
      </c>
      <c r="AQ47" s="12">
        <f t="shared" si="147"/>
        <v>0.0659910313901345</v>
      </c>
      <c r="AR47" s="12">
        <f t="shared" si="147"/>
        <v>0.0673237300985595</v>
      </c>
      <c r="AS47" s="12">
        <f t="shared" si="147"/>
        <v>0.0673690098825284</v>
      </c>
      <c r="AT47" s="16">
        <f t="shared" si="134"/>
        <v>0.0470601956358164</v>
      </c>
      <c r="AU47" s="16">
        <f t="shared" si="135"/>
        <v>0.0553086310576583</v>
      </c>
      <c r="AZ47" s="2"/>
      <c r="BA47" s="6" t="s">
        <v>199</v>
      </c>
      <c r="BB47" s="7">
        <v>425.6</v>
      </c>
      <c r="BC47" s="12">
        <v>380.7</v>
      </c>
      <c r="BD47" s="12">
        <v>370.3</v>
      </c>
      <c r="BE47" s="12">
        <v>367.9</v>
      </c>
      <c r="BF47" s="12">
        <v>355.2</v>
      </c>
      <c r="BG47" s="12">
        <v>361.3</v>
      </c>
      <c r="BH47" s="12">
        <v>367.9</v>
      </c>
      <c r="BI47" s="12">
        <v>367.9</v>
      </c>
      <c r="BJ47" s="4"/>
      <c r="BK47" s="4"/>
      <c r="BL47" s="10"/>
      <c r="BM47" s="10"/>
      <c r="BN47" s="10"/>
      <c r="BO47" s="10"/>
    </row>
    <row r="48" ht="15.5" spans="1:67">
      <c r="A48" s="2"/>
      <c r="B48" s="6" t="s">
        <v>200</v>
      </c>
      <c r="C48" s="7">
        <f t="shared" ref="C48:J48" si="148">BB48/1000</f>
        <v>0.0846</v>
      </c>
      <c r="D48" s="7">
        <f t="shared" si="148"/>
        <v>0.077</v>
      </c>
      <c r="E48" s="7">
        <f t="shared" si="148"/>
        <v>0.0749</v>
      </c>
      <c r="F48" s="7">
        <f t="shared" si="148"/>
        <v>0.0744</v>
      </c>
      <c r="G48" s="7">
        <f t="shared" si="148"/>
        <v>0.0717</v>
      </c>
      <c r="H48" s="7">
        <f t="shared" si="148"/>
        <v>0.0731</v>
      </c>
      <c r="I48" s="7">
        <f t="shared" si="148"/>
        <v>0.0744</v>
      </c>
      <c r="J48" s="7">
        <f t="shared" si="148"/>
        <v>0.0744</v>
      </c>
      <c r="K48" s="4"/>
      <c r="L48" s="4"/>
      <c r="M48" s="10">
        <v>5.937</v>
      </c>
      <c r="N48" s="10">
        <v>5.845</v>
      </c>
      <c r="O48" s="10">
        <v>5.575</v>
      </c>
      <c r="P48" s="10">
        <v>5.276</v>
      </c>
      <c r="Q48" s="10">
        <v>5.363</v>
      </c>
      <c r="R48" s="10">
        <v>6.645</v>
      </c>
      <c r="S48" s="10">
        <v>5.654</v>
      </c>
      <c r="T48" s="10"/>
      <c r="U48" s="2"/>
      <c r="V48" s="6" t="s">
        <v>200</v>
      </c>
      <c r="W48" s="12">
        <f t="shared" ref="W48:AC48" si="149">D48/M48</f>
        <v>0.0129695132221661</v>
      </c>
      <c r="X48" s="12">
        <f t="shared" si="149"/>
        <v>0.012814371257485</v>
      </c>
      <c r="Y48" s="12">
        <f t="shared" si="149"/>
        <v>0.0133452914798206</v>
      </c>
      <c r="Z48" s="12">
        <f t="shared" si="149"/>
        <v>0.0135898407884761</v>
      </c>
      <c r="AA48" s="12">
        <f t="shared" si="149"/>
        <v>0.0136304307290695</v>
      </c>
      <c r="AB48" s="15">
        <f t="shared" si="149"/>
        <v>0.011196388261851</v>
      </c>
      <c r="AC48" s="15">
        <f t="shared" si="149"/>
        <v>0.0131588256101875</v>
      </c>
      <c r="AD48" s="4"/>
      <c r="AE48" s="4"/>
      <c r="AF48" s="12">
        <f t="shared" ref="AF48:AJ48" si="150">W48</f>
        <v>0.0129695132221661</v>
      </c>
      <c r="AG48" s="12">
        <f t="shared" si="150"/>
        <v>0.012814371257485</v>
      </c>
      <c r="AH48" s="12">
        <f t="shared" si="150"/>
        <v>0.0133452914798206</v>
      </c>
      <c r="AI48" s="12">
        <f t="shared" si="150"/>
        <v>0.0135898407884761</v>
      </c>
      <c r="AJ48" s="12">
        <f t="shared" si="150"/>
        <v>0.0136304307290695</v>
      </c>
      <c r="AK48" s="16">
        <f t="shared" si="131"/>
        <v>0.0128758465011287</v>
      </c>
      <c r="AL48" s="16">
        <f t="shared" si="132"/>
        <v>0.0151326494517156</v>
      </c>
      <c r="AO48" s="12">
        <f t="shared" ref="AO48:AS48" si="151">W48</f>
        <v>0.0129695132221661</v>
      </c>
      <c r="AP48" s="12">
        <f t="shared" si="151"/>
        <v>0.012814371257485</v>
      </c>
      <c r="AQ48" s="12">
        <f t="shared" si="151"/>
        <v>0.0133452914798206</v>
      </c>
      <c r="AR48" s="12">
        <f t="shared" si="151"/>
        <v>0.0135898407884761</v>
      </c>
      <c r="AS48" s="12">
        <f t="shared" si="151"/>
        <v>0.0136304307290695</v>
      </c>
      <c r="AT48" s="16">
        <f t="shared" si="134"/>
        <v>0.00951693002257336</v>
      </c>
      <c r="AU48" s="16">
        <f t="shared" si="135"/>
        <v>0.0111850017686594</v>
      </c>
      <c r="AZ48" s="2"/>
      <c r="BA48" s="6" t="s">
        <v>200</v>
      </c>
      <c r="BB48" s="7">
        <v>84.6</v>
      </c>
      <c r="BC48" s="12">
        <v>77</v>
      </c>
      <c r="BD48" s="12">
        <v>74.9</v>
      </c>
      <c r="BE48" s="12">
        <v>74.4</v>
      </c>
      <c r="BF48" s="12">
        <v>71.7</v>
      </c>
      <c r="BG48" s="12">
        <v>73.1</v>
      </c>
      <c r="BH48" s="12">
        <v>74.4</v>
      </c>
      <c r="BI48" s="12">
        <v>74.4</v>
      </c>
      <c r="BJ48" s="4"/>
      <c r="BK48" s="4"/>
      <c r="BL48" s="10"/>
      <c r="BM48" s="10"/>
      <c r="BN48" s="10"/>
      <c r="BO48" s="10"/>
    </row>
    <row r="49" ht="15.5" spans="1:67">
      <c r="A49" s="2" t="s">
        <v>201</v>
      </c>
      <c r="B49" s="6" t="s">
        <v>196</v>
      </c>
      <c r="C49" s="7">
        <f t="shared" ref="C49:J49" si="152">BB49/1000</f>
        <v>0.6792</v>
      </c>
      <c r="D49" s="7">
        <f t="shared" si="152"/>
        <v>0.5984</v>
      </c>
      <c r="E49" s="7">
        <f t="shared" si="152"/>
        <v>0.5794</v>
      </c>
      <c r="F49" s="7">
        <f t="shared" si="152"/>
        <v>0.575</v>
      </c>
      <c r="G49" s="7">
        <f t="shared" si="152"/>
        <v>0.5517</v>
      </c>
      <c r="H49" s="7">
        <f t="shared" si="152"/>
        <v>0.5632</v>
      </c>
      <c r="I49" s="7">
        <f t="shared" si="152"/>
        <v>0.575</v>
      </c>
      <c r="J49" s="7">
        <f t="shared" si="152"/>
        <v>0.575</v>
      </c>
      <c r="K49" s="4"/>
      <c r="L49" s="4"/>
      <c r="M49" s="10">
        <v>5.937</v>
      </c>
      <c r="N49" s="10">
        <v>5.845</v>
      </c>
      <c r="O49" s="10">
        <v>5.575</v>
      </c>
      <c r="P49" s="10">
        <v>5.276</v>
      </c>
      <c r="Q49" s="10">
        <v>5.363</v>
      </c>
      <c r="R49" s="10">
        <v>6.645</v>
      </c>
      <c r="S49" s="10">
        <v>5.654</v>
      </c>
      <c r="T49" s="10"/>
      <c r="U49" s="2" t="s">
        <v>201</v>
      </c>
      <c r="V49" s="6" t="s">
        <v>196</v>
      </c>
      <c r="W49" s="12">
        <f t="shared" ref="W49:AC49" si="153">D49/M49</f>
        <v>0.100791645612262</v>
      </c>
      <c r="X49" s="12">
        <f t="shared" si="153"/>
        <v>0.0991274593669803</v>
      </c>
      <c r="Y49" s="12">
        <f t="shared" si="153"/>
        <v>0.103139013452915</v>
      </c>
      <c r="Z49" s="12">
        <f t="shared" si="153"/>
        <v>0.104567854435178</v>
      </c>
      <c r="AA49" s="12">
        <f t="shared" si="153"/>
        <v>0.105015849338057</v>
      </c>
      <c r="AB49" s="15">
        <f t="shared" si="153"/>
        <v>0.0865312264860798</v>
      </c>
      <c r="AC49" s="15">
        <f t="shared" si="153"/>
        <v>0.10169791298196</v>
      </c>
      <c r="AD49" s="4"/>
      <c r="AE49" s="4"/>
      <c r="AF49" s="12">
        <f t="shared" ref="AF49:AJ49" si="154">W49</f>
        <v>0.100791645612262</v>
      </c>
      <c r="AG49" s="12">
        <f t="shared" si="154"/>
        <v>0.0991274593669803</v>
      </c>
      <c r="AH49" s="12">
        <f t="shared" si="154"/>
        <v>0.103139013452915</v>
      </c>
      <c r="AI49" s="12">
        <f t="shared" si="154"/>
        <v>0.104567854435178</v>
      </c>
      <c r="AJ49" s="12">
        <f t="shared" si="154"/>
        <v>0.105015849338057</v>
      </c>
      <c r="AK49" s="16">
        <f t="shared" si="131"/>
        <v>0.0995109104589917</v>
      </c>
      <c r="AL49" s="16">
        <f t="shared" si="132"/>
        <v>0.116952599929254</v>
      </c>
      <c r="AO49" s="12">
        <f t="shared" ref="AO49:AS49" si="155">W49</f>
        <v>0.100791645612262</v>
      </c>
      <c r="AP49" s="12">
        <f t="shared" si="155"/>
        <v>0.0991274593669803</v>
      </c>
      <c r="AQ49" s="12">
        <f t="shared" si="155"/>
        <v>0.103139013452915</v>
      </c>
      <c r="AR49" s="12">
        <f t="shared" si="155"/>
        <v>0.104567854435178</v>
      </c>
      <c r="AS49" s="12">
        <f t="shared" si="155"/>
        <v>0.105015849338057</v>
      </c>
      <c r="AT49" s="16">
        <f t="shared" si="134"/>
        <v>0.0735515425131678</v>
      </c>
      <c r="AU49" s="16">
        <f t="shared" si="135"/>
        <v>0.0864432260346657</v>
      </c>
      <c r="AZ49" s="2" t="s">
        <v>201</v>
      </c>
      <c r="BA49" s="6" t="s">
        <v>196</v>
      </c>
      <c r="BB49" s="7">
        <v>679.2</v>
      </c>
      <c r="BC49" s="12">
        <v>598.4</v>
      </c>
      <c r="BD49" s="12">
        <v>579.4</v>
      </c>
      <c r="BE49" s="12">
        <v>575</v>
      </c>
      <c r="BF49" s="12">
        <v>551.7</v>
      </c>
      <c r="BG49" s="12">
        <v>563.2</v>
      </c>
      <c r="BH49" s="12">
        <v>575</v>
      </c>
      <c r="BI49" s="12">
        <v>575</v>
      </c>
      <c r="BJ49" s="4"/>
      <c r="BK49" s="4"/>
      <c r="BL49" s="10"/>
      <c r="BM49" s="10"/>
      <c r="BN49" s="10"/>
      <c r="BO49" s="10"/>
    </row>
    <row r="50" ht="15.5" spans="1:67">
      <c r="A50" s="2"/>
      <c r="B50" s="6" t="s">
        <v>197</v>
      </c>
      <c r="C50" s="7">
        <f t="shared" ref="C50:J50" si="156">BB50/1000</f>
        <v>0.6241</v>
      </c>
      <c r="D50" s="7">
        <f t="shared" si="156"/>
        <v>0.5523</v>
      </c>
      <c r="E50" s="7">
        <f t="shared" si="156"/>
        <v>0.5353</v>
      </c>
      <c r="F50" s="7">
        <f t="shared" si="156"/>
        <v>0.5314</v>
      </c>
      <c r="G50" s="7">
        <f t="shared" si="156"/>
        <v>0.5105</v>
      </c>
      <c r="H50" s="7">
        <f t="shared" si="156"/>
        <v>0.5209</v>
      </c>
      <c r="I50" s="7">
        <f t="shared" si="156"/>
        <v>0.5314</v>
      </c>
      <c r="J50" s="7">
        <f t="shared" si="156"/>
        <v>0.5314</v>
      </c>
      <c r="K50" s="4"/>
      <c r="L50" s="4"/>
      <c r="M50" s="10">
        <v>5.937</v>
      </c>
      <c r="N50" s="10">
        <v>5.845</v>
      </c>
      <c r="O50" s="10">
        <v>5.575</v>
      </c>
      <c r="P50" s="10">
        <v>5.276</v>
      </c>
      <c r="Q50" s="10">
        <v>5.363</v>
      </c>
      <c r="R50" s="10">
        <v>6.645</v>
      </c>
      <c r="S50" s="10">
        <v>5.654</v>
      </c>
      <c r="T50" s="10"/>
      <c r="U50" s="2"/>
      <c r="V50" s="6" t="s">
        <v>197</v>
      </c>
      <c r="W50" s="12">
        <f t="shared" ref="W50:AC50" si="157">D50/M50</f>
        <v>0.0930267812026276</v>
      </c>
      <c r="X50" s="12">
        <f t="shared" si="157"/>
        <v>0.0915825491873396</v>
      </c>
      <c r="Y50" s="12">
        <f t="shared" si="157"/>
        <v>0.0953183856502242</v>
      </c>
      <c r="Z50" s="12">
        <f t="shared" si="157"/>
        <v>0.0967589082638362</v>
      </c>
      <c r="AA50" s="12">
        <f t="shared" si="157"/>
        <v>0.0971284728696625</v>
      </c>
      <c r="AB50" s="15">
        <f t="shared" si="157"/>
        <v>0.0799699021820918</v>
      </c>
      <c r="AC50" s="15">
        <f t="shared" si="157"/>
        <v>0.0939865581888928</v>
      </c>
      <c r="AD50" s="4"/>
      <c r="AE50" s="4"/>
      <c r="AF50" s="12">
        <f t="shared" ref="AF50:AJ50" si="158">W50</f>
        <v>0.0930267812026276</v>
      </c>
      <c r="AG50" s="12">
        <f t="shared" si="158"/>
        <v>0.0915825491873396</v>
      </c>
      <c r="AH50" s="12">
        <f t="shared" si="158"/>
        <v>0.0953183856502242</v>
      </c>
      <c r="AI50" s="12">
        <f t="shared" si="158"/>
        <v>0.0967589082638362</v>
      </c>
      <c r="AJ50" s="12">
        <f t="shared" si="158"/>
        <v>0.0971284728696625</v>
      </c>
      <c r="AK50" s="16">
        <f t="shared" si="131"/>
        <v>0.0919653875094056</v>
      </c>
      <c r="AL50" s="16">
        <f t="shared" si="132"/>
        <v>0.108084541917227</v>
      </c>
      <c r="AO50" s="12">
        <f t="shared" ref="AO50:AS50" si="159">W50</f>
        <v>0.0930267812026276</v>
      </c>
      <c r="AP50" s="12">
        <f t="shared" si="159"/>
        <v>0.0915825491873396</v>
      </c>
      <c r="AQ50" s="12">
        <f t="shared" si="159"/>
        <v>0.0953183856502242</v>
      </c>
      <c r="AR50" s="12">
        <f t="shared" si="159"/>
        <v>0.0967589082638362</v>
      </c>
      <c r="AS50" s="12">
        <f t="shared" si="159"/>
        <v>0.0971284728696625</v>
      </c>
      <c r="AT50" s="16">
        <f t="shared" si="134"/>
        <v>0.067974416854778</v>
      </c>
      <c r="AU50" s="16">
        <f t="shared" si="135"/>
        <v>0.0798885744605589</v>
      </c>
      <c r="AZ50" s="2"/>
      <c r="BA50" s="6" t="s">
        <v>197</v>
      </c>
      <c r="BB50" s="7">
        <v>624.1</v>
      </c>
      <c r="BC50" s="12">
        <v>552.3</v>
      </c>
      <c r="BD50" s="12">
        <v>535.3</v>
      </c>
      <c r="BE50" s="12">
        <v>531.4</v>
      </c>
      <c r="BF50" s="12">
        <v>510.5</v>
      </c>
      <c r="BG50" s="12">
        <v>520.9</v>
      </c>
      <c r="BH50" s="12">
        <v>531.4</v>
      </c>
      <c r="BI50" s="12">
        <v>531.4</v>
      </c>
      <c r="BJ50" s="4"/>
      <c r="BK50" s="4"/>
      <c r="BL50" s="10"/>
      <c r="BM50" s="10"/>
      <c r="BN50" s="10"/>
      <c r="BO50" s="10"/>
    </row>
    <row r="51" ht="15.5" spans="1:67">
      <c r="A51" s="2"/>
      <c r="B51" s="6" t="s">
        <v>198</v>
      </c>
      <c r="C51" s="7">
        <f t="shared" ref="C51:J51" si="160">BB51/1000</f>
        <v>0.1745</v>
      </c>
      <c r="D51" s="7">
        <f t="shared" si="160"/>
        <v>0.1463</v>
      </c>
      <c r="E51" s="7">
        <f t="shared" si="160"/>
        <v>0.1398</v>
      </c>
      <c r="F51" s="7">
        <f t="shared" si="160"/>
        <v>0.1383</v>
      </c>
      <c r="G51" s="7">
        <f t="shared" si="160"/>
        <v>0.1304</v>
      </c>
      <c r="H51" s="7">
        <f t="shared" si="160"/>
        <v>0.1343</v>
      </c>
      <c r="I51" s="7">
        <f t="shared" si="160"/>
        <v>0.1383</v>
      </c>
      <c r="J51" s="7">
        <f t="shared" si="160"/>
        <v>0.1383</v>
      </c>
      <c r="K51" s="4"/>
      <c r="L51" s="4"/>
      <c r="M51" s="10">
        <v>5.937</v>
      </c>
      <c r="N51" s="10">
        <v>5.845</v>
      </c>
      <c r="O51" s="10">
        <v>5.575</v>
      </c>
      <c r="P51" s="10">
        <v>5.276</v>
      </c>
      <c r="Q51" s="10">
        <v>5.363</v>
      </c>
      <c r="R51" s="10">
        <v>6.645</v>
      </c>
      <c r="S51" s="10">
        <v>5.654</v>
      </c>
      <c r="T51" s="10"/>
      <c r="U51" s="2"/>
      <c r="V51" s="6" t="s">
        <v>198</v>
      </c>
      <c r="W51" s="12">
        <f t="shared" ref="W51:AC51" si="161">D51/M51</f>
        <v>0.0246420751221155</v>
      </c>
      <c r="X51" s="12">
        <f t="shared" si="161"/>
        <v>0.023917878528657</v>
      </c>
      <c r="Y51" s="12">
        <f t="shared" si="161"/>
        <v>0.0248071748878924</v>
      </c>
      <c r="Z51" s="12">
        <f t="shared" si="161"/>
        <v>0.0247156937073541</v>
      </c>
      <c r="AA51" s="12">
        <f t="shared" si="161"/>
        <v>0.025041954130151</v>
      </c>
      <c r="AB51" s="15">
        <f t="shared" si="161"/>
        <v>0.0208126410835214</v>
      </c>
      <c r="AC51" s="15">
        <f t="shared" si="161"/>
        <v>0.0244605588963566</v>
      </c>
      <c r="AD51" s="4"/>
      <c r="AE51" s="4"/>
      <c r="AF51" s="12">
        <f t="shared" ref="AF51:AJ51" si="162">W51</f>
        <v>0.0246420751221155</v>
      </c>
      <c r="AG51" s="12">
        <f t="shared" si="162"/>
        <v>0.023917878528657</v>
      </c>
      <c r="AH51" s="12">
        <f t="shared" si="162"/>
        <v>0.0248071748878924</v>
      </c>
      <c r="AI51" s="12">
        <f t="shared" si="162"/>
        <v>0.0247156937073541</v>
      </c>
      <c r="AJ51" s="12">
        <f t="shared" si="162"/>
        <v>0.025041954130151</v>
      </c>
      <c r="AK51" s="16">
        <f t="shared" si="131"/>
        <v>0.0239345372460497</v>
      </c>
      <c r="AL51" s="16">
        <f t="shared" si="132"/>
        <v>0.02812964273081</v>
      </c>
      <c r="AO51" s="12">
        <f t="shared" ref="AO51:AS51" si="163">W51</f>
        <v>0.0246420751221155</v>
      </c>
      <c r="AP51" s="12">
        <f t="shared" si="163"/>
        <v>0.023917878528657</v>
      </c>
      <c r="AQ51" s="12">
        <f t="shared" si="163"/>
        <v>0.0248071748878924</v>
      </c>
      <c r="AR51" s="12">
        <f t="shared" si="163"/>
        <v>0.0247156937073541</v>
      </c>
      <c r="AS51" s="12">
        <f t="shared" si="163"/>
        <v>0.025041954130151</v>
      </c>
      <c r="AT51" s="16">
        <f t="shared" si="134"/>
        <v>0.0176907449209932</v>
      </c>
      <c r="AU51" s="16">
        <f t="shared" si="135"/>
        <v>0.0207914750619031</v>
      </c>
      <c r="AZ51" s="2"/>
      <c r="BA51" s="6" t="s">
        <v>198</v>
      </c>
      <c r="BB51" s="7">
        <v>174.5</v>
      </c>
      <c r="BC51" s="12">
        <v>146.3</v>
      </c>
      <c r="BD51" s="12">
        <v>139.8</v>
      </c>
      <c r="BE51" s="12">
        <v>138.3</v>
      </c>
      <c r="BF51" s="12">
        <v>130.4</v>
      </c>
      <c r="BG51" s="12">
        <v>134.3</v>
      </c>
      <c r="BH51" s="12">
        <v>138.3</v>
      </c>
      <c r="BI51" s="12">
        <v>138.3</v>
      </c>
      <c r="BJ51" s="4"/>
      <c r="BK51" s="4"/>
      <c r="BL51" s="10"/>
      <c r="BM51" s="10"/>
      <c r="BN51" s="10"/>
      <c r="BO51" s="10"/>
    </row>
    <row r="52" ht="15.5" spans="1:67">
      <c r="A52" s="2"/>
      <c r="B52" s="6" t="s">
        <v>199</v>
      </c>
      <c r="C52" s="7">
        <f t="shared" ref="C52:J52" si="164">BB52/1000</f>
        <v>0.4064</v>
      </c>
      <c r="D52" s="7">
        <f t="shared" si="164"/>
        <v>0.3643</v>
      </c>
      <c r="E52" s="7">
        <f t="shared" si="164"/>
        <v>0.3546</v>
      </c>
      <c r="F52" s="7">
        <f t="shared" si="164"/>
        <v>0.3523</v>
      </c>
      <c r="G52" s="7">
        <f t="shared" si="164"/>
        <v>0.3404</v>
      </c>
      <c r="H52" s="7">
        <f t="shared" si="164"/>
        <v>0.3462</v>
      </c>
      <c r="I52" s="7">
        <f t="shared" si="164"/>
        <v>0.3523</v>
      </c>
      <c r="J52" s="7">
        <f t="shared" si="164"/>
        <v>0.3523</v>
      </c>
      <c r="K52" s="4"/>
      <c r="L52" s="4"/>
      <c r="M52" s="10">
        <v>5.937</v>
      </c>
      <c r="N52" s="10">
        <v>5.845</v>
      </c>
      <c r="O52" s="10">
        <v>5.575</v>
      </c>
      <c r="P52" s="10">
        <v>5.276</v>
      </c>
      <c r="Q52" s="10">
        <v>5.363</v>
      </c>
      <c r="R52" s="10">
        <v>6.645</v>
      </c>
      <c r="S52" s="10">
        <v>5.654</v>
      </c>
      <c r="T52" s="10"/>
      <c r="U52" s="2"/>
      <c r="V52" s="6" t="s">
        <v>199</v>
      </c>
      <c r="W52" s="12">
        <f t="shared" ref="W52:AC52" si="165">D52/M52</f>
        <v>0.0613609567121442</v>
      </c>
      <c r="X52" s="12">
        <f t="shared" si="165"/>
        <v>0.0606672369546621</v>
      </c>
      <c r="Y52" s="12">
        <f t="shared" si="165"/>
        <v>0.0631928251121076</v>
      </c>
      <c r="Z52" s="12">
        <f t="shared" si="165"/>
        <v>0.0645185746777862</v>
      </c>
      <c r="AA52" s="12">
        <f t="shared" si="165"/>
        <v>0.0645534215923923</v>
      </c>
      <c r="AB52" s="15">
        <f t="shared" si="165"/>
        <v>0.0530173062452972</v>
      </c>
      <c r="AC52" s="15">
        <f t="shared" si="165"/>
        <v>0.0623098691192076</v>
      </c>
      <c r="AD52" s="4"/>
      <c r="AE52" s="4"/>
      <c r="AF52" s="12">
        <f t="shared" ref="AF52:AJ52" si="166">W52</f>
        <v>0.0613609567121442</v>
      </c>
      <c r="AG52" s="12">
        <f t="shared" si="166"/>
        <v>0.0606672369546621</v>
      </c>
      <c r="AH52" s="12">
        <f t="shared" si="166"/>
        <v>0.0631928251121076</v>
      </c>
      <c r="AI52" s="12">
        <f t="shared" si="166"/>
        <v>0.0645185746777862</v>
      </c>
      <c r="AJ52" s="12">
        <f t="shared" si="166"/>
        <v>0.0645534215923923</v>
      </c>
      <c r="AK52" s="16">
        <f t="shared" si="131"/>
        <v>0.0609699021820918</v>
      </c>
      <c r="AL52" s="16">
        <f t="shared" si="132"/>
        <v>0.0716563494870888</v>
      </c>
      <c r="AO52" s="12">
        <f t="shared" ref="AO52:AS52" si="167">W52</f>
        <v>0.0613609567121442</v>
      </c>
      <c r="AP52" s="12">
        <f t="shared" si="167"/>
        <v>0.0606672369546621</v>
      </c>
      <c r="AQ52" s="12">
        <f t="shared" si="167"/>
        <v>0.0631928251121076</v>
      </c>
      <c r="AR52" s="12">
        <f t="shared" si="167"/>
        <v>0.0645185746777862</v>
      </c>
      <c r="AS52" s="12">
        <f t="shared" si="167"/>
        <v>0.0645534215923923</v>
      </c>
      <c r="AT52" s="16">
        <f t="shared" si="134"/>
        <v>0.0450647103085026</v>
      </c>
      <c r="AU52" s="16">
        <f t="shared" si="135"/>
        <v>0.0529633887513265</v>
      </c>
      <c r="AZ52" s="2"/>
      <c r="BA52" s="6" t="s">
        <v>199</v>
      </c>
      <c r="BB52" s="7">
        <v>406.4</v>
      </c>
      <c r="BC52" s="12">
        <v>364.3</v>
      </c>
      <c r="BD52" s="12">
        <v>354.6</v>
      </c>
      <c r="BE52" s="12">
        <v>352.3</v>
      </c>
      <c r="BF52" s="12">
        <v>340.4</v>
      </c>
      <c r="BG52" s="12">
        <v>346.2</v>
      </c>
      <c r="BH52" s="12">
        <v>352.3</v>
      </c>
      <c r="BI52" s="12">
        <v>352.3</v>
      </c>
      <c r="BJ52" s="4"/>
      <c r="BK52" s="4"/>
      <c r="BL52" s="10"/>
      <c r="BM52" s="10"/>
      <c r="BN52" s="10"/>
      <c r="BO52" s="10"/>
    </row>
    <row r="53" ht="15.5" spans="1:67">
      <c r="A53" s="2"/>
      <c r="B53" s="6" t="s">
        <v>200</v>
      </c>
      <c r="C53" s="7">
        <f t="shared" ref="C53:J53" si="168">BB53/1000</f>
        <v>0.0872</v>
      </c>
      <c r="D53" s="7">
        <f t="shared" si="168"/>
        <v>0.0791</v>
      </c>
      <c r="E53" s="7">
        <f t="shared" si="168"/>
        <v>0.077</v>
      </c>
      <c r="F53" s="7">
        <f t="shared" si="168"/>
        <v>0.0765</v>
      </c>
      <c r="G53" s="7">
        <f t="shared" si="168"/>
        <v>0.0737</v>
      </c>
      <c r="H53" s="7">
        <f t="shared" si="168"/>
        <v>0.0751</v>
      </c>
      <c r="I53" s="7">
        <f t="shared" si="168"/>
        <v>0.0765</v>
      </c>
      <c r="J53" s="7">
        <f t="shared" si="168"/>
        <v>0.0765</v>
      </c>
      <c r="K53" s="4"/>
      <c r="L53" s="4"/>
      <c r="M53" s="10">
        <v>5.937</v>
      </c>
      <c r="N53" s="10">
        <v>5.845</v>
      </c>
      <c r="O53" s="10">
        <v>5.575</v>
      </c>
      <c r="P53" s="10">
        <v>5.276</v>
      </c>
      <c r="Q53" s="10">
        <v>5.363</v>
      </c>
      <c r="R53" s="10">
        <v>6.645</v>
      </c>
      <c r="S53" s="10">
        <v>5.654</v>
      </c>
      <c r="T53" s="10"/>
      <c r="U53" s="2"/>
      <c r="V53" s="6" t="s">
        <v>200</v>
      </c>
      <c r="W53" s="12">
        <f t="shared" ref="W53:AC53" si="169">D53/M53</f>
        <v>0.0133232272191342</v>
      </c>
      <c r="X53" s="12">
        <f t="shared" si="169"/>
        <v>0.0131736526946108</v>
      </c>
      <c r="Y53" s="12">
        <f t="shared" si="169"/>
        <v>0.0137219730941704</v>
      </c>
      <c r="Z53" s="12">
        <f t="shared" si="169"/>
        <v>0.0139689158453374</v>
      </c>
      <c r="AA53" s="12">
        <f t="shared" si="169"/>
        <v>0.0140033563304121</v>
      </c>
      <c r="AB53" s="15">
        <f t="shared" si="169"/>
        <v>0.0115124153498871</v>
      </c>
      <c r="AC53" s="15">
        <f t="shared" si="169"/>
        <v>0.0135302440749912</v>
      </c>
      <c r="AD53" s="4"/>
      <c r="AE53" s="4"/>
      <c r="AF53" s="12">
        <f t="shared" ref="AF53:AJ53" si="170">W53</f>
        <v>0.0133232272191342</v>
      </c>
      <c r="AG53" s="12">
        <f t="shared" si="170"/>
        <v>0.0131736526946108</v>
      </c>
      <c r="AH53" s="12">
        <f t="shared" si="170"/>
        <v>0.0137219730941704</v>
      </c>
      <c r="AI53" s="12">
        <f t="shared" si="170"/>
        <v>0.0139689158453374</v>
      </c>
      <c r="AJ53" s="12">
        <f t="shared" si="170"/>
        <v>0.0140033563304121</v>
      </c>
      <c r="AK53" s="16">
        <f t="shared" si="131"/>
        <v>0.0132392776523702</v>
      </c>
      <c r="AL53" s="16">
        <f t="shared" si="132"/>
        <v>0.0155597806862398</v>
      </c>
      <c r="AO53" s="12">
        <f t="shared" ref="AO53:AS53" si="171">W53</f>
        <v>0.0133232272191342</v>
      </c>
      <c r="AP53" s="12">
        <f t="shared" si="171"/>
        <v>0.0131736526946108</v>
      </c>
      <c r="AQ53" s="12">
        <f t="shared" si="171"/>
        <v>0.0137219730941704</v>
      </c>
      <c r="AR53" s="12">
        <f t="shared" si="171"/>
        <v>0.0139689158453374</v>
      </c>
      <c r="AS53" s="12">
        <f t="shared" si="171"/>
        <v>0.0140033563304121</v>
      </c>
      <c r="AT53" s="16">
        <f t="shared" si="134"/>
        <v>0.00978555304740406</v>
      </c>
      <c r="AU53" s="16">
        <f t="shared" si="135"/>
        <v>0.0115007074637425</v>
      </c>
      <c r="AZ53" s="2"/>
      <c r="BA53" s="6" t="s">
        <v>200</v>
      </c>
      <c r="BB53" s="7">
        <v>87.2</v>
      </c>
      <c r="BC53" s="12">
        <v>79.1</v>
      </c>
      <c r="BD53" s="12">
        <v>77</v>
      </c>
      <c r="BE53" s="12">
        <v>76.5</v>
      </c>
      <c r="BF53" s="12">
        <v>73.7</v>
      </c>
      <c r="BG53" s="12">
        <v>75.1</v>
      </c>
      <c r="BH53" s="12">
        <v>76.5</v>
      </c>
      <c r="BI53" s="12">
        <v>76.5</v>
      </c>
      <c r="BJ53" s="4"/>
      <c r="BK53" s="4"/>
      <c r="BL53" s="10"/>
      <c r="BM53" s="10"/>
      <c r="BN53" s="10"/>
      <c r="BO53" s="10"/>
    </row>
    <row r="54" ht="15.5" spans="1:67">
      <c r="A54" s="2" t="s">
        <v>11</v>
      </c>
      <c r="B54" s="6" t="s">
        <v>196</v>
      </c>
      <c r="C54" s="7">
        <f t="shared" ref="C54:J54" si="172">BB54/1000</f>
        <v>0.6916</v>
      </c>
      <c r="D54" s="7">
        <f t="shared" si="172"/>
        <v>0.6089</v>
      </c>
      <c r="E54" s="7">
        <f t="shared" si="172"/>
        <v>0.5895</v>
      </c>
      <c r="F54" s="7">
        <f t="shared" si="172"/>
        <v>0.585</v>
      </c>
      <c r="G54" s="7">
        <f t="shared" si="172"/>
        <v>0.5612</v>
      </c>
      <c r="H54" s="7">
        <f t="shared" si="172"/>
        <v>0.573</v>
      </c>
      <c r="I54" s="7">
        <f t="shared" si="172"/>
        <v>0.585</v>
      </c>
      <c r="J54" s="7">
        <f t="shared" si="172"/>
        <v>0.585</v>
      </c>
      <c r="K54" s="4"/>
      <c r="L54" s="4"/>
      <c r="M54" s="10">
        <v>5.937</v>
      </c>
      <c r="N54" s="10">
        <v>5.845</v>
      </c>
      <c r="O54" s="10">
        <v>5.575</v>
      </c>
      <c r="P54" s="10">
        <v>5.276</v>
      </c>
      <c r="Q54" s="10">
        <v>5.363</v>
      </c>
      <c r="R54" s="10">
        <v>6.645</v>
      </c>
      <c r="S54" s="10">
        <v>5.654</v>
      </c>
      <c r="T54" s="10"/>
      <c r="U54" s="2" t="s">
        <v>11</v>
      </c>
      <c r="V54" s="6" t="s">
        <v>196</v>
      </c>
      <c r="W54" s="12">
        <f t="shared" ref="W54:AC54" si="173">D54/M54</f>
        <v>0.102560215597103</v>
      </c>
      <c r="X54" s="12">
        <f t="shared" si="173"/>
        <v>0.100855431993157</v>
      </c>
      <c r="Y54" s="12">
        <f t="shared" si="173"/>
        <v>0.104932735426009</v>
      </c>
      <c r="Z54" s="12">
        <f t="shared" si="173"/>
        <v>0.106368460955269</v>
      </c>
      <c r="AA54" s="12">
        <f t="shared" si="173"/>
        <v>0.106843184784635</v>
      </c>
      <c r="AB54" s="15">
        <f t="shared" si="173"/>
        <v>0.0880361173814898</v>
      </c>
      <c r="AC54" s="15">
        <f t="shared" si="173"/>
        <v>0.103466572338168</v>
      </c>
      <c r="AD54" s="4"/>
      <c r="AE54" s="4"/>
      <c r="AF54" s="12">
        <f t="shared" ref="AF54:AJ54" si="174">W54</f>
        <v>0.102560215597103</v>
      </c>
      <c r="AG54" s="12">
        <f t="shared" si="174"/>
        <v>0.100855431993157</v>
      </c>
      <c r="AH54" s="12">
        <f t="shared" si="174"/>
        <v>0.104932735426009</v>
      </c>
      <c r="AI54" s="12">
        <f t="shared" si="174"/>
        <v>0.106368460955269</v>
      </c>
      <c r="AJ54" s="12">
        <f t="shared" si="174"/>
        <v>0.106843184784635</v>
      </c>
      <c r="AK54" s="16">
        <f t="shared" si="131"/>
        <v>0.101241534988713</v>
      </c>
      <c r="AL54" s="16">
        <f t="shared" si="132"/>
        <v>0.118986558188893</v>
      </c>
      <c r="AO54" s="12">
        <f t="shared" ref="AO54:AS54" si="175">W54</f>
        <v>0.102560215597103</v>
      </c>
      <c r="AP54" s="12">
        <f t="shared" si="175"/>
        <v>0.100855431993157</v>
      </c>
      <c r="AQ54" s="12">
        <f t="shared" si="175"/>
        <v>0.104932735426009</v>
      </c>
      <c r="AR54" s="12">
        <f t="shared" si="175"/>
        <v>0.106368460955269</v>
      </c>
      <c r="AS54" s="12">
        <f t="shared" si="175"/>
        <v>0.106843184784635</v>
      </c>
      <c r="AT54" s="16">
        <f t="shared" si="134"/>
        <v>0.0748306997742664</v>
      </c>
      <c r="AU54" s="16">
        <f t="shared" si="135"/>
        <v>0.0879465864874425</v>
      </c>
      <c r="AZ54" s="2" t="s">
        <v>11</v>
      </c>
      <c r="BA54" s="6" t="s">
        <v>196</v>
      </c>
      <c r="BB54" s="7">
        <v>691.6</v>
      </c>
      <c r="BC54" s="12">
        <v>608.9</v>
      </c>
      <c r="BD54" s="12">
        <v>589.5</v>
      </c>
      <c r="BE54" s="12">
        <v>585</v>
      </c>
      <c r="BF54" s="12">
        <v>561.2</v>
      </c>
      <c r="BG54" s="12">
        <v>573</v>
      </c>
      <c r="BH54" s="12">
        <v>585</v>
      </c>
      <c r="BI54" s="12">
        <v>585</v>
      </c>
      <c r="BJ54" s="4"/>
      <c r="BK54" s="4"/>
      <c r="BL54" s="10"/>
      <c r="BM54" s="10"/>
      <c r="BN54" s="10"/>
      <c r="BO54" s="10"/>
    </row>
    <row r="55" ht="15.5" spans="1:67">
      <c r="A55" s="2"/>
      <c r="B55" s="6" t="s">
        <v>197</v>
      </c>
      <c r="C55" s="7">
        <f t="shared" ref="C55:J55" si="176">BB55/1000</f>
        <v>0.634</v>
      </c>
      <c r="D55" s="7">
        <f t="shared" si="176"/>
        <v>0.5608</v>
      </c>
      <c r="E55" s="7">
        <f t="shared" si="176"/>
        <v>0.5435</v>
      </c>
      <c r="F55" s="7">
        <f t="shared" si="176"/>
        <v>0.5394</v>
      </c>
      <c r="G55" s="7">
        <f t="shared" si="176"/>
        <v>0.5181</v>
      </c>
      <c r="H55" s="7">
        <f t="shared" si="176"/>
        <v>0.5287</v>
      </c>
      <c r="I55" s="7">
        <f t="shared" si="176"/>
        <v>0.5394</v>
      </c>
      <c r="J55" s="7">
        <f t="shared" si="176"/>
        <v>0.5394</v>
      </c>
      <c r="K55" s="4"/>
      <c r="L55" s="4"/>
      <c r="M55" s="10">
        <v>5.937</v>
      </c>
      <c r="N55" s="10">
        <v>5.845</v>
      </c>
      <c r="O55" s="10">
        <v>5.575</v>
      </c>
      <c r="P55" s="10">
        <v>5.276</v>
      </c>
      <c r="Q55" s="10">
        <v>5.363</v>
      </c>
      <c r="R55" s="10">
        <v>6.645</v>
      </c>
      <c r="S55" s="10">
        <v>5.654</v>
      </c>
      <c r="T55" s="10"/>
      <c r="U55" s="2"/>
      <c r="V55" s="6" t="s">
        <v>197</v>
      </c>
      <c r="W55" s="12">
        <f t="shared" ref="W55:AC55" si="177">D55/M55</f>
        <v>0.0944584807141654</v>
      </c>
      <c r="X55" s="12">
        <f t="shared" si="177"/>
        <v>0.0929854576561163</v>
      </c>
      <c r="Y55" s="12">
        <f t="shared" si="177"/>
        <v>0.0967533632286995</v>
      </c>
      <c r="Z55" s="12">
        <f t="shared" si="177"/>
        <v>0.098199393479909</v>
      </c>
      <c r="AA55" s="12">
        <f t="shared" si="177"/>
        <v>0.0985828827148984</v>
      </c>
      <c r="AB55" s="15">
        <f t="shared" si="177"/>
        <v>0.0811738148984199</v>
      </c>
      <c r="AC55" s="15">
        <f t="shared" si="177"/>
        <v>0.0954014856738592</v>
      </c>
      <c r="AD55" s="4"/>
      <c r="AE55" s="4"/>
      <c r="AF55" s="12">
        <f t="shared" ref="AF55:AJ55" si="178">W55</f>
        <v>0.0944584807141654</v>
      </c>
      <c r="AG55" s="12">
        <f t="shared" si="178"/>
        <v>0.0929854576561163</v>
      </c>
      <c r="AH55" s="12">
        <f t="shared" si="178"/>
        <v>0.0967533632286995</v>
      </c>
      <c r="AI55" s="12">
        <f t="shared" si="178"/>
        <v>0.098199393479909</v>
      </c>
      <c r="AJ55" s="12">
        <f t="shared" si="178"/>
        <v>0.0985828827148984</v>
      </c>
      <c r="AK55" s="16">
        <f t="shared" si="131"/>
        <v>0.0933498871331828</v>
      </c>
      <c r="AL55" s="16">
        <f t="shared" si="132"/>
        <v>0.109711708524938</v>
      </c>
      <c r="AO55" s="12">
        <f t="shared" ref="AO55:AS55" si="179">W55</f>
        <v>0.0944584807141654</v>
      </c>
      <c r="AP55" s="12">
        <f t="shared" si="179"/>
        <v>0.0929854576561163</v>
      </c>
      <c r="AQ55" s="12">
        <f t="shared" si="179"/>
        <v>0.0967533632286995</v>
      </c>
      <c r="AR55" s="12">
        <f t="shared" si="179"/>
        <v>0.098199393479909</v>
      </c>
      <c r="AS55" s="12">
        <f t="shared" si="179"/>
        <v>0.0985828827148984</v>
      </c>
      <c r="AT55" s="16">
        <f t="shared" si="134"/>
        <v>0.0689977426636569</v>
      </c>
      <c r="AU55" s="16">
        <f t="shared" si="135"/>
        <v>0.0810912628227803</v>
      </c>
      <c r="AZ55" s="2"/>
      <c r="BA55" s="6" t="s">
        <v>197</v>
      </c>
      <c r="BB55" s="7">
        <v>634</v>
      </c>
      <c r="BC55" s="12">
        <v>560.8</v>
      </c>
      <c r="BD55" s="12">
        <v>543.5</v>
      </c>
      <c r="BE55" s="12">
        <v>539.4</v>
      </c>
      <c r="BF55" s="12">
        <v>518.1</v>
      </c>
      <c r="BG55" s="12">
        <v>528.7</v>
      </c>
      <c r="BH55" s="12">
        <v>539.4</v>
      </c>
      <c r="BI55" s="12">
        <v>539.4</v>
      </c>
      <c r="BJ55" s="4"/>
      <c r="BK55" s="4"/>
      <c r="BL55" s="10"/>
      <c r="BM55" s="10"/>
      <c r="BN55" s="10"/>
      <c r="BO55" s="10"/>
    </row>
    <row r="56" ht="15.5" spans="1:67">
      <c r="A56" s="2"/>
      <c r="B56" s="6" t="s">
        <v>198</v>
      </c>
      <c r="C56" s="7">
        <f t="shared" ref="C56:J56" si="180">BB56/1000</f>
        <v>0.2256</v>
      </c>
      <c r="D56" s="7">
        <f t="shared" si="180"/>
        <v>0.1898</v>
      </c>
      <c r="E56" s="7">
        <f t="shared" si="180"/>
        <v>0.1816</v>
      </c>
      <c r="F56" s="7">
        <f t="shared" si="180"/>
        <v>0.1797</v>
      </c>
      <c r="G56" s="7">
        <f t="shared" si="180"/>
        <v>0.1697</v>
      </c>
      <c r="H56" s="7">
        <f t="shared" si="180"/>
        <v>0.1747</v>
      </c>
      <c r="I56" s="7">
        <f t="shared" si="180"/>
        <v>0.1797</v>
      </c>
      <c r="J56" s="7">
        <f t="shared" si="180"/>
        <v>0.1797</v>
      </c>
      <c r="K56" s="4"/>
      <c r="L56" s="4"/>
      <c r="M56" s="10">
        <v>5.937</v>
      </c>
      <c r="N56" s="10">
        <v>5.845</v>
      </c>
      <c r="O56" s="10">
        <v>5.575</v>
      </c>
      <c r="P56" s="10">
        <v>5.276</v>
      </c>
      <c r="Q56" s="10">
        <v>5.363</v>
      </c>
      <c r="R56" s="10">
        <v>6.645</v>
      </c>
      <c r="S56" s="10">
        <v>5.654</v>
      </c>
      <c r="T56" s="10"/>
      <c r="U56" s="2"/>
      <c r="V56" s="6" t="s">
        <v>198</v>
      </c>
      <c r="W56" s="12">
        <f t="shared" ref="W56:AC56" si="181">D56/M56</f>
        <v>0.0319690079164561</v>
      </c>
      <c r="X56" s="12">
        <f t="shared" si="181"/>
        <v>0.0310692899914457</v>
      </c>
      <c r="Y56" s="12">
        <f t="shared" si="181"/>
        <v>0.0322331838565022</v>
      </c>
      <c r="Z56" s="12">
        <f t="shared" si="181"/>
        <v>0.0321645185746778</v>
      </c>
      <c r="AA56" s="12">
        <f t="shared" si="181"/>
        <v>0.0325750512772702</v>
      </c>
      <c r="AB56" s="15">
        <f t="shared" si="181"/>
        <v>0.0270428893905192</v>
      </c>
      <c r="AC56" s="15">
        <f t="shared" si="181"/>
        <v>0.0317828086310577</v>
      </c>
      <c r="AD56" s="4"/>
      <c r="AE56" s="4"/>
      <c r="AF56" s="12">
        <f t="shared" ref="AF56:AJ56" si="182">W56</f>
        <v>0.0319690079164561</v>
      </c>
      <c r="AG56" s="12">
        <f t="shared" si="182"/>
        <v>0.0310692899914457</v>
      </c>
      <c r="AH56" s="12">
        <f t="shared" si="182"/>
        <v>0.0322331838565022</v>
      </c>
      <c r="AI56" s="12">
        <f t="shared" si="182"/>
        <v>0.0321645185746778</v>
      </c>
      <c r="AJ56" s="12">
        <f t="shared" si="182"/>
        <v>0.0325750512772702</v>
      </c>
      <c r="AK56" s="16">
        <f t="shared" si="131"/>
        <v>0.0310993227990971</v>
      </c>
      <c r="AL56" s="16">
        <f t="shared" si="132"/>
        <v>0.0365502299257163</v>
      </c>
      <c r="AO56" s="12">
        <f t="shared" ref="AO56:AS56" si="183">W56</f>
        <v>0.0319690079164561</v>
      </c>
      <c r="AP56" s="12">
        <f t="shared" si="183"/>
        <v>0.0310692899914457</v>
      </c>
      <c r="AQ56" s="12">
        <f t="shared" si="183"/>
        <v>0.0322331838565022</v>
      </c>
      <c r="AR56" s="12">
        <f t="shared" si="183"/>
        <v>0.0321645185746778</v>
      </c>
      <c r="AS56" s="12">
        <f t="shared" si="183"/>
        <v>0.0325750512772702</v>
      </c>
      <c r="AT56" s="16">
        <f t="shared" si="134"/>
        <v>0.0229864559819413</v>
      </c>
      <c r="AU56" s="16">
        <f t="shared" si="135"/>
        <v>0.027015387336399</v>
      </c>
      <c r="AZ56" s="2"/>
      <c r="BA56" s="6" t="s">
        <v>198</v>
      </c>
      <c r="BB56" s="7">
        <v>225.6</v>
      </c>
      <c r="BC56" s="12">
        <v>189.8</v>
      </c>
      <c r="BD56" s="12">
        <v>181.6</v>
      </c>
      <c r="BE56" s="12">
        <v>179.7</v>
      </c>
      <c r="BF56" s="12">
        <v>169.7</v>
      </c>
      <c r="BG56" s="12">
        <v>174.7</v>
      </c>
      <c r="BH56" s="12">
        <v>179.7</v>
      </c>
      <c r="BI56" s="12">
        <v>179.7</v>
      </c>
      <c r="BJ56" s="4"/>
      <c r="BK56" s="4"/>
      <c r="BL56" s="10"/>
      <c r="BM56" s="10"/>
      <c r="BN56" s="10"/>
      <c r="BO56" s="10"/>
    </row>
    <row r="57" ht="15.5" spans="1:67">
      <c r="A57" s="2"/>
      <c r="B57" s="6" t="s">
        <v>199</v>
      </c>
      <c r="C57" s="7">
        <f t="shared" ref="C57:J57" si="184">BB57/1000</f>
        <v>0.3671</v>
      </c>
      <c r="D57" s="7">
        <f t="shared" si="184"/>
        <v>0.3308</v>
      </c>
      <c r="E57" s="7">
        <f t="shared" si="184"/>
        <v>0.3224</v>
      </c>
      <c r="F57" s="7">
        <f t="shared" si="184"/>
        <v>0.3205</v>
      </c>
      <c r="G57" s="7">
        <f t="shared" si="184"/>
        <v>0.3101</v>
      </c>
      <c r="H57" s="7">
        <f t="shared" si="184"/>
        <v>0.3151</v>
      </c>
      <c r="I57" s="7">
        <f t="shared" si="184"/>
        <v>0.3205</v>
      </c>
      <c r="J57" s="7">
        <f t="shared" si="184"/>
        <v>0.3205</v>
      </c>
      <c r="K57" s="4"/>
      <c r="L57" s="4"/>
      <c r="M57" s="10">
        <v>5.937</v>
      </c>
      <c r="N57" s="10">
        <v>5.845</v>
      </c>
      <c r="O57" s="10">
        <v>5.575</v>
      </c>
      <c r="P57" s="10">
        <v>5.276</v>
      </c>
      <c r="Q57" s="10">
        <v>5.363</v>
      </c>
      <c r="R57" s="10">
        <v>6.645</v>
      </c>
      <c r="S57" s="10">
        <v>5.654</v>
      </c>
      <c r="T57" s="10"/>
      <c r="U57" s="2"/>
      <c r="V57" s="6" t="s">
        <v>199</v>
      </c>
      <c r="W57" s="12">
        <f t="shared" ref="W57:AC57" si="185">D57/M57</f>
        <v>0.0557183762843187</v>
      </c>
      <c r="X57" s="12">
        <f t="shared" si="185"/>
        <v>0.055158254918734</v>
      </c>
      <c r="Y57" s="12">
        <f t="shared" si="185"/>
        <v>0.0574887892376682</v>
      </c>
      <c r="Z57" s="12">
        <f t="shared" si="185"/>
        <v>0.0587755875663381</v>
      </c>
      <c r="AA57" s="12">
        <f t="shared" si="185"/>
        <v>0.0587544284915159</v>
      </c>
      <c r="AB57" s="15">
        <f t="shared" si="185"/>
        <v>0.0482317531978932</v>
      </c>
      <c r="AC57" s="15">
        <f t="shared" si="185"/>
        <v>0.0566855323664662</v>
      </c>
      <c r="AD57" s="4"/>
      <c r="AE57" s="4"/>
      <c r="AF57" s="12">
        <f t="shared" ref="AF57:AJ57" si="186">W57</f>
        <v>0.0557183762843187</v>
      </c>
      <c r="AG57" s="12">
        <f t="shared" si="186"/>
        <v>0.055158254918734</v>
      </c>
      <c r="AH57" s="12">
        <f t="shared" si="186"/>
        <v>0.0574887892376682</v>
      </c>
      <c r="AI57" s="12">
        <f t="shared" si="186"/>
        <v>0.0587755875663381</v>
      </c>
      <c r="AJ57" s="12">
        <f t="shared" si="186"/>
        <v>0.0587544284915159</v>
      </c>
      <c r="AK57" s="16">
        <f t="shared" si="131"/>
        <v>0.0554665161775771</v>
      </c>
      <c r="AL57" s="16">
        <f t="shared" si="132"/>
        <v>0.0651883622214361</v>
      </c>
      <c r="AO57" s="12">
        <f t="shared" ref="AO57:AS57" si="187">W57</f>
        <v>0.0557183762843187</v>
      </c>
      <c r="AP57" s="12">
        <f t="shared" si="187"/>
        <v>0.055158254918734</v>
      </c>
      <c r="AQ57" s="12">
        <f t="shared" si="187"/>
        <v>0.0574887892376682</v>
      </c>
      <c r="AR57" s="12">
        <f t="shared" si="187"/>
        <v>0.0587755875663381</v>
      </c>
      <c r="AS57" s="12">
        <f t="shared" si="187"/>
        <v>0.0587544284915159</v>
      </c>
      <c r="AT57" s="16">
        <f t="shared" si="134"/>
        <v>0.0409969902182092</v>
      </c>
      <c r="AU57" s="16">
        <f t="shared" si="135"/>
        <v>0.0481827025114963</v>
      </c>
      <c r="AZ57" s="2"/>
      <c r="BA57" s="6" t="s">
        <v>199</v>
      </c>
      <c r="BB57" s="7">
        <v>367.1</v>
      </c>
      <c r="BC57" s="12">
        <v>330.8</v>
      </c>
      <c r="BD57" s="12">
        <v>322.4</v>
      </c>
      <c r="BE57" s="12">
        <v>320.5</v>
      </c>
      <c r="BF57" s="12">
        <v>310.1</v>
      </c>
      <c r="BG57" s="12">
        <v>315.1</v>
      </c>
      <c r="BH57" s="12">
        <v>320.5</v>
      </c>
      <c r="BI57" s="12">
        <v>320.5</v>
      </c>
      <c r="BJ57" s="4"/>
      <c r="BK57" s="4"/>
      <c r="BL57" s="10"/>
      <c r="BM57" s="10"/>
      <c r="BN57" s="10"/>
      <c r="BO57" s="10"/>
    </row>
    <row r="58" ht="15.5" spans="1:67">
      <c r="A58" s="2"/>
      <c r="B58" s="6" t="s">
        <v>200</v>
      </c>
      <c r="C58" s="7">
        <f t="shared" ref="C58:J58" si="188">BB58/1000</f>
        <v>0.0853</v>
      </c>
      <c r="D58" s="7">
        <f t="shared" si="188"/>
        <v>0.0775</v>
      </c>
      <c r="E58" s="7">
        <f t="shared" si="188"/>
        <v>0.0755</v>
      </c>
      <c r="F58" s="7">
        <f t="shared" si="188"/>
        <v>0.075</v>
      </c>
      <c r="G58" s="7">
        <f t="shared" si="188"/>
        <v>0.0722</v>
      </c>
      <c r="H58" s="7">
        <f t="shared" si="188"/>
        <v>0.0736</v>
      </c>
      <c r="I58" s="7">
        <f t="shared" si="188"/>
        <v>0.075</v>
      </c>
      <c r="J58" s="7">
        <f t="shared" si="188"/>
        <v>0.075</v>
      </c>
      <c r="K58" s="4"/>
      <c r="L58" s="4"/>
      <c r="M58" s="10">
        <v>5.937</v>
      </c>
      <c r="N58" s="10">
        <v>5.845</v>
      </c>
      <c r="O58" s="10">
        <v>5.575</v>
      </c>
      <c r="P58" s="10">
        <v>5.276</v>
      </c>
      <c r="Q58" s="10">
        <v>5.363</v>
      </c>
      <c r="R58" s="10">
        <v>6.645</v>
      </c>
      <c r="S58" s="10">
        <v>5.654</v>
      </c>
      <c r="T58" s="10"/>
      <c r="U58" s="2"/>
      <c r="V58" s="6" t="s">
        <v>200</v>
      </c>
      <c r="W58" s="12">
        <f t="shared" ref="W58:AC58" si="189">D58/M58</f>
        <v>0.0130537308404918</v>
      </c>
      <c r="X58" s="12">
        <f t="shared" si="189"/>
        <v>0.0129170230966638</v>
      </c>
      <c r="Y58" s="12">
        <f t="shared" si="189"/>
        <v>0.0134529147982063</v>
      </c>
      <c r="Z58" s="12">
        <f t="shared" si="189"/>
        <v>0.0136846095526914</v>
      </c>
      <c r="AA58" s="12">
        <f t="shared" si="189"/>
        <v>0.0137236621294052</v>
      </c>
      <c r="AB58" s="15">
        <f t="shared" si="189"/>
        <v>0.0112866817155756</v>
      </c>
      <c r="AC58" s="15">
        <f t="shared" si="189"/>
        <v>0.01326494517156</v>
      </c>
      <c r="AD58" s="4"/>
      <c r="AE58" s="4"/>
      <c r="AF58" s="12">
        <f t="shared" ref="AF58:AJ58" si="190">W58</f>
        <v>0.0130537308404918</v>
      </c>
      <c r="AG58" s="12">
        <f t="shared" si="190"/>
        <v>0.0129170230966638</v>
      </c>
      <c r="AH58" s="12">
        <f t="shared" si="190"/>
        <v>0.0134529147982063</v>
      </c>
      <c r="AI58" s="12">
        <f t="shared" si="190"/>
        <v>0.0136846095526914</v>
      </c>
      <c r="AJ58" s="12">
        <f t="shared" si="190"/>
        <v>0.0137236621294052</v>
      </c>
      <c r="AK58" s="16">
        <f t="shared" si="131"/>
        <v>0.012979683972912</v>
      </c>
      <c r="AL58" s="16">
        <f t="shared" si="132"/>
        <v>0.0152546869472939</v>
      </c>
      <c r="AO58" s="12">
        <f t="shared" ref="AO58:AS58" si="191">W58</f>
        <v>0.0130537308404918</v>
      </c>
      <c r="AP58" s="12">
        <f t="shared" si="191"/>
        <v>0.0129170230966638</v>
      </c>
      <c r="AQ58" s="12">
        <f t="shared" si="191"/>
        <v>0.0134529147982063</v>
      </c>
      <c r="AR58" s="12">
        <f t="shared" si="191"/>
        <v>0.0136846095526914</v>
      </c>
      <c r="AS58" s="12">
        <f t="shared" si="191"/>
        <v>0.0137236621294052</v>
      </c>
      <c r="AT58" s="16">
        <f t="shared" si="134"/>
        <v>0.00959367945823928</v>
      </c>
      <c r="AU58" s="16">
        <f t="shared" si="135"/>
        <v>0.011275203395826</v>
      </c>
      <c r="AZ58" s="2"/>
      <c r="BA58" s="6" t="s">
        <v>200</v>
      </c>
      <c r="BB58" s="7">
        <v>85.3</v>
      </c>
      <c r="BC58" s="12">
        <v>77.5</v>
      </c>
      <c r="BD58" s="12">
        <v>75.5</v>
      </c>
      <c r="BE58" s="12">
        <v>75</v>
      </c>
      <c r="BF58" s="12">
        <v>72.2</v>
      </c>
      <c r="BG58" s="12">
        <v>73.6</v>
      </c>
      <c r="BH58" s="12">
        <v>75</v>
      </c>
      <c r="BI58" s="12">
        <v>75</v>
      </c>
      <c r="BJ58" s="4"/>
      <c r="BK58" s="4"/>
      <c r="BL58" s="10"/>
      <c r="BM58" s="10"/>
      <c r="BN58" s="10"/>
      <c r="BO58" s="10"/>
    </row>
    <row r="59" ht="15.5" spans="1:67">
      <c r="A59" s="4"/>
      <c r="B59" s="4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AZ59" s="4"/>
      <c r="BA59" s="4"/>
      <c r="BB59" s="3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</row>
    <row r="60" ht="15.5" spans="1:67">
      <c r="A60" s="4" t="s">
        <v>202</v>
      </c>
      <c r="B60" s="4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AZ60" s="4" t="s">
        <v>202</v>
      </c>
      <c r="BA60" s="4"/>
      <c r="BB60" s="3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</row>
    <row r="61" ht="15.5" spans="1:67">
      <c r="A61" s="4" t="s">
        <v>216</v>
      </c>
      <c r="B61" s="4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AZ61" s="4" t="s">
        <v>216</v>
      </c>
      <c r="BA61" s="4"/>
      <c r="BB61" s="3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</row>
    <row r="62" ht="15.5" spans="1:67">
      <c r="A62" s="4" t="s">
        <v>217</v>
      </c>
      <c r="B62" s="4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AZ62" s="4" t="s">
        <v>217</v>
      </c>
      <c r="BA62" s="4"/>
      <c r="BB62" s="3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</row>
    <row r="71" ht="15.5" spans="21:47"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</row>
    <row r="72" ht="15.5" spans="21:47">
      <c r="U72" s="4"/>
      <c r="V72" s="4"/>
      <c r="W72" s="4" t="s">
        <v>188</v>
      </c>
      <c r="X72" s="4" t="s">
        <v>189</v>
      </c>
      <c r="Y72" s="5" t="s">
        <v>190</v>
      </c>
      <c r="Z72" s="4" t="s">
        <v>191</v>
      </c>
      <c r="AA72" s="4" t="s">
        <v>192</v>
      </c>
      <c r="AB72" s="14" t="s">
        <v>193</v>
      </c>
      <c r="AC72" s="14" t="s">
        <v>194</v>
      </c>
      <c r="AD72" s="4"/>
      <c r="AE72" s="4"/>
      <c r="AF72" s="4" t="s">
        <v>188</v>
      </c>
      <c r="AG72" s="4" t="s">
        <v>189</v>
      </c>
      <c r="AH72" s="5" t="s">
        <v>190</v>
      </c>
      <c r="AI72" s="4" t="s">
        <v>191</v>
      </c>
      <c r="AJ72" s="4" t="s">
        <v>192</v>
      </c>
      <c r="AK72" s="14" t="s">
        <v>193</v>
      </c>
      <c r="AL72" s="14" t="s">
        <v>194</v>
      </c>
      <c r="AM72" s="4"/>
      <c r="AN72" s="4"/>
      <c r="AO72" s="4" t="s">
        <v>188</v>
      </c>
      <c r="AP72" s="4" t="s">
        <v>189</v>
      </c>
      <c r="AQ72" s="5" t="s">
        <v>190</v>
      </c>
      <c r="AR72" s="4" t="s">
        <v>191</v>
      </c>
      <c r="AS72" s="4" t="s">
        <v>192</v>
      </c>
      <c r="AT72" s="14" t="s">
        <v>193</v>
      </c>
      <c r="AU72" s="14" t="s">
        <v>194</v>
      </c>
    </row>
    <row r="73" spans="21:47">
      <c r="U73" s="2" t="s">
        <v>195</v>
      </c>
      <c r="V73" s="17" t="s">
        <v>60</v>
      </c>
      <c r="W73" s="1">
        <f t="shared" ref="W73:AC73" si="192">W4-W5</f>
        <v>0.0105103587670541</v>
      </c>
      <c r="X73" s="1">
        <f t="shared" si="192"/>
        <v>0.0100940975192472</v>
      </c>
      <c r="Y73" s="1">
        <f t="shared" si="192"/>
        <v>0.0103856502242152</v>
      </c>
      <c r="Z73" s="1">
        <f t="shared" si="192"/>
        <v>0.0114291129643669</v>
      </c>
      <c r="AA73" s="1">
        <f t="shared" si="192"/>
        <v>0.0115979862017528</v>
      </c>
      <c r="AB73" s="1">
        <f t="shared" si="192"/>
        <v>0.00871331828442437</v>
      </c>
      <c r="AC73" s="1">
        <f t="shared" si="192"/>
        <v>0.0102405376724443</v>
      </c>
      <c r="AF73" s="1">
        <f t="shared" ref="AF73:AL73" si="193">AF4-AF5</f>
        <v>0.0105103587670541</v>
      </c>
      <c r="AG73" s="1">
        <f t="shared" si="193"/>
        <v>0.0100940975192472</v>
      </c>
      <c r="AH73" s="1">
        <f t="shared" si="193"/>
        <v>0.0103856502242152</v>
      </c>
      <c r="AI73" s="1">
        <f t="shared" si="193"/>
        <v>0.0114291129643669</v>
      </c>
      <c r="AJ73" s="1">
        <f t="shared" si="193"/>
        <v>0.0115979862017528</v>
      </c>
      <c r="AK73" s="1">
        <f t="shared" si="193"/>
        <v>0.010020316027088</v>
      </c>
      <c r="AL73" s="1">
        <f t="shared" si="193"/>
        <v>0.0117766183233109</v>
      </c>
      <c r="AO73" s="1">
        <f t="shared" ref="AO73:AU73" si="194">AO4-AO5</f>
        <v>0.0105103587670541</v>
      </c>
      <c r="AP73" s="1">
        <f t="shared" si="194"/>
        <v>0.0100940975192472</v>
      </c>
      <c r="AQ73" s="1">
        <f t="shared" si="194"/>
        <v>0.0103856502242152</v>
      </c>
      <c r="AR73" s="1">
        <f t="shared" si="194"/>
        <v>0.0114291129643669</v>
      </c>
      <c r="AS73" s="1">
        <f t="shared" si="194"/>
        <v>0.0115979862017528</v>
      </c>
      <c r="AT73" s="1">
        <f t="shared" si="194"/>
        <v>0.00740632054176073</v>
      </c>
      <c r="AU73" s="1">
        <f t="shared" si="194"/>
        <v>0.00870445702157763</v>
      </c>
    </row>
    <row r="74" spans="21:47">
      <c r="U74" s="2"/>
      <c r="V74" s="18" t="s">
        <v>218</v>
      </c>
      <c r="W74" s="1">
        <f t="shared" ref="W74:AC74" si="195">W6</f>
        <v>0.0289203301330638</v>
      </c>
      <c r="X74" s="1">
        <f t="shared" si="195"/>
        <v>0.0275620188195039</v>
      </c>
      <c r="Y74" s="1">
        <f t="shared" si="195"/>
        <v>0.028322869955157</v>
      </c>
      <c r="Z74" s="1">
        <f t="shared" si="195"/>
        <v>0.0288286580742987</v>
      </c>
      <c r="AA74" s="1">
        <f t="shared" si="195"/>
        <v>0.0296102927465971</v>
      </c>
      <c r="AB74" s="1">
        <f t="shared" si="195"/>
        <v>0.0237622272385252</v>
      </c>
      <c r="AC74" s="1">
        <f t="shared" si="195"/>
        <v>0.0279271312345242</v>
      </c>
      <c r="AF74" s="1">
        <f t="shared" ref="AF74:AL74" si="196">AF6</f>
        <v>0.0289203301330638</v>
      </c>
      <c r="AG74" s="1">
        <f t="shared" si="196"/>
        <v>0.0275620188195039</v>
      </c>
      <c r="AH74" s="1">
        <f t="shared" si="196"/>
        <v>0.028322869955157</v>
      </c>
      <c r="AI74" s="1">
        <f t="shared" si="196"/>
        <v>0.0288286580742987</v>
      </c>
      <c r="AJ74" s="1">
        <f t="shared" si="196"/>
        <v>0.0296102927465971</v>
      </c>
      <c r="AK74" s="1">
        <f t="shared" si="196"/>
        <v>0.027326561324304</v>
      </c>
      <c r="AL74" s="1">
        <f t="shared" si="196"/>
        <v>0.0321162009197029</v>
      </c>
      <c r="AO74" s="1">
        <f t="shared" ref="AO74:AU74" si="197">AO6</f>
        <v>0.0289203301330638</v>
      </c>
      <c r="AP74" s="1">
        <f t="shared" si="197"/>
        <v>0.0275620188195039</v>
      </c>
      <c r="AQ74" s="1">
        <f t="shared" si="197"/>
        <v>0.028322869955157</v>
      </c>
      <c r="AR74" s="1">
        <f t="shared" si="197"/>
        <v>0.0288286580742987</v>
      </c>
      <c r="AS74" s="1">
        <f t="shared" si="197"/>
        <v>0.0296102927465971</v>
      </c>
      <c r="AT74" s="1">
        <f t="shared" si="197"/>
        <v>0.0201978931527464</v>
      </c>
      <c r="AU74" s="1">
        <f t="shared" si="197"/>
        <v>0.0237380615493456</v>
      </c>
    </row>
    <row r="75" spans="21:47">
      <c r="U75" s="2"/>
      <c r="V75" s="17" t="s">
        <v>219</v>
      </c>
      <c r="W75" s="1">
        <f t="shared" ref="W75:AC75" si="198">W7</f>
        <v>0.0836617820448038</v>
      </c>
      <c r="X75" s="1">
        <f t="shared" si="198"/>
        <v>0.0814029084687767</v>
      </c>
      <c r="Y75" s="1">
        <f t="shared" si="198"/>
        <v>0.0843946188340807</v>
      </c>
      <c r="Z75" s="1">
        <f t="shared" si="198"/>
        <v>0.0884192570128886</v>
      </c>
      <c r="AA75" s="1">
        <f t="shared" si="198"/>
        <v>0.092485549132948</v>
      </c>
      <c r="AB75" s="1">
        <f t="shared" si="198"/>
        <v>0.0708051166290444</v>
      </c>
      <c r="AC75" s="1">
        <f t="shared" si="198"/>
        <v>0.0832154227095861</v>
      </c>
      <c r="AF75" s="1">
        <f t="shared" ref="AF75:AL75" si="199">AF7</f>
        <v>0.0836617820448038</v>
      </c>
      <c r="AG75" s="1">
        <f t="shared" si="199"/>
        <v>0.0814029084687767</v>
      </c>
      <c r="AH75" s="1">
        <f t="shared" si="199"/>
        <v>0.0843946188340807</v>
      </c>
      <c r="AI75" s="1">
        <f t="shared" si="199"/>
        <v>0.0884192570128886</v>
      </c>
      <c r="AJ75" s="1">
        <f t="shared" si="199"/>
        <v>0.092485549132948</v>
      </c>
      <c r="AK75" s="1">
        <f t="shared" si="199"/>
        <v>0.0814258841234011</v>
      </c>
      <c r="AL75" s="1">
        <f t="shared" si="199"/>
        <v>0.0956977361160241</v>
      </c>
      <c r="AO75" s="1">
        <f t="shared" ref="AO75:AU75" si="200">AO7</f>
        <v>0.0836617820448038</v>
      </c>
      <c r="AP75" s="1">
        <f t="shared" si="200"/>
        <v>0.0814029084687767</v>
      </c>
      <c r="AQ75" s="1">
        <f t="shared" si="200"/>
        <v>0.0843946188340807</v>
      </c>
      <c r="AR75" s="1">
        <f t="shared" si="200"/>
        <v>0.0884192570128886</v>
      </c>
      <c r="AS75" s="1">
        <f t="shared" si="200"/>
        <v>0.092485549132948</v>
      </c>
      <c r="AT75" s="1">
        <f t="shared" si="200"/>
        <v>0.0601843491346877</v>
      </c>
      <c r="AU75" s="1">
        <f t="shared" si="200"/>
        <v>0.0707331093031482</v>
      </c>
    </row>
    <row r="76" spans="21:47">
      <c r="U76" s="2"/>
      <c r="V76" s="17" t="s">
        <v>220</v>
      </c>
      <c r="W76" s="1">
        <f t="shared" ref="W76:AC76" si="201">W8</f>
        <v>0.0130200437931615</v>
      </c>
      <c r="X76" s="1">
        <f t="shared" si="201"/>
        <v>0.0127459366980325</v>
      </c>
      <c r="Y76" s="1">
        <f t="shared" si="201"/>
        <v>0.0132017937219731</v>
      </c>
      <c r="Z76" s="1">
        <f t="shared" si="201"/>
        <v>0.0144238059135709</v>
      </c>
      <c r="AA76" s="1">
        <f t="shared" si="201"/>
        <v>0.0147119149729629</v>
      </c>
      <c r="AB76" s="1">
        <f t="shared" si="201"/>
        <v>0.0110759969902182</v>
      </c>
      <c r="AC76" s="1">
        <f t="shared" si="201"/>
        <v>0.0130173328616908</v>
      </c>
      <c r="AF76" s="1">
        <f t="shared" ref="AF76:AL76" si="202">AF8</f>
        <v>0.0130200437931615</v>
      </c>
      <c r="AG76" s="1">
        <f t="shared" si="202"/>
        <v>0.0127459366980325</v>
      </c>
      <c r="AH76" s="1">
        <f t="shared" si="202"/>
        <v>0.0132017937219731</v>
      </c>
      <c r="AI76" s="1">
        <f t="shared" si="202"/>
        <v>0.0144238059135709</v>
      </c>
      <c r="AJ76" s="1">
        <f t="shared" si="202"/>
        <v>0.0147119149729629</v>
      </c>
      <c r="AK76" s="1">
        <f t="shared" si="202"/>
        <v>0.0127373965387509</v>
      </c>
      <c r="AL76" s="1">
        <f t="shared" si="202"/>
        <v>0.0149699327909445</v>
      </c>
      <c r="AO76" s="1">
        <f t="shared" ref="AO76:AU76" si="203">AO8</f>
        <v>0.0130200437931615</v>
      </c>
      <c r="AP76" s="1">
        <f t="shared" si="203"/>
        <v>0.0127459366980325</v>
      </c>
      <c r="AQ76" s="1">
        <f t="shared" si="203"/>
        <v>0.0132017937219731</v>
      </c>
      <c r="AR76" s="1">
        <f t="shared" si="203"/>
        <v>0.0144238059135709</v>
      </c>
      <c r="AS76" s="1">
        <f t="shared" si="203"/>
        <v>0.0147119149729629</v>
      </c>
      <c r="AT76" s="1">
        <f t="shared" si="203"/>
        <v>0.00941459744168548</v>
      </c>
      <c r="AU76" s="1">
        <f t="shared" si="203"/>
        <v>0.0110647329324372</v>
      </c>
    </row>
    <row r="77" spans="21:47">
      <c r="U77" s="2" t="s">
        <v>201</v>
      </c>
      <c r="V77" s="17" t="s">
        <v>60</v>
      </c>
      <c r="W77" s="1">
        <f t="shared" ref="W77:AC77" si="204">W9-W10</f>
        <v>0.0103587670540677</v>
      </c>
      <c r="X77" s="1">
        <f t="shared" si="204"/>
        <v>0.00995722840034217</v>
      </c>
      <c r="Y77" s="1">
        <f t="shared" si="204"/>
        <v>0.0102421524663677</v>
      </c>
      <c r="Z77" s="1">
        <f t="shared" si="204"/>
        <v>0.0112774829416224</v>
      </c>
      <c r="AA77" s="1">
        <f t="shared" si="204"/>
        <v>0.0114301696811486</v>
      </c>
      <c r="AB77" s="1">
        <f t="shared" si="204"/>
        <v>0.00859292701279159</v>
      </c>
      <c r="AC77" s="1">
        <f t="shared" si="204"/>
        <v>0.0100990449239476</v>
      </c>
      <c r="AF77" s="1">
        <f t="shared" ref="AF77:AL77" si="205">AF9-AF10</f>
        <v>0.0103587670540677</v>
      </c>
      <c r="AG77" s="1">
        <f t="shared" si="205"/>
        <v>0.00995722840034217</v>
      </c>
      <c r="AH77" s="1">
        <f t="shared" si="205"/>
        <v>0.0102421524663677</v>
      </c>
      <c r="AI77" s="1">
        <f t="shared" si="205"/>
        <v>0.0112774829416224</v>
      </c>
      <c r="AJ77" s="1">
        <f t="shared" si="205"/>
        <v>0.0114301696811486</v>
      </c>
      <c r="AK77" s="1">
        <f t="shared" si="205"/>
        <v>0.00988186606471032</v>
      </c>
      <c r="AL77" s="1">
        <f t="shared" si="205"/>
        <v>0.0116139016625398</v>
      </c>
      <c r="AO77" s="1">
        <f t="shared" ref="AO77:AU77" si="206">AO9-AO10</f>
        <v>0.0103587670540677</v>
      </c>
      <c r="AP77" s="1">
        <f t="shared" si="206"/>
        <v>0.00995722840034217</v>
      </c>
      <c r="AQ77" s="1">
        <f t="shared" si="206"/>
        <v>0.0102421524663677</v>
      </c>
      <c r="AR77" s="1">
        <f t="shared" si="206"/>
        <v>0.0112774829416224</v>
      </c>
      <c r="AS77" s="1">
        <f t="shared" si="206"/>
        <v>0.0114301696811486</v>
      </c>
      <c r="AT77" s="1">
        <f t="shared" si="206"/>
        <v>0.00730398796087285</v>
      </c>
      <c r="AU77" s="1">
        <f t="shared" si="206"/>
        <v>0.00858418818535549</v>
      </c>
    </row>
    <row r="78" spans="21:47">
      <c r="U78" s="2"/>
      <c r="V78" s="18" t="s">
        <v>218</v>
      </c>
      <c r="W78" s="1">
        <f t="shared" ref="W78:AC78" si="207">W11</f>
        <v>0.0349503116051878</v>
      </c>
      <c r="X78" s="1">
        <f t="shared" si="207"/>
        <v>0.0333789563729684</v>
      </c>
      <c r="Y78" s="1">
        <f t="shared" si="207"/>
        <v>0.0343677130044843</v>
      </c>
      <c r="Z78" s="1">
        <f t="shared" si="207"/>
        <v>0.035253980288097</v>
      </c>
      <c r="AA78" s="1">
        <f t="shared" si="207"/>
        <v>0.0361364907700914</v>
      </c>
      <c r="AB78" s="1">
        <f t="shared" si="207"/>
        <v>0.0288337095560572</v>
      </c>
      <c r="AC78" s="1">
        <f t="shared" si="207"/>
        <v>0.0338875132649452</v>
      </c>
      <c r="AF78" s="1">
        <f t="shared" ref="AF78:AL78" si="208">AF11</f>
        <v>0.0349503116051878</v>
      </c>
      <c r="AG78" s="1">
        <f t="shared" si="208"/>
        <v>0.0333789563729684</v>
      </c>
      <c r="AH78" s="1">
        <f t="shared" si="208"/>
        <v>0.0343677130044843</v>
      </c>
      <c r="AI78" s="1">
        <f t="shared" si="208"/>
        <v>0.035253980288097</v>
      </c>
      <c r="AJ78" s="1">
        <f t="shared" si="208"/>
        <v>0.0361364907700914</v>
      </c>
      <c r="AK78" s="1">
        <f t="shared" si="208"/>
        <v>0.0331587659894658</v>
      </c>
      <c r="AL78" s="1">
        <f t="shared" si="208"/>
        <v>0.0389706402546869</v>
      </c>
      <c r="AO78" s="1">
        <f t="shared" ref="AO78:AU78" si="209">AO11</f>
        <v>0.0349503116051878</v>
      </c>
      <c r="AP78" s="1">
        <f t="shared" si="209"/>
        <v>0.0333789563729684</v>
      </c>
      <c r="AQ78" s="1">
        <f t="shared" si="209"/>
        <v>0.0343677130044843</v>
      </c>
      <c r="AR78" s="1">
        <f t="shared" si="209"/>
        <v>0.035253980288097</v>
      </c>
      <c r="AS78" s="1">
        <f t="shared" si="209"/>
        <v>0.0361364907700914</v>
      </c>
      <c r="AT78" s="1">
        <f t="shared" si="209"/>
        <v>0.0245086531226486</v>
      </c>
      <c r="AU78" s="1">
        <f t="shared" si="209"/>
        <v>0.0288043862752034</v>
      </c>
    </row>
    <row r="79" ht="15.5" spans="21:47">
      <c r="U79" s="2"/>
      <c r="V79" s="17" t="s">
        <v>219</v>
      </c>
      <c r="W79" s="1">
        <f t="shared" ref="W79:AC79" si="210">W12</f>
        <v>0.0799898938858009</v>
      </c>
      <c r="X79" s="1">
        <f t="shared" si="210"/>
        <v>0.0778614200171086</v>
      </c>
      <c r="Y79" s="1">
        <f t="shared" si="210"/>
        <v>0.0807174887892377</v>
      </c>
      <c r="Z79" s="1">
        <f t="shared" si="210"/>
        <v>0.0845147839272176</v>
      </c>
      <c r="AA79" s="1">
        <f t="shared" si="210"/>
        <v>0.08851389147865</v>
      </c>
      <c r="AB79" s="1">
        <f t="shared" si="210"/>
        <v>0.0677200902934537</v>
      </c>
      <c r="AC79" s="1">
        <f t="shared" si="210"/>
        <v>0.0795896710293598</v>
      </c>
      <c r="AD79" s="4"/>
      <c r="AE79" s="4"/>
      <c r="AF79" s="1">
        <f t="shared" ref="AF79:AL79" si="211">AF12</f>
        <v>0.0799898938858009</v>
      </c>
      <c r="AG79" s="1">
        <f t="shared" si="211"/>
        <v>0.0778614200171086</v>
      </c>
      <c r="AH79" s="1">
        <f t="shared" si="211"/>
        <v>0.0807174887892377</v>
      </c>
      <c r="AI79" s="1">
        <f t="shared" si="211"/>
        <v>0.0845147839272176</v>
      </c>
      <c r="AJ79" s="1">
        <f t="shared" si="211"/>
        <v>0.08851389147865</v>
      </c>
      <c r="AK79" s="1">
        <f t="shared" si="211"/>
        <v>0.0778781038374718</v>
      </c>
      <c r="AL79" s="1">
        <f t="shared" si="211"/>
        <v>0.0915281216837637</v>
      </c>
      <c r="AM79" s="4"/>
      <c r="AN79" s="4"/>
      <c r="AO79" s="1">
        <f t="shared" ref="AO79:AU79" si="212">AO12</f>
        <v>0.0799898938858009</v>
      </c>
      <c r="AP79" s="1">
        <f t="shared" si="212"/>
        <v>0.0778614200171086</v>
      </c>
      <c r="AQ79" s="1">
        <f t="shared" si="212"/>
        <v>0.0807174887892377</v>
      </c>
      <c r="AR79" s="1">
        <f t="shared" si="212"/>
        <v>0.0845147839272176</v>
      </c>
      <c r="AS79" s="1">
        <f t="shared" si="212"/>
        <v>0.08851389147865</v>
      </c>
      <c r="AT79" s="1">
        <f t="shared" si="212"/>
        <v>0.0575620767494357</v>
      </c>
      <c r="AU79" s="1">
        <f t="shared" si="212"/>
        <v>0.0676512203749558</v>
      </c>
    </row>
    <row r="80" ht="15.5" spans="21:47">
      <c r="U80" s="2"/>
      <c r="V80" s="17" t="s">
        <v>220</v>
      </c>
      <c r="W80" s="1">
        <f t="shared" ref="W80:AC80" si="213">W13</f>
        <v>0.0135085059794509</v>
      </c>
      <c r="X80" s="1">
        <f t="shared" si="213"/>
        <v>0.013207869974337</v>
      </c>
      <c r="Y80" s="1">
        <f t="shared" si="213"/>
        <v>0.0136860986547085</v>
      </c>
      <c r="Z80" s="1">
        <f t="shared" si="213"/>
        <v>0.0149545109931767</v>
      </c>
      <c r="AA80" s="1">
        <f t="shared" si="213"/>
        <v>0.0152340108148424</v>
      </c>
      <c r="AB80" s="1">
        <f t="shared" si="213"/>
        <v>0.0114823175319789</v>
      </c>
      <c r="AC80" s="1">
        <f t="shared" si="213"/>
        <v>0.013494870887867</v>
      </c>
      <c r="AD80" s="4"/>
      <c r="AE80" s="4"/>
      <c r="AF80" s="1">
        <f t="shared" ref="AF80:AL80" si="214">AF13</f>
        <v>0.0135085059794509</v>
      </c>
      <c r="AG80" s="1">
        <f t="shared" si="214"/>
        <v>0.013207869974337</v>
      </c>
      <c r="AH80" s="1">
        <f t="shared" si="214"/>
        <v>0.0136860986547085</v>
      </c>
      <c r="AI80" s="1">
        <f t="shared" si="214"/>
        <v>0.0149545109931767</v>
      </c>
      <c r="AJ80" s="1">
        <f t="shared" si="214"/>
        <v>0.0152340108148424</v>
      </c>
      <c r="AK80" s="1">
        <f t="shared" si="214"/>
        <v>0.0132046651617758</v>
      </c>
      <c r="AL80" s="1">
        <f t="shared" si="214"/>
        <v>0.015519101521047</v>
      </c>
      <c r="AM80" s="4"/>
      <c r="AN80" s="4"/>
      <c r="AO80" s="1">
        <f t="shared" ref="AO80:AU80" si="215">AO13</f>
        <v>0.0135085059794509</v>
      </c>
      <c r="AP80" s="1">
        <f t="shared" si="215"/>
        <v>0.013207869974337</v>
      </c>
      <c r="AQ80" s="1">
        <f t="shared" si="215"/>
        <v>0.0136860986547085</v>
      </c>
      <c r="AR80" s="1">
        <f t="shared" si="215"/>
        <v>0.0149545109931767</v>
      </c>
      <c r="AS80" s="1">
        <f t="shared" si="215"/>
        <v>0.0152340108148424</v>
      </c>
      <c r="AT80" s="1">
        <f t="shared" si="215"/>
        <v>0.00975996990218209</v>
      </c>
      <c r="AU80" s="1">
        <f t="shared" si="215"/>
        <v>0.0114706402546869</v>
      </c>
    </row>
    <row r="81" ht="15.5" spans="21:47">
      <c r="U81" s="2" t="s">
        <v>221</v>
      </c>
      <c r="V81" s="17" t="s">
        <v>60</v>
      </c>
      <c r="W81" s="4">
        <f t="shared" ref="W81:AC81" si="216">W14-W15</f>
        <v>0.010830385716692</v>
      </c>
      <c r="X81" s="4">
        <f t="shared" si="216"/>
        <v>0.0104020530367836</v>
      </c>
      <c r="Y81" s="4">
        <f t="shared" si="216"/>
        <v>0.0107085201793722</v>
      </c>
      <c r="Z81" s="4">
        <f t="shared" si="216"/>
        <v>0.0117702805155421</v>
      </c>
      <c r="AA81" s="4">
        <f t="shared" si="216"/>
        <v>0.011933619242961</v>
      </c>
      <c r="AB81" s="4">
        <f t="shared" si="216"/>
        <v>0.00898419864559818</v>
      </c>
      <c r="AC81" s="4">
        <f t="shared" si="216"/>
        <v>0.0105588963565617</v>
      </c>
      <c r="AD81" s="4"/>
      <c r="AE81" s="4"/>
      <c r="AF81" s="4">
        <f t="shared" ref="AF81:AL81" si="217">AF14-AF15</f>
        <v>0.010830385716692</v>
      </c>
      <c r="AG81" s="4">
        <f t="shared" si="217"/>
        <v>0.0104020530367836</v>
      </c>
      <c r="AH81" s="4">
        <f t="shared" si="217"/>
        <v>0.0107085201793722</v>
      </c>
      <c r="AI81" s="4">
        <f t="shared" si="217"/>
        <v>0.0117702805155421</v>
      </c>
      <c r="AJ81" s="4">
        <f t="shared" si="217"/>
        <v>0.011933619242961</v>
      </c>
      <c r="AK81" s="4">
        <f t="shared" si="217"/>
        <v>0.0103318284424379</v>
      </c>
      <c r="AL81" s="4">
        <f t="shared" si="217"/>
        <v>0.012142730810046</v>
      </c>
      <c r="AM81" s="4"/>
      <c r="AN81" s="4"/>
      <c r="AO81" s="4">
        <f t="shared" ref="AO81:AU81" si="218">AO14-AO15</f>
        <v>0.010830385716692</v>
      </c>
      <c r="AP81" s="4">
        <f t="shared" si="218"/>
        <v>0.0104020530367836</v>
      </c>
      <c r="AQ81" s="4">
        <f t="shared" si="218"/>
        <v>0.0107085201793722</v>
      </c>
      <c r="AR81" s="4">
        <f t="shared" si="218"/>
        <v>0.0117702805155421</v>
      </c>
      <c r="AS81" s="4">
        <f t="shared" si="218"/>
        <v>0.011933619242961</v>
      </c>
      <c r="AT81" s="4">
        <f t="shared" si="218"/>
        <v>0.00763656884875846</v>
      </c>
      <c r="AU81" s="4">
        <f t="shared" si="218"/>
        <v>0.00897506190307747</v>
      </c>
    </row>
    <row r="82" ht="15.5" spans="21:47">
      <c r="U82" s="2"/>
      <c r="V82" s="18" t="s">
        <v>218</v>
      </c>
      <c r="W82" s="4">
        <f t="shared" ref="W82:AC82" si="219">W16</f>
        <v>0.0447027118073101</v>
      </c>
      <c r="X82" s="4">
        <f t="shared" si="219"/>
        <v>0.0428058169375535</v>
      </c>
      <c r="Y82" s="4">
        <f t="shared" si="219"/>
        <v>0.0441255605381166</v>
      </c>
      <c r="Z82" s="4">
        <f t="shared" si="219"/>
        <v>0.0456406368460955</v>
      </c>
      <c r="AA82" s="4">
        <f t="shared" si="219"/>
        <v>0.0467275778482193</v>
      </c>
      <c r="AB82" s="4">
        <f t="shared" si="219"/>
        <v>0.037020316027088</v>
      </c>
      <c r="AC82" s="4">
        <f t="shared" si="219"/>
        <v>0.0435090201627167</v>
      </c>
      <c r="AD82" s="4"/>
      <c r="AE82" s="4"/>
      <c r="AF82" s="4">
        <f t="shared" ref="AF82:AL82" si="220">AF16</f>
        <v>0.0447027118073101</v>
      </c>
      <c r="AG82" s="4">
        <f t="shared" si="220"/>
        <v>0.0428058169375535</v>
      </c>
      <c r="AH82" s="4">
        <f t="shared" si="220"/>
        <v>0.0441255605381166</v>
      </c>
      <c r="AI82" s="4">
        <f t="shared" si="220"/>
        <v>0.0456406368460955</v>
      </c>
      <c r="AJ82" s="4">
        <f t="shared" si="220"/>
        <v>0.0467275778482193</v>
      </c>
      <c r="AK82" s="4">
        <f t="shared" si="220"/>
        <v>0.0425733634311512</v>
      </c>
      <c r="AL82" s="4">
        <f t="shared" si="220"/>
        <v>0.0500353731871242</v>
      </c>
      <c r="AM82" s="4"/>
      <c r="AN82" s="4"/>
      <c r="AO82" s="4">
        <f t="shared" ref="AO82:AU82" si="221">AO16</f>
        <v>0.0447027118073101</v>
      </c>
      <c r="AP82" s="4">
        <f t="shared" si="221"/>
        <v>0.0428058169375535</v>
      </c>
      <c r="AQ82" s="4">
        <f t="shared" si="221"/>
        <v>0.0441255605381166</v>
      </c>
      <c r="AR82" s="4">
        <f t="shared" si="221"/>
        <v>0.0456406368460955</v>
      </c>
      <c r="AS82" s="4">
        <f t="shared" si="221"/>
        <v>0.0467275778482193</v>
      </c>
      <c r="AT82" s="4">
        <f t="shared" si="221"/>
        <v>0.0314672686230248</v>
      </c>
      <c r="AU82" s="4">
        <f t="shared" si="221"/>
        <v>0.0369826671383092</v>
      </c>
    </row>
    <row r="83" ht="15.5" spans="21:47">
      <c r="U83" s="2"/>
      <c r="V83" s="17" t="s">
        <v>219</v>
      </c>
      <c r="W83" s="4">
        <f t="shared" ref="W83:AC83" si="222">W17</f>
        <v>0.0724945258548088</v>
      </c>
      <c r="X83" s="4">
        <f t="shared" si="222"/>
        <v>0.0706073567151412</v>
      </c>
      <c r="Y83" s="4">
        <f t="shared" si="222"/>
        <v>0.0732017937219731</v>
      </c>
      <c r="Z83" s="4">
        <f t="shared" si="222"/>
        <v>0.076516300227445</v>
      </c>
      <c r="AA83" s="4">
        <f t="shared" si="222"/>
        <v>0.0803841133693828</v>
      </c>
      <c r="AB83" s="4">
        <f t="shared" si="222"/>
        <v>0.0614145974416855</v>
      </c>
      <c r="AC83" s="4">
        <f t="shared" si="222"/>
        <v>0.0721789883268483</v>
      </c>
      <c r="AD83" s="4"/>
      <c r="AE83" s="4"/>
      <c r="AF83" s="4">
        <f t="shared" ref="AF83:AL83" si="223">AF17</f>
        <v>0.0724945258548088</v>
      </c>
      <c r="AG83" s="4">
        <f t="shared" si="223"/>
        <v>0.0706073567151412</v>
      </c>
      <c r="AH83" s="4">
        <f t="shared" si="223"/>
        <v>0.0732017937219731</v>
      </c>
      <c r="AI83" s="4">
        <f t="shared" si="223"/>
        <v>0.076516300227445</v>
      </c>
      <c r="AJ83" s="4">
        <f t="shared" si="223"/>
        <v>0.0803841133693828</v>
      </c>
      <c r="AK83" s="4">
        <f t="shared" si="223"/>
        <v>0.0706267870579383</v>
      </c>
      <c r="AL83" s="4">
        <f t="shared" si="223"/>
        <v>0.0830058365758755</v>
      </c>
      <c r="AM83" s="4"/>
      <c r="AN83" s="4"/>
      <c r="AO83" s="4">
        <f t="shared" ref="AO83:AU83" si="224">AO17</f>
        <v>0.0724945258548088</v>
      </c>
      <c r="AP83" s="4">
        <f t="shared" si="224"/>
        <v>0.0706073567151412</v>
      </c>
      <c r="AQ83" s="4">
        <f t="shared" si="224"/>
        <v>0.0732017937219731</v>
      </c>
      <c r="AR83" s="4">
        <f t="shared" si="224"/>
        <v>0.076516300227445</v>
      </c>
      <c r="AS83" s="4">
        <f t="shared" si="224"/>
        <v>0.0803841133693828</v>
      </c>
      <c r="AT83" s="4">
        <f t="shared" si="224"/>
        <v>0.0522024078254327</v>
      </c>
      <c r="AU83" s="4">
        <f t="shared" si="224"/>
        <v>0.061352140077821</v>
      </c>
    </row>
    <row r="84" ht="15.5" spans="21:47">
      <c r="U84" s="2"/>
      <c r="V84" s="17" t="s">
        <v>220</v>
      </c>
      <c r="W84" s="4">
        <f t="shared" ref="W84:AC84" si="225">W18</f>
        <v>0.0131547919824827</v>
      </c>
      <c r="X84" s="4">
        <f t="shared" si="225"/>
        <v>0.0128656971770744</v>
      </c>
      <c r="Y84" s="4">
        <f t="shared" si="225"/>
        <v>0.0133273542600897</v>
      </c>
      <c r="Z84" s="4">
        <f t="shared" si="225"/>
        <v>0.0145564821834723</v>
      </c>
      <c r="AA84" s="4">
        <f t="shared" si="225"/>
        <v>0.0148610852134999</v>
      </c>
      <c r="AB84" s="4">
        <f t="shared" si="225"/>
        <v>0.0111813393528969</v>
      </c>
      <c r="AC84" s="4">
        <f t="shared" si="225"/>
        <v>0.0131411390166254</v>
      </c>
      <c r="AD84" s="4"/>
      <c r="AE84" s="4"/>
      <c r="AF84" s="4">
        <f t="shared" ref="AF84:AL84" si="226">AF18</f>
        <v>0.0131547919824827</v>
      </c>
      <c r="AG84" s="4">
        <f t="shared" si="226"/>
        <v>0.0128656971770744</v>
      </c>
      <c r="AH84" s="4">
        <f t="shared" si="226"/>
        <v>0.0133273542600897</v>
      </c>
      <c r="AI84" s="4">
        <f t="shared" si="226"/>
        <v>0.0145564821834723</v>
      </c>
      <c r="AJ84" s="4">
        <f t="shared" si="226"/>
        <v>0.0148610852134999</v>
      </c>
      <c r="AK84" s="4">
        <f t="shared" si="226"/>
        <v>0.0128585402558315</v>
      </c>
      <c r="AL84" s="4">
        <f t="shared" si="226"/>
        <v>0.0151123098691192</v>
      </c>
      <c r="AM84" s="4"/>
      <c r="AN84" s="4"/>
      <c r="AO84" s="4">
        <f t="shared" ref="AO84:AU84" si="227">AO18</f>
        <v>0.0131547919824827</v>
      </c>
      <c r="AP84" s="4">
        <f t="shared" si="227"/>
        <v>0.0128656971770744</v>
      </c>
      <c r="AQ84" s="4">
        <f t="shared" si="227"/>
        <v>0.0133273542600897</v>
      </c>
      <c r="AR84" s="4">
        <f t="shared" si="227"/>
        <v>0.0145564821834723</v>
      </c>
      <c r="AS84" s="4">
        <f t="shared" si="227"/>
        <v>0.0148610852134999</v>
      </c>
      <c r="AT84" s="4">
        <f t="shared" si="227"/>
        <v>0.00950413844996238</v>
      </c>
      <c r="AU84" s="4">
        <f t="shared" si="227"/>
        <v>0.0111699681641316</v>
      </c>
    </row>
    <row r="85" ht="15.5" spans="21:47">
      <c r="U85" s="26" t="s">
        <v>195</v>
      </c>
      <c r="V85" s="17" t="s">
        <v>60</v>
      </c>
      <c r="W85" s="19">
        <f>W73</f>
        <v>0.0105103587670541</v>
      </c>
      <c r="X85" s="19">
        <f t="shared" ref="X85:AC85" si="228">X73</f>
        <v>0.0100940975192472</v>
      </c>
      <c r="Y85" s="19">
        <f t="shared" si="228"/>
        <v>0.0103856502242152</v>
      </c>
      <c r="Z85" s="19">
        <f t="shared" si="228"/>
        <v>0.0114291129643669</v>
      </c>
      <c r="AA85" s="19">
        <f t="shared" si="228"/>
        <v>0.0115979862017528</v>
      </c>
      <c r="AB85" s="19">
        <f t="shared" si="228"/>
        <v>0.00871331828442437</v>
      </c>
      <c r="AC85" s="19">
        <f t="shared" si="228"/>
        <v>0.0102405376724443</v>
      </c>
      <c r="AD85" s="4"/>
      <c r="AE85" s="4"/>
      <c r="AF85" s="19">
        <f t="shared" ref="AF85:AL85" si="229">AF73</f>
        <v>0.0105103587670541</v>
      </c>
      <c r="AG85" s="19">
        <f t="shared" si="229"/>
        <v>0.0100940975192472</v>
      </c>
      <c r="AH85" s="19">
        <f t="shared" si="229"/>
        <v>0.0103856502242152</v>
      </c>
      <c r="AI85" s="19">
        <f t="shared" si="229"/>
        <v>0.0114291129643669</v>
      </c>
      <c r="AJ85" s="19">
        <f t="shared" si="229"/>
        <v>0.0115979862017528</v>
      </c>
      <c r="AK85" s="19">
        <f t="shared" si="229"/>
        <v>0.010020316027088</v>
      </c>
      <c r="AL85" s="19">
        <f t="shared" si="229"/>
        <v>0.0117766183233109</v>
      </c>
      <c r="AM85" s="4"/>
      <c r="AN85" s="4"/>
      <c r="AO85" s="19">
        <f t="shared" ref="AO85:AU85" si="230">AO73</f>
        <v>0.0105103587670541</v>
      </c>
      <c r="AP85" s="19">
        <f t="shared" si="230"/>
        <v>0.0100940975192472</v>
      </c>
      <c r="AQ85" s="19">
        <f t="shared" si="230"/>
        <v>0.0103856502242152</v>
      </c>
      <c r="AR85" s="19">
        <f t="shared" si="230"/>
        <v>0.0114291129643669</v>
      </c>
      <c r="AS85" s="19">
        <f t="shared" si="230"/>
        <v>0.0115979862017528</v>
      </c>
      <c r="AT85" s="19">
        <f t="shared" si="230"/>
        <v>0.00740632054176073</v>
      </c>
      <c r="AU85" s="19">
        <f t="shared" si="230"/>
        <v>0.00870445702157763</v>
      </c>
    </row>
    <row r="86" ht="15.5" spans="21:47">
      <c r="U86" s="26"/>
      <c r="V86" s="18" t="s">
        <v>218</v>
      </c>
      <c r="W86" s="19">
        <f>W74</f>
        <v>0.0289203301330638</v>
      </c>
      <c r="X86" s="19">
        <f t="shared" ref="X86:AC86" si="231">X74</f>
        <v>0.0275620188195039</v>
      </c>
      <c r="Y86" s="19">
        <f t="shared" si="231"/>
        <v>0.028322869955157</v>
      </c>
      <c r="Z86" s="19">
        <f t="shared" si="231"/>
        <v>0.0288286580742987</v>
      </c>
      <c r="AA86" s="19">
        <f t="shared" si="231"/>
        <v>0.0296102927465971</v>
      </c>
      <c r="AB86" s="19">
        <f t="shared" si="231"/>
        <v>0.0237622272385252</v>
      </c>
      <c r="AC86" s="19">
        <f t="shared" si="231"/>
        <v>0.0279271312345242</v>
      </c>
      <c r="AD86" s="4"/>
      <c r="AE86" s="4"/>
      <c r="AF86" s="19">
        <f t="shared" ref="AF86:AL86" si="232">AF74</f>
        <v>0.0289203301330638</v>
      </c>
      <c r="AG86" s="19">
        <f t="shared" si="232"/>
        <v>0.0275620188195039</v>
      </c>
      <c r="AH86" s="19">
        <f t="shared" si="232"/>
        <v>0.028322869955157</v>
      </c>
      <c r="AI86" s="19">
        <f t="shared" si="232"/>
        <v>0.0288286580742987</v>
      </c>
      <c r="AJ86" s="19">
        <f t="shared" si="232"/>
        <v>0.0296102927465971</v>
      </c>
      <c r="AK86" s="19">
        <f t="shared" si="232"/>
        <v>0.027326561324304</v>
      </c>
      <c r="AL86" s="19">
        <f t="shared" si="232"/>
        <v>0.0321162009197029</v>
      </c>
      <c r="AM86" s="4"/>
      <c r="AN86" s="4"/>
      <c r="AO86" s="19">
        <f t="shared" ref="AO86:AU86" si="233">AO74</f>
        <v>0.0289203301330638</v>
      </c>
      <c r="AP86" s="19">
        <f t="shared" si="233"/>
        <v>0.0275620188195039</v>
      </c>
      <c r="AQ86" s="19">
        <f t="shared" si="233"/>
        <v>0.028322869955157</v>
      </c>
      <c r="AR86" s="19">
        <f t="shared" si="233"/>
        <v>0.0288286580742987</v>
      </c>
      <c r="AS86" s="19">
        <f t="shared" si="233"/>
        <v>0.0296102927465971</v>
      </c>
      <c r="AT86" s="19">
        <f t="shared" si="233"/>
        <v>0.0201978931527464</v>
      </c>
      <c r="AU86" s="19">
        <f t="shared" si="233"/>
        <v>0.0237380615493456</v>
      </c>
    </row>
    <row r="87" ht="15.5" spans="21:47">
      <c r="U87" s="26"/>
      <c r="V87" s="17" t="s">
        <v>219</v>
      </c>
      <c r="W87" s="19">
        <f>W75</f>
        <v>0.0836617820448038</v>
      </c>
      <c r="X87" s="19">
        <f t="shared" ref="X87:AC87" si="234">X75</f>
        <v>0.0814029084687767</v>
      </c>
      <c r="Y87" s="19">
        <f t="shared" si="234"/>
        <v>0.0843946188340807</v>
      </c>
      <c r="Z87" s="19">
        <f t="shared" si="234"/>
        <v>0.0884192570128886</v>
      </c>
      <c r="AA87" s="19">
        <f t="shared" si="234"/>
        <v>0.092485549132948</v>
      </c>
      <c r="AB87" s="19">
        <f t="shared" si="234"/>
        <v>0.0708051166290444</v>
      </c>
      <c r="AC87" s="19">
        <f t="shared" si="234"/>
        <v>0.0832154227095861</v>
      </c>
      <c r="AD87" s="4"/>
      <c r="AE87" s="4"/>
      <c r="AF87" s="19">
        <f t="shared" ref="AF87:AL87" si="235">AF75</f>
        <v>0.0836617820448038</v>
      </c>
      <c r="AG87" s="19">
        <f t="shared" si="235"/>
        <v>0.0814029084687767</v>
      </c>
      <c r="AH87" s="19">
        <f t="shared" si="235"/>
        <v>0.0843946188340807</v>
      </c>
      <c r="AI87" s="19">
        <f t="shared" si="235"/>
        <v>0.0884192570128886</v>
      </c>
      <c r="AJ87" s="19">
        <f t="shared" si="235"/>
        <v>0.092485549132948</v>
      </c>
      <c r="AK87" s="19">
        <f t="shared" si="235"/>
        <v>0.0814258841234011</v>
      </c>
      <c r="AL87" s="19">
        <f t="shared" si="235"/>
        <v>0.0956977361160241</v>
      </c>
      <c r="AM87" s="4"/>
      <c r="AN87" s="4"/>
      <c r="AO87" s="19">
        <f t="shared" ref="AO87:AU87" si="236">AO75</f>
        <v>0.0836617820448038</v>
      </c>
      <c r="AP87" s="19">
        <f t="shared" si="236"/>
        <v>0.0814029084687767</v>
      </c>
      <c r="AQ87" s="19">
        <f t="shared" si="236"/>
        <v>0.0843946188340807</v>
      </c>
      <c r="AR87" s="19">
        <f t="shared" si="236"/>
        <v>0.0884192570128886</v>
      </c>
      <c r="AS87" s="19">
        <f t="shared" si="236"/>
        <v>0.092485549132948</v>
      </c>
      <c r="AT87" s="19">
        <f t="shared" si="236"/>
        <v>0.0601843491346877</v>
      </c>
      <c r="AU87" s="19">
        <f t="shared" si="236"/>
        <v>0.0707331093031482</v>
      </c>
    </row>
    <row r="88" ht="15.5" spans="21:47">
      <c r="U88" s="26"/>
      <c r="V88" s="17" t="s">
        <v>220</v>
      </c>
      <c r="W88" s="19">
        <f>W76</f>
        <v>0.0130200437931615</v>
      </c>
      <c r="X88" s="19">
        <f t="shared" ref="X88:AC88" si="237">X76</f>
        <v>0.0127459366980325</v>
      </c>
      <c r="Y88" s="19">
        <f t="shared" si="237"/>
        <v>0.0132017937219731</v>
      </c>
      <c r="Z88" s="19">
        <f t="shared" si="237"/>
        <v>0.0144238059135709</v>
      </c>
      <c r="AA88" s="19">
        <f t="shared" si="237"/>
        <v>0.0147119149729629</v>
      </c>
      <c r="AB88" s="19">
        <f t="shared" si="237"/>
        <v>0.0110759969902182</v>
      </c>
      <c r="AC88" s="19">
        <f t="shared" si="237"/>
        <v>0.0130173328616908</v>
      </c>
      <c r="AD88" s="4"/>
      <c r="AE88" s="4"/>
      <c r="AF88" s="19">
        <f t="shared" ref="AF88:AL88" si="238">AF76</f>
        <v>0.0130200437931615</v>
      </c>
      <c r="AG88" s="19">
        <f t="shared" si="238"/>
        <v>0.0127459366980325</v>
      </c>
      <c r="AH88" s="19">
        <f t="shared" si="238"/>
        <v>0.0132017937219731</v>
      </c>
      <c r="AI88" s="19">
        <f t="shared" si="238"/>
        <v>0.0144238059135709</v>
      </c>
      <c r="AJ88" s="19">
        <f t="shared" si="238"/>
        <v>0.0147119149729629</v>
      </c>
      <c r="AK88" s="19">
        <f t="shared" si="238"/>
        <v>0.0127373965387509</v>
      </c>
      <c r="AL88" s="19">
        <f t="shared" si="238"/>
        <v>0.0149699327909445</v>
      </c>
      <c r="AM88" s="4"/>
      <c r="AN88" s="4"/>
      <c r="AO88" s="19">
        <f t="shared" ref="AO88:AU88" si="239">AO76</f>
        <v>0.0130200437931615</v>
      </c>
      <c r="AP88" s="19">
        <f t="shared" si="239"/>
        <v>0.0127459366980325</v>
      </c>
      <c r="AQ88" s="19">
        <f t="shared" si="239"/>
        <v>0.0132017937219731</v>
      </c>
      <c r="AR88" s="19">
        <f t="shared" si="239"/>
        <v>0.0144238059135709</v>
      </c>
      <c r="AS88" s="19">
        <f t="shared" si="239"/>
        <v>0.0147119149729629</v>
      </c>
      <c r="AT88" s="19">
        <f t="shared" si="239"/>
        <v>0.00941459744168548</v>
      </c>
      <c r="AU88" s="19">
        <f t="shared" si="239"/>
        <v>0.0110647329324372</v>
      </c>
    </row>
    <row r="89" ht="15.5" spans="21:47"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</row>
    <row r="90" ht="15.5" spans="21:47"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</row>
    <row r="91" ht="15.5" spans="21:47"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</row>
    <row r="92" ht="15.5" spans="21:47">
      <c r="U92" s="4"/>
      <c r="V92" s="4"/>
      <c r="W92" s="4" t="s">
        <v>188</v>
      </c>
      <c r="X92" s="4" t="s">
        <v>189</v>
      </c>
      <c r="Y92" s="5" t="s">
        <v>190</v>
      </c>
      <c r="Z92" s="4" t="s">
        <v>191</v>
      </c>
      <c r="AA92" s="4" t="s">
        <v>192</v>
      </c>
      <c r="AB92" s="14" t="s">
        <v>193</v>
      </c>
      <c r="AC92" s="14" t="s">
        <v>194</v>
      </c>
      <c r="AD92" s="4"/>
      <c r="AE92" s="4"/>
      <c r="AF92" s="4" t="s">
        <v>188</v>
      </c>
      <c r="AG92" s="4" t="s">
        <v>189</v>
      </c>
      <c r="AH92" s="5" t="s">
        <v>190</v>
      </c>
      <c r="AI92" s="4" t="s">
        <v>191</v>
      </c>
      <c r="AJ92" s="4" t="s">
        <v>192</v>
      </c>
      <c r="AK92" s="14" t="s">
        <v>193</v>
      </c>
      <c r="AL92" s="14" t="s">
        <v>194</v>
      </c>
      <c r="AM92" s="4"/>
      <c r="AN92" s="4"/>
      <c r="AO92" s="4" t="s">
        <v>188</v>
      </c>
      <c r="AP92" s="4" t="s">
        <v>189</v>
      </c>
      <c r="AQ92" s="5" t="s">
        <v>190</v>
      </c>
      <c r="AR92" s="4" t="s">
        <v>191</v>
      </c>
      <c r="AS92" s="4" t="s">
        <v>192</v>
      </c>
      <c r="AT92" s="14" t="s">
        <v>193</v>
      </c>
      <c r="AU92" s="14" t="s">
        <v>194</v>
      </c>
    </row>
    <row r="93" spans="21:47">
      <c r="U93" s="2" t="s">
        <v>195</v>
      </c>
      <c r="V93" s="17" t="s">
        <v>60</v>
      </c>
      <c r="W93" s="1">
        <f t="shared" ref="W93:AC93" si="240">W24-W25</f>
        <v>0.0115546572342934</v>
      </c>
      <c r="X93" s="1">
        <f t="shared" si="240"/>
        <v>0.0110863986313088</v>
      </c>
      <c r="Y93" s="1">
        <f t="shared" si="240"/>
        <v>0.0114618834080717</v>
      </c>
      <c r="Z93" s="1">
        <f t="shared" si="240"/>
        <v>0.011751326762699</v>
      </c>
      <c r="AA93" s="1">
        <f t="shared" si="240"/>
        <v>0.0119709118030953</v>
      </c>
      <c r="AB93" s="1">
        <f t="shared" si="240"/>
        <v>0.00961625282167042</v>
      </c>
      <c r="AC93" s="1">
        <f t="shared" si="240"/>
        <v>0.0113017332861691</v>
      </c>
      <c r="AF93" s="1">
        <f t="shared" ref="AF93:AL93" si="241">AF24-AF25</f>
        <v>0.0115546572342934</v>
      </c>
      <c r="AG93" s="1">
        <f t="shared" si="241"/>
        <v>0.0110863986313088</v>
      </c>
      <c r="AH93" s="1">
        <f t="shared" si="241"/>
        <v>0.0114618834080717</v>
      </c>
      <c r="AI93" s="1">
        <f t="shared" si="241"/>
        <v>0.011751326762699</v>
      </c>
      <c r="AJ93" s="1">
        <f t="shared" si="241"/>
        <v>0.0119709118030953</v>
      </c>
      <c r="AK93" s="1">
        <f t="shared" si="241"/>
        <v>0.011058690744921</v>
      </c>
      <c r="AL93" s="1">
        <f t="shared" si="241"/>
        <v>0.0129969932790944</v>
      </c>
      <c r="AO93" s="1">
        <f t="shared" ref="AO93:AU93" si="242">AO24-AO25</f>
        <v>0.0115546572342934</v>
      </c>
      <c r="AP93" s="1">
        <f t="shared" si="242"/>
        <v>0.0110863986313088</v>
      </c>
      <c r="AQ93" s="1">
        <f t="shared" si="242"/>
        <v>0.0114618834080717</v>
      </c>
      <c r="AR93" s="1">
        <f t="shared" si="242"/>
        <v>0.011751326762699</v>
      </c>
      <c r="AS93" s="1">
        <f t="shared" si="242"/>
        <v>0.0119709118030953</v>
      </c>
      <c r="AT93" s="1">
        <f t="shared" si="242"/>
        <v>0.00817381489841985</v>
      </c>
      <c r="AU93" s="1">
        <f t="shared" si="242"/>
        <v>0.00960647329324371</v>
      </c>
    </row>
    <row r="94" spans="21:47">
      <c r="U94" s="2"/>
      <c r="V94" s="18" t="s">
        <v>218</v>
      </c>
      <c r="W94" s="1">
        <f t="shared" ref="W94:AC94" si="243">W26</f>
        <v>0.0252147549267307</v>
      </c>
      <c r="X94" s="1">
        <f t="shared" si="243"/>
        <v>0.0242600513259196</v>
      </c>
      <c r="Y94" s="1">
        <f t="shared" si="243"/>
        <v>0.0250941704035874</v>
      </c>
      <c r="Z94" s="1">
        <f t="shared" si="243"/>
        <v>0.0257581501137225</v>
      </c>
      <c r="AA94" s="1">
        <f t="shared" si="243"/>
        <v>0.0262539623345143</v>
      </c>
      <c r="AB94" s="1">
        <f t="shared" si="243"/>
        <v>0.0210534236267871</v>
      </c>
      <c r="AC94" s="1">
        <f t="shared" si="243"/>
        <v>0.0247435443933498</v>
      </c>
      <c r="AF94" s="1">
        <f t="shared" ref="AF94:AL94" si="244">AF26</f>
        <v>0.0252147549267307</v>
      </c>
      <c r="AG94" s="1">
        <f t="shared" si="244"/>
        <v>0.0242600513259196</v>
      </c>
      <c r="AH94" s="1">
        <f t="shared" si="244"/>
        <v>0.0250941704035874</v>
      </c>
      <c r="AI94" s="1">
        <f t="shared" si="244"/>
        <v>0.0257581501137225</v>
      </c>
      <c r="AJ94" s="1">
        <f t="shared" si="244"/>
        <v>0.0262539623345143</v>
      </c>
      <c r="AK94" s="1">
        <f t="shared" si="244"/>
        <v>0.0242114371708051</v>
      </c>
      <c r="AL94" s="1">
        <f t="shared" si="244"/>
        <v>0.0284550760523523</v>
      </c>
      <c r="AO94" s="1">
        <f t="shared" ref="AO94:AU94" si="245">AO26</f>
        <v>0.0252147549267307</v>
      </c>
      <c r="AP94" s="1">
        <f t="shared" si="245"/>
        <v>0.0242600513259196</v>
      </c>
      <c r="AQ94" s="1">
        <f t="shared" si="245"/>
        <v>0.0250941704035874</v>
      </c>
      <c r="AR94" s="1">
        <f t="shared" si="245"/>
        <v>0.0257581501137225</v>
      </c>
      <c r="AS94" s="1">
        <f t="shared" si="245"/>
        <v>0.0262539623345143</v>
      </c>
      <c r="AT94" s="1">
        <f t="shared" si="245"/>
        <v>0.017895410082769</v>
      </c>
      <c r="AU94" s="1">
        <f t="shared" si="245"/>
        <v>0.0210320127343474</v>
      </c>
    </row>
    <row r="95" spans="21:47">
      <c r="U95" s="2"/>
      <c r="V95" s="17" t="s">
        <v>219</v>
      </c>
      <c r="W95" s="1">
        <f t="shared" ref="W95:AC95" si="246">W27</f>
        <v>0.0978103419235304</v>
      </c>
      <c r="X95" s="1">
        <f t="shared" si="246"/>
        <v>0.0947818648417451</v>
      </c>
      <c r="Y95" s="1">
        <f t="shared" si="246"/>
        <v>0.0982600896860986</v>
      </c>
      <c r="Z95" s="1">
        <f t="shared" si="246"/>
        <v>0.099696739954511</v>
      </c>
      <c r="AA95" s="1">
        <f t="shared" si="246"/>
        <v>0.103953011374231</v>
      </c>
      <c r="AB95" s="1">
        <f t="shared" si="246"/>
        <v>0.0824379232505643</v>
      </c>
      <c r="AC95" s="1">
        <f t="shared" si="246"/>
        <v>0.0968871595330739</v>
      </c>
      <c r="AF95" s="1">
        <f t="shared" ref="AF95:AL95" si="247">AF27</f>
        <v>0.0978103419235304</v>
      </c>
      <c r="AG95" s="1">
        <f t="shared" si="247"/>
        <v>0.0947818648417451</v>
      </c>
      <c r="AH95" s="1">
        <f t="shared" si="247"/>
        <v>0.0982600896860986</v>
      </c>
      <c r="AI95" s="1">
        <f t="shared" si="247"/>
        <v>0.099696739954511</v>
      </c>
      <c r="AJ95" s="1">
        <f t="shared" si="247"/>
        <v>0.103953011374231</v>
      </c>
      <c r="AK95" s="1">
        <f t="shared" si="247"/>
        <v>0.094803611738149</v>
      </c>
      <c r="AL95" s="1">
        <f t="shared" si="247"/>
        <v>0.111420233463035</v>
      </c>
      <c r="AO95" s="1">
        <f t="shared" ref="AO95:AU95" si="248">AO27</f>
        <v>0.0978103419235304</v>
      </c>
      <c r="AP95" s="1">
        <f t="shared" si="248"/>
        <v>0.0947818648417451</v>
      </c>
      <c r="AQ95" s="1">
        <f t="shared" si="248"/>
        <v>0.0982600896860986</v>
      </c>
      <c r="AR95" s="1">
        <f t="shared" si="248"/>
        <v>0.099696739954511</v>
      </c>
      <c r="AS95" s="1">
        <f t="shared" si="248"/>
        <v>0.103953011374231</v>
      </c>
      <c r="AT95" s="1">
        <f t="shared" si="248"/>
        <v>0.0700722347629797</v>
      </c>
      <c r="AU95" s="1">
        <f t="shared" si="248"/>
        <v>0.0823540856031128</v>
      </c>
    </row>
    <row r="96" spans="21:47">
      <c r="U96" s="2"/>
      <c r="V96" s="17" t="s">
        <v>220</v>
      </c>
      <c r="W96" s="1">
        <f t="shared" ref="W96:AC96" si="249">W28</f>
        <v>0.0132390096008085</v>
      </c>
      <c r="X96" s="1">
        <f t="shared" si="249"/>
        <v>0.0130538922155689</v>
      </c>
      <c r="Y96" s="1">
        <f t="shared" si="249"/>
        <v>0.0136143497757848</v>
      </c>
      <c r="Z96" s="1">
        <f t="shared" si="249"/>
        <v>0.0139689158453374</v>
      </c>
      <c r="AA96" s="1">
        <f t="shared" si="249"/>
        <v>0.0141711728510162</v>
      </c>
      <c r="AB96" s="1">
        <f t="shared" si="249"/>
        <v>0.0114221218961625</v>
      </c>
      <c r="AC96" s="1">
        <f t="shared" si="249"/>
        <v>0.0134241245136187</v>
      </c>
      <c r="AF96" s="1">
        <f t="shared" ref="AF96:AL96" si="250">AF28</f>
        <v>0.0132390096008085</v>
      </c>
      <c r="AG96" s="1">
        <f t="shared" si="250"/>
        <v>0.0130538922155689</v>
      </c>
      <c r="AH96" s="1">
        <f t="shared" si="250"/>
        <v>0.0136143497757848</v>
      </c>
      <c r="AI96" s="1">
        <f t="shared" si="250"/>
        <v>0.0139689158453374</v>
      </c>
      <c r="AJ96" s="1">
        <f t="shared" si="250"/>
        <v>0.0141711728510162</v>
      </c>
      <c r="AK96" s="1">
        <f t="shared" si="250"/>
        <v>0.0131354401805869</v>
      </c>
      <c r="AL96" s="1">
        <f t="shared" si="250"/>
        <v>0.0154377431906615</v>
      </c>
      <c r="AO96" s="1">
        <f t="shared" ref="AO96:AU96" si="251">AO28</f>
        <v>0.0132390096008085</v>
      </c>
      <c r="AP96" s="1">
        <f t="shared" si="251"/>
        <v>0.0130538922155689</v>
      </c>
      <c r="AQ96" s="1">
        <f t="shared" si="251"/>
        <v>0.0136143497757848</v>
      </c>
      <c r="AR96" s="1">
        <f t="shared" si="251"/>
        <v>0.0139689158453374</v>
      </c>
      <c r="AS96" s="1">
        <f t="shared" si="251"/>
        <v>0.0141711728510162</v>
      </c>
      <c r="AT96" s="1">
        <f t="shared" si="251"/>
        <v>0.00970880361173815</v>
      </c>
      <c r="AU96" s="1">
        <f t="shared" si="251"/>
        <v>0.0114105058365759</v>
      </c>
    </row>
    <row r="97" spans="21:47">
      <c r="U97" s="2" t="s">
        <v>201</v>
      </c>
      <c r="V97" s="17" t="s">
        <v>60</v>
      </c>
      <c r="W97" s="1">
        <f t="shared" ref="W97:AC97" si="252">W29-W30</f>
        <v>0.0114030655213071</v>
      </c>
      <c r="X97" s="1">
        <f t="shared" si="252"/>
        <v>0.0109324208725406</v>
      </c>
      <c r="Y97" s="1">
        <f t="shared" si="252"/>
        <v>0.0113183856502242</v>
      </c>
      <c r="Z97" s="1">
        <f t="shared" si="252"/>
        <v>0.0115996967399545</v>
      </c>
      <c r="AA97" s="1">
        <f t="shared" si="252"/>
        <v>0.0118030952824912</v>
      </c>
      <c r="AB97" s="1">
        <f t="shared" si="252"/>
        <v>0.00949586155003763</v>
      </c>
      <c r="AC97" s="1">
        <f t="shared" si="252"/>
        <v>0.0111602405376725</v>
      </c>
      <c r="AF97" s="1">
        <f t="shared" ref="AF97:AL97" si="253">AF29-AF30</f>
        <v>0.0114030655213071</v>
      </c>
      <c r="AG97" s="1">
        <f t="shared" si="253"/>
        <v>0.0109324208725406</v>
      </c>
      <c r="AH97" s="1">
        <f t="shared" si="253"/>
        <v>0.0113183856502242</v>
      </c>
      <c r="AI97" s="1">
        <f t="shared" si="253"/>
        <v>0.0115996967399545</v>
      </c>
      <c r="AJ97" s="1">
        <f t="shared" si="253"/>
        <v>0.0118030952824912</v>
      </c>
      <c r="AK97" s="1">
        <f t="shared" si="253"/>
        <v>0.0109202407825433</v>
      </c>
      <c r="AL97" s="1">
        <f t="shared" si="253"/>
        <v>0.0128342766183233</v>
      </c>
      <c r="AO97" s="1">
        <f t="shared" ref="AO97:AU97" si="254">AO29-AO30</f>
        <v>0.0114030655213071</v>
      </c>
      <c r="AP97" s="1">
        <f t="shared" si="254"/>
        <v>0.0109324208725406</v>
      </c>
      <c r="AQ97" s="1">
        <f t="shared" si="254"/>
        <v>0.0113183856502242</v>
      </c>
      <c r="AR97" s="1">
        <f t="shared" si="254"/>
        <v>0.0115996967399545</v>
      </c>
      <c r="AS97" s="1">
        <f t="shared" si="254"/>
        <v>0.0118030952824912</v>
      </c>
      <c r="AT97" s="1">
        <f t="shared" si="254"/>
        <v>0.00807148231753198</v>
      </c>
      <c r="AU97" s="1">
        <f t="shared" si="254"/>
        <v>0.00948620445702159</v>
      </c>
    </row>
    <row r="98" spans="21:47">
      <c r="U98" s="2"/>
      <c r="V98" s="18" t="s">
        <v>218</v>
      </c>
      <c r="W98" s="1">
        <f t="shared" ref="W98:AC98" si="255">W31</f>
        <v>0.0310257705912077</v>
      </c>
      <c r="X98" s="1">
        <f t="shared" si="255"/>
        <v>0.0298716852010265</v>
      </c>
      <c r="Y98" s="1">
        <f t="shared" si="255"/>
        <v>0.0309237668161435</v>
      </c>
      <c r="Z98" s="1">
        <f t="shared" si="255"/>
        <v>0.0319749810462472</v>
      </c>
      <c r="AA98" s="1">
        <f t="shared" si="255"/>
        <v>0.0325750512772702</v>
      </c>
      <c r="AB98" s="1">
        <f t="shared" si="255"/>
        <v>0.0259443190368698</v>
      </c>
      <c r="AC98" s="1">
        <f t="shared" si="255"/>
        <v>0.0304916873010258</v>
      </c>
      <c r="AF98" s="1">
        <f t="shared" ref="AF98:AL98" si="256">AF31</f>
        <v>0.0310257705912077</v>
      </c>
      <c r="AG98" s="1">
        <f t="shared" si="256"/>
        <v>0.0298716852010265</v>
      </c>
      <c r="AH98" s="1">
        <f t="shared" si="256"/>
        <v>0.0309237668161435</v>
      </c>
      <c r="AI98" s="1">
        <f t="shared" si="256"/>
        <v>0.0319749810462472</v>
      </c>
      <c r="AJ98" s="1">
        <f t="shared" si="256"/>
        <v>0.0325750512772702</v>
      </c>
      <c r="AK98" s="1">
        <f t="shared" si="256"/>
        <v>0.0298359668924003</v>
      </c>
      <c r="AL98" s="1">
        <f t="shared" si="256"/>
        <v>0.0350654403961797</v>
      </c>
      <c r="AO98" s="1">
        <f t="shared" ref="AO98:AU98" si="257">AO31</f>
        <v>0.0310257705912077</v>
      </c>
      <c r="AP98" s="1">
        <f t="shared" si="257"/>
        <v>0.0298716852010265</v>
      </c>
      <c r="AQ98" s="1">
        <f t="shared" si="257"/>
        <v>0.0309237668161435</v>
      </c>
      <c r="AR98" s="1">
        <f t="shared" si="257"/>
        <v>0.0319749810462472</v>
      </c>
      <c r="AS98" s="1">
        <f t="shared" si="257"/>
        <v>0.0325750512772702</v>
      </c>
      <c r="AT98" s="1">
        <f t="shared" si="257"/>
        <v>0.0220526711813394</v>
      </c>
      <c r="AU98" s="1">
        <f t="shared" si="257"/>
        <v>0.0259179342058719</v>
      </c>
    </row>
    <row r="99" ht="15.5" spans="21:47">
      <c r="U99" s="2"/>
      <c r="V99" s="17" t="s">
        <v>219</v>
      </c>
      <c r="W99" s="1">
        <f t="shared" ref="W99:AC99" si="258">W32</f>
        <v>0.0942732019538488</v>
      </c>
      <c r="X99" s="1">
        <f t="shared" si="258"/>
        <v>0.0913601368691189</v>
      </c>
      <c r="Y99" s="1">
        <f t="shared" si="258"/>
        <v>0.0947085201793722</v>
      </c>
      <c r="Z99" s="1">
        <f t="shared" si="258"/>
        <v>0.0959249431387415</v>
      </c>
      <c r="AA99" s="1">
        <f t="shared" si="258"/>
        <v>0.100111877680403</v>
      </c>
      <c r="AB99" s="1">
        <f t="shared" si="258"/>
        <v>0.0794582392776524</v>
      </c>
      <c r="AC99" s="1">
        <f t="shared" si="258"/>
        <v>0.0933852140077821</v>
      </c>
      <c r="AD99" s="4"/>
      <c r="AE99" s="4"/>
      <c r="AF99" s="1">
        <f t="shared" ref="AF99:AL99" si="259">AF32</f>
        <v>0.0942732019538488</v>
      </c>
      <c r="AG99" s="1">
        <f t="shared" si="259"/>
        <v>0.0913601368691189</v>
      </c>
      <c r="AH99" s="1">
        <f t="shared" si="259"/>
        <v>0.0947085201793722</v>
      </c>
      <c r="AI99" s="1">
        <f t="shared" si="259"/>
        <v>0.0959249431387415</v>
      </c>
      <c r="AJ99" s="1">
        <f t="shared" si="259"/>
        <v>0.100111877680403</v>
      </c>
      <c r="AK99" s="1">
        <f t="shared" si="259"/>
        <v>0.0913769751693002</v>
      </c>
      <c r="AL99" s="1">
        <f t="shared" si="259"/>
        <v>0.107392996108949</v>
      </c>
      <c r="AM99" s="4"/>
      <c r="AN99" s="4"/>
      <c r="AO99" s="1">
        <f t="shared" ref="AO99:AU99" si="260">AO32</f>
        <v>0.0942732019538488</v>
      </c>
      <c r="AP99" s="1">
        <f t="shared" si="260"/>
        <v>0.0913601368691189</v>
      </c>
      <c r="AQ99" s="1">
        <f t="shared" si="260"/>
        <v>0.0947085201793722</v>
      </c>
      <c r="AR99" s="1">
        <f t="shared" si="260"/>
        <v>0.0959249431387415</v>
      </c>
      <c r="AS99" s="1">
        <f t="shared" si="260"/>
        <v>0.100111877680403</v>
      </c>
      <c r="AT99" s="1">
        <f t="shared" si="260"/>
        <v>0.0675395033860045</v>
      </c>
      <c r="AU99" s="1">
        <f t="shared" si="260"/>
        <v>0.0793774319066148</v>
      </c>
    </row>
    <row r="100" ht="15.5" spans="21:47">
      <c r="U100" s="2"/>
      <c r="V100" s="17" t="s">
        <v>220</v>
      </c>
      <c r="W100" s="1">
        <f t="shared" ref="W100:AC100" si="261">W33</f>
        <v>0.0137106282634327</v>
      </c>
      <c r="X100" s="1">
        <f t="shared" si="261"/>
        <v>0.0135158254918734</v>
      </c>
      <c r="Y100" s="1">
        <f t="shared" si="261"/>
        <v>0.0140807174887892</v>
      </c>
      <c r="Z100" s="1">
        <f t="shared" si="261"/>
        <v>0.0144806671721001</v>
      </c>
      <c r="AA100" s="1">
        <f t="shared" si="261"/>
        <v>0.0146746224128286</v>
      </c>
      <c r="AB100" s="1">
        <f t="shared" si="261"/>
        <v>0.0118133935289691</v>
      </c>
      <c r="AC100" s="1">
        <f t="shared" si="261"/>
        <v>0.0138839759462328</v>
      </c>
      <c r="AD100" s="4"/>
      <c r="AE100" s="4"/>
      <c r="AF100" s="1">
        <f t="shared" ref="AF100:AL100" si="262">AF33</f>
        <v>0.0137106282634327</v>
      </c>
      <c r="AG100" s="1">
        <f t="shared" si="262"/>
        <v>0.0135158254918734</v>
      </c>
      <c r="AH100" s="1">
        <f t="shared" si="262"/>
        <v>0.0140807174887892</v>
      </c>
      <c r="AI100" s="1">
        <f t="shared" si="262"/>
        <v>0.0144806671721001</v>
      </c>
      <c r="AJ100" s="1">
        <f t="shared" si="262"/>
        <v>0.0146746224128286</v>
      </c>
      <c r="AK100" s="1">
        <f t="shared" si="262"/>
        <v>0.0135854025583145</v>
      </c>
      <c r="AL100" s="1">
        <f t="shared" si="262"/>
        <v>0.0159665723381677</v>
      </c>
      <c r="AM100" s="4"/>
      <c r="AN100" s="4"/>
      <c r="AO100" s="1">
        <f t="shared" ref="AO100:AU100" si="263">AO33</f>
        <v>0.0137106282634327</v>
      </c>
      <c r="AP100" s="1">
        <f t="shared" si="263"/>
        <v>0.0135158254918734</v>
      </c>
      <c r="AQ100" s="1">
        <f t="shared" si="263"/>
        <v>0.0140807174887892</v>
      </c>
      <c r="AR100" s="1">
        <f t="shared" si="263"/>
        <v>0.0144806671721001</v>
      </c>
      <c r="AS100" s="1">
        <f t="shared" si="263"/>
        <v>0.0146746224128286</v>
      </c>
      <c r="AT100" s="1">
        <f t="shared" si="263"/>
        <v>0.0100413844996238</v>
      </c>
      <c r="AU100" s="1">
        <f t="shared" si="263"/>
        <v>0.0118013795542978</v>
      </c>
    </row>
    <row r="101" ht="15.5" spans="21:47">
      <c r="U101" s="2" t="s">
        <v>221</v>
      </c>
      <c r="V101" s="17" t="s">
        <v>60</v>
      </c>
      <c r="W101" s="4">
        <f t="shared" ref="W101:AC101" si="264">W34-W35</f>
        <v>0.011840997136601</v>
      </c>
      <c r="X101" s="4">
        <f t="shared" si="264"/>
        <v>0.011377245508982</v>
      </c>
      <c r="Y101" s="4">
        <f t="shared" si="264"/>
        <v>0.0117668161434977</v>
      </c>
      <c r="Z101" s="4">
        <f t="shared" si="264"/>
        <v>0.0120924943138741</v>
      </c>
      <c r="AA101" s="4">
        <f t="shared" si="264"/>
        <v>0.0122878985642364</v>
      </c>
      <c r="AB101" s="4">
        <f t="shared" si="264"/>
        <v>0.00987208427389014</v>
      </c>
      <c r="AC101" s="4">
        <f t="shared" si="264"/>
        <v>0.0116024053767244</v>
      </c>
      <c r="AD101" s="4"/>
      <c r="AE101" s="4"/>
      <c r="AF101" s="4">
        <f t="shared" ref="AF101:AL101" si="265">AF34-AF35</f>
        <v>0.011840997136601</v>
      </c>
      <c r="AG101" s="4">
        <f t="shared" si="265"/>
        <v>0.011377245508982</v>
      </c>
      <c r="AH101" s="4">
        <f t="shared" si="265"/>
        <v>0.0117668161434977</v>
      </c>
      <c r="AI101" s="4">
        <f t="shared" si="265"/>
        <v>0.0120924943138741</v>
      </c>
      <c r="AJ101" s="4">
        <f t="shared" si="265"/>
        <v>0.0122878985642364</v>
      </c>
      <c r="AK101" s="4">
        <f t="shared" si="265"/>
        <v>0.0113528969149737</v>
      </c>
      <c r="AL101" s="4">
        <f t="shared" si="265"/>
        <v>0.0133427661832331</v>
      </c>
      <c r="AM101" s="4"/>
      <c r="AN101" s="4"/>
      <c r="AO101" s="4">
        <f t="shared" ref="AO101:AU101" si="266">AO34-AO35</f>
        <v>0.011840997136601</v>
      </c>
      <c r="AP101" s="4">
        <f t="shared" si="266"/>
        <v>0.011377245508982</v>
      </c>
      <c r="AQ101" s="4">
        <f t="shared" si="266"/>
        <v>0.0117668161434977</v>
      </c>
      <c r="AR101" s="4">
        <f t="shared" si="266"/>
        <v>0.0120924943138741</v>
      </c>
      <c r="AS101" s="4">
        <f t="shared" si="266"/>
        <v>0.0122878985642364</v>
      </c>
      <c r="AT101" s="4">
        <f t="shared" si="266"/>
        <v>0.00839127163280662</v>
      </c>
      <c r="AU101" s="4">
        <f t="shared" si="266"/>
        <v>0.00986204457021578</v>
      </c>
    </row>
    <row r="102" ht="15.5" spans="21:47">
      <c r="U102" s="2"/>
      <c r="V102" s="18" t="s">
        <v>218</v>
      </c>
      <c r="W102" s="4">
        <f t="shared" ref="W102:AC102" si="267">W36</f>
        <v>0.0404413003200269</v>
      </c>
      <c r="X102" s="4">
        <f t="shared" si="267"/>
        <v>0.0389734816082122</v>
      </c>
      <c r="Y102" s="4">
        <f t="shared" si="267"/>
        <v>0.0403408071748879</v>
      </c>
      <c r="Z102" s="4">
        <f t="shared" si="267"/>
        <v>0.0420204700530705</v>
      </c>
      <c r="AA102" s="4">
        <f t="shared" si="267"/>
        <v>0.0428118590341227</v>
      </c>
      <c r="AB102" s="4">
        <f t="shared" si="267"/>
        <v>0.0338449962377728</v>
      </c>
      <c r="AC102" s="4">
        <f t="shared" si="267"/>
        <v>0.0397771489211178</v>
      </c>
      <c r="AD102" s="4"/>
      <c r="AE102" s="4"/>
      <c r="AF102" s="4">
        <f t="shared" ref="AF102:AL102" si="268">AF36</f>
        <v>0.0404413003200269</v>
      </c>
      <c r="AG102" s="4">
        <f t="shared" si="268"/>
        <v>0.0389734816082122</v>
      </c>
      <c r="AH102" s="4">
        <f t="shared" si="268"/>
        <v>0.0403408071748879</v>
      </c>
      <c r="AI102" s="4">
        <f t="shared" si="268"/>
        <v>0.0420204700530705</v>
      </c>
      <c r="AJ102" s="4">
        <f t="shared" si="268"/>
        <v>0.0428118590341227</v>
      </c>
      <c r="AK102" s="4">
        <f t="shared" si="268"/>
        <v>0.0389217456734387</v>
      </c>
      <c r="AL102" s="4">
        <f t="shared" si="268"/>
        <v>0.0457437212592855</v>
      </c>
      <c r="AM102" s="4"/>
      <c r="AN102" s="4"/>
      <c r="AO102" s="4">
        <f t="shared" ref="AO102:AU102" si="269">AO36</f>
        <v>0.0404413003200269</v>
      </c>
      <c r="AP102" s="4">
        <f t="shared" si="269"/>
        <v>0.0389734816082122</v>
      </c>
      <c r="AQ102" s="4">
        <f t="shared" si="269"/>
        <v>0.0403408071748879</v>
      </c>
      <c r="AR102" s="4">
        <f t="shared" si="269"/>
        <v>0.0420204700530705</v>
      </c>
      <c r="AS102" s="4">
        <f t="shared" si="269"/>
        <v>0.0428118590341227</v>
      </c>
      <c r="AT102" s="4">
        <f t="shared" si="269"/>
        <v>0.0287682468021069</v>
      </c>
      <c r="AU102" s="4">
        <f t="shared" si="269"/>
        <v>0.0338105765829501</v>
      </c>
    </row>
    <row r="103" ht="15.5" spans="21:47">
      <c r="U103" s="2"/>
      <c r="V103" s="17" t="s">
        <v>219</v>
      </c>
      <c r="W103" s="4">
        <f t="shared" ref="W103:AC103" si="270">W37</f>
        <v>0.0870304867778339</v>
      </c>
      <c r="X103" s="4">
        <f t="shared" si="270"/>
        <v>0.0843627031650984</v>
      </c>
      <c r="Y103" s="4">
        <f t="shared" si="270"/>
        <v>0.0874439461883408</v>
      </c>
      <c r="Z103" s="4">
        <f t="shared" si="270"/>
        <v>0.0881918119787718</v>
      </c>
      <c r="AA103" s="4">
        <f t="shared" si="270"/>
        <v>0.0922245012120082</v>
      </c>
      <c r="AB103" s="4">
        <f t="shared" si="270"/>
        <v>0.0733634311512415</v>
      </c>
      <c r="AC103" s="4">
        <f t="shared" si="270"/>
        <v>0.0862221436151397</v>
      </c>
      <c r="AD103" s="4"/>
      <c r="AE103" s="4"/>
      <c r="AF103" s="4">
        <f t="shared" ref="AF103:AL103" si="271">AF37</f>
        <v>0.0870304867778339</v>
      </c>
      <c r="AG103" s="4">
        <f t="shared" si="271"/>
        <v>0.0843627031650984</v>
      </c>
      <c r="AH103" s="4">
        <f t="shared" si="271"/>
        <v>0.0874439461883408</v>
      </c>
      <c r="AI103" s="4">
        <f t="shared" si="271"/>
        <v>0.0881918119787718</v>
      </c>
      <c r="AJ103" s="4">
        <f t="shared" si="271"/>
        <v>0.0922245012120082</v>
      </c>
      <c r="AK103" s="4">
        <f t="shared" si="271"/>
        <v>0.0843679458239278</v>
      </c>
      <c r="AL103" s="4">
        <f t="shared" si="271"/>
        <v>0.0991554651574107</v>
      </c>
      <c r="AM103" s="4"/>
      <c r="AN103" s="4"/>
      <c r="AO103" s="4">
        <f t="shared" ref="AO103:AU103" si="272">AO37</f>
        <v>0.0870304867778339</v>
      </c>
      <c r="AP103" s="4">
        <f t="shared" si="272"/>
        <v>0.0843627031650984</v>
      </c>
      <c r="AQ103" s="4">
        <f t="shared" si="272"/>
        <v>0.0874439461883408</v>
      </c>
      <c r="AR103" s="4">
        <f t="shared" si="272"/>
        <v>0.0881918119787718</v>
      </c>
      <c r="AS103" s="4">
        <f t="shared" si="272"/>
        <v>0.0922245012120082</v>
      </c>
      <c r="AT103" s="4">
        <f t="shared" si="272"/>
        <v>0.0623589164785553</v>
      </c>
      <c r="AU103" s="4">
        <f t="shared" si="272"/>
        <v>0.0732888220728688</v>
      </c>
    </row>
    <row r="104" ht="15.5" spans="21:47">
      <c r="U104" s="2"/>
      <c r="V104" s="17" t="s">
        <v>220</v>
      </c>
      <c r="W104" s="4">
        <f t="shared" ref="W104:AC104" si="273">W38</f>
        <v>0.0133569142664645</v>
      </c>
      <c r="X104" s="4">
        <f t="shared" si="273"/>
        <v>0.0131907613344739</v>
      </c>
      <c r="Y104" s="4">
        <f t="shared" si="273"/>
        <v>0.0137399103139013</v>
      </c>
      <c r="Z104" s="4">
        <f t="shared" si="273"/>
        <v>0.0141015921152388</v>
      </c>
      <c r="AA104" s="4">
        <f t="shared" si="273"/>
        <v>0.0143016968114861</v>
      </c>
      <c r="AB104" s="4">
        <f t="shared" si="273"/>
        <v>0.0115274642588412</v>
      </c>
      <c r="AC104" s="4">
        <f t="shared" si="273"/>
        <v>0.0135479306685532</v>
      </c>
      <c r="AD104" s="4"/>
      <c r="AE104" s="4"/>
      <c r="AF104" s="4">
        <f t="shared" ref="AF104:AL104" si="274">AF38</f>
        <v>0.0133569142664645</v>
      </c>
      <c r="AG104" s="4">
        <f t="shared" si="274"/>
        <v>0.0131907613344739</v>
      </c>
      <c r="AH104" s="4">
        <f t="shared" si="274"/>
        <v>0.0137399103139013</v>
      </c>
      <c r="AI104" s="4">
        <f t="shared" si="274"/>
        <v>0.0141015921152388</v>
      </c>
      <c r="AJ104" s="4">
        <f t="shared" si="274"/>
        <v>0.0143016968114861</v>
      </c>
      <c r="AK104" s="4">
        <f t="shared" si="274"/>
        <v>0.0132565838976674</v>
      </c>
      <c r="AL104" s="4">
        <f t="shared" si="274"/>
        <v>0.0155801202688362</v>
      </c>
      <c r="AM104" s="4"/>
      <c r="AN104" s="4"/>
      <c r="AO104" s="4">
        <f t="shared" ref="AO104:AU104" si="275">AO38</f>
        <v>0.0133569142664645</v>
      </c>
      <c r="AP104" s="4">
        <f t="shared" si="275"/>
        <v>0.0131907613344739</v>
      </c>
      <c r="AQ104" s="4">
        <f t="shared" si="275"/>
        <v>0.0137399103139013</v>
      </c>
      <c r="AR104" s="4">
        <f t="shared" si="275"/>
        <v>0.0141015921152388</v>
      </c>
      <c r="AS104" s="4">
        <f t="shared" si="275"/>
        <v>0.0143016968114861</v>
      </c>
      <c r="AT104" s="4">
        <f t="shared" si="275"/>
        <v>0.00979834462001505</v>
      </c>
      <c r="AU104" s="4">
        <f t="shared" si="275"/>
        <v>0.0115157410682703</v>
      </c>
    </row>
    <row r="105" ht="15.5" spans="21:47">
      <c r="U105" s="26" t="s">
        <v>195</v>
      </c>
      <c r="V105" s="17" t="s">
        <v>60</v>
      </c>
      <c r="W105" s="19">
        <f>W93</f>
        <v>0.0115546572342934</v>
      </c>
      <c r="X105" s="19">
        <f t="shared" ref="X105:AC105" si="276">X93</f>
        <v>0.0110863986313088</v>
      </c>
      <c r="Y105" s="19">
        <f t="shared" si="276"/>
        <v>0.0114618834080717</v>
      </c>
      <c r="Z105" s="19">
        <f t="shared" si="276"/>
        <v>0.011751326762699</v>
      </c>
      <c r="AA105" s="19">
        <f t="shared" si="276"/>
        <v>0.0119709118030953</v>
      </c>
      <c r="AB105" s="19">
        <f t="shared" si="276"/>
        <v>0.00961625282167042</v>
      </c>
      <c r="AC105" s="19">
        <f t="shared" si="276"/>
        <v>0.0113017332861691</v>
      </c>
      <c r="AD105" s="4"/>
      <c r="AE105" s="4"/>
      <c r="AF105" s="19">
        <f t="shared" ref="AF105:AL105" si="277">AF93</f>
        <v>0.0115546572342934</v>
      </c>
      <c r="AG105" s="19">
        <f t="shared" si="277"/>
        <v>0.0110863986313088</v>
      </c>
      <c r="AH105" s="19">
        <f t="shared" si="277"/>
        <v>0.0114618834080717</v>
      </c>
      <c r="AI105" s="19">
        <f t="shared" si="277"/>
        <v>0.011751326762699</v>
      </c>
      <c r="AJ105" s="19">
        <f t="shared" si="277"/>
        <v>0.0119709118030953</v>
      </c>
      <c r="AK105" s="19">
        <f t="shared" si="277"/>
        <v>0.011058690744921</v>
      </c>
      <c r="AL105" s="19">
        <f t="shared" si="277"/>
        <v>0.0129969932790944</v>
      </c>
      <c r="AM105" s="4"/>
      <c r="AN105" s="4"/>
      <c r="AO105" s="19">
        <f t="shared" ref="AO105:AU105" si="278">AO93</f>
        <v>0.0115546572342934</v>
      </c>
      <c r="AP105" s="19">
        <f t="shared" si="278"/>
        <v>0.0110863986313088</v>
      </c>
      <c r="AQ105" s="19">
        <f t="shared" si="278"/>
        <v>0.0114618834080717</v>
      </c>
      <c r="AR105" s="19">
        <f t="shared" si="278"/>
        <v>0.011751326762699</v>
      </c>
      <c r="AS105" s="19">
        <f t="shared" si="278"/>
        <v>0.0119709118030953</v>
      </c>
      <c r="AT105" s="19">
        <f t="shared" si="278"/>
        <v>0.00817381489841985</v>
      </c>
      <c r="AU105" s="19">
        <f t="shared" si="278"/>
        <v>0.00960647329324371</v>
      </c>
    </row>
    <row r="106" ht="15.5" spans="21:47">
      <c r="U106" s="26"/>
      <c r="V106" s="18" t="s">
        <v>218</v>
      </c>
      <c r="W106" s="19">
        <f>W94</f>
        <v>0.0252147549267307</v>
      </c>
      <c r="X106" s="19">
        <f t="shared" ref="X106:AC106" si="279">X94</f>
        <v>0.0242600513259196</v>
      </c>
      <c r="Y106" s="19">
        <f t="shared" si="279"/>
        <v>0.0250941704035874</v>
      </c>
      <c r="Z106" s="19">
        <f t="shared" si="279"/>
        <v>0.0257581501137225</v>
      </c>
      <c r="AA106" s="19">
        <f t="shared" si="279"/>
        <v>0.0262539623345143</v>
      </c>
      <c r="AB106" s="19">
        <f t="shared" si="279"/>
        <v>0.0210534236267871</v>
      </c>
      <c r="AC106" s="19">
        <f t="shared" si="279"/>
        <v>0.0247435443933498</v>
      </c>
      <c r="AD106" s="4"/>
      <c r="AE106" s="4"/>
      <c r="AF106" s="19">
        <f t="shared" ref="AF106:AL106" si="280">AF94</f>
        <v>0.0252147549267307</v>
      </c>
      <c r="AG106" s="19">
        <f t="shared" si="280"/>
        <v>0.0242600513259196</v>
      </c>
      <c r="AH106" s="19">
        <f t="shared" si="280"/>
        <v>0.0250941704035874</v>
      </c>
      <c r="AI106" s="19">
        <f t="shared" si="280"/>
        <v>0.0257581501137225</v>
      </c>
      <c r="AJ106" s="19">
        <f t="shared" si="280"/>
        <v>0.0262539623345143</v>
      </c>
      <c r="AK106" s="19">
        <f t="shared" si="280"/>
        <v>0.0242114371708051</v>
      </c>
      <c r="AL106" s="19">
        <f t="shared" si="280"/>
        <v>0.0284550760523523</v>
      </c>
      <c r="AM106" s="4"/>
      <c r="AN106" s="4"/>
      <c r="AO106" s="19">
        <f t="shared" ref="AO106:AU106" si="281">AO94</f>
        <v>0.0252147549267307</v>
      </c>
      <c r="AP106" s="19">
        <f t="shared" si="281"/>
        <v>0.0242600513259196</v>
      </c>
      <c r="AQ106" s="19">
        <f t="shared" si="281"/>
        <v>0.0250941704035874</v>
      </c>
      <c r="AR106" s="19">
        <f t="shared" si="281"/>
        <v>0.0257581501137225</v>
      </c>
      <c r="AS106" s="19">
        <f t="shared" si="281"/>
        <v>0.0262539623345143</v>
      </c>
      <c r="AT106" s="19">
        <f t="shared" si="281"/>
        <v>0.017895410082769</v>
      </c>
      <c r="AU106" s="19">
        <f t="shared" si="281"/>
        <v>0.0210320127343474</v>
      </c>
    </row>
    <row r="107" ht="15.5" spans="21:47">
      <c r="U107" s="26"/>
      <c r="V107" s="17" t="s">
        <v>219</v>
      </c>
      <c r="W107" s="19">
        <f>W95</f>
        <v>0.0978103419235304</v>
      </c>
      <c r="X107" s="19">
        <f t="shared" ref="X107:AC107" si="282">X95</f>
        <v>0.0947818648417451</v>
      </c>
      <c r="Y107" s="19">
        <f t="shared" si="282"/>
        <v>0.0982600896860986</v>
      </c>
      <c r="Z107" s="19">
        <f t="shared" si="282"/>
        <v>0.099696739954511</v>
      </c>
      <c r="AA107" s="19">
        <f t="shared" si="282"/>
        <v>0.103953011374231</v>
      </c>
      <c r="AB107" s="19">
        <f t="shared" si="282"/>
        <v>0.0824379232505643</v>
      </c>
      <c r="AC107" s="19">
        <f t="shared" si="282"/>
        <v>0.0968871595330739</v>
      </c>
      <c r="AD107" s="4"/>
      <c r="AE107" s="4"/>
      <c r="AF107" s="19">
        <f t="shared" ref="AF107:AL107" si="283">AF95</f>
        <v>0.0978103419235304</v>
      </c>
      <c r="AG107" s="19">
        <f t="shared" si="283"/>
        <v>0.0947818648417451</v>
      </c>
      <c r="AH107" s="19">
        <f t="shared" si="283"/>
        <v>0.0982600896860986</v>
      </c>
      <c r="AI107" s="19">
        <f t="shared" si="283"/>
        <v>0.099696739954511</v>
      </c>
      <c r="AJ107" s="19">
        <f t="shared" si="283"/>
        <v>0.103953011374231</v>
      </c>
      <c r="AK107" s="19">
        <f t="shared" si="283"/>
        <v>0.094803611738149</v>
      </c>
      <c r="AL107" s="19">
        <f t="shared" si="283"/>
        <v>0.111420233463035</v>
      </c>
      <c r="AM107" s="4"/>
      <c r="AN107" s="4"/>
      <c r="AO107" s="19">
        <f t="shared" ref="AO107:AU107" si="284">AO95</f>
        <v>0.0978103419235304</v>
      </c>
      <c r="AP107" s="19">
        <f t="shared" si="284"/>
        <v>0.0947818648417451</v>
      </c>
      <c r="AQ107" s="19">
        <f t="shared" si="284"/>
        <v>0.0982600896860986</v>
      </c>
      <c r="AR107" s="19">
        <f t="shared" si="284"/>
        <v>0.099696739954511</v>
      </c>
      <c r="AS107" s="19">
        <f t="shared" si="284"/>
        <v>0.103953011374231</v>
      </c>
      <c r="AT107" s="19">
        <f t="shared" si="284"/>
        <v>0.0700722347629797</v>
      </c>
      <c r="AU107" s="19">
        <f t="shared" si="284"/>
        <v>0.0823540856031128</v>
      </c>
    </row>
    <row r="108" ht="15.5" spans="21:47">
      <c r="U108" s="26"/>
      <c r="V108" s="17" t="s">
        <v>220</v>
      </c>
      <c r="W108" s="19">
        <f>W96</f>
        <v>0.0132390096008085</v>
      </c>
      <c r="X108" s="19">
        <f t="shared" ref="X108:AC108" si="285">X96</f>
        <v>0.0130538922155689</v>
      </c>
      <c r="Y108" s="19">
        <f t="shared" si="285"/>
        <v>0.0136143497757848</v>
      </c>
      <c r="Z108" s="19">
        <f t="shared" si="285"/>
        <v>0.0139689158453374</v>
      </c>
      <c r="AA108" s="19">
        <f t="shared" si="285"/>
        <v>0.0141711728510162</v>
      </c>
      <c r="AB108" s="19">
        <f t="shared" si="285"/>
        <v>0.0114221218961625</v>
      </c>
      <c r="AC108" s="19">
        <f t="shared" si="285"/>
        <v>0.0134241245136187</v>
      </c>
      <c r="AD108" s="4"/>
      <c r="AE108" s="4"/>
      <c r="AF108" s="19">
        <f t="shared" ref="AF108:AL108" si="286">AF96</f>
        <v>0.0132390096008085</v>
      </c>
      <c r="AG108" s="19">
        <f t="shared" si="286"/>
        <v>0.0130538922155689</v>
      </c>
      <c r="AH108" s="19">
        <f t="shared" si="286"/>
        <v>0.0136143497757848</v>
      </c>
      <c r="AI108" s="19">
        <f t="shared" si="286"/>
        <v>0.0139689158453374</v>
      </c>
      <c r="AJ108" s="19">
        <f t="shared" si="286"/>
        <v>0.0141711728510162</v>
      </c>
      <c r="AK108" s="19">
        <f t="shared" si="286"/>
        <v>0.0131354401805869</v>
      </c>
      <c r="AL108" s="19">
        <f t="shared" si="286"/>
        <v>0.0154377431906615</v>
      </c>
      <c r="AM108" s="4"/>
      <c r="AN108" s="4"/>
      <c r="AO108" s="19">
        <f t="shared" ref="AO108:AU108" si="287">AO96</f>
        <v>0.0132390096008085</v>
      </c>
      <c r="AP108" s="19">
        <f t="shared" si="287"/>
        <v>0.0130538922155689</v>
      </c>
      <c r="AQ108" s="19">
        <f t="shared" si="287"/>
        <v>0.0136143497757848</v>
      </c>
      <c r="AR108" s="19">
        <f t="shared" si="287"/>
        <v>0.0139689158453374</v>
      </c>
      <c r="AS108" s="19">
        <f t="shared" si="287"/>
        <v>0.0141711728510162</v>
      </c>
      <c r="AT108" s="19">
        <f t="shared" si="287"/>
        <v>0.00970880361173815</v>
      </c>
      <c r="AU108" s="19">
        <f t="shared" si="287"/>
        <v>0.0114105058365759</v>
      </c>
    </row>
    <row r="112" ht="15.5" spans="21:47">
      <c r="U112" s="4"/>
      <c r="V112" s="4"/>
      <c r="W112" s="4" t="s">
        <v>188</v>
      </c>
      <c r="X112" s="4" t="s">
        <v>189</v>
      </c>
      <c r="Y112" s="5" t="s">
        <v>190</v>
      </c>
      <c r="Z112" s="4" t="s">
        <v>191</v>
      </c>
      <c r="AA112" s="4" t="s">
        <v>192</v>
      </c>
      <c r="AB112" s="14" t="s">
        <v>193</v>
      </c>
      <c r="AC112" s="14" t="s">
        <v>194</v>
      </c>
      <c r="AD112" s="4"/>
      <c r="AE112" s="4"/>
      <c r="AF112" s="4" t="s">
        <v>188</v>
      </c>
      <c r="AG112" s="4" t="s">
        <v>189</v>
      </c>
      <c r="AH112" s="5" t="s">
        <v>190</v>
      </c>
      <c r="AI112" s="4" t="s">
        <v>191</v>
      </c>
      <c r="AJ112" s="4" t="s">
        <v>192</v>
      </c>
      <c r="AK112" s="14" t="s">
        <v>193</v>
      </c>
      <c r="AL112" s="14" t="s">
        <v>194</v>
      </c>
      <c r="AM112" s="4"/>
      <c r="AN112" s="4"/>
      <c r="AO112" s="4" t="s">
        <v>188</v>
      </c>
      <c r="AP112" s="4" t="s">
        <v>189</v>
      </c>
      <c r="AQ112" s="5" t="s">
        <v>190</v>
      </c>
      <c r="AR112" s="4" t="s">
        <v>191</v>
      </c>
      <c r="AS112" s="4" t="s">
        <v>192</v>
      </c>
      <c r="AT112" s="14" t="s">
        <v>193</v>
      </c>
      <c r="AU112" s="14" t="s">
        <v>194</v>
      </c>
    </row>
    <row r="113" spans="21:47">
      <c r="U113" s="2" t="s">
        <v>195</v>
      </c>
      <c r="V113" s="17" t="s">
        <v>60</v>
      </c>
      <c r="W113" s="1">
        <f t="shared" ref="W113:AC113" si="288">W44-W45</f>
        <v>0.00788276907529056</v>
      </c>
      <c r="X113" s="1">
        <f t="shared" si="288"/>
        <v>0.00764756201881948</v>
      </c>
      <c r="Y113" s="1">
        <f t="shared" si="288"/>
        <v>0.00794618834080718</v>
      </c>
      <c r="Z113" s="1">
        <f t="shared" si="288"/>
        <v>0.00794162244124336</v>
      </c>
      <c r="AA113" s="1">
        <f t="shared" si="288"/>
        <v>0.00801790042886445</v>
      </c>
      <c r="AB113" s="1">
        <f t="shared" si="288"/>
        <v>0.00666666666666667</v>
      </c>
      <c r="AC113" s="1">
        <f t="shared" si="288"/>
        <v>0.00783516094800141</v>
      </c>
      <c r="AF113" s="1">
        <f t="shared" ref="AF113:AL113" si="289">AF44-AF45</f>
        <v>0.00788276907529056</v>
      </c>
      <c r="AG113" s="1">
        <f t="shared" si="289"/>
        <v>0.00764756201881948</v>
      </c>
      <c r="AH113" s="1">
        <f t="shared" si="289"/>
        <v>0.00794618834080718</v>
      </c>
      <c r="AI113" s="1">
        <f t="shared" si="289"/>
        <v>0.00794162244124336</v>
      </c>
      <c r="AJ113" s="1">
        <f t="shared" si="289"/>
        <v>0.00801790042886445</v>
      </c>
      <c r="AK113" s="1">
        <f t="shared" si="289"/>
        <v>0.00766666666666667</v>
      </c>
      <c r="AL113" s="1">
        <f t="shared" si="289"/>
        <v>0.00901043509020162</v>
      </c>
      <c r="AO113" s="1">
        <f t="shared" ref="AO113:AU113" si="290">AO44-AO45</f>
        <v>0.00788276907529056</v>
      </c>
      <c r="AP113" s="1">
        <f t="shared" si="290"/>
        <v>0.00764756201881948</v>
      </c>
      <c r="AQ113" s="1">
        <f t="shared" si="290"/>
        <v>0.00794618834080718</v>
      </c>
      <c r="AR113" s="1">
        <f t="shared" si="290"/>
        <v>0.00794162244124336</v>
      </c>
      <c r="AS113" s="1">
        <f t="shared" si="290"/>
        <v>0.00801790042886445</v>
      </c>
      <c r="AT113" s="1">
        <f t="shared" si="290"/>
        <v>0.00566666666666667</v>
      </c>
      <c r="AU113" s="1">
        <f t="shared" si="290"/>
        <v>0.00665988680580119</v>
      </c>
    </row>
    <row r="114" spans="21:47">
      <c r="U114" s="2"/>
      <c r="V114" s="18" t="s">
        <v>218</v>
      </c>
      <c r="W114" s="1">
        <f t="shared" ref="W114:AC114" si="291">W46</f>
        <v>0.02011116725619</v>
      </c>
      <c r="X114" s="1">
        <f t="shared" si="291"/>
        <v>0.0195038494439692</v>
      </c>
      <c r="Y114" s="1">
        <f t="shared" si="291"/>
        <v>0.0202152466367713</v>
      </c>
      <c r="Z114" s="1">
        <f t="shared" si="291"/>
        <v>0.0201099317664898</v>
      </c>
      <c r="AA114" s="1">
        <f t="shared" si="291"/>
        <v>0.0203990303934365</v>
      </c>
      <c r="AB114" s="1">
        <f t="shared" si="291"/>
        <v>0.0169601203912716</v>
      </c>
      <c r="AC114" s="1">
        <f t="shared" si="291"/>
        <v>0.0199327909444641</v>
      </c>
      <c r="AF114" s="1">
        <f t="shared" ref="AF114:AL114" si="292">AF46</f>
        <v>0.02011116725619</v>
      </c>
      <c r="AG114" s="1">
        <f t="shared" si="292"/>
        <v>0.0195038494439692</v>
      </c>
      <c r="AH114" s="1">
        <f t="shared" si="292"/>
        <v>0.0202152466367713</v>
      </c>
      <c r="AI114" s="1">
        <f t="shared" si="292"/>
        <v>0.0201099317664898</v>
      </c>
      <c r="AJ114" s="1">
        <f t="shared" si="292"/>
        <v>0.0203990303934365</v>
      </c>
      <c r="AK114" s="1">
        <f t="shared" si="292"/>
        <v>0.0195041384499624</v>
      </c>
      <c r="AL114" s="1">
        <f t="shared" si="292"/>
        <v>0.0229227095861337</v>
      </c>
      <c r="AO114" s="1">
        <f t="shared" ref="AO114:AU114" si="293">AO46</f>
        <v>0.02011116725619</v>
      </c>
      <c r="AP114" s="1">
        <f t="shared" si="293"/>
        <v>0.0195038494439692</v>
      </c>
      <c r="AQ114" s="1">
        <f t="shared" si="293"/>
        <v>0.0202152466367713</v>
      </c>
      <c r="AR114" s="1">
        <f t="shared" si="293"/>
        <v>0.0201099317664898</v>
      </c>
      <c r="AS114" s="1">
        <f t="shared" si="293"/>
        <v>0.0203990303934365</v>
      </c>
      <c r="AT114" s="1">
        <f t="shared" si="293"/>
        <v>0.0144161023325809</v>
      </c>
      <c r="AU114" s="1">
        <f t="shared" si="293"/>
        <v>0.0169428723027945</v>
      </c>
    </row>
    <row r="115" spans="21:47">
      <c r="U115" s="2"/>
      <c r="V115" s="17" t="s">
        <v>219</v>
      </c>
      <c r="W115" s="1">
        <f t="shared" ref="W115:AC115" si="294">W47</f>
        <v>0.0641232945932289</v>
      </c>
      <c r="X115" s="1">
        <f t="shared" si="294"/>
        <v>0.0633532934131737</v>
      </c>
      <c r="Y115" s="1">
        <f t="shared" si="294"/>
        <v>0.0659910313901345</v>
      </c>
      <c r="Z115" s="1">
        <f t="shared" si="294"/>
        <v>0.0673237300985595</v>
      </c>
      <c r="AA115" s="1">
        <f t="shared" si="294"/>
        <v>0.0673690098825284</v>
      </c>
      <c r="AB115" s="1">
        <f t="shared" si="294"/>
        <v>0.055364936042137</v>
      </c>
      <c r="AC115" s="1">
        <f t="shared" si="294"/>
        <v>0.0650689777148921</v>
      </c>
      <c r="AF115" s="1">
        <f t="shared" ref="AF115:AL115" si="295">AF47</f>
        <v>0.0641232945932289</v>
      </c>
      <c r="AG115" s="1">
        <f t="shared" si="295"/>
        <v>0.0633532934131737</v>
      </c>
      <c r="AH115" s="1">
        <f t="shared" si="295"/>
        <v>0.0659910313901345</v>
      </c>
      <c r="AI115" s="1">
        <f t="shared" si="295"/>
        <v>0.0673237300985595</v>
      </c>
      <c r="AJ115" s="1">
        <f t="shared" si="295"/>
        <v>0.0673690098825284</v>
      </c>
      <c r="AK115" s="1">
        <f t="shared" si="295"/>
        <v>0.0636696764484575</v>
      </c>
      <c r="AL115" s="1">
        <f t="shared" si="295"/>
        <v>0.0748293243721259</v>
      </c>
      <c r="AO115" s="1">
        <f t="shared" ref="AO115:AU115" si="296">AO47</f>
        <v>0.0641232945932289</v>
      </c>
      <c r="AP115" s="1">
        <f t="shared" si="296"/>
        <v>0.0633532934131737</v>
      </c>
      <c r="AQ115" s="1">
        <f t="shared" si="296"/>
        <v>0.0659910313901345</v>
      </c>
      <c r="AR115" s="1">
        <f t="shared" si="296"/>
        <v>0.0673237300985595</v>
      </c>
      <c r="AS115" s="1">
        <f t="shared" si="296"/>
        <v>0.0673690098825284</v>
      </c>
      <c r="AT115" s="1">
        <f t="shared" si="296"/>
        <v>0.0470601956358164</v>
      </c>
      <c r="AU115" s="1">
        <f t="shared" si="296"/>
        <v>0.0553086310576583</v>
      </c>
    </row>
    <row r="116" spans="21:47">
      <c r="U116" s="2"/>
      <c r="V116" s="17" t="s">
        <v>220</v>
      </c>
      <c r="W116" s="1">
        <f t="shared" ref="W116:AC116" si="297">W48</f>
        <v>0.0129695132221661</v>
      </c>
      <c r="X116" s="1">
        <f t="shared" si="297"/>
        <v>0.012814371257485</v>
      </c>
      <c r="Y116" s="1">
        <f t="shared" si="297"/>
        <v>0.0133452914798206</v>
      </c>
      <c r="Z116" s="1">
        <f t="shared" si="297"/>
        <v>0.0135898407884761</v>
      </c>
      <c r="AA116" s="1">
        <f t="shared" si="297"/>
        <v>0.0136304307290695</v>
      </c>
      <c r="AB116" s="1">
        <f t="shared" si="297"/>
        <v>0.011196388261851</v>
      </c>
      <c r="AC116" s="1">
        <f t="shared" si="297"/>
        <v>0.0131588256101875</v>
      </c>
      <c r="AF116" s="1">
        <f t="shared" ref="AF116:AL116" si="298">AF48</f>
        <v>0.0129695132221661</v>
      </c>
      <c r="AG116" s="1">
        <f t="shared" si="298"/>
        <v>0.012814371257485</v>
      </c>
      <c r="AH116" s="1">
        <f t="shared" si="298"/>
        <v>0.0133452914798206</v>
      </c>
      <c r="AI116" s="1">
        <f t="shared" si="298"/>
        <v>0.0135898407884761</v>
      </c>
      <c r="AJ116" s="1">
        <f t="shared" si="298"/>
        <v>0.0136304307290695</v>
      </c>
      <c r="AK116" s="1">
        <f t="shared" si="298"/>
        <v>0.0128758465011287</v>
      </c>
      <c r="AL116" s="1">
        <f t="shared" si="298"/>
        <v>0.0151326494517156</v>
      </c>
      <c r="AO116" s="1">
        <f t="shared" ref="AO116:AU116" si="299">AO48</f>
        <v>0.0129695132221661</v>
      </c>
      <c r="AP116" s="1">
        <f t="shared" si="299"/>
        <v>0.012814371257485</v>
      </c>
      <c r="AQ116" s="1">
        <f t="shared" si="299"/>
        <v>0.0133452914798206</v>
      </c>
      <c r="AR116" s="1">
        <f t="shared" si="299"/>
        <v>0.0135898407884761</v>
      </c>
      <c r="AS116" s="1">
        <f t="shared" si="299"/>
        <v>0.0136304307290695</v>
      </c>
      <c r="AT116" s="1">
        <f t="shared" si="299"/>
        <v>0.00951693002257336</v>
      </c>
      <c r="AU116" s="1">
        <f t="shared" si="299"/>
        <v>0.0111850017686594</v>
      </c>
    </row>
    <row r="117" spans="21:47">
      <c r="U117" s="2" t="s">
        <v>201</v>
      </c>
      <c r="V117" s="17" t="s">
        <v>60</v>
      </c>
      <c r="W117" s="1">
        <f t="shared" ref="W117:AC117" si="300">W49-W50</f>
        <v>0.0077648644096345</v>
      </c>
      <c r="X117" s="1">
        <f t="shared" si="300"/>
        <v>0.00754491017964072</v>
      </c>
      <c r="Y117" s="1">
        <f t="shared" si="300"/>
        <v>0.00782062780269058</v>
      </c>
      <c r="Z117" s="1">
        <f t="shared" si="300"/>
        <v>0.00780894617134195</v>
      </c>
      <c r="AA117" s="1">
        <f t="shared" si="300"/>
        <v>0.00788737646839455</v>
      </c>
      <c r="AB117" s="1">
        <f t="shared" si="300"/>
        <v>0.00656132430398797</v>
      </c>
      <c r="AC117" s="1">
        <f t="shared" si="300"/>
        <v>0.00771135479306685</v>
      </c>
      <c r="AF117" s="1">
        <f t="shared" ref="AF117:AL117" si="301">AF49-AF50</f>
        <v>0.0077648644096345</v>
      </c>
      <c r="AG117" s="1">
        <f t="shared" si="301"/>
        <v>0.00754491017964072</v>
      </c>
      <c r="AH117" s="1">
        <f t="shared" si="301"/>
        <v>0.00782062780269058</v>
      </c>
      <c r="AI117" s="1">
        <f t="shared" si="301"/>
        <v>0.00780894617134195</v>
      </c>
      <c r="AJ117" s="1">
        <f t="shared" si="301"/>
        <v>0.00788737646839455</v>
      </c>
      <c r="AK117" s="1">
        <f t="shared" si="301"/>
        <v>0.00754552294958616</v>
      </c>
      <c r="AL117" s="1">
        <f t="shared" si="301"/>
        <v>0.00886805801202688</v>
      </c>
      <c r="AO117" s="1">
        <f t="shared" ref="AO117:AU117" si="302">AO49-AO50</f>
        <v>0.0077648644096345</v>
      </c>
      <c r="AP117" s="1">
        <f t="shared" si="302"/>
        <v>0.00754491017964072</v>
      </c>
      <c r="AQ117" s="1">
        <f t="shared" si="302"/>
        <v>0.00782062780269058</v>
      </c>
      <c r="AR117" s="1">
        <f t="shared" si="302"/>
        <v>0.00780894617134195</v>
      </c>
      <c r="AS117" s="1">
        <f t="shared" si="302"/>
        <v>0.00788737646839455</v>
      </c>
      <c r="AT117" s="1">
        <f t="shared" si="302"/>
        <v>0.00557712565838978</v>
      </c>
      <c r="AU117" s="1">
        <f t="shared" si="302"/>
        <v>0.00655465157410683</v>
      </c>
    </row>
    <row r="118" spans="21:47">
      <c r="U118" s="2"/>
      <c r="V118" s="18" t="s">
        <v>218</v>
      </c>
      <c r="W118" s="1">
        <f t="shared" ref="W118:AC118" si="303">W51</f>
        <v>0.0246420751221155</v>
      </c>
      <c r="X118" s="1">
        <f t="shared" si="303"/>
        <v>0.023917878528657</v>
      </c>
      <c r="Y118" s="1">
        <f t="shared" si="303"/>
        <v>0.0248071748878924</v>
      </c>
      <c r="Z118" s="1">
        <f t="shared" si="303"/>
        <v>0.0247156937073541</v>
      </c>
      <c r="AA118" s="1">
        <f t="shared" si="303"/>
        <v>0.025041954130151</v>
      </c>
      <c r="AB118" s="1">
        <f t="shared" si="303"/>
        <v>0.0208126410835214</v>
      </c>
      <c r="AC118" s="1">
        <f t="shared" si="303"/>
        <v>0.0244605588963566</v>
      </c>
      <c r="AF118" s="1">
        <f t="shared" ref="AF118:AL118" si="304">AF51</f>
        <v>0.0246420751221155</v>
      </c>
      <c r="AG118" s="1">
        <f t="shared" si="304"/>
        <v>0.023917878528657</v>
      </c>
      <c r="AH118" s="1">
        <f t="shared" si="304"/>
        <v>0.0248071748878924</v>
      </c>
      <c r="AI118" s="1">
        <f t="shared" si="304"/>
        <v>0.0247156937073541</v>
      </c>
      <c r="AJ118" s="1">
        <f t="shared" si="304"/>
        <v>0.025041954130151</v>
      </c>
      <c r="AK118" s="1">
        <f t="shared" si="304"/>
        <v>0.0239345372460497</v>
      </c>
      <c r="AL118" s="1">
        <f t="shared" si="304"/>
        <v>0.02812964273081</v>
      </c>
      <c r="AO118" s="1">
        <f t="shared" ref="AO118:AU118" si="305">AO51</f>
        <v>0.0246420751221155</v>
      </c>
      <c r="AP118" s="1">
        <f t="shared" si="305"/>
        <v>0.023917878528657</v>
      </c>
      <c r="AQ118" s="1">
        <f t="shared" si="305"/>
        <v>0.0248071748878924</v>
      </c>
      <c r="AR118" s="1">
        <f t="shared" si="305"/>
        <v>0.0247156937073541</v>
      </c>
      <c r="AS118" s="1">
        <f t="shared" si="305"/>
        <v>0.025041954130151</v>
      </c>
      <c r="AT118" s="1">
        <f t="shared" si="305"/>
        <v>0.0176907449209932</v>
      </c>
      <c r="AU118" s="1">
        <f t="shared" si="305"/>
        <v>0.0207914750619031</v>
      </c>
    </row>
    <row r="119" ht="15.5" spans="21:47">
      <c r="U119" s="2"/>
      <c r="V119" s="17" t="s">
        <v>219</v>
      </c>
      <c r="W119" s="1">
        <f t="shared" ref="W119:AC119" si="306">W52</f>
        <v>0.0613609567121442</v>
      </c>
      <c r="X119" s="1">
        <f t="shared" si="306"/>
        <v>0.0606672369546621</v>
      </c>
      <c r="Y119" s="1">
        <f t="shared" si="306"/>
        <v>0.0631928251121076</v>
      </c>
      <c r="Z119" s="1">
        <f t="shared" si="306"/>
        <v>0.0645185746777862</v>
      </c>
      <c r="AA119" s="1">
        <f t="shared" si="306"/>
        <v>0.0645534215923923</v>
      </c>
      <c r="AB119" s="1">
        <f t="shared" si="306"/>
        <v>0.0530173062452972</v>
      </c>
      <c r="AC119" s="1">
        <f t="shared" si="306"/>
        <v>0.0623098691192076</v>
      </c>
      <c r="AD119" s="4"/>
      <c r="AE119" s="4"/>
      <c r="AF119" s="1">
        <f t="shared" ref="AF119:AL119" si="307">AF52</f>
        <v>0.0613609567121442</v>
      </c>
      <c r="AG119" s="1">
        <f t="shared" si="307"/>
        <v>0.0606672369546621</v>
      </c>
      <c r="AH119" s="1">
        <f t="shared" si="307"/>
        <v>0.0631928251121076</v>
      </c>
      <c r="AI119" s="1">
        <f t="shared" si="307"/>
        <v>0.0645185746777862</v>
      </c>
      <c r="AJ119" s="1">
        <f t="shared" si="307"/>
        <v>0.0645534215923923</v>
      </c>
      <c r="AK119" s="1">
        <f t="shared" si="307"/>
        <v>0.0609699021820918</v>
      </c>
      <c r="AL119" s="1">
        <f t="shared" si="307"/>
        <v>0.0716563494870888</v>
      </c>
      <c r="AM119" s="4"/>
      <c r="AN119" s="4"/>
      <c r="AO119" s="1">
        <f t="shared" ref="AO119:AU119" si="308">AO52</f>
        <v>0.0613609567121442</v>
      </c>
      <c r="AP119" s="1">
        <f t="shared" si="308"/>
        <v>0.0606672369546621</v>
      </c>
      <c r="AQ119" s="1">
        <f t="shared" si="308"/>
        <v>0.0631928251121076</v>
      </c>
      <c r="AR119" s="1">
        <f t="shared" si="308"/>
        <v>0.0645185746777862</v>
      </c>
      <c r="AS119" s="1">
        <f t="shared" si="308"/>
        <v>0.0645534215923923</v>
      </c>
      <c r="AT119" s="1">
        <f t="shared" si="308"/>
        <v>0.0450647103085026</v>
      </c>
      <c r="AU119" s="1">
        <f t="shared" si="308"/>
        <v>0.0529633887513265</v>
      </c>
    </row>
    <row r="120" ht="15.5" spans="21:47">
      <c r="U120" s="2"/>
      <c r="V120" s="17" t="s">
        <v>220</v>
      </c>
      <c r="W120" s="1">
        <f t="shared" ref="W120:AC120" si="309">W53</f>
        <v>0.0133232272191342</v>
      </c>
      <c r="X120" s="1">
        <f t="shared" si="309"/>
        <v>0.0131736526946108</v>
      </c>
      <c r="Y120" s="1">
        <f t="shared" si="309"/>
        <v>0.0137219730941704</v>
      </c>
      <c r="Z120" s="1">
        <f t="shared" si="309"/>
        <v>0.0139689158453374</v>
      </c>
      <c r="AA120" s="1">
        <f t="shared" si="309"/>
        <v>0.0140033563304121</v>
      </c>
      <c r="AB120" s="1">
        <f t="shared" si="309"/>
        <v>0.0115124153498871</v>
      </c>
      <c r="AC120" s="1">
        <f t="shared" si="309"/>
        <v>0.0135302440749912</v>
      </c>
      <c r="AD120" s="4"/>
      <c r="AE120" s="4"/>
      <c r="AF120" s="1">
        <f t="shared" ref="AF120:AL120" si="310">AF53</f>
        <v>0.0133232272191342</v>
      </c>
      <c r="AG120" s="1">
        <f t="shared" si="310"/>
        <v>0.0131736526946108</v>
      </c>
      <c r="AH120" s="1">
        <f t="shared" si="310"/>
        <v>0.0137219730941704</v>
      </c>
      <c r="AI120" s="1">
        <f t="shared" si="310"/>
        <v>0.0139689158453374</v>
      </c>
      <c r="AJ120" s="1">
        <f t="shared" si="310"/>
        <v>0.0140033563304121</v>
      </c>
      <c r="AK120" s="1">
        <f t="shared" si="310"/>
        <v>0.0132392776523702</v>
      </c>
      <c r="AL120" s="1">
        <f t="shared" si="310"/>
        <v>0.0155597806862398</v>
      </c>
      <c r="AM120" s="4"/>
      <c r="AN120" s="4"/>
      <c r="AO120" s="1">
        <f t="shared" ref="AO120:AU120" si="311">AO53</f>
        <v>0.0133232272191342</v>
      </c>
      <c r="AP120" s="1">
        <f t="shared" si="311"/>
        <v>0.0131736526946108</v>
      </c>
      <c r="AQ120" s="1">
        <f t="shared" si="311"/>
        <v>0.0137219730941704</v>
      </c>
      <c r="AR120" s="1">
        <f t="shared" si="311"/>
        <v>0.0139689158453374</v>
      </c>
      <c r="AS120" s="1">
        <f t="shared" si="311"/>
        <v>0.0140033563304121</v>
      </c>
      <c r="AT120" s="1">
        <f t="shared" si="311"/>
        <v>0.00978555304740406</v>
      </c>
      <c r="AU120" s="1">
        <f t="shared" si="311"/>
        <v>0.0115007074637425</v>
      </c>
    </row>
    <row r="121" ht="15.5" spans="21:47">
      <c r="U121" s="2" t="s">
        <v>221</v>
      </c>
      <c r="V121" s="17" t="s">
        <v>60</v>
      </c>
      <c r="W121" s="4">
        <f t="shared" ref="W121:AC121" si="312">W54-W55</f>
        <v>0.00810173488293751</v>
      </c>
      <c r="X121" s="4">
        <f t="shared" si="312"/>
        <v>0.00786997433704022</v>
      </c>
      <c r="Y121" s="4">
        <f t="shared" si="312"/>
        <v>0.00817937219730942</v>
      </c>
      <c r="Z121" s="4">
        <f t="shared" si="312"/>
        <v>0.00816906747536013</v>
      </c>
      <c r="AA121" s="4">
        <f t="shared" si="312"/>
        <v>0.00826030206973706</v>
      </c>
      <c r="AB121" s="4">
        <f t="shared" si="312"/>
        <v>0.00686230248306997</v>
      </c>
      <c r="AC121" s="4">
        <f t="shared" si="312"/>
        <v>0.00806508666430845</v>
      </c>
      <c r="AD121" s="4"/>
      <c r="AE121" s="4"/>
      <c r="AF121" s="4">
        <f t="shared" ref="AF121:AL121" si="313">AF54-AF55</f>
        <v>0.00810173488293751</v>
      </c>
      <c r="AG121" s="4">
        <f t="shared" si="313"/>
        <v>0.00786997433704022</v>
      </c>
      <c r="AH121" s="4">
        <f t="shared" si="313"/>
        <v>0.00817937219730942</v>
      </c>
      <c r="AI121" s="4">
        <f t="shared" si="313"/>
        <v>0.00816906747536013</v>
      </c>
      <c r="AJ121" s="4">
        <f t="shared" si="313"/>
        <v>0.00826030206973706</v>
      </c>
      <c r="AK121" s="4">
        <f t="shared" si="313"/>
        <v>0.00789164785553047</v>
      </c>
      <c r="AL121" s="4">
        <f t="shared" si="313"/>
        <v>0.00927484966395473</v>
      </c>
      <c r="AM121" s="4"/>
      <c r="AN121" s="4"/>
      <c r="AO121" s="4">
        <f t="shared" ref="AO121:AU121" si="314">AO54-AO55</f>
        <v>0.00810173488293751</v>
      </c>
      <c r="AP121" s="4">
        <f t="shared" si="314"/>
        <v>0.00786997433704022</v>
      </c>
      <c r="AQ121" s="4">
        <f t="shared" si="314"/>
        <v>0.00817937219730942</v>
      </c>
      <c r="AR121" s="4">
        <f t="shared" si="314"/>
        <v>0.00816906747536013</v>
      </c>
      <c r="AS121" s="4">
        <f t="shared" si="314"/>
        <v>0.00826030206973706</v>
      </c>
      <c r="AT121" s="4">
        <f t="shared" si="314"/>
        <v>0.00583295711060948</v>
      </c>
      <c r="AU121" s="4">
        <f t="shared" si="314"/>
        <v>0.00685532366466218</v>
      </c>
    </row>
    <row r="122" ht="15.5" spans="21:47">
      <c r="U122" s="2"/>
      <c r="V122" s="18" t="s">
        <v>218</v>
      </c>
      <c r="W122" s="4">
        <f t="shared" ref="W122:AC122" si="315">W56</f>
        <v>0.0319690079164561</v>
      </c>
      <c r="X122" s="4">
        <f t="shared" si="315"/>
        <v>0.0310692899914457</v>
      </c>
      <c r="Y122" s="4">
        <f t="shared" si="315"/>
        <v>0.0322331838565022</v>
      </c>
      <c r="Z122" s="4">
        <f t="shared" si="315"/>
        <v>0.0321645185746778</v>
      </c>
      <c r="AA122" s="4">
        <f t="shared" si="315"/>
        <v>0.0325750512772702</v>
      </c>
      <c r="AB122" s="4">
        <f t="shared" si="315"/>
        <v>0.0270428893905192</v>
      </c>
      <c r="AC122" s="4">
        <f t="shared" si="315"/>
        <v>0.0317828086310577</v>
      </c>
      <c r="AD122" s="4"/>
      <c r="AE122" s="4"/>
      <c r="AF122" s="4">
        <f t="shared" ref="AF122:AL122" si="316">AF56</f>
        <v>0.0319690079164561</v>
      </c>
      <c r="AG122" s="4">
        <f t="shared" si="316"/>
        <v>0.0310692899914457</v>
      </c>
      <c r="AH122" s="4">
        <f t="shared" si="316"/>
        <v>0.0322331838565022</v>
      </c>
      <c r="AI122" s="4">
        <f t="shared" si="316"/>
        <v>0.0321645185746778</v>
      </c>
      <c r="AJ122" s="4">
        <f t="shared" si="316"/>
        <v>0.0325750512772702</v>
      </c>
      <c r="AK122" s="4">
        <f t="shared" si="316"/>
        <v>0.0310993227990971</v>
      </c>
      <c r="AL122" s="4">
        <f t="shared" si="316"/>
        <v>0.0365502299257163</v>
      </c>
      <c r="AM122" s="4"/>
      <c r="AN122" s="4"/>
      <c r="AO122" s="4">
        <f t="shared" ref="AO122:AU122" si="317">AO56</f>
        <v>0.0319690079164561</v>
      </c>
      <c r="AP122" s="4">
        <f t="shared" si="317"/>
        <v>0.0310692899914457</v>
      </c>
      <c r="AQ122" s="4">
        <f t="shared" si="317"/>
        <v>0.0322331838565022</v>
      </c>
      <c r="AR122" s="4">
        <f t="shared" si="317"/>
        <v>0.0321645185746778</v>
      </c>
      <c r="AS122" s="4">
        <f t="shared" si="317"/>
        <v>0.0325750512772702</v>
      </c>
      <c r="AT122" s="4">
        <f t="shared" si="317"/>
        <v>0.0229864559819413</v>
      </c>
      <c r="AU122" s="4">
        <f t="shared" si="317"/>
        <v>0.027015387336399</v>
      </c>
    </row>
    <row r="123" ht="15.5" spans="21:47">
      <c r="U123" s="2"/>
      <c r="V123" s="17" t="s">
        <v>219</v>
      </c>
      <c r="W123" s="4">
        <f t="shared" ref="W123:AC123" si="318">W57</f>
        <v>0.0557183762843187</v>
      </c>
      <c r="X123" s="4">
        <f t="shared" si="318"/>
        <v>0.055158254918734</v>
      </c>
      <c r="Y123" s="4">
        <f t="shared" si="318"/>
        <v>0.0574887892376682</v>
      </c>
      <c r="Z123" s="4">
        <f t="shared" si="318"/>
        <v>0.0587755875663381</v>
      </c>
      <c r="AA123" s="4">
        <f t="shared" si="318"/>
        <v>0.0587544284915159</v>
      </c>
      <c r="AB123" s="4">
        <f t="shared" si="318"/>
        <v>0.0482317531978932</v>
      </c>
      <c r="AC123" s="4">
        <f t="shared" si="318"/>
        <v>0.0566855323664662</v>
      </c>
      <c r="AD123" s="4"/>
      <c r="AE123" s="4"/>
      <c r="AF123" s="4">
        <f t="shared" ref="AF123:AL123" si="319">AF57</f>
        <v>0.0557183762843187</v>
      </c>
      <c r="AG123" s="4">
        <f t="shared" si="319"/>
        <v>0.055158254918734</v>
      </c>
      <c r="AH123" s="4">
        <f t="shared" si="319"/>
        <v>0.0574887892376682</v>
      </c>
      <c r="AI123" s="4">
        <f t="shared" si="319"/>
        <v>0.0587755875663381</v>
      </c>
      <c r="AJ123" s="4">
        <f t="shared" si="319"/>
        <v>0.0587544284915159</v>
      </c>
      <c r="AK123" s="4">
        <f t="shared" si="319"/>
        <v>0.0554665161775771</v>
      </c>
      <c r="AL123" s="4">
        <f t="shared" si="319"/>
        <v>0.0651883622214361</v>
      </c>
      <c r="AM123" s="4"/>
      <c r="AN123" s="4"/>
      <c r="AO123" s="4">
        <f t="shared" ref="AO123:AU123" si="320">AO57</f>
        <v>0.0557183762843187</v>
      </c>
      <c r="AP123" s="4">
        <f t="shared" si="320"/>
        <v>0.055158254918734</v>
      </c>
      <c r="AQ123" s="4">
        <f t="shared" si="320"/>
        <v>0.0574887892376682</v>
      </c>
      <c r="AR123" s="4">
        <f t="shared" si="320"/>
        <v>0.0587755875663381</v>
      </c>
      <c r="AS123" s="4">
        <f t="shared" si="320"/>
        <v>0.0587544284915159</v>
      </c>
      <c r="AT123" s="4">
        <f t="shared" si="320"/>
        <v>0.0409969902182092</v>
      </c>
      <c r="AU123" s="4">
        <f t="shared" si="320"/>
        <v>0.0481827025114963</v>
      </c>
    </row>
    <row r="124" ht="15.5" spans="21:47">
      <c r="U124" s="2"/>
      <c r="V124" s="17" t="s">
        <v>220</v>
      </c>
      <c r="W124" s="4">
        <f t="shared" ref="W124:AC124" si="321">W58</f>
        <v>0.0130537308404918</v>
      </c>
      <c r="X124" s="4">
        <f t="shared" si="321"/>
        <v>0.0129170230966638</v>
      </c>
      <c r="Y124" s="4">
        <f t="shared" si="321"/>
        <v>0.0134529147982063</v>
      </c>
      <c r="Z124" s="4">
        <f t="shared" si="321"/>
        <v>0.0136846095526914</v>
      </c>
      <c r="AA124" s="4">
        <f t="shared" si="321"/>
        <v>0.0137236621294052</v>
      </c>
      <c r="AB124" s="4">
        <f t="shared" si="321"/>
        <v>0.0112866817155756</v>
      </c>
      <c r="AC124" s="4">
        <f t="shared" si="321"/>
        <v>0.01326494517156</v>
      </c>
      <c r="AD124" s="4"/>
      <c r="AE124" s="4"/>
      <c r="AF124" s="4">
        <f t="shared" ref="AF124:AL124" si="322">AF58</f>
        <v>0.0130537308404918</v>
      </c>
      <c r="AG124" s="4">
        <f t="shared" si="322"/>
        <v>0.0129170230966638</v>
      </c>
      <c r="AH124" s="4">
        <f t="shared" si="322"/>
        <v>0.0134529147982063</v>
      </c>
      <c r="AI124" s="4">
        <f t="shared" si="322"/>
        <v>0.0136846095526914</v>
      </c>
      <c r="AJ124" s="4">
        <f t="shared" si="322"/>
        <v>0.0137236621294052</v>
      </c>
      <c r="AK124" s="4">
        <f t="shared" si="322"/>
        <v>0.012979683972912</v>
      </c>
      <c r="AL124" s="4">
        <f t="shared" si="322"/>
        <v>0.0152546869472939</v>
      </c>
      <c r="AM124" s="4"/>
      <c r="AN124" s="4"/>
      <c r="AO124" s="4">
        <f t="shared" ref="AO124:AU124" si="323">AO58</f>
        <v>0.0130537308404918</v>
      </c>
      <c r="AP124" s="4">
        <f t="shared" si="323"/>
        <v>0.0129170230966638</v>
      </c>
      <c r="AQ124" s="4">
        <f t="shared" si="323"/>
        <v>0.0134529147982063</v>
      </c>
      <c r="AR124" s="4">
        <f t="shared" si="323"/>
        <v>0.0136846095526914</v>
      </c>
      <c r="AS124" s="4">
        <f t="shared" si="323"/>
        <v>0.0137236621294052</v>
      </c>
      <c r="AT124" s="4">
        <f t="shared" si="323"/>
        <v>0.00959367945823928</v>
      </c>
      <c r="AU124" s="4">
        <f t="shared" si="323"/>
        <v>0.011275203395826</v>
      </c>
    </row>
    <row r="125" ht="15.5" spans="21:47">
      <c r="U125" s="26" t="s">
        <v>195</v>
      </c>
      <c r="V125" s="17" t="s">
        <v>60</v>
      </c>
      <c r="W125" s="19">
        <f>W113</f>
        <v>0.00788276907529056</v>
      </c>
      <c r="X125" s="19">
        <f t="shared" ref="X125:AC125" si="324">X113</f>
        <v>0.00764756201881948</v>
      </c>
      <c r="Y125" s="19">
        <f t="shared" si="324"/>
        <v>0.00794618834080718</v>
      </c>
      <c r="Z125" s="19">
        <f t="shared" si="324"/>
        <v>0.00794162244124336</v>
      </c>
      <c r="AA125" s="19">
        <f t="shared" si="324"/>
        <v>0.00801790042886445</v>
      </c>
      <c r="AB125" s="19">
        <f t="shared" si="324"/>
        <v>0.00666666666666667</v>
      </c>
      <c r="AC125" s="19">
        <f t="shared" si="324"/>
        <v>0.00783516094800141</v>
      </c>
      <c r="AD125" s="4"/>
      <c r="AE125" s="4"/>
      <c r="AF125" s="19">
        <f t="shared" ref="AF125:AL125" si="325">AF113</f>
        <v>0.00788276907529056</v>
      </c>
      <c r="AG125" s="19">
        <f t="shared" si="325"/>
        <v>0.00764756201881948</v>
      </c>
      <c r="AH125" s="19">
        <f t="shared" si="325"/>
        <v>0.00794618834080718</v>
      </c>
      <c r="AI125" s="19">
        <f t="shared" si="325"/>
        <v>0.00794162244124336</v>
      </c>
      <c r="AJ125" s="19">
        <f t="shared" si="325"/>
        <v>0.00801790042886445</v>
      </c>
      <c r="AK125" s="19">
        <f t="shared" si="325"/>
        <v>0.00766666666666667</v>
      </c>
      <c r="AL125" s="19">
        <f t="shared" si="325"/>
        <v>0.00901043509020162</v>
      </c>
      <c r="AM125" s="4"/>
      <c r="AN125" s="4"/>
      <c r="AO125" s="19">
        <f t="shared" ref="AO125:AU125" si="326">AO113</f>
        <v>0.00788276907529056</v>
      </c>
      <c r="AP125" s="19">
        <f t="shared" si="326"/>
        <v>0.00764756201881948</v>
      </c>
      <c r="AQ125" s="19">
        <f t="shared" si="326"/>
        <v>0.00794618834080718</v>
      </c>
      <c r="AR125" s="19">
        <f t="shared" si="326"/>
        <v>0.00794162244124336</v>
      </c>
      <c r="AS125" s="19">
        <f t="shared" si="326"/>
        <v>0.00801790042886445</v>
      </c>
      <c r="AT125" s="19">
        <f t="shared" si="326"/>
        <v>0.00566666666666667</v>
      </c>
      <c r="AU125" s="19">
        <f t="shared" si="326"/>
        <v>0.00665988680580119</v>
      </c>
    </row>
    <row r="126" ht="15.5" spans="21:47">
      <c r="U126" s="26"/>
      <c r="V126" s="18" t="s">
        <v>218</v>
      </c>
      <c r="W126" s="19">
        <f>W114</f>
        <v>0.02011116725619</v>
      </c>
      <c r="X126" s="19">
        <f t="shared" ref="X126:AC126" si="327">X114</f>
        <v>0.0195038494439692</v>
      </c>
      <c r="Y126" s="19">
        <f t="shared" si="327"/>
        <v>0.0202152466367713</v>
      </c>
      <c r="Z126" s="19">
        <f t="shared" si="327"/>
        <v>0.0201099317664898</v>
      </c>
      <c r="AA126" s="19">
        <f t="shared" si="327"/>
        <v>0.0203990303934365</v>
      </c>
      <c r="AB126" s="19">
        <f t="shared" si="327"/>
        <v>0.0169601203912716</v>
      </c>
      <c r="AC126" s="19">
        <f t="shared" si="327"/>
        <v>0.0199327909444641</v>
      </c>
      <c r="AD126" s="4"/>
      <c r="AE126" s="4"/>
      <c r="AF126" s="19">
        <f t="shared" ref="AF126:AL126" si="328">AF114</f>
        <v>0.02011116725619</v>
      </c>
      <c r="AG126" s="19">
        <f t="shared" si="328"/>
        <v>0.0195038494439692</v>
      </c>
      <c r="AH126" s="19">
        <f t="shared" si="328"/>
        <v>0.0202152466367713</v>
      </c>
      <c r="AI126" s="19">
        <f t="shared" si="328"/>
        <v>0.0201099317664898</v>
      </c>
      <c r="AJ126" s="19">
        <f t="shared" si="328"/>
        <v>0.0203990303934365</v>
      </c>
      <c r="AK126" s="19">
        <f t="shared" si="328"/>
        <v>0.0195041384499624</v>
      </c>
      <c r="AL126" s="19">
        <f t="shared" si="328"/>
        <v>0.0229227095861337</v>
      </c>
      <c r="AM126" s="4"/>
      <c r="AN126" s="4"/>
      <c r="AO126" s="19">
        <f t="shared" ref="AO126:AU126" si="329">AO114</f>
        <v>0.02011116725619</v>
      </c>
      <c r="AP126" s="19">
        <f t="shared" si="329"/>
        <v>0.0195038494439692</v>
      </c>
      <c r="AQ126" s="19">
        <f t="shared" si="329"/>
        <v>0.0202152466367713</v>
      </c>
      <c r="AR126" s="19">
        <f t="shared" si="329"/>
        <v>0.0201099317664898</v>
      </c>
      <c r="AS126" s="19">
        <f t="shared" si="329"/>
        <v>0.0203990303934365</v>
      </c>
      <c r="AT126" s="19">
        <f t="shared" si="329"/>
        <v>0.0144161023325809</v>
      </c>
      <c r="AU126" s="19">
        <f t="shared" si="329"/>
        <v>0.0169428723027945</v>
      </c>
    </row>
    <row r="127" ht="15.5" spans="21:47">
      <c r="U127" s="26"/>
      <c r="V127" s="17" t="s">
        <v>219</v>
      </c>
      <c r="W127" s="19">
        <f>W115</f>
        <v>0.0641232945932289</v>
      </c>
      <c r="X127" s="19">
        <f t="shared" ref="X127:AC127" si="330">X115</f>
        <v>0.0633532934131737</v>
      </c>
      <c r="Y127" s="19">
        <f t="shared" si="330"/>
        <v>0.0659910313901345</v>
      </c>
      <c r="Z127" s="19">
        <f t="shared" si="330"/>
        <v>0.0673237300985595</v>
      </c>
      <c r="AA127" s="19">
        <f t="shared" si="330"/>
        <v>0.0673690098825284</v>
      </c>
      <c r="AB127" s="19">
        <f t="shared" si="330"/>
        <v>0.055364936042137</v>
      </c>
      <c r="AC127" s="19">
        <f t="shared" si="330"/>
        <v>0.0650689777148921</v>
      </c>
      <c r="AD127" s="4"/>
      <c r="AE127" s="4"/>
      <c r="AF127" s="19">
        <f t="shared" ref="AF127:AL127" si="331">AF115</f>
        <v>0.0641232945932289</v>
      </c>
      <c r="AG127" s="19">
        <f t="shared" si="331"/>
        <v>0.0633532934131737</v>
      </c>
      <c r="AH127" s="19">
        <f t="shared" si="331"/>
        <v>0.0659910313901345</v>
      </c>
      <c r="AI127" s="19">
        <f t="shared" si="331"/>
        <v>0.0673237300985595</v>
      </c>
      <c r="AJ127" s="19">
        <f t="shared" si="331"/>
        <v>0.0673690098825284</v>
      </c>
      <c r="AK127" s="19">
        <f t="shared" si="331"/>
        <v>0.0636696764484575</v>
      </c>
      <c r="AL127" s="19">
        <f t="shared" si="331"/>
        <v>0.0748293243721259</v>
      </c>
      <c r="AM127" s="4"/>
      <c r="AN127" s="4"/>
      <c r="AO127" s="19">
        <f t="shared" ref="AO127:AU127" si="332">AO115</f>
        <v>0.0641232945932289</v>
      </c>
      <c r="AP127" s="19">
        <f t="shared" si="332"/>
        <v>0.0633532934131737</v>
      </c>
      <c r="AQ127" s="19">
        <f t="shared" si="332"/>
        <v>0.0659910313901345</v>
      </c>
      <c r="AR127" s="19">
        <f t="shared" si="332"/>
        <v>0.0673237300985595</v>
      </c>
      <c r="AS127" s="19">
        <f t="shared" si="332"/>
        <v>0.0673690098825284</v>
      </c>
      <c r="AT127" s="19">
        <f t="shared" si="332"/>
        <v>0.0470601956358164</v>
      </c>
      <c r="AU127" s="19">
        <f t="shared" si="332"/>
        <v>0.0553086310576583</v>
      </c>
    </row>
    <row r="128" ht="15.5" spans="21:47">
      <c r="U128" s="26"/>
      <c r="V128" s="17" t="s">
        <v>220</v>
      </c>
      <c r="W128" s="19">
        <f>W116</f>
        <v>0.0129695132221661</v>
      </c>
      <c r="X128" s="19">
        <f t="shared" ref="X128:AC128" si="333">X116</f>
        <v>0.012814371257485</v>
      </c>
      <c r="Y128" s="19">
        <f t="shared" si="333"/>
        <v>0.0133452914798206</v>
      </c>
      <c r="Z128" s="19">
        <f t="shared" si="333"/>
        <v>0.0135898407884761</v>
      </c>
      <c r="AA128" s="19">
        <f t="shared" si="333"/>
        <v>0.0136304307290695</v>
      </c>
      <c r="AB128" s="19">
        <f t="shared" si="333"/>
        <v>0.011196388261851</v>
      </c>
      <c r="AC128" s="19">
        <f t="shared" si="333"/>
        <v>0.0131588256101875</v>
      </c>
      <c r="AD128" s="4"/>
      <c r="AE128" s="4"/>
      <c r="AF128" s="19">
        <f t="shared" ref="AF128:AL128" si="334">AF116</f>
        <v>0.0129695132221661</v>
      </c>
      <c r="AG128" s="19">
        <f t="shared" si="334"/>
        <v>0.012814371257485</v>
      </c>
      <c r="AH128" s="19">
        <f t="shared" si="334"/>
        <v>0.0133452914798206</v>
      </c>
      <c r="AI128" s="19">
        <f t="shared" si="334"/>
        <v>0.0135898407884761</v>
      </c>
      <c r="AJ128" s="19">
        <f t="shared" si="334"/>
        <v>0.0136304307290695</v>
      </c>
      <c r="AK128" s="19">
        <f t="shared" si="334"/>
        <v>0.0128758465011287</v>
      </c>
      <c r="AL128" s="19">
        <f t="shared" si="334"/>
        <v>0.0151326494517156</v>
      </c>
      <c r="AM128" s="4"/>
      <c r="AN128" s="4"/>
      <c r="AO128" s="19">
        <f t="shared" ref="AO128:AU128" si="335">AO116</f>
        <v>0.0129695132221661</v>
      </c>
      <c r="AP128" s="19">
        <f t="shared" si="335"/>
        <v>0.012814371257485</v>
      </c>
      <c r="AQ128" s="19">
        <f t="shared" si="335"/>
        <v>0.0133452914798206</v>
      </c>
      <c r="AR128" s="19">
        <f t="shared" si="335"/>
        <v>0.0135898407884761</v>
      </c>
      <c r="AS128" s="19">
        <f t="shared" si="335"/>
        <v>0.0136304307290695</v>
      </c>
      <c r="AT128" s="19">
        <f t="shared" si="335"/>
        <v>0.00951693002257336</v>
      </c>
      <c r="AU128" s="19">
        <f t="shared" si="335"/>
        <v>0.0111850017686594</v>
      </c>
    </row>
    <row r="160" ht="15.5" spans="21:47">
      <c r="U160" s="20"/>
      <c r="V160" s="21" t="s">
        <v>173</v>
      </c>
      <c r="W160" s="20"/>
      <c r="X160" s="22"/>
      <c r="Y160" s="20"/>
      <c r="Z160" s="21" t="s">
        <v>173</v>
      </c>
      <c r="AA160" s="20"/>
      <c r="AB160" s="22"/>
      <c r="AC160" s="20"/>
      <c r="AD160" s="21" t="s">
        <v>173</v>
      </c>
      <c r="AE160" s="20"/>
      <c r="AF160" s="22"/>
      <c r="AG160" s="20"/>
      <c r="AH160" s="21" t="s">
        <v>173</v>
      </c>
      <c r="AI160" s="20"/>
      <c r="AJ160" s="22"/>
      <c r="AK160" s="20"/>
      <c r="AL160" s="21" t="s">
        <v>173</v>
      </c>
      <c r="AM160" s="20"/>
      <c r="AN160" s="22"/>
      <c r="AO160" s="20"/>
      <c r="AP160" s="21" t="s">
        <v>173</v>
      </c>
      <c r="AQ160" s="20"/>
      <c r="AR160" s="22"/>
      <c r="AS160" s="20"/>
      <c r="AT160" s="21" t="s">
        <v>173</v>
      </c>
      <c r="AU160" s="20"/>
    </row>
    <row r="161" ht="15.5" spans="21:47">
      <c r="U161" s="21" t="s">
        <v>45</v>
      </c>
      <c r="V161" s="21" t="s">
        <v>50</v>
      </c>
      <c r="W161" s="21" t="s">
        <v>25</v>
      </c>
      <c r="X161" s="22"/>
      <c r="Y161" s="21" t="s">
        <v>45</v>
      </c>
      <c r="Z161" s="21" t="s">
        <v>50</v>
      </c>
      <c r="AA161" s="21" t="s">
        <v>25</v>
      </c>
      <c r="AB161" s="22"/>
      <c r="AC161" s="21" t="s">
        <v>45</v>
      </c>
      <c r="AD161" s="21" t="s">
        <v>50</v>
      </c>
      <c r="AE161" s="21" t="s">
        <v>25</v>
      </c>
      <c r="AF161" s="22"/>
      <c r="AG161" s="21" t="s">
        <v>45</v>
      </c>
      <c r="AH161" s="21" t="s">
        <v>50</v>
      </c>
      <c r="AI161" s="21" t="s">
        <v>25</v>
      </c>
      <c r="AJ161" s="22"/>
      <c r="AK161" s="21" t="s">
        <v>45</v>
      </c>
      <c r="AL161" s="21" t="s">
        <v>50</v>
      </c>
      <c r="AM161" s="21" t="s">
        <v>25</v>
      </c>
      <c r="AN161" s="22"/>
      <c r="AO161" s="21" t="s">
        <v>45</v>
      </c>
      <c r="AP161" s="21" t="s">
        <v>50</v>
      </c>
      <c r="AQ161" s="21" t="s">
        <v>25</v>
      </c>
      <c r="AR161" s="22"/>
      <c r="AS161" s="21" t="s">
        <v>45</v>
      </c>
      <c r="AT161" s="21" t="s">
        <v>50</v>
      </c>
      <c r="AU161" s="21" t="s">
        <v>25</v>
      </c>
    </row>
    <row r="162" ht="15.5" spans="21:47">
      <c r="U162" s="22" t="s">
        <v>146</v>
      </c>
      <c r="V162" s="23" t="s">
        <v>60</v>
      </c>
      <c r="W162" s="22">
        <f>W85</f>
        <v>0.0105103587670541</v>
      </c>
      <c r="X162" s="22"/>
      <c r="Y162" s="22" t="s">
        <v>147</v>
      </c>
      <c r="Z162" s="23" t="s">
        <v>60</v>
      </c>
      <c r="AA162" s="22">
        <f t="shared" ref="AA162:AA165" si="336">X85</f>
        <v>0.0100940975192472</v>
      </c>
      <c r="AB162" s="22"/>
      <c r="AC162" s="22" t="s">
        <v>148</v>
      </c>
      <c r="AD162" s="23" t="s">
        <v>60</v>
      </c>
      <c r="AE162" s="22">
        <f t="shared" ref="AE162:AE165" si="337">Y85</f>
        <v>0.0103856502242152</v>
      </c>
      <c r="AF162" s="22"/>
      <c r="AG162" s="22" t="s">
        <v>149</v>
      </c>
      <c r="AH162" s="23" t="s">
        <v>60</v>
      </c>
      <c r="AI162" s="22">
        <f t="shared" ref="AI162:AI165" si="338">Z85</f>
        <v>0.0114291129643669</v>
      </c>
      <c r="AJ162" s="22"/>
      <c r="AK162" s="22" t="s">
        <v>145</v>
      </c>
      <c r="AL162" s="23" t="s">
        <v>60</v>
      </c>
      <c r="AM162" s="22">
        <f t="shared" ref="AM162:AM165" si="339">AA85</f>
        <v>0.0115979862017528</v>
      </c>
      <c r="AN162" s="22"/>
      <c r="AO162" s="22" t="s">
        <v>144</v>
      </c>
      <c r="AP162" s="23" t="s">
        <v>60</v>
      </c>
      <c r="AQ162" s="22">
        <f t="shared" ref="AQ162:AQ165" si="340">AB85</f>
        <v>0.00871331828442437</v>
      </c>
      <c r="AR162" s="22"/>
      <c r="AS162" s="22" t="s">
        <v>143</v>
      </c>
      <c r="AT162" s="23" t="s">
        <v>60</v>
      </c>
      <c r="AU162" s="22">
        <f t="shared" ref="AU162:AU165" si="341">AC85</f>
        <v>0.0102405376724443</v>
      </c>
    </row>
    <row r="163" ht="16" spans="21:47">
      <c r="U163" s="22"/>
      <c r="V163" s="24" t="s">
        <v>181</v>
      </c>
      <c r="W163" s="22">
        <f t="shared" ref="W162:W165" si="342">W86</f>
        <v>0.0289203301330638</v>
      </c>
      <c r="X163" s="22"/>
      <c r="Y163" s="22"/>
      <c r="Z163" s="24" t="s">
        <v>181</v>
      </c>
      <c r="AA163" s="22">
        <f t="shared" si="336"/>
        <v>0.0275620188195039</v>
      </c>
      <c r="AB163" s="22"/>
      <c r="AC163" s="22"/>
      <c r="AD163" s="24" t="s">
        <v>181</v>
      </c>
      <c r="AE163" s="22">
        <f t="shared" si="337"/>
        <v>0.028322869955157</v>
      </c>
      <c r="AF163" s="22"/>
      <c r="AG163" s="22"/>
      <c r="AH163" s="24" t="s">
        <v>181</v>
      </c>
      <c r="AI163" s="22">
        <f t="shared" si="338"/>
        <v>0.0288286580742987</v>
      </c>
      <c r="AJ163" s="22"/>
      <c r="AK163" s="22"/>
      <c r="AL163" s="24" t="s">
        <v>181</v>
      </c>
      <c r="AM163" s="22">
        <f t="shared" si="339"/>
        <v>0.0296102927465971</v>
      </c>
      <c r="AN163" s="22"/>
      <c r="AO163" s="22"/>
      <c r="AP163" s="24" t="s">
        <v>181</v>
      </c>
      <c r="AQ163" s="22">
        <f t="shared" si="340"/>
        <v>0.0237622272385252</v>
      </c>
      <c r="AR163" s="22"/>
      <c r="AS163" s="22"/>
      <c r="AT163" s="24" t="s">
        <v>181</v>
      </c>
      <c r="AU163" s="22">
        <f t="shared" si="341"/>
        <v>0.0279271312345242</v>
      </c>
    </row>
    <row r="164" ht="16" spans="21:47">
      <c r="U164" s="22"/>
      <c r="V164" s="24" t="s">
        <v>68</v>
      </c>
      <c r="W164" s="22">
        <f t="shared" si="342"/>
        <v>0.0836617820448038</v>
      </c>
      <c r="X164" s="22"/>
      <c r="Y164" s="22"/>
      <c r="Z164" s="24" t="s">
        <v>68</v>
      </c>
      <c r="AA164" s="22">
        <f t="shared" si="336"/>
        <v>0.0814029084687767</v>
      </c>
      <c r="AB164" s="22"/>
      <c r="AC164" s="22"/>
      <c r="AD164" s="24" t="s">
        <v>68</v>
      </c>
      <c r="AE164" s="22">
        <f t="shared" si="337"/>
        <v>0.0843946188340807</v>
      </c>
      <c r="AF164" s="22"/>
      <c r="AG164" s="22"/>
      <c r="AH164" s="24" t="s">
        <v>68</v>
      </c>
      <c r="AI164" s="22">
        <f t="shared" si="338"/>
        <v>0.0884192570128886</v>
      </c>
      <c r="AJ164" s="22"/>
      <c r="AK164" s="22"/>
      <c r="AL164" s="24" t="s">
        <v>68</v>
      </c>
      <c r="AM164" s="22">
        <f t="shared" si="339"/>
        <v>0.092485549132948</v>
      </c>
      <c r="AN164" s="22"/>
      <c r="AO164" s="22"/>
      <c r="AP164" s="24" t="s">
        <v>68</v>
      </c>
      <c r="AQ164" s="22">
        <f t="shared" si="340"/>
        <v>0.0708051166290444</v>
      </c>
      <c r="AR164" s="22"/>
      <c r="AS164" s="22"/>
      <c r="AT164" s="24" t="s">
        <v>68</v>
      </c>
      <c r="AU164" s="22">
        <f t="shared" si="341"/>
        <v>0.0832154227095861</v>
      </c>
    </row>
    <row r="165" ht="16" spans="21:47">
      <c r="U165" s="25"/>
      <c r="V165" s="24" t="s">
        <v>182</v>
      </c>
      <c r="W165" s="22">
        <f t="shared" si="342"/>
        <v>0.0130200437931615</v>
      </c>
      <c r="X165" s="25"/>
      <c r="Y165" s="25"/>
      <c r="Z165" s="24" t="s">
        <v>182</v>
      </c>
      <c r="AA165" s="22">
        <f t="shared" si="336"/>
        <v>0.0127459366980325</v>
      </c>
      <c r="AB165" s="25"/>
      <c r="AC165" s="25"/>
      <c r="AD165" s="24" t="s">
        <v>182</v>
      </c>
      <c r="AE165" s="22">
        <f t="shared" si="337"/>
        <v>0.0132017937219731</v>
      </c>
      <c r="AF165" s="25"/>
      <c r="AG165" s="25"/>
      <c r="AH165" s="24" t="s">
        <v>182</v>
      </c>
      <c r="AI165" s="22">
        <f t="shared" si="338"/>
        <v>0.0144238059135709</v>
      </c>
      <c r="AJ165" s="25"/>
      <c r="AK165" s="25"/>
      <c r="AL165" s="24" t="s">
        <v>182</v>
      </c>
      <c r="AM165" s="22">
        <f t="shared" si="339"/>
        <v>0.0147119149729629</v>
      </c>
      <c r="AN165" s="25"/>
      <c r="AO165" s="25"/>
      <c r="AP165" s="24" t="s">
        <v>182</v>
      </c>
      <c r="AQ165" s="22">
        <f t="shared" si="340"/>
        <v>0.0110759969902182</v>
      </c>
      <c r="AR165" s="25"/>
      <c r="AS165" s="25"/>
      <c r="AT165" s="24" t="s">
        <v>182</v>
      </c>
      <c r="AU165" s="22">
        <f t="shared" si="341"/>
        <v>0.0130173328616908</v>
      </c>
    </row>
    <row r="166" ht="15.5" spans="21:47"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</row>
    <row r="167" ht="15.5" spans="21:47"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</row>
    <row r="168" ht="15.5" spans="21:47"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</row>
    <row r="169" ht="15.5" spans="21:47"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</row>
    <row r="170" ht="15.5" spans="21:47"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</row>
    <row r="171" ht="15.5" spans="21:47"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</row>
    <row r="172" ht="15.5" spans="21:47">
      <c r="U172" s="20"/>
      <c r="V172" s="21" t="s">
        <v>173</v>
      </c>
      <c r="W172" s="20"/>
      <c r="X172" s="22"/>
      <c r="Y172" s="20"/>
      <c r="Z172" s="21" t="s">
        <v>173</v>
      </c>
      <c r="AA172" s="20"/>
      <c r="AB172" s="22"/>
      <c r="AC172" s="20"/>
      <c r="AD172" s="21" t="s">
        <v>173</v>
      </c>
      <c r="AE172" s="20"/>
      <c r="AF172" s="22"/>
      <c r="AG172" s="20"/>
      <c r="AH172" s="21" t="s">
        <v>173</v>
      </c>
      <c r="AI172" s="20"/>
      <c r="AJ172" s="22"/>
      <c r="AK172" s="20"/>
      <c r="AL172" s="21" t="s">
        <v>173</v>
      </c>
      <c r="AM172" s="20"/>
      <c r="AN172" s="22"/>
      <c r="AO172" s="20"/>
      <c r="AP172" s="21" t="s">
        <v>173</v>
      </c>
      <c r="AQ172" s="20"/>
      <c r="AR172" s="22"/>
      <c r="AS172" s="20"/>
      <c r="AT172" s="21" t="s">
        <v>173</v>
      </c>
      <c r="AU172" s="20"/>
    </row>
    <row r="173" ht="15.5" spans="21:47">
      <c r="U173" s="21" t="s">
        <v>45</v>
      </c>
      <c r="V173" s="21" t="s">
        <v>50</v>
      </c>
      <c r="W173" s="21" t="s">
        <v>25</v>
      </c>
      <c r="X173" s="22"/>
      <c r="Y173" s="21" t="s">
        <v>45</v>
      </c>
      <c r="Z173" s="21" t="s">
        <v>50</v>
      </c>
      <c r="AA173" s="21" t="s">
        <v>25</v>
      </c>
      <c r="AB173" s="22"/>
      <c r="AC173" s="21" t="s">
        <v>45</v>
      </c>
      <c r="AD173" s="21" t="s">
        <v>50</v>
      </c>
      <c r="AE173" s="21" t="s">
        <v>25</v>
      </c>
      <c r="AF173" s="22"/>
      <c r="AG173" s="21" t="s">
        <v>45</v>
      </c>
      <c r="AH173" s="21" t="s">
        <v>50</v>
      </c>
      <c r="AI173" s="21" t="s">
        <v>25</v>
      </c>
      <c r="AJ173" s="22"/>
      <c r="AK173" s="21" t="s">
        <v>45</v>
      </c>
      <c r="AL173" s="21" t="s">
        <v>50</v>
      </c>
      <c r="AM173" s="21" t="s">
        <v>25</v>
      </c>
      <c r="AN173" s="22"/>
      <c r="AO173" s="21" t="s">
        <v>45</v>
      </c>
      <c r="AP173" s="21" t="s">
        <v>50</v>
      </c>
      <c r="AQ173" s="21" t="s">
        <v>25</v>
      </c>
      <c r="AR173" s="22"/>
      <c r="AS173" s="21" t="s">
        <v>45</v>
      </c>
      <c r="AT173" s="21" t="s">
        <v>50</v>
      </c>
      <c r="AU173" s="21" t="s">
        <v>25</v>
      </c>
    </row>
    <row r="174" ht="15.5" spans="21:47">
      <c r="U174" s="22" t="s">
        <v>153</v>
      </c>
      <c r="V174" s="23" t="s">
        <v>60</v>
      </c>
      <c r="W174" s="22">
        <f t="shared" ref="W174:W177" si="343">W105</f>
        <v>0.0115546572342934</v>
      </c>
      <c r="X174" s="22"/>
      <c r="Y174" s="22" t="s">
        <v>154</v>
      </c>
      <c r="Z174" s="23" t="s">
        <v>60</v>
      </c>
      <c r="AA174" s="22">
        <f t="shared" ref="AA174:AA177" si="344">X105</f>
        <v>0.0110863986313088</v>
      </c>
      <c r="AB174" s="22"/>
      <c r="AC174" s="22" t="s">
        <v>155</v>
      </c>
      <c r="AD174" s="23" t="s">
        <v>60</v>
      </c>
      <c r="AE174" s="22">
        <f t="shared" ref="AE174:AE177" si="345">Y105</f>
        <v>0.0114618834080717</v>
      </c>
      <c r="AF174" s="22"/>
      <c r="AG174" s="22" t="s">
        <v>156</v>
      </c>
      <c r="AH174" s="23" t="s">
        <v>60</v>
      </c>
      <c r="AI174" s="22">
        <f t="shared" ref="AI174:AI177" si="346">Z105</f>
        <v>0.011751326762699</v>
      </c>
      <c r="AJ174" s="22"/>
      <c r="AK174" s="22" t="s">
        <v>152</v>
      </c>
      <c r="AL174" s="23" t="s">
        <v>60</v>
      </c>
      <c r="AM174" s="22">
        <f t="shared" ref="AM174:AM177" si="347">AA105</f>
        <v>0.0119709118030953</v>
      </c>
      <c r="AN174" s="22"/>
      <c r="AO174" s="22" t="s">
        <v>151</v>
      </c>
      <c r="AP174" s="23" t="s">
        <v>60</v>
      </c>
      <c r="AQ174" s="22">
        <f t="shared" ref="AQ174:AQ177" si="348">AB105</f>
        <v>0.00961625282167042</v>
      </c>
      <c r="AR174" s="22"/>
      <c r="AS174" s="22" t="s">
        <v>150</v>
      </c>
      <c r="AT174" s="23" t="s">
        <v>60</v>
      </c>
      <c r="AU174" s="22">
        <f t="shared" ref="AU174:AU177" si="349">AC105</f>
        <v>0.0113017332861691</v>
      </c>
    </row>
    <row r="175" ht="16" spans="21:47">
      <c r="U175" s="22"/>
      <c r="V175" s="24" t="s">
        <v>181</v>
      </c>
      <c r="W175" s="22">
        <f t="shared" si="343"/>
        <v>0.0252147549267307</v>
      </c>
      <c r="X175" s="22"/>
      <c r="Y175" s="22"/>
      <c r="Z175" s="24" t="s">
        <v>181</v>
      </c>
      <c r="AA175" s="22">
        <f t="shared" si="344"/>
        <v>0.0242600513259196</v>
      </c>
      <c r="AB175" s="22"/>
      <c r="AC175" s="22"/>
      <c r="AD175" s="24" t="s">
        <v>181</v>
      </c>
      <c r="AE175" s="22">
        <f t="shared" si="345"/>
        <v>0.0250941704035874</v>
      </c>
      <c r="AF175" s="22"/>
      <c r="AG175" s="22"/>
      <c r="AH175" s="24" t="s">
        <v>181</v>
      </c>
      <c r="AI175" s="22">
        <f t="shared" si="346"/>
        <v>0.0257581501137225</v>
      </c>
      <c r="AJ175" s="22"/>
      <c r="AK175" s="22"/>
      <c r="AL175" s="24" t="s">
        <v>181</v>
      </c>
      <c r="AM175" s="22">
        <f t="shared" si="347"/>
        <v>0.0262539623345143</v>
      </c>
      <c r="AN175" s="22"/>
      <c r="AO175" s="22"/>
      <c r="AP175" s="24" t="s">
        <v>181</v>
      </c>
      <c r="AQ175" s="22">
        <f t="shared" si="348"/>
        <v>0.0210534236267871</v>
      </c>
      <c r="AR175" s="22"/>
      <c r="AS175" s="22"/>
      <c r="AT175" s="24" t="s">
        <v>181</v>
      </c>
      <c r="AU175" s="22">
        <f t="shared" si="349"/>
        <v>0.0247435443933498</v>
      </c>
    </row>
    <row r="176" ht="16" spans="21:47">
      <c r="U176" s="22"/>
      <c r="V176" s="24" t="s">
        <v>68</v>
      </c>
      <c r="W176" s="22">
        <f t="shared" si="343"/>
        <v>0.0978103419235304</v>
      </c>
      <c r="X176" s="22"/>
      <c r="Y176" s="22"/>
      <c r="Z176" s="24" t="s">
        <v>68</v>
      </c>
      <c r="AA176" s="22">
        <f t="shared" si="344"/>
        <v>0.0947818648417451</v>
      </c>
      <c r="AB176" s="22"/>
      <c r="AC176" s="22"/>
      <c r="AD176" s="24" t="s">
        <v>68</v>
      </c>
      <c r="AE176" s="22">
        <f t="shared" si="345"/>
        <v>0.0982600896860986</v>
      </c>
      <c r="AF176" s="22"/>
      <c r="AG176" s="22"/>
      <c r="AH176" s="24" t="s">
        <v>68</v>
      </c>
      <c r="AI176" s="22">
        <f t="shared" si="346"/>
        <v>0.099696739954511</v>
      </c>
      <c r="AJ176" s="22"/>
      <c r="AK176" s="22"/>
      <c r="AL176" s="24" t="s">
        <v>68</v>
      </c>
      <c r="AM176" s="22">
        <f t="shared" si="347"/>
        <v>0.103953011374231</v>
      </c>
      <c r="AN176" s="22"/>
      <c r="AO176" s="22"/>
      <c r="AP176" s="24" t="s">
        <v>68</v>
      </c>
      <c r="AQ176" s="22">
        <f t="shared" si="348"/>
        <v>0.0824379232505643</v>
      </c>
      <c r="AR176" s="22"/>
      <c r="AS176" s="22"/>
      <c r="AT176" s="24" t="s">
        <v>68</v>
      </c>
      <c r="AU176" s="22">
        <f t="shared" si="349"/>
        <v>0.0968871595330739</v>
      </c>
    </row>
    <row r="177" ht="16" spans="21:47">
      <c r="U177" s="25"/>
      <c r="V177" s="24" t="s">
        <v>182</v>
      </c>
      <c r="W177" s="22">
        <f t="shared" si="343"/>
        <v>0.0132390096008085</v>
      </c>
      <c r="X177" s="25"/>
      <c r="Y177" s="25"/>
      <c r="Z177" s="24" t="s">
        <v>182</v>
      </c>
      <c r="AA177" s="22">
        <f t="shared" si="344"/>
        <v>0.0130538922155689</v>
      </c>
      <c r="AB177" s="25"/>
      <c r="AC177" s="25"/>
      <c r="AD177" s="24" t="s">
        <v>182</v>
      </c>
      <c r="AE177" s="22">
        <f t="shared" si="345"/>
        <v>0.0136143497757848</v>
      </c>
      <c r="AF177" s="25"/>
      <c r="AG177" s="25"/>
      <c r="AH177" s="24" t="s">
        <v>182</v>
      </c>
      <c r="AI177" s="22">
        <f t="shared" si="346"/>
        <v>0.0139689158453374</v>
      </c>
      <c r="AJ177" s="25"/>
      <c r="AK177" s="25"/>
      <c r="AL177" s="24" t="s">
        <v>182</v>
      </c>
      <c r="AM177" s="22">
        <f t="shared" si="347"/>
        <v>0.0141711728510162</v>
      </c>
      <c r="AN177" s="25"/>
      <c r="AO177" s="25"/>
      <c r="AP177" s="24" t="s">
        <v>182</v>
      </c>
      <c r="AQ177" s="22">
        <f t="shared" si="348"/>
        <v>0.0114221218961625</v>
      </c>
      <c r="AR177" s="25"/>
      <c r="AS177" s="25"/>
      <c r="AT177" s="24" t="s">
        <v>182</v>
      </c>
      <c r="AU177" s="22">
        <f t="shared" si="349"/>
        <v>0.0134241245136187</v>
      </c>
    </row>
    <row r="178" ht="15.5" spans="21:47"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</row>
    <row r="183" ht="15.5" spans="21:47">
      <c r="U183" s="20"/>
      <c r="V183" s="21" t="s">
        <v>173</v>
      </c>
      <c r="W183" s="20"/>
      <c r="X183" s="22"/>
      <c r="Y183" s="20"/>
      <c r="Z183" s="21" t="s">
        <v>173</v>
      </c>
      <c r="AA183" s="20"/>
      <c r="AB183" s="22"/>
      <c r="AC183" s="20"/>
      <c r="AD183" s="21" t="s">
        <v>173</v>
      </c>
      <c r="AE183" s="20"/>
      <c r="AF183" s="22"/>
      <c r="AG183" s="20"/>
      <c r="AH183" s="21" t="s">
        <v>173</v>
      </c>
      <c r="AI183" s="20"/>
      <c r="AJ183" s="22"/>
      <c r="AK183" s="20"/>
      <c r="AL183" s="21" t="s">
        <v>173</v>
      </c>
      <c r="AM183" s="20"/>
      <c r="AN183" s="22"/>
      <c r="AO183" s="20"/>
      <c r="AP183" s="21" t="s">
        <v>173</v>
      </c>
      <c r="AQ183" s="20"/>
      <c r="AR183" s="22"/>
      <c r="AS183" s="20"/>
      <c r="AT183" s="21" t="s">
        <v>173</v>
      </c>
      <c r="AU183" s="20"/>
    </row>
    <row r="184" ht="15.5" spans="21:47">
      <c r="U184" s="21" t="s">
        <v>45</v>
      </c>
      <c r="V184" s="21" t="s">
        <v>50</v>
      </c>
      <c r="W184" s="21" t="s">
        <v>25</v>
      </c>
      <c r="X184" s="22"/>
      <c r="Y184" s="21" t="s">
        <v>45</v>
      </c>
      <c r="Z184" s="21" t="s">
        <v>50</v>
      </c>
      <c r="AA184" s="21" t="s">
        <v>25</v>
      </c>
      <c r="AB184" s="22"/>
      <c r="AC184" s="21" t="s">
        <v>45</v>
      </c>
      <c r="AD184" s="21" t="s">
        <v>50</v>
      </c>
      <c r="AE184" s="21" t="s">
        <v>25</v>
      </c>
      <c r="AF184" s="22"/>
      <c r="AG184" s="21" t="s">
        <v>45</v>
      </c>
      <c r="AH184" s="21" t="s">
        <v>50</v>
      </c>
      <c r="AI184" s="21" t="s">
        <v>25</v>
      </c>
      <c r="AJ184" s="22"/>
      <c r="AK184" s="21" t="s">
        <v>45</v>
      </c>
      <c r="AL184" s="21" t="s">
        <v>50</v>
      </c>
      <c r="AM184" s="21" t="s">
        <v>25</v>
      </c>
      <c r="AN184" s="22"/>
      <c r="AO184" s="21" t="s">
        <v>45</v>
      </c>
      <c r="AP184" s="21" t="s">
        <v>50</v>
      </c>
      <c r="AQ184" s="21" t="s">
        <v>25</v>
      </c>
      <c r="AR184" s="22"/>
      <c r="AS184" s="21" t="s">
        <v>45</v>
      </c>
      <c r="AT184" s="21" t="s">
        <v>50</v>
      </c>
      <c r="AU184" s="21" t="s">
        <v>25</v>
      </c>
    </row>
    <row r="185" ht="15.5" spans="21:47">
      <c r="U185" s="22" t="s">
        <v>160</v>
      </c>
      <c r="V185" s="23" t="s">
        <v>60</v>
      </c>
      <c r="W185" s="22">
        <f t="shared" ref="W185:W188" si="350">W125</f>
        <v>0.00788276907529056</v>
      </c>
      <c r="X185" s="22"/>
      <c r="Y185" s="22" t="s">
        <v>161</v>
      </c>
      <c r="Z185" s="23" t="s">
        <v>60</v>
      </c>
      <c r="AA185" s="22">
        <f t="shared" ref="AA185:AA188" si="351">X125</f>
        <v>0.00764756201881948</v>
      </c>
      <c r="AB185" s="22"/>
      <c r="AC185" s="22" t="s">
        <v>162</v>
      </c>
      <c r="AD185" s="23" t="s">
        <v>60</v>
      </c>
      <c r="AE185" s="22">
        <f t="shared" ref="AE185:AE188" si="352">Y125</f>
        <v>0.00794618834080718</v>
      </c>
      <c r="AF185" s="22"/>
      <c r="AG185" s="22" t="s">
        <v>163</v>
      </c>
      <c r="AH185" s="23" t="s">
        <v>60</v>
      </c>
      <c r="AI185" s="22">
        <f t="shared" ref="AI185:AI188" si="353">Z125</f>
        <v>0.00794162244124336</v>
      </c>
      <c r="AJ185" s="22"/>
      <c r="AK185" s="22" t="s">
        <v>159</v>
      </c>
      <c r="AL185" s="23" t="s">
        <v>60</v>
      </c>
      <c r="AM185" s="22">
        <f t="shared" ref="AM185:AM188" si="354">AA125</f>
        <v>0.00801790042886445</v>
      </c>
      <c r="AN185" s="22"/>
      <c r="AO185" s="22" t="s">
        <v>158</v>
      </c>
      <c r="AP185" s="23" t="s">
        <v>60</v>
      </c>
      <c r="AQ185" s="22">
        <f t="shared" ref="AQ185:AQ188" si="355">AB125</f>
        <v>0.00666666666666667</v>
      </c>
      <c r="AR185" s="22"/>
      <c r="AS185" s="22" t="s">
        <v>157</v>
      </c>
      <c r="AT185" s="23" t="s">
        <v>60</v>
      </c>
      <c r="AU185" s="22">
        <f t="shared" ref="AU185:AU188" si="356">AC125</f>
        <v>0.00783516094800141</v>
      </c>
    </row>
    <row r="186" ht="16" spans="21:47">
      <c r="U186" s="22"/>
      <c r="V186" s="24" t="s">
        <v>181</v>
      </c>
      <c r="W186" s="22">
        <f t="shared" si="350"/>
        <v>0.02011116725619</v>
      </c>
      <c r="X186" s="22"/>
      <c r="Y186" s="22"/>
      <c r="Z186" s="24" t="s">
        <v>181</v>
      </c>
      <c r="AA186" s="22">
        <f t="shared" si="351"/>
        <v>0.0195038494439692</v>
      </c>
      <c r="AB186" s="22"/>
      <c r="AC186" s="22"/>
      <c r="AD186" s="24" t="s">
        <v>181</v>
      </c>
      <c r="AE186" s="22">
        <f t="shared" si="352"/>
        <v>0.0202152466367713</v>
      </c>
      <c r="AF186" s="22"/>
      <c r="AG186" s="22"/>
      <c r="AH186" s="24" t="s">
        <v>181</v>
      </c>
      <c r="AI186" s="22">
        <f t="shared" si="353"/>
        <v>0.0201099317664898</v>
      </c>
      <c r="AJ186" s="22"/>
      <c r="AK186" s="22"/>
      <c r="AL186" s="24" t="s">
        <v>181</v>
      </c>
      <c r="AM186" s="22">
        <f t="shared" si="354"/>
        <v>0.0203990303934365</v>
      </c>
      <c r="AN186" s="22"/>
      <c r="AO186" s="22"/>
      <c r="AP186" s="24" t="s">
        <v>181</v>
      </c>
      <c r="AQ186" s="22">
        <f t="shared" si="355"/>
        <v>0.0169601203912716</v>
      </c>
      <c r="AR186" s="22"/>
      <c r="AS186" s="22"/>
      <c r="AT186" s="24" t="s">
        <v>181</v>
      </c>
      <c r="AU186" s="22">
        <f t="shared" si="356"/>
        <v>0.0199327909444641</v>
      </c>
    </row>
    <row r="187" ht="16" spans="21:47">
      <c r="U187" s="22"/>
      <c r="V187" s="24" t="s">
        <v>68</v>
      </c>
      <c r="W187" s="22">
        <f t="shared" si="350"/>
        <v>0.0641232945932289</v>
      </c>
      <c r="X187" s="22"/>
      <c r="Y187" s="22"/>
      <c r="Z187" s="24" t="s">
        <v>68</v>
      </c>
      <c r="AA187" s="22">
        <f t="shared" si="351"/>
        <v>0.0633532934131737</v>
      </c>
      <c r="AB187" s="22"/>
      <c r="AC187" s="22"/>
      <c r="AD187" s="24" t="s">
        <v>68</v>
      </c>
      <c r="AE187" s="22">
        <f t="shared" si="352"/>
        <v>0.0659910313901345</v>
      </c>
      <c r="AF187" s="22"/>
      <c r="AG187" s="22"/>
      <c r="AH187" s="24" t="s">
        <v>68</v>
      </c>
      <c r="AI187" s="22">
        <f t="shared" si="353"/>
        <v>0.0673237300985595</v>
      </c>
      <c r="AJ187" s="22"/>
      <c r="AK187" s="22"/>
      <c r="AL187" s="24" t="s">
        <v>68</v>
      </c>
      <c r="AM187" s="22">
        <f t="shared" si="354"/>
        <v>0.0673690098825284</v>
      </c>
      <c r="AN187" s="22"/>
      <c r="AO187" s="22"/>
      <c r="AP187" s="24" t="s">
        <v>68</v>
      </c>
      <c r="AQ187" s="22">
        <f t="shared" si="355"/>
        <v>0.055364936042137</v>
      </c>
      <c r="AR187" s="22"/>
      <c r="AS187" s="22"/>
      <c r="AT187" s="24" t="s">
        <v>68</v>
      </c>
      <c r="AU187" s="22">
        <f t="shared" si="356"/>
        <v>0.0650689777148921</v>
      </c>
    </row>
    <row r="188" ht="16" spans="21:47">
      <c r="U188" s="25"/>
      <c r="V188" s="24" t="s">
        <v>182</v>
      </c>
      <c r="W188" s="22">
        <f t="shared" si="350"/>
        <v>0.0129695132221661</v>
      </c>
      <c r="X188" s="25"/>
      <c r="Y188" s="25"/>
      <c r="Z188" s="24" t="s">
        <v>182</v>
      </c>
      <c r="AA188" s="22">
        <f t="shared" si="351"/>
        <v>0.012814371257485</v>
      </c>
      <c r="AB188" s="25"/>
      <c r="AC188" s="25"/>
      <c r="AD188" s="24" t="s">
        <v>182</v>
      </c>
      <c r="AE188" s="22">
        <f t="shared" si="352"/>
        <v>0.0133452914798206</v>
      </c>
      <c r="AF188" s="25"/>
      <c r="AG188" s="25"/>
      <c r="AH188" s="24" t="s">
        <v>182</v>
      </c>
      <c r="AI188" s="22">
        <f t="shared" si="353"/>
        <v>0.0135898407884761</v>
      </c>
      <c r="AJ188" s="25"/>
      <c r="AK188" s="25"/>
      <c r="AL188" s="24" t="s">
        <v>182</v>
      </c>
      <c r="AM188" s="22">
        <f t="shared" si="354"/>
        <v>0.0136304307290695</v>
      </c>
      <c r="AN188" s="25"/>
      <c r="AO188" s="25"/>
      <c r="AP188" s="24" t="s">
        <v>182</v>
      </c>
      <c r="AQ188" s="22">
        <f t="shared" si="355"/>
        <v>0.011196388261851</v>
      </c>
      <c r="AR188" s="25"/>
      <c r="AS188" s="25"/>
      <c r="AT188" s="24" t="s">
        <v>182</v>
      </c>
      <c r="AU188" s="22">
        <f t="shared" si="356"/>
        <v>0.0131588256101875</v>
      </c>
    </row>
  </sheetData>
  <mergeCells count="64">
    <mergeCell ref="A1:J1"/>
    <mergeCell ref="AB1:AC1"/>
    <mergeCell ref="AZ1:BI1"/>
    <mergeCell ref="C2:J2"/>
    <mergeCell ref="BB2:BI2"/>
    <mergeCell ref="A21:J21"/>
    <mergeCell ref="AZ21:BI21"/>
    <mergeCell ref="C22:J22"/>
    <mergeCell ref="BB22:BI22"/>
    <mergeCell ref="A41:J41"/>
    <mergeCell ref="AZ41:BI41"/>
    <mergeCell ref="C42:J42"/>
    <mergeCell ref="BB42:BI42"/>
    <mergeCell ref="A2:A3"/>
    <mergeCell ref="A4:A8"/>
    <mergeCell ref="A9:A13"/>
    <mergeCell ref="A14:A18"/>
    <mergeCell ref="A22:A23"/>
    <mergeCell ref="A24:A28"/>
    <mergeCell ref="A29:A33"/>
    <mergeCell ref="A34:A38"/>
    <mergeCell ref="A42:A43"/>
    <mergeCell ref="A44:A48"/>
    <mergeCell ref="A49:A53"/>
    <mergeCell ref="A54:A58"/>
    <mergeCell ref="B2:B3"/>
    <mergeCell ref="B22:B23"/>
    <mergeCell ref="B42:B43"/>
    <mergeCell ref="U4:U8"/>
    <mergeCell ref="U9:U13"/>
    <mergeCell ref="U14:U18"/>
    <mergeCell ref="U24:U28"/>
    <mergeCell ref="U29:U33"/>
    <mergeCell ref="U34:U38"/>
    <mergeCell ref="U44:U48"/>
    <mergeCell ref="U49:U53"/>
    <mergeCell ref="U54:U58"/>
    <mergeCell ref="U73:U76"/>
    <mergeCell ref="U77:U80"/>
    <mergeCell ref="U81:U84"/>
    <mergeCell ref="U85:U88"/>
    <mergeCell ref="U93:U96"/>
    <mergeCell ref="U97:U100"/>
    <mergeCell ref="U101:U104"/>
    <mergeCell ref="U105:U108"/>
    <mergeCell ref="U113:U116"/>
    <mergeCell ref="U117:U120"/>
    <mergeCell ref="U121:U124"/>
    <mergeCell ref="U125:U128"/>
    <mergeCell ref="AZ2:AZ3"/>
    <mergeCell ref="AZ4:AZ8"/>
    <mergeCell ref="AZ9:AZ13"/>
    <mergeCell ref="AZ14:AZ18"/>
    <mergeCell ref="AZ22:AZ23"/>
    <mergeCell ref="AZ24:AZ28"/>
    <mergeCell ref="AZ29:AZ33"/>
    <mergeCell ref="AZ34:AZ38"/>
    <mergeCell ref="AZ42:AZ43"/>
    <mergeCell ref="AZ44:AZ48"/>
    <mergeCell ref="AZ49:AZ53"/>
    <mergeCell ref="AZ54:AZ58"/>
    <mergeCell ref="BA2:BA3"/>
    <mergeCell ref="BA22:BA23"/>
    <mergeCell ref="BA42:BA4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</sheetPr>
  <dimension ref="A1:BO188"/>
  <sheetViews>
    <sheetView zoomScale="54" zoomScaleNormal="54" topLeftCell="AG156" workbookViewId="0">
      <selection activeCell="T198" sqref="T198"/>
    </sheetView>
  </sheetViews>
  <sheetFormatPr defaultColWidth="8.72727272727273" defaultRowHeight="14.5"/>
  <cols>
    <col min="1" max="1" width="8.72727272727273" style="1"/>
    <col min="2" max="2" width="43.8181818181818" style="1" customWidth="1"/>
    <col min="3" max="20" width="8.72727272727273" style="1"/>
    <col min="21" max="21" width="19.2727272727273" style="1" customWidth="1"/>
    <col min="22" max="22" width="25.5454545454545" style="1" customWidth="1"/>
    <col min="23" max="23" width="19.9545454545455" style="1" customWidth="1"/>
    <col min="24" max="29" width="15.2727272727273" style="1"/>
    <col min="30" max="30" width="8.72727272727273" style="1"/>
    <col min="31" max="31" width="14" style="1"/>
    <col min="32" max="38" width="15.2727272727273" style="1"/>
    <col min="39" max="39" width="14" style="1"/>
    <col min="40" max="40" width="8.72727272727273" style="1"/>
    <col min="41" max="47" width="15.2727272727273" style="1"/>
    <col min="48" max="48" width="8.72727272727273" style="1"/>
    <col min="49" max="49" width="14" style="1"/>
    <col min="50" max="67" width="8.72727272727273" style="1"/>
  </cols>
  <sheetData>
    <row r="1" ht="15.5" spans="1:67">
      <c r="A1" s="2" t="s">
        <v>204</v>
      </c>
      <c r="B1" s="2"/>
      <c r="C1" s="2"/>
      <c r="D1" s="2"/>
      <c r="E1" s="2"/>
      <c r="F1" s="2"/>
      <c r="G1" s="2"/>
      <c r="H1" s="2"/>
      <c r="I1" s="2"/>
      <c r="J1" s="2"/>
      <c r="K1" s="4"/>
      <c r="L1" s="4" t="s">
        <v>205</v>
      </c>
      <c r="M1" s="4"/>
      <c r="N1" s="4"/>
      <c r="O1" s="4"/>
      <c r="P1" s="4"/>
      <c r="Q1" s="4"/>
      <c r="R1" s="4"/>
      <c r="S1" s="4"/>
      <c r="T1" s="4"/>
      <c r="U1" s="4"/>
      <c r="V1" s="4"/>
      <c r="W1" s="4" t="s">
        <v>206</v>
      </c>
      <c r="X1" s="4"/>
      <c r="Y1" s="4"/>
      <c r="Z1" s="4"/>
      <c r="AA1" s="4"/>
      <c r="AB1" s="13" t="s">
        <v>207</v>
      </c>
      <c r="AC1" s="13"/>
      <c r="AD1" s="4"/>
      <c r="AE1" s="4"/>
      <c r="AF1" s="4" t="s">
        <v>208</v>
      </c>
      <c r="AG1" s="4"/>
      <c r="AH1" s="4"/>
      <c r="AI1" s="4"/>
      <c r="AJ1" s="4"/>
      <c r="AK1" s="4"/>
      <c r="AL1" s="4"/>
      <c r="AM1" s="4"/>
      <c r="AN1" s="4"/>
      <c r="AO1" s="4" t="s">
        <v>209</v>
      </c>
      <c r="AP1" s="4"/>
      <c r="AQ1" s="4"/>
      <c r="AR1" s="4"/>
      <c r="AS1" s="4"/>
      <c r="AT1" s="4"/>
      <c r="AU1" s="4"/>
      <c r="AZ1" s="2" t="s">
        <v>204</v>
      </c>
      <c r="BA1" s="2"/>
      <c r="BB1" s="2"/>
      <c r="BC1" s="2"/>
      <c r="BD1" s="2"/>
      <c r="BE1" s="2"/>
      <c r="BF1" s="2"/>
      <c r="BG1" s="2"/>
      <c r="BH1" s="2"/>
      <c r="BI1" s="2"/>
      <c r="BJ1" s="4"/>
      <c r="BK1" s="4"/>
      <c r="BL1" s="4"/>
      <c r="BM1" s="4"/>
      <c r="BN1" s="4"/>
      <c r="BO1" s="4"/>
    </row>
    <row r="2" ht="30" spans="1:67">
      <c r="A2" s="2" t="s">
        <v>184</v>
      </c>
      <c r="B2" s="2" t="s">
        <v>210</v>
      </c>
      <c r="C2" s="2" t="s">
        <v>186</v>
      </c>
      <c r="D2" s="2"/>
      <c r="E2" s="2"/>
      <c r="F2" s="2"/>
      <c r="G2" s="2"/>
      <c r="H2" s="2"/>
      <c r="I2" s="2"/>
      <c r="J2" s="2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" t="s">
        <v>211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Z2" s="2" t="s">
        <v>184</v>
      </c>
      <c r="BA2" s="2" t="s">
        <v>210</v>
      </c>
      <c r="BB2" s="2" t="s">
        <v>186</v>
      </c>
      <c r="BC2" s="2"/>
      <c r="BD2" s="2"/>
      <c r="BE2" s="2"/>
      <c r="BF2" s="2"/>
      <c r="BG2" s="2"/>
      <c r="BH2" s="2"/>
      <c r="BI2" s="2"/>
      <c r="BJ2" s="4"/>
      <c r="BK2" s="4"/>
      <c r="BL2" s="4"/>
      <c r="BM2" s="4"/>
      <c r="BN2" s="4"/>
      <c r="BO2" s="4"/>
    </row>
    <row r="3" ht="30" spans="1:67">
      <c r="A3" s="2"/>
      <c r="B3" s="2"/>
      <c r="C3" s="3" t="s">
        <v>187</v>
      </c>
      <c r="D3" s="4" t="s">
        <v>188</v>
      </c>
      <c r="E3" s="4" t="s">
        <v>189</v>
      </c>
      <c r="F3" s="5" t="s">
        <v>190</v>
      </c>
      <c r="G3" s="4" t="s">
        <v>191</v>
      </c>
      <c r="H3" s="4" t="s">
        <v>192</v>
      </c>
      <c r="I3" s="4" t="s">
        <v>193</v>
      </c>
      <c r="J3" s="4" t="s">
        <v>194</v>
      </c>
      <c r="K3" s="4"/>
      <c r="L3" s="8" t="s">
        <v>187</v>
      </c>
      <c r="M3" s="4" t="s">
        <v>188</v>
      </c>
      <c r="N3" s="4" t="s">
        <v>189</v>
      </c>
      <c r="O3" s="4" t="s">
        <v>190</v>
      </c>
      <c r="P3" s="4" t="s">
        <v>191</v>
      </c>
      <c r="Q3" s="4" t="s">
        <v>192</v>
      </c>
      <c r="R3" s="4" t="s">
        <v>193</v>
      </c>
      <c r="S3" s="4" t="s">
        <v>194</v>
      </c>
      <c r="T3" s="4"/>
      <c r="U3" s="4"/>
      <c r="V3" s="11" t="s">
        <v>212</v>
      </c>
      <c r="W3" s="4" t="s">
        <v>188</v>
      </c>
      <c r="X3" s="4" t="s">
        <v>189</v>
      </c>
      <c r="Y3" s="5" t="s">
        <v>190</v>
      </c>
      <c r="Z3" s="4" t="s">
        <v>191</v>
      </c>
      <c r="AA3" s="4" t="s">
        <v>192</v>
      </c>
      <c r="AB3" s="14" t="s">
        <v>193</v>
      </c>
      <c r="AC3" s="14" t="s">
        <v>194</v>
      </c>
      <c r="AD3" s="4"/>
      <c r="AE3" s="4"/>
      <c r="AF3" s="4" t="s">
        <v>188</v>
      </c>
      <c r="AG3" s="4" t="s">
        <v>189</v>
      </c>
      <c r="AH3" s="5" t="s">
        <v>190</v>
      </c>
      <c r="AI3" s="4" t="s">
        <v>191</v>
      </c>
      <c r="AJ3" s="4" t="s">
        <v>192</v>
      </c>
      <c r="AK3" s="14" t="s">
        <v>193</v>
      </c>
      <c r="AL3" s="14" t="s">
        <v>194</v>
      </c>
      <c r="AM3" s="4"/>
      <c r="AN3" s="4"/>
      <c r="AO3" s="4" t="s">
        <v>188</v>
      </c>
      <c r="AP3" s="4" t="s">
        <v>189</v>
      </c>
      <c r="AQ3" s="5" t="s">
        <v>190</v>
      </c>
      <c r="AR3" s="4" t="s">
        <v>191</v>
      </c>
      <c r="AS3" s="4" t="s">
        <v>192</v>
      </c>
      <c r="AT3" s="14" t="s">
        <v>193</v>
      </c>
      <c r="AU3" s="14" t="s">
        <v>194</v>
      </c>
      <c r="AZ3" s="2"/>
      <c r="BA3" s="2"/>
      <c r="BB3" s="3" t="s">
        <v>187</v>
      </c>
      <c r="BC3" s="4" t="s">
        <v>188</v>
      </c>
      <c r="BD3" s="4" t="s">
        <v>189</v>
      </c>
      <c r="BE3" s="5" t="s">
        <v>190</v>
      </c>
      <c r="BF3" s="4" t="s">
        <v>191</v>
      </c>
      <c r="BG3" s="4" t="s">
        <v>192</v>
      </c>
      <c r="BH3" s="4" t="s">
        <v>193</v>
      </c>
      <c r="BI3" s="4" t="s">
        <v>194</v>
      </c>
      <c r="BJ3" s="4"/>
      <c r="BK3" s="8"/>
      <c r="BL3" s="4"/>
      <c r="BM3" s="4"/>
      <c r="BN3" s="4"/>
      <c r="BO3" s="4"/>
    </row>
    <row r="4" ht="15.5" spans="1:67">
      <c r="A4" s="2" t="s">
        <v>195</v>
      </c>
      <c r="B4" s="6" t="s">
        <v>196</v>
      </c>
      <c r="C4" s="7">
        <f t="shared" ref="C4:J4" si="0">BB4/1000</f>
        <v>0.8374</v>
      </c>
      <c r="D4" s="7">
        <f t="shared" si="0"/>
        <v>0.8081</v>
      </c>
      <c r="E4" s="7">
        <f t="shared" si="0"/>
        <v>0.7705</v>
      </c>
      <c r="F4" s="7">
        <f t="shared" si="0"/>
        <v>0.76</v>
      </c>
      <c r="G4" s="7">
        <f t="shared" si="0"/>
        <v>0.7551</v>
      </c>
      <c r="H4" s="7">
        <f t="shared" si="0"/>
        <v>0.796</v>
      </c>
      <c r="I4" s="7">
        <f t="shared" si="0"/>
        <v>0.76</v>
      </c>
      <c r="J4" s="7">
        <f t="shared" si="0"/>
        <v>0.76</v>
      </c>
      <c r="K4" s="4"/>
      <c r="L4" s="8"/>
      <c r="M4" s="9">
        <v>5.937</v>
      </c>
      <c r="N4" s="9">
        <v>5.845</v>
      </c>
      <c r="O4" s="9">
        <v>5.575</v>
      </c>
      <c r="P4" s="9">
        <v>5.276</v>
      </c>
      <c r="Q4" s="9">
        <v>5.363</v>
      </c>
      <c r="R4" s="9">
        <v>6.645</v>
      </c>
      <c r="S4" s="9">
        <v>5.654</v>
      </c>
      <c r="T4" s="9"/>
      <c r="U4" s="2" t="s">
        <v>195</v>
      </c>
      <c r="V4" s="6" t="s">
        <v>196</v>
      </c>
      <c r="W4" s="12">
        <f t="shared" ref="W4:AC4" si="1">D4/M4</f>
        <v>0.136112514738083</v>
      </c>
      <c r="X4" s="12">
        <f t="shared" si="1"/>
        <v>0.131822070145423</v>
      </c>
      <c r="Y4" s="12">
        <f t="shared" si="1"/>
        <v>0.136322869955157</v>
      </c>
      <c r="Z4" s="12">
        <f t="shared" si="1"/>
        <v>0.143119787717968</v>
      </c>
      <c r="AA4" s="12">
        <f t="shared" si="1"/>
        <v>0.148424389334328</v>
      </c>
      <c r="AB4" s="15">
        <f t="shared" si="1"/>
        <v>0.114371708051166</v>
      </c>
      <c r="AC4" s="15">
        <f t="shared" si="1"/>
        <v>0.134418111071808</v>
      </c>
      <c r="AD4" s="4"/>
      <c r="AE4" s="4"/>
      <c r="AF4" s="12">
        <f t="shared" ref="AF4:AJ4" si="2">W4</f>
        <v>0.136112514738083</v>
      </c>
      <c r="AG4" s="12">
        <f t="shared" si="2"/>
        <v>0.131822070145423</v>
      </c>
      <c r="AH4" s="12">
        <f t="shared" si="2"/>
        <v>0.136322869955157</v>
      </c>
      <c r="AI4" s="12">
        <f t="shared" si="2"/>
        <v>0.143119787717968</v>
      </c>
      <c r="AJ4" s="12">
        <f t="shared" si="2"/>
        <v>0.148424389334328</v>
      </c>
      <c r="AK4" s="16">
        <f t="shared" ref="AK4:AK18" si="3">AB4*1.15</f>
        <v>0.131527464258841</v>
      </c>
      <c r="AL4" s="16">
        <f t="shared" ref="AL4:AL18" si="4">AC4*1.15</f>
        <v>0.154580827732579</v>
      </c>
      <c r="AM4" s="4"/>
      <c r="AN4" s="4"/>
      <c r="AO4" s="12">
        <f t="shared" ref="AO4:AS4" si="5">W4</f>
        <v>0.136112514738083</v>
      </c>
      <c r="AP4" s="12">
        <f t="shared" si="5"/>
        <v>0.131822070145423</v>
      </c>
      <c r="AQ4" s="12">
        <f t="shared" si="5"/>
        <v>0.136322869955157</v>
      </c>
      <c r="AR4" s="12">
        <f t="shared" si="5"/>
        <v>0.143119787717968</v>
      </c>
      <c r="AS4" s="12">
        <f t="shared" si="5"/>
        <v>0.148424389334328</v>
      </c>
      <c r="AT4" s="16">
        <f t="shared" ref="AT4:AT18" si="6">AB4*0.85</f>
        <v>0.0972159518434914</v>
      </c>
      <c r="AU4" s="16">
        <f t="shared" ref="AU4:AU18" si="7">AC4*0.85</f>
        <v>0.114255394411036</v>
      </c>
      <c r="AZ4" s="2" t="s">
        <v>195</v>
      </c>
      <c r="BA4" s="6" t="s">
        <v>196</v>
      </c>
      <c r="BB4" s="7">
        <v>837.4</v>
      </c>
      <c r="BC4" s="12">
        <v>808.1</v>
      </c>
      <c r="BD4" s="12">
        <v>770.5</v>
      </c>
      <c r="BE4" s="12">
        <v>760</v>
      </c>
      <c r="BF4" s="12">
        <v>755.1</v>
      </c>
      <c r="BG4" s="12">
        <v>796</v>
      </c>
      <c r="BH4" s="12">
        <v>760</v>
      </c>
      <c r="BI4" s="12">
        <v>760</v>
      </c>
      <c r="BJ4" s="4"/>
      <c r="BK4" s="8"/>
      <c r="BL4" s="9"/>
      <c r="BM4" s="9"/>
      <c r="BN4" s="9"/>
      <c r="BO4" s="9"/>
    </row>
    <row r="5" ht="15.5" spans="1:67">
      <c r="A5" s="2"/>
      <c r="B5" s="6" t="s">
        <v>197</v>
      </c>
      <c r="C5" s="7">
        <f t="shared" ref="C5:J5" si="8">BB5/1000</f>
        <v>0.7701</v>
      </c>
      <c r="D5" s="7">
        <f t="shared" si="8"/>
        <v>0.7457</v>
      </c>
      <c r="E5" s="7">
        <f t="shared" si="8"/>
        <v>0.7115</v>
      </c>
      <c r="F5" s="7">
        <f t="shared" si="8"/>
        <v>0.7021</v>
      </c>
      <c r="G5" s="7">
        <f t="shared" si="8"/>
        <v>0.6948</v>
      </c>
      <c r="H5" s="7">
        <f t="shared" si="8"/>
        <v>0.7338</v>
      </c>
      <c r="I5" s="7">
        <f t="shared" si="8"/>
        <v>0.7021</v>
      </c>
      <c r="J5" s="7">
        <f t="shared" si="8"/>
        <v>0.7021</v>
      </c>
      <c r="K5" s="4"/>
      <c r="L5" s="4"/>
      <c r="M5" s="10">
        <v>5.937</v>
      </c>
      <c r="N5" s="10">
        <v>5.845</v>
      </c>
      <c r="O5" s="10">
        <v>5.575</v>
      </c>
      <c r="P5" s="10">
        <v>5.276</v>
      </c>
      <c r="Q5" s="10">
        <v>5.363</v>
      </c>
      <c r="R5" s="10">
        <v>6.645</v>
      </c>
      <c r="S5" s="10">
        <v>5.654</v>
      </c>
      <c r="T5" s="10"/>
      <c r="U5" s="2"/>
      <c r="V5" s="6" t="s">
        <v>197</v>
      </c>
      <c r="W5" s="12">
        <f t="shared" ref="W5:AC5" si="9">D5/M5</f>
        <v>0.125602155971029</v>
      </c>
      <c r="X5" s="12">
        <f t="shared" si="9"/>
        <v>0.121727972626176</v>
      </c>
      <c r="Y5" s="12">
        <f t="shared" si="9"/>
        <v>0.125937219730942</v>
      </c>
      <c r="Z5" s="12">
        <f t="shared" si="9"/>
        <v>0.131690674753601</v>
      </c>
      <c r="AA5" s="12">
        <f t="shared" si="9"/>
        <v>0.136826403132575</v>
      </c>
      <c r="AB5" s="15">
        <f t="shared" si="9"/>
        <v>0.105658389766742</v>
      </c>
      <c r="AC5" s="15">
        <f t="shared" si="9"/>
        <v>0.124177573399363</v>
      </c>
      <c r="AD5" s="4"/>
      <c r="AE5" s="4"/>
      <c r="AF5" s="12">
        <f t="shared" ref="AF5:AJ5" si="10">W5</f>
        <v>0.125602155971029</v>
      </c>
      <c r="AG5" s="12">
        <f t="shared" si="10"/>
        <v>0.121727972626176</v>
      </c>
      <c r="AH5" s="12">
        <f t="shared" si="10"/>
        <v>0.125937219730942</v>
      </c>
      <c r="AI5" s="12">
        <f t="shared" si="10"/>
        <v>0.131690674753601</v>
      </c>
      <c r="AJ5" s="12">
        <f t="shared" si="10"/>
        <v>0.136826403132575</v>
      </c>
      <c r="AK5" s="16">
        <f t="shared" si="3"/>
        <v>0.121507148231753</v>
      </c>
      <c r="AL5" s="16">
        <f t="shared" si="4"/>
        <v>0.142804209409268</v>
      </c>
      <c r="AM5" s="4"/>
      <c r="AN5" s="4"/>
      <c r="AO5" s="12">
        <f t="shared" ref="AO5:AS5" si="11">W5</f>
        <v>0.125602155971029</v>
      </c>
      <c r="AP5" s="12">
        <f t="shared" si="11"/>
        <v>0.121727972626176</v>
      </c>
      <c r="AQ5" s="12">
        <f t="shared" si="11"/>
        <v>0.125937219730942</v>
      </c>
      <c r="AR5" s="12">
        <f t="shared" si="11"/>
        <v>0.131690674753601</v>
      </c>
      <c r="AS5" s="12">
        <f t="shared" si="11"/>
        <v>0.136826403132575</v>
      </c>
      <c r="AT5" s="16">
        <f t="shared" si="6"/>
        <v>0.0898096313017306</v>
      </c>
      <c r="AU5" s="16">
        <f t="shared" si="7"/>
        <v>0.105550937389459</v>
      </c>
      <c r="AZ5" s="2"/>
      <c r="BA5" s="6" t="s">
        <v>197</v>
      </c>
      <c r="BB5" s="7">
        <v>770.1</v>
      </c>
      <c r="BC5" s="12">
        <v>745.7</v>
      </c>
      <c r="BD5" s="12">
        <v>711.5</v>
      </c>
      <c r="BE5" s="12">
        <v>702.1</v>
      </c>
      <c r="BF5" s="12">
        <v>694.8</v>
      </c>
      <c r="BG5" s="12">
        <v>733.8</v>
      </c>
      <c r="BH5" s="12">
        <v>702.1</v>
      </c>
      <c r="BI5" s="12">
        <v>702.1</v>
      </c>
      <c r="BJ5" s="4"/>
      <c r="BK5" s="4"/>
      <c r="BL5" s="10"/>
      <c r="BM5" s="10"/>
      <c r="BN5" s="10"/>
      <c r="BO5" s="10"/>
    </row>
    <row r="6" ht="15.5" spans="1:67">
      <c r="A6" s="2"/>
      <c r="B6" s="6" t="s">
        <v>198</v>
      </c>
      <c r="C6" s="7">
        <f t="shared" ref="C6:J6" si="12">BB6/1000</f>
        <v>0.1986</v>
      </c>
      <c r="D6" s="7">
        <f t="shared" si="12"/>
        <v>0.1717</v>
      </c>
      <c r="E6" s="7">
        <f t="shared" si="12"/>
        <v>0.1611</v>
      </c>
      <c r="F6" s="7">
        <f t="shared" si="12"/>
        <v>0.1579</v>
      </c>
      <c r="G6" s="7">
        <f t="shared" si="12"/>
        <v>0.1521</v>
      </c>
      <c r="H6" s="7">
        <f t="shared" si="12"/>
        <v>0.1588</v>
      </c>
      <c r="I6" s="7">
        <f t="shared" si="12"/>
        <v>0.1579</v>
      </c>
      <c r="J6" s="7">
        <f t="shared" si="12"/>
        <v>0.1579</v>
      </c>
      <c r="K6" s="4"/>
      <c r="L6" s="4"/>
      <c r="M6" s="10">
        <v>5.937</v>
      </c>
      <c r="N6" s="10">
        <v>5.845</v>
      </c>
      <c r="O6" s="10">
        <v>5.575</v>
      </c>
      <c r="P6" s="10">
        <v>5.276</v>
      </c>
      <c r="Q6" s="10">
        <v>5.363</v>
      </c>
      <c r="R6" s="10">
        <v>6.645</v>
      </c>
      <c r="S6" s="10">
        <v>5.654</v>
      </c>
      <c r="T6" s="10"/>
      <c r="U6" s="2"/>
      <c r="V6" s="6" t="s">
        <v>198</v>
      </c>
      <c r="W6" s="12">
        <f t="shared" ref="W6:AC6" si="13">D6/M6</f>
        <v>0.0289203301330638</v>
      </c>
      <c r="X6" s="12">
        <f t="shared" si="13"/>
        <v>0.0275620188195039</v>
      </c>
      <c r="Y6" s="12">
        <f t="shared" si="13"/>
        <v>0.028322869955157</v>
      </c>
      <c r="Z6" s="12">
        <f t="shared" si="13"/>
        <v>0.0288286580742987</v>
      </c>
      <c r="AA6" s="12">
        <f t="shared" si="13"/>
        <v>0.0296102927465971</v>
      </c>
      <c r="AB6" s="15">
        <f t="shared" si="13"/>
        <v>0.0237622272385252</v>
      </c>
      <c r="AC6" s="15">
        <f t="shared" si="13"/>
        <v>0.0279271312345242</v>
      </c>
      <c r="AD6" s="4"/>
      <c r="AE6" s="4"/>
      <c r="AF6" s="12">
        <f t="shared" ref="AF6:AJ6" si="14">W6</f>
        <v>0.0289203301330638</v>
      </c>
      <c r="AG6" s="12">
        <f t="shared" si="14"/>
        <v>0.0275620188195039</v>
      </c>
      <c r="AH6" s="12">
        <f t="shared" si="14"/>
        <v>0.028322869955157</v>
      </c>
      <c r="AI6" s="12">
        <f t="shared" si="14"/>
        <v>0.0288286580742987</v>
      </c>
      <c r="AJ6" s="12">
        <f t="shared" si="14"/>
        <v>0.0296102927465971</v>
      </c>
      <c r="AK6" s="16">
        <f t="shared" si="3"/>
        <v>0.027326561324304</v>
      </c>
      <c r="AL6" s="16">
        <f t="shared" si="4"/>
        <v>0.0321162009197029</v>
      </c>
      <c r="AM6" s="4"/>
      <c r="AN6" s="4"/>
      <c r="AO6" s="12">
        <f t="shared" ref="AO6:AS6" si="15">W6</f>
        <v>0.0289203301330638</v>
      </c>
      <c r="AP6" s="12">
        <f t="shared" si="15"/>
        <v>0.0275620188195039</v>
      </c>
      <c r="AQ6" s="12">
        <f t="shared" si="15"/>
        <v>0.028322869955157</v>
      </c>
      <c r="AR6" s="12">
        <f t="shared" si="15"/>
        <v>0.0288286580742987</v>
      </c>
      <c r="AS6" s="12">
        <f t="shared" si="15"/>
        <v>0.0296102927465971</v>
      </c>
      <c r="AT6" s="16">
        <f t="shared" si="6"/>
        <v>0.0201978931527464</v>
      </c>
      <c r="AU6" s="16">
        <f t="shared" si="7"/>
        <v>0.0237380615493456</v>
      </c>
      <c r="AZ6" s="2"/>
      <c r="BA6" s="6" t="s">
        <v>198</v>
      </c>
      <c r="BB6" s="7">
        <v>198.6</v>
      </c>
      <c r="BC6" s="12">
        <v>171.7</v>
      </c>
      <c r="BD6" s="12">
        <v>161.1</v>
      </c>
      <c r="BE6" s="12">
        <v>157.9</v>
      </c>
      <c r="BF6" s="12">
        <v>152.1</v>
      </c>
      <c r="BG6" s="12">
        <v>158.8</v>
      </c>
      <c r="BH6" s="12">
        <v>157.9</v>
      </c>
      <c r="BI6" s="12">
        <v>157.9</v>
      </c>
      <c r="BJ6" s="4"/>
      <c r="BK6" s="4"/>
      <c r="BL6" s="10"/>
      <c r="BM6" s="10"/>
      <c r="BN6" s="10"/>
      <c r="BO6" s="10"/>
    </row>
    <row r="7" ht="15.5" spans="1:67">
      <c r="A7" s="2"/>
      <c r="B7" s="6" t="s">
        <v>199</v>
      </c>
      <c r="C7" s="7">
        <f t="shared" ref="C7:J7" si="16">BB7/1000</f>
        <v>0.487</v>
      </c>
      <c r="D7" s="7">
        <f t="shared" si="16"/>
        <v>0.4967</v>
      </c>
      <c r="E7" s="7">
        <f t="shared" si="16"/>
        <v>0.4758</v>
      </c>
      <c r="F7" s="7">
        <f t="shared" si="16"/>
        <v>0.4705</v>
      </c>
      <c r="G7" s="7">
        <f t="shared" si="16"/>
        <v>0.4665</v>
      </c>
      <c r="H7" s="7">
        <f t="shared" si="16"/>
        <v>0.496</v>
      </c>
      <c r="I7" s="7">
        <f t="shared" si="16"/>
        <v>0.4705</v>
      </c>
      <c r="J7" s="7">
        <f t="shared" si="16"/>
        <v>0.4705</v>
      </c>
      <c r="K7" s="4"/>
      <c r="L7" s="4"/>
      <c r="M7" s="10">
        <v>5.937</v>
      </c>
      <c r="N7" s="10">
        <v>5.845</v>
      </c>
      <c r="O7" s="10">
        <v>5.575</v>
      </c>
      <c r="P7" s="10">
        <v>5.276</v>
      </c>
      <c r="Q7" s="10">
        <v>5.363</v>
      </c>
      <c r="R7" s="10">
        <v>6.645</v>
      </c>
      <c r="S7" s="10">
        <v>5.654</v>
      </c>
      <c r="T7" s="10"/>
      <c r="U7" s="2"/>
      <c r="V7" s="6" t="s">
        <v>199</v>
      </c>
      <c r="W7" s="12">
        <f t="shared" ref="W7:AC7" si="17">D7/M7</f>
        <v>0.0836617820448038</v>
      </c>
      <c r="X7" s="12">
        <f t="shared" si="17"/>
        <v>0.0814029084687767</v>
      </c>
      <c r="Y7" s="12">
        <f t="shared" si="17"/>
        <v>0.0843946188340807</v>
      </c>
      <c r="Z7" s="12">
        <f t="shared" si="17"/>
        <v>0.0884192570128886</v>
      </c>
      <c r="AA7" s="12">
        <f t="shared" si="17"/>
        <v>0.092485549132948</v>
      </c>
      <c r="AB7" s="15">
        <f t="shared" si="17"/>
        <v>0.0708051166290444</v>
      </c>
      <c r="AC7" s="15">
        <f t="shared" si="17"/>
        <v>0.0832154227095861</v>
      </c>
      <c r="AD7" s="4"/>
      <c r="AE7" s="4"/>
      <c r="AF7" s="12">
        <f t="shared" ref="AF7:AJ7" si="18">W7</f>
        <v>0.0836617820448038</v>
      </c>
      <c r="AG7" s="12">
        <f t="shared" si="18"/>
        <v>0.0814029084687767</v>
      </c>
      <c r="AH7" s="12">
        <f t="shared" si="18"/>
        <v>0.0843946188340807</v>
      </c>
      <c r="AI7" s="12">
        <f t="shared" si="18"/>
        <v>0.0884192570128886</v>
      </c>
      <c r="AJ7" s="12">
        <f t="shared" si="18"/>
        <v>0.092485549132948</v>
      </c>
      <c r="AK7" s="16">
        <f t="shared" si="3"/>
        <v>0.0814258841234011</v>
      </c>
      <c r="AL7" s="16">
        <f t="shared" si="4"/>
        <v>0.0956977361160241</v>
      </c>
      <c r="AM7" s="4"/>
      <c r="AN7" s="4"/>
      <c r="AO7" s="12">
        <f t="shared" ref="AO7:AS7" si="19">W7</f>
        <v>0.0836617820448038</v>
      </c>
      <c r="AP7" s="12">
        <f t="shared" si="19"/>
        <v>0.0814029084687767</v>
      </c>
      <c r="AQ7" s="12">
        <f t="shared" si="19"/>
        <v>0.0843946188340807</v>
      </c>
      <c r="AR7" s="12">
        <f t="shared" si="19"/>
        <v>0.0884192570128886</v>
      </c>
      <c r="AS7" s="12">
        <f t="shared" si="19"/>
        <v>0.092485549132948</v>
      </c>
      <c r="AT7" s="16">
        <f t="shared" si="6"/>
        <v>0.0601843491346877</v>
      </c>
      <c r="AU7" s="16">
        <f t="shared" si="7"/>
        <v>0.0707331093031482</v>
      </c>
      <c r="AZ7" s="2"/>
      <c r="BA7" s="6" t="s">
        <v>199</v>
      </c>
      <c r="BB7" s="7">
        <v>487</v>
      </c>
      <c r="BC7" s="12">
        <v>496.7</v>
      </c>
      <c r="BD7" s="12">
        <v>475.8</v>
      </c>
      <c r="BE7" s="12">
        <v>470.5</v>
      </c>
      <c r="BF7" s="12">
        <v>466.5</v>
      </c>
      <c r="BG7" s="12">
        <v>496</v>
      </c>
      <c r="BH7" s="12">
        <v>470.5</v>
      </c>
      <c r="BI7" s="12">
        <v>470.5</v>
      </c>
      <c r="BJ7" s="4"/>
      <c r="BK7" s="4"/>
      <c r="BL7" s="10"/>
      <c r="BM7" s="10"/>
      <c r="BN7" s="10"/>
      <c r="BO7" s="10"/>
    </row>
    <row r="8" ht="15.5" spans="1:67">
      <c r="A8" s="2"/>
      <c r="B8" s="6" t="s">
        <v>200</v>
      </c>
      <c r="C8" s="7">
        <f t="shared" ref="C8:J8" si="20">BB8/1000</f>
        <v>0.0845</v>
      </c>
      <c r="D8" s="7">
        <f t="shared" si="20"/>
        <v>0.0773</v>
      </c>
      <c r="E8" s="7">
        <f t="shared" si="20"/>
        <v>0.0745</v>
      </c>
      <c r="F8" s="7">
        <f t="shared" si="20"/>
        <v>0.0736</v>
      </c>
      <c r="G8" s="7">
        <f t="shared" si="20"/>
        <v>0.0761</v>
      </c>
      <c r="H8" s="7">
        <f t="shared" si="20"/>
        <v>0.0789</v>
      </c>
      <c r="I8" s="7">
        <f t="shared" si="20"/>
        <v>0.0736</v>
      </c>
      <c r="J8" s="7">
        <f t="shared" si="20"/>
        <v>0.0736</v>
      </c>
      <c r="K8" s="4"/>
      <c r="L8" s="4"/>
      <c r="M8" s="10">
        <v>5.937</v>
      </c>
      <c r="N8" s="10">
        <v>5.845</v>
      </c>
      <c r="O8" s="10">
        <v>5.575</v>
      </c>
      <c r="P8" s="10">
        <v>5.276</v>
      </c>
      <c r="Q8" s="10">
        <v>5.363</v>
      </c>
      <c r="R8" s="10">
        <v>6.645</v>
      </c>
      <c r="S8" s="10">
        <v>5.654</v>
      </c>
      <c r="T8" s="10"/>
      <c r="U8" s="2"/>
      <c r="V8" s="6" t="s">
        <v>200</v>
      </c>
      <c r="W8" s="12">
        <f t="shared" ref="W8:AC8" si="21">D8/M8</f>
        <v>0.0130200437931615</v>
      </c>
      <c r="X8" s="12">
        <f t="shared" si="21"/>
        <v>0.0127459366980325</v>
      </c>
      <c r="Y8" s="12">
        <f t="shared" si="21"/>
        <v>0.0132017937219731</v>
      </c>
      <c r="Z8" s="12">
        <f t="shared" si="21"/>
        <v>0.0144238059135709</v>
      </c>
      <c r="AA8" s="12">
        <f t="shared" si="21"/>
        <v>0.0147119149729629</v>
      </c>
      <c r="AB8" s="15">
        <f t="shared" si="21"/>
        <v>0.0110759969902182</v>
      </c>
      <c r="AC8" s="15">
        <f t="shared" si="21"/>
        <v>0.0130173328616908</v>
      </c>
      <c r="AD8" s="4"/>
      <c r="AE8" s="4"/>
      <c r="AF8" s="12">
        <f t="shared" ref="AF8:AJ8" si="22">W8</f>
        <v>0.0130200437931615</v>
      </c>
      <c r="AG8" s="12">
        <f t="shared" si="22"/>
        <v>0.0127459366980325</v>
      </c>
      <c r="AH8" s="12">
        <f t="shared" si="22"/>
        <v>0.0132017937219731</v>
      </c>
      <c r="AI8" s="12">
        <f t="shared" si="22"/>
        <v>0.0144238059135709</v>
      </c>
      <c r="AJ8" s="12">
        <f t="shared" si="22"/>
        <v>0.0147119149729629</v>
      </c>
      <c r="AK8" s="16">
        <f t="shared" si="3"/>
        <v>0.0127373965387509</v>
      </c>
      <c r="AL8" s="16">
        <f t="shared" si="4"/>
        <v>0.0149699327909445</v>
      </c>
      <c r="AM8" s="4"/>
      <c r="AN8" s="4"/>
      <c r="AO8" s="12">
        <f t="shared" ref="AO8:AS8" si="23">W8</f>
        <v>0.0130200437931615</v>
      </c>
      <c r="AP8" s="12">
        <f t="shared" si="23"/>
        <v>0.0127459366980325</v>
      </c>
      <c r="AQ8" s="12">
        <f t="shared" si="23"/>
        <v>0.0132017937219731</v>
      </c>
      <c r="AR8" s="12">
        <f t="shared" si="23"/>
        <v>0.0144238059135709</v>
      </c>
      <c r="AS8" s="12">
        <f t="shared" si="23"/>
        <v>0.0147119149729629</v>
      </c>
      <c r="AT8" s="16">
        <f t="shared" si="6"/>
        <v>0.00941459744168548</v>
      </c>
      <c r="AU8" s="16">
        <f t="shared" si="7"/>
        <v>0.0110647329324372</v>
      </c>
      <c r="AZ8" s="2"/>
      <c r="BA8" s="6" t="s">
        <v>200</v>
      </c>
      <c r="BB8" s="7">
        <v>84.5</v>
      </c>
      <c r="BC8" s="12">
        <v>77.3</v>
      </c>
      <c r="BD8" s="12">
        <v>74.5</v>
      </c>
      <c r="BE8" s="12">
        <v>73.6</v>
      </c>
      <c r="BF8" s="12">
        <v>76.1</v>
      </c>
      <c r="BG8" s="12">
        <v>78.9</v>
      </c>
      <c r="BH8" s="12">
        <v>73.6</v>
      </c>
      <c r="BI8" s="12">
        <v>73.6</v>
      </c>
      <c r="BJ8" s="4"/>
      <c r="BK8" s="4"/>
      <c r="BL8" s="10"/>
      <c r="BM8" s="10"/>
      <c r="BN8" s="10"/>
      <c r="BO8" s="10"/>
    </row>
    <row r="9" ht="15.5" spans="1:67">
      <c r="A9" s="2" t="s">
        <v>201</v>
      </c>
      <c r="B9" s="6" t="s">
        <v>196</v>
      </c>
      <c r="C9" s="7">
        <f t="shared" ref="C9:J9" si="24">BB9/1000</f>
        <v>0.855</v>
      </c>
      <c r="D9" s="7">
        <f t="shared" si="24"/>
        <v>0.8241</v>
      </c>
      <c r="E9" s="7">
        <f t="shared" si="24"/>
        <v>0.7857</v>
      </c>
      <c r="F9" s="7">
        <f t="shared" si="24"/>
        <v>0.775</v>
      </c>
      <c r="G9" s="7">
        <f t="shared" si="24"/>
        <v>0.7702</v>
      </c>
      <c r="H9" s="7">
        <f t="shared" si="24"/>
        <v>0.8116</v>
      </c>
      <c r="I9" s="7">
        <f t="shared" si="24"/>
        <v>0.775</v>
      </c>
      <c r="J9" s="7">
        <f t="shared" si="24"/>
        <v>0.775</v>
      </c>
      <c r="K9" s="4"/>
      <c r="L9" s="4"/>
      <c r="M9" s="10">
        <v>5.937</v>
      </c>
      <c r="N9" s="10">
        <v>5.845</v>
      </c>
      <c r="O9" s="10">
        <v>5.575</v>
      </c>
      <c r="P9" s="10">
        <v>5.276</v>
      </c>
      <c r="Q9" s="10">
        <v>5.363</v>
      </c>
      <c r="R9" s="10">
        <v>6.645</v>
      </c>
      <c r="S9" s="10">
        <v>5.654</v>
      </c>
      <c r="T9" s="10"/>
      <c r="U9" s="2" t="s">
        <v>201</v>
      </c>
      <c r="V9" s="6" t="s">
        <v>196</v>
      </c>
      <c r="W9" s="12">
        <f t="shared" ref="W9:AC9" si="25">D9/M9</f>
        <v>0.138807478524507</v>
      </c>
      <c r="X9" s="12">
        <f t="shared" si="25"/>
        <v>0.134422583404619</v>
      </c>
      <c r="Y9" s="12">
        <f t="shared" si="25"/>
        <v>0.139013452914798</v>
      </c>
      <c r="Z9" s="12">
        <f t="shared" si="25"/>
        <v>0.145981804397271</v>
      </c>
      <c r="AA9" s="12">
        <f t="shared" si="25"/>
        <v>0.1513332090248</v>
      </c>
      <c r="AB9" s="15">
        <f t="shared" si="25"/>
        <v>0.116629044394281</v>
      </c>
      <c r="AC9" s="15">
        <f t="shared" si="25"/>
        <v>0.13707110010612</v>
      </c>
      <c r="AD9" s="4"/>
      <c r="AE9" s="4"/>
      <c r="AF9" s="12">
        <f t="shared" ref="AF9:AJ9" si="26">W9</f>
        <v>0.138807478524507</v>
      </c>
      <c r="AG9" s="12">
        <f t="shared" si="26"/>
        <v>0.134422583404619</v>
      </c>
      <c r="AH9" s="12">
        <f t="shared" si="26"/>
        <v>0.139013452914798</v>
      </c>
      <c r="AI9" s="12">
        <f t="shared" si="26"/>
        <v>0.145981804397271</v>
      </c>
      <c r="AJ9" s="12">
        <f t="shared" si="26"/>
        <v>0.1513332090248</v>
      </c>
      <c r="AK9" s="16">
        <f t="shared" si="3"/>
        <v>0.134123401053424</v>
      </c>
      <c r="AL9" s="16">
        <f t="shared" si="4"/>
        <v>0.157631765122037</v>
      </c>
      <c r="AM9" s="4"/>
      <c r="AN9" s="4"/>
      <c r="AO9" s="12">
        <f t="shared" ref="AO9:AS9" si="27">W9</f>
        <v>0.138807478524507</v>
      </c>
      <c r="AP9" s="12">
        <f t="shared" si="27"/>
        <v>0.134422583404619</v>
      </c>
      <c r="AQ9" s="12">
        <f t="shared" si="27"/>
        <v>0.139013452914798</v>
      </c>
      <c r="AR9" s="12">
        <f t="shared" si="27"/>
        <v>0.145981804397271</v>
      </c>
      <c r="AS9" s="12">
        <f t="shared" si="27"/>
        <v>0.1513332090248</v>
      </c>
      <c r="AT9" s="16">
        <f t="shared" si="6"/>
        <v>0.0991346877351392</v>
      </c>
      <c r="AU9" s="16">
        <f t="shared" si="7"/>
        <v>0.116510435090202</v>
      </c>
      <c r="AZ9" s="2" t="s">
        <v>201</v>
      </c>
      <c r="BA9" s="6" t="s">
        <v>196</v>
      </c>
      <c r="BB9" s="7">
        <v>855</v>
      </c>
      <c r="BC9" s="12">
        <v>824.1</v>
      </c>
      <c r="BD9" s="12">
        <v>785.7</v>
      </c>
      <c r="BE9" s="12">
        <v>775</v>
      </c>
      <c r="BF9" s="12">
        <v>770.2</v>
      </c>
      <c r="BG9" s="12">
        <v>811.6</v>
      </c>
      <c r="BH9" s="12">
        <v>775</v>
      </c>
      <c r="BI9" s="12">
        <v>775</v>
      </c>
      <c r="BJ9" s="4"/>
      <c r="BK9" s="4"/>
      <c r="BL9" s="10"/>
      <c r="BM9" s="10"/>
      <c r="BN9" s="10"/>
      <c r="BO9" s="10"/>
    </row>
    <row r="10" ht="15.5" spans="1:67">
      <c r="A10" s="2"/>
      <c r="B10" s="6" t="s">
        <v>197</v>
      </c>
      <c r="C10" s="7">
        <f t="shared" ref="C10:J10" si="28">BB10/1000</f>
        <v>0.7888</v>
      </c>
      <c r="D10" s="7">
        <f t="shared" si="28"/>
        <v>0.7626</v>
      </c>
      <c r="E10" s="7">
        <f t="shared" si="28"/>
        <v>0.7275</v>
      </c>
      <c r="F10" s="7">
        <f t="shared" si="28"/>
        <v>0.7179</v>
      </c>
      <c r="G10" s="7">
        <f t="shared" si="28"/>
        <v>0.7107</v>
      </c>
      <c r="H10" s="7">
        <f t="shared" si="28"/>
        <v>0.7503</v>
      </c>
      <c r="I10" s="7">
        <f t="shared" si="28"/>
        <v>0.7179</v>
      </c>
      <c r="J10" s="7">
        <f t="shared" si="28"/>
        <v>0.7179</v>
      </c>
      <c r="K10" s="4"/>
      <c r="L10" s="4"/>
      <c r="M10" s="10">
        <v>5.937</v>
      </c>
      <c r="N10" s="10">
        <v>5.845</v>
      </c>
      <c r="O10" s="10">
        <v>5.575</v>
      </c>
      <c r="P10" s="10">
        <v>5.276</v>
      </c>
      <c r="Q10" s="10">
        <v>5.363</v>
      </c>
      <c r="R10" s="10">
        <v>6.645</v>
      </c>
      <c r="S10" s="10">
        <v>5.654</v>
      </c>
      <c r="T10" s="10"/>
      <c r="U10" s="2"/>
      <c r="V10" s="6" t="s">
        <v>197</v>
      </c>
      <c r="W10" s="12">
        <f t="shared" ref="W10:AC10" si="29">D10/M10</f>
        <v>0.12844871147044</v>
      </c>
      <c r="X10" s="12">
        <f t="shared" si="29"/>
        <v>0.124465355004277</v>
      </c>
      <c r="Y10" s="12">
        <f t="shared" si="29"/>
        <v>0.12877130044843</v>
      </c>
      <c r="Z10" s="12">
        <f t="shared" si="29"/>
        <v>0.134704321455648</v>
      </c>
      <c r="AA10" s="12">
        <f t="shared" si="29"/>
        <v>0.139903039343651</v>
      </c>
      <c r="AB10" s="15">
        <f t="shared" si="29"/>
        <v>0.10803611738149</v>
      </c>
      <c r="AC10" s="15">
        <f t="shared" si="29"/>
        <v>0.126972055182172</v>
      </c>
      <c r="AD10" s="4"/>
      <c r="AE10" s="4"/>
      <c r="AF10" s="12">
        <f t="shared" ref="AF10:AJ10" si="30">W10</f>
        <v>0.12844871147044</v>
      </c>
      <c r="AG10" s="12">
        <f t="shared" si="30"/>
        <v>0.124465355004277</v>
      </c>
      <c r="AH10" s="12">
        <f t="shared" si="30"/>
        <v>0.12877130044843</v>
      </c>
      <c r="AI10" s="12">
        <f t="shared" si="30"/>
        <v>0.134704321455648</v>
      </c>
      <c r="AJ10" s="12">
        <f t="shared" si="30"/>
        <v>0.139903039343651</v>
      </c>
      <c r="AK10" s="16">
        <f t="shared" si="3"/>
        <v>0.124241534988713</v>
      </c>
      <c r="AL10" s="16">
        <f t="shared" si="4"/>
        <v>0.146017863459498</v>
      </c>
      <c r="AM10" s="4"/>
      <c r="AN10" s="4"/>
      <c r="AO10" s="12">
        <f t="shared" ref="AO10:AS10" si="31">W10</f>
        <v>0.12844871147044</v>
      </c>
      <c r="AP10" s="12">
        <f t="shared" si="31"/>
        <v>0.124465355004277</v>
      </c>
      <c r="AQ10" s="12">
        <f t="shared" si="31"/>
        <v>0.12877130044843</v>
      </c>
      <c r="AR10" s="12">
        <f t="shared" si="31"/>
        <v>0.134704321455648</v>
      </c>
      <c r="AS10" s="12">
        <f t="shared" si="31"/>
        <v>0.139903039343651</v>
      </c>
      <c r="AT10" s="16">
        <f t="shared" si="6"/>
        <v>0.0918306997742664</v>
      </c>
      <c r="AU10" s="16">
        <f t="shared" si="7"/>
        <v>0.107926246904846</v>
      </c>
      <c r="AZ10" s="2"/>
      <c r="BA10" s="6" t="s">
        <v>197</v>
      </c>
      <c r="BB10" s="7">
        <v>788.8</v>
      </c>
      <c r="BC10" s="12">
        <v>762.6</v>
      </c>
      <c r="BD10" s="12">
        <v>727.5</v>
      </c>
      <c r="BE10" s="12">
        <v>717.9</v>
      </c>
      <c r="BF10" s="12">
        <v>710.7</v>
      </c>
      <c r="BG10" s="12">
        <v>750.3</v>
      </c>
      <c r="BH10" s="12">
        <v>717.9</v>
      </c>
      <c r="BI10" s="12">
        <v>717.9</v>
      </c>
      <c r="BJ10" s="4"/>
      <c r="BK10" s="4"/>
      <c r="BL10" s="10"/>
      <c r="BM10" s="10"/>
      <c r="BN10" s="10"/>
      <c r="BO10" s="10"/>
    </row>
    <row r="11" ht="15.5" spans="1:67">
      <c r="A11" s="2"/>
      <c r="B11" s="6" t="s">
        <v>198</v>
      </c>
      <c r="C11" s="7">
        <f t="shared" ref="C11:J11" si="32">BB11/1000</f>
        <v>0.2381</v>
      </c>
      <c r="D11" s="7">
        <f t="shared" si="32"/>
        <v>0.2075</v>
      </c>
      <c r="E11" s="7">
        <f t="shared" si="32"/>
        <v>0.1951</v>
      </c>
      <c r="F11" s="7">
        <f t="shared" si="32"/>
        <v>0.1916</v>
      </c>
      <c r="G11" s="7">
        <f t="shared" si="32"/>
        <v>0.186</v>
      </c>
      <c r="H11" s="7">
        <f t="shared" si="32"/>
        <v>0.1938</v>
      </c>
      <c r="I11" s="7">
        <f t="shared" si="32"/>
        <v>0.1916</v>
      </c>
      <c r="J11" s="7">
        <f t="shared" si="32"/>
        <v>0.1916</v>
      </c>
      <c r="K11" s="4"/>
      <c r="L11" s="4"/>
      <c r="M11" s="10">
        <v>5.937</v>
      </c>
      <c r="N11" s="10">
        <v>5.845</v>
      </c>
      <c r="O11" s="10">
        <v>5.575</v>
      </c>
      <c r="P11" s="10">
        <v>5.276</v>
      </c>
      <c r="Q11" s="10">
        <v>5.363</v>
      </c>
      <c r="R11" s="10">
        <v>6.645</v>
      </c>
      <c r="S11" s="10">
        <v>5.654</v>
      </c>
      <c r="T11" s="10"/>
      <c r="U11" s="2"/>
      <c r="V11" s="6" t="s">
        <v>198</v>
      </c>
      <c r="W11" s="12">
        <f t="shared" ref="W11:AC11" si="33">D11/M11</f>
        <v>0.0349503116051878</v>
      </c>
      <c r="X11" s="12">
        <f t="shared" si="33"/>
        <v>0.0333789563729684</v>
      </c>
      <c r="Y11" s="12">
        <f t="shared" si="33"/>
        <v>0.0343677130044843</v>
      </c>
      <c r="Z11" s="12">
        <f t="shared" si="33"/>
        <v>0.035253980288097</v>
      </c>
      <c r="AA11" s="12">
        <f t="shared" si="33"/>
        <v>0.0361364907700914</v>
      </c>
      <c r="AB11" s="15">
        <f t="shared" si="33"/>
        <v>0.0288337095560572</v>
      </c>
      <c r="AC11" s="15">
        <f t="shared" si="33"/>
        <v>0.0338875132649452</v>
      </c>
      <c r="AD11" s="4"/>
      <c r="AE11" s="4"/>
      <c r="AF11" s="12">
        <f t="shared" ref="AF11:AJ11" si="34">W11</f>
        <v>0.0349503116051878</v>
      </c>
      <c r="AG11" s="12">
        <f t="shared" si="34"/>
        <v>0.0333789563729684</v>
      </c>
      <c r="AH11" s="12">
        <f t="shared" si="34"/>
        <v>0.0343677130044843</v>
      </c>
      <c r="AI11" s="12">
        <f t="shared" si="34"/>
        <v>0.035253980288097</v>
      </c>
      <c r="AJ11" s="12">
        <f t="shared" si="34"/>
        <v>0.0361364907700914</v>
      </c>
      <c r="AK11" s="16">
        <f t="shared" si="3"/>
        <v>0.0331587659894658</v>
      </c>
      <c r="AL11" s="16">
        <f t="shared" si="4"/>
        <v>0.0389706402546869</v>
      </c>
      <c r="AM11" s="4"/>
      <c r="AN11" s="4"/>
      <c r="AO11" s="12">
        <f t="shared" ref="AO11:AS11" si="35">W11</f>
        <v>0.0349503116051878</v>
      </c>
      <c r="AP11" s="12">
        <f t="shared" si="35"/>
        <v>0.0333789563729684</v>
      </c>
      <c r="AQ11" s="12">
        <f t="shared" si="35"/>
        <v>0.0343677130044843</v>
      </c>
      <c r="AR11" s="12">
        <f t="shared" si="35"/>
        <v>0.035253980288097</v>
      </c>
      <c r="AS11" s="12">
        <f t="shared" si="35"/>
        <v>0.0361364907700914</v>
      </c>
      <c r="AT11" s="16">
        <f t="shared" si="6"/>
        <v>0.0245086531226486</v>
      </c>
      <c r="AU11" s="16">
        <f t="shared" si="7"/>
        <v>0.0288043862752034</v>
      </c>
      <c r="AZ11" s="2"/>
      <c r="BA11" s="6" t="s">
        <v>198</v>
      </c>
      <c r="BB11" s="7">
        <v>238.1</v>
      </c>
      <c r="BC11" s="12">
        <v>207.5</v>
      </c>
      <c r="BD11" s="12">
        <v>195.1</v>
      </c>
      <c r="BE11" s="12">
        <v>191.6</v>
      </c>
      <c r="BF11" s="12">
        <v>186</v>
      </c>
      <c r="BG11" s="12">
        <v>193.8</v>
      </c>
      <c r="BH11" s="12">
        <v>191.6</v>
      </c>
      <c r="BI11" s="12">
        <v>191.6</v>
      </c>
      <c r="BJ11" s="4"/>
      <c r="BK11" s="4"/>
      <c r="BL11" s="10"/>
      <c r="BM11" s="10"/>
      <c r="BN11" s="10"/>
      <c r="BO11" s="10"/>
    </row>
    <row r="12" ht="15.5" spans="1:67">
      <c r="A12" s="2"/>
      <c r="B12" s="6" t="s">
        <v>199</v>
      </c>
      <c r="C12" s="7">
        <f t="shared" ref="C12:J12" si="36">BB12/1000</f>
        <v>0.4629</v>
      </c>
      <c r="D12" s="7">
        <f t="shared" si="36"/>
        <v>0.4749</v>
      </c>
      <c r="E12" s="7">
        <f t="shared" si="36"/>
        <v>0.4551</v>
      </c>
      <c r="F12" s="7">
        <f t="shared" si="36"/>
        <v>0.45</v>
      </c>
      <c r="G12" s="7">
        <f t="shared" si="36"/>
        <v>0.4459</v>
      </c>
      <c r="H12" s="7">
        <f t="shared" si="36"/>
        <v>0.4747</v>
      </c>
      <c r="I12" s="7">
        <f t="shared" si="36"/>
        <v>0.45</v>
      </c>
      <c r="J12" s="7">
        <f t="shared" si="36"/>
        <v>0.45</v>
      </c>
      <c r="K12" s="4"/>
      <c r="L12" s="4"/>
      <c r="M12" s="10">
        <v>5.937</v>
      </c>
      <c r="N12" s="10">
        <v>5.845</v>
      </c>
      <c r="O12" s="10">
        <v>5.575</v>
      </c>
      <c r="P12" s="10">
        <v>5.276</v>
      </c>
      <c r="Q12" s="10">
        <v>5.363</v>
      </c>
      <c r="R12" s="10">
        <v>6.645</v>
      </c>
      <c r="S12" s="10">
        <v>5.654</v>
      </c>
      <c r="T12" s="10"/>
      <c r="U12" s="2"/>
      <c r="V12" s="6" t="s">
        <v>199</v>
      </c>
      <c r="W12" s="12">
        <f t="shared" ref="W12:AC12" si="37">D12/M12</f>
        <v>0.0799898938858009</v>
      </c>
      <c r="X12" s="12">
        <f t="shared" si="37"/>
        <v>0.0778614200171086</v>
      </c>
      <c r="Y12" s="12">
        <f t="shared" si="37"/>
        <v>0.0807174887892377</v>
      </c>
      <c r="Z12" s="12">
        <f t="shared" si="37"/>
        <v>0.0845147839272176</v>
      </c>
      <c r="AA12" s="12">
        <f t="shared" si="37"/>
        <v>0.08851389147865</v>
      </c>
      <c r="AB12" s="15">
        <f t="shared" si="37"/>
        <v>0.0677200902934537</v>
      </c>
      <c r="AC12" s="15">
        <f t="shared" si="37"/>
        <v>0.0795896710293598</v>
      </c>
      <c r="AD12" s="4"/>
      <c r="AE12" s="4"/>
      <c r="AF12" s="12">
        <f t="shared" ref="AF12:AJ12" si="38">W12</f>
        <v>0.0799898938858009</v>
      </c>
      <c r="AG12" s="12">
        <f t="shared" si="38"/>
        <v>0.0778614200171086</v>
      </c>
      <c r="AH12" s="12">
        <f t="shared" si="38"/>
        <v>0.0807174887892377</v>
      </c>
      <c r="AI12" s="12">
        <f t="shared" si="38"/>
        <v>0.0845147839272176</v>
      </c>
      <c r="AJ12" s="12">
        <f t="shared" si="38"/>
        <v>0.08851389147865</v>
      </c>
      <c r="AK12" s="16">
        <f t="shared" si="3"/>
        <v>0.0778781038374718</v>
      </c>
      <c r="AL12" s="16">
        <f t="shared" si="4"/>
        <v>0.0915281216837637</v>
      </c>
      <c r="AM12" s="4"/>
      <c r="AN12" s="4"/>
      <c r="AO12" s="12">
        <f t="shared" ref="AO12:AS12" si="39">W12</f>
        <v>0.0799898938858009</v>
      </c>
      <c r="AP12" s="12">
        <f t="shared" si="39"/>
        <v>0.0778614200171086</v>
      </c>
      <c r="AQ12" s="12">
        <f t="shared" si="39"/>
        <v>0.0807174887892377</v>
      </c>
      <c r="AR12" s="12">
        <f t="shared" si="39"/>
        <v>0.0845147839272176</v>
      </c>
      <c r="AS12" s="12">
        <f t="shared" si="39"/>
        <v>0.08851389147865</v>
      </c>
      <c r="AT12" s="16">
        <f t="shared" si="6"/>
        <v>0.0575620767494357</v>
      </c>
      <c r="AU12" s="16">
        <f t="shared" si="7"/>
        <v>0.0676512203749558</v>
      </c>
      <c r="AZ12" s="2"/>
      <c r="BA12" s="6" t="s">
        <v>199</v>
      </c>
      <c r="BB12" s="7">
        <v>462.9</v>
      </c>
      <c r="BC12" s="12">
        <v>474.9</v>
      </c>
      <c r="BD12" s="12">
        <v>455.1</v>
      </c>
      <c r="BE12" s="12">
        <v>450</v>
      </c>
      <c r="BF12" s="12">
        <v>445.9</v>
      </c>
      <c r="BG12" s="12">
        <v>474.7</v>
      </c>
      <c r="BH12" s="12">
        <v>450</v>
      </c>
      <c r="BI12" s="12">
        <v>450</v>
      </c>
      <c r="BJ12" s="4"/>
      <c r="BK12" s="4"/>
      <c r="BL12" s="10"/>
      <c r="BM12" s="10"/>
      <c r="BN12" s="10"/>
      <c r="BO12" s="10"/>
    </row>
    <row r="13" ht="15.5" spans="1:67">
      <c r="A13" s="2"/>
      <c r="B13" s="6" t="s">
        <v>200</v>
      </c>
      <c r="C13" s="7">
        <f t="shared" ref="C13:J13" si="40">BB13/1000</f>
        <v>0.0877</v>
      </c>
      <c r="D13" s="7">
        <f t="shared" si="40"/>
        <v>0.0802</v>
      </c>
      <c r="E13" s="7">
        <f t="shared" si="40"/>
        <v>0.0772</v>
      </c>
      <c r="F13" s="7">
        <f t="shared" si="40"/>
        <v>0.0763</v>
      </c>
      <c r="G13" s="7">
        <f t="shared" si="40"/>
        <v>0.0789</v>
      </c>
      <c r="H13" s="7">
        <f t="shared" si="40"/>
        <v>0.0817</v>
      </c>
      <c r="I13" s="7">
        <f t="shared" si="40"/>
        <v>0.0763</v>
      </c>
      <c r="J13" s="7">
        <f t="shared" si="40"/>
        <v>0.0763</v>
      </c>
      <c r="K13" s="4"/>
      <c r="L13" s="4"/>
      <c r="M13" s="10">
        <v>5.937</v>
      </c>
      <c r="N13" s="10">
        <v>5.845</v>
      </c>
      <c r="O13" s="10">
        <v>5.575</v>
      </c>
      <c r="P13" s="10">
        <v>5.276</v>
      </c>
      <c r="Q13" s="10">
        <v>5.363</v>
      </c>
      <c r="R13" s="10">
        <v>6.645</v>
      </c>
      <c r="S13" s="10">
        <v>5.654</v>
      </c>
      <c r="T13" s="10"/>
      <c r="U13" s="2"/>
      <c r="V13" s="6" t="s">
        <v>200</v>
      </c>
      <c r="W13" s="12">
        <f t="shared" ref="W13:AC13" si="41">D13/M13</f>
        <v>0.0135085059794509</v>
      </c>
      <c r="X13" s="12">
        <f t="shared" si="41"/>
        <v>0.013207869974337</v>
      </c>
      <c r="Y13" s="12">
        <f t="shared" si="41"/>
        <v>0.0136860986547085</v>
      </c>
      <c r="Z13" s="12">
        <f t="shared" si="41"/>
        <v>0.0149545109931767</v>
      </c>
      <c r="AA13" s="12">
        <f t="shared" si="41"/>
        <v>0.0152340108148424</v>
      </c>
      <c r="AB13" s="15">
        <f t="shared" si="41"/>
        <v>0.0114823175319789</v>
      </c>
      <c r="AC13" s="15">
        <f t="shared" si="41"/>
        <v>0.013494870887867</v>
      </c>
      <c r="AD13" s="4"/>
      <c r="AE13" s="4"/>
      <c r="AF13" s="12">
        <f t="shared" ref="AF13:AJ13" si="42">W13</f>
        <v>0.0135085059794509</v>
      </c>
      <c r="AG13" s="12">
        <f t="shared" si="42"/>
        <v>0.013207869974337</v>
      </c>
      <c r="AH13" s="12">
        <f t="shared" si="42"/>
        <v>0.0136860986547085</v>
      </c>
      <c r="AI13" s="12">
        <f t="shared" si="42"/>
        <v>0.0149545109931767</v>
      </c>
      <c r="AJ13" s="12">
        <f t="shared" si="42"/>
        <v>0.0152340108148424</v>
      </c>
      <c r="AK13" s="16">
        <f t="shared" si="3"/>
        <v>0.0132046651617758</v>
      </c>
      <c r="AL13" s="16">
        <f t="shared" si="4"/>
        <v>0.015519101521047</v>
      </c>
      <c r="AM13" s="4"/>
      <c r="AN13" s="4"/>
      <c r="AO13" s="12">
        <f t="shared" ref="AO13:AS13" si="43">W13</f>
        <v>0.0135085059794509</v>
      </c>
      <c r="AP13" s="12">
        <f t="shared" si="43"/>
        <v>0.013207869974337</v>
      </c>
      <c r="AQ13" s="12">
        <f t="shared" si="43"/>
        <v>0.0136860986547085</v>
      </c>
      <c r="AR13" s="12">
        <f t="shared" si="43"/>
        <v>0.0149545109931767</v>
      </c>
      <c r="AS13" s="12">
        <f t="shared" si="43"/>
        <v>0.0152340108148424</v>
      </c>
      <c r="AT13" s="16">
        <f t="shared" si="6"/>
        <v>0.00975996990218209</v>
      </c>
      <c r="AU13" s="16">
        <f t="shared" si="7"/>
        <v>0.0114706402546869</v>
      </c>
      <c r="AZ13" s="2"/>
      <c r="BA13" s="6" t="s">
        <v>200</v>
      </c>
      <c r="BB13" s="7">
        <v>87.7</v>
      </c>
      <c r="BC13" s="12">
        <v>80.2</v>
      </c>
      <c r="BD13" s="12">
        <v>77.2</v>
      </c>
      <c r="BE13" s="12">
        <v>76.3</v>
      </c>
      <c r="BF13" s="12">
        <v>78.9</v>
      </c>
      <c r="BG13" s="12">
        <v>81.7</v>
      </c>
      <c r="BH13" s="12">
        <v>76.3</v>
      </c>
      <c r="BI13" s="12">
        <v>76.3</v>
      </c>
      <c r="BJ13" s="4"/>
      <c r="BK13" s="4"/>
      <c r="BL13" s="10"/>
      <c r="BM13" s="10"/>
      <c r="BN13" s="10"/>
      <c r="BO13" s="10"/>
    </row>
    <row r="14" ht="15.5" spans="1:67">
      <c r="A14" s="2" t="s">
        <v>11</v>
      </c>
      <c r="B14" s="6" t="s">
        <v>196</v>
      </c>
      <c r="C14" s="7">
        <f t="shared" ref="C14:J14" si="44">BB14/1000</f>
        <v>0.8705</v>
      </c>
      <c r="D14" s="7">
        <f t="shared" si="44"/>
        <v>0.8381</v>
      </c>
      <c r="E14" s="7">
        <f t="shared" si="44"/>
        <v>0.799</v>
      </c>
      <c r="F14" s="7">
        <f t="shared" si="44"/>
        <v>0.7882</v>
      </c>
      <c r="G14" s="7">
        <f t="shared" si="44"/>
        <v>0.7835</v>
      </c>
      <c r="H14" s="7">
        <f t="shared" si="44"/>
        <v>0.8253</v>
      </c>
      <c r="I14" s="7">
        <f t="shared" si="44"/>
        <v>0.7882</v>
      </c>
      <c r="J14" s="7">
        <f t="shared" si="44"/>
        <v>0.7882</v>
      </c>
      <c r="K14" s="4"/>
      <c r="L14" s="4"/>
      <c r="M14" s="10">
        <v>5.937</v>
      </c>
      <c r="N14" s="10">
        <v>5.845</v>
      </c>
      <c r="O14" s="10">
        <v>5.575</v>
      </c>
      <c r="P14" s="10">
        <v>5.276</v>
      </c>
      <c r="Q14" s="10">
        <v>5.363</v>
      </c>
      <c r="R14" s="10">
        <v>6.645</v>
      </c>
      <c r="S14" s="10">
        <v>5.654</v>
      </c>
      <c r="T14" s="10"/>
      <c r="U14" s="2" t="s">
        <v>11</v>
      </c>
      <c r="V14" s="6" t="s">
        <v>196</v>
      </c>
      <c r="W14" s="12">
        <f t="shared" ref="W14:AC14" si="45">D14/M14</f>
        <v>0.141165571837628</v>
      </c>
      <c r="X14" s="12">
        <f t="shared" si="45"/>
        <v>0.136698032506416</v>
      </c>
      <c r="Y14" s="12">
        <f t="shared" si="45"/>
        <v>0.141381165919283</v>
      </c>
      <c r="Z14" s="12">
        <f t="shared" si="45"/>
        <v>0.148502653525398</v>
      </c>
      <c r="AA14" s="12">
        <f t="shared" si="45"/>
        <v>0.153887749393996</v>
      </c>
      <c r="AB14" s="15">
        <f t="shared" si="45"/>
        <v>0.118615500376223</v>
      </c>
      <c r="AC14" s="15">
        <f t="shared" si="45"/>
        <v>0.139405730456314</v>
      </c>
      <c r="AD14" s="4"/>
      <c r="AE14" s="4"/>
      <c r="AF14" s="12">
        <f t="shared" ref="AF14:AJ14" si="46">W14</f>
        <v>0.141165571837628</v>
      </c>
      <c r="AG14" s="12">
        <f t="shared" si="46"/>
        <v>0.136698032506416</v>
      </c>
      <c r="AH14" s="12">
        <f t="shared" si="46"/>
        <v>0.141381165919283</v>
      </c>
      <c r="AI14" s="12">
        <f t="shared" si="46"/>
        <v>0.148502653525398</v>
      </c>
      <c r="AJ14" s="12">
        <f t="shared" si="46"/>
        <v>0.153887749393996</v>
      </c>
      <c r="AK14" s="16">
        <f t="shared" si="3"/>
        <v>0.136407825432656</v>
      </c>
      <c r="AL14" s="16">
        <f t="shared" si="4"/>
        <v>0.160316590024761</v>
      </c>
      <c r="AM14" s="4"/>
      <c r="AN14" s="4"/>
      <c r="AO14" s="12">
        <f t="shared" ref="AO14:AS14" si="47">W14</f>
        <v>0.141165571837628</v>
      </c>
      <c r="AP14" s="12">
        <f t="shared" si="47"/>
        <v>0.136698032506416</v>
      </c>
      <c r="AQ14" s="12">
        <f t="shared" si="47"/>
        <v>0.141381165919283</v>
      </c>
      <c r="AR14" s="12">
        <f t="shared" si="47"/>
        <v>0.148502653525398</v>
      </c>
      <c r="AS14" s="12">
        <f t="shared" si="47"/>
        <v>0.153887749393996</v>
      </c>
      <c r="AT14" s="16">
        <f t="shared" si="6"/>
        <v>0.100823175319789</v>
      </c>
      <c r="AU14" s="16">
        <f t="shared" si="7"/>
        <v>0.118494870887867</v>
      </c>
      <c r="AZ14" s="2" t="s">
        <v>11</v>
      </c>
      <c r="BA14" s="6" t="s">
        <v>196</v>
      </c>
      <c r="BB14" s="7">
        <v>870.5</v>
      </c>
      <c r="BC14" s="12">
        <v>838.1</v>
      </c>
      <c r="BD14" s="12">
        <v>799</v>
      </c>
      <c r="BE14" s="12">
        <v>788.2</v>
      </c>
      <c r="BF14" s="12">
        <v>783.5</v>
      </c>
      <c r="BG14" s="12">
        <v>825.3</v>
      </c>
      <c r="BH14" s="12">
        <v>788.2</v>
      </c>
      <c r="BI14" s="12">
        <v>788.2</v>
      </c>
      <c r="BJ14" s="4"/>
      <c r="BK14" s="4"/>
      <c r="BL14" s="10"/>
      <c r="BM14" s="10"/>
      <c r="BN14" s="10"/>
      <c r="BO14" s="10"/>
    </row>
    <row r="15" ht="15.5" spans="1:67">
      <c r="A15" s="2"/>
      <c r="B15" s="6" t="s">
        <v>197</v>
      </c>
      <c r="C15" s="7">
        <f t="shared" ref="C15:J15" si="48">BB15/1000</f>
        <v>0.8012</v>
      </c>
      <c r="D15" s="7">
        <f t="shared" si="48"/>
        <v>0.7738</v>
      </c>
      <c r="E15" s="7">
        <f t="shared" si="48"/>
        <v>0.7382</v>
      </c>
      <c r="F15" s="7">
        <f t="shared" si="48"/>
        <v>0.7285</v>
      </c>
      <c r="G15" s="7">
        <f t="shared" si="48"/>
        <v>0.7214</v>
      </c>
      <c r="H15" s="7">
        <f t="shared" si="48"/>
        <v>0.7613</v>
      </c>
      <c r="I15" s="7">
        <f t="shared" si="48"/>
        <v>0.7285</v>
      </c>
      <c r="J15" s="7">
        <f t="shared" si="48"/>
        <v>0.7285</v>
      </c>
      <c r="K15" s="4"/>
      <c r="L15" s="4"/>
      <c r="M15" s="10">
        <v>5.937</v>
      </c>
      <c r="N15" s="10">
        <v>5.845</v>
      </c>
      <c r="O15" s="10">
        <v>5.575</v>
      </c>
      <c r="P15" s="10">
        <v>5.276</v>
      </c>
      <c r="Q15" s="10">
        <v>5.363</v>
      </c>
      <c r="R15" s="10">
        <v>6.645</v>
      </c>
      <c r="S15" s="10">
        <v>5.654</v>
      </c>
      <c r="T15" s="10"/>
      <c r="U15" s="2"/>
      <c r="V15" s="6" t="s">
        <v>197</v>
      </c>
      <c r="W15" s="12">
        <f t="shared" ref="W15:AC15" si="49">D15/M15</f>
        <v>0.130335186120936</v>
      </c>
      <c r="X15" s="12">
        <f t="shared" si="49"/>
        <v>0.126295979469632</v>
      </c>
      <c r="Y15" s="12">
        <f t="shared" si="49"/>
        <v>0.13067264573991</v>
      </c>
      <c r="Z15" s="12">
        <f t="shared" si="49"/>
        <v>0.136732373009856</v>
      </c>
      <c r="AA15" s="12">
        <f t="shared" si="49"/>
        <v>0.141954130151035</v>
      </c>
      <c r="AB15" s="15">
        <f t="shared" si="49"/>
        <v>0.109631301730625</v>
      </c>
      <c r="AC15" s="15">
        <f t="shared" si="49"/>
        <v>0.128846834099752</v>
      </c>
      <c r="AD15" s="4"/>
      <c r="AE15" s="4"/>
      <c r="AF15" s="12">
        <f t="shared" ref="AF15:AJ15" si="50">W15</f>
        <v>0.130335186120936</v>
      </c>
      <c r="AG15" s="12">
        <f t="shared" si="50"/>
        <v>0.126295979469632</v>
      </c>
      <c r="AH15" s="12">
        <f t="shared" si="50"/>
        <v>0.13067264573991</v>
      </c>
      <c r="AI15" s="12">
        <f t="shared" si="50"/>
        <v>0.136732373009856</v>
      </c>
      <c r="AJ15" s="12">
        <f t="shared" si="50"/>
        <v>0.141954130151035</v>
      </c>
      <c r="AK15" s="16">
        <f t="shared" si="3"/>
        <v>0.126075996990218</v>
      </c>
      <c r="AL15" s="16">
        <f t="shared" si="4"/>
        <v>0.148173859214715</v>
      </c>
      <c r="AM15" s="4"/>
      <c r="AN15" s="4"/>
      <c r="AO15" s="12">
        <f t="shared" ref="AO15:AS15" si="51">W15</f>
        <v>0.130335186120936</v>
      </c>
      <c r="AP15" s="12">
        <f t="shared" si="51"/>
        <v>0.126295979469632</v>
      </c>
      <c r="AQ15" s="12">
        <f t="shared" si="51"/>
        <v>0.13067264573991</v>
      </c>
      <c r="AR15" s="12">
        <f t="shared" si="51"/>
        <v>0.136732373009856</v>
      </c>
      <c r="AS15" s="12">
        <f t="shared" si="51"/>
        <v>0.141954130151035</v>
      </c>
      <c r="AT15" s="16">
        <f t="shared" si="6"/>
        <v>0.0931866064710309</v>
      </c>
      <c r="AU15" s="16">
        <f t="shared" si="7"/>
        <v>0.10951980898479</v>
      </c>
      <c r="AZ15" s="2"/>
      <c r="BA15" s="6" t="s">
        <v>197</v>
      </c>
      <c r="BB15" s="7">
        <v>801.2</v>
      </c>
      <c r="BC15" s="12">
        <v>773.8</v>
      </c>
      <c r="BD15" s="12">
        <v>738.2</v>
      </c>
      <c r="BE15" s="12">
        <v>728.5</v>
      </c>
      <c r="BF15" s="12">
        <v>721.4</v>
      </c>
      <c r="BG15" s="12">
        <v>761.3</v>
      </c>
      <c r="BH15" s="12">
        <v>728.5</v>
      </c>
      <c r="BI15" s="12">
        <v>728.5</v>
      </c>
      <c r="BJ15" s="4"/>
      <c r="BK15" s="4"/>
      <c r="BL15" s="10"/>
      <c r="BM15" s="10"/>
      <c r="BN15" s="10"/>
      <c r="BO15" s="10"/>
    </row>
    <row r="16" ht="15.5" spans="1:67">
      <c r="A16" s="2"/>
      <c r="B16" s="6" t="s">
        <v>198</v>
      </c>
      <c r="C16" s="7">
        <f t="shared" ref="C16:J16" si="52">BB16/1000</f>
        <v>0.3021</v>
      </c>
      <c r="D16" s="7">
        <f t="shared" si="52"/>
        <v>0.2654</v>
      </c>
      <c r="E16" s="7">
        <f t="shared" si="52"/>
        <v>0.2502</v>
      </c>
      <c r="F16" s="7">
        <f t="shared" si="52"/>
        <v>0.246</v>
      </c>
      <c r="G16" s="7">
        <f t="shared" si="52"/>
        <v>0.2408</v>
      </c>
      <c r="H16" s="7">
        <f t="shared" si="52"/>
        <v>0.2506</v>
      </c>
      <c r="I16" s="7">
        <f t="shared" si="52"/>
        <v>0.246</v>
      </c>
      <c r="J16" s="7">
        <f t="shared" si="52"/>
        <v>0.246</v>
      </c>
      <c r="K16" s="4"/>
      <c r="L16" s="4"/>
      <c r="M16" s="10">
        <v>5.937</v>
      </c>
      <c r="N16" s="10">
        <v>5.845</v>
      </c>
      <c r="O16" s="10">
        <v>5.575</v>
      </c>
      <c r="P16" s="10">
        <v>5.276</v>
      </c>
      <c r="Q16" s="10">
        <v>5.363</v>
      </c>
      <c r="R16" s="10">
        <v>6.645</v>
      </c>
      <c r="S16" s="10">
        <v>5.654</v>
      </c>
      <c r="T16" s="10"/>
      <c r="U16" s="2"/>
      <c r="V16" s="6" t="s">
        <v>198</v>
      </c>
      <c r="W16" s="12">
        <f t="shared" ref="W16:AC16" si="53">D16/M16</f>
        <v>0.0447027118073101</v>
      </c>
      <c r="X16" s="12">
        <f t="shared" si="53"/>
        <v>0.0428058169375535</v>
      </c>
      <c r="Y16" s="12">
        <f t="shared" si="53"/>
        <v>0.0441255605381166</v>
      </c>
      <c r="Z16" s="12">
        <f t="shared" si="53"/>
        <v>0.0456406368460955</v>
      </c>
      <c r="AA16" s="12">
        <f t="shared" si="53"/>
        <v>0.0467275778482193</v>
      </c>
      <c r="AB16" s="15">
        <f t="shared" si="53"/>
        <v>0.037020316027088</v>
      </c>
      <c r="AC16" s="15">
        <f t="shared" si="53"/>
        <v>0.0435090201627167</v>
      </c>
      <c r="AD16" s="4"/>
      <c r="AE16" s="4"/>
      <c r="AF16" s="12">
        <f t="shared" ref="AF16:AJ16" si="54">W16</f>
        <v>0.0447027118073101</v>
      </c>
      <c r="AG16" s="12">
        <f t="shared" si="54"/>
        <v>0.0428058169375535</v>
      </c>
      <c r="AH16" s="12">
        <f t="shared" si="54"/>
        <v>0.0441255605381166</v>
      </c>
      <c r="AI16" s="12">
        <f t="shared" si="54"/>
        <v>0.0456406368460955</v>
      </c>
      <c r="AJ16" s="12">
        <f t="shared" si="54"/>
        <v>0.0467275778482193</v>
      </c>
      <c r="AK16" s="16">
        <f t="shared" si="3"/>
        <v>0.0425733634311512</v>
      </c>
      <c r="AL16" s="16">
        <f t="shared" si="4"/>
        <v>0.0500353731871242</v>
      </c>
      <c r="AM16" s="4"/>
      <c r="AN16" s="4"/>
      <c r="AO16" s="12">
        <f t="shared" ref="AO16:AS16" si="55">W16</f>
        <v>0.0447027118073101</v>
      </c>
      <c r="AP16" s="12">
        <f t="shared" si="55"/>
        <v>0.0428058169375535</v>
      </c>
      <c r="AQ16" s="12">
        <f t="shared" si="55"/>
        <v>0.0441255605381166</v>
      </c>
      <c r="AR16" s="12">
        <f t="shared" si="55"/>
        <v>0.0456406368460955</v>
      </c>
      <c r="AS16" s="12">
        <f t="shared" si="55"/>
        <v>0.0467275778482193</v>
      </c>
      <c r="AT16" s="16">
        <f t="shared" si="6"/>
        <v>0.0314672686230248</v>
      </c>
      <c r="AU16" s="16">
        <f t="shared" si="7"/>
        <v>0.0369826671383092</v>
      </c>
      <c r="AZ16" s="2"/>
      <c r="BA16" s="6" t="s">
        <v>198</v>
      </c>
      <c r="BB16" s="7">
        <v>302.1</v>
      </c>
      <c r="BC16" s="12">
        <v>265.4</v>
      </c>
      <c r="BD16" s="12">
        <v>250.2</v>
      </c>
      <c r="BE16" s="12">
        <v>246</v>
      </c>
      <c r="BF16" s="12">
        <v>240.8</v>
      </c>
      <c r="BG16" s="12">
        <v>250.6</v>
      </c>
      <c r="BH16" s="12">
        <v>246</v>
      </c>
      <c r="BI16" s="12">
        <v>246</v>
      </c>
      <c r="BJ16" s="4"/>
      <c r="BK16" s="4"/>
      <c r="BL16" s="10"/>
      <c r="BM16" s="10"/>
      <c r="BN16" s="10"/>
      <c r="BO16" s="10"/>
    </row>
    <row r="17" ht="15.5" spans="1:67">
      <c r="A17" s="2"/>
      <c r="B17" s="6" t="s">
        <v>199</v>
      </c>
      <c r="C17" s="7">
        <f t="shared" ref="C17:J17" si="56">BB17/1000</f>
        <v>0.4137</v>
      </c>
      <c r="D17" s="7">
        <f t="shared" si="56"/>
        <v>0.4304</v>
      </c>
      <c r="E17" s="7">
        <f t="shared" si="56"/>
        <v>0.4127</v>
      </c>
      <c r="F17" s="7">
        <f t="shared" si="56"/>
        <v>0.4081</v>
      </c>
      <c r="G17" s="7">
        <f t="shared" si="56"/>
        <v>0.4037</v>
      </c>
      <c r="H17" s="7">
        <f t="shared" si="56"/>
        <v>0.4311</v>
      </c>
      <c r="I17" s="7">
        <f t="shared" si="56"/>
        <v>0.4081</v>
      </c>
      <c r="J17" s="7">
        <f t="shared" si="56"/>
        <v>0.4081</v>
      </c>
      <c r="K17" s="4"/>
      <c r="L17" s="4"/>
      <c r="M17" s="10">
        <v>5.937</v>
      </c>
      <c r="N17" s="10">
        <v>5.845</v>
      </c>
      <c r="O17" s="10">
        <v>5.575</v>
      </c>
      <c r="P17" s="10">
        <v>5.276</v>
      </c>
      <c r="Q17" s="10">
        <v>5.363</v>
      </c>
      <c r="R17" s="10">
        <v>6.645</v>
      </c>
      <c r="S17" s="10">
        <v>5.654</v>
      </c>
      <c r="T17" s="10"/>
      <c r="U17" s="2"/>
      <c r="V17" s="6" t="s">
        <v>199</v>
      </c>
      <c r="W17" s="12">
        <f t="shared" ref="W17:AC17" si="57">D17/M17</f>
        <v>0.0724945258548088</v>
      </c>
      <c r="X17" s="12">
        <f t="shared" si="57"/>
        <v>0.0706073567151412</v>
      </c>
      <c r="Y17" s="12">
        <f t="shared" si="57"/>
        <v>0.0732017937219731</v>
      </c>
      <c r="Z17" s="12">
        <f t="shared" si="57"/>
        <v>0.076516300227445</v>
      </c>
      <c r="AA17" s="12">
        <f t="shared" si="57"/>
        <v>0.0803841133693828</v>
      </c>
      <c r="AB17" s="15">
        <f t="shared" si="57"/>
        <v>0.0614145974416855</v>
      </c>
      <c r="AC17" s="15">
        <f t="shared" si="57"/>
        <v>0.0721789883268483</v>
      </c>
      <c r="AD17" s="4"/>
      <c r="AE17" s="4"/>
      <c r="AF17" s="12">
        <f t="shared" ref="AF17:AJ17" si="58">W17</f>
        <v>0.0724945258548088</v>
      </c>
      <c r="AG17" s="12">
        <f t="shared" si="58"/>
        <v>0.0706073567151412</v>
      </c>
      <c r="AH17" s="12">
        <f t="shared" si="58"/>
        <v>0.0732017937219731</v>
      </c>
      <c r="AI17" s="12">
        <f t="shared" si="58"/>
        <v>0.076516300227445</v>
      </c>
      <c r="AJ17" s="12">
        <f t="shared" si="58"/>
        <v>0.0803841133693828</v>
      </c>
      <c r="AK17" s="16">
        <f t="shared" si="3"/>
        <v>0.0706267870579383</v>
      </c>
      <c r="AL17" s="16">
        <f t="shared" si="4"/>
        <v>0.0830058365758755</v>
      </c>
      <c r="AM17" s="4"/>
      <c r="AN17" s="4"/>
      <c r="AO17" s="12">
        <f t="shared" ref="AO17:AS17" si="59">W17</f>
        <v>0.0724945258548088</v>
      </c>
      <c r="AP17" s="12">
        <f t="shared" si="59"/>
        <v>0.0706073567151412</v>
      </c>
      <c r="AQ17" s="12">
        <f t="shared" si="59"/>
        <v>0.0732017937219731</v>
      </c>
      <c r="AR17" s="12">
        <f t="shared" si="59"/>
        <v>0.076516300227445</v>
      </c>
      <c r="AS17" s="12">
        <f t="shared" si="59"/>
        <v>0.0803841133693828</v>
      </c>
      <c r="AT17" s="16">
        <f t="shared" si="6"/>
        <v>0.0522024078254327</v>
      </c>
      <c r="AU17" s="16">
        <f t="shared" si="7"/>
        <v>0.061352140077821</v>
      </c>
      <c r="AZ17" s="2"/>
      <c r="BA17" s="6" t="s">
        <v>199</v>
      </c>
      <c r="BB17" s="7">
        <v>413.7</v>
      </c>
      <c r="BC17" s="12">
        <v>430.4</v>
      </c>
      <c r="BD17" s="12">
        <v>412.7</v>
      </c>
      <c r="BE17" s="12">
        <v>408.1</v>
      </c>
      <c r="BF17" s="12">
        <v>403.7</v>
      </c>
      <c r="BG17" s="12">
        <v>431.1</v>
      </c>
      <c r="BH17" s="12">
        <v>408.1</v>
      </c>
      <c r="BI17" s="12">
        <v>408.1</v>
      </c>
      <c r="BJ17" s="4"/>
      <c r="BK17" s="4"/>
      <c r="BL17" s="10"/>
      <c r="BM17" s="10"/>
      <c r="BN17" s="10"/>
      <c r="BO17" s="10"/>
    </row>
    <row r="18" ht="15.5" spans="1:67">
      <c r="A18" s="2"/>
      <c r="B18" s="6" t="s">
        <v>200</v>
      </c>
      <c r="C18" s="7">
        <f t="shared" ref="C18:J18" si="60">BB18/1000</f>
        <v>0.0853</v>
      </c>
      <c r="D18" s="7">
        <f t="shared" si="60"/>
        <v>0.0781</v>
      </c>
      <c r="E18" s="7">
        <f t="shared" si="60"/>
        <v>0.0752</v>
      </c>
      <c r="F18" s="7">
        <f t="shared" si="60"/>
        <v>0.0743</v>
      </c>
      <c r="G18" s="7">
        <f t="shared" si="60"/>
        <v>0.0768</v>
      </c>
      <c r="H18" s="7">
        <f t="shared" si="60"/>
        <v>0.0797</v>
      </c>
      <c r="I18" s="7">
        <f t="shared" si="60"/>
        <v>0.0743</v>
      </c>
      <c r="J18" s="7">
        <f t="shared" si="60"/>
        <v>0.0743</v>
      </c>
      <c r="K18" s="4"/>
      <c r="L18" s="4"/>
      <c r="M18" s="10">
        <v>5.937</v>
      </c>
      <c r="N18" s="10">
        <v>5.845</v>
      </c>
      <c r="O18" s="10">
        <v>5.575</v>
      </c>
      <c r="P18" s="10">
        <v>5.276</v>
      </c>
      <c r="Q18" s="10">
        <v>5.363</v>
      </c>
      <c r="R18" s="10">
        <v>6.645</v>
      </c>
      <c r="S18" s="10">
        <v>5.654</v>
      </c>
      <c r="T18" s="10"/>
      <c r="U18" s="2"/>
      <c r="V18" s="6" t="s">
        <v>200</v>
      </c>
      <c r="W18" s="12">
        <f t="shared" ref="W18:AC18" si="61">D18/M18</f>
        <v>0.0131547919824827</v>
      </c>
      <c r="X18" s="12">
        <f t="shared" si="61"/>
        <v>0.0128656971770744</v>
      </c>
      <c r="Y18" s="12">
        <f t="shared" si="61"/>
        <v>0.0133273542600897</v>
      </c>
      <c r="Z18" s="12">
        <f t="shared" si="61"/>
        <v>0.0145564821834723</v>
      </c>
      <c r="AA18" s="12">
        <f t="shared" si="61"/>
        <v>0.0148610852134999</v>
      </c>
      <c r="AB18" s="15">
        <f t="shared" si="61"/>
        <v>0.0111813393528969</v>
      </c>
      <c r="AC18" s="15">
        <f t="shared" si="61"/>
        <v>0.0131411390166254</v>
      </c>
      <c r="AD18" s="4"/>
      <c r="AE18" s="4"/>
      <c r="AF18" s="12">
        <f t="shared" ref="AF18:AJ18" si="62">W18</f>
        <v>0.0131547919824827</v>
      </c>
      <c r="AG18" s="12">
        <f t="shared" si="62"/>
        <v>0.0128656971770744</v>
      </c>
      <c r="AH18" s="12">
        <f t="shared" si="62"/>
        <v>0.0133273542600897</v>
      </c>
      <c r="AI18" s="12">
        <f t="shared" si="62"/>
        <v>0.0145564821834723</v>
      </c>
      <c r="AJ18" s="12">
        <f t="shared" si="62"/>
        <v>0.0148610852134999</v>
      </c>
      <c r="AK18" s="16">
        <f t="shared" si="3"/>
        <v>0.0128585402558315</v>
      </c>
      <c r="AL18" s="16">
        <f t="shared" si="4"/>
        <v>0.0151123098691192</v>
      </c>
      <c r="AM18" s="4"/>
      <c r="AN18" s="4"/>
      <c r="AO18" s="12">
        <f t="shared" ref="AO18:AS18" si="63">W18</f>
        <v>0.0131547919824827</v>
      </c>
      <c r="AP18" s="12">
        <f t="shared" si="63"/>
        <v>0.0128656971770744</v>
      </c>
      <c r="AQ18" s="12">
        <f t="shared" si="63"/>
        <v>0.0133273542600897</v>
      </c>
      <c r="AR18" s="12">
        <f t="shared" si="63"/>
        <v>0.0145564821834723</v>
      </c>
      <c r="AS18" s="12">
        <f t="shared" si="63"/>
        <v>0.0148610852134999</v>
      </c>
      <c r="AT18" s="16">
        <f t="shared" si="6"/>
        <v>0.00950413844996238</v>
      </c>
      <c r="AU18" s="16">
        <f t="shared" si="7"/>
        <v>0.0111699681641316</v>
      </c>
      <c r="AZ18" s="2"/>
      <c r="BA18" s="6" t="s">
        <v>200</v>
      </c>
      <c r="BB18" s="7">
        <v>85.3</v>
      </c>
      <c r="BC18" s="12">
        <v>78.1</v>
      </c>
      <c r="BD18" s="12">
        <v>75.2</v>
      </c>
      <c r="BE18" s="12">
        <v>74.3</v>
      </c>
      <c r="BF18" s="12">
        <v>76.8</v>
      </c>
      <c r="BG18" s="12">
        <v>79.7</v>
      </c>
      <c r="BH18" s="12">
        <v>74.3</v>
      </c>
      <c r="BI18" s="12">
        <v>74.3</v>
      </c>
      <c r="BJ18" s="4"/>
      <c r="BK18" s="4"/>
      <c r="BL18" s="10"/>
      <c r="BM18" s="10"/>
      <c r="BN18" s="10"/>
      <c r="BO18" s="10"/>
    </row>
    <row r="19" ht="15.5" spans="1:67">
      <c r="A19" s="4"/>
      <c r="B19" s="4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Z19" s="4"/>
      <c r="BA19" s="4"/>
      <c r="BB19" s="3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</row>
    <row r="20" ht="15.5" spans="1:67">
      <c r="A20" s="4"/>
      <c r="B20" s="4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Z20" s="4"/>
      <c r="BA20" s="4"/>
      <c r="BB20" s="3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</row>
    <row r="21" ht="15.5" spans="1:67">
      <c r="A21" s="2" t="s">
        <v>213</v>
      </c>
      <c r="B21" s="2"/>
      <c r="C21" s="2"/>
      <c r="D21" s="2"/>
      <c r="E21" s="2"/>
      <c r="F21" s="2"/>
      <c r="G21" s="2"/>
      <c r="H21" s="2"/>
      <c r="I21" s="2"/>
      <c r="J21" s="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Z21" s="2" t="s">
        <v>213</v>
      </c>
      <c r="BA21" s="2"/>
      <c r="BB21" s="2"/>
      <c r="BC21" s="2"/>
      <c r="BD21" s="2"/>
      <c r="BE21" s="2"/>
      <c r="BF21" s="2"/>
      <c r="BG21" s="2"/>
      <c r="BH21" s="2"/>
      <c r="BI21" s="2"/>
      <c r="BJ21" s="4"/>
      <c r="BK21" s="4"/>
      <c r="BL21" s="4"/>
      <c r="BM21" s="4"/>
      <c r="BN21" s="4"/>
      <c r="BO21" s="4"/>
    </row>
    <row r="22" ht="15.5" spans="1:67">
      <c r="A22" s="2" t="s">
        <v>184</v>
      </c>
      <c r="B22" s="2" t="s">
        <v>214</v>
      </c>
      <c r="C22" s="2" t="s">
        <v>186</v>
      </c>
      <c r="D22" s="2"/>
      <c r="E22" s="2"/>
      <c r="F22" s="2"/>
      <c r="G22" s="2"/>
      <c r="H22" s="2"/>
      <c r="I22" s="2"/>
      <c r="J22" s="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Z22" s="2" t="s">
        <v>184</v>
      </c>
      <c r="BA22" s="2" t="s">
        <v>214</v>
      </c>
      <c r="BB22" s="2" t="s">
        <v>186</v>
      </c>
      <c r="BC22" s="2"/>
      <c r="BD22" s="2"/>
      <c r="BE22" s="2"/>
      <c r="BF22" s="2"/>
      <c r="BG22" s="2"/>
      <c r="BH22" s="2"/>
      <c r="BI22" s="2"/>
      <c r="BJ22" s="4"/>
      <c r="BK22" s="4"/>
      <c r="BL22" s="4"/>
      <c r="BM22" s="4"/>
      <c r="BN22" s="4"/>
      <c r="BO22" s="4"/>
    </row>
    <row r="23" ht="30" spans="1:67">
      <c r="A23" s="2"/>
      <c r="B23" s="2"/>
      <c r="C23" s="3" t="s">
        <v>187</v>
      </c>
      <c r="D23" s="4" t="s">
        <v>188</v>
      </c>
      <c r="E23" s="4" t="s">
        <v>189</v>
      </c>
      <c r="F23" s="5" t="s">
        <v>190</v>
      </c>
      <c r="G23" s="4" t="s">
        <v>191</v>
      </c>
      <c r="H23" s="4" t="s">
        <v>192</v>
      </c>
      <c r="I23" s="4" t="s">
        <v>193</v>
      </c>
      <c r="J23" s="4" t="s">
        <v>194</v>
      </c>
      <c r="K23" s="4"/>
      <c r="L23" s="4"/>
      <c r="M23" s="4" t="s">
        <v>188</v>
      </c>
      <c r="N23" s="4" t="s">
        <v>189</v>
      </c>
      <c r="O23" s="4" t="s">
        <v>190</v>
      </c>
      <c r="P23" s="4" t="s">
        <v>191</v>
      </c>
      <c r="Q23" s="4" t="s">
        <v>192</v>
      </c>
      <c r="R23" s="4" t="s">
        <v>193</v>
      </c>
      <c r="S23" s="4" t="s">
        <v>194</v>
      </c>
      <c r="T23" s="4"/>
      <c r="U23" s="4"/>
      <c r="V23" s="11" t="s">
        <v>212</v>
      </c>
      <c r="W23" s="4" t="s">
        <v>188</v>
      </c>
      <c r="X23" s="4" t="s">
        <v>189</v>
      </c>
      <c r="Y23" s="5" t="s">
        <v>190</v>
      </c>
      <c r="Z23" s="4" t="s">
        <v>191</v>
      </c>
      <c r="AA23" s="4" t="s">
        <v>192</v>
      </c>
      <c r="AB23" s="14" t="s">
        <v>193</v>
      </c>
      <c r="AC23" s="14" t="s">
        <v>194</v>
      </c>
      <c r="AD23" s="4"/>
      <c r="AE23" s="4"/>
      <c r="AF23" s="4" t="s">
        <v>188</v>
      </c>
      <c r="AG23" s="4" t="s">
        <v>189</v>
      </c>
      <c r="AH23" s="5" t="s">
        <v>190</v>
      </c>
      <c r="AI23" s="4" t="s">
        <v>191</v>
      </c>
      <c r="AJ23" s="4" t="s">
        <v>192</v>
      </c>
      <c r="AK23" s="14" t="s">
        <v>193</v>
      </c>
      <c r="AL23" s="14" t="s">
        <v>194</v>
      </c>
      <c r="AM23" s="4"/>
      <c r="AN23" s="4"/>
      <c r="AO23" s="4" t="s">
        <v>188</v>
      </c>
      <c r="AP23" s="4" t="s">
        <v>189</v>
      </c>
      <c r="AQ23" s="5" t="s">
        <v>190</v>
      </c>
      <c r="AR23" s="4" t="s">
        <v>191</v>
      </c>
      <c r="AS23" s="4" t="s">
        <v>192</v>
      </c>
      <c r="AT23" s="14" t="s">
        <v>193</v>
      </c>
      <c r="AU23" s="14" t="s">
        <v>194</v>
      </c>
      <c r="AZ23" s="2"/>
      <c r="BA23" s="2"/>
      <c r="BB23" s="3" t="s">
        <v>187</v>
      </c>
      <c r="BC23" s="4" t="s">
        <v>188</v>
      </c>
      <c r="BD23" s="4" t="s">
        <v>189</v>
      </c>
      <c r="BE23" s="5" t="s">
        <v>190</v>
      </c>
      <c r="BF23" s="4" t="s">
        <v>191</v>
      </c>
      <c r="BG23" s="4" t="s">
        <v>192</v>
      </c>
      <c r="BH23" s="4" t="s">
        <v>193</v>
      </c>
      <c r="BI23" s="4" t="s">
        <v>194</v>
      </c>
      <c r="BJ23" s="4"/>
      <c r="BK23" s="4"/>
      <c r="BL23" s="4"/>
      <c r="BM23" s="4"/>
      <c r="BN23" s="4"/>
      <c r="BO23" s="4"/>
    </row>
    <row r="24" ht="15.5" spans="1:67">
      <c r="A24" s="2" t="s">
        <v>195</v>
      </c>
      <c r="B24" s="6" t="s">
        <v>196</v>
      </c>
      <c r="C24" s="7">
        <f t="shared" ref="C24:J24" si="64">BB24/1000</f>
        <v>0.8898</v>
      </c>
      <c r="D24" s="7">
        <f t="shared" si="64"/>
        <v>0.8432</v>
      </c>
      <c r="E24" s="7">
        <f t="shared" si="64"/>
        <v>0.8038</v>
      </c>
      <c r="F24" s="7">
        <f t="shared" si="64"/>
        <v>0.7946</v>
      </c>
      <c r="G24" s="7">
        <f t="shared" si="64"/>
        <v>0.7665</v>
      </c>
      <c r="H24" s="7">
        <f t="shared" si="64"/>
        <v>0.8066</v>
      </c>
      <c r="I24" s="7">
        <f t="shared" si="64"/>
        <v>0.7946</v>
      </c>
      <c r="J24" s="7">
        <f t="shared" si="64"/>
        <v>0.7946</v>
      </c>
      <c r="K24" s="4"/>
      <c r="L24" s="4"/>
      <c r="M24" s="9">
        <v>5.937</v>
      </c>
      <c r="N24" s="9">
        <v>5.845</v>
      </c>
      <c r="O24" s="9">
        <v>5.575</v>
      </c>
      <c r="P24" s="9">
        <v>5.276</v>
      </c>
      <c r="Q24" s="9">
        <v>5.363</v>
      </c>
      <c r="R24" s="9">
        <v>6.645</v>
      </c>
      <c r="S24" s="9">
        <v>5.654</v>
      </c>
      <c r="T24" s="9"/>
      <c r="U24" s="2" t="s">
        <v>195</v>
      </c>
      <c r="V24" s="6" t="s">
        <v>196</v>
      </c>
      <c r="W24" s="12">
        <f t="shared" ref="W24:AC24" si="65">D24/M24</f>
        <v>0.142024591544551</v>
      </c>
      <c r="X24" s="12">
        <f t="shared" si="65"/>
        <v>0.137519247219846</v>
      </c>
      <c r="Y24" s="12">
        <f t="shared" si="65"/>
        <v>0.142529147982063</v>
      </c>
      <c r="Z24" s="12">
        <f t="shared" si="65"/>
        <v>0.145280515542077</v>
      </c>
      <c r="AA24" s="12">
        <f t="shared" si="65"/>
        <v>0.150400895021443</v>
      </c>
      <c r="AB24" s="15">
        <f t="shared" si="65"/>
        <v>0.119578630549285</v>
      </c>
      <c r="AC24" s="15">
        <f t="shared" si="65"/>
        <v>0.140537672444287</v>
      </c>
      <c r="AD24" s="4"/>
      <c r="AE24" s="4"/>
      <c r="AF24" s="12">
        <f t="shared" ref="AF24:AJ24" si="66">W24</f>
        <v>0.142024591544551</v>
      </c>
      <c r="AG24" s="12">
        <f t="shared" si="66"/>
        <v>0.137519247219846</v>
      </c>
      <c r="AH24" s="12">
        <f t="shared" si="66"/>
        <v>0.142529147982063</v>
      </c>
      <c r="AI24" s="12">
        <f t="shared" si="66"/>
        <v>0.145280515542077</v>
      </c>
      <c r="AJ24" s="12">
        <f t="shared" si="66"/>
        <v>0.150400895021443</v>
      </c>
      <c r="AK24" s="16">
        <f t="shared" ref="AK24:AK38" si="67">AB24*1.15</f>
        <v>0.137515425131678</v>
      </c>
      <c r="AL24" s="16">
        <f t="shared" ref="AL24:AL38" si="68">AC24*1.15</f>
        <v>0.16161832331093</v>
      </c>
      <c r="AM24" s="4"/>
      <c r="AN24" s="4"/>
      <c r="AO24" s="12">
        <f t="shared" ref="AO24:AS24" si="69">W24</f>
        <v>0.142024591544551</v>
      </c>
      <c r="AP24" s="12">
        <f t="shared" si="69"/>
        <v>0.137519247219846</v>
      </c>
      <c r="AQ24" s="12">
        <f t="shared" si="69"/>
        <v>0.142529147982063</v>
      </c>
      <c r="AR24" s="12">
        <f t="shared" si="69"/>
        <v>0.145280515542077</v>
      </c>
      <c r="AS24" s="12">
        <f t="shared" si="69"/>
        <v>0.150400895021443</v>
      </c>
      <c r="AT24" s="16">
        <f t="shared" ref="AT24:AT38" si="70">AB24*0.85</f>
        <v>0.101641835966892</v>
      </c>
      <c r="AU24" s="16">
        <f t="shared" ref="AU24:AU38" si="71">AC24*0.85</f>
        <v>0.119457021577644</v>
      </c>
      <c r="AZ24" s="2" t="s">
        <v>195</v>
      </c>
      <c r="BA24" s="6" t="s">
        <v>196</v>
      </c>
      <c r="BB24" s="7">
        <v>889.8</v>
      </c>
      <c r="BC24" s="12">
        <v>843.2</v>
      </c>
      <c r="BD24" s="12">
        <v>803.8</v>
      </c>
      <c r="BE24" s="12">
        <v>794.6</v>
      </c>
      <c r="BF24" s="12">
        <v>766.5</v>
      </c>
      <c r="BG24" s="12">
        <v>806.6</v>
      </c>
      <c r="BH24" s="12">
        <v>794.6</v>
      </c>
      <c r="BI24" s="12">
        <v>794.6</v>
      </c>
      <c r="BJ24" s="4"/>
      <c r="BK24" s="4"/>
      <c r="BL24" s="9"/>
      <c r="BM24" s="9"/>
      <c r="BN24" s="9"/>
      <c r="BO24" s="9"/>
    </row>
    <row r="25" ht="15.5" spans="1:67">
      <c r="A25" s="2"/>
      <c r="B25" s="6" t="s">
        <v>197</v>
      </c>
      <c r="C25" s="7">
        <f t="shared" ref="C25:J25" si="72">BB25/1000</f>
        <v>0.8124</v>
      </c>
      <c r="D25" s="7">
        <f t="shared" si="72"/>
        <v>0.7746</v>
      </c>
      <c r="E25" s="7">
        <f t="shared" si="72"/>
        <v>0.739</v>
      </c>
      <c r="F25" s="7">
        <f t="shared" si="72"/>
        <v>0.7307</v>
      </c>
      <c r="G25" s="7">
        <f t="shared" si="72"/>
        <v>0.7045</v>
      </c>
      <c r="H25" s="7">
        <f t="shared" si="72"/>
        <v>0.7424</v>
      </c>
      <c r="I25" s="7">
        <f t="shared" si="72"/>
        <v>0.7307</v>
      </c>
      <c r="J25" s="7">
        <f t="shared" si="72"/>
        <v>0.7307</v>
      </c>
      <c r="K25" s="4"/>
      <c r="L25" s="4"/>
      <c r="M25" s="10">
        <v>5.937</v>
      </c>
      <c r="N25" s="10">
        <v>5.845</v>
      </c>
      <c r="O25" s="10">
        <v>5.575</v>
      </c>
      <c r="P25" s="10">
        <v>5.276</v>
      </c>
      <c r="Q25" s="10">
        <v>5.363</v>
      </c>
      <c r="R25" s="10">
        <v>6.645</v>
      </c>
      <c r="S25" s="10">
        <v>5.654</v>
      </c>
      <c r="T25" s="10"/>
      <c r="U25" s="2"/>
      <c r="V25" s="6" t="s">
        <v>197</v>
      </c>
      <c r="W25" s="12">
        <f t="shared" ref="W25:AC25" si="73">D25/M25</f>
        <v>0.130469934310258</v>
      </c>
      <c r="X25" s="12">
        <f t="shared" si="73"/>
        <v>0.126432848588537</v>
      </c>
      <c r="Y25" s="12">
        <f t="shared" si="73"/>
        <v>0.131067264573991</v>
      </c>
      <c r="Z25" s="12">
        <f t="shared" si="73"/>
        <v>0.133529188779378</v>
      </c>
      <c r="AA25" s="12">
        <f t="shared" si="73"/>
        <v>0.138429983218348</v>
      </c>
      <c r="AB25" s="15">
        <f t="shared" si="73"/>
        <v>0.109962377727615</v>
      </c>
      <c r="AC25" s="15">
        <f t="shared" si="73"/>
        <v>0.129235939158118</v>
      </c>
      <c r="AD25" s="4"/>
      <c r="AE25" s="4"/>
      <c r="AF25" s="12">
        <f t="shared" ref="AF25:AJ25" si="74">W25</f>
        <v>0.130469934310258</v>
      </c>
      <c r="AG25" s="12">
        <f t="shared" si="74"/>
        <v>0.126432848588537</v>
      </c>
      <c r="AH25" s="12">
        <f t="shared" si="74"/>
        <v>0.131067264573991</v>
      </c>
      <c r="AI25" s="12">
        <f t="shared" si="74"/>
        <v>0.133529188779378</v>
      </c>
      <c r="AJ25" s="12">
        <f t="shared" si="74"/>
        <v>0.138429983218348</v>
      </c>
      <c r="AK25" s="16">
        <f t="shared" si="67"/>
        <v>0.126456734386757</v>
      </c>
      <c r="AL25" s="16">
        <f t="shared" si="68"/>
        <v>0.148621330031836</v>
      </c>
      <c r="AM25" s="4"/>
      <c r="AN25" s="4"/>
      <c r="AO25" s="12">
        <f t="shared" ref="AO25:AS25" si="75">W25</f>
        <v>0.130469934310258</v>
      </c>
      <c r="AP25" s="12">
        <f t="shared" si="75"/>
        <v>0.126432848588537</v>
      </c>
      <c r="AQ25" s="12">
        <f t="shared" si="75"/>
        <v>0.131067264573991</v>
      </c>
      <c r="AR25" s="12">
        <f t="shared" si="75"/>
        <v>0.133529188779378</v>
      </c>
      <c r="AS25" s="12">
        <f t="shared" si="75"/>
        <v>0.138429983218348</v>
      </c>
      <c r="AT25" s="16">
        <f t="shared" si="70"/>
        <v>0.0934680210684725</v>
      </c>
      <c r="AU25" s="16">
        <f t="shared" si="71"/>
        <v>0.1098505482844</v>
      </c>
      <c r="AZ25" s="2"/>
      <c r="BA25" s="6" t="s">
        <v>197</v>
      </c>
      <c r="BB25" s="7">
        <v>812.4</v>
      </c>
      <c r="BC25" s="12">
        <v>774.6</v>
      </c>
      <c r="BD25" s="12">
        <v>739</v>
      </c>
      <c r="BE25" s="12">
        <v>730.7</v>
      </c>
      <c r="BF25" s="12">
        <v>704.5</v>
      </c>
      <c r="BG25" s="12">
        <v>742.4</v>
      </c>
      <c r="BH25" s="12">
        <v>730.7</v>
      </c>
      <c r="BI25" s="12">
        <v>730.7</v>
      </c>
      <c r="BJ25" s="4"/>
      <c r="BK25" s="4"/>
      <c r="BL25" s="10"/>
      <c r="BM25" s="10"/>
      <c r="BN25" s="10"/>
      <c r="BO25" s="10"/>
    </row>
    <row r="26" ht="15.5" spans="1:67">
      <c r="A26" s="2"/>
      <c r="B26" s="6" t="s">
        <v>198</v>
      </c>
      <c r="C26" s="7">
        <f t="shared" ref="C26:J26" si="76">BB26/1000</f>
        <v>0.1699</v>
      </c>
      <c r="D26" s="7">
        <f t="shared" si="76"/>
        <v>0.1497</v>
      </c>
      <c r="E26" s="7">
        <f t="shared" si="76"/>
        <v>0.1418</v>
      </c>
      <c r="F26" s="7">
        <f t="shared" si="76"/>
        <v>0.1399</v>
      </c>
      <c r="G26" s="7">
        <f t="shared" si="76"/>
        <v>0.1359</v>
      </c>
      <c r="H26" s="7">
        <f t="shared" si="76"/>
        <v>0.1408</v>
      </c>
      <c r="I26" s="7">
        <f t="shared" si="76"/>
        <v>0.1399</v>
      </c>
      <c r="J26" s="7">
        <f t="shared" si="76"/>
        <v>0.1399</v>
      </c>
      <c r="K26" s="4"/>
      <c r="L26" s="4"/>
      <c r="M26" s="10">
        <v>5.937</v>
      </c>
      <c r="N26" s="10">
        <v>5.845</v>
      </c>
      <c r="O26" s="10">
        <v>5.575</v>
      </c>
      <c r="P26" s="10">
        <v>5.276</v>
      </c>
      <c r="Q26" s="10">
        <v>5.363</v>
      </c>
      <c r="R26" s="10">
        <v>6.645</v>
      </c>
      <c r="S26" s="10">
        <v>5.654</v>
      </c>
      <c r="T26" s="10"/>
      <c r="U26" s="2"/>
      <c r="V26" s="6" t="s">
        <v>198</v>
      </c>
      <c r="W26" s="12">
        <f t="shared" ref="W26:AC26" si="77">D26/M26</f>
        <v>0.0252147549267307</v>
      </c>
      <c r="X26" s="12">
        <f t="shared" si="77"/>
        <v>0.0242600513259196</v>
      </c>
      <c r="Y26" s="12">
        <f t="shared" si="77"/>
        <v>0.0250941704035874</v>
      </c>
      <c r="Z26" s="12">
        <f t="shared" si="77"/>
        <v>0.0257581501137225</v>
      </c>
      <c r="AA26" s="12">
        <f t="shared" si="77"/>
        <v>0.0262539623345143</v>
      </c>
      <c r="AB26" s="15">
        <f t="shared" si="77"/>
        <v>0.0210534236267871</v>
      </c>
      <c r="AC26" s="15">
        <f t="shared" si="77"/>
        <v>0.0247435443933498</v>
      </c>
      <c r="AD26" s="4"/>
      <c r="AE26" s="4"/>
      <c r="AF26" s="12">
        <f t="shared" ref="AF26:AJ26" si="78">W26</f>
        <v>0.0252147549267307</v>
      </c>
      <c r="AG26" s="12">
        <f t="shared" si="78"/>
        <v>0.0242600513259196</v>
      </c>
      <c r="AH26" s="12">
        <f t="shared" si="78"/>
        <v>0.0250941704035874</v>
      </c>
      <c r="AI26" s="12">
        <f t="shared" si="78"/>
        <v>0.0257581501137225</v>
      </c>
      <c r="AJ26" s="12">
        <f t="shared" si="78"/>
        <v>0.0262539623345143</v>
      </c>
      <c r="AK26" s="16">
        <f t="shared" si="67"/>
        <v>0.0242114371708051</v>
      </c>
      <c r="AL26" s="16">
        <f t="shared" si="68"/>
        <v>0.0284550760523523</v>
      </c>
      <c r="AM26" s="4"/>
      <c r="AN26" s="4"/>
      <c r="AO26" s="12">
        <f t="shared" ref="AO26:AS26" si="79">W26</f>
        <v>0.0252147549267307</v>
      </c>
      <c r="AP26" s="12">
        <f t="shared" si="79"/>
        <v>0.0242600513259196</v>
      </c>
      <c r="AQ26" s="12">
        <f t="shared" si="79"/>
        <v>0.0250941704035874</v>
      </c>
      <c r="AR26" s="12">
        <f t="shared" si="79"/>
        <v>0.0257581501137225</v>
      </c>
      <c r="AS26" s="12">
        <f t="shared" si="79"/>
        <v>0.0262539623345143</v>
      </c>
      <c r="AT26" s="16">
        <f t="shared" si="70"/>
        <v>0.017895410082769</v>
      </c>
      <c r="AU26" s="16">
        <f t="shared" si="71"/>
        <v>0.0210320127343474</v>
      </c>
      <c r="AZ26" s="2"/>
      <c r="BA26" s="6" t="s">
        <v>198</v>
      </c>
      <c r="BB26" s="7">
        <v>169.9</v>
      </c>
      <c r="BC26" s="12">
        <v>149.7</v>
      </c>
      <c r="BD26" s="12">
        <v>141.8</v>
      </c>
      <c r="BE26" s="12">
        <v>139.9</v>
      </c>
      <c r="BF26" s="12">
        <v>135.9</v>
      </c>
      <c r="BG26" s="12">
        <v>140.8</v>
      </c>
      <c r="BH26" s="12">
        <v>139.9</v>
      </c>
      <c r="BI26" s="12">
        <v>139.9</v>
      </c>
      <c r="BJ26" s="4"/>
      <c r="BK26" s="4"/>
      <c r="BL26" s="10"/>
      <c r="BM26" s="10"/>
      <c r="BN26" s="10"/>
      <c r="BO26" s="10"/>
    </row>
    <row r="27" ht="15.5" spans="1:67">
      <c r="A27" s="2"/>
      <c r="B27" s="6" t="s">
        <v>199</v>
      </c>
      <c r="C27" s="7">
        <f t="shared" ref="C27:J27" si="80">BB27/1000</f>
        <v>0.5978</v>
      </c>
      <c r="D27" s="7">
        <f t="shared" si="80"/>
        <v>0.5807</v>
      </c>
      <c r="E27" s="7">
        <f t="shared" si="80"/>
        <v>0.554</v>
      </c>
      <c r="F27" s="7">
        <f t="shared" si="80"/>
        <v>0.5478</v>
      </c>
      <c r="G27" s="7">
        <f t="shared" si="80"/>
        <v>0.526</v>
      </c>
      <c r="H27" s="7">
        <f t="shared" si="80"/>
        <v>0.5575</v>
      </c>
      <c r="I27" s="7">
        <f t="shared" si="80"/>
        <v>0.5478</v>
      </c>
      <c r="J27" s="7">
        <f t="shared" si="80"/>
        <v>0.5478</v>
      </c>
      <c r="K27" s="4"/>
      <c r="L27" s="4"/>
      <c r="M27" s="10">
        <v>5.937</v>
      </c>
      <c r="N27" s="10">
        <v>5.845</v>
      </c>
      <c r="O27" s="10">
        <v>5.575</v>
      </c>
      <c r="P27" s="10">
        <v>5.276</v>
      </c>
      <c r="Q27" s="10">
        <v>5.363</v>
      </c>
      <c r="R27" s="10">
        <v>6.645</v>
      </c>
      <c r="S27" s="10">
        <v>5.654</v>
      </c>
      <c r="T27" s="10"/>
      <c r="U27" s="2"/>
      <c r="V27" s="6" t="s">
        <v>199</v>
      </c>
      <c r="W27" s="12">
        <f t="shared" ref="W27:AC27" si="81">D27/M27</f>
        <v>0.0978103419235304</v>
      </c>
      <c r="X27" s="12">
        <f t="shared" si="81"/>
        <v>0.0947818648417451</v>
      </c>
      <c r="Y27" s="12">
        <f t="shared" si="81"/>
        <v>0.0982600896860986</v>
      </c>
      <c r="Z27" s="12">
        <f t="shared" si="81"/>
        <v>0.099696739954511</v>
      </c>
      <c r="AA27" s="12">
        <f t="shared" si="81"/>
        <v>0.103953011374231</v>
      </c>
      <c r="AB27" s="15">
        <f t="shared" si="81"/>
        <v>0.0824379232505643</v>
      </c>
      <c r="AC27" s="15">
        <f t="shared" si="81"/>
        <v>0.0968871595330739</v>
      </c>
      <c r="AD27" s="4"/>
      <c r="AE27" s="4"/>
      <c r="AF27" s="12">
        <f t="shared" ref="AF27:AJ27" si="82">W27</f>
        <v>0.0978103419235304</v>
      </c>
      <c r="AG27" s="12">
        <f t="shared" si="82"/>
        <v>0.0947818648417451</v>
      </c>
      <c r="AH27" s="12">
        <f t="shared" si="82"/>
        <v>0.0982600896860986</v>
      </c>
      <c r="AI27" s="12">
        <f t="shared" si="82"/>
        <v>0.099696739954511</v>
      </c>
      <c r="AJ27" s="12">
        <f t="shared" si="82"/>
        <v>0.103953011374231</v>
      </c>
      <c r="AK27" s="16">
        <f t="shared" si="67"/>
        <v>0.094803611738149</v>
      </c>
      <c r="AL27" s="16">
        <f t="shared" si="68"/>
        <v>0.111420233463035</v>
      </c>
      <c r="AM27" s="4"/>
      <c r="AN27" s="4"/>
      <c r="AO27" s="12">
        <f t="shared" ref="AO27:AS27" si="83">W27</f>
        <v>0.0978103419235304</v>
      </c>
      <c r="AP27" s="12">
        <f t="shared" si="83"/>
        <v>0.0947818648417451</v>
      </c>
      <c r="AQ27" s="12">
        <f t="shared" si="83"/>
        <v>0.0982600896860986</v>
      </c>
      <c r="AR27" s="12">
        <f t="shared" si="83"/>
        <v>0.099696739954511</v>
      </c>
      <c r="AS27" s="12">
        <f t="shared" si="83"/>
        <v>0.103953011374231</v>
      </c>
      <c r="AT27" s="16">
        <f t="shared" si="70"/>
        <v>0.0700722347629797</v>
      </c>
      <c r="AU27" s="16">
        <f t="shared" si="71"/>
        <v>0.0823540856031128</v>
      </c>
      <c r="AZ27" s="2"/>
      <c r="BA27" s="6" t="s">
        <v>199</v>
      </c>
      <c r="BB27" s="7">
        <v>597.8</v>
      </c>
      <c r="BC27" s="12">
        <v>580.7</v>
      </c>
      <c r="BD27" s="12">
        <v>554</v>
      </c>
      <c r="BE27" s="12">
        <v>547.8</v>
      </c>
      <c r="BF27" s="12">
        <v>526</v>
      </c>
      <c r="BG27" s="12">
        <v>557.5</v>
      </c>
      <c r="BH27" s="12">
        <v>547.8</v>
      </c>
      <c r="BI27" s="12">
        <v>547.8</v>
      </c>
      <c r="BJ27" s="4"/>
      <c r="BK27" s="4"/>
      <c r="BL27" s="10"/>
      <c r="BM27" s="10"/>
      <c r="BN27" s="10"/>
      <c r="BO27" s="10"/>
    </row>
    <row r="28" ht="15.5" spans="1:67">
      <c r="A28" s="2"/>
      <c r="B28" s="6" t="s">
        <v>200</v>
      </c>
      <c r="C28" s="7">
        <f t="shared" ref="C28:J28" si="84">BB28/1000</f>
        <v>0.085</v>
      </c>
      <c r="D28" s="7">
        <f t="shared" si="84"/>
        <v>0.0786</v>
      </c>
      <c r="E28" s="7">
        <f t="shared" si="84"/>
        <v>0.0763</v>
      </c>
      <c r="F28" s="7">
        <f t="shared" si="84"/>
        <v>0.0759</v>
      </c>
      <c r="G28" s="7">
        <f t="shared" si="84"/>
        <v>0.0737</v>
      </c>
      <c r="H28" s="7">
        <f t="shared" si="84"/>
        <v>0.076</v>
      </c>
      <c r="I28" s="7">
        <f t="shared" si="84"/>
        <v>0.0759</v>
      </c>
      <c r="J28" s="7">
        <f t="shared" si="84"/>
        <v>0.0759</v>
      </c>
      <c r="K28" s="4"/>
      <c r="L28" s="4"/>
      <c r="M28" s="10">
        <v>5.937</v>
      </c>
      <c r="N28" s="10">
        <v>5.845</v>
      </c>
      <c r="O28" s="10">
        <v>5.575</v>
      </c>
      <c r="P28" s="10">
        <v>5.276</v>
      </c>
      <c r="Q28" s="10">
        <v>5.363</v>
      </c>
      <c r="R28" s="10">
        <v>6.645</v>
      </c>
      <c r="S28" s="10">
        <v>5.654</v>
      </c>
      <c r="T28" s="10"/>
      <c r="U28" s="2"/>
      <c r="V28" s="6" t="s">
        <v>200</v>
      </c>
      <c r="W28" s="12">
        <f t="shared" ref="W28:AC28" si="85">D28/M28</f>
        <v>0.0132390096008085</v>
      </c>
      <c r="X28" s="12">
        <f t="shared" si="85"/>
        <v>0.0130538922155689</v>
      </c>
      <c r="Y28" s="12">
        <f t="shared" si="85"/>
        <v>0.0136143497757848</v>
      </c>
      <c r="Z28" s="12">
        <f t="shared" si="85"/>
        <v>0.0139689158453374</v>
      </c>
      <c r="AA28" s="12">
        <f t="shared" si="85"/>
        <v>0.0141711728510162</v>
      </c>
      <c r="AB28" s="15">
        <f t="shared" si="85"/>
        <v>0.0114221218961625</v>
      </c>
      <c r="AC28" s="15">
        <f t="shared" si="85"/>
        <v>0.0134241245136187</v>
      </c>
      <c r="AD28" s="4"/>
      <c r="AE28" s="4"/>
      <c r="AF28" s="12">
        <f t="shared" ref="AF28:AJ28" si="86">W28</f>
        <v>0.0132390096008085</v>
      </c>
      <c r="AG28" s="12">
        <f t="shared" si="86"/>
        <v>0.0130538922155689</v>
      </c>
      <c r="AH28" s="12">
        <f t="shared" si="86"/>
        <v>0.0136143497757848</v>
      </c>
      <c r="AI28" s="12">
        <f t="shared" si="86"/>
        <v>0.0139689158453374</v>
      </c>
      <c r="AJ28" s="12">
        <f t="shared" si="86"/>
        <v>0.0141711728510162</v>
      </c>
      <c r="AK28" s="16">
        <f t="shared" si="67"/>
        <v>0.0131354401805869</v>
      </c>
      <c r="AL28" s="16">
        <f t="shared" si="68"/>
        <v>0.0154377431906615</v>
      </c>
      <c r="AM28" s="4"/>
      <c r="AN28" s="4"/>
      <c r="AO28" s="12">
        <f t="shared" ref="AO28:AS28" si="87">W28</f>
        <v>0.0132390096008085</v>
      </c>
      <c r="AP28" s="12">
        <f t="shared" si="87"/>
        <v>0.0130538922155689</v>
      </c>
      <c r="AQ28" s="12">
        <f t="shared" si="87"/>
        <v>0.0136143497757848</v>
      </c>
      <c r="AR28" s="12">
        <f t="shared" si="87"/>
        <v>0.0139689158453374</v>
      </c>
      <c r="AS28" s="12">
        <f t="shared" si="87"/>
        <v>0.0141711728510162</v>
      </c>
      <c r="AT28" s="16">
        <f t="shared" si="70"/>
        <v>0.00970880361173815</v>
      </c>
      <c r="AU28" s="16">
        <f t="shared" si="71"/>
        <v>0.0114105058365759</v>
      </c>
      <c r="AZ28" s="2"/>
      <c r="BA28" s="6" t="s">
        <v>200</v>
      </c>
      <c r="BB28" s="7">
        <v>85</v>
      </c>
      <c r="BC28" s="12">
        <v>78.6</v>
      </c>
      <c r="BD28" s="12">
        <v>76.3</v>
      </c>
      <c r="BE28" s="12">
        <v>75.9</v>
      </c>
      <c r="BF28" s="12">
        <v>73.7</v>
      </c>
      <c r="BG28" s="12">
        <v>76</v>
      </c>
      <c r="BH28" s="12">
        <v>75.9</v>
      </c>
      <c r="BI28" s="12">
        <v>75.9</v>
      </c>
      <c r="BJ28" s="4"/>
      <c r="BK28" s="4"/>
      <c r="BL28" s="10"/>
      <c r="BM28" s="10"/>
      <c r="BN28" s="10"/>
      <c r="BO28" s="10"/>
    </row>
    <row r="29" ht="15.5" spans="1:67">
      <c r="A29" s="2" t="s">
        <v>201</v>
      </c>
      <c r="B29" s="6" t="s">
        <v>196</v>
      </c>
      <c r="C29" s="7">
        <f t="shared" ref="C29:J29" si="88">BB29/1000</f>
        <v>0.9068</v>
      </c>
      <c r="D29" s="7">
        <f t="shared" si="88"/>
        <v>0.8586</v>
      </c>
      <c r="E29" s="7">
        <f t="shared" si="88"/>
        <v>0.8184</v>
      </c>
      <c r="F29" s="7">
        <f t="shared" si="88"/>
        <v>0.8091</v>
      </c>
      <c r="G29" s="7">
        <f t="shared" si="88"/>
        <v>0.7811</v>
      </c>
      <c r="H29" s="7">
        <f t="shared" si="88"/>
        <v>0.8217</v>
      </c>
      <c r="I29" s="7">
        <f t="shared" si="88"/>
        <v>0.8091</v>
      </c>
      <c r="J29" s="7">
        <f t="shared" si="88"/>
        <v>0.8091</v>
      </c>
      <c r="K29" s="4"/>
      <c r="L29" s="4"/>
      <c r="M29" s="10">
        <v>5.937</v>
      </c>
      <c r="N29" s="10">
        <v>5.845</v>
      </c>
      <c r="O29" s="10">
        <v>5.575</v>
      </c>
      <c r="P29" s="10">
        <v>5.276</v>
      </c>
      <c r="Q29" s="10">
        <v>5.363</v>
      </c>
      <c r="R29" s="10">
        <v>6.645</v>
      </c>
      <c r="S29" s="10">
        <v>5.654</v>
      </c>
      <c r="T29" s="10"/>
      <c r="U29" s="2" t="s">
        <v>201</v>
      </c>
      <c r="V29" s="6" t="s">
        <v>196</v>
      </c>
      <c r="W29" s="12">
        <f t="shared" ref="W29:AC29" si="89">D29/M29</f>
        <v>0.144618494188984</v>
      </c>
      <c r="X29" s="12">
        <f t="shared" si="89"/>
        <v>0.140017108639863</v>
      </c>
      <c r="Y29" s="12">
        <f t="shared" si="89"/>
        <v>0.145130044843049</v>
      </c>
      <c r="Z29" s="12">
        <f t="shared" si="89"/>
        <v>0.148047763457165</v>
      </c>
      <c r="AA29" s="12">
        <f t="shared" si="89"/>
        <v>0.153216483311579</v>
      </c>
      <c r="AB29" s="15">
        <f t="shared" si="89"/>
        <v>0.12176072234763</v>
      </c>
      <c r="AC29" s="15">
        <f t="shared" si="89"/>
        <v>0.143102228510789</v>
      </c>
      <c r="AD29" s="4"/>
      <c r="AE29" s="4"/>
      <c r="AF29" s="12">
        <f t="shared" ref="AF29:AJ29" si="90">W29</f>
        <v>0.144618494188984</v>
      </c>
      <c r="AG29" s="12">
        <f t="shared" si="90"/>
        <v>0.140017108639863</v>
      </c>
      <c r="AH29" s="12">
        <f t="shared" si="90"/>
        <v>0.145130044843049</v>
      </c>
      <c r="AI29" s="12">
        <f t="shared" si="90"/>
        <v>0.148047763457165</v>
      </c>
      <c r="AJ29" s="12">
        <f t="shared" si="90"/>
        <v>0.153216483311579</v>
      </c>
      <c r="AK29" s="16">
        <f t="shared" si="67"/>
        <v>0.140024830699774</v>
      </c>
      <c r="AL29" s="16">
        <f t="shared" si="68"/>
        <v>0.164567562787407</v>
      </c>
      <c r="AM29" s="4"/>
      <c r="AN29" s="4"/>
      <c r="AO29" s="12">
        <f t="shared" ref="AO29:AS29" si="91">W29</f>
        <v>0.144618494188984</v>
      </c>
      <c r="AP29" s="12">
        <f t="shared" si="91"/>
        <v>0.140017108639863</v>
      </c>
      <c r="AQ29" s="12">
        <f t="shared" si="91"/>
        <v>0.145130044843049</v>
      </c>
      <c r="AR29" s="12">
        <f t="shared" si="91"/>
        <v>0.148047763457165</v>
      </c>
      <c r="AS29" s="12">
        <f t="shared" si="91"/>
        <v>0.153216483311579</v>
      </c>
      <c r="AT29" s="16">
        <f t="shared" si="70"/>
        <v>0.103496613995485</v>
      </c>
      <c r="AU29" s="16">
        <f t="shared" si="71"/>
        <v>0.12163689423417</v>
      </c>
      <c r="AZ29" s="2" t="s">
        <v>201</v>
      </c>
      <c r="BA29" s="6" t="s">
        <v>196</v>
      </c>
      <c r="BB29" s="7">
        <v>906.8</v>
      </c>
      <c r="BC29" s="12">
        <v>858.6</v>
      </c>
      <c r="BD29" s="12">
        <v>818.4</v>
      </c>
      <c r="BE29" s="12">
        <v>809.1</v>
      </c>
      <c r="BF29" s="12">
        <v>781.1</v>
      </c>
      <c r="BG29" s="12">
        <v>821.7</v>
      </c>
      <c r="BH29" s="12">
        <v>809.1</v>
      </c>
      <c r="BI29" s="12">
        <v>809.1</v>
      </c>
      <c r="BJ29" s="4"/>
      <c r="BK29" s="4"/>
      <c r="BL29" s="10"/>
      <c r="BM29" s="10"/>
      <c r="BN29" s="10"/>
      <c r="BO29" s="10"/>
    </row>
    <row r="30" ht="15.5" spans="1:67">
      <c r="A30" s="2"/>
      <c r="B30" s="6" t="s">
        <v>197</v>
      </c>
      <c r="C30" s="7">
        <f t="shared" ref="C30:J30" si="92">BB30/1000</f>
        <v>0.8303</v>
      </c>
      <c r="D30" s="7">
        <f t="shared" si="92"/>
        <v>0.7909</v>
      </c>
      <c r="E30" s="7">
        <f t="shared" si="92"/>
        <v>0.7545</v>
      </c>
      <c r="F30" s="7">
        <f t="shared" si="92"/>
        <v>0.746</v>
      </c>
      <c r="G30" s="7">
        <f t="shared" si="92"/>
        <v>0.7199</v>
      </c>
      <c r="H30" s="7">
        <f t="shared" si="92"/>
        <v>0.7584</v>
      </c>
      <c r="I30" s="7">
        <f t="shared" si="92"/>
        <v>0.746</v>
      </c>
      <c r="J30" s="7">
        <f t="shared" si="92"/>
        <v>0.746</v>
      </c>
      <c r="K30" s="4"/>
      <c r="L30" s="4"/>
      <c r="M30" s="10">
        <v>5.937</v>
      </c>
      <c r="N30" s="10">
        <v>5.845</v>
      </c>
      <c r="O30" s="10">
        <v>5.575</v>
      </c>
      <c r="P30" s="10">
        <v>5.276</v>
      </c>
      <c r="Q30" s="10">
        <v>5.363</v>
      </c>
      <c r="R30" s="10">
        <v>6.645</v>
      </c>
      <c r="S30" s="10">
        <v>5.654</v>
      </c>
      <c r="T30" s="10"/>
      <c r="U30" s="2"/>
      <c r="V30" s="6" t="s">
        <v>197</v>
      </c>
      <c r="W30" s="12">
        <f t="shared" ref="W30:AC30" si="93">D30/M30</f>
        <v>0.133215428667677</v>
      </c>
      <c r="X30" s="12">
        <f t="shared" si="93"/>
        <v>0.129084687767322</v>
      </c>
      <c r="Y30" s="12">
        <f t="shared" si="93"/>
        <v>0.133811659192825</v>
      </c>
      <c r="Z30" s="12">
        <f t="shared" si="93"/>
        <v>0.13644806671721</v>
      </c>
      <c r="AA30" s="12">
        <f t="shared" si="93"/>
        <v>0.141413388029088</v>
      </c>
      <c r="AB30" s="15">
        <f t="shared" si="93"/>
        <v>0.112264860797592</v>
      </c>
      <c r="AC30" s="15">
        <f t="shared" si="93"/>
        <v>0.131941987973116</v>
      </c>
      <c r="AD30" s="4"/>
      <c r="AE30" s="4"/>
      <c r="AF30" s="12">
        <f t="shared" ref="AF30:AJ30" si="94">W30</f>
        <v>0.133215428667677</v>
      </c>
      <c r="AG30" s="12">
        <f t="shared" si="94"/>
        <v>0.129084687767322</v>
      </c>
      <c r="AH30" s="12">
        <f t="shared" si="94"/>
        <v>0.133811659192825</v>
      </c>
      <c r="AI30" s="12">
        <f t="shared" si="94"/>
        <v>0.13644806671721</v>
      </c>
      <c r="AJ30" s="12">
        <f t="shared" si="94"/>
        <v>0.141413388029088</v>
      </c>
      <c r="AK30" s="16">
        <f t="shared" si="67"/>
        <v>0.129104589917231</v>
      </c>
      <c r="AL30" s="16">
        <f t="shared" si="68"/>
        <v>0.151733286169084</v>
      </c>
      <c r="AM30" s="4"/>
      <c r="AN30" s="4"/>
      <c r="AO30" s="12">
        <f t="shared" ref="AO30:AS30" si="95">W30</f>
        <v>0.133215428667677</v>
      </c>
      <c r="AP30" s="12">
        <f t="shared" si="95"/>
        <v>0.129084687767322</v>
      </c>
      <c r="AQ30" s="12">
        <f t="shared" si="95"/>
        <v>0.133811659192825</v>
      </c>
      <c r="AR30" s="12">
        <f t="shared" si="95"/>
        <v>0.13644806671721</v>
      </c>
      <c r="AS30" s="12">
        <f t="shared" si="95"/>
        <v>0.141413388029088</v>
      </c>
      <c r="AT30" s="16">
        <f t="shared" si="70"/>
        <v>0.0954251316779534</v>
      </c>
      <c r="AU30" s="16">
        <f t="shared" si="71"/>
        <v>0.112150689777149</v>
      </c>
      <c r="AZ30" s="2"/>
      <c r="BA30" s="6" t="s">
        <v>197</v>
      </c>
      <c r="BB30" s="7">
        <v>830.3</v>
      </c>
      <c r="BC30" s="12">
        <v>790.9</v>
      </c>
      <c r="BD30" s="12">
        <v>754.5</v>
      </c>
      <c r="BE30" s="12">
        <v>746</v>
      </c>
      <c r="BF30" s="12">
        <v>719.9</v>
      </c>
      <c r="BG30" s="12">
        <v>758.4</v>
      </c>
      <c r="BH30" s="12">
        <v>746</v>
      </c>
      <c r="BI30" s="12">
        <v>746</v>
      </c>
      <c r="BJ30" s="4"/>
      <c r="BK30" s="4"/>
      <c r="BL30" s="10"/>
      <c r="BM30" s="10"/>
      <c r="BN30" s="10"/>
      <c r="BO30" s="10"/>
    </row>
    <row r="31" ht="15.5" spans="1:67">
      <c r="A31" s="2"/>
      <c r="B31" s="6" t="s">
        <v>198</v>
      </c>
      <c r="C31" s="7">
        <f t="shared" ref="C31:J31" si="96">BB31/1000</f>
        <v>0.2079</v>
      </c>
      <c r="D31" s="7">
        <f t="shared" si="96"/>
        <v>0.1842</v>
      </c>
      <c r="E31" s="7">
        <f t="shared" si="96"/>
        <v>0.1746</v>
      </c>
      <c r="F31" s="7">
        <f t="shared" si="96"/>
        <v>0.1724</v>
      </c>
      <c r="G31" s="7">
        <f t="shared" si="96"/>
        <v>0.1687</v>
      </c>
      <c r="H31" s="7">
        <f t="shared" si="96"/>
        <v>0.1747</v>
      </c>
      <c r="I31" s="7">
        <f t="shared" si="96"/>
        <v>0.1724</v>
      </c>
      <c r="J31" s="7">
        <f t="shared" si="96"/>
        <v>0.1724</v>
      </c>
      <c r="K31" s="4"/>
      <c r="L31" s="4"/>
      <c r="M31" s="10">
        <v>5.937</v>
      </c>
      <c r="N31" s="10">
        <v>5.845</v>
      </c>
      <c r="O31" s="10">
        <v>5.575</v>
      </c>
      <c r="P31" s="10">
        <v>5.276</v>
      </c>
      <c r="Q31" s="10">
        <v>5.363</v>
      </c>
      <c r="R31" s="10">
        <v>6.645</v>
      </c>
      <c r="S31" s="10">
        <v>5.654</v>
      </c>
      <c r="T31" s="10"/>
      <c r="U31" s="2"/>
      <c r="V31" s="6" t="s">
        <v>198</v>
      </c>
      <c r="W31" s="12">
        <f t="shared" ref="W31:AC31" si="97">D31/M31</f>
        <v>0.0310257705912077</v>
      </c>
      <c r="X31" s="12">
        <f t="shared" si="97"/>
        <v>0.0298716852010265</v>
      </c>
      <c r="Y31" s="12">
        <f t="shared" si="97"/>
        <v>0.0309237668161435</v>
      </c>
      <c r="Z31" s="12">
        <f t="shared" si="97"/>
        <v>0.0319749810462472</v>
      </c>
      <c r="AA31" s="12">
        <f t="shared" si="97"/>
        <v>0.0325750512772702</v>
      </c>
      <c r="AB31" s="15">
        <f t="shared" si="97"/>
        <v>0.0259443190368698</v>
      </c>
      <c r="AC31" s="15">
        <f t="shared" si="97"/>
        <v>0.0304916873010258</v>
      </c>
      <c r="AD31" s="4"/>
      <c r="AE31" s="4"/>
      <c r="AF31" s="12">
        <f t="shared" ref="AF31:AJ31" si="98">W31</f>
        <v>0.0310257705912077</v>
      </c>
      <c r="AG31" s="12">
        <f t="shared" si="98"/>
        <v>0.0298716852010265</v>
      </c>
      <c r="AH31" s="12">
        <f t="shared" si="98"/>
        <v>0.0309237668161435</v>
      </c>
      <c r="AI31" s="12">
        <f t="shared" si="98"/>
        <v>0.0319749810462472</v>
      </c>
      <c r="AJ31" s="12">
        <f t="shared" si="98"/>
        <v>0.0325750512772702</v>
      </c>
      <c r="AK31" s="16">
        <f t="shared" si="67"/>
        <v>0.0298359668924003</v>
      </c>
      <c r="AL31" s="16">
        <f t="shared" si="68"/>
        <v>0.0350654403961797</v>
      </c>
      <c r="AM31" s="4"/>
      <c r="AN31" s="4"/>
      <c r="AO31" s="12">
        <f t="shared" ref="AO31:AS31" si="99">W31</f>
        <v>0.0310257705912077</v>
      </c>
      <c r="AP31" s="12">
        <f t="shared" si="99"/>
        <v>0.0298716852010265</v>
      </c>
      <c r="AQ31" s="12">
        <f t="shared" si="99"/>
        <v>0.0309237668161435</v>
      </c>
      <c r="AR31" s="12">
        <f t="shared" si="99"/>
        <v>0.0319749810462472</v>
      </c>
      <c r="AS31" s="12">
        <f t="shared" si="99"/>
        <v>0.0325750512772702</v>
      </c>
      <c r="AT31" s="16">
        <f t="shared" si="70"/>
        <v>0.0220526711813394</v>
      </c>
      <c r="AU31" s="16">
        <f t="shared" si="71"/>
        <v>0.0259179342058719</v>
      </c>
      <c r="AZ31" s="2"/>
      <c r="BA31" s="6" t="s">
        <v>198</v>
      </c>
      <c r="BB31" s="7">
        <v>207.9</v>
      </c>
      <c r="BC31" s="12">
        <v>184.2</v>
      </c>
      <c r="BD31" s="12">
        <v>174.6</v>
      </c>
      <c r="BE31" s="12">
        <v>172.4</v>
      </c>
      <c r="BF31" s="12">
        <v>168.7</v>
      </c>
      <c r="BG31" s="12">
        <v>174.7</v>
      </c>
      <c r="BH31" s="12">
        <v>172.4</v>
      </c>
      <c r="BI31" s="12">
        <v>172.4</v>
      </c>
      <c r="BJ31" s="4"/>
      <c r="BK31" s="4"/>
      <c r="BL31" s="10"/>
      <c r="BM31" s="10"/>
      <c r="BN31" s="10"/>
      <c r="BO31" s="10"/>
    </row>
    <row r="32" ht="15.5" spans="1:67">
      <c r="A32" s="2"/>
      <c r="B32" s="6" t="s">
        <v>199</v>
      </c>
      <c r="C32" s="7">
        <f t="shared" ref="C32:J32" si="100">BB32/1000</f>
        <v>0.5747</v>
      </c>
      <c r="D32" s="7">
        <f t="shared" si="100"/>
        <v>0.5597</v>
      </c>
      <c r="E32" s="7">
        <f t="shared" si="100"/>
        <v>0.534</v>
      </c>
      <c r="F32" s="7">
        <f t="shared" si="100"/>
        <v>0.528</v>
      </c>
      <c r="G32" s="7">
        <f t="shared" si="100"/>
        <v>0.5061</v>
      </c>
      <c r="H32" s="7">
        <f t="shared" si="100"/>
        <v>0.5369</v>
      </c>
      <c r="I32" s="7">
        <f t="shared" si="100"/>
        <v>0.528</v>
      </c>
      <c r="J32" s="7">
        <f t="shared" si="100"/>
        <v>0.528</v>
      </c>
      <c r="K32" s="4"/>
      <c r="L32" s="4"/>
      <c r="M32" s="10">
        <v>5.937</v>
      </c>
      <c r="N32" s="10">
        <v>5.845</v>
      </c>
      <c r="O32" s="10">
        <v>5.575</v>
      </c>
      <c r="P32" s="10">
        <v>5.276</v>
      </c>
      <c r="Q32" s="10">
        <v>5.363</v>
      </c>
      <c r="R32" s="10">
        <v>6.645</v>
      </c>
      <c r="S32" s="10">
        <v>5.654</v>
      </c>
      <c r="T32" s="10"/>
      <c r="U32" s="2"/>
      <c r="V32" s="6" t="s">
        <v>199</v>
      </c>
      <c r="W32" s="12">
        <f t="shared" ref="W32:AC32" si="101">D32/M32</f>
        <v>0.0942732019538488</v>
      </c>
      <c r="X32" s="12">
        <f t="shared" si="101"/>
        <v>0.0913601368691189</v>
      </c>
      <c r="Y32" s="12">
        <f t="shared" si="101"/>
        <v>0.0947085201793722</v>
      </c>
      <c r="Z32" s="12">
        <f t="shared" si="101"/>
        <v>0.0959249431387415</v>
      </c>
      <c r="AA32" s="12">
        <f t="shared" si="101"/>
        <v>0.100111877680403</v>
      </c>
      <c r="AB32" s="15">
        <f t="shared" si="101"/>
        <v>0.0794582392776524</v>
      </c>
      <c r="AC32" s="15">
        <f t="shared" si="101"/>
        <v>0.0933852140077821</v>
      </c>
      <c r="AD32" s="4"/>
      <c r="AE32" s="4"/>
      <c r="AF32" s="12">
        <f t="shared" ref="AF32:AJ32" si="102">W32</f>
        <v>0.0942732019538488</v>
      </c>
      <c r="AG32" s="12">
        <f t="shared" si="102"/>
        <v>0.0913601368691189</v>
      </c>
      <c r="AH32" s="12">
        <f t="shared" si="102"/>
        <v>0.0947085201793722</v>
      </c>
      <c r="AI32" s="12">
        <f t="shared" si="102"/>
        <v>0.0959249431387415</v>
      </c>
      <c r="AJ32" s="12">
        <f t="shared" si="102"/>
        <v>0.100111877680403</v>
      </c>
      <c r="AK32" s="16">
        <f t="shared" si="67"/>
        <v>0.0913769751693002</v>
      </c>
      <c r="AL32" s="16">
        <f t="shared" si="68"/>
        <v>0.107392996108949</v>
      </c>
      <c r="AM32" s="4"/>
      <c r="AN32" s="4"/>
      <c r="AO32" s="12">
        <f t="shared" ref="AO32:AS32" si="103">W32</f>
        <v>0.0942732019538488</v>
      </c>
      <c r="AP32" s="12">
        <f t="shared" si="103"/>
        <v>0.0913601368691189</v>
      </c>
      <c r="AQ32" s="12">
        <f t="shared" si="103"/>
        <v>0.0947085201793722</v>
      </c>
      <c r="AR32" s="12">
        <f t="shared" si="103"/>
        <v>0.0959249431387415</v>
      </c>
      <c r="AS32" s="12">
        <f t="shared" si="103"/>
        <v>0.100111877680403</v>
      </c>
      <c r="AT32" s="16">
        <f t="shared" si="70"/>
        <v>0.0675395033860045</v>
      </c>
      <c r="AU32" s="16">
        <f t="shared" si="71"/>
        <v>0.0793774319066148</v>
      </c>
      <c r="AZ32" s="2"/>
      <c r="BA32" s="6" t="s">
        <v>199</v>
      </c>
      <c r="BB32" s="7">
        <v>574.7</v>
      </c>
      <c r="BC32" s="12">
        <v>559.7</v>
      </c>
      <c r="BD32" s="12">
        <v>534</v>
      </c>
      <c r="BE32" s="12">
        <v>528</v>
      </c>
      <c r="BF32" s="12">
        <v>506.1</v>
      </c>
      <c r="BG32" s="12">
        <v>536.9</v>
      </c>
      <c r="BH32" s="12">
        <v>528</v>
      </c>
      <c r="BI32" s="12">
        <v>528</v>
      </c>
      <c r="BJ32" s="4"/>
      <c r="BK32" s="4"/>
      <c r="BL32" s="10"/>
      <c r="BM32" s="10"/>
      <c r="BN32" s="10"/>
      <c r="BO32" s="10"/>
    </row>
    <row r="33" ht="15.5" spans="1:67">
      <c r="A33" s="2"/>
      <c r="B33" s="6" t="s">
        <v>200</v>
      </c>
      <c r="C33" s="7">
        <f t="shared" ref="C33:J33" si="104">BB33/1000</f>
        <v>0.088</v>
      </c>
      <c r="D33" s="7">
        <f t="shared" si="104"/>
        <v>0.0814</v>
      </c>
      <c r="E33" s="7">
        <f t="shared" si="104"/>
        <v>0.079</v>
      </c>
      <c r="F33" s="7">
        <f t="shared" si="104"/>
        <v>0.0785</v>
      </c>
      <c r="G33" s="7">
        <f t="shared" si="104"/>
        <v>0.0764</v>
      </c>
      <c r="H33" s="7">
        <f t="shared" si="104"/>
        <v>0.0787</v>
      </c>
      <c r="I33" s="7">
        <f t="shared" si="104"/>
        <v>0.0785</v>
      </c>
      <c r="J33" s="7">
        <f t="shared" si="104"/>
        <v>0.0785</v>
      </c>
      <c r="K33" s="4"/>
      <c r="L33" s="4"/>
      <c r="M33" s="10">
        <v>5.937</v>
      </c>
      <c r="N33" s="10">
        <v>5.845</v>
      </c>
      <c r="O33" s="10">
        <v>5.575</v>
      </c>
      <c r="P33" s="10">
        <v>5.276</v>
      </c>
      <c r="Q33" s="10">
        <v>5.363</v>
      </c>
      <c r="R33" s="10">
        <v>6.645</v>
      </c>
      <c r="S33" s="10">
        <v>5.654</v>
      </c>
      <c r="T33" s="10"/>
      <c r="U33" s="2"/>
      <c r="V33" s="6" t="s">
        <v>200</v>
      </c>
      <c r="W33" s="12">
        <f t="shared" ref="W33:AC33" si="105">D33/M33</f>
        <v>0.0137106282634327</v>
      </c>
      <c r="X33" s="12">
        <f t="shared" si="105"/>
        <v>0.0135158254918734</v>
      </c>
      <c r="Y33" s="12">
        <f t="shared" si="105"/>
        <v>0.0140807174887892</v>
      </c>
      <c r="Z33" s="12">
        <f t="shared" si="105"/>
        <v>0.0144806671721001</v>
      </c>
      <c r="AA33" s="12">
        <f t="shared" si="105"/>
        <v>0.0146746224128286</v>
      </c>
      <c r="AB33" s="15">
        <f t="shared" si="105"/>
        <v>0.0118133935289691</v>
      </c>
      <c r="AC33" s="15">
        <f t="shared" si="105"/>
        <v>0.0138839759462328</v>
      </c>
      <c r="AD33" s="4"/>
      <c r="AE33" s="4"/>
      <c r="AF33" s="12">
        <f t="shared" ref="AF33:AJ33" si="106">W33</f>
        <v>0.0137106282634327</v>
      </c>
      <c r="AG33" s="12">
        <f t="shared" si="106"/>
        <v>0.0135158254918734</v>
      </c>
      <c r="AH33" s="12">
        <f t="shared" si="106"/>
        <v>0.0140807174887892</v>
      </c>
      <c r="AI33" s="12">
        <f t="shared" si="106"/>
        <v>0.0144806671721001</v>
      </c>
      <c r="AJ33" s="12">
        <f t="shared" si="106"/>
        <v>0.0146746224128286</v>
      </c>
      <c r="AK33" s="16">
        <f t="shared" si="67"/>
        <v>0.0135854025583145</v>
      </c>
      <c r="AL33" s="16">
        <f t="shared" si="68"/>
        <v>0.0159665723381677</v>
      </c>
      <c r="AM33" s="4"/>
      <c r="AN33" s="4"/>
      <c r="AO33" s="12">
        <f t="shared" ref="AO33:AS33" si="107">W33</f>
        <v>0.0137106282634327</v>
      </c>
      <c r="AP33" s="12">
        <f t="shared" si="107"/>
        <v>0.0135158254918734</v>
      </c>
      <c r="AQ33" s="12">
        <f t="shared" si="107"/>
        <v>0.0140807174887892</v>
      </c>
      <c r="AR33" s="12">
        <f t="shared" si="107"/>
        <v>0.0144806671721001</v>
      </c>
      <c r="AS33" s="12">
        <f t="shared" si="107"/>
        <v>0.0146746224128286</v>
      </c>
      <c r="AT33" s="16">
        <f t="shared" si="70"/>
        <v>0.0100413844996238</v>
      </c>
      <c r="AU33" s="16">
        <f t="shared" si="71"/>
        <v>0.0118013795542978</v>
      </c>
      <c r="AZ33" s="2"/>
      <c r="BA33" s="6" t="s">
        <v>200</v>
      </c>
      <c r="BB33" s="7">
        <v>88</v>
      </c>
      <c r="BC33" s="12">
        <v>81.4</v>
      </c>
      <c r="BD33" s="12">
        <v>79</v>
      </c>
      <c r="BE33" s="12">
        <v>78.5</v>
      </c>
      <c r="BF33" s="12">
        <v>76.4</v>
      </c>
      <c r="BG33" s="12">
        <v>78.7</v>
      </c>
      <c r="BH33" s="12">
        <v>78.5</v>
      </c>
      <c r="BI33" s="12">
        <v>78.5</v>
      </c>
      <c r="BJ33" s="4"/>
      <c r="BK33" s="4"/>
      <c r="BL33" s="10"/>
      <c r="BM33" s="10"/>
      <c r="BN33" s="10"/>
      <c r="BO33" s="10"/>
    </row>
    <row r="34" ht="15.5" spans="1:67">
      <c r="A34" s="2" t="s">
        <v>11</v>
      </c>
      <c r="B34" s="6" t="s">
        <v>196</v>
      </c>
      <c r="C34" s="7">
        <f t="shared" ref="C34:J34" si="108">BB34/1000</f>
        <v>0.9217</v>
      </c>
      <c r="D34" s="7">
        <f t="shared" si="108"/>
        <v>0.8721</v>
      </c>
      <c r="E34" s="7">
        <f t="shared" si="108"/>
        <v>0.8313</v>
      </c>
      <c r="F34" s="7">
        <f t="shared" si="108"/>
        <v>0.8218</v>
      </c>
      <c r="G34" s="7">
        <f t="shared" si="108"/>
        <v>0.794</v>
      </c>
      <c r="H34" s="7">
        <f t="shared" si="108"/>
        <v>0.835</v>
      </c>
      <c r="I34" s="7">
        <f t="shared" si="108"/>
        <v>0.8218</v>
      </c>
      <c r="J34" s="7">
        <f t="shared" si="108"/>
        <v>0.8218</v>
      </c>
      <c r="K34" s="4"/>
      <c r="L34" s="4"/>
      <c r="M34" s="10">
        <v>5.937</v>
      </c>
      <c r="N34" s="10">
        <v>5.845</v>
      </c>
      <c r="O34" s="10">
        <v>5.575</v>
      </c>
      <c r="P34" s="10">
        <v>5.276</v>
      </c>
      <c r="Q34" s="10">
        <v>5.363</v>
      </c>
      <c r="R34" s="10">
        <v>6.645</v>
      </c>
      <c r="S34" s="10">
        <v>5.654</v>
      </c>
      <c r="T34" s="10"/>
      <c r="U34" s="2" t="s">
        <v>11</v>
      </c>
      <c r="V34" s="6" t="s">
        <v>196</v>
      </c>
      <c r="W34" s="12">
        <f t="shared" ref="W34:AC34" si="109">D34/M34</f>
        <v>0.14689236988378</v>
      </c>
      <c r="X34" s="12">
        <f t="shared" si="109"/>
        <v>0.142224123182207</v>
      </c>
      <c r="Y34" s="12">
        <f t="shared" si="109"/>
        <v>0.147408071748879</v>
      </c>
      <c r="Z34" s="12">
        <f t="shared" si="109"/>
        <v>0.15049279757392</v>
      </c>
      <c r="AA34" s="12">
        <f t="shared" si="109"/>
        <v>0.155696438560507</v>
      </c>
      <c r="AB34" s="15">
        <f t="shared" si="109"/>
        <v>0.123671933784801</v>
      </c>
      <c r="AC34" s="15">
        <f t="shared" si="109"/>
        <v>0.145348425893173</v>
      </c>
      <c r="AD34" s="4"/>
      <c r="AE34" s="4"/>
      <c r="AF34" s="12">
        <f t="shared" ref="AF34:AJ34" si="110">W34</f>
        <v>0.14689236988378</v>
      </c>
      <c r="AG34" s="12">
        <f t="shared" si="110"/>
        <v>0.142224123182207</v>
      </c>
      <c r="AH34" s="12">
        <f t="shared" si="110"/>
        <v>0.147408071748879</v>
      </c>
      <c r="AI34" s="12">
        <f t="shared" si="110"/>
        <v>0.15049279757392</v>
      </c>
      <c r="AJ34" s="12">
        <f t="shared" si="110"/>
        <v>0.155696438560507</v>
      </c>
      <c r="AK34" s="16">
        <f t="shared" si="67"/>
        <v>0.142222723852521</v>
      </c>
      <c r="AL34" s="16">
        <f t="shared" si="68"/>
        <v>0.167150689777149</v>
      </c>
      <c r="AM34" s="4"/>
      <c r="AN34" s="4"/>
      <c r="AO34" s="12">
        <f t="shared" ref="AO34:AS34" si="111">W34</f>
        <v>0.14689236988378</v>
      </c>
      <c r="AP34" s="12">
        <f t="shared" si="111"/>
        <v>0.142224123182207</v>
      </c>
      <c r="AQ34" s="12">
        <f t="shared" si="111"/>
        <v>0.147408071748879</v>
      </c>
      <c r="AR34" s="12">
        <f t="shared" si="111"/>
        <v>0.15049279757392</v>
      </c>
      <c r="AS34" s="12">
        <f t="shared" si="111"/>
        <v>0.155696438560507</v>
      </c>
      <c r="AT34" s="16">
        <f t="shared" si="70"/>
        <v>0.105121143717081</v>
      </c>
      <c r="AU34" s="16">
        <f t="shared" si="71"/>
        <v>0.123546162009197</v>
      </c>
      <c r="AZ34" s="2" t="s">
        <v>11</v>
      </c>
      <c r="BA34" s="6" t="s">
        <v>196</v>
      </c>
      <c r="BB34" s="7">
        <v>921.7</v>
      </c>
      <c r="BC34" s="12">
        <v>872.1</v>
      </c>
      <c r="BD34" s="12">
        <v>831.3</v>
      </c>
      <c r="BE34" s="12">
        <v>821.8</v>
      </c>
      <c r="BF34" s="12">
        <v>794</v>
      </c>
      <c r="BG34" s="12">
        <v>835</v>
      </c>
      <c r="BH34" s="12">
        <v>821.8</v>
      </c>
      <c r="BI34" s="12">
        <v>821.8</v>
      </c>
      <c r="BJ34" s="4"/>
      <c r="BK34" s="4"/>
      <c r="BL34" s="10"/>
      <c r="BM34" s="10"/>
      <c r="BN34" s="10"/>
      <c r="BO34" s="10"/>
    </row>
    <row r="35" ht="15.5" spans="1:67">
      <c r="A35" s="2"/>
      <c r="B35" s="6" t="s">
        <v>197</v>
      </c>
      <c r="C35" s="7">
        <f t="shared" ref="C35:J35" si="112">BB35/1000</f>
        <v>0.8422</v>
      </c>
      <c r="D35" s="7">
        <f t="shared" si="112"/>
        <v>0.8018</v>
      </c>
      <c r="E35" s="7">
        <f t="shared" si="112"/>
        <v>0.7648</v>
      </c>
      <c r="F35" s="7">
        <f t="shared" si="112"/>
        <v>0.7562</v>
      </c>
      <c r="G35" s="7">
        <f t="shared" si="112"/>
        <v>0.7302</v>
      </c>
      <c r="H35" s="7">
        <f t="shared" si="112"/>
        <v>0.7691</v>
      </c>
      <c r="I35" s="7">
        <f t="shared" si="112"/>
        <v>0.7562</v>
      </c>
      <c r="J35" s="7">
        <f t="shared" si="112"/>
        <v>0.7562</v>
      </c>
      <c r="K35" s="4"/>
      <c r="L35" s="4"/>
      <c r="M35" s="10">
        <v>5.937</v>
      </c>
      <c r="N35" s="10">
        <v>5.845</v>
      </c>
      <c r="O35" s="10">
        <v>5.575</v>
      </c>
      <c r="P35" s="10">
        <v>5.276</v>
      </c>
      <c r="Q35" s="10">
        <v>5.363</v>
      </c>
      <c r="R35" s="10">
        <v>6.645</v>
      </c>
      <c r="S35" s="10">
        <v>5.654</v>
      </c>
      <c r="T35" s="10"/>
      <c r="U35" s="2"/>
      <c r="V35" s="6" t="s">
        <v>197</v>
      </c>
      <c r="W35" s="12">
        <f t="shared" ref="W35:AC35" si="113">D35/M35</f>
        <v>0.135051372747179</v>
      </c>
      <c r="X35" s="12">
        <f t="shared" si="113"/>
        <v>0.130846877673225</v>
      </c>
      <c r="Y35" s="12">
        <f t="shared" si="113"/>
        <v>0.135641255605381</v>
      </c>
      <c r="Z35" s="12">
        <f t="shared" si="113"/>
        <v>0.138400303260046</v>
      </c>
      <c r="AA35" s="12">
        <f t="shared" si="113"/>
        <v>0.143408539996271</v>
      </c>
      <c r="AB35" s="15">
        <f t="shared" si="113"/>
        <v>0.11379984951091</v>
      </c>
      <c r="AC35" s="15">
        <f t="shared" si="113"/>
        <v>0.133746020516449</v>
      </c>
      <c r="AD35" s="4"/>
      <c r="AE35" s="4"/>
      <c r="AF35" s="12">
        <f t="shared" ref="AF35:AJ35" si="114">W35</f>
        <v>0.135051372747179</v>
      </c>
      <c r="AG35" s="12">
        <f t="shared" si="114"/>
        <v>0.130846877673225</v>
      </c>
      <c r="AH35" s="12">
        <f t="shared" si="114"/>
        <v>0.135641255605381</v>
      </c>
      <c r="AI35" s="12">
        <f t="shared" si="114"/>
        <v>0.138400303260046</v>
      </c>
      <c r="AJ35" s="12">
        <f t="shared" si="114"/>
        <v>0.143408539996271</v>
      </c>
      <c r="AK35" s="16">
        <f t="shared" si="67"/>
        <v>0.130869826937547</v>
      </c>
      <c r="AL35" s="16">
        <f t="shared" si="68"/>
        <v>0.153807923593916</v>
      </c>
      <c r="AM35" s="4"/>
      <c r="AN35" s="4"/>
      <c r="AO35" s="12">
        <f t="shared" ref="AO35:AS35" si="115">W35</f>
        <v>0.135051372747179</v>
      </c>
      <c r="AP35" s="12">
        <f t="shared" si="115"/>
        <v>0.130846877673225</v>
      </c>
      <c r="AQ35" s="12">
        <f t="shared" si="115"/>
        <v>0.135641255605381</v>
      </c>
      <c r="AR35" s="12">
        <f t="shared" si="115"/>
        <v>0.138400303260046</v>
      </c>
      <c r="AS35" s="12">
        <f t="shared" si="115"/>
        <v>0.143408539996271</v>
      </c>
      <c r="AT35" s="16">
        <f t="shared" si="70"/>
        <v>0.0967298720842739</v>
      </c>
      <c r="AU35" s="16">
        <f t="shared" si="71"/>
        <v>0.113684117438981</v>
      </c>
      <c r="AZ35" s="2"/>
      <c r="BA35" s="6" t="s">
        <v>197</v>
      </c>
      <c r="BB35" s="7">
        <v>842.2</v>
      </c>
      <c r="BC35" s="12">
        <v>801.8</v>
      </c>
      <c r="BD35" s="12">
        <v>764.8</v>
      </c>
      <c r="BE35" s="12">
        <v>756.2</v>
      </c>
      <c r="BF35" s="12">
        <v>730.2</v>
      </c>
      <c r="BG35" s="12">
        <v>769.1</v>
      </c>
      <c r="BH35" s="12">
        <v>756.2</v>
      </c>
      <c r="BI35" s="12">
        <v>756.2</v>
      </c>
      <c r="BJ35" s="4"/>
      <c r="BK35" s="4"/>
      <c r="BL35" s="10"/>
      <c r="BM35" s="10"/>
      <c r="BN35" s="10"/>
      <c r="BO35" s="10"/>
    </row>
    <row r="36" ht="15.5" spans="1:67">
      <c r="A36" s="2"/>
      <c r="B36" s="6" t="s">
        <v>198</v>
      </c>
      <c r="C36" s="7">
        <f t="shared" ref="C36:J36" si="116">BB36/1000</f>
        <v>0.2694</v>
      </c>
      <c r="D36" s="7">
        <f t="shared" si="116"/>
        <v>0.2401</v>
      </c>
      <c r="E36" s="7">
        <f t="shared" si="116"/>
        <v>0.2278</v>
      </c>
      <c r="F36" s="7">
        <f t="shared" si="116"/>
        <v>0.2249</v>
      </c>
      <c r="G36" s="7">
        <f t="shared" si="116"/>
        <v>0.2217</v>
      </c>
      <c r="H36" s="7">
        <f t="shared" si="116"/>
        <v>0.2296</v>
      </c>
      <c r="I36" s="7">
        <f t="shared" si="116"/>
        <v>0.2249</v>
      </c>
      <c r="J36" s="7">
        <f t="shared" si="116"/>
        <v>0.2249</v>
      </c>
      <c r="K36" s="4"/>
      <c r="L36" s="4"/>
      <c r="M36" s="10">
        <v>5.937</v>
      </c>
      <c r="N36" s="10">
        <v>5.845</v>
      </c>
      <c r="O36" s="10">
        <v>5.575</v>
      </c>
      <c r="P36" s="10">
        <v>5.276</v>
      </c>
      <c r="Q36" s="10">
        <v>5.363</v>
      </c>
      <c r="R36" s="10">
        <v>6.645</v>
      </c>
      <c r="S36" s="10">
        <v>5.654</v>
      </c>
      <c r="T36" s="10"/>
      <c r="U36" s="2"/>
      <c r="V36" s="6" t="s">
        <v>198</v>
      </c>
      <c r="W36" s="12">
        <f t="shared" ref="W36:AC36" si="117">D36/M36</f>
        <v>0.0404413003200269</v>
      </c>
      <c r="X36" s="12">
        <f t="shared" si="117"/>
        <v>0.0389734816082122</v>
      </c>
      <c r="Y36" s="12">
        <f t="shared" si="117"/>
        <v>0.0403408071748879</v>
      </c>
      <c r="Z36" s="12">
        <f t="shared" si="117"/>
        <v>0.0420204700530705</v>
      </c>
      <c r="AA36" s="12">
        <f t="shared" si="117"/>
        <v>0.0428118590341227</v>
      </c>
      <c r="AB36" s="15">
        <f t="shared" si="117"/>
        <v>0.0338449962377728</v>
      </c>
      <c r="AC36" s="15">
        <f t="shared" si="117"/>
        <v>0.0397771489211178</v>
      </c>
      <c r="AD36" s="4"/>
      <c r="AE36" s="4"/>
      <c r="AF36" s="12">
        <f t="shared" ref="AF36:AJ36" si="118">W36</f>
        <v>0.0404413003200269</v>
      </c>
      <c r="AG36" s="12">
        <f t="shared" si="118"/>
        <v>0.0389734816082122</v>
      </c>
      <c r="AH36" s="12">
        <f t="shared" si="118"/>
        <v>0.0403408071748879</v>
      </c>
      <c r="AI36" s="12">
        <f t="shared" si="118"/>
        <v>0.0420204700530705</v>
      </c>
      <c r="AJ36" s="12">
        <f t="shared" si="118"/>
        <v>0.0428118590341227</v>
      </c>
      <c r="AK36" s="16">
        <f t="shared" si="67"/>
        <v>0.0389217456734387</v>
      </c>
      <c r="AL36" s="16">
        <f t="shared" si="68"/>
        <v>0.0457437212592855</v>
      </c>
      <c r="AM36" s="4"/>
      <c r="AN36" s="4"/>
      <c r="AO36" s="12">
        <f t="shared" ref="AO36:AS36" si="119">W36</f>
        <v>0.0404413003200269</v>
      </c>
      <c r="AP36" s="12">
        <f t="shared" si="119"/>
        <v>0.0389734816082122</v>
      </c>
      <c r="AQ36" s="12">
        <f t="shared" si="119"/>
        <v>0.0403408071748879</v>
      </c>
      <c r="AR36" s="12">
        <f t="shared" si="119"/>
        <v>0.0420204700530705</v>
      </c>
      <c r="AS36" s="12">
        <f t="shared" si="119"/>
        <v>0.0428118590341227</v>
      </c>
      <c r="AT36" s="16">
        <f t="shared" si="70"/>
        <v>0.0287682468021069</v>
      </c>
      <c r="AU36" s="16">
        <f t="shared" si="71"/>
        <v>0.0338105765829501</v>
      </c>
      <c r="AZ36" s="2"/>
      <c r="BA36" s="6" t="s">
        <v>198</v>
      </c>
      <c r="BB36" s="7">
        <v>269.4</v>
      </c>
      <c r="BC36" s="12">
        <v>240.1</v>
      </c>
      <c r="BD36" s="12">
        <v>227.8</v>
      </c>
      <c r="BE36" s="12">
        <v>224.9</v>
      </c>
      <c r="BF36" s="12">
        <v>221.7</v>
      </c>
      <c r="BG36" s="12">
        <v>229.6</v>
      </c>
      <c r="BH36" s="12">
        <v>224.9</v>
      </c>
      <c r="BI36" s="12">
        <v>224.9</v>
      </c>
      <c r="BJ36" s="4"/>
      <c r="BK36" s="4"/>
      <c r="BL36" s="10"/>
      <c r="BM36" s="10"/>
      <c r="BN36" s="10"/>
      <c r="BO36" s="10"/>
    </row>
    <row r="37" ht="15.5" spans="1:67">
      <c r="A37" s="2"/>
      <c r="B37" s="6" t="s">
        <v>199</v>
      </c>
      <c r="C37" s="7">
        <f t="shared" ref="C37:J37" si="120">BB37/1000</f>
        <v>0.5273</v>
      </c>
      <c r="D37" s="7">
        <f t="shared" si="120"/>
        <v>0.5167</v>
      </c>
      <c r="E37" s="7">
        <f t="shared" si="120"/>
        <v>0.4931</v>
      </c>
      <c r="F37" s="7">
        <f t="shared" si="120"/>
        <v>0.4875</v>
      </c>
      <c r="G37" s="7">
        <f t="shared" si="120"/>
        <v>0.4653</v>
      </c>
      <c r="H37" s="7">
        <f t="shared" si="120"/>
        <v>0.4946</v>
      </c>
      <c r="I37" s="7">
        <f t="shared" si="120"/>
        <v>0.4875</v>
      </c>
      <c r="J37" s="7">
        <f t="shared" si="120"/>
        <v>0.4875</v>
      </c>
      <c r="K37" s="4"/>
      <c r="L37" s="4"/>
      <c r="M37" s="10">
        <v>5.937</v>
      </c>
      <c r="N37" s="10">
        <v>5.845</v>
      </c>
      <c r="O37" s="10">
        <v>5.575</v>
      </c>
      <c r="P37" s="10">
        <v>5.276</v>
      </c>
      <c r="Q37" s="10">
        <v>5.363</v>
      </c>
      <c r="R37" s="10">
        <v>6.645</v>
      </c>
      <c r="S37" s="10">
        <v>5.654</v>
      </c>
      <c r="T37" s="10"/>
      <c r="U37" s="2"/>
      <c r="V37" s="6" t="s">
        <v>199</v>
      </c>
      <c r="W37" s="12">
        <f t="shared" ref="W37:AC37" si="121">D37/M37</f>
        <v>0.0870304867778339</v>
      </c>
      <c r="X37" s="12">
        <f t="shared" si="121"/>
        <v>0.0843627031650984</v>
      </c>
      <c r="Y37" s="12">
        <f t="shared" si="121"/>
        <v>0.0874439461883408</v>
      </c>
      <c r="Z37" s="12">
        <f t="shared" si="121"/>
        <v>0.0881918119787718</v>
      </c>
      <c r="AA37" s="12">
        <f t="shared" si="121"/>
        <v>0.0922245012120082</v>
      </c>
      <c r="AB37" s="15">
        <f t="shared" si="121"/>
        <v>0.0733634311512415</v>
      </c>
      <c r="AC37" s="15">
        <f t="shared" si="121"/>
        <v>0.0862221436151397</v>
      </c>
      <c r="AD37" s="4"/>
      <c r="AE37" s="4"/>
      <c r="AF37" s="12">
        <f t="shared" ref="AF37:AJ37" si="122">W37</f>
        <v>0.0870304867778339</v>
      </c>
      <c r="AG37" s="12">
        <f t="shared" si="122"/>
        <v>0.0843627031650984</v>
      </c>
      <c r="AH37" s="12">
        <f t="shared" si="122"/>
        <v>0.0874439461883408</v>
      </c>
      <c r="AI37" s="12">
        <f t="shared" si="122"/>
        <v>0.0881918119787718</v>
      </c>
      <c r="AJ37" s="12">
        <f t="shared" si="122"/>
        <v>0.0922245012120082</v>
      </c>
      <c r="AK37" s="16">
        <f t="shared" si="67"/>
        <v>0.0843679458239278</v>
      </c>
      <c r="AL37" s="16">
        <f t="shared" si="68"/>
        <v>0.0991554651574107</v>
      </c>
      <c r="AM37" s="4"/>
      <c r="AN37" s="4"/>
      <c r="AO37" s="12">
        <f t="shared" ref="AO37:AS37" si="123">W37</f>
        <v>0.0870304867778339</v>
      </c>
      <c r="AP37" s="12">
        <f t="shared" si="123"/>
        <v>0.0843627031650984</v>
      </c>
      <c r="AQ37" s="12">
        <f t="shared" si="123"/>
        <v>0.0874439461883408</v>
      </c>
      <c r="AR37" s="12">
        <f t="shared" si="123"/>
        <v>0.0881918119787718</v>
      </c>
      <c r="AS37" s="12">
        <f t="shared" si="123"/>
        <v>0.0922245012120082</v>
      </c>
      <c r="AT37" s="16">
        <f t="shared" si="70"/>
        <v>0.0623589164785553</v>
      </c>
      <c r="AU37" s="16">
        <f t="shared" si="71"/>
        <v>0.0732888220728688</v>
      </c>
      <c r="AZ37" s="2"/>
      <c r="BA37" s="6" t="s">
        <v>199</v>
      </c>
      <c r="BB37" s="7">
        <v>527.3</v>
      </c>
      <c r="BC37" s="12">
        <v>516.7</v>
      </c>
      <c r="BD37" s="12">
        <v>493.1</v>
      </c>
      <c r="BE37" s="12">
        <v>487.5</v>
      </c>
      <c r="BF37" s="12">
        <v>465.3</v>
      </c>
      <c r="BG37" s="12">
        <v>494.6</v>
      </c>
      <c r="BH37" s="12">
        <v>487.5</v>
      </c>
      <c r="BI37" s="12">
        <v>487.5</v>
      </c>
      <c r="BJ37" s="4"/>
      <c r="BK37" s="4"/>
      <c r="BL37" s="10"/>
      <c r="BM37" s="10"/>
      <c r="BN37" s="10"/>
      <c r="BO37" s="10"/>
    </row>
    <row r="38" ht="15.5" spans="1:67">
      <c r="A38" s="2"/>
      <c r="B38" s="6" t="s">
        <v>200</v>
      </c>
      <c r="C38" s="7">
        <f t="shared" ref="C38:J38" si="124">BB38/1000</f>
        <v>0.0858</v>
      </c>
      <c r="D38" s="7">
        <f t="shared" si="124"/>
        <v>0.0793</v>
      </c>
      <c r="E38" s="7">
        <f t="shared" si="124"/>
        <v>0.0771</v>
      </c>
      <c r="F38" s="7">
        <f t="shared" si="124"/>
        <v>0.0766</v>
      </c>
      <c r="G38" s="7">
        <f t="shared" si="124"/>
        <v>0.0744</v>
      </c>
      <c r="H38" s="7">
        <f t="shared" si="124"/>
        <v>0.0767</v>
      </c>
      <c r="I38" s="7">
        <f t="shared" si="124"/>
        <v>0.0766</v>
      </c>
      <c r="J38" s="7">
        <f t="shared" si="124"/>
        <v>0.0766</v>
      </c>
      <c r="K38" s="4"/>
      <c r="L38" s="4"/>
      <c r="M38" s="10">
        <v>5.937</v>
      </c>
      <c r="N38" s="10">
        <v>5.845</v>
      </c>
      <c r="O38" s="10">
        <v>5.575</v>
      </c>
      <c r="P38" s="10">
        <v>5.276</v>
      </c>
      <c r="Q38" s="10">
        <v>5.363</v>
      </c>
      <c r="R38" s="10">
        <v>6.645</v>
      </c>
      <c r="S38" s="10">
        <v>5.654</v>
      </c>
      <c r="T38" s="10"/>
      <c r="U38" s="2"/>
      <c r="V38" s="6" t="s">
        <v>200</v>
      </c>
      <c r="W38" s="12">
        <f t="shared" ref="W38:AC38" si="125">D38/M38</f>
        <v>0.0133569142664645</v>
      </c>
      <c r="X38" s="12">
        <f t="shared" si="125"/>
        <v>0.0131907613344739</v>
      </c>
      <c r="Y38" s="12">
        <f t="shared" si="125"/>
        <v>0.0137399103139013</v>
      </c>
      <c r="Z38" s="12">
        <f t="shared" si="125"/>
        <v>0.0141015921152388</v>
      </c>
      <c r="AA38" s="12">
        <f t="shared" si="125"/>
        <v>0.0143016968114861</v>
      </c>
      <c r="AB38" s="15">
        <f t="shared" si="125"/>
        <v>0.0115274642588412</v>
      </c>
      <c r="AC38" s="15">
        <f t="shared" si="125"/>
        <v>0.0135479306685532</v>
      </c>
      <c r="AD38" s="4"/>
      <c r="AE38" s="4"/>
      <c r="AF38" s="12">
        <f t="shared" ref="AF38:AJ38" si="126">W38</f>
        <v>0.0133569142664645</v>
      </c>
      <c r="AG38" s="12">
        <f t="shared" si="126"/>
        <v>0.0131907613344739</v>
      </c>
      <c r="AH38" s="12">
        <f t="shared" si="126"/>
        <v>0.0137399103139013</v>
      </c>
      <c r="AI38" s="12">
        <f t="shared" si="126"/>
        <v>0.0141015921152388</v>
      </c>
      <c r="AJ38" s="12">
        <f t="shared" si="126"/>
        <v>0.0143016968114861</v>
      </c>
      <c r="AK38" s="16">
        <f t="shared" si="67"/>
        <v>0.0132565838976674</v>
      </c>
      <c r="AL38" s="16">
        <f t="shared" si="68"/>
        <v>0.0155801202688362</v>
      </c>
      <c r="AM38" s="4"/>
      <c r="AN38" s="4"/>
      <c r="AO38" s="12">
        <f t="shared" ref="AO38:AS38" si="127">W38</f>
        <v>0.0133569142664645</v>
      </c>
      <c r="AP38" s="12">
        <f t="shared" si="127"/>
        <v>0.0131907613344739</v>
      </c>
      <c r="AQ38" s="12">
        <f t="shared" si="127"/>
        <v>0.0137399103139013</v>
      </c>
      <c r="AR38" s="12">
        <f t="shared" si="127"/>
        <v>0.0141015921152388</v>
      </c>
      <c r="AS38" s="12">
        <f t="shared" si="127"/>
        <v>0.0143016968114861</v>
      </c>
      <c r="AT38" s="16">
        <f t="shared" si="70"/>
        <v>0.00979834462001505</v>
      </c>
      <c r="AU38" s="16">
        <f t="shared" si="71"/>
        <v>0.0115157410682703</v>
      </c>
      <c r="AZ38" s="2"/>
      <c r="BA38" s="6" t="s">
        <v>200</v>
      </c>
      <c r="BB38" s="7">
        <v>85.8</v>
      </c>
      <c r="BC38" s="12">
        <v>79.3</v>
      </c>
      <c r="BD38" s="12">
        <v>77.1</v>
      </c>
      <c r="BE38" s="12">
        <v>76.6</v>
      </c>
      <c r="BF38" s="12">
        <v>74.4</v>
      </c>
      <c r="BG38" s="12">
        <v>76.7</v>
      </c>
      <c r="BH38" s="12">
        <v>76.6</v>
      </c>
      <c r="BI38" s="12">
        <v>76.6</v>
      </c>
      <c r="BJ38" s="4"/>
      <c r="BK38" s="4"/>
      <c r="BL38" s="10"/>
      <c r="BM38" s="10"/>
      <c r="BN38" s="10"/>
      <c r="BO38" s="10"/>
    </row>
    <row r="39" ht="15.5" spans="1:67">
      <c r="A39" s="4"/>
      <c r="B39" s="4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AZ39" s="4"/>
      <c r="BA39" s="4"/>
      <c r="BB39" s="3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</row>
    <row r="40" ht="15.5" spans="1:67">
      <c r="A40" s="4"/>
      <c r="B40" s="4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AZ40" s="4"/>
      <c r="BA40" s="4"/>
      <c r="BB40" s="3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</row>
    <row r="41" ht="15.5" spans="1:67">
      <c r="A41" s="2" t="s">
        <v>215</v>
      </c>
      <c r="B41" s="2"/>
      <c r="C41" s="2"/>
      <c r="D41" s="2"/>
      <c r="E41" s="2"/>
      <c r="F41" s="2"/>
      <c r="G41" s="2"/>
      <c r="H41" s="2"/>
      <c r="I41" s="2"/>
      <c r="J41" s="2"/>
      <c r="K41" s="4"/>
      <c r="L41" s="4"/>
      <c r="M41" s="4"/>
      <c r="N41" s="4"/>
      <c r="O41" s="4"/>
      <c r="P41" s="4"/>
      <c r="Q41" s="4"/>
      <c r="R41" s="4"/>
      <c r="S41" s="4"/>
      <c r="T41" s="4"/>
      <c r="AZ41" s="2" t="s">
        <v>215</v>
      </c>
      <c r="BA41" s="2"/>
      <c r="BB41" s="2"/>
      <c r="BC41" s="2"/>
      <c r="BD41" s="2"/>
      <c r="BE41" s="2"/>
      <c r="BF41" s="2"/>
      <c r="BG41" s="2"/>
      <c r="BH41" s="2"/>
      <c r="BI41" s="2"/>
      <c r="BJ41" s="4"/>
      <c r="BK41" s="4"/>
      <c r="BL41" s="4"/>
      <c r="BM41" s="4"/>
      <c r="BN41" s="4"/>
      <c r="BO41" s="4"/>
    </row>
    <row r="42" ht="15.5" spans="1:67">
      <c r="A42" s="2" t="s">
        <v>184</v>
      </c>
      <c r="B42" s="2" t="s">
        <v>214</v>
      </c>
      <c r="C42" s="2" t="s">
        <v>186</v>
      </c>
      <c r="D42" s="2"/>
      <c r="E42" s="2"/>
      <c r="F42" s="2"/>
      <c r="G42" s="2"/>
      <c r="H42" s="2"/>
      <c r="I42" s="2"/>
      <c r="J42" s="2"/>
      <c r="K42" s="4"/>
      <c r="L42" s="4"/>
      <c r="M42" s="4"/>
      <c r="N42" s="4"/>
      <c r="O42" s="4"/>
      <c r="P42" s="4"/>
      <c r="Q42" s="4"/>
      <c r="R42" s="4"/>
      <c r="S42" s="4"/>
      <c r="T42" s="4"/>
      <c r="AZ42" s="2" t="s">
        <v>184</v>
      </c>
      <c r="BA42" s="2" t="s">
        <v>214</v>
      </c>
      <c r="BB42" s="2" t="s">
        <v>186</v>
      </c>
      <c r="BC42" s="2"/>
      <c r="BD42" s="2"/>
      <c r="BE42" s="2"/>
      <c r="BF42" s="2"/>
      <c r="BG42" s="2"/>
      <c r="BH42" s="2"/>
      <c r="BI42" s="2"/>
      <c r="BJ42" s="4"/>
      <c r="BK42" s="4"/>
      <c r="BL42" s="4"/>
      <c r="BM42" s="4"/>
      <c r="BN42" s="4"/>
      <c r="BO42" s="4"/>
    </row>
    <row r="43" ht="30" spans="1:67">
      <c r="A43" s="2"/>
      <c r="B43" s="2"/>
      <c r="C43" s="3" t="s">
        <v>187</v>
      </c>
      <c r="D43" s="4" t="s">
        <v>188</v>
      </c>
      <c r="E43" s="4" t="s">
        <v>189</v>
      </c>
      <c r="F43" s="5" t="s">
        <v>190</v>
      </c>
      <c r="G43" s="4" t="s">
        <v>191</v>
      </c>
      <c r="H43" s="4" t="s">
        <v>192</v>
      </c>
      <c r="I43" s="4" t="s">
        <v>193</v>
      </c>
      <c r="J43" s="4" t="s">
        <v>194</v>
      </c>
      <c r="K43" s="4"/>
      <c r="L43" s="4"/>
      <c r="M43" s="4" t="s">
        <v>188</v>
      </c>
      <c r="N43" s="4" t="s">
        <v>189</v>
      </c>
      <c r="O43" s="4" t="s">
        <v>190</v>
      </c>
      <c r="P43" s="4" t="s">
        <v>191</v>
      </c>
      <c r="Q43" s="4" t="s">
        <v>192</v>
      </c>
      <c r="R43" s="4" t="s">
        <v>193</v>
      </c>
      <c r="S43" s="4" t="s">
        <v>194</v>
      </c>
      <c r="T43" s="4"/>
      <c r="U43" s="4"/>
      <c r="V43" s="11" t="s">
        <v>212</v>
      </c>
      <c r="W43" s="4" t="s">
        <v>188</v>
      </c>
      <c r="X43" s="4" t="s">
        <v>189</v>
      </c>
      <c r="Y43" s="5" t="s">
        <v>190</v>
      </c>
      <c r="Z43" s="4" t="s">
        <v>191</v>
      </c>
      <c r="AA43" s="4" t="s">
        <v>192</v>
      </c>
      <c r="AB43" s="14" t="s">
        <v>193</v>
      </c>
      <c r="AC43" s="14" t="s">
        <v>194</v>
      </c>
      <c r="AD43" s="4"/>
      <c r="AE43" s="4"/>
      <c r="AF43" s="4" t="s">
        <v>188</v>
      </c>
      <c r="AG43" s="4" t="s">
        <v>189</v>
      </c>
      <c r="AH43" s="5" t="s">
        <v>190</v>
      </c>
      <c r="AI43" s="4" t="s">
        <v>191</v>
      </c>
      <c r="AJ43" s="4" t="s">
        <v>192</v>
      </c>
      <c r="AK43" s="14" t="s">
        <v>193</v>
      </c>
      <c r="AL43" s="14" t="s">
        <v>194</v>
      </c>
      <c r="AO43" s="4" t="s">
        <v>188</v>
      </c>
      <c r="AP43" s="4" t="s">
        <v>189</v>
      </c>
      <c r="AQ43" s="5" t="s">
        <v>190</v>
      </c>
      <c r="AR43" s="4" t="s">
        <v>191</v>
      </c>
      <c r="AS43" s="4" t="s">
        <v>192</v>
      </c>
      <c r="AT43" s="14" t="s">
        <v>193</v>
      </c>
      <c r="AU43" s="14" t="s">
        <v>194</v>
      </c>
      <c r="AZ43" s="2"/>
      <c r="BA43" s="2"/>
      <c r="BB43" s="3" t="s">
        <v>187</v>
      </c>
      <c r="BC43" s="4" t="s">
        <v>188</v>
      </c>
      <c r="BD43" s="4" t="s">
        <v>189</v>
      </c>
      <c r="BE43" s="5" t="s">
        <v>190</v>
      </c>
      <c r="BF43" s="4" t="s">
        <v>191</v>
      </c>
      <c r="BG43" s="4" t="s">
        <v>192</v>
      </c>
      <c r="BH43" s="4" t="s">
        <v>193</v>
      </c>
      <c r="BI43" s="4" t="s">
        <v>194</v>
      </c>
      <c r="BJ43" s="4"/>
      <c r="BK43" s="4"/>
      <c r="BL43" s="4"/>
      <c r="BM43" s="4"/>
      <c r="BN43" s="4"/>
      <c r="BO43" s="4"/>
    </row>
    <row r="44" ht="15.5" spans="1:67">
      <c r="A44" s="2" t="s">
        <v>195</v>
      </c>
      <c r="B44" s="6" t="s">
        <v>196</v>
      </c>
      <c r="C44" s="7">
        <f t="shared" ref="C44:J44" si="128">BB44/1000</f>
        <v>0.6652</v>
      </c>
      <c r="D44" s="7">
        <f t="shared" si="128"/>
        <v>0.5864</v>
      </c>
      <c r="E44" s="7">
        <f t="shared" si="128"/>
        <v>0.5679</v>
      </c>
      <c r="F44" s="7">
        <f t="shared" si="128"/>
        <v>0.5636</v>
      </c>
      <c r="G44" s="7">
        <f t="shared" si="128"/>
        <v>0.5409</v>
      </c>
      <c r="H44" s="7">
        <f t="shared" si="128"/>
        <v>0.5521</v>
      </c>
      <c r="I44" s="7">
        <f t="shared" si="128"/>
        <v>0.5636</v>
      </c>
      <c r="J44" s="7">
        <f t="shared" si="128"/>
        <v>0.5636</v>
      </c>
      <c r="K44" s="4"/>
      <c r="L44" s="4"/>
      <c r="M44" s="9">
        <v>5.937</v>
      </c>
      <c r="N44" s="9">
        <v>5.845</v>
      </c>
      <c r="O44" s="9">
        <v>5.575</v>
      </c>
      <c r="P44" s="9">
        <v>5.276</v>
      </c>
      <c r="Q44" s="9">
        <v>5.363</v>
      </c>
      <c r="R44" s="9">
        <v>6.645</v>
      </c>
      <c r="S44" s="9">
        <v>5.654</v>
      </c>
      <c r="T44" s="9"/>
      <c r="U44" s="2" t="s">
        <v>195</v>
      </c>
      <c r="V44" s="6" t="s">
        <v>196</v>
      </c>
      <c r="W44" s="12">
        <f t="shared" ref="W44:AC44" si="129">D44/M44</f>
        <v>0.098770422772444</v>
      </c>
      <c r="X44" s="12">
        <f t="shared" si="129"/>
        <v>0.0971599657827203</v>
      </c>
      <c r="Y44" s="12">
        <f t="shared" si="129"/>
        <v>0.101094170403587</v>
      </c>
      <c r="Z44" s="12">
        <f t="shared" si="129"/>
        <v>0.102520849128127</v>
      </c>
      <c r="AA44" s="12">
        <f t="shared" si="129"/>
        <v>0.102946112250606</v>
      </c>
      <c r="AB44" s="15">
        <f t="shared" si="129"/>
        <v>0.0848156508653123</v>
      </c>
      <c r="AC44" s="15">
        <f t="shared" si="129"/>
        <v>0.0996816413158826</v>
      </c>
      <c r="AD44" s="4"/>
      <c r="AE44" s="4"/>
      <c r="AF44" s="12">
        <f t="shared" ref="AF44:AJ44" si="130">W44</f>
        <v>0.098770422772444</v>
      </c>
      <c r="AG44" s="12">
        <f t="shared" si="130"/>
        <v>0.0971599657827203</v>
      </c>
      <c r="AH44" s="12">
        <f t="shared" si="130"/>
        <v>0.101094170403587</v>
      </c>
      <c r="AI44" s="12">
        <f t="shared" si="130"/>
        <v>0.102520849128127</v>
      </c>
      <c r="AJ44" s="12">
        <f t="shared" si="130"/>
        <v>0.102946112250606</v>
      </c>
      <c r="AK44" s="16">
        <f t="shared" ref="AK44:AK58" si="131">AB44*1.15</f>
        <v>0.0975379984951091</v>
      </c>
      <c r="AL44" s="16">
        <f t="shared" ref="AL44:AL58" si="132">AC44*1.15</f>
        <v>0.114633887513265</v>
      </c>
      <c r="AO44" s="12">
        <f t="shared" ref="AO44:AS44" si="133">W44</f>
        <v>0.098770422772444</v>
      </c>
      <c r="AP44" s="12">
        <f t="shared" si="133"/>
        <v>0.0971599657827203</v>
      </c>
      <c r="AQ44" s="12">
        <f t="shared" si="133"/>
        <v>0.101094170403587</v>
      </c>
      <c r="AR44" s="12">
        <f t="shared" si="133"/>
        <v>0.102520849128127</v>
      </c>
      <c r="AS44" s="12">
        <f t="shared" si="133"/>
        <v>0.102946112250606</v>
      </c>
      <c r="AT44" s="16">
        <f t="shared" ref="AT44:AT58" si="134">AB44*0.85</f>
        <v>0.0720933032355154</v>
      </c>
      <c r="AU44" s="16">
        <f t="shared" ref="AU44:AU58" si="135">AC44*0.85</f>
        <v>0.0847293951185002</v>
      </c>
      <c r="AZ44" s="2" t="s">
        <v>195</v>
      </c>
      <c r="BA44" s="6" t="s">
        <v>196</v>
      </c>
      <c r="BB44" s="7">
        <v>665.2</v>
      </c>
      <c r="BC44" s="12">
        <v>586.4</v>
      </c>
      <c r="BD44" s="12">
        <v>567.9</v>
      </c>
      <c r="BE44" s="12">
        <v>563.6</v>
      </c>
      <c r="BF44" s="12">
        <v>540.9</v>
      </c>
      <c r="BG44" s="12">
        <v>552.1</v>
      </c>
      <c r="BH44" s="12">
        <v>563.6</v>
      </c>
      <c r="BI44" s="12">
        <v>563.6</v>
      </c>
      <c r="BJ44" s="4"/>
      <c r="BK44" s="4"/>
      <c r="BL44" s="9"/>
      <c r="BM44" s="9"/>
      <c r="BN44" s="9"/>
      <c r="BO44" s="9"/>
    </row>
    <row r="45" ht="15.5" spans="1:67">
      <c r="A45" s="2"/>
      <c r="B45" s="6" t="s">
        <v>197</v>
      </c>
      <c r="C45" s="7">
        <f t="shared" ref="C45:J45" si="136">BB45/1000</f>
        <v>0.6092</v>
      </c>
      <c r="D45" s="7">
        <f t="shared" si="136"/>
        <v>0.5396</v>
      </c>
      <c r="E45" s="7">
        <f t="shared" si="136"/>
        <v>0.5232</v>
      </c>
      <c r="F45" s="7">
        <f t="shared" si="136"/>
        <v>0.5193</v>
      </c>
      <c r="G45" s="7">
        <f t="shared" si="136"/>
        <v>0.499</v>
      </c>
      <c r="H45" s="7">
        <f t="shared" si="136"/>
        <v>0.5091</v>
      </c>
      <c r="I45" s="7">
        <f t="shared" si="136"/>
        <v>0.5193</v>
      </c>
      <c r="J45" s="7">
        <f t="shared" si="136"/>
        <v>0.5193</v>
      </c>
      <c r="K45" s="4"/>
      <c r="L45" s="4"/>
      <c r="M45" s="10">
        <v>5.937</v>
      </c>
      <c r="N45" s="10">
        <v>5.845</v>
      </c>
      <c r="O45" s="10">
        <v>5.575</v>
      </c>
      <c r="P45" s="10">
        <v>5.276</v>
      </c>
      <c r="Q45" s="10">
        <v>5.363</v>
      </c>
      <c r="R45" s="10">
        <v>6.645</v>
      </c>
      <c r="S45" s="10">
        <v>5.654</v>
      </c>
      <c r="T45" s="10"/>
      <c r="U45" s="2"/>
      <c r="V45" s="6" t="s">
        <v>197</v>
      </c>
      <c r="W45" s="12">
        <f t="shared" ref="W45:AC45" si="137">D45/M45</f>
        <v>0.0908876536971534</v>
      </c>
      <c r="X45" s="12">
        <f t="shared" si="137"/>
        <v>0.0895124037639008</v>
      </c>
      <c r="Y45" s="12">
        <f t="shared" si="137"/>
        <v>0.0931479820627803</v>
      </c>
      <c r="Z45" s="12">
        <f t="shared" si="137"/>
        <v>0.094579226686884</v>
      </c>
      <c r="AA45" s="12">
        <f t="shared" si="137"/>
        <v>0.0949282118217415</v>
      </c>
      <c r="AB45" s="15">
        <f t="shared" si="137"/>
        <v>0.0781489841986456</v>
      </c>
      <c r="AC45" s="15">
        <f t="shared" si="137"/>
        <v>0.0918464803678811</v>
      </c>
      <c r="AD45" s="4"/>
      <c r="AE45" s="4"/>
      <c r="AF45" s="12">
        <f t="shared" ref="AF45:AJ45" si="138">W45</f>
        <v>0.0908876536971534</v>
      </c>
      <c r="AG45" s="12">
        <f t="shared" si="138"/>
        <v>0.0895124037639008</v>
      </c>
      <c r="AH45" s="12">
        <f t="shared" si="138"/>
        <v>0.0931479820627803</v>
      </c>
      <c r="AI45" s="12">
        <f t="shared" si="138"/>
        <v>0.094579226686884</v>
      </c>
      <c r="AJ45" s="12">
        <f t="shared" si="138"/>
        <v>0.0949282118217415</v>
      </c>
      <c r="AK45" s="16">
        <f t="shared" si="131"/>
        <v>0.0898713318284424</v>
      </c>
      <c r="AL45" s="16">
        <f t="shared" si="132"/>
        <v>0.105623452423063</v>
      </c>
      <c r="AO45" s="12">
        <f t="shared" ref="AO45:AS45" si="139">W45</f>
        <v>0.0908876536971534</v>
      </c>
      <c r="AP45" s="12">
        <f t="shared" si="139"/>
        <v>0.0895124037639008</v>
      </c>
      <c r="AQ45" s="12">
        <f t="shared" si="139"/>
        <v>0.0931479820627803</v>
      </c>
      <c r="AR45" s="12">
        <f t="shared" si="139"/>
        <v>0.094579226686884</v>
      </c>
      <c r="AS45" s="12">
        <f t="shared" si="139"/>
        <v>0.0949282118217415</v>
      </c>
      <c r="AT45" s="16">
        <f t="shared" si="134"/>
        <v>0.0664266365688488</v>
      </c>
      <c r="AU45" s="16">
        <f t="shared" si="135"/>
        <v>0.078069508312699</v>
      </c>
      <c r="AZ45" s="2"/>
      <c r="BA45" s="6" t="s">
        <v>197</v>
      </c>
      <c r="BB45" s="7">
        <v>609.2</v>
      </c>
      <c r="BC45" s="12">
        <v>539.6</v>
      </c>
      <c r="BD45" s="12">
        <v>523.2</v>
      </c>
      <c r="BE45" s="12">
        <v>519.3</v>
      </c>
      <c r="BF45" s="12">
        <v>499</v>
      </c>
      <c r="BG45" s="12">
        <v>509.1</v>
      </c>
      <c r="BH45" s="12">
        <v>519.3</v>
      </c>
      <c r="BI45" s="12">
        <v>519.3</v>
      </c>
      <c r="BJ45" s="4"/>
      <c r="BK45" s="4"/>
      <c r="BL45" s="10"/>
      <c r="BM45" s="10"/>
      <c r="BN45" s="10"/>
      <c r="BO45" s="10"/>
    </row>
    <row r="46" ht="15.5" spans="1:67">
      <c r="A46" s="2"/>
      <c r="B46" s="6" t="s">
        <v>198</v>
      </c>
      <c r="C46" s="7">
        <f t="shared" ref="C46:J46" si="140">BB46/1000</f>
        <v>0.1429</v>
      </c>
      <c r="D46" s="7">
        <f t="shared" si="140"/>
        <v>0.1194</v>
      </c>
      <c r="E46" s="7">
        <f t="shared" si="140"/>
        <v>0.114</v>
      </c>
      <c r="F46" s="7">
        <f t="shared" si="140"/>
        <v>0.1127</v>
      </c>
      <c r="G46" s="7">
        <f t="shared" si="140"/>
        <v>0.1061</v>
      </c>
      <c r="H46" s="7">
        <f t="shared" si="140"/>
        <v>0.1094</v>
      </c>
      <c r="I46" s="7">
        <f t="shared" si="140"/>
        <v>0.1127</v>
      </c>
      <c r="J46" s="7">
        <f t="shared" si="140"/>
        <v>0.1127</v>
      </c>
      <c r="K46" s="4"/>
      <c r="L46" s="4"/>
      <c r="M46" s="10">
        <v>5.937</v>
      </c>
      <c r="N46" s="10">
        <v>5.845</v>
      </c>
      <c r="O46" s="10">
        <v>5.575</v>
      </c>
      <c r="P46" s="10">
        <v>5.276</v>
      </c>
      <c r="Q46" s="10">
        <v>5.363</v>
      </c>
      <c r="R46" s="10">
        <v>6.645</v>
      </c>
      <c r="S46" s="10">
        <v>5.654</v>
      </c>
      <c r="T46" s="10"/>
      <c r="U46" s="2"/>
      <c r="V46" s="6" t="s">
        <v>198</v>
      </c>
      <c r="W46" s="12">
        <f t="shared" ref="W46:AC46" si="141">D46/M46</f>
        <v>0.02011116725619</v>
      </c>
      <c r="X46" s="12">
        <f t="shared" si="141"/>
        <v>0.0195038494439692</v>
      </c>
      <c r="Y46" s="12">
        <f t="shared" si="141"/>
        <v>0.0202152466367713</v>
      </c>
      <c r="Z46" s="12">
        <f t="shared" si="141"/>
        <v>0.0201099317664898</v>
      </c>
      <c r="AA46" s="12">
        <f t="shared" si="141"/>
        <v>0.0203990303934365</v>
      </c>
      <c r="AB46" s="15">
        <f t="shared" si="141"/>
        <v>0.0169601203912716</v>
      </c>
      <c r="AC46" s="15">
        <f t="shared" si="141"/>
        <v>0.0199327909444641</v>
      </c>
      <c r="AD46" s="4"/>
      <c r="AE46" s="4"/>
      <c r="AF46" s="12">
        <f t="shared" ref="AF46:AJ46" si="142">W46</f>
        <v>0.02011116725619</v>
      </c>
      <c r="AG46" s="12">
        <f t="shared" si="142"/>
        <v>0.0195038494439692</v>
      </c>
      <c r="AH46" s="12">
        <f t="shared" si="142"/>
        <v>0.0202152466367713</v>
      </c>
      <c r="AI46" s="12">
        <f t="shared" si="142"/>
        <v>0.0201099317664898</v>
      </c>
      <c r="AJ46" s="12">
        <f t="shared" si="142"/>
        <v>0.0203990303934365</v>
      </c>
      <c r="AK46" s="16">
        <f t="shared" si="131"/>
        <v>0.0195041384499624</v>
      </c>
      <c r="AL46" s="16">
        <f t="shared" si="132"/>
        <v>0.0229227095861337</v>
      </c>
      <c r="AO46" s="12">
        <f t="shared" ref="AO46:AS46" si="143">W46</f>
        <v>0.02011116725619</v>
      </c>
      <c r="AP46" s="12">
        <f t="shared" si="143"/>
        <v>0.0195038494439692</v>
      </c>
      <c r="AQ46" s="12">
        <f t="shared" si="143"/>
        <v>0.0202152466367713</v>
      </c>
      <c r="AR46" s="12">
        <f t="shared" si="143"/>
        <v>0.0201099317664898</v>
      </c>
      <c r="AS46" s="12">
        <f t="shared" si="143"/>
        <v>0.0203990303934365</v>
      </c>
      <c r="AT46" s="16">
        <f t="shared" si="134"/>
        <v>0.0144161023325809</v>
      </c>
      <c r="AU46" s="16">
        <f t="shared" si="135"/>
        <v>0.0169428723027945</v>
      </c>
      <c r="AZ46" s="2"/>
      <c r="BA46" s="6" t="s">
        <v>198</v>
      </c>
      <c r="BB46" s="7">
        <v>142.9</v>
      </c>
      <c r="BC46" s="12">
        <v>119.4</v>
      </c>
      <c r="BD46" s="12">
        <v>114</v>
      </c>
      <c r="BE46" s="12">
        <v>112.7</v>
      </c>
      <c r="BF46" s="12">
        <v>106.1</v>
      </c>
      <c r="BG46" s="12">
        <v>109.4</v>
      </c>
      <c r="BH46" s="12">
        <v>112.7</v>
      </c>
      <c r="BI46" s="12">
        <v>112.7</v>
      </c>
      <c r="BJ46" s="4"/>
      <c r="BK46" s="4"/>
      <c r="BL46" s="10"/>
      <c r="BM46" s="10"/>
      <c r="BN46" s="10"/>
      <c r="BO46" s="10"/>
    </row>
    <row r="47" ht="15.5" spans="1:67">
      <c r="A47" s="2"/>
      <c r="B47" s="6" t="s">
        <v>199</v>
      </c>
      <c r="C47" s="7">
        <f t="shared" ref="C47:J47" si="144">BB47/1000</f>
        <v>0.4256</v>
      </c>
      <c r="D47" s="7">
        <f t="shared" si="144"/>
        <v>0.3807</v>
      </c>
      <c r="E47" s="7">
        <f t="shared" si="144"/>
        <v>0.3703</v>
      </c>
      <c r="F47" s="7">
        <f t="shared" si="144"/>
        <v>0.3679</v>
      </c>
      <c r="G47" s="7">
        <f t="shared" si="144"/>
        <v>0.3552</v>
      </c>
      <c r="H47" s="7">
        <f t="shared" si="144"/>
        <v>0.3613</v>
      </c>
      <c r="I47" s="7">
        <f t="shared" si="144"/>
        <v>0.3679</v>
      </c>
      <c r="J47" s="7">
        <f t="shared" si="144"/>
        <v>0.3679</v>
      </c>
      <c r="K47" s="4"/>
      <c r="L47" s="4"/>
      <c r="M47" s="10">
        <v>5.937</v>
      </c>
      <c r="N47" s="10">
        <v>5.845</v>
      </c>
      <c r="O47" s="10">
        <v>5.575</v>
      </c>
      <c r="P47" s="10">
        <v>5.276</v>
      </c>
      <c r="Q47" s="10">
        <v>5.363</v>
      </c>
      <c r="R47" s="10">
        <v>6.645</v>
      </c>
      <c r="S47" s="10">
        <v>5.654</v>
      </c>
      <c r="T47" s="10"/>
      <c r="U47" s="2"/>
      <c r="V47" s="6" t="s">
        <v>199</v>
      </c>
      <c r="W47" s="12">
        <f t="shared" ref="W47:AC47" si="145">D47/M47</f>
        <v>0.0641232945932289</v>
      </c>
      <c r="X47" s="12">
        <f t="shared" si="145"/>
        <v>0.0633532934131737</v>
      </c>
      <c r="Y47" s="12">
        <f t="shared" si="145"/>
        <v>0.0659910313901345</v>
      </c>
      <c r="Z47" s="12">
        <f t="shared" si="145"/>
        <v>0.0673237300985595</v>
      </c>
      <c r="AA47" s="12">
        <f t="shared" si="145"/>
        <v>0.0673690098825284</v>
      </c>
      <c r="AB47" s="15">
        <f t="shared" si="145"/>
        <v>0.055364936042137</v>
      </c>
      <c r="AC47" s="15">
        <f t="shared" si="145"/>
        <v>0.0650689777148921</v>
      </c>
      <c r="AD47" s="4"/>
      <c r="AE47" s="4"/>
      <c r="AF47" s="12">
        <f t="shared" ref="AF47:AJ47" si="146">W47</f>
        <v>0.0641232945932289</v>
      </c>
      <c r="AG47" s="12">
        <f t="shared" si="146"/>
        <v>0.0633532934131737</v>
      </c>
      <c r="AH47" s="12">
        <f t="shared" si="146"/>
        <v>0.0659910313901345</v>
      </c>
      <c r="AI47" s="12">
        <f t="shared" si="146"/>
        <v>0.0673237300985595</v>
      </c>
      <c r="AJ47" s="12">
        <f t="shared" si="146"/>
        <v>0.0673690098825284</v>
      </c>
      <c r="AK47" s="16">
        <f t="shared" si="131"/>
        <v>0.0636696764484575</v>
      </c>
      <c r="AL47" s="16">
        <f t="shared" si="132"/>
        <v>0.0748293243721259</v>
      </c>
      <c r="AO47" s="12">
        <f t="shared" ref="AO47:AS47" si="147">W47</f>
        <v>0.0641232945932289</v>
      </c>
      <c r="AP47" s="12">
        <f t="shared" si="147"/>
        <v>0.0633532934131737</v>
      </c>
      <c r="AQ47" s="12">
        <f t="shared" si="147"/>
        <v>0.0659910313901345</v>
      </c>
      <c r="AR47" s="12">
        <f t="shared" si="147"/>
        <v>0.0673237300985595</v>
      </c>
      <c r="AS47" s="12">
        <f t="shared" si="147"/>
        <v>0.0673690098825284</v>
      </c>
      <c r="AT47" s="16">
        <f t="shared" si="134"/>
        <v>0.0470601956358164</v>
      </c>
      <c r="AU47" s="16">
        <f t="shared" si="135"/>
        <v>0.0553086310576583</v>
      </c>
      <c r="AZ47" s="2"/>
      <c r="BA47" s="6" t="s">
        <v>199</v>
      </c>
      <c r="BB47" s="7">
        <v>425.6</v>
      </c>
      <c r="BC47" s="12">
        <v>380.7</v>
      </c>
      <c r="BD47" s="12">
        <v>370.3</v>
      </c>
      <c r="BE47" s="12">
        <v>367.9</v>
      </c>
      <c r="BF47" s="12">
        <v>355.2</v>
      </c>
      <c r="BG47" s="12">
        <v>361.3</v>
      </c>
      <c r="BH47" s="12">
        <v>367.9</v>
      </c>
      <c r="BI47" s="12">
        <v>367.9</v>
      </c>
      <c r="BJ47" s="4"/>
      <c r="BK47" s="4"/>
      <c r="BL47" s="10"/>
      <c r="BM47" s="10"/>
      <c r="BN47" s="10"/>
      <c r="BO47" s="10"/>
    </row>
    <row r="48" ht="15.5" spans="1:67">
      <c r="A48" s="2"/>
      <c r="B48" s="6" t="s">
        <v>200</v>
      </c>
      <c r="C48" s="7">
        <f t="shared" ref="C48:J48" si="148">BB48/1000</f>
        <v>0.0846</v>
      </c>
      <c r="D48" s="7">
        <f t="shared" si="148"/>
        <v>0.077</v>
      </c>
      <c r="E48" s="7">
        <f t="shared" si="148"/>
        <v>0.0749</v>
      </c>
      <c r="F48" s="7">
        <f t="shared" si="148"/>
        <v>0.0744</v>
      </c>
      <c r="G48" s="7">
        <f t="shared" si="148"/>
        <v>0.0717</v>
      </c>
      <c r="H48" s="7">
        <f t="shared" si="148"/>
        <v>0.0731</v>
      </c>
      <c r="I48" s="7">
        <f t="shared" si="148"/>
        <v>0.0744</v>
      </c>
      <c r="J48" s="7">
        <f t="shared" si="148"/>
        <v>0.0744</v>
      </c>
      <c r="K48" s="4"/>
      <c r="L48" s="4"/>
      <c r="M48" s="10">
        <v>5.937</v>
      </c>
      <c r="N48" s="10">
        <v>5.845</v>
      </c>
      <c r="O48" s="10">
        <v>5.575</v>
      </c>
      <c r="P48" s="10">
        <v>5.276</v>
      </c>
      <c r="Q48" s="10">
        <v>5.363</v>
      </c>
      <c r="R48" s="10">
        <v>6.645</v>
      </c>
      <c r="S48" s="10">
        <v>5.654</v>
      </c>
      <c r="T48" s="10"/>
      <c r="U48" s="2"/>
      <c r="V48" s="6" t="s">
        <v>200</v>
      </c>
      <c r="W48" s="12">
        <f t="shared" ref="W48:AC48" si="149">D48/M48</f>
        <v>0.0129695132221661</v>
      </c>
      <c r="X48" s="12">
        <f t="shared" si="149"/>
        <v>0.012814371257485</v>
      </c>
      <c r="Y48" s="12">
        <f t="shared" si="149"/>
        <v>0.0133452914798206</v>
      </c>
      <c r="Z48" s="12">
        <f t="shared" si="149"/>
        <v>0.0135898407884761</v>
      </c>
      <c r="AA48" s="12">
        <f t="shared" si="149"/>
        <v>0.0136304307290695</v>
      </c>
      <c r="AB48" s="15">
        <f t="shared" si="149"/>
        <v>0.011196388261851</v>
      </c>
      <c r="AC48" s="15">
        <f t="shared" si="149"/>
        <v>0.0131588256101875</v>
      </c>
      <c r="AD48" s="4"/>
      <c r="AE48" s="4"/>
      <c r="AF48" s="12">
        <f t="shared" ref="AF48:AJ48" si="150">W48</f>
        <v>0.0129695132221661</v>
      </c>
      <c r="AG48" s="12">
        <f t="shared" si="150"/>
        <v>0.012814371257485</v>
      </c>
      <c r="AH48" s="12">
        <f t="shared" si="150"/>
        <v>0.0133452914798206</v>
      </c>
      <c r="AI48" s="12">
        <f t="shared" si="150"/>
        <v>0.0135898407884761</v>
      </c>
      <c r="AJ48" s="12">
        <f t="shared" si="150"/>
        <v>0.0136304307290695</v>
      </c>
      <c r="AK48" s="16">
        <f t="shared" si="131"/>
        <v>0.0128758465011287</v>
      </c>
      <c r="AL48" s="16">
        <f t="shared" si="132"/>
        <v>0.0151326494517156</v>
      </c>
      <c r="AO48" s="12">
        <f t="shared" ref="AO48:AS48" si="151">W48</f>
        <v>0.0129695132221661</v>
      </c>
      <c r="AP48" s="12">
        <f t="shared" si="151"/>
        <v>0.012814371257485</v>
      </c>
      <c r="AQ48" s="12">
        <f t="shared" si="151"/>
        <v>0.0133452914798206</v>
      </c>
      <c r="AR48" s="12">
        <f t="shared" si="151"/>
        <v>0.0135898407884761</v>
      </c>
      <c r="AS48" s="12">
        <f t="shared" si="151"/>
        <v>0.0136304307290695</v>
      </c>
      <c r="AT48" s="16">
        <f t="shared" si="134"/>
        <v>0.00951693002257336</v>
      </c>
      <c r="AU48" s="16">
        <f t="shared" si="135"/>
        <v>0.0111850017686594</v>
      </c>
      <c r="AZ48" s="2"/>
      <c r="BA48" s="6" t="s">
        <v>200</v>
      </c>
      <c r="BB48" s="7">
        <v>84.6</v>
      </c>
      <c r="BC48" s="12">
        <v>77</v>
      </c>
      <c r="BD48" s="12">
        <v>74.9</v>
      </c>
      <c r="BE48" s="12">
        <v>74.4</v>
      </c>
      <c r="BF48" s="12">
        <v>71.7</v>
      </c>
      <c r="BG48" s="12">
        <v>73.1</v>
      </c>
      <c r="BH48" s="12">
        <v>74.4</v>
      </c>
      <c r="BI48" s="12">
        <v>74.4</v>
      </c>
      <c r="BJ48" s="4"/>
      <c r="BK48" s="4"/>
      <c r="BL48" s="10"/>
      <c r="BM48" s="10"/>
      <c r="BN48" s="10"/>
      <c r="BO48" s="10"/>
    </row>
    <row r="49" ht="15.5" spans="1:67">
      <c r="A49" s="2" t="s">
        <v>201</v>
      </c>
      <c r="B49" s="6" t="s">
        <v>196</v>
      </c>
      <c r="C49" s="7">
        <f t="shared" ref="C49:J49" si="152">BB49/1000</f>
        <v>0.6792</v>
      </c>
      <c r="D49" s="7">
        <f t="shared" si="152"/>
        <v>0.5984</v>
      </c>
      <c r="E49" s="7">
        <f t="shared" si="152"/>
        <v>0.5794</v>
      </c>
      <c r="F49" s="7">
        <f t="shared" si="152"/>
        <v>0.575</v>
      </c>
      <c r="G49" s="7">
        <f t="shared" si="152"/>
        <v>0.5517</v>
      </c>
      <c r="H49" s="7">
        <f t="shared" si="152"/>
        <v>0.5632</v>
      </c>
      <c r="I49" s="7">
        <f t="shared" si="152"/>
        <v>0.575</v>
      </c>
      <c r="J49" s="7">
        <f t="shared" si="152"/>
        <v>0.575</v>
      </c>
      <c r="K49" s="4"/>
      <c r="L49" s="4"/>
      <c r="M49" s="10">
        <v>5.937</v>
      </c>
      <c r="N49" s="10">
        <v>5.845</v>
      </c>
      <c r="O49" s="10">
        <v>5.575</v>
      </c>
      <c r="P49" s="10">
        <v>5.276</v>
      </c>
      <c r="Q49" s="10">
        <v>5.363</v>
      </c>
      <c r="R49" s="10">
        <v>6.645</v>
      </c>
      <c r="S49" s="10">
        <v>5.654</v>
      </c>
      <c r="T49" s="10"/>
      <c r="U49" s="2" t="s">
        <v>201</v>
      </c>
      <c r="V49" s="6" t="s">
        <v>196</v>
      </c>
      <c r="W49" s="12">
        <f t="shared" ref="W49:AC49" si="153">D49/M49</f>
        <v>0.100791645612262</v>
      </c>
      <c r="X49" s="12">
        <f t="shared" si="153"/>
        <v>0.0991274593669803</v>
      </c>
      <c r="Y49" s="12">
        <f t="shared" si="153"/>
        <v>0.103139013452915</v>
      </c>
      <c r="Z49" s="12">
        <f t="shared" si="153"/>
        <v>0.104567854435178</v>
      </c>
      <c r="AA49" s="12">
        <f t="shared" si="153"/>
        <v>0.105015849338057</v>
      </c>
      <c r="AB49" s="15">
        <f t="shared" si="153"/>
        <v>0.0865312264860798</v>
      </c>
      <c r="AC49" s="15">
        <f t="shared" si="153"/>
        <v>0.10169791298196</v>
      </c>
      <c r="AD49" s="4"/>
      <c r="AE49" s="4"/>
      <c r="AF49" s="12">
        <f t="shared" ref="AF49:AJ49" si="154">W49</f>
        <v>0.100791645612262</v>
      </c>
      <c r="AG49" s="12">
        <f t="shared" si="154"/>
        <v>0.0991274593669803</v>
      </c>
      <c r="AH49" s="12">
        <f t="shared" si="154"/>
        <v>0.103139013452915</v>
      </c>
      <c r="AI49" s="12">
        <f t="shared" si="154"/>
        <v>0.104567854435178</v>
      </c>
      <c r="AJ49" s="12">
        <f t="shared" si="154"/>
        <v>0.105015849338057</v>
      </c>
      <c r="AK49" s="16">
        <f t="shared" si="131"/>
        <v>0.0995109104589917</v>
      </c>
      <c r="AL49" s="16">
        <f t="shared" si="132"/>
        <v>0.116952599929254</v>
      </c>
      <c r="AO49" s="12">
        <f t="shared" ref="AO49:AS49" si="155">W49</f>
        <v>0.100791645612262</v>
      </c>
      <c r="AP49" s="12">
        <f t="shared" si="155"/>
        <v>0.0991274593669803</v>
      </c>
      <c r="AQ49" s="12">
        <f t="shared" si="155"/>
        <v>0.103139013452915</v>
      </c>
      <c r="AR49" s="12">
        <f t="shared" si="155"/>
        <v>0.104567854435178</v>
      </c>
      <c r="AS49" s="12">
        <f t="shared" si="155"/>
        <v>0.105015849338057</v>
      </c>
      <c r="AT49" s="16">
        <f t="shared" si="134"/>
        <v>0.0735515425131678</v>
      </c>
      <c r="AU49" s="16">
        <f t="shared" si="135"/>
        <v>0.0864432260346657</v>
      </c>
      <c r="AZ49" s="2" t="s">
        <v>201</v>
      </c>
      <c r="BA49" s="6" t="s">
        <v>196</v>
      </c>
      <c r="BB49" s="7">
        <v>679.2</v>
      </c>
      <c r="BC49" s="12">
        <v>598.4</v>
      </c>
      <c r="BD49" s="12">
        <v>579.4</v>
      </c>
      <c r="BE49" s="12">
        <v>575</v>
      </c>
      <c r="BF49" s="12">
        <v>551.7</v>
      </c>
      <c r="BG49" s="12">
        <v>563.2</v>
      </c>
      <c r="BH49" s="12">
        <v>575</v>
      </c>
      <c r="BI49" s="12">
        <v>575</v>
      </c>
      <c r="BJ49" s="4"/>
      <c r="BK49" s="4"/>
      <c r="BL49" s="10"/>
      <c r="BM49" s="10"/>
      <c r="BN49" s="10"/>
      <c r="BO49" s="10"/>
    </row>
    <row r="50" ht="15.5" spans="1:67">
      <c r="A50" s="2"/>
      <c r="B50" s="6" t="s">
        <v>197</v>
      </c>
      <c r="C50" s="7">
        <f t="shared" ref="C50:J50" si="156">BB50/1000</f>
        <v>0.6241</v>
      </c>
      <c r="D50" s="7">
        <f t="shared" si="156"/>
        <v>0.5523</v>
      </c>
      <c r="E50" s="7">
        <f t="shared" si="156"/>
        <v>0.5353</v>
      </c>
      <c r="F50" s="7">
        <f t="shared" si="156"/>
        <v>0.5314</v>
      </c>
      <c r="G50" s="7">
        <f t="shared" si="156"/>
        <v>0.5105</v>
      </c>
      <c r="H50" s="7">
        <f t="shared" si="156"/>
        <v>0.5209</v>
      </c>
      <c r="I50" s="7">
        <f t="shared" si="156"/>
        <v>0.5314</v>
      </c>
      <c r="J50" s="7">
        <f t="shared" si="156"/>
        <v>0.5314</v>
      </c>
      <c r="K50" s="4"/>
      <c r="L50" s="4"/>
      <c r="M50" s="10">
        <v>5.937</v>
      </c>
      <c r="N50" s="10">
        <v>5.845</v>
      </c>
      <c r="O50" s="10">
        <v>5.575</v>
      </c>
      <c r="P50" s="10">
        <v>5.276</v>
      </c>
      <c r="Q50" s="10">
        <v>5.363</v>
      </c>
      <c r="R50" s="10">
        <v>6.645</v>
      </c>
      <c r="S50" s="10">
        <v>5.654</v>
      </c>
      <c r="T50" s="10"/>
      <c r="U50" s="2"/>
      <c r="V50" s="6" t="s">
        <v>197</v>
      </c>
      <c r="W50" s="12">
        <f t="shared" ref="W50:AC50" si="157">D50/M50</f>
        <v>0.0930267812026276</v>
      </c>
      <c r="X50" s="12">
        <f t="shared" si="157"/>
        <v>0.0915825491873396</v>
      </c>
      <c r="Y50" s="12">
        <f t="shared" si="157"/>
        <v>0.0953183856502242</v>
      </c>
      <c r="Z50" s="12">
        <f t="shared" si="157"/>
        <v>0.0967589082638362</v>
      </c>
      <c r="AA50" s="12">
        <f t="shared" si="157"/>
        <v>0.0971284728696625</v>
      </c>
      <c r="AB50" s="15">
        <f t="shared" si="157"/>
        <v>0.0799699021820918</v>
      </c>
      <c r="AC50" s="15">
        <f t="shared" si="157"/>
        <v>0.0939865581888928</v>
      </c>
      <c r="AD50" s="4"/>
      <c r="AE50" s="4"/>
      <c r="AF50" s="12">
        <f t="shared" ref="AF50:AJ50" si="158">W50</f>
        <v>0.0930267812026276</v>
      </c>
      <c r="AG50" s="12">
        <f t="shared" si="158"/>
        <v>0.0915825491873396</v>
      </c>
      <c r="AH50" s="12">
        <f t="shared" si="158"/>
        <v>0.0953183856502242</v>
      </c>
      <c r="AI50" s="12">
        <f t="shared" si="158"/>
        <v>0.0967589082638362</v>
      </c>
      <c r="AJ50" s="12">
        <f t="shared" si="158"/>
        <v>0.0971284728696625</v>
      </c>
      <c r="AK50" s="16">
        <f t="shared" si="131"/>
        <v>0.0919653875094056</v>
      </c>
      <c r="AL50" s="16">
        <f t="shared" si="132"/>
        <v>0.108084541917227</v>
      </c>
      <c r="AO50" s="12">
        <f t="shared" ref="AO50:AS50" si="159">W50</f>
        <v>0.0930267812026276</v>
      </c>
      <c r="AP50" s="12">
        <f t="shared" si="159"/>
        <v>0.0915825491873396</v>
      </c>
      <c r="AQ50" s="12">
        <f t="shared" si="159"/>
        <v>0.0953183856502242</v>
      </c>
      <c r="AR50" s="12">
        <f t="shared" si="159"/>
        <v>0.0967589082638362</v>
      </c>
      <c r="AS50" s="12">
        <f t="shared" si="159"/>
        <v>0.0971284728696625</v>
      </c>
      <c r="AT50" s="16">
        <f t="shared" si="134"/>
        <v>0.067974416854778</v>
      </c>
      <c r="AU50" s="16">
        <f t="shared" si="135"/>
        <v>0.0798885744605589</v>
      </c>
      <c r="AZ50" s="2"/>
      <c r="BA50" s="6" t="s">
        <v>197</v>
      </c>
      <c r="BB50" s="7">
        <v>624.1</v>
      </c>
      <c r="BC50" s="12">
        <v>552.3</v>
      </c>
      <c r="BD50" s="12">
        <v>535.3</v>
      </c>
      <c r="BE50" s="12">
        <v>531.4</v>
      </c>
      <c r="BF50" s="12">
        <v>510.5</v>
      </c>
      <c r="BG50" s="12">
        <v>520.9</v>
      </c>
      <c r="BH50" s="12">
        <v>531.4</v>
      </c>
      <c r="BI50" s="12">
        <v>531.4</v>
      </c>
      <c r="BJ50" s="4"/>
      <c r="BK50" s="4"/>
      <c r="BL50" s="10"/>
      <c r="BM50" s="10"/>
      <c r="BN50" s="10"/>
      <c r="BO50" s="10"/>
    </row>
    <row r="51" ht="15.5" spans="1:67">
      <c r="A51" s="2"/>
      <c r="B51" s="6" t="s">
        <v>198</v>
      </c>
      <c r="C51" s="7">
        <f t="shared" ref="C51:J51" si="160">BB51/1000</f>
        <v>0.1745</v>
      </c>
      <c r="D51" s="7">
        <f t="shared" si="160"/>
        <v>0.1463</v>
      </c>
      <c r="E51" s="7">
        <f t="shared" si="160"/>
        <v>0.1398</v>
      </c>
      <c r="F51" s="7">
        <f t="shared" si="160"/>
        <v>0.1383</v>
      </c>
      <c r="G51" s="7">
        <f t="shared" si="160"/>
        <v>0.1304</v>
      </c>
      <c r="H51" s="7">
        <f t="shared" si="160"/>
        <v>0.1343</v>
      </c>
      <c r="I51" s="7">
        <f t="shared" si="160"/>
        <v>0.1383</v>
      </c>
      <c r="J51" s="7">
        <f t="shared" si="160"/>
        <v>0.1383</v>
      </c>
      <c r="K51" s="4"/>
      <c r="L51" s="4"/>
      <c r="M51" s="10">
        <v>5.937</v>
      </c>
      <c r="N51" s="10">
        <v>5.845</v>
      </c>
      <c r="O51" s="10">
        <v>5.575</v>
      </c>
      <c r="P51" s="10">
        <v>5.276</v>
      </c>
      <c r="Q51" s="10">
        <v>5.363</v>
      </c>
      <c r="R51" s="10">
        <v>6.645</v>
      </c>
      <c r="S51" s="10">
        <v>5.654</v>
      </c>
      <c r="T51" s="10"/>
      <c r="U51" s="2"/>
      <c r="V51" s="6" t="s">
        <v>198</v>
      </c>
      <c r="W51" s="12">
        <f t="shared" ref="W51:AC51" si="161">D51/M51</f>
        <v>0.0246420751221155</v>
      </c>
      <c r="X51" s="12">
        <f t="shared" si="161"/>
        <v>0.023917878528657</v>
      </c>
      <c r="Y51" s="12">
        <f t="shared" si="161"/>
        <v>0.0248071748878924</v>
      </c>
      <c r="Z51" s="12">
        <f t="shared" si="161"/>
        <v>0.0247156937073541</v>
      </c>
      <c r="AA51" s="12">
        <f t="shared" si="161"/>
        <v>0.025041954130151</v>
      </c>
      <c r="AB51" s="15">
        <f t="shared" si="161"/>
        <v>0.0208126410835214</v>
      </c>
      <c r="AC51" s="15">
        <f t="shared" si="161"/>
        <v>0.0244605588963566</v>
      </c>
      <c r="AD51" s="4"/>
      <c r="AE51" s="4"/>
      <c r="AF51" s="12">
        <f t="shared" ref="AF51:AJ51" si="162">W51</f>
        <v>0.0246420751221155</v>
      </c>
      <c r="AG51" s="12">
        <f t="shared" si="162"/>
        <v>0.023917878528657</v>
      </c>
      <c r="AH51" s="12">
        <f t="shared" si="162"/>
        <v>0.0248071748878924</v>
      </c>
      <c r="AI51" s="12">
        <f t="shared" si="162"/>
        <v>0.0247156937073541</v>
      </c>
      <c r="AJ51" s="12">
        <f t="shared" si="162"/>
        <v>0.025041954130151</v>
      </c>
      <c r="AK51" s="16">
        <f t="shared" si="131"/>
        <v>0.0239345372460497</v>
      </c>
      <c r="AL51" s="16">
        <f t="shared" si="132"/>
        <v>0.02812964273081</v>
      </c>
      <c r="AO51" s="12">
        <f t="shared" ref="AO51:AS51" si="163">W51</f>
        <v>0.0246420751221155</v>
      </c>
      <c r="AP51" s="12">
        <f t="shared" si="163"/>
        <v>0.023917878528657</v>
      </c>
      <c r="AQ51" s="12">
        <f t="shared" si="163"/>
        <v>0.0248071748878924</v>
      </c>
      <c r="AR51" s="12">
        <f t="shared" si="163"/>
        <v>0.0247156937073541</v>
      </c>
      <c r="AS51" s="12">
        <f t="shared" si="163"/>
        <v>0.025041954130151</v>
      </c>
      <c r="AT51" s="16">
        <f t="shared" si="134"/>
        <v>0.0176907449209932</v>
      </c>
      <c r="AU51" s="16">
        <f t="shared" si="135"/>
        <v>0.0207914750619031</v>
      </c>
      <c r="AZ51" s="2"/>
      <c r="BA51" s="6" t="s">
        <v>198</v>
      </c>
      <c r="BB51" s="7">
        <v>174.5</v>
      </c>
      <c r="BC51" s="12">
        <v>146.3</v>
      </c>
      <c r="BD51" s="12">
        <v>139.8</v>
      </c>
      <c r="BE51" s="12">
        <v>138.3</v>
      </c>
      <c r="BF51" s="12">
        <v>130.4</v>
      </c>
      <c r="BG51" s="12">
        <v>134.3</v>
      </c>
      <c r="BH51" s="12">
        <v>138.3</v>
      </c>
      <c r="BI51" s="12">
        <v>138.3</v>
      </c>
      <c r="BJ51" s="4"/>
      <c r="BK51" s="4"/>
      <c r="BL51" s="10"/>
      <c r="BM51" s="10"/>
      <c r="BN51" s="10"/>
      <c r="BO51" s="10"/>
    </row>
    <row r="52" ht="15.5" spans="1:67">
      <c r="A52" s="2"/>
      <c r="B52" s="6" t="s">
        <v>199</v>
      </c>
      <c r="C52" s="7">
        <f t="shared" ref="C52:J52" si="164">BB52/1000</f>
        <v>0.4064</v>
      </c>
      <c r="D52" s="7">
        <f t="shared" si="164"/>
        <v>0.3643</v>
      </c>
      <c r="E52" s="7">
        <f t="shared" si="164"/>
        <v>0.3546</v>
      </c>
      <c r="F52" s="7">
        <f t="shared" si="164"/>
        <v>0.3523</v>
      </c>
      <c r="G52" s="7">
        <f t="shared" si="164"/>
        <v>0.3404</v>
      </c>
      <c r="H52" s="7">
        <f t="shared" si="164"/>
        <v>0.3462</v>
      </c>
      <c r="I52" s="7">
        <f t="shared" si="164"/>
        <v>0.3523</v>
      </c>
      <c r="J52" s="7">
        <f t="shared" si="164"/>
        <v>0.3523</v>
      </c>
      <c r="K52" s="4"/>
      <c r="L52" s="4"/>
      <c r="M52" s="10">
        <v>5.937</v>
      </c>
      <c r="N52" s="10">
        <v>5.845</v>
      </c>
      <c r="O52" s="10">
        <v>5.575</v>
      </c>
      <c r="P52" s="10">
        <v>5.276</v>
      </c>
      <c r="Q52" s="10">
        <v>5.363</v>
      </c>
      <c r="R52" s="10">
        <v>6.645</v>
      </c>
      <c r="S52" s="10">
        <v>5.654</v>
      </c>
      <c r="T52" s="10"/>
      <c r="U52" s="2"/>
      <c r="V52" s="6" t="s">
        <v>199</v>
      </c>
      <c r="W52" s="12">
        <f t="shared" ref="W52:AC52" si="165">D52/M52</f>
        <v>0.0613609567121442</v>
      </c>
      <c r="X52" s="12">
        <f t="shared" si="165"/>
        <v>0.0606672369546621</v>
      </c>
      <c r="Y52" s="12">
        <f t="shared" si="165"/>
        <v>0.0631928251121076</v>
      </c>
      <c r="Z52" s="12">
        <f t="shared" si="165"/>
        <v>0.0645185746777862</v>
      </c>
      <c r="AA52" s="12">
        <f t="shared" si="165"/>
        <v>0.0645534215923923</v>
      </c>
      <c r="AB52" s="15">
        <f t="shared" si="165"/>
        <v>0.0530173062452972</v>
      </c>
      <c r="AC52" s="15">
        <f t="shared" si="165"/>
        <v>0.0623098691192076</v>
      </c>
      <c r="AD52" s="4"/>
      <c r="AE52" s="4"/>
      <c r="AF52" s="12">
        <f t="shared" ref="AF52:AJ52" si="166">W52</f>
        <v>0.0613609567121442</v>
      </c>
      <c r="AG52" s="12">
        <f t="shared" si="166"/>
        <v>0.0606672369546621</v>
      </c>
      <c r="AH52" s="12">
        <f t="shared" si="166"/>
        <v>0.0631928251121076</v>
      </c>
      <c r="AI52" s="12">
        <f t="shared" si="166"/>
        <v>0.0645185746777862</v>
      </c>
      <c r="AJ52" s="12">
        <f t="shared" si="166"/>
        <v>0.0645534215923923</v>
      </c>
      <c r="AK52" s="16">
        <f t="shared" si="131"/>
        <v>0.0609699021820918</v>
      </c>
      <c r="AL52" s="16">
        <f t="shared" si="132"/>
        <v>0.0716563494870888</v>
      </c>
      <c r="AO52" s="12">
        <f t="shared" ref="AO52:AS52" si="167">W52</f>
        <v>0.0613609567121442</v>
      </c>
      <c r="AP52" s="12">
        <f t="shared" si="167"/>
        <v>0.0606672369546621</v>
      </c>
      <c r="AQ52" s="12">
        <f t="shared" si="167"/>
        <v>0.0631928251121076</v>
      </c>
      <c r="AR52" s="12">
        <f t="shared" si="167"/>
        <v>0.0645185746777862</v>
      </c>
      <c r="AS52" s="12">
        <f t="shared" si="167"/>
        <v>0.0645534215923923</v>
      </c>
      <c r="AT52" s="16">
        <f t="shared" si="134"/>
        <v>0.0450647103085026</v>
      </c>
      <c r="AU52" s="16">
        <f t="shared" si="135"/>
        <v>0.0529633887513265</v>
      </c>
      <c r="AZ52" s="2"/>
      <c r="BA52" s="6" t="s">
        <v>199</v>
      </c>
      <c r="BB52" s="7">
        <v>406.4</v>
      </c>
      <c r="BC52" s="12">
        <v>364.3</v>
      </c>
      <c r="BD52" s="12">
        <v>354.6</v>
      </c>
      <c r="BE52" s="12">
        <v>352.3</v>
      </c>
      <c r="BF52" s="12">
        <v>340.4</v>
      </c>
      <c r="BG52" s="12">
        <v>346.2</v>
      </c>
      <c r="BH52" s="12">
        <v>352.3</v>
      </c>
      <c r="BI52" s="12">
        <v>352.3</v>
      </c>
      <c r="BJ52" s="4"/>
      <c r="BK52" s="4"/>
      <c r="BL52" s="10"/>
      <c r="BM52" s="10"/>
      <c r="BN52" s="10"/>
      <c r="BO52" s="10"/>
    </row>
    <row r="53" ht="15.5" spans="1:67">
      <c r="A53" s="2"/>
      <c r="B53" s="6" t="s">
        <v>200</v>
      </c>
      <c r="C53" s="7">
        <f t="shared" ref="C53:J53" si="168">BB53/1000</f>
        <v>0.0872</v>
      </c>
      <c r="D53" s="7">
        <f t="shared" si="168"/>
        <v>0.0791</v>
      </c>
      <c r="E53" s="7">
        <f t="shared" si="168"/>
        <v>0.077</v>
      </c>
      <c r="F53" s="7">
        <f t="shared" si="168"/>
        <v>0.0765</v>
      </c>
      <c r="G53" s="7">
        <f t="shared" si="168"/>
        <v>0.0737</v>
      </c>
      <c r="H53" s="7">
        <f t="shared" si="168"/>
        <v>0.0751</v>
      </c>
      <c r="I53" s="7">
        <f t="shared" si="168"/>
        <v>0.0765</v>
      </c>
      <c r="J53" s="7">
        <f t="shared" si="168"/>
        <v>0.0765</v>
      </c>
      <c r="K53" s="4"/>
      <c r="L53" s="4"/>
      <c r="M53" s="10">
        <v>5.937</v>
      </c>
      <c r="N53" s="10">
        <v>5.845</v>
      </c>
      <c r="O53" s="10">
        <v>5.575</v>
      </c>
      <c r="P53" s="10">
        <v>5.276</v>
      </c>
      <c r="Q53" s="10">
        <v>5.363</v>
      </c>
      <c r="R53" s="10">
        <v>6.645</v>
      </c>
      <c r="S53" s="10">
        <v>5.654</v>
      </c>
      <c r="T53" s="10"/>
      <c r="U53" s="2"/>
      <c r="V53" s="6" t="s">
        <v>200</v>
      </c>
      <c r="W53" s="12">
        <f t="shared" ref="W53:AC53" si="169">D53/M53</f>
        <v>0.0133232272191342</v>
      </c>
      <c r="X53" s="12">
        <f t="shared" si="169"/>
        <v>0.0131736526946108</v>
      </c>
      <c r="Y53" s="12">
        <f t="shared" si="169"/>
        <v>0.0137219730941704</v>
      </c>
      <c r="Z53" s="12">
        <f t="shared" si="169"/>
        <v>0.0139689158453374</v>
      </c>
      <c r="AA53" s="12">
        <f t="shared" si="169"/>
        <v>0.0140033563304121</v>
      </c>
      <c r="AB53" s="15">
        <f t="shared" si="169"/>
        <v>0.0115124153498871</v>
      </c>
      <c r="AC53" s="15">
        <f t="shared" si="169"/>
        <v>0.0135302440749912</v>
      </c>
      <c r="AD53" s="4"/>
      <c r="AE53" s="4"/>
      <c r="AF53" s="12">
        <f t="shared" ref="AF53:AJ53" si="170">W53</f>
        <v>0.0133232272191342</v>
      </c>
      <c r="AG53" s="12">
        <f t="shared" si="170"/>
        <v>0.0131736526946108</v>
      </c>
      <c r="AH53" s="12">
        <f t="shared" si="170"/>
        <v>0.0137219730941704</v>
      </c>
      <c r="AI53" s="12">
        <f t="shared" si="170"/>
        <v>0.0139689158453374</v>
      </c>
      <c r="AJ53" s="12">
        <f t="shared" si="170"/>
        <v>0.0140033563304121</v>
      </c>
      <c r="AK53" s="16">
        <f t="shared" si="131"/>
        <v>0.0132392776523702</v>
      </c>
      <c r="AL53" s="16">
        <f t="shared" si="132"/>
        <v>0.0155597806862398</v>
      </c>
      <c r="AO53" s="12">
        <f t="shared" ref="AO53:AS53" si="171">W53</f>
        <v>0.0133232272191342</v>
      </c>
      <c r="AP53" s="12">
        <f t="shared" si="171"/>
        <v>0.0131736526946108</v>
      </c>
      <c r="AQ53" s="12">
        <f t="shared" si="171"/>
        <v>0.0137219730941704</v>
      </c>
      <c r="AR53" s="12">
        <f t="shared" si="171"/>
        <v>0.0139689158453374</v>
      </c>
      <c r="AS53" s="12">
        <f t="shared" si="171"/>
        <v>0.0140033563304121</v>
      </c>
      <c r="AT53" s="16">
        <f t="shared" si="134"/>
        <v>0.00978555304740406</v>
      </c>
      <c r="AU53" s="16">
        <f t="shared" si="135"/>
        <v>0.0115007074637425</v>
      </c>
      <c r="AZ53" s="2"/>
      <c r="BA53" s="6" t="s">
        <v>200</v>
      </c>
      <c r="BB53" s="7">
        <v>87.2</v>
      </c>
      <c r="BC53" s="12">
        <v>79.1</v>
      </c>
      <c r="BD53" s="12">
        <v>77</v>
      </c>
      <c r="BE53" s="12">
        <v>76.5</v>
      </c>
      <c r="BF53" s="12">
        <v>73.7</v>
      </c>
      <c r="BG53" s="12">
        <v>75.1</v>
      </c>
      <c r="BH53" s="12">
        <v>76.5</v>
      </c>
      <c r="BI53" s="12">
        <v>76.5</v>
      </c>
      <c r="BJ53" s="4"/>
      <c r="BK53" s="4"/>
      <c r="BL53" s="10"/>
      <c r="BM53" s="10"/>
      <c r="BN53" s="10"/>
      <c r="BO53" s="10"/>
    </row>
    <row r="54" ht="15.5" spans="1:67">
      <c r="A54" s="2" t="s">
        <v>11</v>
      </c>
      <c r="B54" s="6" t="s">
        <v>196</v>
      </c>
      <c r="C54" s="7">
        <f t="shared" ref="C54:J54" si="172">BB54/1000</f>
        <v>0.6916</v>
      </c>
      <c r="D54" s="7">
        <f t="shared" si="172"/>
        <v>0.6089</v>
      </c>
      <c r="E54" s="7">
        <f t="shared" si="172"/>
        <v>0.5895</v>
      </c>
      <c r="F54" s="7">
        <f t="shared" si="172"/>
        <v>0.585</v>
      </c>
      <c r="G54" s="7">
        <f t="shared" si="172"/>
        <v>0.5612</v>
      </c>
      <c r="H54" s="7">
        <f t="shared" si="172"/>
        <v>0.573</v>
      </c>
      <c r="I54" s="7">
        <f t="shared" si="172"/>
        <v>0.585</v>
      </c>
      <c r="J54" s="7">
        <f t="shared" si="172"/>
        <v>0.585</v>
      </c>
      <c r="K54" s="4"/>
      <c r="L54" s="4"/>
      <c r="M54" s="10">
        <v>5.937</v>
      </c>
      <c r="N54" s="10">
        <v>5.845</v>
      </c>
      <c r="O54" s="10">
        <v>5.575</v>
      </c>
      <c r="P54" s="10">
        <v>5.276</v>
      </c>
      <c r="Q54" s="10">
        <v>5.363</v>
      </c>
      <c r="R54" s="10">
        <v>6.645</v>
      </c>
      <c r="S54" s="10">
        <v>5.654</v>
      </c>
      <c r="T54" s="10"/>
      <c r="U54" s="2" t="s">
        <v>11</v>
      </c>
      <c r="V54" s="6" t="s">
        <v>196</v>
      </c>
      <c r="W54" s="12">
        <f t="shared" ref="W54:AC54" si="173">D54/M54</f>
        <v>0.102560215597103</v>
      </c>
      <c r="X54" s="12">
        <f t="shared" si="173"/>
        <v>0.100855431993157</v>
      </c>
      <c r="Y54" s="12">
        <f t="shared" si="173"/>
        <v>0.104932735426009</v>
      </c>
      <c r="Z54" s="12">
        <f t="shared" si="173"/>
        <v>0.106368460955269</v>
      </c>
      <c r="AA54" s="12">
        <f t="shared" si="173"/>
        <v>0.106843184784635</v>
      </c>
      <c r="AB54" s="15">
        <f t="shared" si="173"/>
        <v>0.0880361173814898</v>
      </c>
      <c r="AC54" s="15">
        <f t="shared" si="173"/>
        <v>0.103466572338168</v>
      </c>
      <c r="AD54" s="4"/>
      <c r="AE54" s="4"/>
      <c r="AF54" s="12">
        <f t="shared" ref="AF54:AJ54" si="174">W54</f>
        <v>0.102560215597103</v>
      </c>
      <c r="AG54" s="12">
        <f t="shared" si="174"/>
        <v>0.100855431993157</v>
      </c>
      <c r="AH54" s="12">
        <f t="shared" si="174"/>
        <v>0.104932735426009</v>
      </c>
      <c r="AI54" s="12">
        <f t="shared" si="174"/>
        <v>0.106368460955269</v>
      </c>
      <c r="AJ54" s="12">
        <f t="shared" si="174"/>
        <v>0.106843184784635</v>
      </c>
      <c r="AK54" s="16">
        <f t="shared" si="131"/>
        <v>0.101241534988713</v>
      </c>
      <c r="AL54" s="16">
        <f t="shared" si="132"/>
        <v>0.118986558188893</v>
      </c>
      <c r="AO54" s="12">
        <f t="shared" ref="AO54:AS54" si="175">W54</f>
        <v>0.102560215597103</v>
      </c>
      <c r="AP54" s="12">
        <f t="shared" si="175"/>
        <v>0.100855431993157</v>
      </c>
      <c r="AQ54" s="12">
        <f t="shared" si="175"/>
        <v>0.104932735426009</v>
      </c>
      <c r="AR54" s="12">
        <f t="shared" si="175"/>
        <v>0.106368460955269</v>
      </c>
      <c r="AS54" s="12">
        <f t="shared" si="175"/>
        <v>0.106843184784635</v>
      </c>
      <c r="AT54" s="16">
        <f t="shared" si="134"/>
        <v>0.0748306997742664</v>
      </c>
      <c r="AU54" s="16">
        <f t="shared" si="135"/>
        <v>0.0879465864874425</v>
      </c>
      <c r="AZ54" s="2" t="s">
        <v>11</v>
      </c>
      <c r="BA54" s="6" t="s">
        <v>196</v>
      </c>
      <c r="BB54" s="7">
        <v>691.6</v>
      </c>
      <c r="BC54" s="12">
        <v>608.9</v>
      </c>
      <c r="BD54" s="12">
        <v>589.5</v>
      </c>
      <c r="BE54" s="12">
        <v>585</v>
      </c>
      <c r="BF54" s="12">
        <v>561.2</v>
      </c>
      <c r="BG54" s="12">
        <v>573</v>
      </c>
      <c r="BH54" s="12">
        <v>585</v>
      </c>
      <c r="BI54" s="12">
        <v>585</v>
      </c>
      <c r="BJ54" s="4"/>
      <c r="BK54" s="4"/>
      <c r="BL54" s="10"/>
      <c r="BM54" s="10"/>
      <c r="BN54" s="10"/>
      <c r="BO54" s="10"/>
    </row>
    <row r="55" ht="15.5" spans="1:67">
      <c r="A55" s="2"/>
      <c r="B55" s="6" t="s">
        <v>197</v>
      </c>
      <c r="C55" s="7">
        <f t="shared" ref="C55:J55" si="176">BB55/1000</f>
        <v>0.634</v>
      </c>
      <c r="D55" s="7">
        <f t="shared" si="176"/>
        <v>0.5608</v>
      </c>
      <c r="E55" s="7">
        <f t="shared" si="176"/>
        <v>0.5435</v>
      </c>
      <c r="F55" s="7">
        <f t="shared" si="176"/>
        <v>0.5394</v>
      </c>
      <c r="G55" s="7">
        <f t="shared" si="176"/>
        <v>0.5181</v>
      </c>
      <c r="H55" s="7">
        <f t="shared" si="176"/>
        <v>0.5287</v>
      </c>
      <c r="I55" s="7">
        <f t="shared" si="176"/>
        <v>0.5394</v>
      </c>
      <c r="J55" s="7">
        <f t="shared" si="176"/>
        <v>0.5394</v>
      </c>
      <c r="K55" s="4"/>
      <c r="L55" s="4"/>
      <c r="M55" s="10">
        <v>5.937</v>
      </c>
      <c r="N55" s="10">
        <v>5.845</v>
      </c>
      <c r="O55" s="10">
        <v>5.575</v>
      </c>
      <c r="P55" s="10">
        <v>5.276</v>
      </c>
      <c r="Q55" s="10">
        <v>5.363</v>
      </c>
      <c r="R55" s="10">
        <v>6.645</v>
      </c>
      <c r="S55" s="10">
        <v>5.654</v>
      </c>
      <c r="T55" s="10"/>
      <c r="U55" s="2"/>
      <c r="V55" s="6" t="s">
        <v>197</v>
      </c>
      <c r="W55" s="12">
        <f t="shared" ref="W55:AC55" si="177">D55/M55</f>
        <v>0.0944584807141654</v>
      </c>
      <c r="X55" s="12">
        <f t="shared" si="177"/>
        <v>0.0929854576561163</v>
      </c>
      <c r="Y55" s="12">
        <f t="shared" si="177"/>
        <v>0.0967533632286995</v>
      </c>
      <c r="Z55" s="12">
        <f t="shared" si="177"/>
        <v>0.098199393479909</v>
      </c>
      <c r="AA55" s="12">
        <f t="shared" si="177"/>
        <v>0.0985828827148984</v>
      </c>
      <c r="AB55" s="15">
        <f t="shared" si="177"/>
        <v>0.0811738148984199</v>
      </c>
      <c r="AC55" s="15">
        <f t="shared" si="177"/>
        <v>0.0954014856738592</v>
      </c>
      <c r="AD55" s="4"/>
      <c r="AE55" s="4"/>
      <c r="AF55" s="12">
        <f t="shared" ref="AF55:AJ55" si="178">W55</f>
        <v>0.0944584807141654</v>
      </c>
      <c r="AG55" s="12">
        <f t="shared" si="178"/>
        <v>0.0929854576561163</v>
      </c>
      <c r="AH55" s="12">
        <f t="shared" si="178"/>
        <v>0.0967533632286995</v>
      </c>
      <c r="AI55" s="12">
        <f t="shared" si="178"/>
        <v>0.098199393479909</v>
      </c>
      <c r="AJ55" s="12">
        <f t="shared" si="178"/>
        <v>0.0985828827148984</v>
      </c>
      <c r="AK55" s="16">
        <f t="shared" si="131"/>
        <v>0.0933498871331828</v>
      </c>
      <c r="AL55" s="16">
        <f t="shared" si="132"/>
        <v>0.109711708524938</v>
      </c>
      <c r="AO55" s="12">
        <f t="shared" ref="AO55:AS55" si="179">W55</f>
        <v>0.0944584807141654</v>
      </c>
      <c r="AP55" s="12">
        <f t="shared" si="179"/>
        <v>0.0929854576561163</v>
      </c>
      <c r="AQ55" s="12">
        <f t="shared" si="179"/>
        <v>0.0967533632286995</v>
      </c>
      <c r="AR55" s="12">
        <f t="shared" si="179"/>
        <v>0.098199393479909</v>
      </c>
      <c r="AS55" s="12">
        <f t="shared" si="179"/>
        <v>0.0985828827148984</v>
      </c>
      <c r="AT55" s="16">
        <f t="shared" si="134"/>
        <v>0.0689977426636569</v>
      </c>
      <c r="AU55" s="16">
        <f t="shared" si="135"/>
        <v>0.0810912628227803</v>
      </c>
      <c r="AZ55" s="2"/>
      <c r="BA55" s="6" t="s">
        <v>197</v>
      </c>
      <c r="BB55" s="7">
        <v>634</v>
      </c>
      <c r="BC55" s="12">
        <v>560.8</v>
      </c>
      <c r="BD55" s="12">
        <v>543.5</v>
      </c>
      <c r="BE55" s="12">
        <v>539.4</v>
      </c>
      <c r="BF55" s="12">
        <v>518.1</v>
      </c>
      <c r="BG55" s="12">
        <v>528.7</v>
      </c>
      <c r="BH55" s="12">
        <v>539.4</v>
      </c>
      <c r="BI55" s="12">
        <v>539.4</v>
      </c>
      <c r="BJ55" s="4"/>
      <c r="BK55" s="4"/>
      <c r="BL55" s="10"/>
      <c r="BM55" s="10"/>
      <c r="BN55" s="10"/>
      <c r="BO55" s="10"/>
    </row>
    <row r="56" ht="15.5" spans="1:67">
      <c r="A56" s="2"/>
      <c r="B56" s="6" t="s">
        <v>198</v>
      </c>
      <c r="C56" s="7">
        <f t="shared" ref="C56:J56" si="180">BB56/1000</f>
        <v>0.2256</v>
      </c>
      <c r="D56" s="7">
        <f t="shared" si="180"/>
        <v>0.1898</v>
      </c>
      <c r="E56" s="7">
        <f t="shared" si="180"/>
        <v>0.1816</v>
      </c>
      <c r="F56" s="7">
        <f t="shared" si="180"/>
        <v>0.1797</v>
      </c>
      <c r="G56" s="7">
        <f t="shared" si="180"/>
        <v>0.1697</v>
      </c>
      <c r="H56" s="7">
        <f t="shared" si="180"/>
        <v>0.1747</v>
      </c>
      <c r="I56" s="7">
        <f t="shared" si="180"/>
        <v>0.1797</v>
      </c>
      <c r="J56" s="7">
        <f t="shared" si="180"/>
        <v>0.1797</v>
      </c>
      <c r="K56" s="4"/>
      <c r="L56" s="4"/>
      <c r="M56" s="10">
        <v>5.937</v>
      </c>
      <c r="N56" s="10">
        <v>5.845</v>
      </c>
      <c r="O56" s="10">
        <v>5.575</v>
      </c>
      <c r="P56" s="10">
        <v>5.276</v>
      </c>
      <c r="Q56" s="10">
        <v>5.363</v>
      </c>
      <c r="R56" s="10">
        <v>6.645</v>
      </c>
      <c r="S56" s="10">
        <v>5.654</v>
      </c>
      <c r="T56" s="10"/>
      <c r="U56" s="2"/>
      <c r="V56" s="6" t="s">
        <v>198</v>
      </c>
      <c r="W56" s="12">
        <f t="shared" ref="W56:AC56" si="181">D56/M56</f>
        <v>0.0319690079164561</v>
      </c>
      <c r="X56" s="12">
        <f t="shared" si="181"/>
        <v>0.0310692899914457</v>
      </c>
      <c r="Y56" s="12">
        <f t="shared" si="181"/>
        <v>0.0322331838565022</v>
      </c>
      <c r="Z56" s="12">
        <f t="shared" si="181"/>
        <v>0.0321645185746778</v>
      </c>
      <c r="AA56" s="12">
        <f t="shared" si="181"/>
        <v>0.0325750512772702</v>
      </c>
      <c r="AB56" s="15">
        <f t="shared" si="181"/>
        <v>0.0270428893905192</v>
      </c>
      <c r="AC56" s="15">
        <f t="shared" si="181"/>
        <v>0.0317828086310577</v>
      </c>
      <c r="AD56" s="4"/>
      <c r="AE56" s="4"/>
      <c r="AF56" s="12">
        <f t="shared" ref="AF56:AJ56" si="182">W56</f>
        <v>0.0319690079164561</v>
      </c>
      <c r="AG56" s="12">
        <f t="shared" si="182"/>
        <v>0.0310692899914457</v>
      </c>
      <c r="AH56" s="12">
        <f t="shared" si="182"/>
        <v>0.0322331838565022</v>
      </c>
      <c r="AI56" s="12">
        <f t="shared" si="182"/>
        <v>0.0321645185746778</v>
      </c>
      <c r="AJ56" s="12">
        <f t="shared" si="182"/>
        <v>0.0325750512772702</v>
      </c>
      <c r="AK56" s="16">
        <f t="shared" si="131"/>
        <v>0.0310993227990971</v>
      </c>
      <c r="AL56" s="16">
        <f t="shared" si="132"/>
        <v>0.0365502299257163</v>
      </c>
      <c r="AO56" s="12">
        <f t="shared" ref="AO56:AS56" si="183">W56</f>
        <v>0.0319690079164561</v>
      </c>
      <c r="AP56" s="12">
        <f t="shared" si="183"/>
        <v>0.0310692899914457</v>
      </c>
      <c r="AQ56" s="12">
        <f t="shared" si="183"/>
        <v>0.0322331838565022</v>
      </c>
      <c r="AR56" s="12">
        <f t="shared" si="183"/>
        <v>0.0321645185746778</v>
      </c>
      <c r="AS56" s="12">
        <f t="shared" si="183"/>
        <v>0.0325750512772702</v>
      </c>
      <c r="AT56" s="16">
        <f t="shared" si="134"/>
        <v>0.0229864559819413</v>
      </c>
      <c r="AU56" s="16">
        <f t="shared" si="135"/>
        <v>0.027015387336399</v>
      </c>
      <c r="AZ56" s="2"/>
      <c r="BA56" s="6" t="s">
        <v>198</v>
      </c>
      <c r="BB56" s="7">
        <v>225.6</v>
      </c>
      <c r="BC56" s="12">
        <v>189.8</v>
      </c>
      <c r="BD56" s="12">
        <v>181.6</v>
      </c>
      <c r="BE56" s="12">
        <v>179.7</v>
      </c>
      <c r="BF56" s="12">
        <v>169.7</v>
      </c>
      <c r="BG56" s="12">
        <v>174.7</v>
      </c>
      <c r="BH56" s="12">
        <v>179.7</v>
      </c>
      <c r="BI56" s="12">
        <v>179.7</v>
      </c>
      <c r="BJ56" s="4"/>
      <c r="BK56" s="4"/>
      <c r="BL56" s="10"/>
      <c r="BM56" s="10"/>
      <c r="BN56" s="10"/>
      <c r="BO56" s="10"/>
    </row>
    <row r="57" ht="15.5" spans="1:67">
      <c r="A57" s="2"/>
      <c r="B57" s="6" t="s">
        <v>199</v>
      </c>
      <c r="C57" s="7">
        <f t="shared" ref="C57:J57" si="184">BB57/1000</f>
        <v>0.3671</v>
      </c>
      <c r="D57" s="7">
        <f t="shared" si="184"/>
        <v>0.3308</v>
      </c>
      <c r="E57" s="7">
        <f t="shared" si="184"/>
        <v>0.3224</v>
      </c>
      <c r="F57" s="7">
        <f t="shared" si="184"/>
        <v>0.3205</v>
      </c>
      <c r="G57" s="7">
        <f t="shared" si="184"/>
        <v>0.3101</v>
      </c>
      <c r="H57" s="7">
        <f t="shared" si="184"/>
        <v>0.3151</v>
      </c>
      <c r="I57" s="7">
        <f t="shared" si="184"/>
        <v>0.3205</v>
      </c>
      <c r="J57" s="7">
        <f t="shared" si="184"/>
        <v>0.3205</v>
      </c>
      <c r="K57" s="4"/>
      <c r="L57" s="4"/>
      <c r="M57" s="10">
        <v>5.937</v>
      </c>
      <c r="N57" s="10">
        <v>5.845</v>
      </c>
      <c r="O57" s="10">
        <v>5.575</v>
      </c>
      <c r="P57" s="10">
        <v>5.276</v>
      </c>
      <c r="Q57" s="10">
        <v>5.363</v>
      </c>
      <c r="R57" s="10">
        <v>6.645</v>
      </c>
      <c r="S57" s="10">
        <v>5.654</v>
      </c>
      <c r="T57" s="10"/>
      <c r="U57" s="2"/>
      <c r="V57" s="6" t="s">
        <v>199</v>
      </c>
      <c r="W57" s="12">
        <f t="shared" ref="W57:AC57" si="185">D57/M57</f>
        <v>0.0557183762843187</v>
      </c>
      <c r="X57" s="12">
        <f t="shared" si="185"/>
        <v>0.055158254918734</v>
      </c>
      <c r="Y57" s="12">
        <f t="shared" si="185"/>
        <v>0.0574887892376682</v>
      </c>
      <c r="Z57" s="12">
        <f t="shared" si="185"/>
        <v>0.0587755875663381</v>
      </c>
      <c r="AA57" s="12">
        <f t="shared" si="185"/>
        <v>0.0587544284915159</v>
      </c>
      <c r="AB57" s="15">
        <f t="shared" si="185"/>
        <v>0.0482317531978932</v>
      </c>
      <c r="AC57" s="15">
        <f t="shared" si="185"/>
        <v>0.0566855323664662</v>
      </c>
      <c r="AD57" s="4"/>
      <c r="AE57" s="4"/>
      <c r="AF57" s="12">
        <f t="shared" ref="AF57:AJ57" si="186">W57</f>
        <v>0.0557183762843187</v>
      </c>
      <c r="AG57" s="12">
        <f t="shared" si="186"/>
        <v>0.055158254918734</v>
      </c>
      <c r="AH57" s="12">
        <f t="shared" si="186"/>
        <v>0.0574887892376682</v>
      </c>
      <c r="AI57" s="12">
        <f t="shared" si="186"/>
        <v>0.0587755875663381</v>
      </c>
      <c r="AJ57" s="12">
        <f t="shared" si="186"/>
        <v>0.0587544284915159</v>
      </c>
      <c r="AK57" s="16">
        <f t="shared" si="131"/>
        <v>0.0554665161775771</v>
      </c>
      <c r="AL57" s="16">
        <f t="shared" si="132"/>
        <v>0.0651883622214361</v>
      </c>
      <c r="AO57" s="12">
        <f t="shared" ref="AO57:AS57" si="187">W57</f>
        <v>0.0557183762843187</v>
      </c>
      <c r="AP57" s="12">
        <f t="shared" si="187"/>
        <v>0.055158254918734</v>
      </c>
      <c r="AQ57" s="12">
        <f t="shared" si="187"/>
        <v>0.0574887892376682</v>
      </c>
      <c r="AR57" s="12">
        <f t="shared" si="187"/>
        <v>0.0587755875663381</v>
      </c>
      <c r="AS57" s="12">
        <f t="shared" si="187"/>
        <v>0.0587544284915159</v>
      </c>
      <c r="AT57" s="16">
        <f t="shared" si="134"/>
        <v>0.0409969902182092</v>
      </c>
      <c r="AU57" s="16">
        <f t="shared" si="135"/>
        <v>0.0481827025114963</v>
      </c>
      <c r="AZ57" s="2"/>
      <c r="BA57" s="6" t="s">
        <v>199</v>
      </c>
      <c r="BB57" s="7">
        <v>367.1</v>
      </c>
      <c r="BC57" s="12">
        <v>330.8</v>
      </c>
      <c r="BD57" s="12">
        <v>322.4</v>
      </c>
      <c r="BE57" s="12">
        <v>320.5</v>
      </c>
      <c r="BF57" s="12">
        <v>310.1</v>
      </c>
      <c r="BG57" s="12">
        <v>315.1</v>
      </c>
      <c r="BH57" s="12">
        <v>320.5</v>
      </c>
      <c r="BI57" s="12">
        <v>320.5</v>
      </c>
      <c r="BJ57" s="4"/>
      <c r="BK57" s="4"/>
      <c r="BL57" s="10"/>
      <c r="BM57" s="10"/>
      <c r="BN57" s="10"/>
      <c r="BO57" s="10"/>
    </row>
    <row r="58" ht="15.5" spans="1:67">
      <c r="A58" s="2"/>
      <c r="B58" s="6" t="s">
        <v>200</v>
      </c>
      <c r="C58" s="7">
        <f t="shared" ref="C58:J58" si="188">BB58/1000</f>
        <v>0.0853</v>
      </c>
      <c r="D58" s="7">
        <f t="shared" si="188"/>
        <v>0.0775</v>
      </c>
      <c r="E58" s="7">
        <f t="shared" si="188"/>
        <v>0.0755</v>
      </c>
      <c r="F58" s="7">
        <f t="shared" si="188"/>
        <v>0.075</v>
      </c>
      <c r="G58" s="7">
        <f t="shared" si="188"/>
        <v>0.0722</v>
      </c>
      <c r="H58" s="7">
        <f t="shared" si="188"/>
        <v>0.0736</v>
      </c>
      <c r="I58" s="7">
        <f t="shared" si="188"/>
        <v>0.075</v>
      </c>
      <c r="J58" s="7">
        <f t="shared" si="188"/>
        <v>0.075</v>
      </c>
      <c r="K58" s="4"/>
      <c r="L58" s="4"/>
      <c r="M58" s="10">
        <v>5.937</v>
      </c>
      <c r="N58" s="10">
        <v>5.845</v>
      </c>
      <c r="O58" s="10">
        <v>5.575</v>
      </c>
      <c r="P58" s="10">
        <v>5.276</v>
      </c>
      <c r="Q58" s="10">
        <v>5.363</v>
      </c>
      <c r="R58" s="10">
        <v>6.645</v>
      </c>
      <c r="S58" s="10">
        <v>5.654</v>
      </c>
      <c r="T58" s="10"/>
      <c r="U58" s="2"/>
      <c r="V58" s="6" t="s">
        <v>200</v>
      </c>
      <c r="W58" s="12">
        <f t="shared" ref="W58:AC58" si="189">D58/M58</f>
        <v>0.0130537308404918</v>
      </c>
      <c r="X58" s="12">
        <f t="shared" si="189"/>
        <v>0.0129170230966638</v>
      </c>
      <c r="Y58" s="12">
        <f t="shared" si="189"/>
        <v>0.0134529147982063</v>
      </c>
      <c r="Z58" s="12">
        <f t="shared" si="189"/>
        <v>0.0136846095526914</v>
      </c>
      <c r="AA58" s="12">
        <f t="shared" si="189"/>
        <v>0.0137236621294052</v>
      </c>
      <c r="AB58" s="15">
        <f t="shared" si="189"/>
        <v>0.0112866817155756</v>
      </c>
      <c r="AC58" s="15">
        <f t="shared" si="189"/>
        <v>0.01326494517156</v>
      </c>
      <c r="AD58" s="4"/>
      <c r="AE58" s="4"/>
      <c r="AF58" s="12">
        <f t="shared" ref="AF58:AJ58" si="190">W58</f>
        <v>0.0130537308404918</v>
      </c>
      <c r="AG58" s="12">
        <f t="shared" si="190"/>
        <v>0.0129170230966638</v>
      </c>
      <c r="AH58" s="12">
        <f t="shared" si="190"/>
        <v>0.0134529147982063</v>
      </c>
      <c r="AI58" s="12">
        <f t="shared" si="190"/>
        <v>0.0136846095526914</v>
      </c>
      <c r="AJ58" s="12">
        <f t="shared" si="190"/>
        <v>0.0137236621294052</v>
      </c>
      <c r="AK58" s="16">
        <f t="shared" si="131"/>
        <v>0.012979683972912</v>
      </c>
      <c r="AL58" s="16">
        <f t="shared" si="132"/>
        <v>0.0152546869472939</v>
      </c>
      <c r="AO58" s="12">
        <f t="shared" ref="AO58:AS58" si="191">W58</f>
        <v>0.0130537308404918</v>
      </c>
      <c r="AP58" s="12">
        <f t="shared" si="191"/>
        <v>0.0129170230966638</v>
      </c>
      <c r="AQ58" s="12">
        <f t="shared" si="191"/>
        <v>0.0134529147982063</v>
      </c>
      <c r="AR58" s="12">
        <f t="shared" si="191"/>
        <v>0.0136846095526914</v>
      </c>
      <c r="AS58" s="12">
        <f t="shared" si="191"/>
        <v>0.0137236621294052</v>
      </c>
      <c r="AT58" s="16">
        <f t="shared" si="134"/>
        <v>0.00959367945823928</v>
      </c>
      <c r="AU58" s="16">
        <f t="shared" si="135"/>
        <v>0.011275203395826</v>
      </c>
      <c r="AZ58" s="2"/>
      <c r="BA58" s="6" t="s">
        <v>200</v>
      </c>
      <c r="BB58" s="7">
        <v>85.3</v>
      </c>
      <c r="BC58" s="12">
        <v>77.5</v>
      </c>
      <c r="BD58" s="12">
        <v>75.5</v>
      </c>
      <c r="BE58" s="12">
        <v>75</v>
      </c>
      <c r="BF58" s="12">
        <v>72.2</v>
      </c>
      <c r="BG58" s="12">
        <v>73.6</v>
      </c>
      <c r="BH58" s="12">
        <v>75</v>
      </c>
      <c r="BI58" s="12">
        <v>75</v>
      </c>
      <c r="BJ58" s="4"/>
      <c r="BK58" s="4"/>
      <c r="BL58" s="10"/>
      <c r="BM58" s="10"/>
      <c r="BN58" s="10"/>
      <c r="BO58" s="10"/>
    </row>
    <row r="59" ht="15.5" spans="1:67">
      <c r="A59" s="4"/>
      <c r="B59" s="4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AZ59" s="4"/>
      <c r="BA59" s="4"/>
      <c r="BB59" s="3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</row>
    <row r="60" ht="15.5" spans="1:67">
      <c r="A60" s="4" t="s">
        <v>202</v>
      </c>
      <c r="B60" s="4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AZ60" s="4" t="s">
        <v>202</v>
      </c>
      <c r="BA60" s="4"/>
      <c r="BB60" s="3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</row>
    <row r="61" ht="15.5" spans="1:67">
      <c r="A61" s="4" t="s">
        <v>216</v>
      </c>
      <c r="B61" s="4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AZ61" s="4" t="s">
        <v>216</v>
      </c>
      <c r="BA61" s="4"/>
      <c r="BB61" s="3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</row>
    <row r="62" ht="15.5" spans="1:67">
      <c r="A62" s="4" t="s">
        <v>217</v>
      </c>
      <c r="B62" s="4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AZ62" s="4" t="s">
        <v>217</v>
      </c>
      <c r="BA62" s="4"/>
      <c r="BB62" s="3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</row>
    <row r="71" ht="15.5" spans="21:47"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</row>
    <row r="72" ht="15.5" spans="21:47">
      <c r="U72" s="4"/>
      <c r="V72" s="4"/>
      <c r="W72" s="4" t="s">
        <v>188</v>
      </c>
      <c r="X72" s="4" t="s">
        <v>189</v>
      </c>
      <c r="Y72" s="5" t="s">
        <v>190</v>
      </c>
      <c r="Z72" s="4" t="s">
        <v>191</v>
      </c>
      <c r="AA72" s="4" t="s">
        <v>192</v>
      </c>
      <c r="AB72" s="14" t="s">
        <v>193</v>
      </c>
      <c r="AC72" s="14" t="s">
        <v>194</v>
      </c>
      <c r="AD72" s="4"/>
      <c r="AE72" s="4"/>
      <c r="AF72" s="4" t="s">
        <v>188</v>
      </c>
      <c r="AG72" s="4" t="s">
        <v>189</v>
      </c>
      <c r="AH72" s="5" t="s">
        <v>190</v>
      </c>
      <c r="AI72" s="4" t="s">
        <v>191</v>
      </c>
      <c r="AJ72" s="4" t="s">
        <v>192</v>
      </c>
      <c r="AK72" s="14" t="s">
        <v>193</v>
      </c>
      <c r="AL72" s="14" t="s">
        <v>194</v>
      </c>
      <c r="AM72" s="4"/>
      <c r="AN72" s="4"/>
      <c r="AO72" s="4" t="s">
        <v>188</v>
      </c>
      <c r="AP72" s="4" t="s">
        <v>189</v>
      </c>
      <c r="AQ72" s="5" t="s">
        <v>190</v>
      </c>
      <c r="AR72" s="4" t="s">
        <v>191</v>
      </c>
      <c r="AS72" s="4" t="s">
        <v>192</v>
      </c>
      <c r="AT72" s="14" t="s">
        <v>193</v>
      </c>
      <c r="AU72" s="14" t="s">
        <v>194</v>
      </c>
    </row>
    <row r="73" spans="21:47">
      <c r="U73" s="2" t="s">
        <v>195</v>
      </c>
      <c r="V73" s="17" t="s">
        <v>60</v>
      </c>
      <c r="W73" s="1">
        <f t="shared" ref="W73:AC73" si="192">W4-W5</f>
        <v>0.0105103587670541</v>
      </c>
      <c r="X73" s="1">
        <f t="shared" si="192"/>
        <v>0.0100940975192472</v>
      </c>
      <c r="Y73" s="1">
        <f t="shared" si="192"/>
        <v>0.0103856502242152</v>
      </c>
      <c r="Z73" s="1">
        <f t="shared" si="192"/>
        <v>0.0114291129643669</v>
      </c>
      <c r="AA73" s="1">
        <f t="shared" si="192"/>
        <v>0.0115979862017528</v>
      </c>
      <c r="AB73" s="1">
        <f t="shared" si="192"/>
        <v>0.00871331828442437</v>
      </c>
      <c r="AC73" s="1">
        <f t="shared" si="192"/>
        <v>0.0102405376724443</v>
      </c>
      <c r="AF73" s="1">
        <f t="shared" ref="AF73:AL73" si="193">AF4-AF5</f>
        <v>0.0105103587670541</v>
      </c>
      <c r="AG73" s="1">
        <f t="shared" si="193"/>
        <v>0.0100940975192472</v>
      </c>
      <c r="AH73" s="1">
        <f t="shared" si="193"/>
        <v>0.0103856502242152</v>
      </c>
      <c r="AI73" s="1">
        <f t="shared" si="193"/>
        <v>0.0114291129643669</v>
      </c>
      <c r="AJ73" s="1">
        <f t="shared" si="193"/>
        <v>0.0115979862017528</v>
      </c>
      <c r="AK73" s="1">
        <f t="shared" si="193"/>
        <v>0.010020316027088</v>
      </c>
      <c r="AL73" s="1">
        <f t="shared" si="193"/>
        <v>0.0117766183233109</v>
      </c>
      <c r="AO73" s="1">
        <f t="shared" ref="AO73:AU73" si="194">AO4-AO5</f>
        <v>0.0105103587670541</v>
      </c>
      <c r="AP73" s="1">
        <f t="shared" si="194"/>
        <v>0.0100940975192472</v>
      </c>
      <c r="AQ73" s="1">
        <f t="shared" si="194"/>
        <v>0.0103856502242152</v>
      </c>
      <c r="AR73" s="1">
        <f t="shared" si="194"/>
        <v>0.0114291129643669</v>
      </c>
      <c r="AS73" s="1">
        <f t="shared" si="194"/>
        <v>0.0115979862017528</v>
      </c>
      <c r="AT73" s="1">
        <f t="shared" si="194"/>
        <v>0.00740632054176073</v>
      </c>
      <c r="AU73" s="1">
        <f t="shared" si="194"/>
        <v>0.00870445702157763</v>
      </c>
    </row>
    <row r="74" spans="21:47">
      <c r="U74" s="2"/>
      <c r="V74" s="18" t="s">
        <v>218</v>
      </c>
      <c r="W74" s="1">
        <f t="shared" ref="W74:AC74" si="195">W6</f>
        <v>0.0289203301330638</v>
      </c>
      <c r="X74" s="1">
        <f t="shared" si="195"/>
        <v>0.0275620188195039</v>
      </c>
      <c r="Y74" s="1">
        <f t="shared" si="195"/>
        <v>0.028322869955157</v>
      </c>
      <c r="Z74" s="1">
        <f t="shared" si="195"/>
        <v>0.0288286580742987</v>
      </c>
      <c r="AA74" s="1">
        <f t="shared" si="195"/>
        <v>0.0296102927465971</v>
      </c>
      <c r="AB74" s="1">
        <f t="shared" si="195"/>
        <v>0.0237622272385252</v>
      </c>
      <c r="AC74" s="1">
        <f t="shared" si="195"/>
        <v>0.0279271312345242</v>
      </c>
      <c r="AF74" s="1">
        <f t="shared" ref="AF74:AL74" si="196">AF6</f>
        <v>0.0289203301330638</v>
      </c>
      <c r="AG74" s="1">
        <f t="shared" si="196"/>
        <v>0.0275620188195039</v>
      </c>
      <c r="AH74" s="1">
        <f t="shared" si="196"/>
        <v>0.028322869955157</v>
      </c>
      <c r="AI74" s="1">
        <f t="shared" si="196"/>
        <v>0.0288286580742987</v>
      </c>
      <c r="AJ74" s="1">
        <f t="shared" si="196"/>
        <v>0.0296102927465971</v>
      </c>
      <c r="AK74" s="1">
        <f t="shared" si="196"/>
        <v>0.027326561324304</v>
      </c>
      <c r="AL74" s="1">
        <f t="shared" si="196"/>
        <v>0.0321162009197029</v>
      </c>
      <c r="AO74" s="1">
        <f t="shared" ref="AO74:AU74" si="197">AO6</f>
        <v>0.0289203301330638</v>
      </c>
      <c r="AP74" s="1">
        <f t="shared" si="197"/>
        <v>0.0275620188195039</v>
      </c>
      <c r="AQ74" s="1">
        <f t="shared" si="197"/>
        <v>0.028322869955157</v>
      </c>
      <c r="AR74" s="1">
        <f t="shared" si="197"/>
        <v>0.0288286580742987</v>
      </c>
      <c r="AS74" s="1">
        <f t="shared" si="197"/>
        <v>0.0296102927465971</v>
      </c>
      <c r="AT74" s="1">
        <f t="shared" si="197"/>
        <v>0.0201978931527464</v>
      </c>
      <c r="AU74" s="1">
        <f t="shared" si="197"/>
        <v>0.0237380615493456</v>
      </c>
    </row>
    <row r="75" spans="21:47">
      <c r="U75" s="2"/>
      <c r="V75" s="17" t="s">
        <v>219</v>
      </c>
      <c r="W75" s="1">
        <f t="shared" ref="W75:AC75" si="198">W7</f>
        <v>0.0836617820448038</v>
      </c>
      <c r="X75" s="1">
        <f t="shared" si="198"/>
        <v>0.0814029084687767</v>
      </c>
      <c r="Y75" s="1">
        <f t="shared" si="198"/>
        <v>0.0843946188340807</v>
      </c>
      <c r="Z75" s="1">
        <f t="shared" si="198"/>
        <v>0.0884192570128886</v>
      </c>
      <c r="AA75" s="1">
        <f t="shared" si="198"/>
        <v>0.092485549132948</v>
      </c>
      <c r="AB75" s="1">
        <f t="shared" si="198"/>
        <v>0.0708051166290444</v>
      </c>
      <c r="AC75" s="1">
        <f t="shared" si="198"/>
        <v>0.0832154227095861</v>
      </c>
      <c r="AF75" s="1">
        <f t="shared" ref="AF75:AL75" si="199">AF7</f>
        <v>0.0836617820448038</v>
      </c>
      <c r="AG75" s="1">
        <f t="shared" si="199"/>
        <v>0.0814029084687767</v>
      </c>
      <c r="AH75" s="1">
        <f t="shared" si="199"/>
        <v>0.0843946188340807</v>
      </c>
      <c r="AI75" s="1">
        <f t="shared" si="199"/>
        <v>0.0884192570128886</v>
      </c>
      <c r="AJ75" s="1">
        <f t="shared" si="199"/>
        <v>0.092485549132948</v>
      </c>
      <c r="AK75" s="1">
        <f t="shared" si="199"/>
        <v>0.0814258841234011</v>
      </c>
      <c r="AL75" s="1">
        <f t="shared" si="199"/>
        <v>0.0956977361160241</v>
      </c>
      <c r="AO75" s="1">
        <f t="shared" ref="AO75:AU75" si="200">AO7</f>
        <v>0.0836617820448038</v>
      </c>
      <c r="AP75" s="1">
        <f t="shared" si="200"/>
        <v>0.0814029084687767</v>
      </c>
      <c r="AQ75" s="1">
        <f t="shared" si="200"/>
        <v>0.0843946188340807</v>
      </c>
      <c r="AR75" s="1">
        <f t="shared" si="200"/>
        <v>0.0884192570128886</v>
      </c>
      <c r="AS75" s="1">
        <f t="shared" si="200"/>
        <v>0.092485549132948</v>
      </c>
      <c r="AT75" s="1">
        <f t="shared" si="200"/>
        <v>0.0601843491346877</v>
      </c>
      <c r="AU75" s="1">
        <f t="shared" si="200"/>
        <v>0.0707331093031482</v>
      </c>
    </row>
    <row r="76" spans="21:47">
      <c r="U76" s="2"/>
      <c r="V76" s="17" t="s">
        <v>220</v>
      </c>
      <c r="W76" s="1">
        <f t="shared" ref="W76:AC76" si="201">W8</f>
        <v>0.0130200437931615</v>
      </c>
      <c r="X76" s="1">
        <f t="shared" si="201"/>
        <v>0.0127459366980325</v>
      </c>
      <c r="Y76" s="1">
        <f t="shared" si="201"/>
        <v>0.0132017937219731</v>
      </c>
      <c r="Z76" s="1">
        <f t="shared" si="201"/>
        <v>0.0144238059135709</v>
      </c>
      <c r="AA76" s="1">
        <f t="shared" si="201"/>
        <v>0.0147119149729629</v>
      </c>
      <c r="AB76" s="1">
        <f t="shared" si="201"/>
        <v>0.0110759969902182</v>
      </c>
      <c r="AC76" s="1">
        <f t="shared" si="201"/>
        <v>0.0130173328616908</v>
      </c>
      <c r="AF76" s="1">
        <f t="shared" ref="AF76:AL76" si="202">AF8</f>
        <v>0.0130200437931615</v>
      </c>
      <c r="AG76" s="1">
        <f t="shared" si="202"/>
        <v>0.0127459366980325</v>
      </c>
      <c r="AH76" s="1">
        <f t="shared" si="202"/>
        <v>0.0132017937219731</v>
      </c>
      <c r="AI76" s="1">
        <f t="shared" si="202"/>
        <v>0.0144238059135709</v>
      </c>
      <c r="AJ76" s="1">
        <f t="shared" si="202"/>
        <v>0.0147119149729629</v>
      </c>
      <c r="AK76" s="1">
        <f t="shared" si="202"/>
        <v>0.0127373965387509</v>
      </c>
      <c r="AL76" s="1">
        <f t="shared" si="202"/>
        <v>0.0149699327909445</v>
      </c>
      <c r="AO76" s="1">
        <f t="shared" ref="AO76:AU76" si="203">AO8</f>
        <v>0.0130200437931615</v>
      </c>
      <c r="AP76" s="1">
        <f t="shared" si="203"/>
        <v>0.0127459366980325</v>
      </c>
      <c r="AQ76" s="1">
        <f t="shared" si="203"/>
        <v>0.0132017937219731</v>
      </c>
      <c r="AR76" s="1">
        <f t="shared" si="203"/>
        <v>0.0144238059135709</v>
      </c>
      <c r="AS76" s="1">
        <f t="shared" si="203"/>
        <v>0.0147119149729629</v>
      </c>
      <c r="AT76" s="1">
        <f t="shared" si="203"/>
        <v>0.00941459744168548</v>
      </c>
      <c r="AU76" s="1">
        <f t="shared" si="203"/>
        <v>0.0110647329324372</v>
      </c>
    </row>
    <row r="77" spans="21:47">
      <c r="U77" s="2" t="s">
        <v>201</v>
      </c>
      <c r="V77" s="17" t="s">
        <v>60</v>
      </c>
      <c r="W77" s="1">
        <f t="shared" ref="W77:AC77" si="204">W9-W10</f>
        <v>0.0103587670540677</v>
      </c>
      <c r="X77" s="1">
        <f t="shared" si="204"/>
        <v>0.00995722840034217</v>
      </c>
      <c r="Y77" s="1">
        <f t="shared" si="204"/>
        <v>0.0102421524663677</v>
      </c>
      <c r="Z77" s="1">
        <f t="shared" si="204"/>
        <v>0.0112774829416224</v>
      </c>
      <c r="AA77" s="1">
        <f t="shared" si="204"/>
        <v>0.0114301696811486</v>
      </c>
      <c r="AB77" s="1">
        <f t="shared" si="204"/>
        <v>0.00859292701279159</v>
      </c>
      <c r="AC77" s="1">
        <f t="shared" si="204"/>
        <v>0.0100990449239476</v>
      </c>
      <c r="AF77" s="1">
        <f t="shared" ref="AF77:AL77" si="205">AF9-AF10</f>
        <v>0.0103587670540677</v>
      </c>
      <c r="AG77" s="1">
        <f t="shared" si="205"/>
        <v>0.00995722840034217</v>
      </c>
      <c r="AH77" s="1">
        <f t="shared" si="205"/>
        <v>0.0102421524663677</v>
      </c>
      <c r="AI77" s="1">
        <f t="shared" si="205"/>
        <v>0.0112774829416224</v>
      </c>
      <c r="AJ77" s="1">
        <f t="shared" si="205"/>
        <v>0.0114301696811486</v>
      </c>
      <c r="AK77" s="1">
        <f t="shared" si="205"/>
        <v>0.00988186606471032</v>
      </c>
      <c r="AL77" s="1">
        <f t="shared" si="205"/>
        <v>0.0116139016625398</v>
      </c>
      <c r="AO77" s="1">
        <f t="shared" ref="AO77:AU77" si="206">AO9-AO10</f>
        <v>0.0103587670540677</v>
      </c>
      <c r="AP77" s="1">
        <f t="shared" si="206"/>
        <v>0.00995722840034217</v>
      </c>
      <c r="AQ77" s="1">
        <f t="shared" si="206"/>
        <v>0.0102421524663677</v>
      </c>
      <c r="AR77" s="1">
        <f t="shared" si="206"/>
        <v>0.0112774829416224</v>
      </c>
      <c r="AS77" s="1">
        <f t="shared" si="206"/>
        <v>0.0114301696811486</v>
      </c>
      <c r="AT77" s="1">
        <f t="shared" si="206"/>
        <v>0.00730398796087285</v>
      </c>
      <c r="AU77" s="1">
        <f t="shared" si="206"/>
        <v>0.00858418818535549</v>
      </c>
    </row>
    <row r="78" spans="21:47">
      <c r="U78" s="2"/>
      <c r="V78" s="18" t="s">
        <v>218</v>
      </c>
      <c r="W78" s="1">
        <f t="shared" ref="W78:AC78" si="207">W11</f>
        <v>0.0349503116051878</v>
      </c>
      <c r="X78" s="1">
        <f t="shared" si="207"/>
        <v>0.0333789563729684</v>
      </c>
      <c r="Y78" s="1">
        <f t="shared" si="207"/>
        <v>0.0343677130044843</v>
      </c>
      <c r="Z78" s="1">
        <f t="shared" si="207"/>
        <v>0.035253980288097</v>
      </c>
      <c r="AA78" s="1">
        <f t="shared" si="207"/>
        <v>0.0361364907700914</v>
      </c>
      <c r="AB78" s="1">
        <f t="shared" si="207"/>
        <v>0.0288337095560572</v>
      </c>
      <c r="AC78" s="1">
        <f t="shared" si="207"/>
        <v>0.0338875132649452</v>
      </c>
      <c r="AF78" s="1">
        <f t="shared" ref="AF78:AL78" si="208">AF11</f>
        <v>0.0349503116051878</v>
      </c>
      <c r="AG78" s="1">
        <f t="shared" si="208"/>
        <v>0.0333789563729684</v>
      </c>
      <c r="AH78" s="1">
        <f t="shared" si="208"/>
        <v>0.0343677130044843</v>
      </c>
      <c r="AI78" s="1">
        <f t="shared" si="208"/>
        <v>0.035253980288097</v>
      </c>
      <c r="AJ78" s="1">
        <f t="shared" si="208"/>
        <v>0.0361364907700914</v>
      </c>
      <c r="AK78" s="1">
        <f t="shared" si="208"/>
        <v>0.0331587659894658</v>
      </c>
      <c r="AL78" s="1">
        <f t="shared" si="208"/>
        <v>0.0389706402546869</v>
      </c>
      <c r="AO78" s="1">
        <f t="shared" ref="AO78:AU78" si="209">AO11</f>
        <v>0.0349503116051878</v>
      </c>
      <c r="AP78" s="1">
        <f t="shared" si="209"/>
        <v>0.0333789563729684</v>
      </c>
      <c r="AQ78" s="1">
        <f t="shared" si="209"/>
        <v>0.0343677130044843</v>
      </c>
      <c r="AR78" s="1">
        <f t="shared" si="209"/>
        <v>0.035253980288097</v>
      </c>
      <c r="AS78" s="1">
        <f t="shared" si="209"/>
        <v>0.0361364907700914</v>
      </c>
      <c r="AT78" s="1">
        <f t="shared" si="209"/>
        <v>0.0245086531226486</v>
      </c>
      <c r="AU78" s="1">
        <f t="shared" si="209"/>
        <v>0.0288043862752034</v>
      </c>
    </row>
    <row r="79" ht="15.5" spans="21:47">
      <c r="U79" s="2"/>
      <c r="V79" s="17" t="s">
        <v>219</v>
      </c>
      <c r="W79" s="1">
        <f t="shared" ref="W79:AC79" si="210">W12</f>
        <v>0.0799898938858009</v>
      </c>
      <c r="X79" s="1">
        <f t="shared" si="210"/>
        <v>0.0778614200171086</v>
      </c>
      <c r="Y79" s="1">
        <f t="shared" si="210"/>
        <v>0.0807174887892377</v>
      </c>
      <c r="Z79" s="1">
        <f t="shared" si="210"/>
        <v>0.0845147839272176</v>
      </c>
      <c r="AA79" s="1">
        <f t="shared" si="210"/>
        <v>0.08851389147865</v>
      </c>
      <c r="AB79" s="1">
        <f t="shared" si="210"/>
        <v>0.0677200902934537</v>
      </c>
      <c r="AC79" s="1">
        <f t="shared" si="210"/>
        <v>0.0795896710293598</v>
      </c>
      <c r="AD79" s="4"/>
      <c r="AE79" s="4"/>
      <c r="AF79" s="1">
        <f t="shared" ref="AF79:AL79" si="211">AF12</f>
        <v>0.0799898938858009</v>
      </c>
      <c r="AG79" s="1">
        <f t="shared" si="211"/>
        <v>0.0778614200171086</v>
      </c>
      <c r="AH79" s="1">
        <f t="shared" si="211"/>
        <v>0.0807174887892377</v>
      </c>
      <c r="AI79" s="1">
        <f t="shared" si="211"/>
        <v>0.0845147839272176</v>
      </c>
      <c r="AJ79" s="1">
        <f t="shared" si="211"/>
        <v>0.08851389147865</v>
      </c>
      <c r="AK79" s="1">
        <f t="shared" si="211"/>
        <v>0.0778781038374718</v>
      </c>
      <c r="AL79" s="1">
        <f t="shared" si="211"/>
        <v>0.0915281216837637</v>
      </c>
      <c r="AM79" s="4"/>
      <c r="AN79" s="4"/>
      <c r="AO79" s="1">
        <f t="shared" ref="AO79:AU79" si="212">AO12</f>
        <v>0.0799898938858009</v>
      </c>
      <c r="AP79" s="1">
        <f t="shared" si="212"/>
        <v>0.0778614200171086</v>
      </c>
      <c r="AQ79" s="1">
        <f t="shared" si="212"/>
        <v>0.0807174887892377</v>
      </c>
      <c r="AR79" s="1">
        <f t="shared" si="212"/>
        <v>0.0845147839272176</v>
      </c>
      <c r="AS79" s="1">
        <f t="shared" si="212"/>
        <v>0.08851389147865</v>
      </c>
      <c r="AT79" s="1">
        <f t="shared" si="212"/>
        <v>0.0575620767494357</v>
      </c>
      <c r="AU79" s="1">
        <f t="shared" si="212"/>
        <v>0.0676512203749558</v>
      </c>
    </row>
    <row r="80" ht="15.5" spans="21:47">
      <c r="U80" s="2"/>
      <c r="V80" s="17" t="s">
        <v>220</v>
      </c>
      <c r="W80" s="1">
        <f t="shared" ref="W80:AC80" si="213">W13</f>
        <v>0.0135085059794509</v>
      </c>
      <c r="X80" s="1">
        <f t="shared" si="213"/>
        <v>0.013207869974337</v>
      </c>
      <c r="Y80" s="1">
        <f t="shared" si="213"/>
        <v>0.0136860986547085</v>
      </c>
      <c r="Z80" s="1">
        <f t="shared" si="213"/>
        <v>0.0149545109931767</v>
      </c>
      <c r="AA80" s="1">
        <f t="shared" si="213"/>
        <v>0.0152340108148424</v>
      </c>
      <c r="AB80" s="1">
        <f t="shared" si="213"/>
        <v>0.0114823175319789</v>
      </c>
      <c r="AC80" s="1">
        <f t="shared" si="213"/>
        <v>0.013494870887867</v>
      </c>
      <c r="AD80" s="4"/>
      <c r="AE80" s="4"/>
      <c r="AF80" s="1">
        <f t="shared" ref="AF80:AL80" si="214">AF13</f>
        <v>0.0135085059794509</v>
      </c>
      <c r="AG80" s="1">
        <f t="shared" si="214"/>
        <v>0.013207869974337</v>
      </c>
      <c r="AH80" s="1">
        <f t="shared" si="214"/>
        <v>0.0136860986547085</v>
      </c>
      <c r="AI80" s="1">
        <f t="shared" si="214"/>
        <v>0.0149545109931767</v>
      </c>
      <c r="AJ80" s="1">
        <f t="shared" si="214"/>
        <v>0.0152340108148424</v>
      </c>
      <c r="AK80" s="1">
        <f t="shared" si="214"/>
        <v>0.0132046651617758</v>
      </c>
      <c r="AL80" s="1">
        <f t="shared" si="214"/>
        <v>0.015519101521047</v>
      </c>
      <c r="AM80" s="4"/>
      <c r="AN80" s="4"/>
      <c r="AO80" s="1">
        <f t="shared" ref="AO80:AU80" si="215">AO13</f>
        <v>0.0135085059794509</v>
      </c>
      <c r="AP80" s="1">
        <f t="shared" si="215"/>
        <v>0.013207869974337</v>
      </c>
      <c r="AQ80" s="1">
        <f t="shared" si="215"/>
        <v>0.0136860986547085</v>
      </c>
      <c r="AR80" s="1">
        <f t="shared" si="215"/>
        <v>0.0149545109931767</v>
      </c>
      <c r="AS80" s="1">
        <f t="shared" si="215"/>
        <v>0.0152340108148424</v>
      </c>
      <c r="AT80" s="1">
        <f t="shared" si="215"/>
        <v>0.00975996990218209</v>
      </c>
      <c r="AU80" s="1">
        <f t="shared" si="215"/>
        <v>0.0114706402546869</v>
      </c>
    </row>
    <row r="81" ht="15.5" spans="21:47">
      <c r="U81" s="2" t="s">
        <v>221</v>
      </c>
      <c r="V81" s="17" t="s">
        <v>60</v>
      </c>
      <c r="W81" s="4">
        <f t="shared" ref="W81:AC81" si="216">W14-W15</f>
        <v>0.010830385716692</v>
      </c>
      <c r="X81" s="4">
        <f t="shared" si="216"/>
        <v>0.0104020530367836</v>
      </c>
      <c r="Y81" s="4">
        <f t="shared" si="216"/>
        <v>0.0107085201793722</v>
      </c>
      <c r="Z81" s="4">
        <f t="shared" si="216"/>
        <v>0.0117702805155421</v>
      </c>
      <c r="AA81" s="4">
        <f t="shared" si="216"/>
        <v>0.011933619242961</v>
      </c>
      <c r="AB81" s="4">
        <f t="shared" si="216"/>
        <v>0.00898419864559818</v>
      </c>
      <c r="AC81" s="4">
        <f t="shared" si="216"/>
        <v>0.0105588963565617</v>
      </c>
      <c r="AD81" s="4"/>
      <c r="AE81" s="4"/>
      <c r="AF81" s="4">
        <f t="shared" ref="AF81:AL81" si="217">AF14-AF15</f>
        <v>0.010830385716692</v>
      </c>
      <c r="AG81" s="4">
        <f t="shared" si="217"/>
        <v>0.0104020530367836</v>
      </c>
      <c r="AH81" s="4">
        <f t="shared" si="217"/>
        <v>0.0107085201793722</v>
      </c>
      <c r="AI81" s="4">
        <f t="shared" si="217"/>
        <v>0.0117702805155421</v>
      </c>
      <c r="AJ81" s="4">
        <f t="shared" si="217"/>
        <v>0.011933619242961</v>
      </c>
      <c r="AK81" s="4">
        <f t="shared" si="217"/>
        <v>0.0103318284424379</v>
      </c>
      <c r="AL81" s="4">
        <f t="shared" si="217"/>
        <v>0.012142730810046</v>
      </c>
      <c r="AM81" s="4"/>
      <c r="AN81" s="4"/>
      <c r="AO81" s="4">
        <f t="shared" ref="AO81:AU81" si="218">AO14-AO15</f>
        <v>0.010830385716692</v>
      </c>
      <c r="AP81" s="4">
        <f t="shared" si="218"/>
        <v>0.0104020530367836</v>
      </c>
      <c r="AQ81" s="4">
        <f t="shared" si="218"/>
        <v>0.0107085201793722</v>
      </c>
      <c r="AR81" s="4">
        <f t="shared" si="218"/>
        <v>0.0117702805155421</v>
      </c>
      <c r="AS81" s="4">
        <f t="shared" si="218"/>
        <v>0.011933619242961</v>
      </c>
      <c r="AT81" s="4">
        <f t="shared" si="218"/>
        <v>0.00763656884875846</v>
      </c>
      <c r="AU81" s="4">
        <f t="shared" si="218"/>
        <v>0.00897506190307747</v>
      </c>
    </row>
    <row r="82" ht="15.5" spans="21:47">
      <c r="U82" s="2"/>
      <c r="V82" s="18" t="s">
        <v>218</v>
      </c>
      <c r="W82" s="4">
        <f t="shared" ref="W82:AC82" si="219">W16</f>
        <v>0.0447027118073101</v>
      </c>
      <c r="X82" s="4">
        <f t="shared" si="219"/>
        <v>0.0428058169375535</v>
      </c>
      <c r="Y82" s="4">
        <f t="shared" si="219"/>
        <v>0.0441255605381166</v>
      </c>
      <c r="Z82" s="4">
        <f t="shared" si="219"/>
        <v>0.0456406368460955</v>
      </c>
      <c r="AA82" s="4">
        <f t="shared" si="219"/>
        <v>0.0467275778482193</v>
      </c>
      <c r="AB82" s="4">
        <f t="shared" si="219"/>
        <v>0.037020316027088</v>
      </c>
      <c r="AC82" s="4">
        <f t="shared" si="219"/>
        <v>0.0435090201627167</v>
      </c>
      <c r="AD82" s="4"/>
      <c r="AE82" s="4"/>
      <c r="AF82" s="4">
        <f t="shared" ref="AF82:AL82" si="220">AF16</f>
        <v>0.0447027118073101</v>
      </c>
      <c r="AG82" s="4">
        <f t="shared" si="220"/>
        <v>0.0428058169375535</v>
      </c>
      <c r="AH82" s="4">
        <f t="shared" si="220"/>
        <v>0.0441255605381166</v>
      </c>
      <c r="AI82" s="4">
        <f t="shared" si="220"/>
        <v>0.0456406368460955</v>
      </c>
      <c r="AJ82" s="4">
        <f t="shared" si="220"/>
        <v>0.0467275778482193</v>
      </c>
      <c r="AK82" s="4">
        <f t="shared" si="220"/>
        <v>0.0425733634311512</v>
      </c>
      <c r="AL82" s="4">
        <f t="shared" si="220"/>
        <v>0.0500353731871242</v>
      </c>
      <c r="AM82" s="4"/>
      <c r="AN82" s="4"/>
      <c r="AO82" s="4">
        <f t="shared" ref="AO82:AU82" si="221">AO16</f>
        <v>0.0447027118073101</v>
      </c>
      <c r="AP82" s="4">
        <f t="shared" si="221"/>
        <v>0.0428058169375535</v>
      </c>
      <c r="AQ82" s="4">
        <f t="shared" si="221"/>
        <v>0.0441255605381166</v>
      </c>
      <c r="AR82" s="4">
        <f t="shared" si="221"/>
        <v>0.0456406368460955</v>
      </c>
      <c r="AS82" s="4">
        <f t="shared" si="221"/>
        <v>0.0467275778482193</v>
      </c>
      <c r="AT82" s="4">
        <f t="shared" si="221"/>
        <v>0.0314672686230248</v>
      </c>
      <c r="AU82" s="4">
        <f t="shared" si="221"/>
        <v>0.0369826671383092</v>
      </c>
    </row>
    <row r="83" ht="15.5" spans="21:47">
      <c r="U83" s="2"/>
      <c r="V83" s="17" t="s">
        <v>219</v>
      </c>
      <c r="W83" s="4">
        <f t="shared" ref="W83:AC83" si="222">W17</f>
        <v>0.0724945258548088</v>
      </c>
      <c r="X83" s="4">
        <f t="shared" si="222"/>
        <v>0.0706073567151412</v>
      </c>
      <c r="Y83" s="4">
        <f t="shared" si="222"/>
        <v>0.0732017937219731</v>
      </c>
      <c r="Z83" s="4">
        <f t="shared" si="222"/>
        <v>0.076516300227445</v>
      </c>
      <c r="AA83" s="4">
        <f t="shared" si="222"/>
        <v>0.0803841133693828</v>
      </c>
      <c r="AB83" s="4">
        <f t="shared" si="222"/>
        <v>0.0614145974416855</v>
      </c>
      <c r="AC83" s="4">
        <f t="shared" si="222"/>
        <v>0.0721789883268483</v>
      </c>
      <c r="AD83" s="4"/>
      <c r="AE83" s="4"/>
      <c r="AF83" s="4">
        <f t="shared" ref="AF83:AL83" si="223">AF17</f>
        <v>0.0724945258548088</v>
      </c>
      <c r="AG83" s="4">
        <f t="shared" si="223"/>
        <v>0.0706073567151412</v>
      </c>
      <c r="AH83" s="4">
        <f t="shared" si="223"/>
        <v>0.0732017937219731</v>
      </c>
      <c r="AI83" s="4">
        <f t="shared" si="223"/>
        <v>0.076516300227445</v>
      </c>
      <c r="AJ83" s="4">
        <f t="shared" si="223"/>
        <v>0.0803841133693828</v>
      </c>
      <c r="AK83" s="4">
        <f t="shared" si="223"/>
        <v>0.0706267870579383</v>
      </c>
      <c r="AL83" s="4">
        <f t="shared" si="223"/>
        <v>0.0830058365758755</v>
      </c>
      <c r="AM83" s="4"/>
      <c r="AN83" s="4"/>
      <c r="AO83" s="4">
        <f t="shared" ref="AO83:AU83" si="224">AO17</f>
        <v>0.0724945258548088</v>
      </c>
      <c r="AP83" s="4">
        <f t="shared" si="224"/>
        <v>0.0706073567151412</v>
      </c>
      <c r="AQ83" s="4">
        <f t="shared" si="224"/>
        <v>0.0732017937219731</v>
      </c>
      <c r="AR83" s="4">
        <f t="shared" si="224"/>
        <v>0.076516300227445</v>
      </c>
      <c r="AS83" s="4">
        <f t="shared" si="224"/>
        <v>0.0803841133693828</v>
      </c>
      <c r="AT83" s="4">
        <f t="shared" si="224"/>
        <v>0.0522024078254327</v>
      </c>
      <c r="AU83" s="4">
        <f t="shared" si="224"/>
        <v>0.061352140077821</v>
      </c>
    </row>
    <row r="84" ht="15.5" spans="21:47">
      <c r="U84" s="2"/>
      <c r="V84" s="17" t="s">
        <v>220</v>
      </c>
      <c r="W84" s="4">
        <f t="shared" ref="W84:AC84" si="225">W18</f>
        <v>0.0131547919824827</v>
      </c>
      <c r="X84" s="4">
        <f t="shared" si="225"/>
        <v>0.0128656971770744</v>
      </c>
      <c r="Y84" s="4">
        <f t="shared" si="225"/>
        <v>0.0133273542600897</v>
      </c>
      <c r="Z84" s="4">
        <f t="shared" si="225"/>
        <v>0.0145564821834723</v>
      </c>
      <c r="AA84" s="4">
        <f t="shared" si="225"/>
        <v>0.0148610852134999</v>
      </c>
      <c r="AB84" s="4">
        <f t="shared" si="225"/>
        <v>0.0111813393528969</v>
      </c>
      <c r="AC84" s="4">
        <f t="shared" si="225"/>
        <v>0.0131411390166254</v>
      </c>
      <c r="AD84" s="4"/>
      <c r="AE84" s="4"/>
      <c r="AF84" s="4">
        <f t="shared" ref="AF84:AL84" si="226">AF18</f>
        <v>0.0131547919824827</v>
      </c>
      <c r="AG84" s="4">
        <f t="shared" si="226"/>
        <v>0.0128656971770744</v>
      </c>
      <c r="AH84" s="4">
        <f t="shared" si="226"/>
        <v>0.0133273542600897</v>
      </c>
      <c r="AI84" s="4">
        <f t="shared" si="226"/>
        <v>0.0145564821834723</v>
      </c>
      <c r="AJ84" s="4">
        <f t="shared" si="226"/>
        <v>0.0148610852134999</v>
      </c>
      <c r="AK84" s="4">
        <f t="shared" si="226"/>
        <v>0.0128585402558315</v>
      </c>
      <c r="AL84" s="4">
        <f t="shared" si="226"/>
        <v>0.0151123098691192</v>
      </c>
      <c r="AM84" s="4"/>
      <c r="AN84" s="4"/>
      <c r="AO84" s="4">
        <f t="shared" ref="AO84:AU84" si="227">AO18</f>
        <v>0.0131547919824827</v>
      </c>
      <c r="AP84" s="4">
        <f t="shared" si="227"/>
        <v>0.0128656971770744</v>
      </c>
      <c r="AQ84" s="4">
        <f t="shared" si="227"/>
        <v>0.0133273542600897</v>
      </c>
      <c r="AR84" s="4">
        <f t="shared" si="227"/>
        <v>0.0145564821834723</v>
      </c>
      <c r="AS84" s="4">
        <f t="shared" si="227"/>
        <v>0.0148610852134999</v>
      </c>
      <c r="AT84" s="4">
        <f t="shared" si="227"/>
        <v>0.00950413844996238</v>
      </c>
      <c r="AU84" s="4">
        <f t="shared" si="227"/>
        <v>0.0111699681641316</v>
      </c>
    </row>
    <row r="85" ht="15.5" spans="21:47">
      <c r="U85" s="2" t="s">
        <v>221</v>
      </c>
      <c r="V85" s="17" t="s">
        <v>60</v>
      </c>
      <c r="W85" s="19">
        <f>W81</f>
        <v>0.010830385716692</v>
      </c>
      <c r="X85" s="19">
        <f t="shared" ref="X85:AC85" si="228">X81</f>
        <v>0.0104020530367836</v>
      </c>
      <c r="Y85" s="19">
        <f t="shared" si="228"/>
        <v>0.0107085201793722</v>
      </c>
      <c r="Z85" s="19">
        <f t="shared" si="228"/>
        <v>0.0117702805155421</v>
      </c>
      <c r="AA85" s="19">
        <f t="shared" si="228"/>
        <v>0.011933619242961</v>
      </c>
      <c r="AB85" s="19">
        <f t="shared" si="228"/>
        <v>0.00898419864559818</v>
      </c>
      <c r="AC85" s="19">
        <f t="shared" si="228"/>
        <v>0.0105588963565617</v>
      </c>
      <c r="AD85" s="4"/>
      <c r="AE85" s="4"/>
      <c r="AF85" s="19">
        <f t="shared" ref="AF85:AL85" si="229">AF81</f>
        <v>0.010830385716692</v>
      </c>
      <c r="AG85" s="19">
        <f t="shared" si="229"/>
        <v>0.0104020530367836</v>
      </c>
      <c r="AH85" s="19">
        <f t="shared" si="229"/>
        <v>0.0107085201793722</v>
      </c>
      <c r="AI85" s="19">
        <f t="shared" si="229"/>
        <v>0.0117702805155421</v>
      </c>
      <c r="AJ85" s="19">
        <f t="shared" si="229"/>
        <v>0.011933619242961</v>
      </c>
      <c r="AK85" s="19">
        <f t="shared" si="229"/>
        <v>0.0103318284424379</v>
      </c>
      <c r="AL85" s="19">
        <f t="shared" si="229"/>
        <v>0.012142730810046</v>
      </c>
      <c r="AM85" s="4"/>
      <c r="AN85" s="4"/>
      <c r="AO85" s="19">
        <f t="shared" ref="AO85:AU85" si="230">AO81</f>
        <v>0.010830385716692</v>
      </c>
      <c r="AP85" s="19">
        <f t="shared" si="230"/>
        <v>0.0104020530367836</v>
      </c>
      <c r="AQ85" s="19">
        <f t="shared" si="230"/>
        <v>0.0107085201793722</v>
      </c>
      <c r="AR85" s="19">
        <f t="shared" si="230"/>
        <v>0.0117702805155421</v>
      </c>
      <c r="AS85" s="19">
        <f t="shared" si="230"/>
        <v>0.011933619242961</v>
      </c>
      <c r="AT85" s="19">
        <f t="shared" si="230"/>
        <v>0.00763656884875846</v>
      </c>
      <c r="AU85" s="19">
        <f t="shared" si="230"/>
        <v>0.00897506190307747</v>
      </c>
    </row>
    <row r="86" ht="15.5" spans="21:47">
      <c r="U86" s="2"/>
      <c r="V86" s="18" t="s">
        <v>218</v>
      </c>
      <c r="W86" s="19">
        <f>W82</f>
        <v>0.0447027118073101</v>
      </c>
      <c r="X86" s="19">
        <f t="shared" ref="X86:AC86" si="231">X82</f>
        <v>0.0428058169375535</v>
      </c>
      <c r="Y86" s="19">
        <f t="shared" si="231"/>
        <v>0.0441255605381166</v>
      </c>
      <c r="Z86" s="19">
        <f t="shared" si="231"/>
        <v>0.0456406368460955</v>
      </c>
      <c r="AA86" s="19">
        <f t="shared" si="231"/>
        <v>0.0467275778482193</v>
      </c>
      <c r="AB86" s="19">
        <f t="shared" si="231"/>
        <v>0.037020316027088</v>
      </c>
      <c r="AC86" s="19">
        <f t="shared" si="231"/>
        <v>0.0435090201627167</v>
      </c>
      <c r="AD86" s="4"/>
      <c r="AE86" s="4"/>
      <c r="AF86" s="19">
        <f t="shared" ref="AF86:AL86" si="232">AF82</f>
        <v>0.0447027118073101</v>
      </c>
      <c r="AG86" s="19">
        <f t="shared" si="232"/>
        <v>0.0428058169375535</v>
      </c>
      <c r="AH86" s="19">
        <f t="shared" si="232"/>
        <v>0.0441255605381166</v>
      </c>
      <c r="AI86" s="19">
        <f t="shared" si="232"/>
        <v>0.0456406368460955</v>
      </c>
      <c r="AJ86" s="19">
        <f t="shared" si="232"/>
        <v>0.0467275778482193</v>
      </c>
      <c r="AK86" s="19">
        <f t="shared" si="232"/>
        <v>0.0425733634311512</v>
      </c>
      <c r="AL86" s="19">
        <f t="shared" si="232"/>
        <v>0.0500353731871242</v>
      </c>
      <c r="AM86" s="4"/>
      <c r="AN86" s="4"/>
      <c r="AO86" s="19">
        <f t="shared" ref="AO86:AU86" si="233">AO82</f>
        <v>0.0447027118073101</v>
      </c>
      <c r="AP86" s="19">
        <f t="shared" si="233"/>
        <v>0.0428058169375535</v>
      </c>
      <c r="AQ86" s="19">
        <f t="shared" si="233"/>
        <v>0.0441255605381166</v>
      </c>
      <c r="AR86" s="19">
        <f t="shared" si="233"/>
        <v>0.0456406368460955</v>
      </c>
      <c r="AS86" s="19">
        <f t="shared" si="233"/>
        <v>0.0467275778482193</v>
      </c>
      <c r="AT86" s="19">
        <f t="shared" si="233"/>
        <v>0.0314672686230248</v>
      </c>
      <c r="AU86" s="19">
        <f t="shared" si="233"/>
        <v>0.0369826671383092</v>
      </c>
    </row>
    <row r="87" ht="15.5" spans="21:47">
      <c r="U87" s="2"/>
      <c r="V87" s="17" t="s">
        <v>219</v>
      </c>
      <c r="W87" s="19">
        <f>W83</f>
        <v>0.0724945258548088</v>
      </c>
      <c r="X87" s="19">
        <f t="shared" ref="X87:AC87" si="234">X83</f>
        <v>0.0706073567151412</v>
      </c>
      <c r="Y87" s="19">
        <f t="shared" si="234"/>
        <v>0.0732017937219731</v>
      </c>
      <c r="Z87" s="19">
        <f t="shared" si="234"/>
        <v>0.076516300227445</v>
      </c>
      <c r="AA87" s="19">
        <f t="shared" si="234"/>
        <v>0.0803841133693828</v>
      </c>
      <c r="AB87" s="19">
        <f t="shared" si="234"/>
        <v>0.0614145974416855</v>
      </c>
      <c r="AC87" s="19">
        <f t="shared" si="234"/>
        <v>0.0721789883268483</v>
      </c>
      <c r="AD87" s="4"/>
      <c r="AE87" s="4"/>
      <c r="AF87" s="19">
        <f t="shared" ref="AF87:AL87" si="235">AF83</f>
        <v>0.0724945258548088</v>
      </c>
      <c r="AG87" s="19">
        <f t="shared" si="235"/>
        <v>0.0706073567151412</v>
      </c>
      <c r="AH87" s="19">
        <f t="shared" si="235"/>
        <v>0.0732017937219731</v>
      </c>
      <c r="AI87" s="19">
        <f t="shared" si="235"/>
        <v>0.076516300227445</v>
      </c>
      <c r="AJ87" s="19">
        <f t="shared" si="235"/>
        <v>0.0803841133693828</v>
      </c>
      <c r="AK87" s="19">
        <f t="shared" si="235"/>
        <v>0.0706267870579383</v>
      </c>
      <c r="AL87" s="19">
        <f t="shared" si="235"/>
        <v>0.0830058365758755</v>
      </c>
      <c r="AM87" s="4"/>
      <c r="AN87" s="4"/>
      <c r="AO87" s="19">
        <f t="shared" ref="AO87:AU87" si="236">AO83</f>
        <v>0.0724945258548088</v>
      </c>
      <c r="AP87" s="19">
        <f t="shared" si="236"/>
        <v>0.0706073567151412</v>
      </c>
      <c r="AQ87" s="19">
        <f t="shared" si="236"/>
        <v>0.0732017937219731</v>
      </c>
      <c r="AR87" s="19">
        <f t="shared" si="236"/>
        <v>0.076516300227445</v>
      </c>
      <c r="AS87" s="19">
        <f t="shared" si="236"/>
        <v>0.0803841133693828</v>
      </c>
      <c r="AT87" s="19">
        <f t="shared" si="236"/>
        <v>0.0522024078254327</v>
      </c>
      <c r="AU87" s="19">
        <f t="shared" si="236"/>
        <v>0.061352140077821</v>
      </c>
    </row>
    <row r="88" ht="15.5" spans="21:47">
      <c r="U88" s="2"/>
      <c r="V88" s="17" t="s">
        <v>220</v>
      </c>
      <c r="W88" s="19">
        <f>W84</f>
        <v>0.0131547919824827</v>
      </c>
      <c r="X88" s="19">
        <f t="shared" ref="X88:AC88" si="237">X84</f>
        <v>0.0128656971770744</v>
      </c>
      <c r="Y88" s="19">
        <f t="shared" si="237"/>
        <v>0.0133273542600897</v>
      </c>
      <c r="Z88" s="19">
        <f t="shared" si="237"/>
        <v>0.0145564821834723</v>
      </c>
      <c r="AA88" s="19">
        <f t="shared" si="237"/>
        <v>0.0148610852134999</v>
      </c>
      <c r="AB88" s="19">
        <f t="shared" si="237"/>
        <v>0.0111813393528969</v>
      </c>
      <c r="AC88" s="19">
        <f t="shared" si="237"/>
        <v>0.0131411390166254</v>
      </c>
      <c r="AD88" s="4"/>
      <c r="AE88" s="4"/>
      <c r="AF88" s="19">
        <f t="shared" ref="AF88:AL88" si="238">AF84</f>
        <v>0.0131547919824827</v>
      </c>
      <c r="AG88" s="19">
        <f t="shared" si="238"/>
        <v>0.0128656971770744</v>
      </c>
      <c r="AH88" s="19">
        <f t="shared" si="238"/>
        <v>0.0133273542600897</v>
      </c>
      <c r="AI88" s="19">
        <f t="shared" si="238"/>
        <v>0.0145564821834723</v>
      </c>
      <c r="AJ88" s="19">
        <f t="shared" si="238"/>
        <v>0.0148610852134999</v>
      </c>
      <c r="AK88" s="19">
        <f t="shared" si="238"/>
        <v>0.0128585402558315</v>
      </c>
      <c r="AL88" s="19">
        <f t="shared" si="238"/>
        <v>0.0151123098691192</v>
      </c>
      <c r="AM88" s="4"/>
      <c r="AN88" s="4"/>
      <c r="AO88" s="19">
        <f t="shared" ref="AO88:AU88" si="239">AO84</f>
        <v>0.0131547919824827</v>
      </c>
      <c r="AP88" s="19">
        <f t="shared" si="239"/>
        <v>0.0128656971770744</v>
      </c>
      <c r="AQ88" s="19">
        <f t="shared" si="239"/>
        <v>0.0133273542600897</v>
      </c>
      <c r="AR88" s="19">
        <f t="shared" si="239"/>
        <v>0.0145564821834723</v>
      </c>
      <c r="AS88" s="19">
        <f t="shared" si="239"/>
        <v>0.0148610852134999</v>
      </c>
      <c r="AT88" s="19">
        <f t="shared" si="239"/>
        <v>0.00950413844996238</v>
      </c>
      <c r="AU88" s="19">
        <f t="shared" si="239"/>
        <v>0.0111699681641316</v>
      </c>
    </row>
    <row r="89" ht="15.5" spans="21:47"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</row>
    <row r="90" ht="15.5" spans="21:47"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</row>
    <row r="91" ht="15.5" spans="21:47"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</row>
    <row r="92" ht="15.5" spans="21:47">
      <c r="U92" s="4"/>
      <c r="V92" s="4"/>
      <c r="W92" s="4" t="s">
        <v>188</v>
      </c>
      <c r="X92" s="4" t="s">
        <v>189</v>
      </c>
      <c r="Y92" s="5" t="s">
        <v>190</v>
      </c>
      <c r="Z92" s="4" t="s">
        <v>191</v>
      </c>
      <c r="AA92" s="4" t="s">
        <v>192</v>
      </c>
      <c r="AB92" s="14" t="s">
        <v>193</v>
      </c>
      <c r="AC92" s="14" t="s">
        <v>194</v>
      </c>
      <c r="AD92" s="4"/>
      <c r="AE92" s="4"/>
      <c r="AF92" s="4" t="s">
        <v>188</v>
      </c>
      <c r="AG92" s="4" t="s">
        <v>189</v>
      </c>
      <c r="AH92" s="5" t="s">
        <v>190</v>
      </c>
      <c r="AI92" s="4" t="s">
        <v>191</v>
      </c>
      <c r="AJ92" s="4" t="s">
        <v>192</v>
      </c>
      <c r="AK92" s="14" t="s">
        <v>193</v>
      </c>
      <c r="AL92" s="14" t="s">
        <v>194</v>
      </c>
      <c r="AM92" s="4"/>
      <c r="AN92" s="4"/>
      <c r="AO92" s="4" t="s">
        <v>188</v>
      </c>
      <c r="AP92" s="4" t="s">
        <v>189</v>
      </c>
      <c r="AQ92" s="5" t="s">
        <v>190</v>
      </c>
      <c r="AR92" s="4" t="s">
        <v>191</v>
      </c>
      <c r="AS92" s="4" t="s">
        <v>192</v>
      </c>
      <c r="AT92" s="14" t="s">
        <v>193</v>
      </c>
      <c r="AU92" s="14" t="s">
        <v>194</v>
      </c>
    </row>
    <row r="93" spans="21:47">
      <c r="U93" s="2" t="s">
        <v>195</v>
      </c>
      <c r="V93" s="17" t="s">
        <v>60</v>
      </c>
      <c r="W93" s="1">
        <f t="shared" ref="W93:AC93" si="240">W24-W25</f>
        <v>0.0115546572342934</v>
      </c>
      <c r="X93" s="1">
        <f t="shared" si="240"/>
        <v>0.0110863986313088</v>
      </c>
      <c r="Y93" s="1">
        <f t="shared" si="240"/>
        <v>0.0114618834080717</v>
      </c>
      <c r="Z93" s="1">
        <f t="shared" si="240"/>
        <v>0.011751326762699</v>
      </c>
      <c r="AA93" s="1">
        <f t="shared" si="240"/>
        <v>0.0119709118030953</v>
      </c>
      <c r="AB93" s="1">
        <f t="shared" si="240"/>
        <v>0.00961625282167042</v>
      </c>
      <c r="AC93" s="1">
        <f t="shared" si="240"/>
        <v>0.0113017332861691</v>
      </c>
      <c r="AF93" s="1">
        <f t="shared" ref="AF93:AL93" si="241">AF24-AF25</f>
        <v>0.0115546572342934</v>
      </c>
      <c r="AG93" s="1">
        <f t="shared" si="241"/>
        <v>0.0110863986313088</v>
      </c>
      <c r="AH93" s="1">
        <f t="shared" si="241"/>
        <v>0.0114618834080717</v>
      </c>
      <c r="AI93" s="1">
        <f t="shared" si="241"/>
        <v>0.011751326762699</v>
      </c>
      <c r="AJ93" s="1">
        <f t="shared" si="241"/>
        <v>0.0119709118030953</v>
      </c>
      <c r="AK93" s="1">
        <f t="shared" si="241"/>
        <v>0.011058690744921</v>
      </c>
      <c r="AL93" s="1">
        <f t="shared" si="241"/>
        <v>0.0129969932790944</v>
      </c>
      <c r="AO93" s="1">
        <f t="shared" ref="AO93:AU93" si="242">AO24-AO25</f>
        <v>0.0115546572342934</v>
      </c>
      <c r="AP93" s="1">
        <f t="shared" si="242"/>
        <v>0.0110863986313088</v>
      </c>
      <c r="AQ93" s="1">
        <f t="shared" si="242"/>
        <v>0.0114618834080717</v>
      </c>
      <c r="AR93" s="1">
        <f t="shared" si="242"/>
        <v>0.011751326762699</v>
      </c>
      <c r="AS93" s="1">
        <f t="shared" si="242"/>
        <v>0.0119709118030953</v>
      </c>
      <c r="AT93" s="1">
        <f t="shared" si="242"/>
        <v>0.00817381489841985</v>
      </c>
      <c r="AU93" s="1">
        <f t="shared" si="242"/>
        <v>0.00960647329324371</v>
      </c>
    </row>
    <row r="94" spans="21:47">
      <c r="U94" s="2"/>
      <c r="V94" s="18" t="s">
        <v>218</v>
      </c>
      <c r="W94" s="1">
        <f t="shared" ref="W94:AC94" si="243">W26</f>
        <v>0.0252147549267307</v>
      </c>
      <c r="X94" s="1">
        <f t="shared" si="243"/>
        <v>0.0242600513259196</v>
      </c>
      <c r="Y94" s="1">
        <f t="shared" si="243"/>
        <v>0.0250941704035874</v>
      </c>
      <c r="Z94" s="1">
        <f t="shared" si="243"/>
        <v>0.0257581501137225</v>
      </c>
      <c r="AA94" s="1">
        <f t="shared" si="243"/>
        <v>0.0262539623345143</v>
      </c>
      <c r="AB94" s="1">
        <f t="shared" si="243"/>
        <v>0.0210534236267871</v>
      </c>
      <c r="AC94" s="1">
        <f t="shared" si="243"/>
        <v>0.0247435443933498</v>
      </c>
      <c r="AF94" s="1">
        <f t="shared" ref="AF94:AL94" si="244">AF26</f>
        <v>0.0252147549267307</v>
      </c>
      <c r="AG94" s="1">
        <f t="shared" si="244"/>
        <v>0.0242600513259196</v>
      </c>
      <c r="AH94" s="1">
        <f t="shared" si="244"/>
        <v>0.0250941704035874</v>
      </c>
      <c r="AI94" s="1">
        <f t="shared" si="244"/>
        <v>0.0257581501137225</v>
      </c>
      <c r="AJ94" s="1">
        <f t="shared" si="244"/>
        <v>0.0262539623345143</v>
      </c>
      <c r="AK94" s="1">
        <f t="shared" si="244"/>
        <v>0.0242114371708051</v>
      </c>
      <c r="AL94" s="1">
        <f t="shared" si="244"/>
        <v>0.0284550760523523</v>
      </c>
      <c r="AO94" s="1">
        <f t="shared" ref="AO94:AU94" si="245">AO26</f>
        <v>0.0252147549267307</v>
      </c>
      <c r="AP94" s="1">
        <f t="shared" si="245"/>
        <v>0.0242600513259196</v>
      </c>
      <c r="AQ94" s="1">
        <f t="shared" si="245"/>
        <v>0.0250941704035874</v>
      </c>
      <c r="AR94" s="1">
        <f t="shared" si="245"/>
        <v>0.0257581501137225</v>
      </c>
      <c r="AS94" s="1">
        <f t="shared" si="245"/>
        <v>0.0262539623345143</v>
      </c>
      <c r="AT94" s="1">
        <f t="shared" si="245"/>
        <v>0.017895410082769</v>
      </c>
      <c r="AU94" s="1">
        <f t="shared" si="245"/>
        <v>0.0210320127343474</v>
      </c>
    </row>
    <row r="95" spans="21:47">
      <c r="U95" s="2"/>
      <c r="V95" s="17" t="s">
        <v>219</v>
      </c>
      <c r="W95" s="1">
        <f t="shared" ref="W95:AC95" si="246">W27</f>
        <v>0.0978103419235304</v>
      </c>
      <c r="X95" s="1">
        <f t="shared" si="246"/>
        <v>0.0947818648417451</v>
      </c>
      <c r="Y95" s="1">
        <f t="shared" si="246"/>
        <v>0.0982600896860986</v>
      </c>
      <c r="Z95" s="1">
        <f t="shared" si="246"/>
        <v>0.099696739954511</v>
      </c>
      <c r="AA95" s="1">
        <f t="shared" si="246"/>
        <v>0.103953011374231</v>
      </c>
      <c r="AB95" s="1">
        <f t="shared" si="246"/>
        <v>0.0824379232505643</v>
      </c>
      <c r="AC95" s="1">
        <f t="shared" si="246"/>
        <v>0.0968871595330739</v>
      </c>
      <c r="AF95" s="1">
        <f t="shared" ref="AF95:AL95" si="247">AF27</f>
        <v>0.0978103419235304</v>
      </c>
      <c r="AG95" s="1">
        <f t="shared" si="247"/>
        <v>0.0947818648417451</v>
      </c>
      <c r="AH95" s="1">
        <f t="shared" si="247"/>
        <v>0.0982600896860986</v>
      </c>
      <c r="AI95" s="1">
        <f t="shared" si="247"/>
        <v>0.099696739954511</v>
      </c>
      <c r="AJ95" s="1">
        <f t="shared" si="247"/>
        <v>0.103953011374231</v>
      </c>
      <c r="AK95" s="1">
        <f t="shared" si="247"/>
        <v>0.094803611738149</v>
      </c>
      <c r="AL95" s="1">
        <f t="shared" si="247"/>
        <v>0.111420233463035</v>
      </c>
      <c r="AO95" s="1">
        <f t="shared" ref="AO95:AU95" si="248">AO27</f>
        <v>0.0978103419235304</v>
      </c>
      <c r="AP95" s="1">
        <f t="shared" si="248"/>
        <v>0.0947818648417451</v>
      </c>
      <c r="AQ95" s="1">
        <f t="shared" si="248"/>
        <v>0.0982600896860986</v>
      </c>
      <c r="AR95" s="1">
        <f t="shared" si="248"/>
        <v>0.099696739954511</v>
      </c>
      <c r="AS95" s="1">
        <f t="shared" si="248"/>
        <v>0.103953011374231</v>
      </c>
      <c r="AT95" s="1">
        <f t="shared" si="248"/>
        <v>0.0700722347629797</v>
      </c>
      <c r="AU95" s="1">
        <f t="shared" si="248"/>
        <v>0.0823540856031128</v>
      </c>
    </row>
    <row r="96" spans="21:47">
      <c r="U96" s="2"/>
      <c r="V96" s="17" t="s">
        <v>220</v>
      </c>
      <c r="W96" s="1">
        <f t="shared" ref="W96:AC96" si="249">W28</f>
        <v>0.0132390096008085</v>
      </c>
      <c r="X96" s="1">
        <f t="shared" si="249"/>
        <v>0.0130538922155689</v>
      </c>
      <c r="Y96" s="1">
        <f t="shared" si="249"/>
        <v>0.0136143497757848</v>
      </c>
      <c r="Z96" s="1">
        <f t="shared" si="249"/>
        <v>0.0139689158453374</v>
      </c>
      <c r="AA96" s="1">
        <f t="shared" si="249"/>
        <v>0.0141711728510162</v>
      </c>
      <c r="AB96" s="1">
        <f t="shared" si="249"/>
        <v>0.0114221218961625</v>
      </c>
      <c r="AC96" s="1">
        <f t="shared" si="249"/>
        <v>0.0134241245136187</v>
      </c>
      <c r="AF96" s="1">
        <f t="shared" ref="AF96:AL96" si="250">AF28</f>
        <v>0.0132390096008085</v>
      </c>
      <c r="AG96" s="1">
        <f t="shared" si="250"/>
        <v>0.0130538922155689</v>
      </c>
      <c r="AH96" s="1">
        <f t="shared" si="250"/>
        <v>0.0136143497757848</v>
      </c>
      <c r="AI96" s="1">
        <f t="shared" si="250"/>
        <v>0.0139689158453374</v>
      </c>
      <c r="AJ96" s="1">
        <f t="shared" si="250"/>
        <v>0.0141711728510162</v>
      </c>
      <c r="AK96" s="1">
        <f t="shared" si="250"/>
        <v>0.0131354401805869</v>
      </c>
      <c r="AL96" s="1">
        <f t="shared" si="250"/>
        <v>0.0154377431906615</v>
      </c>
      <c r="AO96" s="1">
        <f t="shared" ref="AO96:AU96" si="251">AO28</f>
        <v>0.0132390096008085</v>
      </c>
      <c r="AP96" s="1">
        <f t="shared" si="251"/>
        <v>0.0130538922155689</v>
      </c>
      <c r="AQ96" s="1">
        <f t="shared" si="251"/>
        <v>0.0136143497757848</v>
      </c>
      <c r="AR96" s="1">
        <f t="shared" si="251"/>
        <v>0.0139689158453374</v>
      </c>
      <c r="AS96" s="1">
        <f t="shared" si="251"/>
        <v>0.0141711728510162</v>
      </c>
      <c r="AT96" s="1">
        <f t="shared" si="251"/>
        <v>0.00970880361173815</v>
      </c>
      <c r="AU96" s="1">
        <f t="shared" si="251"/>
        <v>0.0114105058365759</v>
      </c>
    </row>
    <row r="97" spans="21:47">
      <c r="U97" s="2" t="s">
        <v>201</v>
      </c>
      <c r="V97" s="17" t="s">
        <v>60</v>
      </c>
      <c r="W97" s="1">
        <f t="shared" ref="W97:AC97" si="252">W29-W30</f>
        <v>0.0114030655213071</v>
      </c>
      <c r="X97" s="1">
        <f t="shared" si="252"/>
        <v>0.0109324208725406</v>
      </c>
      <c r="Y97" s="1">
        <f t="shared" si="252"/>
        <v>0.0113183856502242</v>
      </c>
      <c r="Z97" s="1">
        <f t="shared" si="252"/>
        <v>0.0115996967399545</v>
      </c>
      <c r="AA97" s="1">
        <f t="shared" si="252"/>
        <v>0.0118030952824912</v>
      </c>
      <c r="AB97" s="1">
        <f t="shared" si="252"/>
        <v>0.00949586155003763</v>
      </c>
      <c r="AC97" s="1">
        <f t="shared" si="252"/>
        <v>0.0111602405376725</v>
      </c>
      <c r="AF97" s="1">
        <f t="shared" ref="AF97:AL97" si="253">AF29-AF30</f>
        <v>0.0114030655213071</v>
      </c>
      <c r="AG97" s="1">
        <f t="shared" si="253"/>
        <v>0.0109324208725406</v>
      </c>
      <c r="AH97" s="1">
        <f t="shared" si="253"/>
        <v>0.0113183856502242</v>
      </c>
      <c r="AI97" s="1">
        <f t="shared" si="253"/>
        <v>0.0115996967399545</v>
      </c>
      <c r="AJ97" s="1">
        <f t="shared" si="253"/>
        <v>0.0118030952824912</v>
      </c>
      <c r="AK97" s="1">
        <f t="shared" si="253"/>
        <v>0.0109202407825433</v>
      </c>
      <c r="AL97" s="1">
        <f t="shared" si="253"/>
        <v>0.0128342766183233</v>
      </c>
      <c r="AO97" s="1">
        <f t="shared" ref="AO97:AU97" si="254">AO29-AO30</f>
        <v>0.0114030655213071</v>
      </c>
      <c r="AP97" s="1">
        <f t="shared" si="254"/>
        <v>0.0109324208725406</v>
      </c>
      <c r="AQ97" s="1">
        <f t="shared" si="254"/>
        <v>0.0113183856502242</v>
      </c>
      <c r="AR97" s="1">
        <f t="shared" si="254"/>
        <v>0.0115996967399545</v>
      </c>
      <c r="AS97" s="1">
        <f t="shared" si="254"/>
        <v>0.0118030952824912</v>
      </c>
      <c r="AT97" s="1">
        <f t="shared" si="254"/>
        <v>0.00807148231753198</v>
      </c>
      <c r="AU97" s="1">
        <f t="shared" si="254"/>
        <v>0.00948620445702159</v>
      </c>
    </row>
    <row r="98" spans="21:47">
      <c r="U98" s="2"/>
      <c r="V98" s="18" t="s">
        <v>218</v>
      </c>
      <c r="W98" s="1">
        <f t="shared" ref="W98:AC98" si="255">W31</f>
        <v>0.0310257705912077</v>
      </c>
      <c r="X98" s="1">
        <f t="shared" si="255"/>
        <v>0.0298716852010265</v>
      </c>
      <c r="Y98" s="1">
        <f t="shared" si="255"/>
        <v>0.0309237668161435</v>
      </c>
      <c r="Z98" s="1">
        <f t="shared" si="255"/>
        <v>0.0319749810462472</v>
      </c>
      <c r="AA98" s="1">
        <f t="shared" si="255"/>
        <v>0.0325750512772702</v>
      </c>
      <c r="AB98" s="1">
        <f t="shared" si="255"/>
        <v>0.0259443190368698</v>
      </c>
      <c r="AC98" s="1">
        <f t="shared" si="255"/>
        <v>0.0304916873010258</v>
      </c>
      <c r="AF98" s="1">
        <f t="shared" ref="AF98:AL98" si="256">AF31</f>
        <v>0.0310257705912077</v>
      </c>
      <c r="AG98" s="1">
        <f t="shared" si="256"/>
        <v>0.0298716852010265</v>
      </c>
      <c r="AH98" s="1">
        <f t="shared" si="256"/>
        <v>0.0309237668161435</v>
      </c>
      <c r="AI98" s="1">
        <f t="shared" si="256"/>
        <v>0.0319749810462472</v>
      </c>
      <c r="AJ98" s="1">
        <f t="shared" si="256"/>
        <v>0.0325750512772702</v>
      </c>
      <c r="AK98" s="1">
        <f t="shared" si="256"/>
        <v>0.0298359668924003</v>
      </c>
      <c r="AL98" s="1">
        <f t="shared" si="256"/>
        <v>0.0350654403961797</v>
      </c>
      <c r="AO98" s="1">
        <f t="shared" ref="AO98:AU98" si="257">AO31</f>
        <v>0.0310257705912077</v>
      </c>
      <c r="AP98" s="1">
        <f t="shared" si="257"/>
        <v>0.0298716852010265</v>
      </c>
      <c r="AQ98" s="1">
        <f t="shared" si="257"/>
        <v>0.0309237668161435</v>
      </c>
      <c r="AR98" s="1">
        <f t="shared" si="257"/>
        <v>0.0319749810462472</v>
      </c>
      <c r="AS98" s="1">
        <f t="shared" si="257"/>
        <v>0.0325750512772702</v>
      </c>
      <c r="AT98" s="1">
        <f t="shared" si="257"/>
        <v>0.0220526711813394</v>
      </c>
      <c r="AU98" s="1">
        <f t="shared" si="257"/>
        <v>0.0259179342058719</v>
      </c>
    </row>
    <row r="99" ht="15.5" spans="21:47">
      <c r="U99" s="2"/>
      <c r="V99" s="17" t="s">
        <v>219</v>
      </c>
      <c r="W99" s="1">
        <f t="shared" ref="W99:AC99" si="258">W32</f>
        <v>0.0942732019538488</v>
      </c>
      <c r="X99" s="1">
        <f t="shared" si="258"/>
        <v>0.0913601368691189</v>
      </c>
      <c r="Y99" s="1">
        <f t="shared" si="258"/>
        <v>0.0947085201793722</v>
      </c>
      <c r="Z99" s="1">
        <f t="shared" si="258"/>
        <v>0.0959249431387415</v>
      </c>
      <c r="AA99" s="1">
        <f t="shared" si="258"/>
        <v>0.100111877680403</v>
      </c>
      <c r="AB99" s="1">
        <f t="shared" si="258"/>
        <v>0.0794582392776524</v>
      </c>
      <c r="AC99" s="1">
        <f t="shared" si="258"/>
        <v>0.0933852140077821</v>
      </c>
      <c r="AD99" s="4"/>
      <c r="AE99" s="4"/>
      <c r="AF99" s="1">
        <f t="shared" ref="AF99:AL99" si="259">AF32</f>
        <v>0.0942732019538488</v>
      </c>
      <c r="AG99" s="1">
        <f t="shared" si="259"/>
        <v>0.0913601368691189</v>
      </c>
      <c r="AH99" s="1">
        <f t="shared" si="259"/>
        <v>0.0947085201793722</v>
      </c>
      <c r="AI99" s="1">
        <f t="shared" si="259"/>
        <v>0.0959249431387415</v>
      </c>
      <c r="AJ99" s="1">
        <f t="shared" si="259"/>
        <v>0.100111877680403</v>
      </c>
      <c r="AK99" s="1">
        <f t="shared" si="259"/>
        <v>0.0913769751693002</v>
      </c>
      <c r="AL99" s="1">
        <f t="shared" si="259"/>
        <v>0.107392996108949</v>
      </c>
      <c r="AM99" s="4"/>
      <c r="AN99" s="4"/>
      <c r="AO99" s="1">
        <f t="shared" ref="AO99:AU99" si="260">AO32</f>
        <v>0.0942732019538488</v>
      </c>
      <c r="AP99" s="1">
        <f t="shared" si="260"/>
        <v>0.0913601368691189</v>
      </c>
      <c r="AQ99" s="1">
        <f t="shared" si="260"/>
        <v>0.0947085201793722</v>
      </c>
      <c r="AR99" s="1">
        <f t="shared" si="260"/>
        <v>0.0959249431387415</v>
      </c>
      <c r="AS99" s="1">
        <f t="shared" si="260"/>
        <v>0.100111877680403</v>
      </c>
      <c r="AT99" s="1">
        <f t="shared" si="260"/>
        <v>0.0675395033860045</v>
      </c>
      <c r="AU99" s="1">
        <f t="shared" si="260"/>
        <v>0.0793774319066148</v>
      </c>
    </row>
    <row r="100" ht="15.5" spans="21:47">
      <c r="U100" s="2"/>
      <c r="V100" s="17" t="s">
        <v>220</v>
      </c>
      <c r="W100" s="1">
        <f t="shared" ref="W100:AC100" si="261">W33</f>
        <v>0.0137106282634327</v>
      </c>
      <c r="X100" s="1">
        <f t="shared" si="261"/>
        <v>0.0135158254918734</v>
      </c>
      <c r="Y100" s="1">
        <f t="shared" si="261"/>
        <v>0.0140807174887892</v>
      </c>
      <c r="Z100" s="1">
        <f t="shared" si="261"/>
        <v>0.0144806671721001</v>
      </c>
      <c r="AA100" s="1">
        <f t="shared" si="261"/>
        <v>0.0146746224128286</v>
      </c>
      <c r="AB100" s="1">
        <f t="shared" si="261"/>
        <v>0.0118133935289691</v>
      </c>
      <c r="AC100" s="1">
        <f t="shared" si="261"/>
        <v>0.0138839759462328</v>
      </c>
      <c r="AD100" s="4"/>
      <c r="AE100" s="4"/>
      <c r="AF100" s="1">
        <f t="shared" ref="AF100:AL100" si="262">AF33</f>
        <v>0.0137106282634327</v>
      </c>
      <c r="AG100" s="1">
        <f t="shared" si="262"/>
        <v>0.0135158254918734</v>
      </c>
      <c r="AH100" s="1">
        <f t="shared" si="262"/>
        <v>0.0140807174887892</v>
      </c>
      <c r="AI100" s="1">
        <f t="shared" si="262"/>
        <v>0.0144806671721001</v>
      </c>
      <c r="AJ100" s="1">
        <f t="shared" si="262"/>
        <v>0.0146746224128286</v>
      </c>
      <c r="AK100" s="1">
        <f t="shared" si="262"/>
        <v>0.0135854025583145</v>
      </c>
      <c r="AL100" s="1">
        <f t="shared" si="262"/>
        <v>0.0159665723381677</v>
      </c>
      <c r="AM100" s="4"/>
      <c r="AN100" s="4"/>
      <c r="AO100" s="1">
        <f t="shared" ref="AO100:AU100" si="263">AO33</f>
        <v>0.0137106282634327</v>
      </c>
      <c r="AP100" s="1">
        <f t="shared" si="263"/>
        <v>0.0135158254918734</v>
      </c>
      <c r="AQ100" s="1">
        <f t="shared" si="263"/>
        <v>0.0140807174887892</v>
      </c>
      <c r="AR100" s="1">
        <f t="shared" si="263"/>
        <v>0.0144806671721001</v>
      </c>
      <c r="AS100" s="1">
        <f t="shared" si="263"/>
        <v>0.0146746224128286</v>
      </c>
      <c r="AT100" s="1">
        <f t="shared" si="263"/>
        <v>0.0100413844996238</v>
      </c>
      <c r="AU100" s="1">
        <f t="shared" si="263"/>
        <v>0.0118013795542978</v>
      </c>
    </row>
    <row r="101" ht="15.5" spans="21:47">
      <c r="U101" s="2" t="s">
        <v>221</v>
      </c>
      <c r="V101" s="17" t="s">
        <v>60</v>
      </c>
      <c r="W101" s="4">
        <f t="shared" ref="W101:AC101" si="264">W34-W35</f>
        <v>0.011840997136601</v>
      </c>
      <c r="X101" s="4">
        <f t="shared" si="264"/>
        <v>0.011377245508982</v>
      </c>
      <c r="Y101" s="4">
        <f t="shared" si="264"/>
        <v>0.0117668161434977</v>
      </c>
      <c r="Z101" s="4">
        <f t="shared" si="264"/>
        <v>0.0120924943138741</v>
      </c>
      <c r="AA101" s="4">
        <f t="shared" si="264"/>
        <v>0.0122878985642364</v>
      </c>
      <c r="AB101" s="4">
        <f t="shared" si="264"/>
        <v>0.00987208427389014</v>
      </c>
      <c r="AC101" s="4">
        <f t="shared" si="264"/>
        <v>0.0116024053767244</v>
      </c>
      <c r="AD101" s="4"/>
      <c r="AE101" s="4"/>
      <c r="AF101" s="4">
        <f t="shared" ref="AF101:AL101" si="265">AF34-AF35</f>
        <v>0.011840997136601</v>
      </c>
      <c r="AG101" s="4">
        <f t="shared" si="265"/>
        <v>0.011377245508982</v>
      </c>
      <c r="AH101" s="4">
        <f t="shared" si="265"/>
        <v>0.0117668161434977</v>
      </c>
      <c r="AI101" s="4">
        <f t="shared" si="265"/>
        <v>0.0120924943138741</v>
      </c>
      <c r="AJ101" s="4">
        <f t="shared" si="265"/>
        <v>0.0122878985642364</v>
      </c>
      <c r="AK101" s="4">
        <f t="shared" si="265"/>
        <v>0.0113528969149737</v>
      </c>
      <c r="AL101" s="4">
        <f t="shared" si="265"/>
        <v>0.0133427661832331</v>
      </c>
      <c r="AM101" s="4"/>
      <c r="AN101" s="4"/>
      <c r="AO101" s="4">
        <f t="shared" ref="AO101:AU101" si="266">AO34-AO35</f>
        <v>0.011840997136601</v>
      </c>
      <c r="AP101" s="4">
        <f t="shared" si="266"/>
        <v>0.011377245508982</v>
      </c>
      <c r="AQ101" s="4">
        <f t="shared" si="266"/>
        <v>0.0117668161434977</v>
      </c>
      <c r="AR101" s="4">
        <f t="shared" si="266"/>
        <v>0.0120924943138741</v>
      </c>
      <c r="AS101" s="4">
        <f t="shared" si="266"/>
        <v>0.0122878985642364</v>
      </c>
      <c r="AT101" s="4">
        <f t="shared" si="266"/>
        <v>0.00839127163280662</v>
      </c>
      <c r="AU101" s="4">
        <f t="shared" si="266"/>
        <v>0.00986204457021578</v>
      </c>
    </row>
    <row r="102" ht="15.5" spans="21:47">
      <c r="U102" s="2"/>
      <c r="V102" s="18" t="s">
        <v>218</v>
      </c>
      <c r="W102" s="4">
        <f t="shared" ref="W102:AC102" si="267">W36</f>
        <v>0.0404413003200269</v>
      </c>
      <c r="X102" s="4">
        <f t="shared" si="267"/>
        <v>0.0389734816082122</v>
      </c>
      <c r="Y102" s="4">
        <f t="shared" si="267"/>
        <v>0.0403408071748879</v>
      </c>
      <c r="Z102" s="4">
        <f t="shared" si="267"/>
        <v>0.0420204700530705</v>
      </c>
      <c r="AA102" s="4">
        <f t="shared" si="267"/>
        <v>0.0428118590341227</v>
      </c>
      <c r="AB102" s="4">
        <f t="shared" si="267"/>
        <v>0.0338449962377728</v>
      </c>
      <c r="AC102" s="4">
        <f t="shared" si="267"/>
        <v>0.0397771489211178</v>
      </c>
      <c r="AD102" s="4"/>
      <c r="AE102" s="4"/>
      <c r="AF102" s="4">
        <f t="shared" ref="AF102:AL102" si="268">AF36</f>
        <v>0.0404413003200269</v>
      </c>
      <c r="AG102" s="4">
        <f t="shared" si="268"/>
        <v>0.0389734816082122</v>
      </c>
      <c r="AH102" s="4">
        <f t="shared" si="268"/>
        <v>0.0403408071748879</v>
      </c>
      <c r="AI102" s="4">
        <f t="shared" si="268"/>
        <v>0.0420204700530705</v>
      </c>
      <c r="AJ102" s="4">
        <f t="shared" si="268"/>
        <v>0.0428118590341227</v>
      </c>
      <c r="AK102" s="4">
        <f t="shared" si="268"/>
        <v>0.0389217456734387</v>
      </c>
      <c r="AL102" s="4">
        <f t="shared" si="268"/>
        <v>0.0457437212592855</v>
      </c>
      <c r="AM102" s="4"/>
      <c r="AN102" s="4"/>
      <c r="AO102" s="4">
        <f t="shared" ref="AO102:AU102" si="269">AO36</f>
        <v>0.0404413003200269</v>
      </c>
      <c r="AP102" s="4">
        <f t="shared" si="269"/>
        <v>0.0389734816082122</v>
      </c>
      <c r="AQ102" s="4">
        <f t="shared" si="269"/>
        <v>0.0403408071748879</v>
      </c>
      <c r="AR102" s="4">
        <f t="shared" si="269"/>
        <v>0.0420204700530705</v>
      </c>
      <c r="AS102" s="4">
        <f t="shared" si="269"/>
        <v>0.0428118590341227</v>
      </c>
      <c r="AT102" s="4">
        <f t="shared" si="269"/>
        <v>0.0287682468021069</v>
      </c>
      <c r="AU102" s="4">
        <f t="shared" si="269"/>
        <v>0.0338105765829501</v>
      </c>
    </row>
    <row r="103" ht="15.5" spans="21:47">
      <c r="U103" s="2"/>
      <c r="V103" s="17" t="s">
        <v>219</v>
      </c>
      <c r="W103" s="4">
        <f t="shared" ref="W103:AC103" si="270">W37</f>
        <v>0.0870304867778339</v>
      </c>
      <c r="X103" s="4">
        <f t="shared" si="270"/>
        <v>0.0843627031650984</v>
      </c>
      <c r="Y103" s="4">
        <f t="shared" si="270"/>
        <v>0.0874439461883408</v>
      </c>
      <c r="Z103" s="4">
        <f t="shared" si="270"/>
        <v>0.0881918119787718</v>
      </c>
      <c r="AA103" s="4">
        <f t="shared" si="270"/>
        <v>0.0922245012120082</v>
      </c>
      <c r="AB103" s="4">
        <f t="shared" si="270"/>
        <v>0.0733634311512415</v>
      </c>
      <c r="AC103" s="4">
        <f t="shared" si="270"/>
        <v>0.0862221436151397</v>
      </c>
      <c r="AD103" s="4"/>
      <c r="AE103" s="4"/>
      <c r="AF103" s="4">
        <f t="shared" ref="AF103:AL103" si="271">AF37</f>
        <v>0.0870304867778339</v>
      </c>
      <c r="AG103" s="4">
        <f t="shared" si="271"/>
        <v>0.0843627031650984</v>
      </c>
      <c r="AH103" s="4">
        <f t="shared" si="271"/>
        <v>0.0874439461883408</v>
      </c>
      <c r="AI103" s="4">
        <f t="shared" si="271"/>
        <v>0.0881918119787718</v>
      </c>
      <c r="AJ103" s="4">
        <f t="shared" si="271"/>
        <v>0.0922245012120082</v>
      </c>
      <c r="AK103" s="4">
        <f t="shared" si="271"/>
        <v>0.0843679458239278</v>
      </c>
      <c r="AL103" s="4">
        <f t="shared" si="271"/>
        <v>0.0991554651574107</v>
      </c>
      <c r="AM103" s="4"/>
      <c r="AN103" s="4"/>
      <c r="AO103" s="4">
        <f t="shared" ref="AO103:AU103" si="272">AO37</f>
        <v>0.0870304867778339</v>
      </c>
      <c r="AP103" s="4">
        <f t="shared" si="272"/>
        <v>0.0843627031650984</v>
      </c>
      <c r="AQ103" s="4">
        <f t="shared" si="272"/>
        <v>0.0874439461883408</v>
      </c>
      <c r="AR103" s="4">
        <f t="shared" si="272"/>
        <v>0.0881918119787718</v>
      </c>
      <c r="AS103" s="4">
        <f t="shared" si="272"/>
        <v>0.0922245012120082</v>
      </c>
      <c r="AT103" s="4">
        <f t="shared" si="272"/>
        <v>0.0623589164785553</v>
      </c>
      <c r="AU103" s="4">
        <f t="shared" si="272"/>
        <v>0.0732888220728688</v>
      </c>
    </row>
    <row r="104" ht="15.5" spans="21:47">
      <c r="U104" s="2"/>
      <c r="V104" s="17" t="s">
        <v>220</v>
      </c>
      <c r="W104" s="4">
        <f t="shared" ref="W104:AC104" si="273">W38</f>
        <v>0.0133569142664645</v>
      </c>
      <c r="X104" s="4">
        <f t="shared" si="273"/>
        <v>0.0131907613344739</v>
      </c>
      <c r="Y104" s="4">
        <f t="shared" si="273"/>
        <v>0.0137399103139013</v>
      </c>
      <c r="Z104" s="4">
        <f t="shared" si="273"/>
        <v>0.0141015921152388</v>
      </c>
      <c r="AA104" s="4">
        <f t="shared" si="273"/>
        <v>0.0143016968114861</v>
      </c>
      <c r="AB104" s="4">
        <f t="shared" si="273"/>
        <v>0.0115274642588412</v>
      </c>
      <c r="AC104" s="4">
        <f t="shared" si="273"/>
        <v>0.0135479306685532</v>
      </c>
      <c r="AD104" s="4"/>
      <c r="AE104" s="4"/>
      <c r="AF104" s="4">
        <f t="shared" ref="AF104:AL104" si="274">AF38</f>
        <v>0.0133569142664645</v>
      </c>
      <c r="AG104" s="4">
        <f t="shared" si="274"/>
        <v>0.0131907613344739</v>
      </c>
      <c r="AH104" s="4">
        <f t="shared" si="274"/>
        <v>0.0137399103139013</v>
      </c>
      <c r="AI104" s="4">
        <f t="shared" si="274"/>
        <v>0.0141015921152388</v>
      </c>
      <c r="AJ104" s="4">
        <f t="shared" si="274"/>
        <v>0.0143016968114861</v>
      </c>
      <c r="AK104" s="4">
        <f t="shared" si="274"/>
        <v>0.0132565838976674</v>
      </c>
      <c r="AL104" s="4">
        <f t="shared" si="274"/>
        <v>0.0155801202688362</v>
      </c>
      <c r="AM104" s="4"/>
      <c r="AN104" s="4"/>
      <c r="AO104" s="4">
        <f t="shared" ref="AO104:AU104" si="275">AO38</f>
        <v>0.0133569142664645</v>
      </c>
      <c r="AP104" s="4">
        <f t="shared" si="275"/>
        <v>0.0131907613344739</v>
      </c>
      <c r="AQ104" s="4">
        <f t="shared" si="275"/>
        <v>0.0137399103139013</v>
      </c>
      <c r="AR104" s="4">
        <f t="shared" si="275"/>
        <v>0.0141015921152388</v>
      </c>
      <c r="AS104" s="4">
        <f t="shared" si="275"/>
        <v>0.0143016968114861</v>
      </c>
      <c r="AT104" s="4">
        <f t="shared" si="275"/>
        <v>0.00979834462001505</v>
      </c>
      <c r="AU104" s="4">
        <f t="shared" si="275"/>
        <v>0.0115157410682703</v>
      </c>
    </row>
    <row r="105" ht="15.5" spans="21:47">
      <c r="U105" s="2" t="s">
        <v>221</v>
      </c>
      <c r="V105" s="17" t="s">
        <v>60</v>
      </c>
      <c r="W105" s="19">
        <f t="shared" ref="W105:AC105" si="276">W101</f>
        <v>0.011840997136601</v>
      </c>
      <c r="X105" s="19">
        <f t="shared" si="276"/>
        <v>0.011377245508982</v>
      </c>
      <c r="Y105" s="19">
        <f t="shared" si="276"/>
        <v>0.0117668161434977</v>
      </c>
      <c r="Z105" s="19">
        <f t="shared" si="276"/>
        <v>0.0120924943138741</v>
      </c>
      <c r="AA105" s="19">
        <f t="shared" si="276"/>
        <v>0.0122878985642364</v>
      </c>
      <c r="AB105" s="19">
        <f t="shared" si="276"/>
        <v>0.00987208427389014</v>
      </c>
      <c r="AC105" s="19">
        <f t="shared" si="276"/>
        <v>0.0116024053767244</v>
      </c>
      <c r="AD105" s="4"/>
      <c r="AE105" s="4"/>
      <c r="AF105" s="19">
        <f t="shared" ref="AF105:AL105" si="277">AF101</f>
        <v>0.011840997136601</v>
      </c>
      <c r="AG105" s="19">
        <f t="shared" si="277"/>
        <v>0.011377245508982</v>
      </c>
      <c r="AH105" s="19">
        <f t="shared" si="277"/>
        <v>0.0117668161434977</v>
      </c>
      <c r="AI105" s="19">
        <f t="shared" si="277"/>
        <v>0.0120924943138741</v>
      </c>
      <c r="AJ105" s="19">
        <f t="shared" si="277"/>
        <v>0.0122878985642364</v>
      </c>
      <c r="AK105" s="19">
        <f t="shared" si="277"/>
        <v>0.0113528969149737</v>
      </c>
      <c r="AL105" s="19">
        <f t="shared" si="277"/>
        <v>0.0133427661832331</v>
      </c>
      <c r="AM105" s="4"/>
      <c r="AN105" s="4"/>
      <c r="AO105" s="19">
        <f t="shared" ref="AO105:AU105" si="278">AO101</f>
        <v>0.011840997136601</v>
      </c>
      <c r="AP105" s="19">
        <f t="shared" si="278"/>
        <v>0.011377245508982</v>
      </c>
      <c r="AQ105" s="19">
        <f t="shared" si="278"/>
        <v>0.0117668161434977</v>
      </c>
      <c r="AR105" s="19">
        <f t="shared" si="278"/>
        <v>0.0120924943138741</v>
      </c>
      <c r="AS105" s="19">
        <f t="shared" si="278"/>
        <v>0.0122878985642364</v>
      </c>
      <c r="AT105" s="19">
        <f t="shared" si="278"/>
        <v>0.00839127163280662</v>
      </c>
      <c r="AU105" s="19">
        <f t="shared" si="278"/>
        <v>0.00986204457021578</v>
      </c>
    </row>
    <row r="106" ht="15.5" spans="21:47">
      <c r="U106" s="2"/>
      <c r="V106" s="18" t="s">
        <v>218</v>
      </c>
      <c r="W106" s="19">
        <f t="shared" ref="W106:AC106" si="279">W102</f>
        <v>0.0404413003200269</v>
      </c>
      <c r="X106" s="19">
        <f t="shared" si="279"/>
        <v>0.0389734816082122</v>
      </c>
      <c r="Y106" s="19">
        <f t="shared" si="279"/>
        <v>0.0403408071748879</v>
      </c>
      <c r="Z106" s="19">
        <f t="shared" si="279"/>
        <v>0.0420204700530705</v>
      </c>
      <c r="AA106" s="19">
        <f t="shared" si="279"/>
        <v>0.0428118590341227</v>
      </c>
      <c r="AB106" s="19">
        <f t="shared" si="279"/>
        <v>0.0338449962377728</v>
      </c>
      <c r="AC106" s="19">
        <f t="shared" si="279"/>
        <v>0.0397771489211178</v>
      </c>
      <c r="AD106" s="4"/>
      <c r="AE106" s="4"/>
      <c r="AF106" s="19">
        <f t="shared" ref="AF106:AL106" si="280">AF102</f>
        <v>0.0404413003200269</v>
      </c>
      <c r="AG106" s="19">
        <f t="shared" si="280"/>
        <v>0.0389734816082122</v>
      </c>
      <c r="AH106" s="19">
        <f t="shared" si="280"/>
        <v>0.0403408071748879</v>
      </c>
      <c r="AI106" s="19">
        <f t="shared" si="280"/>
        <v>0.0420204700530705</v>
      </c>
      <c r="AJ106" s="19">
        <f t="shared" si="280"/>
        <v>0.0428118590341227</v>
      </c>
      <c r="AK106" s="19">
        <f t="shared" si="280"/>
        <v>0.0389217456734387</v>
      </c>
      <c r="AL106" s="19">
        <f t="shared" si="280"/>
        <v>0.0457437212592855</v>
      </c>
      <c r="AM106" s="4"/>
      <c r="AN106" s="4"/>
      <c r="AO106" s="19">
        <f t="shared" ref="AO106:AU106" si="281">AO102</f>
        <v>0.0404413003200269</v>
      </c>
      <c r="AP106" s="19">
        <f t="shared" si="281"/>
        <v>0.0389734816082122</v>
      </c>
      <c r="AQ106" s="19">
        <f t="shared" si="281"/>
        <v>0.0403408071748879</v>
      </c>
      <c r="AR106" s="19">
        <f t="shared" si="281"/>
        <v>0.0420204700530705</v>
      </c>
      <c r="AS106" s="19">
        <f t="shared" si="281"/>
        <v>0.0428118590341227</v>
      </c>
      <c r="AT106" s="19">
        <f t="shared" si="281"/>
        <v>0.0287682468021069</v>
      </c>
      <c r="AU106" s="19">
        <f t="shared" si="281"/>
        <v>0.0338105765829501</v>
      </c>
    </row>
    <row r="107" ht="15.5" spans="21:47">
      <c r="U107" s="2"/>
      <c r="V107" s="17" t="s">
        <v>219</v>
      </c>
      <c r="W107" s="19">
        <f t="shared" ref="W107:AC107" si="282">W103</f>
        <v>0.0870304867778339</v>
      </c>
      <c r="X107" s="19">
        <f t="shared" si="282"/>
        <v>0.0843627031650984</v>
      </c>
      <c r="Y107" s="19">
        <f t="shared" si="282"/>
        <v>0.0874439461883408</v>
      </c>
      <c r="Z107" s="19">
        <f t="shared" si="282"/>
        <v>0.0881918119787718</v>
      </c>
      <c r="AA107" s="19">
        <f t="shared" si="282"/>
        <v>0.0922245012120082</v>
      </c>
      <c r="AB107" s="19">
        <f t="shared" si="282"/>
        <v>0.0733634311512415</v>
      </c>
      <c r="AC107" s="19">
        <f t="shared" si="282"/>
        <v>0.0862221436151397</v>
      </c>
      <c r="AD107" s="4"/>
      <c r="AE107" s="4"/>
      <c r="AF107" s="19">
        <f t="shared" ref="AF107:AL107" si="283">AF103</f>
        <v>0.0870304867778339</v>
      </c>
      <c r="AG107" s="19">
        <f t="shared" si="283"/>
        <v>0.0843627031650984</v>
      </c>
      <c r="AH107" s="19">
        <f t="shared" si="283"/>
        <v>0.0874439461883408</v>
      </c>
      <c r="AI107" s="19">
        <f t="shared" si="283"/>
        <v>0.0881918119787718</v>
      </c>
      <c r="AJ107" s="19">
        <f t="shared" si="283"/>
        <v>0.0922245012120082</v>
      </c>
      <c r="AK107" s="19">
        <f t="shared" si="283"/>
        <v>0.0843679458239278</v>
      </c>
      <c r="AL107" s="19">
        <f t="shared" si="283"/>
        <v>0.0991554651574107</v>
      </c>
      <c r="AM107" s="4"/>
      <c r="AN107" s="4"/>
      <c r="AO107" s="19">
        <f t="shared" ref="AO107:AU107" si="284">AO103</f>
        <v>0.0870304867778339</v>
      </c>
      <c r="AP107" s="19">
        <f t="shared" si="284"/>
        <v>0.0843627031650984</v>
      </c>
      <c r="AQ107" s="19">
        <f t="shared" si="284"/>
        <v>0.0874439461883408</v>
      </c>
      <c r="AR107" s="19">
        <f t="shared" si="284"/>
        <v>0.0881918119787718</v>
      </c>
      <c r="AS107" s="19">
        <f t="shared" si="284"/>
        <v>0.0922245012120082</v>
      </c>
      <c r="AT107" s="19">
        <f t="shared" si="284"/>
        <v>0.0623589164785553</v>
      </c>
      <c r="AU107" s="19">
        <f t="shared" si="284"/>
        <v>0.0732888220728688</v>
      </c>
    </row>
    <row r="108" ht="15.5" spans="21:47">
      <c r="U108" s="2"/>
      <c r="V108" s="17" t="s">
        <v>220</v>
      </c>
      <c r="W108" s="19">
        <f t="shared" ref="W108:AC108" si="285">W104</f>
        <v>0.0133569142664645</v>
      </c>
      <c r="X108" s="19">
        <f t="shared" si="285"/>
        <v>0.0131907613344739</v>
      </c>
      <c r="Y108" s="19">
        <f t="shared" si="285"/>
        <v>0.0137399103139013</v>
      </c>
      <c r="Z108" s="19">
        <f t="shared" si="285"/>
        <v>0.0141015921152388</v>
      </c>
      <c r="AA108" s="19">
        <f t="shared" si="285"/>
        <v>0.0143016968114861</v>
      </c>
      <c r="AB108" s="19">
        <f t="shared" si="285"/>
        <v>0.0115274642588412</v>
      </c>
      <c r="AC108" s="19">
        <f t="shared" si="285"/>
        <v>0.0135479306685532</v>
      </c>
      <c r="AD108" s="4"/>
      <c r="AE108" s="4"/>
      <c r="AF108" s="19">
        <f t="shared" ref="AF108:AL108" si="286">AF104</f>
        <v>0.0133569142664645</v>
      </c>
      <c r="AG108" s="19">
        <f t="shared" si="286"/>
        <v>0.0131907613344739</v>
      </c>
      <c r="AH108" s="19">
        <f t="shared" si="286"/>
        <v>0.0137399103139013</v>
      </c>
      <c r="AI108" s="19">
        <f t="shared" si="286"/>
        <v>0.0141015921152388</v>
      </c>
      <c r="AJ108" s="19">
        <f t="shared" si="286"/>
        <v>0.0143016968114861</v>
      </c>
      <c r="AK108" s="19">
        <f t="shared" si="286"/>
        <v>0.0132565838976674</v>
      </c>
      <c r="AL108" s="19">
        <f t="shared" si="286"/>
        <v>0.0155801202688362</v>
      </c>
      <c r="AM108" s="4"/>
      <c r="AN108" s="4"/>
      <c r="AO108" s="19">
        <f t="shared" ref="AO108:AU108" si="287">AO104</f>
        <v>0.0133569142664645</v>
      </c>
      <c r="AP108" s="19">
        <f t="shared" si="287"/>
        <v>0.0131907613344739</v>
      </c>
      <c r="AQ108" s="19">
        <f t="shared" si="287"/>
        <v>0.0137399103139013</v>
      </c>
      <c r="AR108" s="19">
        <f t="shared" si="287"/>
        <v>0.0141015921152388</v>
      </c>
      <c r="AS108" s="19">
        <f t="shared" si="287"/>
        <v>0.0143016968114861</v>
      </c>
      <c r="AT108" s="19">
        <f t="shared" si="287"/>
        <v>0.00979834462001505</v>
      </c>
      <c r="AU108" s="19">
        <f t="shared" si="287"/>
        <v>0.0115157410682703</v>
      </c>
    </row>
    <row r="112" ht="15.5" spans="21:47">
      <c r="U112" s="4"/>
      <c r="V112" s="4"/>
      <c r="W112" s="4" t="s">
        <v>188</v>
      </c>
      <c r="X112" s="4" t="s">
        <v>189</v>
      </c>
      <c r="Y112" s="5" t="s">
        <v>190</v>
      </c>
      <c r="Z112" s="4" t="s">
        <v>191</v>
      </c>
      <c r="AA112" s="4" t="s">
        <v>192</v>
      </c>
      <c r="AB112" s="14" t="s">
        <v>193</v>
      </c>
      <c r="AC112" s="14" t="s">
        <v>194</v>
      </c>
      <c r="AD112" s="4"/>
      <c r="AE112" s="4"/>
      <c r="AF112" s="4" t="s">
        <v>188</v>
      </c>
      <c r="AG112" s="4" t="s">
        <v>189</v>
      </c>
      <c r="AH112" s="5" t="s">
        <v>190</v>
      </c>
      <c r="AI112" s="4" t="s">
        <v>191</v>
      </c>
      <c r="AJ112" s="4" t="s">
        <v>192</v>
      </c>
      <c r="AK112" s="14" t="s">
        <v>193</v>
      </c>
      <c r="AL112" s="14" t="s">
        <v>194</v>
      </c>
      <c r="AM112" s="4"/>
      <c r="AN112" s="4"/>
      <c r="AO112" s="4" t="s">
        <v>188</v>
      </c>
      <c r="AP112" s="4" t="s">
        <v>189</v>
      </c>
      <c r="AQ112" s="5" t="s">
        <v>190</v>
      </c>
      <c r="AR112" s="4" t="s">
        <v>191</v>
      </c>
      <c r="AS112" s="4" t="s">
        <v>192</v>
      </c>
      <c r="AT112" s="14" t="s">
        <v>193</v>
      </c>
      <c r="AU112" s="14" t="s">
        <v>194</v>
      </c>
    </row>
    <row r="113" spans="21:47">
      <c r="U113" s="2" t="s">
        <v>195</v>
      </c>
      <c r="V113" s="17" t="s">
        <v>60</v>
      </c>
      <c r="W113" s="1">
        <f t="shared" ref="W113:AC113" si="288">W44-W45</f>
        <v>0.00788276907529056</v>
      </c>
      <c r="X113" s="1">
        <f t="shared" si="288"/>
        <v>0.00764756201881948</v>
      </c>
      <c r="Y113" s="1">
        <f t="shared" si="288"/>
        <v>0.00794618834080718</v>
      </c>
      <c r="Z113" s="1">
        <f t="shared" si="288"/>
        <v>0.00794162244124336</v>
      </c>
      <c r="AA113" s="1">
        <f t="shared" si="288"/>
        <v>0.00801790042886445</v>
      </c>
      <c r="AB113" s="1">
        <f t="shared" si="288"/>
        <v>0.00666666666666667</v>
      </c>
      <c r="AC113" s="1">
        <f t="shared" si="288"/>
        <v>0.00783516094800141</v>
      </c>
      <c r="AF113" s="1">
        <f t="shared" ref="AF113:AL113" si="289">AF44-AF45</f>
        <v>0.00788276907529056</v>
      </c>
      <c r="AG113" s="1">
        <f t="shared" si="289"/>
        <v>0.00764756201881948</v>
      </c>
      <c r="AH113" s="1">
        <f t="shared" si="289"/>
        <v>0.00794618834080718</v>
      </c>
      <c r="AI113" s="1">
        <f t="shared" si="289"/>
        <v>0.00794162244124336</v>
      </c>
      <c r="AJ113" s="1">
        <f t="shared" si="289"/>
        <v>0.00801790042886445</v>
      </c>
      <c r="AK113" s="1">
        <f t="shared" si="289"/>
        <v>0.00766666666666667</v>
      </c>
      <c r="AL113" s="1">
        <f t="shared" si="289"/>
        <v>0.00901043509020162</v>
      </c>
      <c r="AO113" s="1">
        <f t="shared" ref="AO113:AU113" si="290">AO44-AO45</f>
        <v>0.00788276907529056</v>
      </c>
      <c r="AP113" s="1">
        <f t="shared" si="290"/>
        <v>0.00764756201881948</v>
      </c>
      <c r="AQ113" s="1">
        <f t="shared" si="290"/>
        <v>0.00794618834080718</v>
      </c>
      <c r="AR113" s="1">
        <f t="shared" si="290"/>
        <v>0.00794162244124336</v>
      </c>
      <c r="AS113" s="1">
        <f t="shared" si="290"/>
        <v>0.00801790042886445</v>
      </c>
      <c r="AT113" s="1">
        <f t="shared" si="290"/>
        <v>0.00566666666666667</v>
      </c>
      <c r="AU113" s="1">
        <f t="shared" si="290"/>
        <v>0.00665988680580119</v>
      </c>
    </row>
    <row r="114" spans="21:47">
      <c r="U114" s="2"/>
      <c r="V114" s="18" t="s">
        <v>218</v>
      </c>
      <c r="W114" s="1">
        <f t="shared" ref="W114:AC114" si="291">W46</f>
        <v>0.02011116725619</v>
      </c>
      <c r="X114" s="1">
        <f t="shared" si="291"/>
        <v>0.0195038494439692</v>
      </c>
      <c r="Y114" s="1">
        <f t="shared" si="291"/>
        <v>0.0202152466367713</v>
      </c>
      <c r="Z114" s="1">
        <f t="shared" si="291"/>
        <v>0.0201099317664898</v>
      </c>
      <c r="AA114" s="1">
        <f t="shared" si="291"/>
        <v>0.0203990303934365</v>
      </c>
      <c r="AB114" s="1">
        <f t="shared" si="291"/>
        <v>0.0169601203912716</v>
      </c>
      <c r="AC114" s="1">
        <f t="shared" si="291"/>
        <v>0.0199327909444641</v>
      </c>
      <c r="AF114" s="1">
        <f t="shared" ref="AF114:AL114" si="292">AF46</f>
        <v>0.02011116725619</v>
      </c>
      <c r="AG114" s="1">
        <f t="shared" si="292"/>
        <v>0.0195038494439692</v>
      </c>
      <c r="AH114" s="1">
        <f t="shared" si="292"/>
        <v>0.0202152466367713</v>
      </c>
      <c r="AI114" s="1">
        <f t="shared" si="292"/>
        <v>0.0201099317664898</v>
      </c>
      <c r="AJ114" s="1">
        <f t="shared" si="292"/>
        <v>0.0203990303934365</v>
      </c>
      <c r="AK114" s="1">
        <f t="shared" si="292"/>
        <v>0.0195041384499624</v>
      </c>
      <c r="AL114" s="1">
        <f t="shared" si="292"/>
        <v>0.0229227095861337</v>
      </c>
      <c r="AO114" s="1">
        <f t="shared" ref="AO114:AU114" si="293">AO46</f>
        <v>0.02011116725619</v>
      </c>
      <c r="AP114" s="1">
        <f t="shared" si="293"/>
        <v>0.0195038494439692</v>
      </c>
      <c r="AQ114" s="1">
        <f t="shared" si="293"/>
        <v>0.0202152466367713</v>
      </c>
      <c r="AR114" s="1">
        <f t="shared" si="293"/>
        <v>0.0201099317664898</v>
      </c>
      <c r="AS114" s="1">
        <f t="shared" si="293"/>
        <v>0.0203990303934365</v>
      </c>
      <c r="AT114" s="1">
        <f t="shared" si="293"/>
        <v>0.0144161023325809</v>
      </c>
      <c r="AU114" s="1">
        <f t="shared" si="293"/>
        <v>0.0169428723027945</v>
      </c>
    </row>
    <row r="115" spans="21:47">
      <c r="U115" s="2"/>
      <c r="V115" s="17" t="s">
        <v>219</v>
      </c>
      <c r="W115" s="1">
        <f t="shared" ref="W115:AC115" si="294">W47</f>
        <v>0.0641232945932289</v>
      </c>
      <c r="X115" s="1">
        <f t="shared" si="294"/>
        <v>0.0633532934131737</v>
      </c>
      <c r="Y115" s="1">
        <f t="shared" si="294"/>
        <v>0.0659910313901345</v>
      </c>
      <c r="Z115" s="1">
        <f t="shared" si="294"/>
        <v>0.0673237300985595</v>
      </c>
      <c r="AA115" s="1">
        <f t="shared" si="294"/>
        <v>0.0673690098825284</v>
      </c>
      <c r="AB115" s="1">
        <f t="shared" si="294"/>
        <v>0.055364936042137</v>
      </c>
      <c r="AC115" s="1">
        <f t="shared" si="294"/>
        <v>0.0650689777148921</v>
      </c>
      <c r="AF115" s="1">
        <f t="shared" ref="AF115:AL115" si="295">AF47</f>
        <v>0.0641232945932289</v>
      </c>
      <c r="AG115" s="1">
        <f t="shared" si="295"/>
        <v>0.0633532934131737</v>
      </c>
      <c r="AH115" s="1">
        <f t="shared" si="295"/>
        <v>0.0659910313901345</v>
      </c>
      <c r="AI115" s="1">
        <f t="shared" si="295"/>
        <v>0.0673237300985595</v>
      </c>
      <c r="AJ115" s="1">
        <f t="shared" si="295"/>
        <v>0.0673690098825284</v>
      </c>
      <c r="AK115" s="1">
        <f t="shared" si="295"/>
        <v>0.0636696764484575</v>
      </c>
      <c r="AL115" s="1">
        <f t="shared" si="295"/>
        <v>0.0748293243721259</v>
      </c>
      <c r="AO115" s="1">
        <f t="shared" ref="AO115:AU115" si="296">AO47</f>
        <v>0.0641232945932289</v>
      </c>
      <c r="AP115" s="1">
        <f t="shared" si="296"/>
        <v>0.0633532934131737</v>
      </c>
      <c r="AQ115" s="1">
        <f t="shared" si="296"/>
        <v>0.0659910313901345</v>
      </c>
      <c r="AR115" s="1">
        <f t="shared" si="296"/>
        <v>0.0673237300985595</v>
      </c>
      <c r="AS115" s="1">
        <f t="shared" si="296"/>
        <v>0.0673690098825284</v>
      </c>
      <c r="AT115" s="1">
        <f t="shared" si="296"/>
        <v>0.0470601956358164</v>
      </c>
      <c r="AU115" s="1">
        <f t="shared" si="296"/>
        <v>0.0553086310576583</v>
      </c>
    </row>
    <row r="116" spans="21:47">
      <c r="U116" s="2"/>
      <c r="V116" s="17" t="s">
        <v>220</v>
      </c>
      <c r="W116" s="1">
        <f t="shared" ref="W116:AC116" si="297">W48</f>
        <v>0.0129695132221661</v>
      </c>
      <c r="X116" s="1">
        <f t="shared" si="297"/>
        <v>0.012814371257485</v>
      </c>
      <c r="Y116" s="1">
        <f t="shared" si="297"/>
        <v>0.0133452914798206</v>
      </c>
      <c r="Z116" s="1">
        <f t="shared" si="297"/>
        <v>0.0135898407884761</v>
      </c>
      <c r="AA116" s="1">
        <f t="shared" si="297"/>
        <v>0.0136304307290695</v>
      </c>
      <c r="AB116" s="1">
        <f t="shared" si="297"/>
        <v>0.011196388261851</v>
      </c>
      <c r="AC116" s="1">
        <f t="shared" si="297"/>
        <v>0.0131588256101875</v>
      </c>
      <c r="AF116" s="1">
        <f t="shared" ref="AF116:AL116" si="298">AF48</f>
        <v>0.0129695132221661</v>
      </c>
      <c r="AG116" s="1">
        <f t="shared" si="298"/>
        <v>0.012814371257485</v>
      </c>
      <c r="AH116" s="1">
        <f t="shared" si="298"/>
        <v>0.0133452914798206</v>
      </c>
      <c r="AI116" s="1">
        <f t="shared" si="298"/>
        <v>0.0135898407884761</v>
      </c>
      <c r="AJ116" s="1">
        <f t="shared" si="298"/>
        <v>0.0136304307290695</v>
      </c>
      <c r="AK116" s="1">
        <f t="shared" si="298"/>
        <v>0.0128758465011287</v>
      </c>
      <c r="AL116" s="1">
        <f t="shared" si="298"/>
        <v>0.0151326494517156</v>
      </c>
      <c r="AO116" s="1">
        <f t="shared" ref="AO116:AU116" si="299">AO48</f>
        <v>0.0129695132221661</v>
      </c>
      <c r="AP116" s="1">
        <f t="shared" si="299"/>
        <v>0.012814371257485</v>
      </c>
      <c r="AQ116" s="1">
        <f t="shared" si="299"/>
        <v>0.0133452914798206</v>
      </c>
      <c r="AR116" s="1">
        <f t="shared" si="299"/>
        <v>0.0135898407884761</v>
      </c>
      <c r="AS116" s="1">
        <f t="shared" si="299"/>
        <v>0.0136304307290695</v>
      </c>
      <c r="AT116" s="1">
        <f t="shared" si="299"/>
        <v>0.00951693002257336</v>
      </c>
      <c r="AU116" s="1">
        <f t="shared" si="299"/>
        <v>0.0111850017686594</v>
      </c>
    </row>
    <row r="117" spans="21:47">
      <c r="U117" s="2" t="s">
        <v>201</v>
      </c>
      <c r="V117" s="17" t="s">
        <v>60</v>
      </c>
      <c r="W117" s="1">
        <f t="shared" ref="W117:AC117" si="300">W49-W50</f>
        <v>0.0077648644096345</v>
      </c>
      <c r="X117" s="1">
        <f t="shared" si="300"/>
        <v>0.00754491017964072</v>
      </c>
      <c r="Y117" s="1">
        <f t="shared" si="300"/>
        <v>0.00782062780269058</v>
      </c>
      <c r="Z117" s="1">
        <f t="shared" si="300"/>
        <v>0.00780894617134195</v>
      </c>
      <c r="AA117" s="1">
        <f t="shared" si="300"/>
        <v>0.00788737646839455</v>
      </c>
      <c r="AB117" s="1">
        <f t="shared" si="300"/>
        <v>0.00656132430398797</v>
      </c>
      <c r="AC117" s="1">
        <f t="shared" si="300"/>
        <v>0.00771135479306685</v>
      </c>
      <c r="AF117" s="1">
        <f t="shared" ref="AF117:AL117" si="301">AF49-AF50</f>
        <v>0.0077648644096345</v>
      </c>
      <c r="AG117" s="1">
        <f t="shared" si="301"/>
        <v>0.00754491017964072</v>
      </c>
      <c r="AH117" s="1">
        <f t="shared" si="301"/>
        <v>0.00782062780269058</v>
      </c>
      <c r="AI117" s="1">
        <f t="shared" si="301"/>
        <v>0.00780894617134195</v>
      </c>
      <c r="AJ117" s="1">
        <f t="shared" si="301"/>
        <v>0.00788737646839455</v>
      </c>
      <c r="AK117" s="1">
        <f t="shared" si="301"/>
        <v>0.00754552294958616</v>
      </c>
      <c r="AL117" s="1">
        <f t="shared" si="301"/>
        <v>0.00886805801202688</v>
      </c>
      <c r="AO117" s="1">
        <f t="shared" ref="AO117:AU117" si="302">AO49-AO50</f>
        <v>0.0077648644096345</v>
      </c>
      <c r="AP117" s="1">
        <f t="shared" si="302"/>
        <v>0.00754491017964072</v>
      </c>
      <c r="AQ117" s="1">
        <f t="shared" si="302"/>
        <v>0.00782062780269058</v>
      </c>
      <c r="AR117" s="1">
        <f t="shared" si="302"/>
        <v>0.00780894617134195</v>
      </c>
      <c r="AS117" s="1">
        <f t="shared" si="302"/>
        <v>0.00788737646839455</v>
      </c>
      <c r="AT117" s="1">
        <f t="shared" si="302"/>
        <v>0.00557712565838978</v>
      </c>
      <c r="AU117" s="1">
        <f t="shared" si="302"/>
        <v>0.00655465157410683</v>
      </c>
    </row>
    <row r="118" spans="21:47">
      <c r="U118" s="2"/>
      <c r="V118" s="18" t="s">
        <v>218</v>
      </c>
      <c r="W118" s="1">
        <f t="shared" ref="W118:AC118" si="303">W51</f>
        <v>0.0246420751221155</v>
      </c>
      <c r="X118" s="1">
        <f t="shared" si="303"/>
        <v>0.023917878528657</v>
      </c>
      <c r="Y118" s="1">
        <f t="shared" si="303"/>
        <v>0.0248071748878924</v>
      </c>
      <c r="Z118" s="1">
        <f t="shared" si="303"/>
        <v>0.0247156937073541</v>
      </c>
      <c r="AA118" s="1">
        <f t="shared" si="303"/>
        <v>0.025041954130151</v>
      </c>
      <c r="AB118" s="1">
        <f t="shared" si="303"/>
        <v>0.0208126410835214</v>
      </c>
      <c r="AC118" s="1">
        <f t="shared" si="303"/>
        <v>0.0244605588963566</v>
      </c>
      <c r="AF118" s="1">
        <f t="shared" ref="AF118:AL118" si="304">AF51</f>
        <v>0.0246420751221155</v>
      </c>
      <c r="AG118" s="1">
        <f t="shared" si="304"/>
        <v>0.023917878528657</v>
      </c>
      <c r="AH118" s="1">
        <f t="shared" si="304"/>
        <v>0.0248071748878924</v>
      </c>
      <c r="AI118" s="1">
        <f t="shared" si="304"/>
        <v>0.0247156937073541</v>
      </c>
      <c r="AJ118" s="1">
        <f t="shared" si="304"/>
        <v>0.025041954130151</v>
      </c>
      <c r="AK118" s="1">
        <f t="shared" si="304"/>
        <v>0.0239345372460497</v>
      </c>
      <c r="AL118" s="1">
        <f t="shared" si="304"/>
        <v>0.02812964273081</v>
      </c>
      <c r="AO118" s="1">
        <f t="shared" ref="AO118:AU118" si="305">AO51</f>
        <v>0.0246420751221155</v>
      </c>
      <c r="AP118" s="1">
        <f t="shared" si="305"/>
        <v>0.023917878528657</v>
      </c>
      <c r="AQ118" s="1">
        <f t="shared" si="305"/>
        <v>0.0248071748878924</v>
      </c>
      <c r="AR118" s="1">
        <f t="shared" si="305"/>
        <v>0.0247156937073541</v>
      </c>
      <c r="AS118" s="1">
        <f t="shared" si="305"/>
        <v>0.025041954130151</v>
      </c>
      <c r="AT118" s="1">
        <f t="shared" si="305"/>
        <v>0.0176907449209932</v>
      </c>
      <c r="AU118" s="1">
        <f t="shared" si="305"/>
        <v>0.0207914750619031</v>
      </c>
    </row>
    <row r="119" ht="15.5" spans="21:47">
      <c r="U119" s="2"/>
      <c r="V119" s="17" t="s">
        <v>219</v>
      </c>
      <c r="W119" s="1">
        <f t="shared" ref="W119:AC119" si="306">W52</f>
        <v>0.0613609567121442</v>
      </c>
      <c r="X119" s="1">
        <f t="shared" si="306"/>
        <v>0.0606672369546621</v>
      </c>
      <c r="Y119" s="1">
        <f t="shared" si="306"/>
        <v>0.0631928251121076</v>
      </c>
      <c r="Z119" s="1">
        <f t="shared" si="306"/>
        <v>0.0645185746777862</v>
      </c>
      <c r="AA119" s="1">
        <f t="shared" si="306"/>
        <v>0.0645534215923923</v>
      </c>
      <c r="AB119" s="1">
        <f t="shared" si="306"/>
        <v>0.0530173062452972</v>
      </c>
      <c r="AC119" s="1">
        <f t="shared" si="306"/>
        <v>0.0623098691192076</v>
      </c>
      <c r="AD119" s="4"/>
      <c r="AE119" s="4"/>
      <c r="AF119" s="1">
        <f t="shared" ref="AF119:AL119" si="307">AF52</f>
        <v>0.0613609567121442</v>
      </c>
      <c r="AG119" s="1">
        <f t="shared" si="307"/>
        <v>0.0606672369546621</v>
      </c>
      <c r="AH119" s="1">
        <f t="shared" si="307"/>
        <v>0.0631928251121076</v>
      </c>
      <c r="AI119" s="1">
        <f t="shared" si="307"/>
        <v>0.0645185746777862</v>
      </c>
      <c r="AJ119" s="1">
        <f t="shared" si="307"/>
        <v>0.0645534215923923</v>
      </c>
      <c r="AK119" s="1">
        <f t="shared" si="307"/>
        <v>0.0609699021820918</v>
      </c>
      <c r="AL119" s="1">
        <f t="shared" si="307"/>
        <v>0.0716563494870888</v>
      </c>
      <c r="AM119" s="4"/>
      <c r="AN119" s="4"/>
      <c r="AO119" s="1">
        <f t="shared" ref="AO119:AU119" si="308">AO52</f>
        <v>0.0613609567121442</v>
      </c>
      <c r="AP119" s="1">
        <f t="shared" si="308"/>
        <v>0.0606672369546621</v>
      </c>
      <c r="AQ119" s="1">
        <f t="shared" si="308"/>
        <v>0.0631928251121076</v>
      </c>
      <c r="AR119" s="1">
        <f t="shared" si="308"/>
        <v>0.0645185746777862</v>
      </c>
      <c r="AS119" s="1">
        <f t="shared" si="308"/>
        <v>0.0645534215923923</v>
      </c>
      <c r="AT119" s="1">
        <f t="shared" si="308"/>
        <v>0.0450647103085026</v>
      </c>
      <c r="AU119" s="1">
        <f t="shared" si="308"/>
        <v>0.0529633887513265</v>
      </c>
    </row>
    <row r="120" ht="15.5" spans="21:47">
      <c r="U120" s="2"/>
      <c r="V120" s="17" t="s">
        <v>220</v>
      </c>
      <c r="W120" s="1">
        <f t="shared" ref="W120:AC120" si="309">W53</f>
        <v>0.0133232272191342</v>
      </c>
      <c r="X120" s="1">
        <f t="shared" si="309"/>
        <v>0.0131736526946108</v>
      </c>
      <c r="Y120" s="1">
        <f t="shared" si="309"/>
        <v>0.0137219730941704</v>
      </c>
      <c r="Z120" s="1">
        <f t="shared" si="309"/>
        <v>0.0139689158453374</v>
      </c>
      <c r="AA120" s="1">
        <f t="shared" si="309"/>
        <v>0.0140033563304121</v>
      </c>
      <c r="AB120" s="1">
        <f t="shared" si="309"/>
        <v>0.0115124153498871</v>
      </c>
      <c r="AC120" s="1">
        <f t="shared" si="309"/>
        <v>0.0135302440749912</v>
      </c>
      <c r="AD120" s="4"/>
      <c r="AE120" s="4"/>
      <c r="AF120" s="1">
        <f t="shared" ref="AF120:AL120" si="310">AF53</f>
        <v>0.0133232272191342</v>
      </c>
      <c r="AG120" s="1">
        <f t="shared" si="310"/>
        <v>0.0131736526946108</v>
      </c>
      <c r="AH120" s="1">
        <f t="shared" si="310"/>
        <v>0.0137219730941704</v>
      </c>
      <c r="AI120" s="1">
        <f t="shared" si="310"/>
        <v>0.0139689158453374</v>
      </c>
      <c r="AJ120" s="1">
        <f t="shared" si="310"/>
        <v>0.0140033563304121</v>
      </c>
      <c r="AK120" s="1">
        <f t="shared" si="310"/>
        <v>0.0132392776523702</v>
      </c>
      <c r="AL120" s="1">
        <f t="shared" si="310"/>
        <v>0.0155597806862398</v>
      </c>
      <c r="AM120" s="4"/>
      <c r="AN120" s="4"/>
      <c r="AO120" s="1">
        <f t="shared" ref="AO120:AU120" si="311">AO53</f>
        <v>0.0133232272191342</v>
      </c>
      <c r="AP120" s="1">
        <f t="shared" si="311"/>
        <v>0.0131736526946108</v>
      </c>
      <c r="AQ120" s="1">
        <f t="shared" si="311"/>
        <v>0.0137219730941704</v>
      </c>
      <c r="AR120" s="1">
        <f t="shared" si="311"/>
        <v>0.0139689158453374</v>
      </c>
      <c r="AS120" s="1">
        <f t="shared" si="311"/>
        <v>0.0140033563304121</v>
      </c>
      <c r="AT120" s="1">
        <f t="shared" si="311"/>
        <v>0.00978555304740406</v>
      </c>
      <c r="AU120" s="1">
        <f t="shared" si="311"/>
        <v>0.0115007074637425</v>
      </c>
    </row>
    <row r="121" ht="15.5" spans="21:47">
      <c r="U121" s="2" t="s">
        <v>221</v>
      </c>
      <c r="V121" s="17" t="s">
        <v>60</v>
      </c>
      <c r="W121" s="4">
        <f t="shared" ref="W121:AC121" si="312">W54-W55</f>
        <v>0.00810173488293751</v>
      </c>
      <c r="X121" s="4">
        <f t="shared" si="312"/>
        <v>0.00786997433704022</v>
      </c>
      <c r="Y121" s="4">
        <f t="shared" si="312"/>
        <v>0.00817937219730942</v>
      </c>
      <c r="Z121" s="4">
        <f t="shared" si="312"/>
        <v>0.00816906747536013</v>
      </c>
      <c r="AA121" s="4">
        <f t="shared" si="312"/>
        <v>0.00826030206973706</v>
      </c>
      <c r="AB121" s="4">
        <f t="shared" si="312"/>
        <v>0.00686230248306997</v>
      </c>
      <c r="AC121" s="4">
        <f t="shared" si="312"/>
        <v>0.00806508666430845</v>
      </c>
      <c r="AD121" s="4"/>
      <c r="AE121" s="4"/>
      <c r="AF121" s="4">
        <f t="shared" ref="AF121:AL121" si="313">AF54-AF55</f>
        <v>0.00810173488293751</v>
      </c>
      <c r="AG121" s="4">
        <f t="shared" si="313"/>
        <v>0.00786997433704022</v>
      </c>
      <c r="AH121" s="4">
        <f t="shared" si="313"/>
        <v>0.00817937219730942</v>
      </c>
      <c r="AI121" s="4">
        <f t="shared" si="313"/>
        <v>0.00816906747536013</v>
      </c>
      <c r="AJ121" s="4">
        <f t="shared" si="313"/>
        <v>0.00826030206973706</v>
      </c>
      <c r="AK121" s="4">
        <f t="shared" si="313"/>
        <v>0.00789164785553047</v>
      </c>
      <c r="AL121" s="4">
        <f t="shared" si="313"/>
        <v>0.00927484966395473</v>
      </c>
      <c r="AM121" s="4"/>
      <c r="AN121" s="4"/>
      <c r="AO121" s="4">
        <f t="shared" ref="AO121:AU121" si="314">AO54-AO55</f>
        <v>0.00810173488293751</v>
      </c>
      <c r="AP121" s="4">
        <f t="shared" si="314"/>
        <v>0.00786997433704022</v>
      </c>
      <c r="AQ121" s="4">
        <f t="shared" si="314"/>
        <v>0.00817937219730942</v>
      </c>
      <c r="AR121" s="4">
        <f t="shared" si="314"/>
        <v>0.00816906747536013</v>
      </c>
      <c r="AS121" s="4">
        <f t="shared" si="314"/>
        <v>0.00826030206973706</v>
      </c>
      <c r="AT121" s="4">
        <f t="shared" si="314"/>
        <v>0.00583295711060948</v>
      </c>
      <c r="AU121" s="4">
        <f t="shared" si="314"/>
        <v>0.00685532366466218</v>
      </c>
    </row>
    <row r="122" ht="15.5" spans="21:47">
      <c r="U122" s="2"/>
      <c r="V122" s="18" t="s">
        <v>218</v>
      </c>
      <c r="W122" s="4">
        <f t="shared" ref="W122:AC122" si="315">W56</f>
        <v>0.0319690079164561</v>
      </c>
      <c r="X122" s="4">
        <f t="shared" si="315"/>
        <v>0.0310692899914457</v>
      </c>
      <c r="Y122" s="4">
        <f t="shared" si="315"/>
        <v>0.0322331838565022</v>
      </c>
      <c r="Z122" s="4">
        <f t="shared" si="315"/>
        <v>0.0321645185746778</v>
      </c>
      <c r="AA122" s="4">
        <f t="shared" si="315"/>
        <v>0.0325750512772702</v>
      </c>
      <c r="AB122" s="4">
        <f t="shared" si="315"/>
        <v>0.0270428893905192</v>
      </c>
      <c r="AC122" s="4">
        <f t="shared" si="315"/>
        <v>0.0317828086310577</v>
      </c>
      <c r="AD122" s="4"/>
      <c r="AE122" s="4"/>
      <c r="AF122" s="4">
        <f t="shared" ref="AF122:AL122" si="316">AF56</f>
        <v>0.0319690079164561</v>
      </c>
      <c r="AG122" s="4">
        <f t="shared" si="316"/>
        <v>0.0310692899914457</v>
      </c>
      <c r="AH122" s="4">
        <f t="shared" si="316"/>
        <v>0.0322331838565022</v>
      </c>
      <c r="AI122" s="4">
        <f t="shared" si="316"/>
        <v>0.0321645185746778</v>
      </c>
      <c r="AJ122" s="4">
        <f t="shared" si="316"/>
        <v>0.0325750512772702</v>
      </c>
      <c r="AK122" s="4">
        <f t="shared" si="316"/>
        <v>0.0310993227990971</v>
      </c>
      <c r="AL122" s="4">
        <f t="shared" si="316"/>
        <v>0.0365502299257163</v>
      </c>
      <c r="AM122" s="4"/>
      <c r="AN122" s="4"/>
      <c r="AO122" s="4">
        <f t="shared" ref="AO122:AU122" si="317">AO56</f>
        <v>0.0319690079164561</v>
      </c>
      <c r="AP122" s="4">
        <f t="shared" si="317"/>
        <v>0.0310692899914457</v>
      </c>
      <c r="AQ122" s="4">
        <f t="shared" si="317"/>
        <v>0.0322331838565022</v>
      </c>
      <c r="AR122" s="4">
        <f t="shared" si="317"/>
        <v>0.0321645185746778</v>
      </c>
      <c r="AS122" s="4">
        <f t="shared" si="317"/>
        <v>0.0325750512772702</v>
      </c>
      <c r="AT122" s="4">
        <f t="shared" si="317"/>
        <v>0.0229864559819413</v>
      </c>
      <c r="AU122" s="4">
        <f t="shared" si="317"/>
        <v>0.027015387336399</v>
      </c>
    </row>
    <row r="123" ht="15.5" spans="21:47">
      <c r="U123" s="2"/>
      <c r="V123" s="17" t="s">
        <v>219</v>
      </c>
      <c r="W123" s="4">
        <f t="shared" ref="W123:AC123" si="318">W57</f>
        <v>0.0557183762843187</v>
      </c>
      <c r="X123" s="4">
        <f t="shared" si="318"/>
        <v>0.055158254918734</v>
      </c>
      <c r="Y123" s="4">
        <f t="shared" si="318"/>
        <v>0.0574887892376682</v>
      </c>
      <c r="Z123" s="4">
        <f t="shared" si="318"/>
        <v>0.0587755875663381</v>
      </c>
      <c r="AA123" s="4">
        <f t="shared" si="318"/>
        <v>0.0587544284915159</v>
      </c>
      <c r="AB123" s="4">
        <f t="shared" si="318"/>
        <v>0.0482317531978932</v>
      </c>
      <c r="AC123" s="4">
        <f t="shared" si="318"/>
        <v>0.0566855323664662</v>
      </c>
      <c r="AD123" s="4"/>
      <c r="AE123" s="4"/>
      <c r="AF123" s="4">
        <f t="shared" ref="AF123:AL123" si="319">AF57</f>
        <v>0.0557183762843187</v>
      </c>
      <c r="AG123" s="4">
        <f t="shared" si="319"/>
        <v>0.055158254918734</v>
      </c>
      <c r="AH123" s="4">
        <f t="shared" si="319"/>
        <v>0.0574887892376682</v>
      </c>
      <c r="AI123" s="4">
        <f t="shared" si="319"/>
        <v>0.0587755875663381</v>
      </c>
      <c r="AJ123" s="4">
        <f t="shared" si="319"/>
        <v>0.0587544284915159</v>
      </c>
      <c r="AK123" s="4">
        <f t="shared" si="319"/>
        <v>0.0554665161775771</v>
      </c>
      <c r="AL123" s="4">
        <f t="shared" si="319"/>
        <v>0.0651883622214361</v>
      </c>
      <c r="AM123" s="4"/>
      <c r="AN123" s="4"/>
      <c r="AO123" s="4">
        <f t="shared" ref="AO123:AU123" si="320">AO57</f>
        <v>0.0557183762843187</v>
      </c>
      <c r="AP123" s="4">
        <f t="shared" si="320"/>
        <v>0.055158254918734</v>
      </c>
      <c r="AQ123" s="4">
        <f t="shared" si="320"/>
        <v>0.0574887892376682</v>
      </c>
      <c r="AR123" s="4">
        <f t="shared" si="320"/>
        <v>0.0587755875663381</v>
      </c>
      <c r="AS123" s="4">
        <f t="shared" si="320"/>
        <v>0.0587544284915159</v>
      </c>
      <c r="AT123" s="4">
        <f t="shared" si="320"/>
        <v>0.0409969902182092</v>
      </c>
      <c r="AU123" s="4">
        <f t="shared" si="320"/>
        <v>0.0481827025114963</v>
      </c>
    </row>
    <row r="124" ht="15.5" spans="21:47">
      <c r="U124" s="2"/>
      <c r="V124" s="17" t="s">
        <v>220</v>
      </c>
      <c r="W124" s="4">
        <f t="shared" ref="W124:AC124" si="321">W58</f>
        <v>0.0130537308404918</v>
      </c>
      <c r="X124" s="4">
        <f t="shared" si="321"/>
        <v>0.0129170230966638</v>
      </c>
      <c r="Y124" s="4">
        <f t="shared" si="321"/>
        <v>0.0134529147982063</v>
      </c>
      <c r="Z124" s="4">
        <f t="shared" si="321"/>
        <v>0.0136846095526914</v>
      </c>
      <c r="AA124" s="4">
        <f t="shared" si="321"/>
        <v>0.0137236621294052</v>
      </c>
      <c r="AB124" s="4">
        <f t="shared" si="321"/>
        <v>0.0112866817155756</v>
      </c>
      <c r="AC124" s="4">
        <f t="shared" si="321"/>
        <v>0.01326494517156</v>
      </c>
      <c r="AD124" s="4"/>
      <c r="AE124" s="4"/>
      <c r="AF124" s="4">
        <f t="shared" ref="AF124:AL124" si="322">AF58</f>
        <v>0.0130537308404918</v>
      </c>
      <c r="AG124" s="4">
        <f t="shared" si="322"/>
        <v>0.0129170230966638</v>
      </c>
      <c r="AH124" s="4">
        <f t="shared" si="322"/>
        <v>0.0134529147982063</v>
      </c>
      <c r="AI124" s="4">
        <f t="shared" si="322"/>
        <v>0.0136846095526914</v>
      </c>
      <c r="AJ124" s="4">
        <f t="shared" si="322"/>
        <v>0.0137236621294052</v>
      </c>
      <c r="AK124" s="4">
        <f t="shared" si="322"/>
        <v>0.012979683972912</v>
      </c>
      <c r="AL124" s="4">
        <f t="shared" si="322"/>
        <v>0.0152546869472939</v>
      </c>
      <c r="AM124" s="4"/>
      <c r="AN124" s="4"/>
      <c r="AO124" s="4">
        <f t="shared" ref="AO124:AU124" si="323">AO58</f>
        <v>0.0130537308404918</v>
      </c>
      <c r="AP124" s="4">
        <f t="shared" si="323"/>
        <v>0.0129170230966638</v>
      </c>
      <c r="AQ124" s="4">
        <f t="shared" si="323"/>
        <v>0.0134529147982063</v>
      </c>
      <c r="AR124" s="4">
        <f t="shared" si="323"/>
        <v>0.0136846095526914</v>
      </c>
      <c r="AS124" s="4">
        <f t="shared" si="323"/>
        <v>0.0137236621294052</v>
      </c>
      <c r="AT124" s="4">
        <f t="shared" si="323"/>
        <v>0.00959367945823928</v>
      </c>
      <c r="AU124" s="4">
        <f t="shared" si="323"/>
        <v>0.011275203395826</v>
      </c>
    </row>
    <row r="125" ht="15.5" spans="21:47">
      <c r="U125" s="2" t="s">
        <v>221</v>
      </c>
      <c r="V125" s="17" t="s">
        <v>60</v>
      </c>
      <c r="W125" s="19">
        <f t="shared" ref="W125:AC125" si="324">W121</f>
        <v>0.00810173488293751</v>
      </c>
      <c r="X125" s="19">
        <f t="shared" si="324"/>
        <v>0.00786997433704022</v>
      </c>
      <c r="Y125" s="19">
        <f t="shared" si="324"/>
        <v>0.00817937219730942</v>
      </c>
      <c r="Z125" s="19">
        <f t="shared" si="324"/>
        <v>0.00816906747536013</v>
      </c>
      <c r="AA125" s="19">
        <f t="shared" si="324"/>
        <v>0.00826030206973706</v>
      </c>
      <c r="AB125" s="19">
        <f t="shared" si="324"/>
        <v>0.00686230248306997</v>
      </c>
      <c r="AC125" s="19">
        <f t="shared" si="324"/>
        <v>0.00806508666430845</v>
      </c>
      <c r="AD125" s="4"/>
      <c r="AE125" s="4"/>
      <c r="AF125" s="19">
        <f t="shared" ref="AF125:AL125" si="325">AF121</f>
        <v>0.00810173488293751</v>
      </c>
      <c r="AG125" s="19">
        <f t="shared" si="325"/>
        <v>0.00786997433704022</v>
      </c>
      <c r="AH125" s="19">
        <f t="shared" si="325"/>
        <v>0.00817937219730942</v>
      </c>
      <c r="AI125" s="19">
        <f t="shared" si="325"/>
        <v>0.00816906747536013</v>
      </c>
      <c r="AJ125" s="19">
        <f t="shared" si="325"/>
        <v>0.00826030206973706</v>
      </c>
      <c r="AK125" s="19">
        <f t="shared" si="325"/>
        <v>0.00789164785553047</v>
      </c>
      <c r="AL125" s="19">
        <f t="shared" si="325"/>
        <v>0.00927484966395473</v>
      </c>
      <c r="AM125" s="4"/>
      <c r="AN125" s="4"/>
      <c r="AO125" s="19">
        <f t="shared" ref="AO125:AU125" si="326">AO121</f>
        <v>0.00810173488293751</v>
      </c>
      <c r="AP125" s="19">
        <f t="shared" si="326"/>
        <v>0.00786997433704022</v>
      </c>
      <c r="AQ125" s="19">
        <f t="shared" si="326"/>
        <v>0.00817937219730942</v>
      </c>
      <c r="AR125" s="19">
        <f t="shared" si="326"/>
        <v>0.00816906747536013</v>
      </c>
      <c r="AS125" s="19">
        <f t="shared" si="326"/>
        <v>0.00826030206973706</v>
      </c>
      <c r="AT125" s="19">
        <f t="shared" si="326"/>
        <v>0.00583295711060948</v>
      </c>
      <c r="AU125" s="19">
        <f t="shared" si="326"/>
        <v>0.00685532366466218</v>
      </c>
    </row>
    <row r="126" ht="15.5" spans="21:47">
      <c r="U126" s="2"/>
      <c r="V126" s="18" t="s">
        <v>218</v>
      </c>
      <c r="W126" s="19">
        <f t="shared" ref="W126:AC126" si="327">W122</f>
        <v>0.0319690079164561</v>
      </c>
      <c r="X126" s="19">
        <f t="shared" si="327"/>
        <v>0.0310692899914457</v>
      </c>
      <c r="Y126" s="19">
        <f t="shared" si="327"/>
        <v>0.0322331838565022</v>
      </c>
      <c r="Z126" s="19">
        <f t="shared" si="327"/>
        <v>0.0321645185746778</v>
      </c>
      <c r="AA126" s="19">
        <f t="shared" si="327"/>
        <v>0.0325750512772702</v>
      </c>
      <c r="AB126" s="19">
        <f t="shared" si="327"/>
        <v>0.0270428893905192</v>
      </c>
      <c r="AC126" s="19">
        <f t="shared" si="327"/>
        <v>0.0317828086310577</v>
      </c>
      <c r="AD126" s="4"/>
      <c r="AE126" s="4"/>
      <c r="AF126" s="19">
        <f t="shared" ref="AF126:AL126" si="328">AF122</f>
        <v>0.0319690079164561</v>
      </c>
      <c r="AG126" s="19">
        <f t="shared" si="328"/>
        <v>0.0310692899914457</v>
      </c>
      <c r="AH126" s="19">
        <f t="shared" si="328"/>
        <v>0.0322331838565022</v>
      </c>
      <c r="AI126" s="19">
        <f t="shared" si="328"/>
        <v>0.0321645185746778</v>
      </c>
      <c r="AJ126" s="19">
        <f t="shared" si="328"/>
        <v>0.0325750512772702</v>
      </c>
      <c r="AK126" s="19">
        <f t="shared" si="328"/>
        <v>0.0310993227990971</v>
      </c>
      <c r="AL126" s="19">
        <f t="shared" si="328"/>
        <v>0.0365502299257163</v>
      </c>
      <c r="AM126" s="4"/>
      <c r="AN126" s="4"/>
      <c r="AO126" s="19">
        <f t="shared" ref="AO126:AU126" si="329">AO122</f>
        <v>0.0319690079164561</v>
      </c>
      <c r="AP126" s="19">
        <f t="shared" si="329"/>
        <v>0.0310692899914457</v>
      </c>
      <c r="AQ126" s="19">
        <f t="shared" si="329"/>
        <v>0.0322331838565022</v>
      </c>
      <c r="AR126" s="19">
        <f t="shared" si="329"/>
        <v>0.0321645185746778</v>
      </c>
      <c r="AS126" s="19">
        <f t="shared" si="329"/>
        <v>0.0325750512772702</v>
      </c>
      <c r="AT126" s="19">
        <f t="shared" si="329"/>
        <v>0.0229864559819413</v>
      </c>
      <c r="AU126" s="19">
        <f t="shared" si="329"/>
        <v>0.027015387336399</v>
      </c>
    </row>
    <row r="127" ht="15.5" spans="21:47">
      <c r="U127" s="2"/>
      <c r="V127" s="17" t="s">
        <v>219</v>
      </c>
      <c r="W127" s="19">
        <f t="shared" ref="W127:AC127" si="330">W123</f>
        <v>0.0557183762843187</v>
      </c>
      <c r="X127" s="19">
        <f t="shared" si="330"/>
        <v>0.055158254918734</v>
      </c>
      <c r="Y127" s="19">
        <f t="shared" si="330"/>
        <v>0.0574887892376682</v>
      </c>
      <c r="Z127" s="19">
        <f t="shared" si="330"/>
        <v>0.0587755875663381</v>
      </c>
      <c r="AA127" s="19">
        <f t="shared" si="330"/>
        <v>0.0587544284915159</v>
      </c>
      <c r="AB127" s="19">
        <f t="shared" si="330"/>
        <v>0.0482317531978932</v>
      </c>
      <c r="AC127" s="19">
        <f t="shared" si="330"/>
        <v>0.0566855323664662</v>
      </c>
      <c r="AD127" s="4"/>
      <c r="AE127" s="4"/>
      <c r="AF127" s="19">
        <f t="shared" ref="AF127:AL127" si="331">AF123</f>
        <v>0.0557183762843187</v>
      </c>
      <c r="AG127" s="19">
        <f t="shared" si="331"/>
        <v>0.055158254918734</v>
      </c>
      <c r="AH127" s="19">
        <f t="shared" si="331"/>
        <v>0.0574887892376682</v>
      </c>
      <c r="AI127" s="19">
        <f t="shared" si="331"/>
        <v>0.0587755875663381</v>
      </c>
      <c r="AJ127" s="19">
        <f t="shared" si="331"/>
        <v>0.0587544284915159</v>
      </c>
      <c r="AK127" s="19">
        <f t="shared" si="331"/>
        <v>0.0554665161775771</v>
      </c>
      <c r="AL127" s="19">
        <f t="shared" si="331"/>
        <v>0.0651883622214361</v>
      </c>
      <c r="AM127" s="4"/>
      <c r="AN127" s="4"/>
      <c r="AO127" s="19">
        <f t="shared" ref="AO127:AU127" si="332">AO123</f>
        <v>0.0557183762843187</v>
      </c>
      <c r="AP127" s="19">
        <f t="shared" si="332"/>
        <v>0.055158254918734</v>
      </c>
      <c r="AQ127" s="19">
        <f t="shared" si="332"/>
        <v>0.0574887892376682</v>
      </c>
      <c r="AR127" s="19">
        <f t="shared" si="332"/>
        <v>0.0587755875663381</v>
      </c>
      <c r="AS127" s="19">
        <f t="shared" si="332"/>
        <v>0.0587544284915159</v>
      </c>
      <c r="AT127" s="19">
        <f t="shared" si="332"/>
        <v>0.0409969902182092</v>
      </c>
      <c r="AU127" s="19">
        <f t="shared" si="332"/>
        <v>0.0481827025114963</v>
      </c>
    </row>
    <row r="128" ht="15.5" spans="21:47">
      <c r="U128" s="2"/>
      <c r="V128" s="17" t="s">
        <v>220</v>
      </c>
      <c r="W128" s="19">
        <f t="shared" ref="W128:AC128" si="333">W124</f>
        <v>0.0130537308404918</v>
      </c>
      <c r="X128" s="19">
        <f t="shared" si="333"/>
        <v>0.0129170230966638</v>
      </c>
      <c r="Y128" s="19">
        <f t="shared" si="333"/>
        <v>0.0134529147982063</v>
      </c>
      <c r="Z128" s="19">
        <f t="shared" si="333"/>
        <v>0.0136846095526914</v>
      </c>
      <c r="AA128" s="19">
        <f t="shared" si="333"/>
        <v>0.0137236621294052</v>
      </c>
      <c r="AB128" s="19">
        <f t="shared" si="333"/>
        <v>0.0112866817155756</v>
      </c>
      <c r="AC128" s="19">
        <f t="shared" si="333"/>
        <v>0.01326494517156</v>
      </c>
      <c r="AD128" s="4"/>
      <c r="AE128" s="4"/>
      <c r="AF128" s="19">
        <f t="shared" ref="AF128:AL128" si="334">AF124</f>
        <v>0.0130537308404918</v>
      </c>
      <c r="AG128" s="19">
        <f t="shared" si="334"/>
        <v>0.0129170230966638</v>
      </c>
      <c r="AH128" s="19">
        <f t="shared" si="334"/>
        <v>0.0134529147982063</v>
      </c>
      <c r="AI128" s="19">
        <f t="shared" si="334"/>
        <v>0.0136846095526914</v>
      </c>
      <c r="AJ128" s="19">
        <f t="shared" si="334"/>
        <v>0.0137236621294052</v>
      </c>
      <c r="AK128" s="19">
        <f t="shared" si="334"/>
        <v>0.012979683972912</v>
      </c>
      <c r="AL128" s="19">
        <f t="shared" si="334"/>
        <v>0.0152546869472939</v>
      </c>
      <c r="AM128" s="4"/>
      <c r="AN128" s="4"/>
      <c r="AO128" s="19">
        <f t="shared" ref="AO128:AU128" si="335">AO124</f>
        <v>0.0130537308404918</v>
      </c>
      <c r="AP128" s="19">
        <f t="shared" si="335"/>
        <v>0.0129170230966638</v>
      </c>
      <c r="AQ128" s="19">
        <f t="shared" si="335"/>
        <v>0.0134529147982063</v>
      </c>
      <c r="AR128" s="19">
        <f t="shared" si="335"/>
        <v>0.0136846095526914</v>
      </c>
      <c r="AS128" s="19">
        <f t="shared" si="335"/>
        <v>0.0137236621294052</v>
      </c>
      <c r="AT128" s="19">
        <f t="shared" si="335"/>
        <v>0.00959367945823928</v>
      </c>
      <c r="AU128" s="19">
        <f t="shared" si="335"/>
        <v>0.011275203395826</v>
      </c>
    </row>
    <row r="160" ht="15.5" spans="21:47">
      <c r="U160" s="20"/>
      <c r="V160" s="21" t="s">
        <v>173</v>
      </c>
      <c r="W160" s="20"/>
      <c r="X160" s="22"/>
      <c r="Y160" s="20"/>
      <c r="Z160" s="21" t="s">
        <v>173</v>
      </c>
      <c r="AA160" s="20"/>
      <c r="AB160" s="22"/>
      <c r="AC160" s="20"/>
      <c r="AD160" s="21" t="s">
        <v>173</v>
      </c>
      <c r="AE160" s="20"/>
      <c r="AF160" s="22"/>
      <c r="AG160" s="20"/>
      <c r="AH160" s="21" t="s">
        <v>173</v>
      </c>
      <c r="AI160" s="20"/>
      <c r="AJ160" s="22"/>
      <c r="AK160" s="20"/>
      <c r="AL160" s="21" t="s">
        <v>173</v>
      </c>
      <c r="AM160" s="20"/>
      <c r="AN160" s="22"/>
      <c r="AO160" s="20"/>
      <c r="AP160" s="21" t="s">
        <v>173</v>
      </c>
      <c r="AQ160" s="20"/>
      <c r="AR160" s="22"/>
      <c r="AS160" s="20"/>
      <c r="AT160" s="21" t="s">
        <v>173</v>
      </c>
      <c r="AU160" s="20"/>
    </row>
    <row r="161" ht="15.5" spans="21:47">
      <c r="U161" s="21" t="s">
        <v>45</v>
      </c>
      <c r="V161" s="21" t="s">
        <v>50</v>
      </c>
      <c r="W161" s="21" t="s">
        <v>11</v>
      </c>
      <c r="X161" s="22"/>
      <c r="Y161" s="21" t="s">
        <v>45</v>
      </c>
      <c r="Z161" s="21" t="s">
        <v>50</v>
      </c>
      <c r="AA161" s="21" t="s">
        <v>11</v>
      </c>
      <c r="AB161" s="22"/>
      <c r="AC161" s="21" t="s">
        <v>45</v>
      </c>
      <c r="AD161" s="21" t="s">
        <v>50</v>
      </c>
      <c r="AE161" s="21" t="s">
        <v>11</v>
      </c>
      <c r="AF161" s="22"/>
      <c r="AG161" s="21" t="s">
        <v>45</v>
      </c>
      <c r="AH161" s="21" t="s">
        <v>50</v>
      </c>
      <c r="AI161" s="21" t="s">
        <v>11</v>
      </c>
      <c r="AJ161" s="22"/>
      <c r="AK161" s="21" t="s">
        <v>45</v>
      </c>
      <c r="AL161" s="21" t="s">
        <v>50</v>
      </c>
      <c r="AM161" s="21" t="s">
        <v>11</v>
      </c>
      <c r="AN161" s="22"/>
      <c r="AO161" s="21" t="s">
        <v>45</v>
      </c>
      <c r="AP161" s="21" t="s">
        <v>50</v>
      </c>
      <c r="AQ161" s="21" t="s">
        <v>11</v>
      </c>
      <c r="AR161" s="22"/>
      <c r="AS161" s="21" t="s">
        <v>45</v>
      </c>
      <c r="AT161" s="21" t="s">
        <v>50</v>
      </c>
      <c r="AU161" s="21" t="s">
        <v>11</v>
      </c>
    </row>
    <row r="162" ht="15.5" spans="21:47">
      <c r="U162" s="22" t="s">
        <v>146</v>
      </c>
      <c r="V162" s="23" t="s">
        <v>60</v>
      </c>
      <c r="W162" s="22">
        <f t="shared" ref="W162:W165" si="336">W85</f>
        <v>0.010830385716692</v>
      </c>
      <c r="X162" s="22"/>
      <c r="Y162" s="22" t="s">
        <v>147</v>
      </c>
      <c r="Z162" s="23" t="s">
        <v>60</v>
      </c>
      <c r="AA162" s="22">
        <f t="shared" ref="AA162:AA165" si="337">X85</f>
        <v>0.0104020530367836</v>
      </c>
      <c r="AB162" s="22"/>
      <c r="AC162" s="22" t="s">
        <v>148</v>
      </c>
      <c r="AD162" s="23" t="s">
        <v>60</v>
      </c>
      <c r="AE162" s="22">
        <f t="shared" ref="AE162:AE165" si="338">Y85</f>
        <v>0.0107085201793722</v>
      </c>
      <c r="AF162" s="22"/>
      <c r="AG162" s="22" t="s">
        <v>149</v>
      </c>
      <c r="AH162" s="23" t="s">
        <v>60</v>
      </c>
      <c r="AI162" s="22">
        <f t="shared" ref="AI162:AI165" si="339">Z85</f>
        <v>0.0117702805155421</v>
      </c>
      <c r="AJ162" s="22"/>
      <c r="AK162" s="22" t="s">
        <v>145</v>
      </c>
      <c r="AL162" s="23" t="s">
        <v>60</v>
      </c>
      <c r="AM162" s="22">
        <f t="shared" ref="AM162:AM165" si="340">AA85</f>
        <v>0.011933619242961</v>
      </c>
      <c r="AN162" s="22"/>
      <c r="AO162" s="22" t="s">
        <v>144</v>
      </c>
      <c r="AP162" s="23" t="s">
        <v>60</v>
      </c>
      <c r="AQ162" s="22">
        <f t="shared" ref="AQ162:AQ165" si="341">AB85</f>
        <v>0.00898419864559818</v>
      </c>
      <c r="AR162" s="22"/>
      <c r="AS162" s="22" t="s">
        <v>143</v>
      </c>
      <c r="AT162" s="23" t="s">
        <v>60</v>
      </c>
      <c r="AU162" s="22">
        <f t="shared" ref="AU162:AU165" si="342">AC85</f>
        <v>0.0105588963565617</v>
      </c>
    </row>
    <row r="163" ht="16" spans="21:47">
      <c r="U163" s="22"/>
      <c r="V163" s="24" t="s">
        <v>181</v>
      </c>
      <c r="W163" s="22">
        <f t="shared" si="336"/>
        <v>0.0447027118073101</v>
      </c>
      <c r="X163" s="22"/>
      <c r="Y163" s="22"/>
      <c r="Z163" s="24" t="s">
        <v>181</v>
      </c>
      <c r="AA163" s="22">
        <f t="shared" si="337"/>
        <v>0.0428058169375535</v>
      </c>
      <c r="AB163" s="22"/>
      <c r="AC163" s="22"/>
      <c r="AD163" s="24" t="s">
        <v>181</v>
      </c>
      <c r="AE163" s="22">
        <f t="shared" si="338"/>
        <v>0.0441255605381166</v>
      </c>
      <c r="AF163" s="22"/>
      <c r="AG163" s="22"/>
      <c r="AH163" s="24" t="s">
        <v>181</v>
      </c>
      <c r="AI163" s="22">
        <f t="shared" si="339"/>
        <v>0.0456406368460955</v>
      </c>
      <c r="AJ163" s="22"/>
      <c r="AK163" s="22"/>
      <c r="AL163" s="24" t="s">
        <v>181</v>
      </c>
      <c r="AM163" s="22">
        <f t="shared" si="340"/>
        <v>0.0467275778482193</v>
      </c>
      <c r="AN163" s="22"/>
      <c r="AO163" s="22"/>
      <c r="AP163" s="24" t="s">
        <v>181</v>
      </c>
      <c r="AQ163" s="22">
        <f t="shared" si="341"/>
        <v>0.037020316027088</v>
      </c>
      <c r="AR163" s="22"/>
      <c r="AS163" s="22"/>
      <c r="AT163" s="24" t="s">
        <v>181</v>
      </c>
      <c r="AU163" s="22">
        <f t="shared" si="342"/>
        <v>0.0435090201627167</v>
      </c>
    </row>
    <row r="164" ht="16" spans="21:47">
      <c r="U164" s="22"/>
      <c r="V164" s="24" t="s">
        <v>68</v>
      </c>
      <c r="W164" s="22">
        <f t="shared" si="336"/>
        <v>0.0724945258548088</v>
      </c>
      <c r="X164" s="22"/>
      <c r="Y164" s="22"/>
      <c r="Z164" s="24" t="s">
        <v>68</v>
      </c>
      <c r="AA164" s="22">
        <f t="shared" si="337"/>
        <v>0.0706073567151412</v>
      </c>
      <c r="AB164" s="22"/>
      <c r="AC164" s="22"/>
      <c r="AD164" s="24" t="s">
        <v>68</v>
      </c>
      <c r="AE164" s="22">
        <f t="shared" si="338"/>
        <v>0.0732017937219731</v>
      </c>
      <c r="AF164" s="22"/>
      <c r="AG164" s="22"/>
      <c r="AH164" s="24" t="s">
        <v>68</v>
      </c>
      <c r="AI164" s="22">
        <f t="shared" si="339"/>
        <v>0.076516300227445</v>
      </c>
      <c r="AJ164" s="22"/>
      <c r="AK164" s="22"/>
      <c r="AL164" s="24" t="s">
        <v>68</v>
      </c>
      <c r="AM164" s="22">
        <f t="shared" si="340"/>
        <v>0.0803841133693828</v>
      </c>
      <c r="AN164" s="22"/>
      <c r="AO164" s="22"/>
      <c r="AP164" s="24" t="s">
        <v>68</v>
      </c>
      <c r="AQ164" s="22">
        <f t="shared" si="341"/>
        <v>0.0614145974416855</v>
      </c>
      <c r="AR164" s="22"/>
      <c r="AS164" s="22"/>
      <c r="AT164" s="24" t="s">
        <v>68</v>
      </c>
      <c r="AU164" s="22">
        <f t="shared" si="342"/>
        <v>0.0721789883268483</v>
      </c>
    </row>
    <row r="165" ht="16" spans="21:47">
      <c r="U165" s="25"/>
      <c r="V165" s="24" t="s">
        <v>182</v>
      </c>
      <c r="W165" s="22">
        <f t="shared" si="336"/>
        <v>0.0131547919824827</v>
      </c>
      <c r="X165" s="25"/>
      <c r="Y165" s="25"/>
      <c r="Z165" s="24" t="s">
        <v>182</v>
      </c>
      <c r="AA165" s="22">
        <f t="shared" si="337"/>
        <v>0.0128656971770744</v>
      </c>
      <c r="AB165" s="25"/>
      <c r="AC165" s="25"/>
      <c r="AD165" s="24" t="s">
        <v>182</v>
      </c>
      <c r="AE165" s="22">
        <f t="shared" si="338"/>
        <v>0.0133273542600897</v>
      </c>
      <c r="AF165" s="25"/>
      <c r="AG165" s="25"/>
      <c r="AH165" s="24" t="s">
        <v>182</v>
      </c>
      <c r="AI165" s="22">
        <f t="shared" si="339"/>
        <v>0.0145564821834723</v>
      </c>
      <c r="AJ165" s="25"/>
      <c r="AK165" s="25"/>
      <c r="AL165" s="24" t="s">
        <v>182</v>
      </c>
      <c r="AM165" s="22">
        <f t="shared" si="340"/>
        <v>0.0148610852134999</v>
      </c>
      <c r="AN165" s="25"/>
      <c r="AO165" s="25"/>
      <c r="AP165" s="24" t="s">
        <v>182</v>
      </c>
      <c r="AQ165" s="22">
        <f t="shared" si="341"/>
        <v>0.0111813393528969</v>
      </c>
      <c r="AR165" s="25"/>
      <c r="AS165" s="25"/>
      <c r="AT165" s="24" t="s">
        <v>182</v>
      </c>
      <c r="AU165" s="22">
        <f t="shared" si="342"/>
        <v>0.0131411390166254</v>
      </c>
    </row>
    <row r="166" ht="15.5" spans="21:47"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</row>
    <row r="167" ht="15.5" spans="21:47"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</row>
    <row r="168" ht="15.5" spans="21:47"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</row>
    <row r="169" ht="15.5" spans="21:47"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</row>
    <row r="170" ht="15.5" spans="21:47"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</row>
    <row r="171" ht="15.5" spans="21:47"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</row>
    <row r="172" ht="15.5" spans="21:47">
      <c r="U172" s="20"/>
      <c r="V172" s="21" t="s">
        <v>173</v>
      </c>
      <c r="W172" s="20"/>
      <c r="X172" s="22"/>
      <c r="Y172" s="20"/>
      <c r="Z172" s="21" t="s">
        <v>173</v>
      </c>
      <c r="AA172" s="20"/>
      <c r="AB172" s="22"/>
      <c r="AC172" s="20"/>
      <c r="AD172" s="21" t="s">
        <v>173</v>
      </c>
      <c r="AE172" s="20"/>
      <c r="AF172" s="22"/>
      <c r="AG172" s="20"/>
      <c r="AH172" s="21" t="s">
        <v>173</v>
      </c>
      <c r="AI172" s="20"/>
      <c r="AJ172" s="22"/>
      <c r="AK172" s="20"/>
      <c r="AL172" s="21" t="s">
        <v>173</v>
      </c>
      <c r="AM172" s="20"/>
      <c r="AN172" s="22"/>
      <c r="AO172" s="20"/>
      <c r="AP172" s="21" t="s">
        <v>173</v>
      </c>
      <c r="AQ172" s="20"/>
      <c r="AR172" s="22"/>
      <c r="AS172" s="20"/>
      <c r="AT172" s="21" t="s">
        <v>173</v>
      </c>
      <c r="AU172" s="20"/>
    </row>
    <row r="173" ht="15.5" spans="21:47">
      <c r="U173" s="21" t="s">
        <v>45</v>
      </c>
      <c r="V173" s="21" t="s">
        <v>50</v>
      </c>
      <c r="W173" s="21" t="s">
        <v>11</v>
      </c>
      <c r="X173" s="22"/>
      <c r="Y173" s="21" t="s">
        <v>45</v>
      </c>
      <c r="Z173" s="21" t="s">
        <v>50</v>
      </c>
      <c r="AA173" s="21" t="s">
        <v>11</v>
      </c>
      <c r="AB173" s="22"/>
      <c r="AC173" s="21" t="s">
        <v>45</v>
      </c>
      <c r="AD173" s="21" t="s">
        <v>50</v>
      </c>
      <c r="AE173" s="21" t="s">
        <v>11</v>
      </c>
      <c r="AF173" s="22"/>
      <c r="AG173" s="21" t="s">
        <v>45</v>
      </c>
      <c r="AH173" s="21" t="s">
        <v>50</v>
      </c>
      <c r="AI173" s="21" t="s">
        <v>11</v>
      </c>
      <c r="AJ173" s="22"/>
      <c r="AK173" s="21" t="s">
        <v>45</v>
      </c>
      <c r="AL173" s="21" t="s">
        <v>50</v>
      </c>
      <c r="AM173" s="21" t="s">
        <v>11</v>
      </c>
      <c r="AN173" s="22"/>
      <c r="AO173" s="21" t="s">
        <v>45</v>
      </c>
      <c r="AP173" s="21" t="s">
        <v>50</v>
      </c>
      <c r="AQ173" s="21" t="s">
        <v>11</v>
      </c>
      <c r="AR173" s="22"/>
      <c r="AS173" s="21" t="s">
        <v>45</v>
      </c>
      <c r="AT173" s="21" t="s">
        <v>50</v>
      </c>
      <c r="AU173" s="21" t="s">
        <v>11</v>
      </c>
    </row>
    <row r="174" ht="15.5" spans="21:47">
      <c r="U174" s="22" t="s">
        <v>153</v>
      </c>
      <c r="V174" s="23" t="s">
        <v>60</v>
      </c>
      <c r="W174" s="22">
        <f t="shared" ref="W174:W177" si="343">W105</f>
        <v>0.011840997136601</v>
      </c>
      <c r="X174" s="22"/>
      <c r="Y174" s="22" t="s">
        <v>154</v>
      </c>
      <c r="Z174" s="23" t="s">
        <v>60</v>
      </c>
      <c r="AA174" s="22">
        <f t="shared" ref="AA174:AA177" si="344">X105</f>
        <v>0.011377245508982</v>
      </c>
      <c r="AB174" s="22"/>
      <c r="AC174" s="22" t="s">
        <v>155</v>
      </c>
      <c r="AD174" s="23" t="s">
        <v>60</v>
      </c>
      <c r="AE174" s="22">
        <f t="shared" ref="AE174:AE177" si="345">Y105</f>
        <v>0.0117668161434977</v>
      </c>
      <c r="AF174" s="22"/>
      <c r="AG174" s="22" t="s">
        <v>156</v>
      </c>
      <c r="AH174" s="23" t="s">
        <v>60</v>
      </c>
      <c r="AI174" s="22">
        <f t="shared" ref="AI174:AI177" si="346">Z105</f>
        <v>0.0120924943138741</v>
      </c>
      <c r="AJ174" s="22"/>
      <c r="AK174" s="22" t="s">
        <v>152</v>
      </c>
      <c r="AL174" s="23" t="s">
        <v>60</v>
      </c>
      <c r="AM174" s="22">
        <f t="shared" ref="AM174:AM177" si="347">AA105</f>
        <v>0.0122878985642364</v>
      </c>
      <c r="AN174" s="22"/>
      <c r="AO174" s="22" t="s">
        <v>151</v>
      </c>
      <c r="AP174" s="23" t="s">
        <v>60</v>
      </c>
      <c r="AQ174" s="22">
        <f t="shared" ref="AQ174:AQ177" si="348">AB105</f>
        <v>0.00987208427389014</v>
      </c>
      <c r="AR174" s="22"/>
      <c r="AS174" s="22" t="s">
        <v>150</v>
      </c>
      <c r="AT174" s="23" t="s">
        <v>60</v>
      </c>
      <c r="AU174" s="22">
        <f t="shared" ref="AU174:AU177" si="349">AC105</f>
        <v>0.0116024053767244</v>
      </c>
    </row>
    <row r="175" ht="16" spans="21:47">
      <c r="U175" s="22"/>
      <c r="V175" s="24" t="s">
        <v>181</v>
      </c>
      <c r="W175" s="22">
        <f t="shared" si="343"/>
        <v>0.0404413003200269</v>
      </c>
      <c r="X175" s="22"/>
      <c r="Y175" s="22"/>
      <c r="Z175" s="24" t="s">
        <v>181</v>
      </c>
      <c r="AA175" s="22">
        <f t="shared" si="344"/>
        <v>0.0389734816082122</v>
      </c>
      <c r="AB175" s="22"/>
      <c r="AC175" s="22"/>
      <c r="AD175" s="24" t="s">
        <v>181</v>
      </c>
      <c r="AE175" s="22">
        <f t="shared" si="345"/>
        <v>0.0403408071748879</v>
      </c>
      <c r="AF175" s="22"/>
      <c r="AG175" s="22"/>
      <c r="AH175" s="24" t="s">
        <v>181</v>
      </c>
      <c r="AI175" s="22">
        <f t="shared" si="346"/>
        <v>0.0420204700530705</v>
      </c>
      <c r="AJ175" s="22"/>
      <c r="AK175" s="22"/>
      <c r="AL175" s="24" t="s">
        <v>181</v>
      </c>
      <c r="AM175" s="22">
        <f t="shared" si="347"/>
        <v>0.0428118590341227</v>
      </c>
      <c r="AN175" s="22"/>
      <c r="AO175" s="22"/>
      <c r="AP175" s="24" t="s">
        <v>181</v>
      </c>
      <c r="AQ175" s="22">
        <f t="shared" si="348"/>
        <v>0.0338449962377728</v>
      </c>
      <c r="AR175" s="22"/>
      <c r="AS175" s="22"/>
      <c r="AT175" s="24" t="s">
        <v>181</v>
      </c>
      <c r="AU175" s="22">
        <f t="shared" si="349"/>
        <v>0.0397771489211178</v>
      </c>
    </row>
    <row r="176" ht="16" spans="21:47">
      <c r="U176" s="22"/>
      <c r="V176" s="24" t="s">
        <v>68</v>
      </c>
      <c r="W176" s="22">
        <f t="shared" si="343"/>
        <v>0.0870304867778339</v>
      </c>
      <c r="X176" s="22"/>
      <c r="Y176" s="22"/>
      <c r="Z176" s="24" t="s">
        <v>68</v>
      </c>
      <c r="AA176" s="22">
        <f t="shared" si="344"/>
        <v>0.0843627031650984</v>
      </c>
      <c r="AB176" s="22"/>
      <c r="AC176" s="22"/>
      <c r="AD176" s="24" t="s">
        <v>68</v>
      </c>
      <c r="AE176" s="22">
        <f t="shared" si="345"/>
        <v>0.0874439461883408</v>
      </c>
      <c r="AF176" s="22"/>
      <c r="AG176" s="22"/>
      <c r="AH176" s="24" t="s">
        <v>68</v>
      </c>
      <c r="AI176" s="22">
        <f t="shared" si="346"/>
        <v>0.0881918119787718</v>
      </c>
      <c r="AJ176" s="22"/>
      <c r="AK176" s="22"/>
      <c r="AL176" s="24" t="s">
        <v>68</v>
      </c>
      <c r="AM176" s="22">
        <f t="shared" si="347"/>
        <v>0.0922245012120082</v>
      </c>
      <c r="AN176" s="22"/>
      <c r="AO176" s="22"/>
      <c r="AP176" s="24" t="s">
        <v>68</v>
      </c>
      <c r="AQ176" s="22">
        <f t="shared" si="348"/>
        <v>0.0733634311512415</v>
      </c>
      <c r="AR176" s="22"/>
      <c r="AS176" s="22"/>
      <c r="AT176" s="24" t="s">
        <v>68</v>
      </c>
      <c r="AU176" s="22">
        <f t="shared" si="349"/>
        <v>0.0862221436151397</v>
      </c>
    </row>
    <row r="177" ht="16" spans="21:47">
      <c r="U177" s="25"/>
      <c r="V177" s="24" t="s">
        <v>182</v>
      </c>
      <c r="W177" s="22">
        <f t="shared" si="343"/>
        <v>0.0133569142664645</v>
      </c>
      <c r="X177" s="25"/>
      <c r="Y177" s="25"/>
      <c r="Z177" s="24" t="s">
        <v>182</v>
      </c>
      <c r="AA177" s="22">
        <f t="shared" si="344"/>
        <v>0.0131907613344739</v>
      </c>
      <c r="AB177" s="25"/>
      <c r="AC177" s="25"/>
      <c r="AD177" s="24" t="s">
        <v>182</v>
      </c>
      <c r="AE177" s="22">
        <f t="shared" si="345"/>
        <v>0.0137399103139013</v>
      </c>
      <c r="AF177" s="25"/>
      <c r="AG177" s="25"/>
      <c r="AH177" s="24" t="s">
        <v>182</v>
      </c>
      <c r="AI177" s="22">
        <f t="shared" si="346"/>
        <v>0.0141015921152388</v>
      </c>
      <c r="AJ177" s="25"/>
      <c r="AK177" s="25"/>
      <c r="AL177" s="24" t="s">
        <v>182</v>
      </c>
      <c r="AM177" s="22">
        <f t="shared" si="347"/>
        <v>0.0143016968114861</v>
      </c>
      <c r="AN177" s="25"/>
      <c r="AO177" s="25"/>
      <c r="AP177" s="24" t="s">
        <v>182</v>
      </c>
      <c r="AQ177" s="22">
        <f t="shared" si="348"/>
        <v>0.0115274642588412</v>
      </c>
      <c r="AR177" s="25"/>
      <c r="AS177" s="25"/>
      <c r="AT177" s="24" t="s">
        <v>182</v>
      </c>
      <c r="AU177" s="22">
        <f t="shared" si="349"/>
        <v>0.0135479306685532</v>
      </c>
    </row>
    <row r="178" ht="15.5" spans="21:47"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</row>
    <row r="183" ht="15.5" spans="21:47">
      <c r="U183" s="20"/>
      <c r="V183" s="21" t="s">
        <v>173</v>
      </c>
      <c r="W183" s="20"/>
      <c r="X183" s="22"/>
      <c r="Y183" s="20"/>
      <c r="Z183" s="21" t="s">
        <v>173</v>
      </c>
      <c r="AA183" s="20"/>
      <c r="AB183" s="22"/>
      <c r="AC183" s="20"/>
      <c r="AD183" s="21" t="s">
        <v>173</v>
      </c>
      <c r="AE183" s="20"/>
      <c r="AF183" s="22"/>
      <c r="AG183" s="20"/>
      <c r="AH183" s="21" t="s">
        <v>173</v>
      </c>
      <c r="AI183" s="20"/>
      <c r="AJ183" s="22"/>
      <c r="AK183" s="20"/>
      <c r="AL183" s="21" t="s">
        <v>173</v>
      </c>
      <c r="AM183" s="20"/>
      <c r="AN183" s="22"/>
      <c r="AO183" s="20"/>
      <c r="AP183" s="21" t="s">
        <v>173</v>
      </c>
      <c r="AQ183" s="20"/>
      <c r="AR183" s="22"/>
      <c r="AS183" s="20"/>
      <c r="AT183" s="21" t="s">
        <v>173</v>
      </c>
      <c r="AU183" s="20"/>
    </row>
    <row r="184" ht="15.5" spans="21:47">
      <c r="U184" s="21" t="s">
        <v>45</v>
      </c>
      <c r="V184" s="21" t="s">
        <v>50</v>
      </c>
      <c r="W184" s="21" t="s">
        <v>11</v>
      </c>
      <c r="X184" s="22"/>
      <c r="Y184" s="21" t="s">
        <v>45</v>
      </c>
      <c r="Z184" s="21" t="s">
        <v>50</v>
      </c>
      <c r="AA184" s="21" t="s">
        <v>11</v>
      </c>
      <c r="AB184" s="22"/>
      <c r="AC184" s="21" t="s">
        <v>45</v>
      </c>
      <c r="AD184" s="21" t="s">
        <v>50</v>
      </c>
      <c r="AE184" s="21" t="s">
        <v>11</v>
      </c>
      <c r="AF184" s="22"/>
      <c r="AG184" s="21" t="s">
        <v>45</v>
      </c>
      <c r="AH184" s="21" t="s">
        <v>50</v>
      </c>
      <c r="AI184" s="21" t="s">
        <v>11</v>
      </c>
      <c r="AJ184" s="22"/>
      <c r="AK184" s="21" t="s">
        <v>45</v>
      </c>
      <c r="AL184" s="21" t="s">
        <v>50</v>
      </c>
      <c r="AM184" s="21" t="s">
        <v>11</v>
      </c>
      <c r="AN184" s="22"/>
      <c r="AO184" s="21" t="s">
        <v>45</v>
      </c>
      <c r="AP184" s="21" t="s">
        <v>50</v>
      </c>
      <c r="AQ184" s="21" t="s">
        <v>11</v>
      </c>
      <c r="AR184" s="22"/>
      <c r="AS184" s="21" t="s">
        <v>45</v>
      </c>
      <c r="AT184" s="21" t="s">
        <v>50</v>
      </c>
      <c r="AU184" s="21" t="s">
        <v>11</v>
      </c>
    </row>
    <row r="185" ht="15.5" spans="21:47">
      <c r="U185" s="22" t="s">
        <v>160</v>
      </c>
      <c r="V185" s="23" t="s">
        <v>60</v>
      </c>
      <c r="W185" s="22">
        <f t="shared" ref="W185:W188" si="350">W125</f>
        <v>0.00810173488293751</v>
      </c>
      <c r="X185" s="22"/>
      <c r="Y185" s="22" t="s">
        <v>161</v>
      </c>
      <c r="Z185" s="23" t="s">
        <v>60</v>
      </c>
      <c r="AA185" s="22">
        <f t="shared" ref="AA185:AA188" si="351">X125</f>
        <v>0.00786997433704022</v>
      </c>
      <c r="AB185" s="22"/>
      <c r="AC185" s="22" t="s">
        <v>162</v>
      </c>
      <c r="AD185" s="23" t="s">
        <v>60</v>
      </c>
      <c r="AE185" s="22">
        <f t="shared" ref="AE185:AE188" si="352">Y125</f>
        <v>0.00817937219730942</v>
      </c>
      <c r="AF185" s="22"/>
      <c r="AG185" s="22" t="s">
        <v>163</v>
      </c>
      <c r="AH185" s="23" t="s">
        <v>60</v>
      </c>
      <c r="AI185" s="22">
        <f t="shared" ref="AI185:AI188" si="353">Z125</f>
        <v>0.00816906747536013</v>
      </c>
      <c r="AJ185" s="22"/>
      <c r="AK185" s="22" t="s">
        <v>159</v>
      </c>
      <c r="AL185" s="23" t="s">
        <v>60</v>
      </c>
      <c r="AM185" s="22">
        <f t="shared" ref="AM185:AM188" si="354">AA125</f>
        <v>0.00826030206973706</v>
      </c>
      <c r="AN185" s="22"/>
      <c r="AO185" s="22" t="s">
        <v>158</v>
      </c>
      <c r="AP185" s="23" t="s">
        <v>60</v>
      </c>
      <c r="AQ185" s="22">
        <f t="shared" ref="AQ185:AQ188" si="355">AB125</f>
        <v>0.00686230248306997</v>
      </c>
      <c r="AR185" s="22"/>
      <c r="AS185" s="22" t="s">
        <v>157</v>
      </c>
      <c r="AT185" s="23" t="s">
        <v>60</v>
      </c>
      <c r="AU185" s="22">
        <f t="shared" ref="AU185:AU188" si="356">AC125</f>
        <v>0.00806508666430845</v>
      </c>
    </row>
    <row r="186" ht="16" spans="21:47">
      <c r="U186" s="22"/>
      <c r="V186" s="24" t="s">
        <v>181</v>
      </c>
      <c r="W186" s="22">
        <f t="shared" si="350"/>
        <v>0.0319690079164561</v>
      </c>
      <c r="X186" s="22"/>
      <c r="Y186" s="22"/>
      <c r="Z186" s="24" t="s">
        <v>181</v>
      </c>
      <c r="AA186" s="22">
        <f t="shared" si="351"/>
        <v>0.0310692899914457</v>
      </c>
      <c r="AB186" s="22"/>
      <c r="AC186" s="22"/>
      <c r="AD186" s="24" t="s">
        <v>181</v>
      </c>
      <c r="AE186" s="22">
        <f t="shared" si="352"/>
        <v>0.0322331838565022</v>
      </c>
      <c r="AF186" s="22"/>
      <c r="AG186" s="22"/>
      <c r="AH186" s="24" t="s">
        <v>181</v>
      </c>
      <c r="AI186" s="22">
        <f t="shared" si="353"/>
        <v>0.0321645185746778</v>
      </c>
      <c r="AJ186" s="22"/>
      <c r="AK186" s="22"/>
      <c r="AL186" s="24" t="s">
        <v>181</v>
      </c>
      <c r="AM186" s="22">
        <f t="shared" si="354"/>
        <v>0.0325750512772702</v>
      </c>
      <c r="AN186" s="22"/>
      <c r="AO186" s="22"/>
      <c r="AP186" s="24" t="s">
        <v>181</v>
      </c>
      <c r="AQ186" s="22">
        <f t="shared" si="355"/>
        <v>0.0270428893905192</v>
      </c>
      <c r="AR186" s="22"/>
      <c r="AS186" s="22"/>
      <c r="AT186" s="24" t="s">
        <v>181</v>
      </c>
      <c r="AU186" s="22">
        <f t="shared" si="356"/>
        <v>0.0317828086310577</v>
      </c>
    </row>
    <row r="187" ht="16" spans="21:47">
      <c r="U187" s="22"/>
      <c r="V187" s="24" t="s">
        <v>68</v>
      </c>
      <c r="W187" s="22">
        <f t="shared" si="350"/>
        <v>0.0557183762843187</v>
      </c>
      <c r="X187" s="22"/>
      <c r="Y187" s="22"/>
      <c r="Z187" s="24" t="s">
        <v>68</v>
      </c>
      <c r="AA187" s="22">
        <f t="shared" si="351"/>
        <v>0.055158254918734</v>
      </c>
      <c r="AB187" s="22"/>
      <c r="AC187" s="22"/>
      <c r="AD187" s="24" t="s">
        <v>68</v>
      </c>
      <c r="AE187" s="22">
        <f t="shared" si="352"/>
        <v>0.0574887892376682</v>
      </c>
      <c r="AF187" s="22"/>
      <c r="AG187" s="22"/>
      <c r="AH187" s="24" t="s">
        <v>68</v>
      </c>
      <c r="AI187" s="22">
        <f t="shared" si="353"/>
        <v>0.0587755875663381</v>
      </c>
      <c r="AJ187" s="22"/>
      <c r="AK187" s="22"/>
      <c r="AL187" s="24" t="s">
        <v>68</v>
      </c>
      <c r="AM187" s="22">
        <f t="shared" si="354"/>
        <v>0.0587544284915159</v>
      </c>
      <c r="AN187" s="22"/>
      <c r="AO187" s="22"/>
      <c r="AP187" s="24" t="s">
        <v>68</v>
      </c>
      <c r="AQ187" s="22">
        <f t="shared" si="355"/>
        <v>0.0482317531978932</v>
      </c>
      <c r="AR187" s="22"/>
      <c r="AS187" s="22"/>
      <c r="AT187" s="24" t="s">
        <v>68</v>
      </c>
      <c r="AU187" s="22">
        <f t="shared" si="356"/>
        <v>0.0566855323664662</v>
      </c>
    </row>
    <row r="188" ht="16" spans="21:47">
      <c r="U188" s="25"/>
      <c r="V188" s="24" t="s">
        <v>182</v>
      </c>
      <c r="W188" s="22">
        <f t="shared" si="350"/>
        <v>0.0130537308404918</v>
      </c>
      <c r="X188" s="25"/>
      <c r="Y188" s="25"/>
      <c r="Z188" s="24" t="s">
        <v>182</v>
      </c>
      <c r="AA188" s="22">
        <f t="shared" si="351"/>
        <v>0.0129170230966638</v>
      </c>
      <c r="AB188" s="25"/>
      <c r="AC188" s="25"/>
      <c r="AD188" s="24" t="s">
        <v>182</v>
      </c>
      <c r="AE188" s="22">
        <f t="shared" si="352"/>
        <v>0.0134529147982063</v>
      </c>
      <c r="AF188" s="25"/>
      <c r="AG188" s="25"/>
      <c r="AH188" s="24" t="s">
        <v>182</v>
      </c>
      <c r="AI188" s="22">
        <f t="shared" si="353"/>
        <v>0.0136846095526914</v>
      </c>
      <c r="AJ188" s="25"/>
      <c r="AK188" s="25"/>
      <c r="AL188" s="24" t="s">
        <v>182</v>
      </c>
      <c r="AM188" s="22">
        <f t="shared" si="354"/>
        <v>0.0137236621294052</v>
      </c>
      <c r="AN188" s="25"/>
      <c r="AO188" s="25"/>
      <c r="AP188" s="24" t="s">
        <v>182</v>
      </c>
      <c r="AQ188" s="22">
        <f t="shared" si="355"/>
        <v>0.0112866817155756</v>
      </c>
      <c r="AR188" s="25"/>
      <c r="AS188" s="25"/>
      <c r="AT188" s="24" t="s">
        <v>182</v>
      </c>
      <c r="AU188" s="22">
        <f t="shared" si="356"/>
        <v>0.01326494517156</v>
      </c>
    </row>
  </sheetData>
  <mergeCells count="64">
    <mergeCell ref="A1:J1"/>
    <mergeCell ref="AB1:AC1"/>
    <mergeCell ref="AZ1:BI1"/>
    <mergeCell ref="C2:J2"/>
    <mergeCell ref="BB2:BI2"/>
    <mergeCell ref="A21:J21"/>
    <mergeCell ref="AZ21:BI21"/>
    <mergeCell ref="C22:J22"/>
    <mergeCell ref="BB22:BI22"/>
    <mergeCell ref="A41:J41"/>
    <mergeCell ref="AZ41:BI41"/>
    <mergeCell ref="C42:J42"/>
    <mergeCell ref="BB42:BI42"/>
    <mergeCell ref="A2:A3"/>
    <mergeCell ref="A4:A8"/>
    <mergeCell ref="A9:A13"/>
    <mergeCell ref="A14:A18"/>
    <mergeCell ref="A22:A23"/>
    <mergeCell ref="A24:A28"/>
    <mergeCell ref="A29:A33"/>
    <mergeCell ref="A34:A38"/>
    <mergeCell ref="A42:A43"/>
    <mergeCell ref="A44:A48"/>
    <mergeCell ref="A49:A53"/>
    <mergeCell ref="A54:A58"/>
    <mergeCell ref="B2:B3"/>
    <mergeCell ref="B22:B23"/>
    <mergeCell ref="B42:B43"/>
    <mergeCell ref="U4:U8"/>
    <mergeCell ref="U9:U13"/>
    <mergeCell ref="U14:U18"/>
    <mergeCell ref="U24:U28"/>
    <mergeCell ref="U29:U33"/>
    <mergeCell ref="U34:U38"/>
    <mergeCell ref="U44:U48"/>
    <mergeCell ref="U49:U53"/>
    <mergeCell ref="U54:U58"/>
    <mergeCell ref="U73:U76"/>
    <mergeCell ref="U77:U80"/>
    <mergeCell ref="U81:U84"/>
    <mergeCell ref="U85:U88"/>
    <mergeCell ref="U93:U96"/>
    <mergeCell ref="U97:U100"/>
    <mergeCell ref="U101:U104"/>
    <mergeCell ref="U105:U108"/>
    <mergeCell ref="U113:U116"/>
    <mergeCell ref="U117:U120"/>
    <mergeCell ref="U121:U124"/>
    <mergeCell ref="U125:U128"/>
    <mergeCell ref="AZ2:AZ3"/>
    <mergeCell ref="AZ4:AZ8"/>
    <mergeCell ref="AZ9:AZ13"/>
    <mergeCell ref="AZ14:AZ18"/>
    <mergeCell ref="AZ22:AZ23"/>
    <mergeCell ref="AZ24:AZ28"/>
    <mergeCell ref="AZ29:AZ33"/>
    <mergeCell ref="AZ34:AZ38"/>
    <mergeCell ref="AZ42:AZ43"/>
    <mergeCell ref="AZ44:AZ48"/>
    <mergeCell ref="AZ49:AZ53"/>
    <mergeCell ref="AZ54:AZ58"/>
    <mergeCell ref="BA2:BA3"/>
    <mergeCell ref="BA22:BA23"/>
    <mergeCell ref="BA42:BA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Dell Computer Corporation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TechSelection</vt:lpstr>
      <vt:lpstr>Road transport</vt:lpstr>
      <vt:lpstr>RoadTra_BY</vt:lpstr>
      <vt:lpstr>added_EnergyUse_for_Manu</vt:lpstr>
      <vt:lpstr>added_energyUse_for_US_1.0</vt:lpstr>
      <vt:lpstr>added_energyUse_for_CN_1.0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2001-09-28T18:48:00Z</dcterms:created>
  <cp:lastPrinted>2001-09-28T20:39:00Z</cp:lastPrinted>
  <dcterms:modified xsi:type="dcterms:W3CDTF">2026-01-28T19:22:32Z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{EB3971F8-0E88-4138-9B5F-5661BAE86EB6}</vt:lpwstr>
  </property>
  <property fmtid="{D5CDD505-2E9C-101B-9397-08002B2CF9AE}" pid="3" name="SaveCode">
    <vt:r8>471264078594048</vt:r8>
  </property>
  <property fmtid="{D5CDD505-2E9C-101B-9397-08002B2CF9AE}" pid="4" name="ICV">
    <vt:lpwstr>45D5F3D94C4940779DA6D9ECCC51C81A_12</vt:lpwstr>
  </property>
  <property fmtid="{D5CDD505-2E9C-101B-9397-08002B2CF9AE}" pid="5" name="KSOProductBuildVer">
    <vt:lpwstr>1033-12.2.0.23196</vt:lpwstr>
  </property>
</Properties>
</file>